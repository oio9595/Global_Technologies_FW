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Docs\GT\"/>
    </mc:Choice>
  </mc:AlternateContent>
  <xr:revisionPtr revIDLastSave="0" documentId="13_ncr:1_{B341120B-092D-42FB-8C93-A39E9D2D8FA1}" xr6:coauthVersionLast="47" xr6:coauthVersionMax="47" xr10:uidLastSave="{00000000-0000-0000-0000-000000000000}"/>
  <bookViews>
    <workbookView xWindow="43080" yWindow="2160" windowWidth="29040" windowHeight="15720" activeTab="1" xr2:uid="{51E8176A-6240-4F9E-9536-C3D87518C958}"/>
  </bookViews>
  <sheets>
    <sheet name="Summary" sheetId="13" r:id="rId1"/>
    <sheet name="Meas_List_XDR" sheetId="14" r:id="rId2"/>
    <sheet name="Meas_List_XCR" sheetId="18" r:id="rId3"/>
    <sheet name="코드편차_트림정확도" sheetId="8" r:id="rId4"/>
    <sheet name="전류편차_24mA(절대값기준)" sheetId="7" r:id="rId5"/>
    <sheet name="DAC전압편차" sheetId="16" r:id="rId6"/>
    <sheet name="EC Test Log" sheetId="11" r:id="rId7"/>
    <sheet name="FLL Transition" sheetId="12" r:id="rId8"/>
    <sheet name="O_SLEW" sheetId="1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7" i="16" l="1"/>
  <c r="V276" i="16"/>
  <c r="Q276" i="16"/>
  <c r="C276" i="16"/>
  <c r="C275" i="16"/>
  <c r="V274" i="16"/>
  <c r="Q274" i="16"/>
  <c r="P274" i="16"/>
  <c r="O274" i="16"/>
  <c r="C274" i="16"/>
  <c r="C273" i="16"/>
  <c r="Q272" i="16"/>
  <c r="P272" i="16"/>
  <c r="C272" i="16"/>
  <c r="V271" i="16"/>
  <c r="U271" i="16"/>
  <c r="T271" i="16"/>
  <c r="S271" i="16"/>
  <c r="R271" i="16"/>
  <c r="P271" i="16"/>
  <c r="O271" i="16"/>
  <c r="C271" i="16"/>
  <c r="W271" i="16" s="1"/>
  <c r="C270" i="16"/>
  <c r="W269" i="16"/>
  <c r="U269" i="16"/>
  <c r="S269" i="16"/>
  <c r="R269" i="16"/>
  <c r="O269" i="16"/>
  <c r="C269" i="16"/>
  <c r="W268" i="16"/>
  <c r="V268" i="16"/>
  <c r="P268" i="16"/>
  <c r="O268" i="16"/>
  <c r="C268" i="16"/>
  <c r="V267" i="16"/>
  <c r="O267" i="16"/>
  <c r="C267" i="16"/>
  <c r="C266" i="16"/>
  <c r="W265" i="16"/>
  <c r="T265" i="16"/>
  <c r="R265" i="16"/>
  <c r="O265" i="16"/>
  <c r="C265" i="16"/>
  <c r="W264" i="16"/>
  <c r="V264" i="16"/>
  <c r="C264" i="16"/>
  <c r="W263" i="16"/>
  <c r="V263" i="16"/>
  <c r="T263" i="16"/>
  <c r="S263" i="16"/>
  <c r="R263" i="16"/>
  <c r="Q263" i="16"/>
  <c r="P263" i="16"/>
  <c r="C263" i="16"/>
  <c r="O263" i="16" s="1"/>
  <c r="Q262" i="16"/>
  <c r="O262" i="16"/>
  <c r="C262" i="16"/>
  <c r="W261" i="16"/>
  <c r="V261" i="16"/>
  <c r="U261" i="16"/>
  <c r="T261" i="16"/>
  <c r="C261" i="16"/>
  <c r="O261" i="16" s="1"/>
  <c r="W260" i="16"/>
  <c r="V260" i="16"/>
  <c r="P260" i="16"/>
  <c r="C260" i="16"/>
  <c r="P259" i="16"/>
  <c r="C259" i="16"/>
  <c r="W258" i="16"/>
  <c r="V258" i="16"/>
  <c r="Q258" i="16"/>
  <c r="C258" i="16"/>
  <c r="V257" i="16"/>
  <c r="T257" i="16"/>
  <c r="S257" i="16"/>
  <c r="R257" i="16"/>
  <c r="P257" i="16"/>
  <c r="O257" i="16"/>
  <c r="C257" i="16"/>
  <c r="C256" i="16"/>
  <c r="O256" i="16" s="1"/>
  <c r="W255" i="16"/>
  <c r="V255" i="16"/>
  <c r="U255" i="16"/>
  <c r="T255" i="16"/>
  <c r="P255" i="16"/>
  <c r="C255" i="16"/>
  <c r="W254" i="16"/>
  <c r="V254" i="16"/>
  <c r="P254" i="16"/>
  <c r="O254" i="16"/>
  <c r="C254" i="16"/>
  <c r="C253" i="16"/>
  <c r="V252" i="16"/>
  <c r="C252" i="16"/>
  <c r="C251" i="16"/>
  <c r="C250" i="16"/>
  <c r="W249" i="16"/>
  <c r="V249" i="16"/>
  <c r="T249" i="16"/>
  <c r="S249" i="16"/>
  <c r="R249" i="16"/>
  <c r="Q249" i="16"/>
  <c r="P249" i="16"/>
  <c r="C249" i="16"/>
  <c r="C248" i="16"/>
  <c r="V247" i="16"/>
  <c r="T247" i="16"/>
  <c r="S247" i="16"/>
  <c r="P247" i="16"/>
  <c r="C247" i="16"/>
  <c r="C246" i="16"/>
  <c r="W245" i="16"/>
  <c r="U245" i="16"/>
  <c r="T245" i="16"/>
  <c r="C245" i="16"/>
  <c r="V244" i="16"/>
  <c r="Q244" i="16"/>
  <c r="P244" i="16"/>
  <c r="C244" i="16"/>
  <c r="C243" i="16"/>
  <c r="V242" i="16"/>
  <c r="Q242" i="16"/>
  <c r="P242" i="16"/>
  <c r="O242" i="16"/>
  <c r="C242" i="16"/>
  <c r="T241" i="16"/>
  <c r="R241" i="16"/>
  <c r="Q241" i="16"/>
  <c r="C241" i="16"/>
  <c r="V240" i="16"/>
  <c r="P240" i="16"/>
  <c r="C240" i="16"/>
  <c r="W239" i="16"/>
  <c r="V239" i="16"/>
  <c r="U239" i="16"/>
  <c r="T239" i="16"/>
  <c r="S239" i="16"/>
  <c r="R239" i="16"/>
  <c r="Q239" i="16"/>
  <c r="O239" i="16"/>
  <c r="C239" i="16"/>
  <c r="P239" i="16" s="1"/>
  <c r="Q238" i="16"/>
  <c r="C238" i="16"/>
  <c r="T237" i="16"/>
  <c r="S237" i="16"/>
  <c r="Q237" i="16"/>
  <c r="P237" i="16"/>
  <c r="O237" i="16"/>
  <c r="C237" i="16"/>
  <c r="V236" i="16"/>
  <c r="Q236" i="16"/>
  <c r="O236" i="16"/>
  <c r="C236" i="16"/>
  <c r="P235" i="16"/>
  <c r="C235" i="16"/>
  <c r="W234" i="16"/>
  <c r="Q234" i="16"/>
  <c r="P234" i="16"/>
  <c r="O234" i="16"/>
  <c r="C234" i="16"/>
  <c r="W233" i="16"/>
  <c r="V233" i="16"/>
  <c r="U233" i="16"/>
  <c r="T233" i="16"/>
  <c r="S233" i="16"/>
  <c r="R233" i="16"/>
  <c r="C233" i="16"/>
  <c r="V232" i="16"/>
  <c r="P232" i="16"/>
  <c r="C232" i="16"/>
  <c r="C231" i="16"/>
  <c r="W230" i="16"/>
  <c r="C230" i="16"/>
  <c r="W229" i="16"/>
  <c r="V229" i="16"/>
  <c r="U229" i="16"/>
  <c r="T229" i="16"/>
  <c r="R229" i="16"/>
  <c r="O229" i="16"/>
  <c r="C229" i="16"/>
  <c r="C228" i="16"/>
  <c r="O228" i="16" s="1"/>
  <c r="V227" i="16"/>
  <c r="T227" i="16"/>
  <c r="R227" i="16"/>
  <c r="Q227" i="16"/>
  <c r="P227" i="16"/>
  <c r="O227" i="16"/>
  <c r="C227" i="16"/>
  <c r="V226" i="16"/>
  <c r="Q226" i="16"/>
  <c r="C226" i="16"/>
  <c r="W225" i="16"/>
  <c r="V225" i="16"/>
  <c r="U225" i="16"/>
  <c r="T225" i="16"/>
  <c r="R225" i="16"/>
  <c r="Q225" i="16"/>
  <c r="P225" i="16"/>
  <c r="O225" i="16"/>
  <c r="C225" i="16"/>
  <c r="S225" i="16" s="1"/>
  <c r="W224" i="16"/>
  <c r="V224" i="16"/>
  <c r="Q224" i="16"/>
  <c r="P224" i="16"/>
  <c r="O224" i="16"/>
  <c r="C224" i="16"/>
  <c r="W223" i="16"/>
  <c r="V223" i="16"/>
  <c r="T223" i="16"/>
  <c r="S223" i="16"/>
  <c r="R223" i="16"/>
  <c r="P223" i="16"/>
  <c r="C223" i="16"/>
  <c r="C222" i="16"/>
  <c r="W221" i="16"/>
  <c r="V221" i="16"/>
  <c r="T221" i="16"/>
  <c r="C221" i="16"/>
  <c r="W220" i="16"/>
  <c r="V220" i="16"/>
  <c r="P220" i="16"/>
  <c r="O220" i="16"/>
  <c r="C220" i="16"/>
  <c r="W219" i="16"/>
  <c r="V219" i="16"/>
  <c r="U219" i="16"/>
  <c r="S219" i="16"/>
  <c r="R219" i="16"/>
  <c r="Q219" i="16"/>
  <c r="P219" i="16"/>
  <c r="O219" i="16"/>
  <c r="C219" i="16"/>
  <c r="T219" i="16" s="1"/>
  <c r="V218" i="16"/>
  <c r="P218" i="16"/>
  <c r="O218" i="16"/>
  <c r="C218" i="16"/>
  <c r="V217" i="16"/>
  <c r="U217" i="16"/>
  <c r="T217" i="16"/>
  <c r="S217" i="16"/>
  <c r="R217" i="16"/>
  <c r="P217" i="16"/>
  <c r="C217" i="16"/>
  <c r="C216" i="16"/>
  <c r="T215" i="16"/>
  <c r="R215" i="16"/>
  <c r="C215" i="16"/>
  <c r="W214" i="16"/>
  <c r="V214" i="16"/>
  <c r="Q214" i="16"/>
  <c r="C214" i="16"/>
  <c r="U213" i="16"/>
  <c r="S213" i="16"/>
  <c r="R213" i="16"/>
  <c r="Q213" i="16"/>
  <c r="C213" i="16"/>
  <c r="C212" i="16"/>
  <c r="W211" i="16"/>
  <c r="V211" i="16"/>
  <c r="T211" i="16"/>
  <c r="S211" i="16"/>
  <c r="C211" i="16"/>
  <c r="W210" i="16"/>
  <c r="V210" i="16"/>
  <c r="P210" i="16"/>
  <c r="O210" i="16"/>
  <c r="C210" i="16"/>
  <c r="W209" i="16"/>
  <c r="S209" i="16"/>
  <c r="R209" i="16"/>
  <c r="Q209" i="16"/>
  <c r="O209" i="16"/>
  <c r="C209" i="16"/>
  <c r="W208" i="16"/>
  <c r="V208" i="16"/>
  <c r="O208" i="16"/>
  <c r="C208" i="16"/>
  <c r="S207" i="16"/>
  <c r="Q207" i="16"/>
  <c r="C207" i="16"/>
  <c r="W206" i="16"/>
  <c r="C206" i="16"/>
  <c r="V205" i="16"/>
  <c r="T205" i="16"/>
  <c r="C205" i="16"/>
  <c r="W204" i="16"/>
  <c r="C204" i="16"/>
  <c r="W203" i="16"/>
  <c r="U203" i="16"/>
  <c r="T203" i="16"/>
  <c r="S203" i="16"/>
  <c r="R203" i="16"/>
  <c r="Q203" i="16"/>
  <c r="C203" i="16"/>
  <c r="W202" i="16"/>
  <c r="V202" i="16"/>
  <c r="C202" i="16"/>
  <c r="U201" i="16"/>
  <c r="S201" i="16"/>
  <c r="C201" i="16"/>
  <c r="C200" i="16"/>
  <c r="V199" i="16"/>
  <c r="U199" i="16"/>
  <c r="C199" i="16"/>
  <c r="W198" i="16"/>
  <c r="Q198" i="16"/>
  <c r="P198" i="16"/>
  <c r="O198" i="16"/>
  <c r="C198" i="16"/>
  <c r="C197" i="16"/>
  <c r="T197" i="16" s="1"/>
  <c r="O196" i="16"/>
  <c r="C196" i="16"/>
  <c r="U195" i="16"/>
  <c r="Q195" i="16"/>
  <c r="O195" i="16"/>
  <c r="C195" i="16"/>
  <c r="W194" i="16"/>
  <c r="V194" i="16"/>
  <c r="Q194" i="16"/>
  <c r="P194" i="16"/>
  <c r="C194" i="16"/>
  <c r="W193" i="16"/>
  <c r="Q193" i="16"/>
  <c r="P193" i="16"/>
  <c r="C193" i="16"/>
  <c r="C192" i="16"/>
  <c r="W191" i="16"/>
  <c r="V191" i="16"/>
  <c r="U191" i="16"/>
  <c r="T191" i="16"/>
  <c r="S191" i="16"/>
  <c r="R191" i="16"/>
  <c r="Q191" i="16"/>
  <c r="P191" i="16"/>
  <c r="C191" i="16"/>
  <c r="O191" i="16" s="1"/>
  <c r="O190" i="16"/>
  <c r="C190" i="16"/>
  <c r="S189" i="16"/>
  <c r="C189" i="16"/>
  <c r="W188" i="16"/>
  <c r="V188" i="16"/>
  <c r="Q188" i="16"/>
  <c r="P188" i="16"/>
  <c r="O188" i="16"/>
  <c r="C188" i="16"/>
  <c r="S187" i="16"/>
  <c r="R187" i="16"/>
  <c r="P187" i="16"/>
  <c r="O187" i="16"/>
  <c r="C187" i="16"/>
  <c r="W186" i="16"/>
  <c r="V186" i="16"/>
  <c r="Q186" i="16"/>
  <c r="P186" i="16"/>
  <c r="C186" i="16"/>
  <c r="W185" i="16"/>
  <c r="V185" i="16"/>
  <c r="U185" i="16"/>
  <c r="T185" i="16"/>
  <c r="Q185" i="16"/>
  <c r="C185" i="16"/>
  <c r="C184" i="16"/>
  <c r="W183" i="16"/>
  <c r="V183" i="16"/>
  <c r="U183" i="16"/>
  <c r="S183" i="16"/>
  <c r="R183" i="16"/>
  <c r="Q183" i="16"/>
  <c r="P183" i="16"/>
  <c r="C183" i="16"/>
  <c r="O183" i="16" s="1"/>
  <c r="V182" i="16"/>
  <c r="Q182" i="16"/>
  <c r="P182" i="16"/>
  <c r="C182" i="16"/>
  <c r="P181" i="16"/>
  <c r="O181" i="16"/>
  <c r="C181" i="16"/>
  <c r="W180" i="16"/>
  <c r="V180" i="16"/>
  <c r="P180" i="16"/>
  <c r="O180" i="16"/>
  <c r="C180" i="16"/>
  <c r="V179" i="16"/>
  <c r="U179" i="16"/>
  <c r="T179" i="16"/>
  <c r="O179" i="16"/>
  <c r="C179" i="16"/>
  <c r="C178" i="16"/>
  <c r="C177" i="16"/>
  <c r="O176" i="16"/>
  <c r="C176" i="16"/>
  <c r="W175" i="16"/>
  <c r="V175" i="16"/>
  <c r="U175" i="16"/>
  <c r="T175" i="16"/>
  <c r="R175" i="16"/>
  <c r="Q175" i="16"/>
  <c r="P175" i="16"/>
  <c r="O175" i="16"/>
  <c r="C175" i="16"/>
  <c r="S175" i="16" s="1"/>
  <c r="W174" i="16"/>
  <c r="V174" i="16"/>
  <c r="Q174" i="16"/>
  <c r="P174" i="16"/>
  <c r="O174" i="16"/>
  <c r="C174" i="16"/>
  <c r="T173" i="16"/>
  <c r="S173" i="16"/>
  <c r="R173" i="16"/>
  <c r="Q173" i="16"/>
  <c r="P173" i="16"/>
  <c r="C173" i="16"/>
  <c r="W172" i="16"/>
  <c r="V172" i="16"/>
  <c r="Q172" i="16"/>
  <c r="P172" i="16"/>
  <c r="C172" i="16"/>
  <c r="C171" i="16"/>
  <c r="C170" i="16"/>
  <c r="W169" i="16"/>
  <c r="V169" i="16"/>
  <c r="U169" i="16"/>
  <c r="S169" i="16"/>
  <c r="R169" i="16"/>
  <c r="P169" i="16"/>
  <c r="O169" i="16"/>
  <c r="C169" i="16"/>
  <c r="T169" i="16" s="1"/>
  <c r="C168" i="16"/>
  <c r="C167" i="16"/>
  <c r="Q167" i="16" s="1"/>
  <c r="C166" i="16"/>
  <c r="W165" i="16"/>
  <c r="Q165" i="16"/>
  <c r="P165" i="16"/>
  <c r="O165" i="16"/>
  <c r="C165" i="16"/>
  <c r="V164" i="16"/>
  <c r="C164" i="16"/>
  <c r="O164" i="16" s="1"/>
  <c r="W163" i="16"/>
  <c r="V163" i="16"/>
  <c r="U163" i="16"/>
  <c r="T163" i="16"/>
  <c r="S163" i="16"/>
  <c r="R163" i="16"/>
  <c r="Q163" i="16"/>
  <c r="C163" i="16"/>
  <c r="O163" i="16" s="1"/>
  <c r="Q162" i="16"/>
  <c r="P162" i="16"/>
  <c r="O162" i="16"/>
  <c r="C162" i="16"/>
  <c r="V161" i="16"/>
  <c r="R161" i="16"/>
  <c r="Q161" i="16"/>
  <c r="P161" i="16"/>
  <c r="C161" i="16"/>
  <c r="W160" i="16"/>
  <c r="V160" i="16"/>
  <c r="P160" i="16"/>
  <c r="C160" i="16"/>
  <c r="T159" i="16"/>
  <c r="S159" i="16"/>
  <c r="R159" i="16"/>
  <c r="C159" i="16"/>
  <c r="W158" i="16"/>
  <c r="V158" i="16"/>
  <c r="C158" i="16"/>
  <c r="V157" i="16"/>
  <c r="U157" i="16"/>
  <c r="T157" i="16"/>
  <c r="C157" i="16"/>
  <c r="W156" i="16"/>
  <c r="V156" i="16"/>
  <c r="P156" i="16"/>
  <c r="O156" i="16"/>
  <c r="C156" i="16"/>
  <c r="V155" i="16"/>
  <c r="U155" i="16"/>
  <c r="R155" i="16"/>
  <c r="Q155" i="16"/>
  <c r="C155" i="16"/>
  <c r="O154" i="16"/>
  <c r="C154" i="16"/>
  <c r="C153" i="16"/>
  <c r="U153" i="16" s="1"/>
  <c r="C152" i="16"/>
  <c r="O151" i="16"/>
  <c r="C151" i="16"/>
  <c r="C150" i="16"/>
  <c r="W149" i="16"/>
  <c r="V149" i="16"/>
  <c r="U149" i="16"/>
  <c r="T149" i="16"/>
  <c r="S149" i="16"/>
  <c r="R149" i="16"/>
  <c r="C149" i="16"/>
  <c r="Q149" i="16" s="1"/>
  <c r="W148" i="16"/>
  <c r="Q148" i="16"/>
  <c r="P148" i="16"/>
  <c r="O148" i="16"/>
  <c r="C148" i="16"/>
  <c r="T147" i="16"/>
  <c r="S147" i="16"/>
  <c r="R147" i="16"/>
  <c r="Q147" i="16"/>
  <c r="C147" i="16"/>
  <c r="W146" i="16"/>
  <c r="V146" i="16"/>
  <c r="C146" i="16"/>
  <c r="V145" i="16"/>
  <c r="U145" i="16"/>
  <c r="T145" i="16"/>
  <c r="R145" i="16"/>
  <c r="Q145" i="16"/>
  <c r="P145" i="16"/>
  <c r="O145" i="16"/>
  <c r="C145" i="16"/>
  <c r="C144" i="16"/>
  <c r="C143" i="16"/>
  <c r="C142" i="16"/>
  <c r="W141" i="16"/>
  <c r="V141" i="16"/>
  <c r="U141" i="16"/>
  <c r="T141" i="16"/>
  <c r="S141" i="16"/>
  <c r="R141" i="16"/>
  <c r="Q141" i="16"/>
  <c r="P141" i="16"/>
  <c r="C141" i="16"/>
  <c r="O141" i="16" s="1"/>
  <c r="C140" i="16"/>
  <c r="C139" i="16"/>
  <c r="W138" i="16"/>
  <c r="V138" i="16"/>
  <c r="Q138" i="16"/>
  <c r="P138" i="16"/>
  <c r="O138" i="16"/>
  <c r="C138" i="16"/>
  <c r="Q137" i="16"/>
  <c r="C137" i="16"/>
  <c r="C136" i="16"/>
  <c r="W135" i="16"/>
  <c r="V135" i="16"/>
  <c r="U135" i="16"/>
  <c r="C135" i="16"/>
  <c r="V134" i="16"/>
  <c r="P134" i="16"/>
  <c r="O134" i="16"/>
  <c r="C134" i="16"/>
  <c r="W133" i="16"/>
  <c r="T133" i="16"/>
  <c r="R133" i="16"/>
  <c r="C133" i="16"/>
  <c r="C132" i="16"/>
  <c r="S131" i="16"/>
  <c r="R131" i="16"/>
  <c r="Q131" i="16"/>
  <c r="O131" i="16"/>
  <c r="C131" i="16"/>
  <c r="W130" i="16"/>
  <c r="V130" i="16"/>
  <c r="P130" i="16"/>
  <c r="O130" i="16"/>
  <c r="C130" i="16"/>
  <c r="R129" i="16"/>
  <c r="O129" i="16"/>
  <c r="C129" i="16"/>
  <c r="W128" i="16"/>
  <c r="V128" i="16"/>
  <c r="O128" i="16"/>
  <c r="C128" i="16"/>
  <c r="V127" i="16"/>
  <c r="U127" i="16"/>
  <c r="T127" i="16"/>
  <c r="R127" i="16"/>
  <c r="C127" i="16"/>
  <c r="W126" i="16"/>
  <c r="P126" i="16"/>
  <c r="C126" i="16"/>
  <c r="W125" i="16"/>
  <c r="V125" i="16"/>
  <c r="U125" i="16"/>
  <c r="T125" i="16"/>
  <c r="R125" i="16"/>
  <c r="Q125" i="16"/>
  <c r="P125" i="16"/>
  <c r="O125" i="16"/>
  <c r="C125" i="16"/>
  <c r="S125" i="16" s="1"/>
  <c r="W124" i="16"/>
  <c r="C124" i="16"/>
  <c r="Q123" i="16"/>
  <c r="C123" i="16"/>
  <c r="C122" i="16"/>
  <c r="C121" i="16"/>
  <c r="O121" i="16" s="1"/>
  <c r="V120" i="16"/>
  <c r="P120" i="16"/>
  <c r="O120" i="16"/>
  <c r="C120" i="16"/>
  <c r="W119" i="16"/>
  <c r="V119" i="16"/>
  <c r="U119" i="16"/>
  <c r="S119" i="16"/>
  <c r="R119" i="16"/>
  <c r="Q119" i="16"/>
  <c r="C119" i="16"/>
  <c r="T119" i="16" s="1"/>
  <c r="C118" i="16"/>
  <c r="Q118" i="16" s="1"/>
  <c r="U117" i="16"/>
  <c r="C117" i="16"/>
  <c r="W116" i="16"/>
  <c r="V116" i="16"/>
  <c r="Q116" i="16"/>
  <c r="C116" i="16"/>
  <c r="U115" i="16"/>
  <c r="Q115" i="16"/>
  <c r="C115" i="16"/>
  <c r="C114" i="16"/>
  <c r="V113" i="16"/>
  <c r="U113" i="16"/>
  <c r="P113" i="16"/>
  <c r="C113" i="16"/>
  <c r="V112" i="16"/>
  <c r="Q112" i="16"/>
  <c r="P112" i="16"/>
  <c r="O112" i="16"/>
  <c r="C112" i="16"/>
  <c r="W111" i="16"/>
  <c r="V111" i="16"/>
  <c r="T111" i="16"/>
  <c r="S111" i="16"/>
  <c r="R111" i="16"/>
  <c r="Q111" i="16"/>
  <c r="P111" i="16"/>
  <c r="O111" i="16"/>
  <c r="C111" i="16"/>
  <c r="U111" i="16" s="1"/>
  <c r="C110" i="16"/>
  <c r="W109" i="16"/>
  <c r="V109" i="16"/>
  <c r="T109" i="16"/>
  <c r="S109" i="16"/>
  <c r="R109" i="16"/>
  <c r="Q109" i="16"/>
  <c r="C109" i="16"/>
  <c r="P109" i="16" s="1"/>
  <c r="W108" i="16"/>
  <c r="V108" i="16"/>
  <c r="Q108" i="16"/>
  <c r="P108" i="16"/>
  <c r="O108" i="16"/>
  <c r="C108" i="16"/>
  <c r="C107" i="16"/>
  <c r="T106" i="16"/>
  <c r="C106" i="16"/>
  <c r="V105" i="16"/>
  <c r="C105" i="16"/>
  <c r="C104" i="16"/>
  <c r="S104" i="16" s="1"/>
  <c r="U103" i="16"/>
  <c r="C103" i="16"/>
  <c r="C102" i="16"/>
  <c r="V101" i="16"/>
  <c r="C101" i="16"/>
  <c r="Q100" i="16"/>
  <c r="P100" i="16"/>
  <c r="O100" i="16"/>
  <c r="C100" i="16"/>
  <c r="V99" i="16"/>
  <c r="U99" i="16"/>
  <c r="T99" i="16"/>
  <c r="S99" i="16"/>
  <c r="R99" i="16"/>
  <c r="Q99" i="16"/>
  <c r="P99" i="16"/>
  <c r="C99" i="16"/>
  <c r="W99" i="16" s="1"/>
  <c r="V98" i="16"/>
  <c r="T98" i="16"/>
  <c r="S98" i="16"/>
  <c r="R98" i="16"/>
  <c r="O98" i="16"/>
  <c r="C98" i="16"/>
  <c r="C97" i="16"/>
  <c r="T96" i="16"/>
  <c r="S96" i="16"/>
  <c r="R96" i="16"/>
  <c r="Q96" i="16"/>
  <c r="O96" i="16"/>
  <c r="C96" i="16"/>
  <c r="C95" i="16"/>
  <c r="W94" i="16"/>
  <c r="C94" i="16"/>
  <c r="C93" i="16"/>
  <c r="W92" i="16"/>
  <c r="V92" i="16"/>
  <c r="U92" i="16"/>
  <c r="T92" i="16"/>
  <c r="S92" i="16"/>
  <c r="R92" i="16"/>
  <c r="Q92" i="16"/>
  <c r="P92" i="16"/>
  <c r="O92" i="16"/>
  <c r="C92" i="16"/>
  <c r="V91" i="16"/>
  <c r="U91" i="16"/>
  <c r="T91" i="16"/>
  <c r="S91" i="16"/>
  <c r="R91" i="16"/>
  <c r="Q91" i="16"/>
  <c r="P91" i="16"/>
  <c r="O91" i="16"/>
  <c r="C91" i="16"/>
  <c r="W91" i="16" s="1"/>
  <c r="W90" i="16"/>
  <c r="U90" i="16"/>
  <c r="O90" i="16"/>
  <c r="C90" i="16"/>
  <c r="Q89" i="16"/>
  <c r="C89" i="16"/>
  <c r="W88" i="16"/>
  <c r="V88" i="16"/>
  <c r="U88" i="16"/>
  <c r="T88" i="16"/>
  <c r="S88" i="16"/>
  <c r="R88" i="16"/>
  <c r="Q88" i="16"/>
  <c r="C88" i="16"/>
  <c r="P88" i="16" s="1"/>
  <c r="C87" i="16"/>
  <c r="S87" i="16" s="1"/>
  <c r="W86" i="16"/>
  <c r="V86" i="16"/>
  <c r="U86" i="16"/>
  <c r="T86" i="16"/>
  <c r="S86" i="16"/>
  <c r="R86" i="16"/>
  <c r="Q86" i="16"/>
  <c r="P86" i="16"/>
  <c r="O86" i="16"/>
  <c r="C86" i="16"/>
  <c r="C85" i="16"/>
  <c r="W84" i="16"/>
  <c r="V84" i="16"/>
  <c r="T84" i="16"/>
  <c r="S84" i="16"/>
  <c r="R84" i="16"/>
  <c r="P84" i="16"/>
  <c r="O84" i="16"/>
  <c r="C84" i="16"/>
  <c r="C83" i="16"/>
  <c r="S82" i="16"/>
  <c r="R82" i="16"/>
  <c r="C82" i="16"/>
  <c r="C81" i="16"/>
  <c r="U81" i="16" s="1"/>
  <c r="W80" i="16"/>
  <c r="V80" i="16"/>
  <c r="S80" i="16"/>
  <c r="R80" i="16"/>
  <c r="Q80" i="16"/>
  <c r="P80" i="16"/>
  <c r="C80" i="16"/>
  <c r="U80" i="16" s="1"/>
  <c r="V79" i="16"/>
  <c r="U79" i="16"/>
  <c r="T79" i="16"/>
  <c r="S79" i="16"/>
  <c r="R79" i="16"/>
  <c r="C79" i="16"/>
  <c r="W78" i="16"/>
  <c r="V78" i="16"/>
  <c r="U78" i="16"/>
  <c r="T78" i="16"/>
  <c r="S78" i="16"/>
  <c r="R78" i="16"/>
  <c r="P78" i="16"/>
  <c r="C78" i="16"/>
  <c r="Q78" i="16" s="1"/>
  <c r="V77" i="16"/>
  <c r="U77" i="16"/>
  <c r="T77" i="16"/>
  <c r="S77" i="16"/>
  <c r="R77" i="16"/>
  <c r="Q77" i="16"/>
  <c r="O77" i="16"/>
  <c r="C77" i="16"/>
  <c r="C76" i="16"/>
  <c r="R76" i="16" s="1"/>
  <c r="U75" i="16"/>
  <c r="C75" i="16"/>
  <c r="S74" i="16"/>
  <c r="R74" i="16"/>
  <c r="Q74" i="16"/>
  <c r="P74" i="16"/>
  <c r="O74" i="16"/>
  <c r="C74" i="16"/>
  <c r="C73" i="16"/>
  <c r="W73" i="16" s="1"/>
  <c r="V72" i="16"/>
  <c r="R72" i="16"/>
  <c r="Q72" i="16"/>
  <c r="P72" i="16"/>
  <c r="C72" i="16"/>
  <c r="W71" i="16"/>
  <c r="V71" i="16"/>
  <c r="U71" i="16"/>
  <c r="T71" i="16"/>
  <c r="R71" i="16"/>
  <c r="Q71" i="16"/>
  <c r="P71" i="16"/>
  <c r="C71" i="16"/>
  <c r="O71" i="16" s="1"/>
  <c r="V70" i="16"/>
  <c r="U70" i="16"/>
  <c r="Q70" i="16"/>
  <c r="P70" i="16"/>
  <c r="C70" i="16"/>
  <c r="C69" i="16"/>
  <c r="U69" i="16" s="1"/>
  <c r="C68" i="16"/>
  <c r="W67" i="16"/>
  <c r="V67" i="16"/>
  <c r="U67" i="16"/>
  <c r="S67" i="16"/>
  <c r="R67" i="16"/>
  <c r="Q67" i="16"/>
  <c r="P67" i="16"/>
  <c r="C67" i="16"/>
  <c r="O67" i="16" s="1"/>
  <c r="C66" i="16"/>
  <c r="W65" i="16"/>
  <c r="U65" i="16"/>
  <c r="T65" i="16"/>
  <c r="S65" i="16"/>
  <c r="R65" i="16"/>
  <c r="Q65" i="16"/>
  <c r="P65" i="16"/>
  <c r="C65" i="16"/>
  <c r="V64" i="16"/>
  <c r="T64" i="16"/>
  <c r="C64" i="16"/>
  <c r="W63" i="16"/>
  <c r="V63" i="16"/>
  <c r="U63" i="16"/>
  <c r="S63" i="16"/>
  <c r="Q63" i="16"/>
  <c r="P63" i="16"/>
  <c r="C63" i="16"/>
  <c r="W62" i="16"/>
  <c r="V62" i="16"/>
  <c r="U62" i="16"/>
  <c r="T62" i="16"/>
  <c r="S62" i="16"/>
  <c r="R62" i="16"/>
  <c r="Q62" i="16"/>
  <c r="C62" i="16"/>
  <c r="P62" i="16" s="1"/>
  <c r="W61" i="16"/>
  <c r="V61" i="16"/>
  <c r="U61" i="16"/>
  <c r="T61" i="16"/>
  <c r="S61" i="16"/>
  <c r="R61" i="16"/>
  <c r="Q61" i="16"/>
  <c r="P61" i="16"/>
  <c r="C61" i="16"/>
  <c r="O61" i="16" s="1"/>
  <c r="W60" i="16"/>
  <c r="V60" i="16"/>
  <c r="U60" i="16"/>
  <c r="T60" i="16"/>
  <c r="S60" i="16"/>
  <c r="R60" i="16"/>
  <c r="Q60" i="16"/>
  <c r="P60" i="16"/>
  <c r="C60" i="16"/>
  <c r="O60" i="16" s="1"/>
  <c r="C59" i="16"/>
  <c r="W58" i="16"/>
  <c r="V58" i="16"/>
  <c r="U58" i="16"/>
  <c r="T58" i="16"/>
  <c r="S58" i="16"/>
  <c r="R58" i="16"/>
  <c r="Q58" i="16"/>
  <c r="P58" i="16"/>
  <c r="O58" i="16"/>
  <c r="C58" i="16"/>
  <c r="T57" i="16"/>
  <c r="S57" i="16"/>
  <c r="R57" i="16"/>
  <c r="Q57" i="16"/>
  <c r="C57" i="16"/>
  <c r="W56" i="16"/>
  <c r="V56" i="16"/>
  <c r="U56" i="16"/>
  <c r="T56" i="16"/>
  <c r="Q56" i="16"/>
  <c r="P56" i="16"/>
  <c r="O56" i="16"/>
  <c r="C56" i="16"/>
  <c r="R56" i="16" s="1"/>
  <c r="T55" i="16"/>
  <c r="S55" i="16"/>
  <c r="R55" i="16"/>
  <c r="Q55" i="16"/>
  <c r="C55" i="16"/>
  <c r="W54" i="16"/>
  <c r="V54" i="16"/>
  <c r="U54" i="16"/>
  <c r="T54" i="16"/>
  <c r="S54" i="16"/>
  <c r="R54" i="16"/>
  <c r="Q54" i="16"/>
  <c r="P54" i="16"/>
  <c r="O54" i="16"/>
  <c r="C54" i="16"/>
  <c r="C53" i="16"/>
  <c r="R53" i="16" s="1"/>
  <c r="W52" i="16"/>
  <c r="V52" i="16"/>
  <c r="C52" i="16"/>
  <c r="V51" i="16"/>
  <c r="C51" i="16"/>
  <c r="W50" i="16"/>
  <c r="V50" i="16"/>
  <c r="C50" i="16"/>
  <c r="C49" i="16"/>
  <c r="P49" i="16" s="1"/>
  <c r="V48" i="16"/>
  <c r="T48" i="16"/>
  <c r="C48" i="16"/>
  <c r="W47" i="16"/>
  <c r="U47" i="16"/>
  <c r="Q47" i="16"/>
  <c r="P47" i="16"/>
  <c r="O47" i="16"/>
  <c r="C47" i="16"/>
  <c r="C46" i="16"/>
  <c r="W45" i="16"/>
  <c r="V45" i="16"/>
  <c r="U45" i="16"/>
  <c r="Q45" i="16"/>
  <c r="P45" i="16"/>
  <c r="C45" i="16"/>
  <c r="W44" i="16"/>
  <c r="U44" i="16"/>
  <c r="R44" i="16"/>
  <c r="P44" i="16"/>
  <c r="O44" i="16"/>
  <c r="C44" i="16"/>
  <c r="C43" i="16"/>
  <c r="V43" i="16" s="1"/>
  <c r="W42" i="16"/>
  <c r="V42" i="16"/>
  <c r="U42" i="16"/>
  <c r="T42" i="16"/>
  <c r="S42" i="16"/>
  <c r="R42" i="16"/>
  <c r="Q42" i="16"/>
  <c r="P42" i="16"/>
  <c r="O42" i="16"/>
  <c r="C42" i="16"/>
  <c r="W41" i="16"/>
  <c r="V41" i="16"/>
  <c r="U41" i="16"/>
  <c r="P41" i="16"/>
  <c r="O41" i="16"/>
  <c r="C41" i="16"/>
  <c r="S40" i="16"/>
  <c r="P40" i="16"/>
  <c r="C40" i="16"/>
  <c r="Q39" i="16"/>
  <c r="P39" i="16"/>
  <c r="O39" i="16"/>
  <c r="C39" i="16"/>
  <c r="W38" i="16"/>
  <c r="V38" i="16"/>
  <c r="U38" i="16"/>
  <c r="T38" i="16"/>
  <c r="S38" i="16"/>
  <c r="R38" i="16"/>
  <c r="Q38" i="16"/>
  <c r="P38" i="16"/>
  <c r="O38" i="16"/>
  <c r="C38" i="16"/>
  <c r="W37" i="16"/>
  <c r="V37" i="16"/>
  <c r="U37" i="16"/>
  <c r="Q37" i="16"/>
  <c r="C37" i="16"/>
  <c r="V36" i="16"/>
  <c r="U36" i="16"/>
  <c r="T36" i="16"/>
  <c r="C36" i="16"/>
  <c r="W35" i="16"/>
  <c r="V35" i="16"/>
  <c r="U35" i="16"/>
  <c r="P35" i="16"/>
  <c r="O35" i="16"/>
  <c r="C35" i="16"/>
  <c r="C34" i="16"/>
  <c r="W33" i="16"/>
  <c r="V33" i="16"/>
  <c r="Q33" i="16"/>
  <c r="P33" i="16"/>
  <c r="C33" i="16"/>
  <c r="C32" i="16"/>
  <c r="O32" i="16" s="1"/>
  <c r="W31" i="16"/>
  <c r="V31" i="16"/>
  <c r="Q31" i="16"/>
  <c r="P31" i="16"/>
  <c r="O31" i="16"/>
  <c r="C31" i="16"/>
  <c r="C30" i="16"/>
  <c r="V29" i="16"/>
  <c r="U29" i="16"/>
  <c r="Q29" i="16"/>
  <c r="P29" i="16"/>
  <c r="O29" i="16"/>
  <c r="C29" i="16"/>
  <c r="W28" i="16"/>
  <c r="V28" i="16"/>
  <c r="U28" i="16"/>
  <c r="T28" i="16"/>
  <c r="S28" i="16"/>
  <c r="R28" i="16"/>
  <c r="Q28" i="16"/>
  <c r="P28" i="16"/>
  <c r="C28" i="16"/>
  <c r="O28" i="16" s="1"/>
  <c r="C27" i="16"/>
  <c r="U26" i="16"/>
  <c r="C26" i="16"/>
  <c r="W25" i="16"/>
  <c r="V25" i="16"/>
  <c r="P25" i="16"/>
  <c r="O25" i="16"/>
  <c r="C25" i="16"/>
  <c r="C24" i="16"/>
  <c r="W23" i="16"/>
  <c r="V23" i="16"/>
  <c r="U23" i="16"/>
  <c r="Q23" i="16"/>
  <c r="P23" i="16"/>
  <c r="O23" i="16"/>
  <c r="C23" i="16"/>
  <c r="V22" i="16"/>
  <c r="P22" i="16"/>
  <c r="O22" i="16"/>
  <c r="C22" i="16"/>
  <c r="C21" i="16"/>
  <c r="W20" i="16"/>
  <c r="V20" i="16"/>
  <c r="S20" i="16"/>
  <c r="R20" i="16"/>
  <c r="Q20" i="16"/>
  <c r="P20" i="16"/>
  <c r="C20" i="16"/>
  <c r="U20" i="16" s="1"/>
  <c r="C19" i="16"/>
  <c r="W18" i="16"/>
  <c r="U18" i="16"/>
  <c r="C18" i="16"/>
  <c r="P17" i="16"/>
  <c r="O17" i="16"/>
  <c r="C17" i="16"/>
  <c r="C16" i="16"/>
  <c r="U16" i="16" s="1"/>
  <c r="W15" i="16"/>
  <c r="U15" i="16"/>
  <c r="Q15" i="16"/>
  <c r="P15" i="16"/>
  <c r="O15" i="16"/>
  <c r="C15" i="16"/>
  <c r="V14" i="16"/>
  <c r="U14" i="16"/>
  <c r="T14" i="16"/>
  <c r="S14" i="16"/>
  <c r="Q14" i="16"/>
  <c r="P14" i="16"/>
  <c r="O14" i="16"/>
  <c r="C14" i="16"/>
  <c r="W14" i="16" s="1"/>
  <c r="W13" i="16"/>
  <c r="U13" i="16"/>
  <c r="C13" i="16"/>
  <c r="C12" i="16"/>
  <c r="V12" i="16" s="1"/>
  <c r="W11" i="16"/>
  <c r="V11" i="16"/>
  <c r="U11" i="16"/>
  <c r="R11" i="16"/>
  <c r="Q11" i="16"/>
  <c r="P11" i="16"/>
  <c r="O11" i="16"/>
  <c r="C11" i="16"/>
  <c r="V10" i="16"/>
  <c r="T10" i="16"/>
  <c r="Q10" i="16"/>
  <c r="C10" i="16"/>
  <c r="C9" i="16"/>
  <c r="S9" i="16" s="1"/>
  <c r="C8" i="16"/>
  <c r="T8" i="16" s="1"/>
  <c r="V7" i="16"/>
  <c r="R7" i="16"/>
  <c r="C7" i="16"/>
  <c r="U6" i="16"/>
  <c r="S6" i="16"/>
  <c r="P6" i="16"/>
  <c r="O6" i="16"/>
  <c r="C6" i="16"/>
  <c r="V5" i="16"/>
  <c r="U5" i="16"/>
  <c r="T5" i="16"/>
  <c r="S5" i="16"/>
  <c r="R5" i="16"/>
  <c r="Q5" i="16"/>
  <c r="P5" i="16"/>
  <c r="C5" i="16"/>
  <c r="W5" i="16" s="1"/>
  <c r="C4" i="16"/>
  <c r="T4" i="16" s="1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2" i="13"/>
  <c r="G11" i="13"/>
  <c r="G10" i="13"/>
  <c r="G9" i="13"/>
  <c r="G8" i="13"/>
  <c r="G7" i="13"/>
  <c r="G6" i="13"/>
  <c r="W93" i="16" l="1"/>
  <c r="O93" i="16"/>
  <c r="Q93" i="16"/>
  <c r="P93" i="16"/>
  <c r="V93" i="16"/>
  <c r="T93" i="16"/>
  <c r="U93" i="16"/>
  <c r="R93" i="16"/>
  <c r="O4" i="16"/>
  <c r="W177" i="16"/>
  <c r="S177" i="16"/>
  <c r="U177" i="16"/>
  <c r="P177" i="16"/>
  <c r="V177" i="16"/>
  <c r="T177" i="16"/>
  <c r="R177" i="16"/>
  <c r="Q177" i="16"/>
  <c r="Q104" i="16"/>
  <c r="U222" i="16"/>
  <c r="T222" i="16"/>
  <c r="S222" i="16"/>
  <c r="R222" i="16"/>
  <c r="O222" i="16"/>
  <c r="W222" i="16"/>
  <c r="V222" i="16"/>
  <c r="Q222" i="16"/>
  <c r="P222" i="16"/>
  <c r="U152" i="16"/>
  <c r="T152" i="16"/>
  <c r="S152" i="16"/>
  <c r="R152" i="16"/>
  <c r="Q152" i="16"/>
  <c r="W152" i="16"/>
  <c r="P152" i="16"/>
  <c r="O177" i="16"/>
  <c r="S4" i="16"/>
  <c r="T19" i="16"/>
  <c r="S19" i="16"/>
  <c r="R19" i="16"/>
  <c r="P19" i="16"/>
  <c r="W19" i="16"/>
  <c r="V19" i="16"/>
  <c r="O152" i="16"/>
  <c r="U178" i="16"/>
  <c r="T178" i="16"/>
  <c r="S178" i="16"/>
  <c r="R178" i="16"/>
  <c r="Q178" i="16"/>
  <c r="P178" i="16"/>
  <c r="V178" i="16"/>
  <c r="W178" i="16"/>
  <c r="O19" i="16"/>
  <c r="O76" i="16"/>
  <c r="Q87" i="16"/>
  <c r="W95" i="16"/>
  <c r="T95" i="16"/>
  <c r="V95" i="16"/>
  <c r="S95" i="16"/>
  <c r="Q95" i="16"/>
  <c r="P95" i="16"/>
  <c r="V152" i="16"/>
  <c r="O178" i="16"/>
  <c r="V231" i="16"/>
  <c r="W231" i="16"/>
  <c r="U231" i="16"/>
  <c r="Q231" i="16"/>
  <c r="T231" i="16"/>
  <c r="R231" i="16"/>
  <c r="Q19" i="16"/>
  <c r="Q76" i="16"/>
  <c r="O95" i="16"/>
  <c r="U110" i="16"/>
  <c r="T110" i="16"/>
  <c r="S110" i="16"/>
  <c r="R110" i="16"/>
  <c r="Q110" i="16"/>
  <c r="W110" i="16"/>
  <c r="V110" i="16"/>
  <c r="P110" i="16"/>
  <c r="U114" i="16"/>
  <c r="T114" i="16"/>
  <c r="S114" i="16"/>
  <c r="R114" i="16"/>
  <c r="P114" i="16"/>
  <c r="V114" i="16"/>
  <c r="W114" i="16"/>
  <c r="Q114" i="16"/>
  <c r="O231" i="16"/>
  <c r="U19" i="16"/>
  <c r="R95" i="16"/>
  <c r="O110" i="16"/>
  <c r="O114" i="16"/>
  <c r="U136" i="16"/>
  <c r="T136" i="16"/>
  <c r="S136" i="16"/>
  <c r="R136" i="16"/>
  <c r="W136" i="16"/>
  <c r="Q136" i="16"/>
  <c r="O136" i="16"/>
  <c r="P136" i="16"/>
  <c r="P231" i="16"/>
  <c r="O253" i="16"/>
  <c r="V253" i="16"/>
  <c r="T253" i="16"/>
  <c r="R253" i="16"/>
  <c r="Q253" i="16"/>
  <c r="P253" i="16"/>
  <c r="S253" i="16"/>
  <c r="T7" i="16"/>
  <c r="Q7" i="16"/>
  <c r="U7" i="16"/>
  <c r="O7" i="16"/>
  <c r="W7" i="16"/>
  <c r="S7" i="16"/>
  <c r="O51" i="16"/>
  <c r="U51" i="16"/>
  <c r="T51" i="16"/>
  <c r="S51" i="16"/>
  <c r="Q51" i="16"/>
  <c r="P51" i="16"/>
  <c r="W51" i="16"/>
  <c r="U95" i="16"/>
  <c r="U106" i="16"/>
  <c r="O106" i="16"/>
  <c r="W106" i="16"/>
  <c r="V106" i="16"/>
  <c r="S106" i="16"/>
  <c r="Q106" i="16"/>
  <c r="P106" i="16"/>
  <c r="V136" i="16"/>
  <c r="U142" i="16"/>
  <c r="T142" i="16"/>
  <c r="S142" i="16"/>
  <c r="R142" i="16"/>
  <c r="W142" i="16"/>
  <c r="Q142" i="16"/>
  <c r="O142" i="16"/>
  <c r="P142" i="16"/>
  <c r="U204" i="16"/>
  <c r="T204" i="16"/>
  <c r="S204" i="16"/>
  <c r="R204" i="16"/>
  <c r="V204" i="16"/>
  <c r="Q204" i="16"/>
  <c r="P204" i="16"/>
  <c r="S231" i="16"/>
  <c r="U253" i="16"/>
  <c r="P7" i="16"/>
  <c r="V24" i="16"/>
  <c r="U24" i="16"/>
  <c r="P24" i="16"/>
  <c r="W24" i="16"/>
  <c r="R24" i="16"/>
  <c r="O24" i="16"/>
  <c r="T24" i="16"/>
  <c r="S24" i="16"/>
  <c r="Q24" i="16"/>
  <c r="R51" i="16"/>
  <c r="R106" i="16"/>
  <c r="U126" i="16"/>
  <c r="T126" i="16"/>
  <c r="S126" i="16"/>
  <c r="R126" i="16"/>
  <c r="V126" i="16"/>
  <c r="Q126" i="16"/>
  <c r="O126" i="16"/>
  <c r="T131" i="16"/>
  <c r="U131" i="16"/>
  <c r="P131" i="16"/>
  <c r="W131" i="16"/>
  <c r="V131" i="16"/>
  <c r="W137" i="16"/>
  <c r="V137" i="16"/>
  <c r="U137" i="16"/>
  <c r="P137" i="16"/>
  <c r="O137" i="16"/>
  <c r="T137" i="16"/>
  <c r="S137" i="16"/>
  <c r="R137" i="16"/>
  <c r="V142" i="16"/>
  <c r="S155" i="16"/>
  <c r="P155" i="16"/>
  <c r="O155" i="16"/>
  <c r="T155" i="16"/>
  <c r="W155" i="16"/>
  <c r="O204" i="16"/>
  <c r="W247" i="16"/>
  <c r="U247" i="16"/>
  <c r="O247" i="16"/>
  <c r="R247" i="16"/>
  <c r="Q247" i="16"/>
  <c r="W253" i="16"/>
  <c r="S93" i="16"/>
  <c r="T49" i="16"/>
  <c r="S49" i="16"/>
  <c r="R49" i="16"/>
  <c r="W49" i="16"/>
  <c r="U49" i="16"/>
  <c r="Q49" i="16"/>
  <c r="V49" i="16"/>
  <c r="O49" i="16"/>
  <c r="O143" i="16"/>
  <c r="R143" i="16"/>
  <c r="U143" i="16"/>
  <c r="T143" i="16"/>
  <c r="S143" i="16"/>
  <c r="Q143" i="16"/>
  <c r="V143" i="16"/>
  <c r="P143" i="16"/>
  <c r="W143" i="16"/>
  <c r="U170" i="16"/>
  <c r="T170" i="16"/>
  <c r="S170" i="16"/>
  <c r="R170" i="16"/>
  <c r="Q170" i="16"/>
  <c r="V170" i="16"/>
  <c r="W170" i="16"/>
  <c r="Q12" i="16"/>
  <c r="U122" i="16"/>
  <c r="T122" i="16"/>
  <c r="S122" i="16"/>
  <c r="R122" i="16"/>
  <c r="O122" i="16"/>
  <c r="W122" i="16"/>
  <c r="V122" i="16"/>
  <c r="R171" i="16"/>
  <c r="Q171" i="16"/>
  <c r="P171" i="16"/>
  <c r="O171" i="16"/>
  <c r="W171" i="16"/>
  <c r="V171" i="16"/>
  <c r="T171" i="16"/>
  <c r="U171" i="16"/>
  <c r="S171" i="16"/>
  <c r="P9" i="16"/>
  <c r="S12" i="16"/>
  <c r="T16" i="16"/>
  <c r="T26" i="16"/>
  <c r="P26" i="16"/>
  <c r="W26" i="16"/>
  <c r="R26" i="16"/>
  <c r="Q26" i="16"/>
  <c r="O26" i="16"/>
  <c r="P30" i="16"/>
  <c r="S30" i="16"/>
  <c r="R30" i="16"/>
  <c r="O30" i="16"/>
  <c r="W30" i="16"/>
  <c r="V30" i="16"/>
  <c r="U30" i="16"/>
  <c r="Q30" i="16"/>
  <c r="W89" i="16"/>
  <c r="V89" i="16"/>
  <c r="S89" i="16"/>
  <c r="O89" i="16"/>
  <c r="U89" i="16"/>
  <c r="T89" i="16"/>
  <c r="R89" i="16"/>
  <c r="W97" i="16"/>
  <c r="V97" i="16"/>
  <c r="Q97" i="16"/>
  <c r="T97" i="16"/>
  <c r="S97" i="16"/>
  <c r="R97" i="16"/>
  <c r="U97" i="16"/>
  <c r="O97" i="16"/>
  <c r="Q122" i="16"/>
  <c r="V189" i="16"/>
  <c r="W189" i="16"/>
  <c r="T189" i="16"/>
  <c r="R189" i="16"/>
  <c r="Q189" i="16"/>
  <c r="P189" i="16"/>
  <c r="U189" i="16"/>
  <c r="W22" i="16"/>
  <c r="U22" i="16"/>
  <c r="S22" i="16"/>
  <c r="R22" i="16"/>
  <c r="S26" i="16"/>
  <c r="T30" i="16"/>
  <c r="P89" i="16"/>
  <c r="P97" i="16"/>
  <c r="O123" i="16"/>
  <c r="S123" i="16"/>
  <c r="R123" i="16"/>
  <c r="P123" i="16"/>
  <c r="W123" i="16"/>
  <c r="V123" i="16"/>
  <c r="U123" i="16"/>
  <c r="T123" i="16"/>
  <c r="W181" i="16"/>
  <c r="V181" i="16"/>
  <c r="U181" i="16"/>
  <c r="T181" i="16"/>
  <c r="S181" i="16"/>
  <c r="Q181" i="16"/>
  <c r="O189" i="16"/>
  <c r="W207" i="16"/>
  <c r="V207" i="16"/>
  <c r="O207" i="16"/>
  <c r="T207" i="16"/>
  <c r="P207" i="16"/>
  <c r="U207" i="16"/>
  <c r="R207" i="16"/>
  <c r="U238" i="16"/>
  <c r="T238" i="16"/>
  <c r="S238" i="16"/>
  <c r="R238" i="16"/>
  <c r="W238" i="16"/>
  <c r="V238" i="16"/>
  <c r="P238" i="16"/>
  <c r="O238" i="16"/>
  <c r="S275" i="16"/>
  <c r="Q275" i="16"/>
  <c r="W275" i="16"/>
  <c r="V275" i="16"/>
  <c r="T275" i="16"/>
  <c r="P275" i="16"/>
  <c r="R275" i="16"/>
  <c r="U275" i="16"/>
  <c r="O275" i="16"/>
  <c r="S32" i="16"/>
  <c r="W32" i="16"/>
  <c r="V32" i="16"/>
  <c r="T32" i="16"/>
  <c r="Q32" i="16"/>
  <c r="P32" i="16"/>
  <c r="U32" i="16"/>
  <c r="R32" i="16"/>
  <c r="W87" i="16"/>
  <c r="U87" i="16"/>
  <c r="V87" i="16"/>
  <c r="T87" i="16"/>
  <c r="O87" i="16"/>
  <c r="R87" i="16"/>
  <c r="T104" i="16"/>
  <c r="P104" i="16"/>
  <c r="O104" i="16"/>
  <c r="V104" i="16"/>
  <c r="U104" i="16"/>
  <c r="W104" i="16"/>
  <c r="R104" i="16"/>
  <c r="P87" i="16"/>
  <c r="V34" i="16"/>
  <c r="U34" i="16"/>
  <c r="T34" i="16"/>
  <c r="O34" i="16"/>
  <c r="R34" i="16"/>
  <c r="W34" i="16"/>
  <c r="S34" i="16"/>
  <c r="P34" i="16"/>
  <c r="Q34" i="16"/>
  <c r="O170" i="16"/>
  <c r="Q69" i="16"/>
  <c r="U216" i="16"/>
  <c r="T216" i="16"/>
  <c r="S216" i="16"/>
  <c r="R216" i="16"/>
  <c r="O216" i="16"/>
  <c r="W216" i="16"/>
  <c r="Q216" i="16"/>
  <c r="P216" i="16"/>
  <c r="V216" i="16"/>
  <c r="T9" i="16"/>
  <c r="R9" i="16"/>
  <c r="W9" i="16"/>
  <c r="Q9" i="16"/>
  <c r="R69" i="16"/>
  <c r="O16" i="16"/>
  <c r="V16" i="16"/>
  <c r="R16" i="16"/>
  <c r="S16" i="16"/>
  <c r="Q16" i="16"/>
  <c r="P16" i="16"/>
  <c r="P122" i="16"/>
  <c r="U9" i="16"/>
  <c r="S102" i="16"/>
  <c r="T102" i="16"/>
  <c r="O102" i="16"/>
  <c r="W102" i="16"/>
  <c r="V102" i="16"/>
  <c r="U102" i="16"/>
  <c r="V26" i="16"/>
  <c r="W82" i="16"/>
  <c r="U82" i="16"/>
  <c r="T82" i="16"/>
  <c r="O82" i="16"/>
  <c r="V82" i="16"/>
  <c r="P102" i="16"/>
  <c r="O118" i="16"/>
  <c r="U166" i="16"/>
  <c r="T166" i="16"/>
  <c r="S166" i="16"/>
  <c r="R166" i="16"/>
  <c r="Q166" i="16"/>
  <c r="W166" i="16"/>
  <c r="V166" i="16"/>
  <c r="O166" i="16"/>
  <c r="Q22" i="16"/>
  <c r="T27" i="16"/>
  <c r="S27" i="16"/>
  <c r="R27" i="16"/>
  <c r="W27" i="16"/>
  <c r="U27" i="16"/>
  <c r="P27" i="16"/>
  <c r="O27" i="16"/>
  <c r="Q27" i="16"/>
  <c r="V27" i="16"/>
  <c r="R66" i="16"/>
  <c r="Q66" i="16"/>
  <c r="P66" i="16"/>
  <c r="W66" i="16"/>
  <c r="O66" i="16"/>
  <c r="V66" i="16"/>
  <c r="U66" i="16"/>
  <c r="T66" i="16"/>
  <c r="P82" i="16"/>
  <c r="Q102" i="16"/>
  <c r="P166" i="16"/>
  <c r="R181" i="16"/>
  <c r="P4" i="16"/>
  <c r="W4" i="16"/>
  <c r="V4" i="16"/>
  <c r="Q4" i="16"/>
  <c r="U4" i="16"/>
  <c r="R4" i="16"/>
  <c r="W76" i="16"/>
  <c r="V76" i="16"/>
  <c r="T76" i="16"/>
  <c r="P76" i="16"/>
  <c r="U76" i="16"/>
  <c r="S76" i="16"/>
  <c r="O69" i="16"/>
  <c r="V69" i="16"/>
  <c r="T69" i="16"/>
  <c r="S69" i="16"/>
  <c r="W69" i="16"/>
  <c r="W12" i="16"/>
  <c r="U12" i="16"/>
  <c r="T12" i="16"/>
  <c r="O12" i="16"/>
  <c r="P69" i="16"/>
  <c r="W107" i="16"/>
  <c r="V107" i="16"/>
  <c r="U107" i="16"/>
  <c r="R107" i="16"/>
  <c r="S107" i="16"/>
  <c r="Q107" i="16"/>
  <c r="P107" i="16"/>
  <c r="O107" i="16"/>
  <c r="U144" i="16"/>
  <c r="T144" i="16"/>
  <c r="S144" i="16"/>
  <c r="R144" i="16"/>
  <c r="W144" i="16"/>
  <c r="Q144" i="16"/>
  <c r="P144" i="16"/>
  <c r="V144" i="16"/>
  <c r="O144" i="16"/>
  <c r="P12" i="16"/>
  <c r="T46" i="16"/>
  <c r="W46" i="16"/>
  <c r="Q46" i="16"/>
  <c r="V46" i="16"/>
  <c r="U46" i="16"/>
  <c r="R46" i="16"/>
  <c r="S46" i="16"/>
  <c r="O46" i="16"/>
  <c r="T107" i="16"/>
  <c r="P170" i="16"/>
  <c r="P46" i="16"/>
  <c r="O73" i="16"/>
  <c r="R73" i="16"/>
  <c r="T73" i="16"/>
  <c r="U73" i="16"/>
  <c r="S73" i="16"/>
  <c r="Q73" i="16"/>
  <c r="P73" i="16"/>
  <c r="O9" i="16"/>
  <c r="R12" i="16"/>
  <c r="O53" i="16"/>
  <c r="V53" i="16"/>
  <c r="U53" i="16"/>
  <c r="T53" i="16"/>
  <c r="Q53" i="16"/>
  <c r="S53" i="16"/>
  <c r="W53" i="16"/>
  <c r="P53" i="16"/>
  <c r="V73" i="16"/>
  <c r="W16" i="16"/>
  <c r="U118" i="16"/>
  <c r="T118" i="16"/>
  <c r="S118" i="16"/>
  <c r="R118" i="16"/>
  <c r="W118" i="16"/>
  <c r="P118" i="16"/>
  <c r="V9" i="16"/>
  <c r="W6" i="16"/>
  <c r="V6" i="16"/>
  <c r="T6" i="16"/>
  <c r="R6" i="16"/>
  <c r="Q6" i="16"/>
  <c r="T22" i="16"/>
  <c r="W48" i="16"/>
  <c r="U48" i="16"/>
  <c r="Q48" i="16"/>
  <c r="S48" i="16"/>
  <c r="R48" i="16"/>
  <c r="P48" i="16"/>
  <c r="O48" i="16"/>
  <c r="S66" i="16"/>
  <c r="Q82" i="16"/>
  <c r="R102" i="16"/>
  <c r="V118" i="16"/>
  <c r="U176" i="16"/>
  <c r="T176" i="16"/>
  <c r="S176" i="16"/>
  <c r="R176" i="16"/>
  <c r="W176" i="16"/>
  <c r="V176" i="16"/>
  <c r="Q176" i="16"/>
  <c r="P176" i="16"/>
  <c r="S36" i="16"/>
  <c r="O36" i="16"/>
  <c r="U150" i="16"/>
  <c r="T150" i="16"/>
  <c r="S150" i="16"/>
  <c r="R150" i="16"/>
  <c r="Q150" i="16"/>
  <c r="P150" i="16"/>
  <c r="O150" i="16"/>
  <c r="U200" i="16"/>
  <c r="T200" i="16"/>
  <c r="S200" i="16"/>
  <c r="R200" i="16"/>
  <c r="Q200" i="16"/>
  <c r="P200" i="16"/>
  <c r="O200" i="16"/>
  <c r="O243" i="16"/>
  <c r="S243" i="16"/>
  <c r="P243" i="16"/>
  <c r="W243" i="16"/>
  <c r="V243" i="16"/>
  <c r="Q243" i="16"/>
  <c r="W10" i="16"/>
  <c r="U10" i="16"/>
  <c r="S10" i="16"/>
  <c r="R10" i="16"/>
  <c r="T13" i="16"/>
  <c r="R13" i="16"/>
  <c r="V13" i="16"/>
  <c r="P13" i="16"/>
  <c r="O13" i="16"/>
  <c r="P36" i="16"/>
  <c r="U52" i="16"/>
  <c r="T52" i="16"/>
  <c r="R52" i="16"/>
  <c r="P52" i="16"/>
  <c r="O52" i="16"/>
  <c r="W83" i="16"/>
  <c r="S83" i="16"/>
  <c r="U83" i="16"/>
  <c r="T83" i="16"/>
  <c r="R83" i="16"/>
  <c r="P83" i="16"/>
  <c r="Q83" i="16"/>
  <c r="O83" i="16"/>
  <c r="V150" i="16"/>
  <c r="V200" i="16"/>
  <c r="S215" i="16"/>
  <c r="W215" i="16"/>
  <c r="V215" i="16"/>
  <c r="U215" i="16"/>
  <c r="P215" i="16"/>
  <c r="R243" i="16"/>
  <c r="O273" i="16"/>
  <c r="W273" i="16"/>
  <c r="T273" i="16"/>
  <c r="V273" i="16"/>
  <c r="U273" i="16"/>
  <c r="S273" i="16"/>
  <c r="R273" i="16"/>
  <c r="Q273" i="16"/>
  <c r="O10" i="16"/>
  <c r="Q13" i="16"/>
  <c r="T33" i="16"/>
  <c r="S33" i="16"/>
  <c r="R33" i="16"/>
  <c r="U33" i="16"/>
  <c r="Q36" i="16"/>
  <c r="Q52" i="16"/>
  <c r="V83" i="16"/>
  <c r="S115" i="16"/>
  <c r="W115" i="16"/>
  <c r="P115" i="16"/>
  <c r="V115" i="16"/>
  <c r="T115" i="16"/>
  <c r="R115" i="16"/>
  <c r="U132" i="16"/>
  <c r="T132" i="16"/>
  <c r="S132" i="16"/>
  <c r="R132" i="16"/>
  <c r="W132" i="16"/>
  <c r="V132" i="16"/>
  <c r="Q132" i="16"/>
  <c r="P132" i="16"/>
  <c r="O132" i="16"/>
  <c r="W150" i="16"/>
  <c r="W200" i="16"/>
  <c r="U206" i="16"/>
  <c r="T206" i="16"/>
  <c r="S206" i="16"/>
  <c r="R206" i="16"/>
  <c r="Q206" i="16"/>
  <c r="V206" i="16"/>
  <c r="P206" i="16"/>
  <c r="O215" i="16"/>
  <c r="T243" i="16"/>
  <c r="P273" i="16"/>
  <c r="P10" i="16"/>
  <c r="S13" i="16"/>
  <c r="O33" i="16"/>
  <c r="R36" i="16"/>
  <c r="T39" i="16"/>
  <c r="S39" i="16"/>
  <c r="R39" i="16"/>
  <c r="U39" i="16"/>
  <c r="W39" i="16"/>
  <c r="V39" i="16"/>
  <c r="S52" i="16"/>
  <c r="U84" i="16"/>
  <c r="Q84" i="16"/>
  <c r="R90" i="16"/>
  <c r="Q90" i="16"/>
  <c r="P90" i="16"/>
  <c r="V90" i="16"/>
  <c r="T90" i="16"/>
  <c r="S90" i="16"/>
  <c r="W103" i="16"/>
  <c r="S103" i="16"/>
  <c r="R103" i="16"/>
  <c r="Q103" i="16"/>
  <c r="P103" i="16"/>
  <c r="V103" i="16"/>
  <c r="T103" i="16"/>
  <c r="O103" i="16"/>
  <c r="O115" i="16"/>
  <c r="U128" i="16"/>
  <c r="T128" i="16"/>
  <c r="S128" i="16"/>
  <c r="R128" i="16"/>
  <c r="Q128" i="16"/>
  <c r="P128" i="16"/>
  <c r="O133" i="16"/>
  <c r="V133" i="16"/>
  <c r="U133" i="16"/>
  <c r="S133" i="16"/>
  <c r="Q133" i="16"/>
  <c r="P133" i="16"/>
  <c r="W147" i="16"/>
  <c r="V147" i="16"/>
  <c r="P147" i="16"/>
  <c r="O147" i="16"/>
  <c r="U147" i="16"/>
  <c r="Q151" i="16"/>
  <c r="W151" i="16"/>
  <c r="V151" i="16"/>
  <c r="U151" i="16"/>
  <c r="T151" i="16"/>
  <c r="R151" i="16"/>
  <c r="P151" i="16"/>
  <c r="S151" i="16"/>
  <c r="Q201" i="16"/>
  <c r="W201" i="16"/>
  <c r="V201" i="16"/>
  <c r="T201" i="16"/>
  <c r="R201" i="16"/>
  <c r="P201" i="16"/>
  <c r="O201" i="16"/>
  <c r="O206" i="16"/>
  <c r="Q215" i="16"/>
  <c r="U243" i="16"/>
  <c r="W259" i="16"/>
  <c r="T259" i="16"/>
  <c r="V259" i="16"/>
  <c r="U259" i="16"/>
  <c r="S259" i="16"/>
  <c r="R259" i="16"/>
  <c r="Q259" i="16"/>
  <c r="O259" i="16"/>
  <c r="Q269" i="16"/>
  <c r="T269" i="16"/>
  <c r="V269" i="16"/>
  <c r="P269" i="16"/>
  <c r="T17" i="16"/>
  <c r="S17" i="16"/>
  <c r="R17" i="16"/>
  <c r="W17" i="16"/>
  <c r="U17" i="16"/>
  <c r="Q17" i="16"/>
  <c r="W36" i="16"/>
  <c r="R40" i="16"/>
  <c r="Q40" i="16"/>
  <c r="O40" i="16"/>
  <c r="W40" i="16"/>
  <c r="Q64" i="16"/>
  <c r="P64" i="16"/>
  <c r="O64" i="16"/>
  <c r="W64" i="16"/>
  <c r="U64" i="16"/>
  <c r="S64" i="16"/>
  <c r="R64" i="16"/>
  <c r="R100" i="16"/>
  <c r="U100" i="16"/>
  <c r="W100" i="16"/>
  <c r="T100" i="16"/>
  <c r="S100" i="16"/>
  <c r="U120" i="16"/>
  <c r="T120" i="16"/>
  <c r="S120" i="16"/>
  <c r="R120" i="16"/>
  <c r="Q120" i="16"/>
  <c r="W120" i="16"/>
  <c r="W129" i="16"/>
  <c r="V129" i="16"/>
  <c r="U129" i="16"/>
  <c r="T129" i="16"/>
  <c r="S129" i="16"/>
  <c r="Q129" i="16"/>
  <c r="P129" i="16"/>
  <c r="U134" i="16"/>
  <c r="T134" i="16"/>
  <c r="S134" i="16"/>
  <c r="R134" i="16"/>
  <c r="Q134" i="16"/>
  <c r="U162" i="16"/>
  <c r="T162" i="16"/>
  <c r="S162" i="16"/>
  <c r="R162" i="16"/>
  <c r="W162" i="16"/>
  <c r="V162" i="16"/>
  <c r="U236" i="16"/>
  <c r="T236" i="16"/>
  <c r="S236" i="16"/>
  <c r="R236" i="16"/>
  <c r="W236" i="16"/>
  <c r="P236" i="16"/>
  <c r="T21" i="16"/>
  <c r="S21" i="16"/>
  <c r="R21" i="16"/>
  <c r="W21" i="16"/>
  <c r="P21" i="16"/>
  <c r="T40" i="16"/>
  <c r="U251" i="16"/>
  <c r="R251" i="16"/>
  <c r="W251" i="16"/>
  <c r="V251" i="16"/>
  <c r="T251" i="16"/>
  <c r="S251" i="16"/>
  <c r="Q251" i="16"/>
  <c r="S153" i="16"/>
  <c r="U43" i="16"/>
  <c r="W75" i="16"/>
  <c r="O75" i="16"/>
  <c r="V75" i="16"/>
  <c r="S75" i="16"/>
  <c r="R75" i="16"/>
  <c r="P75" i="16"/>
  <c r="U184" i="16"/>
  <c r="T184" i="16"/>
  <c r="S184" i="16"/>
  <c r="R184" i="16"/>
  <c r="V184" i="16"/>
  <c r="W184" i="16"/>
  <c r="O184" i="16"/>
  <c r="U192" i="16"/>
  <c r="T192" i="16"/>
  <c r="S192" i="16"/>
  <c r="R192" i="16"/>
  <c r="Q192" i="16"/>
  <c r="P192" i="16"/>
  <c r="V192" i="16"/>
  <c r="W192" i="16"/>
  <c r="S221" i="16"/>
  <c r="P221" i="16"/>
  <c r="U221" i="16"/>
  <c r="O221" i="16"/>
  <c r="U246" i="16"/>
  <c r="T246" i="16"/>
  <c r="S246" i="16"/>
  <c r="R246" i="16"/>
  <c r="O246" i="16"/>
  <c r="Q246" i="16"/>
  <c r="P246" i="16"/>
  <c r="P251" i="16"/>
  <c r="O59" i="16"/>
  <c r="W59" i="16"/>
  <c r="U59" i="16"/>
  <c r="S59" i="16"/>
  <c r="R59" i="16"/>
  <c r="W139" i="16"/>
  <c r="V139" i="16"/>
  <c r="T139" i="16"/>
  <c r="R139" i="16"/>
  <c r="P139" i="16"/>
  <c r="Q139" i="16"/>
  <c r="U250" i="16"/>
  <c r="T250" i="16"/>
  <c r="S250" i="16"/>
  <c r="R250" i="16"/>
  <c r="Q250" i="16"/>
  <c r="O250" i="16"/>
  <c r="W250" i="16"/>
  <c r="V250" i="16"/>
  <c r="P250" i="16"/>
  <c r="P50" i="16"/>
  <c r="O50" i="16"/>
  <c r="U50" i="16"/>
  <c r="P59" i="16"/>
  <c r="W117" i="16"/>
  <c r="O117" i="16"/>
  <c r="V117" i="16"/>
  <c r="R117" i="16"/>
  <c r="O139" i="16"/>
  <c r="O153" i="16"/>
  <c r="V153" i="16"/>
  <c r="W153" i="16"/>
  <c r="T153" i="16"/>
  <c r="R153" i="16"/>
  <c r="P153" i="16"/>
  <c r="Q153" i="16"/>
  <c r="U212" i="16"/>
  <c r="T212" i="16"/>
  <c r="S212" i="16"/>
  <c r="R212" i="16"/>
  <c r="W212" i="16"/>
  <c r="Q212" i="16"/>
  <c r="P212" i="16"/>
  <c r="O212" i="16"/>
  <c r="O8" i="16"/>
  <c r="R18" i="16"/>
  <c r="P18" i="16"/>
  <c r="O18" i="16"/>
  <c r="V18" i="16"/>
  <c r="S68" i="16"/>
  <c r="R68" i="16"/>
  <c r="Q68" i="16"/>
  <c r="P68" i="16"/>
  <c r="W68" i="16"/>
  <c r="O68" i="16"/>
  <c r="W85" i="16"/>
  <c r="T85" i="16"/>
  <c r="V85" i="16"/>
  <c r="U85" i="16"/>
  <c r="S85" i="16"/>
  <c r="Q85" i="16"/>
  <c r="P85" i="16"/>
  <c r="O94" i="16"/>
  <c r="U94" i="16"/>
  <c r="T94" i="16"/>
  <c r="S94" i="16"/>
  <c r="R94" i="16"/>
  <c r="W105" i="16"/>
  <c r="U105" i="16"/>
  <c r="T105" i="16"/>
  <c r="S105" i="16"/>
  <c r="P105" i="16"/>
  <c r="V121" i="16"/>
  <c r="U121" i="16"/>
  <c r="T121" i="16"/>
  <c r="S121" i="16"/>
  <c r="W121" i="16"/>
  <c r="Q121" i="16"/>
  <c r="W134" i="16"/>
  <c r="S139" i="16"/>
  <c r="W167" i="16"/>
  <c r="O167" i="16"/>
  <c r="V167" i="16"/>
  <c r="U167" i="16"/>
  <c r="T167" i="16"/>
  <c r="P167" i="16"/>
  <c r="V212" i="16"/>
  <c r="U228" i="16"/>
  <c r="T228" i="16"/>
  <c r="S228" i="16"/>
  <c r="R228" i="16"/>
  <c r="W228" i="16"/>
  <c r="P228" i="16"/>
  <c r="O251" i="16"/>
  <c r="R8" i="16"/>
  <c r="Q18" i="16"/>
  <c r="Q21" i="16"/>
  <c r="V40" i="16"/>
  <c r="T59" i="16"/>
  <c r="T68" i="16"/>
  <c r="O81" i="16"/>
  <c r="O85" i="16"/>
  <c r="W101" i="16"/>
  <c r="Q101" i="16"/>
  <c r="P101" i="16"/>
  <c r="O101" i="16"/>
  <c r="S101" i="16"/>
  <c r="R101" i="16"/>
  <c r="O105" i="16"/>
  <c r="Q117" i="16"/>
  <c r="U139" i="16"/>
  <c r="S18" i="16"/>
  <c r="U21" i="16"/>
  <c r="T41" i="16"/>
  <c r="S41" i="16"/>
  <c r="R41" i="16"/>
  <c r="Q41" i="16"/>
  <c r="S50" i="16"/>
  <c r="V59" i="16"/>
  <c r="U68" i="16"/>
  <c r="Q75" i="16"/>
  <c r="R85" i="16"/>
  <c r="Q94" i="16"/>
  <c r="T101" i="16"/>
  <c r="Q105" i="16"/>
  <c r="S117" i="16"/>
  <c r="P121" i="16"/>
  <c r="U140" i="16"/>
  <c r="T140" i="16"/>
  <c r="S140" i="16"/>
  <c r="R140" i="16"/>
  <c r="Q140" i="16"/>
  <c r="W140" i="16"/>
  <c r="V140" i="16"/>
  <c r="P140" i="16"/>
  <c r="P159" i="16"/>
  <c r="W159" i="16"/>
  <c r="V159" i="16"/>
  <c r="U159" i="16"/>
  <c r="Q159" i="16"/>
  <c r="R167" i="16"/>
  <c r="P184" i="16"/>
  <c r="O192" i="16"/>
  <c r="Q221" i="16"/>
  <c r="Q228" i="16"/>
  <c r="V246" i="16"/>
  <c r="U252" i="16"/>
  <c r="T252" i="16"/>
  <c r="S252" i="16"/>
  <c r="R252" i="16"/>
  <c r="W252" i="16"/>
  <c r="Q252" i="16"/>
  <c r="O252" i="16"/>
  <c r="U266" i="16"/>
  <c r="T266" i="16"/>
  <c r="S266" i="16"/>
  <c r="R266" i="16"/>
  <c r="Q266" i="16"/>
  <c r="V266" i="16"/>
  <c r="W266" i="16"/>
  <c r="P266" i="16"/>
  <c r="T43" i="16"/>
  <c r="S43" i="16"/>
  <c r="R43" i="16"/>
  <c r="W43" i="16"/>
  <c r="P43" i="16"/>
  <c r="W197" i="16"/>
  <c r="U197" i="16"/>
  <c r="V197" i="16"/>
  <c r="S197" i="16"/>
  <c r="Q197" i="16"/>
  <c r="P197" i="16"/>
  <c r="O197" i="16"/>
  <c r="V8" i="16"/>
  <c r="U8" i="16"/>
  <c r="S8" i="16"/>
  <c r="Q8" i="16"/>
  <c r="P8" i="16"/>
  <c r="V17" i="16"/>
  <c r="O43" i="16"/>
  <c r="R197" i="16"/>
  <c r="U256" i="16"/>
  <c r="T256" i="16"/>
  <c r="S256" i="16"/>
  <c r="R256" i="16"/>
  <c r="W256" i="16"/>
  <c r="V256" i="16"/>
  <c r="Q256" i="16"/>
  <c r="P256" i="16"/>
  <c r="O21" i="16"/>
  <c r="U40" i="16"/>
  <c r="Q43" i="16"/>
  <c r="Q50" i="16"/>
  <c r="Q59" i="16"/>
  <c r="W81" i="16"/>
  <c r="R81" i="16"/>
  <c r="S81" i="16"/>
  <c r="Q81" i="16"/>
  <c r="P81" i="16"/>
  <c r="T81" i="16"/>
  <c r="V100" i="16"/>
  <c r="P117" i="16"/>
  <c r="R50" i="16"/>
  <c r="P94" i="16"/>
  <c r="W8" i="16"/>
  <c r="T18" i="16"/>
  <c r="V21" i="16"/>
  <c r="Q44" i="16"/>
  <c r="V44" i="16"/>
  <c r="T44" i="16"/>
  <c r="S44" i="16"/>
  <c r="T50" i="16"/>
  <c r="V68" i="16"/>
  <c r="T75" i="16"/>
  <c r="V81" i="16"/>
  <c r="V94" i="16"/>
  <c r="U101" i="16"/>
  <c r="R105" i="16"/>
  <c r="O113" i="16"/>
  <c r="T113" i="16"/>
  <c r="S113" i="16"/>
  <c r="R113" i="16"/>
  <c r="Q113" i="16"/>
  <c r="W113" i="16"/>
  <c r="T117" i="16"/>
  <c r="R121" i="16"/>
  <c r="O140" i="16"/>
  <c r="O159" i="16"/>
  <c r="S167" i="16"/>
  <c r="Q184" i="16"/>
  <c r="R221" i="16"/>
  <c r="V228" i="16"/>
  <c r="W246" i="16"/>
  <c r="P252" i="16"/>
  <c r="U262" i="16"/>
  <c r="T262" i="16"/>
  <c r="S262" i="16"/>
  <c r="R262" i="16"/>
  <c r="W262" i="16"/>
  <c r="P262" i="16"/>
  <c r="V262" i="16"/>
  <c r="O266" i="16"/>
  <c r="T31" i="16"/>
  <c r="S31" i="16"/>
  <c r="R31" i="16"/>
  <c r="O63" i="16"/>
  <c r="R63" i="16"/>
  <c r="U124" i="16"/>
  <c r="T124" i="16"/>
  <c r="S124" i="16"/>
  <c r="R124" i="16"/>
  <c r="V124" i="16"/>
  <c r="Q124" i="16"/>
  <c r="P124" i="16"/>
  <c r="O124" i="16"/>
  <c r="S195" i="16"/>
  <c r="W195" i="16"/>
  <c r="P195" i="16"/>
  <c r="T195" i="16"/>
  <c r="R195" i="16"/>
  <c r="T199" i="16"/>
  <c r="S199" i="16"/>
  <c r="R199" i="16"/>
  <c r="Q199" i="16"/>
  <c r="W199" i="16"/>
  <c r="P199" i="16"/>
  <c r="O199" i="16"/>
  <c r="U218" i="16"/>
  <c r="T218" i="16"/>
  <c r="S218" i="16"/>
  <c r="R218" i="16"/>
  <c r="Q218" i="16"/>
  <c r="S235" i="16"/>
  <c r="Q235" i="16"/>
  <c r="W235" i="16"/>
  <c r="O235" i="16"/>
  <c r="V235" i="16"/>
  <c r="U235" i="16"/>
  <c r="T235" i="16"/>
  <c r="R235" i="16"/>
  <c r="S265" i="16"/>
  <c r="Q265" i="16"/>
  <c r="U265" i="16"/>
  <c r="P265" i="16"/>
  <c r="R14" i="16"/>
  <c r="T29" i="16"/>
  <c r="S29" i="16"/>
  <c r="R29" i="16"/>
  <c r="U31" i="16"/>
  <c r="S56" i="16"/>
  <c r="T63" i="16"/>
  <c r="S71" i="16"/>
  <c r="V74" i="16"/>
  <c r="U74" i="16"/>
  <c r="T74" i="16"/>
  <c r="U156" i="16"/>
  <c r="T156" i="16"/>
  <c r="S156" i="16"/>
  <c r="R156" i="16"/>
  <c r="Q156" i="16"/>
  <c r="V195" i="16"/>
  <c r="W218" i="16"/>
  <c r="V265" i="16"/>
  <c r="W157" i="16"/>
  <c r="S157" i="16"/>
  <c r="R157" i="16"/>
  <c r="Q157" i="16"/>
  <c r="P157" i="16"/>
  <c r="U161" i="16"/>
  <c r="T161" i="16"/>
  <c r="S161" i="16"/>
  <c r="U186" i="16"/>
  <c r="T186" i="16"/>
  <c r="S186" i="16"/>
  <c r="R186" i="16"/>
  <c r="S241" i="16"/>
  <c r="W241" i="16"/>
  <c r="V241" i="16"/>
  <c r="U241" i="16"/>
  <c r="O241" i="16"/>
  <c r="U164" i="16"/>
  <c r="T164" i="16"/>
  <c r="S164" i="16"/>
  <c r="R164" i="16"/>
  <c r="P164" i="16"/>
  <c r="W164" i="16"/>
  <c r="T37" i="16"/>
  <c r="S37" i="16"/>
  <c r="R37" i="16"/>
  <c r="O37" i="16"/>
  <c r="O57" i="16"/>
  <c r="W57" i="16"/>
  <c r="V57" i="16"/>
  <c r="U72" i="16"/>
  <c r="T72" i="16"/>
  <c r="S72" i="16"/>
  <c r="T15" i="16"/>
  <c r="S15" i="16"/>
  <c r="R15" i="16"/>
  <c r="O20" i="16"/>
  <c r="W29" i="16"/>
  <c r="P37" i="16"/>
  <c r="T47" i="16"/>
  <c r="S47" i="16"/>
  <c r="R47" i="16"/>
  <c r="P57" i="16"/>
  <c r="O72" i="16"/>
  <c r="W74" i="16"/>
  <c r="O80" i="16"/>
  <c r="Q98" i="16"/>
  <c r="W98" i="16"/>
  <c r="P98" i="16"/>
  <c r="O109" i="16"/>
  <c r="U112" i="16"/>
  <c r="T112" i="16"/>
  <c r="S112" i="16"/>
  <c r="R112" i="16"/>
  <c r="O157" i="16"/>
  <c r="O161" i="16"/>
  <c r="Q164" i="16"/>
  <c r="U172" i="16"/>
  <c r="T172" i="16"/>
  <c r="S172" i="16"/>
  <c r="R172" i="16"/>
  <c r="O172" i="16"/>
  <c r="S179" i="16"/>
  <c r="R179" i="16"/>
  <c r="Q179" i="16"/>
  <c r="P179" i="16"/>
  <c r="O186" i="16"/>
  <c r="O193" i="16"/>
  <c r="R193" i="16"/>
  <c r="V193" i="16"/>
  <c r="U193" i="16"/>
  <c r="T193" i="16"/>
  <c r="S193" i="16"/>
  <c r="P209" i="16"/>
  <c r="U209" i="16"/>
  <c r="T209" i="16"/>
  <c r="P241" i="16"/>
  <c r="W267" i="16"/>
  <c r="U267" i="16"/>
  <c r="T267" i="16"/>
  <c r="S267" i="16"/>
  <c r="R267" i="16"/>
  <c r="Q267" i="16"/>
  <c r="P267" i="16"/>
  <c r="T25" i="16"/>
  <c r="S25" i="16"/>
  <c r="R25" i="16"/>
  <c r="Q25" i="16"/>
  <c r="T35" i="16"/>
  <c r="S35" i="16"/>
  <c r="R35" i="16"/>
  <c r="S205" i="16"/>
  <c r="U205" i="16"/>
  <c r="R205" i="16"/>
  <c r="Q205" i="16"/>
  <c r="P205" i="16"/>
  <c r="O205" i="16"/>
  <c r="U226" i="16"/>
  <c r="T226" i="16"/>
  <c r="S226" i="16"/>
  <c r="R226" i="16"/>
  <c r="W226" i="16"/>
  <c r="P226" i="16"/>
  <c r="O226" i="16"/>
  <c r="T45" i="16"/>
  <c r="S45" i="16"/>
  <c r="R45" i="16"/>
  <c r="O55" i="16"/>
  <c r="W55" i="16"/>
  <c r="V55" i="16"/>
  <c r="U55" i="16"/>
  <c r="T70" i="16"/>
  <c r="S70" i="16"/>
  <c r="R70" i="16"/>
  <c r="W70" i="16"/>
  <c r="U158" i="16"/>
  <c r="T158" i="16"/>
  <c r="S158" i="16"/>
  <c r="R158" i="16"/>
  <c r="Q158" i="16"/>
  <c r="P158" i="16"/>
  <c r="U194" i="16"/>
  <c r="T194" i="16"/>
  <c r="S194" i="16"/>
  <c r="R194" i="16"/>
  <c r="U230" i="16"/>
  <c r="T230" i="16"/>
  <c r="S230" i="16"/>
  <c r="R230" i="16"/>
  <c r="Q230" i="16"/>
  <c r="O230" i="16"/>
  <c r="P230" i="16"/>
  <c r="O5" i="16"/>
  <c r="T11" i="16"/>
  <c r="S11" i="16"/>
  <c r="V15" i="16"/>
  <c r="T20" i="16"/>
  <c r="U25" i="16"/>
  <c r="Q35" i="16"/>
  <c r="O45" i="16"/>
  <c r="V47" i="16"/>
  <c r="P55" i="16"/>
  <c r="U57" i="16"/>
  <c r="O65" i="16"/>
  <c r="V65" i="16"/>
  <c r="T67" i="16"/>
  <c r="O70" i="16"/>
  <c r="W72" i="16"/>
  <c r="O78" i="16"/>
  <c r="T80" i="16"/>
  <c r="P96" i="16"/>
  <c r="W96" i="16"/>
  <c r="V96" i="16"/>
  <c r="U96" i="16"/>
  <c r="U98" i="16"/>
  <c r="U109" i="16"/>
  <c r="W112" i="16"/>
  <c r="U154" i="16"/>
  <c r="T154" i="16"/>
  <c r="S154" i="16"/>
  <c r="R154" i="16"/>
  <c r="W154" i="16"/>
  <c r="V154" i="16"/>
  <c r="Q154" i="16"/>
  <c r="P154" i="16"/>
  <c r="O158" i="16"/>
  <c r="W161" i="16"/>
  <c r="Q169" i="16"/>
  <c r="O173" i="16"/>
  <c r="W173" i="16"/>
  <c r="V173" i="16"/>
  <c r="U173" i="16"/>
  <c r="W179" i="16"/>
  <c r="T183" i="16"/>
  <c r="W187" i="16"/>
  <c r="Q187" i="16"/>
  <c r="V187" i="16"/>
  <c r="U187" i="16"/>
  <c r="T187" i="16"/>
  <c r="U190" i="16"/>
  <c r="T190" i="16"/>
  <c r="S190" i="16"/>
  <c r="R190" i="16"/>
  <c r="Q190" i="16"/>
  <c r="W190" i="16"/>
  <c r="V190" i="16"/>
  <c r="P190" i="16"/>
  <c r="O194" i="16"/>
  <c r="U198" i="16"/>
  <c r="T198" i="16"/>
  <c r="S198" i="16"/>
  <c r="R198" i="16"/>
  <c r="V198" i="16"/>
  <c r="W205" i="16"/>
  <c r="V209" i="16"/>
  <c r="W227" i="16"/>
  <c r="U227" i="16"/>
  <c r="S227" i="16"/>
  <c r="V230" i="16"/>
  <c r="U234" i="16"/>
  <c r="T234" i="16"/>
  <c r="S234" i="16"/>
  <c r="R234" i="16"/>
  <c r="V234" i="16"/>
  <c r="U168" i="16"/>
  <c r="T168" i="16"/>
  <c r="S168" i="16"/>
  <c r="R168" i="16"/>
  <c r="V168" i="16"/>
  <c r="Q168" i="16"/>
  <c r="P168" i="16"/>
  <c r="O168" i="16"/>
  <c r="O213" i="16"/>
  <c r="T213" i="16"/>
  <c r="W213" i="16"/>
  <c r="V213" i="16"/>
  <c r="O233" i="16"/>
  <c r="Q233" i="16"/>
  <c r="T23" i="16"/>
  <c r="S23" i="16"/>
  <c r="R23" i="16"/>
  <c r="S135" i="16"/>
  <c r="R135" i="16"/>
  <c r="T135" i="16"/>
  <c r="Q135" i="16"/>
  <c r="P135" i="16"/>
  <c r="O135" i="16"/>
  <c r="S145" i="16"/>
  <c r="W145" i="16"/>
  <c r="U148" i="16"/>
  <c r="T148" i="16"/>
  <c r="S148" i="16"/>
  <c r="R148" i="16"/>
  <c r="V148" i="16"/>
  <c r="S165" i="16"/>
  <c r="V165" i="16"/>
  <c r="U165" i="16"/>
  <c r="T165" i="16"/>
  <c r="R165" i="16"/>
  <c r="W168" i="16"/>
  <c r="O203" i="16"/>
  <c r="V203" i="16"/>
  <c r="P203" i="16"/>
  <c r="P213" i="16"/>
  <c r="P233" i="16"/>
  <c r="W237" i="16"/>
  <c r="U237" i="16"/>
  <c r="V237" i="16"/>
  <c r="R237" i="16"/>
  <c r="U249" i="16"/>
  <c r="O249" i="16"/>
  <c r="U272" i="16"/>
  <c r="T272" i="16"/>
  <c r="S272" i="16"/>
  <c r="R272" i="16"/>
  <c r="W272" i="16"/>
  <c r="V272" i="16"/>
  <c r="O272" i="16"/>
  <c r="U196" i="16"/>
  <c r="T196" i="16"/>
  <c r="S196" i="16"/>
  <c r="R196" i="16"/>
  <c r="W196" i="16"/>
  <c r="V196" i="16"/>
  <c r="Q196" i="16"/>
  <c r="P196" i="16"/>
  <c r="U210" i="16"/>
  <c r="T210" i="16"/>
  <c r="S210" i="16"/>
  <c r="R210" i="16"/>
  <c r="Q210" i="16"/>
  <c r="W277" i="16"/>
  <c r="U277" i="16"/>
  <c r="V277" i="16"/>
  <c r="S277" i="16"/>
  <c r="T277" i="16"/>
  <c r="R277" i="16"/>
  <c r="Q277" i="16"/>
  <c r="P277" i="16"/>
  <c r="O277" i="16"/>
  <c r="U244" i="16"/>
  <c r="T244" i="16"/>
  <c r="S244" i="16"/>
  <c r="R244" i="16"/>
  <c r="O244" i="16"/>
  <c r="U260" i="16"/>
  <c r="T260" i="16"/>
  <c r="S260" i="16"/>
  <c r="R260" i="16"/>
  <c r="Q260" i="16"/>
  <c r="O260" i="16"/>
  <c r="U276" i="16"/>
  <c r="T276" i="16"/>
  <c r="S276" i="16"/>
  <c r="R276" i="16"/>
  <c r="W276" i="16"/>
  <c r="P276" i="16"/>
  <c r="O276" i="16"/>
  <c r="W244" i="16"/>
  <c r="U248" i="16"/>
  <c r="T248" i="16"/>
  <c r="S248" i="16"/>
  <c r="R248" i="16"/>
  <c r="V248" i="16"/>
  <c r="U270" i="16"/>
  <c r="T270" i="16"/>
  <c r="S270" i="16"/>
  <c r="R270" i="16"/>
  <c r="Q270" i="16"/>
  <c r="O270" i="16"/>
  <c r="W127" i="16"/>
  <c r="S127" i="16"/>
  <c r="U146" i="16"/>
  <c r="T146" i="16"/>
  <c r="S146" i="16"/>
  <c r="R146" i="16"/>
  <c r="U202" i="16"/>
  <c r="T202" i="16"/>
  <c r="S202" i="16"/>
  <c r="R202" i="16"/>
  <c r="U211" i="16"/>
  <c r="O211" i="16"/>
  <c r="S245" i="16"/>
  <c r="Q245" i="16"/>
  <c r="V245" i="16"/>
  <c r="O248" i="16"/>
  <c r="P261" i="16"/>
  <c r="U264" i="16"/>
  <c r="T264" i="16"/>
  <c r="S264" i="16"/>
  <c r="R264" i="16"/>
  <c r="P270" i="16"/>
  <c r="W79" i="16"/>
  <c r="Q79" i="16"/>
  <c r="U116" i="16"/>
  <c r="T116" i="16"/>
  <c r="S116" i="16"/>
  <c r="R116" i="16"/>
  <c r="O127" i="16"/>
  <c r="O146" i="16"/>
  <c r="O149" i="16"/>
  <c r="S185" i="16"/>
  <c r="R185" i="16"/>
  <c r="O202" i="16"/>
  <c r="U208" i="16"/>
  <c r="T208" i="16"/>
  <c r="S208" i="16"/>
  <c r="R208" i="16"/>
  <c r="P208" i="16"/>
  <c r="P211" i="16"/>
  <c r="W217" i="16"/>
  <c r="O217" i="16"/>
  <c r="O223" i="16"/>
  <c r="U223" i="16"/>
  <c r="S229" i="16"/>
  <c r="P229" i="16"/>
  <c r="U232" i="16"/>
  <c r="T232" i="16"/>
  <c r="S232" i="16"/>
  <c r="R232" i="16"/>
  <c r="W232" i="16"/>
  <c r="O232" i="16"/>
  <c r="O245" i="16"/>
  <c r="P248" i="16"/>
  <c r="Q261" i="16"/>
  <c r="O264" i="16"/>
  <c r="V270" i="16"/>
  <c r="O62" i="16"/>
  <c r="O79" i="16"/>
  <c r="O88" i="16"/>
  <c r="O116" i="16"/>
  <c r="O119" i="16"/>
  <c r="P127" i="16"/>
  <c r="P146" i="16"/>
  <c r="P149" i="16"/>
  <c r="U160" i="16"/>
  <c r="T160" i="16"/>
  <c r="S160" i="16"/>
  <c r="R160" i="16"/>
  <c r="Q160" i="16"/>
  <c r="U182" i="16"/>
  <c r="T182" i="16"/>
  <c r="S182" i="16"/>
  <c r="R182" i="16"/>
  <c r="W182" i="16"/>
  <c r="O185" i="16"/>
  <c r="P202" i="16"/>
  <c r="Q211" i="16"/>
  <c r="U214" i="16"/>
  <c r="T214" i="16"/>
  <c r="S214" i="16"/>
  <c r="R214" i="16"/>
  <c r="P214" i="16"/>
  <c r="P245" i="16"/>
  <c r="Q248" i="16"/>
  <c r="S255" i="16"/>
  <c r="Q255" i="16"/>
  <c r="R255" i="16"/>
  <c r="U258" i="16"/>
  <c r="T258" i="16"/>
  <c r="S258" i="16"/>
  <c r="R258" i="16"/>
  <c r="O258" i="16"/>
  <c r="R261" i="16"/>
  <c r="P264" i="16"/>
  <c r="W270" i="16"/>
  <c r="W77" i="16"/>
  <c r="P77" i="16"/>
  <c r="P79" i="16"/>
  <c r="O99" i="16"/>
  <c r="U108" i="16"/>
  <c r="T108" i="16"/>
  <c r="S108" i="16"/>
  <c r="R108" i="16"/>
  <c r="P116" i="16"/>
  <c r="P119" i="16"/>
  <c r="Q127" i="16"/>
  <c r="Q146" i="16"/>
  <c r="O160" i="16"/>
  <c r="P163" i="16"/>
  <c r="U174" i="16"/>
  <c r="T174" i="16"/>
  <c r="S174" i="16"/>
  <c r="R174" i="16"/>
  <c r="O182" i="16"/>
  <c r="P185" i="16"/>
  <c r="Q202" i="16"/>
  <c r="Q208" i="16"/>
  <c r="R211" i="16"/>
  <c r="O214" i="16"/>
  <c r="Q217" i="16"/>
  <c r="U220" i="16"/>
  <c r="T220" i="16"/>
  <c r="S220" i="16"/>
  <c r="R220" i="16"/>
  <c r="Q220" i="16"/>
  <c r="Q223" i="16"/>
  <c r="Q229" i="16"/>
  <c r="Q232" i="16"/>
  <c r="U242" i="16"/>
  <c r="T242" i="16"/>
  <c r="S242" i="16"/>
  <c r="R242" i="16"/>
  <c r="W242" i="16"/>
  <c r="R245" i="16"/>
  <c r="W248" i="16"/>
  <c r="O255" i="16"/>
  <c r="P258" i="16"/>
  <c r="S261" i="16"/>
  <c r="Q264" i="16"/>
  <c r="U274" i="16"/>
  <c r="T274" i="16"/>
  <c r="S274" i="16"/>
  <c r="R274" i="16"/>
  <c r="W274" i="16"/>
  <c r="U240" i="16"/>
  <c r="T240" i="16"/>
  <c r="S240" i="16"/>
  <c r="R240" i="16"/>
  <c r="Q240" i="16"/>
  <c r="O240" i="16"/>
  <c r="U254" i="16"/>
  <c r="T254" i="16"/>
  <c r="S254" i="16"/>
  <c r="R254" i="16"/>
  <c r="W257" i="16"/>
  <c r="U257" i="16"/>
  <c r="U268" i="16"/>
  <c r="T268" i="16"/>
  <c r="S268" i="16"/>
  <c r="R268" i="16"/>
  <c r="U224" i="16"/>
  <c r="T224" i="16"/>
  <c r="S224" i="16"/>
  <c r="R224" i="16"/>
  <c r="W240" i="16"/>
  <c r="Q254" i="16"/>
  <c r="Q257" i="16"/>
  <c r="Q268" i="16"/>
  <c r="Q271" i="16"/>
  <c r="U130" i="16"/>
  <c r="T130" i="16"/>
  <c r="S130" i="16"/>
  <c r="R130" i="16"/>
  <c r="Q130" i="16"/>
  <c r="U138" i="16"/>
  <c r="T138" i="16"/>
  <c r="S138" i="16"/>
  <c r="R138" i="16"/>
  <c r="U180" i="16"/>
  <c r="T180" i="16"/>
  <c r="S180" i="16"/>
  <c r="R180" i="16"/>
  <c r="Q180" i="16"/>
  <c r="U188" i="16"/>
  <c r="T188" i="16"/>
  <c r="S188" i="16"/>
  <c r="R188" i="16"/>
  <c r="U263" i="16"/>
  <c r="BD49" i="11"/>
  <c r="AM49" i="11"/>
  <c r="AL49" i="11"/>
  <c r="AK49" i="11"/>
  <c r="AJ49" i="11"/>
  <c r="C49" i="11"/>
  <c r="AR48" i="11"/>
  <c r="AQ48" i="11"/>
  <c r="AP48" i="11"/>
  <c r="C48" i="11"/>
  <c r="BH47" i="11"/>
  <c r="BG47" i="11"/>
  <c r="C47" i="11"/>
  <c r="AQ46" i="11"/>
  <c r="C46" i="11"/>
  <c r="AZ45" i="11"/>
  <c r="AN45" i="11"/>
  <c r="AB45" i="11"/>
  <c r="P45" i="11"/>
  <c r="D45" i="11"/>
  <c r="AZ44" i="11"/>
  <c r="AN44" i="11"/>
  <c r="AB44" i="11"/>
  <c r="P44" i="11"/>
  <c r="D44" i="11"/>
  <c r="AZ43" i="11"/>
  <c r="AN43" i="11"/>
  <c r="AB43" i="11"/>
  <c r="P43" i="11"/>
  <c r="D43" i="11"/>
  <c r="AZ42" i="11"/>
  <c r="AN42" i="11"/>
  <c r="AB42" i="11"/>
  <c r="P42" i="11"/>
  <c r="D42" i="11"/>
  <c r="AZ41" i="11"/>
  <c r="AN41" i="11"/>
  <c r="AB41" i="11"/>
  <c r="P41" i="11"/>
  <c r="D41" i="11"/>
  <c r="AZ40" i="11"/>
  <c r="AN40" i="11"/>
  <c r="AB40" i="11"/>
  <c r="P40" i="11"/>
  <c r="D40" i="11"/>
  <c r="AZ39" i="11"/>
  <c r="AN39" i="11"/>
  <c r="AB39" i="11"/>
  <c r="P39" i="11"/>
  <c r="D39" i="11"/>
  <c r="AZ38" i="11"/>
  <c r="AN38" i="11"/>
  <c r="AB38" i="11"/>
  <c r="P38" i="11"/>
  <c r="D38" i="11"/>
  <c r="C16" i="11"/>
  <c r="AN49" i="11" s="1"/>
  <c r="C15" i="11"/>
  <c r="AO48" i="11" s="1"/>
  <c r="C14" i="11"/>
  <c r="Y47" i="11" s="1"/>
  <c r="C13" i="11"/>
  <c r="Z46" i="11" s="1"/>
  <c r="AR46" i="11" l="1"/>
  <c r="BI47" i="11"/>
  <c r="BJ47" i="11"/>
  <c r="F47" i="11"/>
  <c r="AP49" i="11"/>
  <c r="BE48" i="11"/>
  <c r="C28" i="11"/>
  <c r="U61" i="11" s="1"/>
  <c r="Q47" i="11"/>
  <c r="E48" i="11"/>
  <c r="BF48" i="11"/>
  <c r="BE49" i="11"/>
  <c r="C29" i="11"/>
  <c r="AS62" i="11" s="1"/>
  <c r="R47" i="11"/>
  <c r="F48" i="11"/>
  <c r="BI48" i="11"/>
  <c r="BF49" i="11"/>
  <c r="C30" i="11"/>
  <c r="BI63" i="11" s="1"/>
  <c r="S47" i="11"/>
  <c r="Q48" i="11"/>
  <c r="BK48" i="11"/>
  <c r="BG49" i="11"/>
  <c r="C31" i="11"/>
  <c r="AP64" i="11" s="1"/>
  <c r="T47" i="11"/>
  <c r="R48" i="11"/>
  <c r="BH49" i="11"/>
  <c r="U47" i="11"/>
  <c r="U48" i="11"/>
  <c r="D49" i="11"/>
  <c r="BI49" i="11"/>
  <c r="D46" i="11"/>
  <c r="V47" i="11"/>
  <c r="W48" i="11"/>
  <c r="P49" i="11"/>
  <c r="BJ49" i="11"/>
  <c r="E46" i="11"/>
  <c r="Z47" i="11"/>
  <c r="X48" i="11"/>
  <c r="Q49" i="11"/>
  <c r="BK49" i="11"/>
  <c r="F46" i="11"/>
  <c r="AA47" i="11"/>
  <c r="Y48" i="11"/>
  <c r="R49" i="11"/>
  <c r="C50" i="11"/>
  <c r="C17" i="11"/>
  <c r="T49" i="11"/>
  <c r="AS47" i="11"/>
  <c r="AL48" i="11"/>
  <c r="AM48" i="11"/>
  <c r="BF46" i="11"/>
  <c r="D48" i="11"/>
  <c r="T46" i="11"/>
  <c r="Z48" i="11"/>
  <c r="S49" i="11"/>
  <c r="AL46" i="11"/>
  <c r="AP47" i="11"/>
  <c r="AK48" i="11"/>
  <c r="AM46" i="11"/>
  <c r="U49" i="11"/>
  <c r="AN46" i="11"/>
  <c r="AT47" i="11"/>
  <c r="V49" i="11"/>
  <c r="AO46" i="11"/>
  <c r="AU47" i="11"/>
  <c r="AN48" i="11"/>
  <c r="W49" i="11"/>
  <c r="AS48" i="11"/>
  <c r="AT48" i="11"/>
  <c r="G47" i="11"/>
  <c r="AL47" i="11"/>
  <c r="AP46" i="11"/>
  <c r="BF47" i="11"/>
  <c r="X49" i="11"/>
  <c r="C63" i="11"/>
  <c r="H62" i="11"/>
  <c r="Y64" i="11"/>
  <c r="AO63" i="11"/>
  <c r="U63" i="11"/>
  <c r="BH63" i="11"/>
  <c r="O63" i="11"/>
  <c r="BB63" i="11"/>
  <c r="AH63" i="11"/>
  <c r="G46" i="11"/>
  <c r="Y62" i="11"/>
  <c r="AC64" i="11"/>
  <c r="AY62" i="11"/>
  <c r="AS63" i="11"/>
  <c r="AS46" i="11"/>
  <c r="H46" i="11"/>
  <c r="AT46" i="11"/>
  <c r="W47" i="11"/>
  <c r="BK47" i="11"/>
  <c r="AR50" i="11"/>
  <c r="AS61" i="11"/>
  <c r="AO64" i="11"/>
  <c r="AQ50" i="11"/>
  <c r="R46" i="11"/>
  <c r="X47" i="11"/>
  <c r="D50" i="11"/>
  <c r="BC50" i="11"/>
  <c r="D61" i="11"/>
  <c r="AU46" i="11"/>
  <c r="S46" i="11"/>
  <c r="AV46" i="11"/>
  <c r="O50" i="11"/>
  <c r="BD50" i="11"/>
  <c r="E61" i="11"/>
  <c r="AU61" i="11"/>
  <c r="AB62" i="11"/>
  <c r="AQ64" i="11"/>
  <c r="AC62" i="11"/>
  <c r="J63" i="11"/>
  <c r="AR64" i="11"/>
  <c r="U46" i="11"/>
  <c r="BG46" i="11"/>
  <c r="Q50" i="11"/>
  <c r="BF50" i="11"/>
  <c r="G61" i="11"/>
  <c r="C64" i="11"/>
  <c r="AS64" i="11"/>
  <c r="AX62" i="11"/>
  <c r="I61" i="11"/>
  <c r="AY61" i="11"/>
  <c r="AU64" i="11"/>
  <c r="AP63" i="11"/>
  <c r="J62" i="11"/>
  <c r="V46" i="11"/>
  <c r="BE47" i="11"/>
  <c r="AK47" i="11"/>
  <c r="BD47" i="11"/>
  <c r="AJ47" i="11"/>
  <c r="P47" i="11"/>
  <c r="O47" i="11"/>
  <c r="BC47" i="11"/>
  <c r="AI47" i="11"/>
  <c r="BB47" i="11"/>
  <c r="AH47" i="11"/>
  <c r="N47" i="11"/>
  <c r="BA47" i="11"/>
  <c r="AG47" i="11"/>
  <c r="M47" i="11"/>
  <c r="AV47" i="11"/>
  <c r="AZ47" i="11"/>
  <c r="AF47" i="11"/>
  <c r="L47" i="11"/>
  <c r="H47" i="11"/>
  <c r="AY47" i="11"/>
  <c r="AE47" i="11"/>
  <c r="K47" i="11"/>
  <c r="AX47" i="11"/>
  <c r="AD47" i="11"/>
  <c r="J47" i="11"/>
  <c r="AW47" i="11"/>
  <c r="AC47" i="11"/>
  <c r="I47" i="11"/>
  <c r="AB47" i="11"/>
  <c r="W46" i="11"/>
  <c r="AM47" i="11"/>
  <c r="BH50" i="11"/>
  <c r="E64" i="11"/>
  <c r="BD48" i="11"/>
  <c r="AJ48" i="11"/>
  <c r="P48" i="11"/>
  <c r="BC48" i="11"/>
  <c r="AI48" i="11"/>
  <c r="O48" i="11"/>
  <c r="BB48" i="11"/>
  <c r="AH48" i="11"/>
  <c r="N48" i="11"/>
  <c r="BA48" i="11"/>
  <c r="AG48" i="11"/>
  <c r="M48" i="11"/>
  <c r="AZ48" i="11"/>
  <c r="AF48" i="11"/>
  <c r="L48" i="11"/>
  <c r="AY48" i="11"/>
  <c r="AE48" i="11"/>
  <c r="K48" i="11"/>
  <c r="AU48" i="11"/>
  <c r="AX48" i="11"/>
  <c r="AD48" i="11"/>
  <c r="J48" i="11"/>
  <c r="G48" i="11"/>
  <c r="AW48" i="11"/>
  <c r="AC48" i="11"/>
  <c r="I48" i="11"/>
  <c r="AA48" i="11"/>
  <c r="AV48" i="11"/>
  <c r="AB48" i="11"/>
  <c r="H48" i="11"/>
  <c r="X46" i="11"/>
  <c r="BJ46" i="11"/>
  <c r="AN47" i="11"/>
  <c r="S48" i="11"/>
  <c r="BG48" i="11"/>
  <c r="T50" i="11"/>
  <c r="BI50" i="11"/>
  <c r="J61" i="11"/>
  <c r="AZ61" i="11"/>
  <c r="AR62" i="11"/>
  <c r="F64" i="11"/>
  <c r="AV64" i="11"/>
  <c r="G62" i="11"/>
  <c r="AQ63" i="11"/>
  <c r="D64" i="11"/>
  <c r="BI46" i="11"/>
  <c r="C61" i="11"/>
  <c r="BC49" i="11"/>
  <c r="AI49" i="11"/>
  <c r="O49" i="11"/>
  <c r="C60" i="11"/>
  <c r="BB49" i="11"/>
  <c r="AH49" i="11"/>
  <c r="N49" i="11"/>
  <c r="C26" i="11"/>
  <c r="C25" i="11"/>
  <c r="C24" i="11"/>
  <c r="C59" i="11"/>
  <c r="BA49" i="11"/>
  <c r="AG49" i="11"/>
  <c r="M49" i="11"/>
  <c r="C58" i="11"/>
  <c r="AZ49" i="11"/>
  <c r="AF49" i="11"/>
  <c r="L49" i="11"/>
  <c r="C57" i="11"/>
  <c r="AY49" i="11"/>
  <c r="AE49" i="11"/>
  <c r="K49" i="11"/>
  <c r="C23" i="11"/>
  <c r="F49" i="11"/>
  <c r="AS49" i="11"/>
  <c r="E49" i="11"/>
  <c r="C56" i="11"/>
  <c r="AX49" i="11"/>
  <c r="AD49" i="11"/>
  <c r="J49" i="11"/>
  <c r="C22" i="11"/>
  <c r="C18" i="11"/>
  <c r="C55" i="11"/>
  <c r="AW49" i="11"/>
  <c r="AC49" i="11"/>
  <c r="I49" i="11"/>
  <c r="C21" i="11"/>
  <c r="C52" i="11"/>
  <c r="AT49" i="11"/>
  <c r="C54" i="11"/>
  <c r="AV49" i="11"/>
  <c r="AB49" i="11"/>
  <c r="H49" i="11"/>
  <c r="C20" i="11"/>
  <c r="C53" i="11"/>
  <c r="AU49" i="11"/>
  <c r="AA49" i="11"/>
  <c r="G49" i="11"/>
  <c r="C19" i="11"/>
  <c r="Z49" i="11"/>
  <c r="Y49" i="11"/>
  <c r="Y46" i="11"/>
  <c r="BK46" i="11"/>
  <c r="AO47" i="11"/>
  <c r="T48" i="11"/>
  <c r="BH48" i="11"/>
  <c r="AO49" i="11"/>
  <c r="U50" i="11"/>
  <c r="C62" i="11"/>
  <c r="G64" i="11"/>
  <c r="AW64" i="11"/>
  <c r="U62" i="11"/>
  <c r="BH62" i="11"/>
  <c r="AN62" i="11"/>
  <c r="T62" i="11"/>
  <c r="BG62" i="11"/>
  <c r="AM62" i="11"/>
  <c r="S62" i="11"/>
  <c r="BF62" i="11"/>
  <c r="AL62" i="11"/>
  <c r="AI62" i="11"/>
  <c r="O62" i="11"/>
  <c r="M62" i="11"/>
  <c r="L62" i="11"/>
  <c r="BB62" i="11"/>
  <c r="AH62" i="11"/>
  <c r="N62" i="11"/>
  <c r="AZ62" i="11"/>
  <c r="BH46" i="11"/>
  <c r="BB50" i="11"/>
  <c r="AH50" i="11"/>
  <c r="N50" i="11"/>
  <c r="BA50" i="11"/>
  <c r="AG50" i="11"/>
  <c r="M50" i="11"/>
  <c r="AZ50" i="11"/>
  <c r="AF50" i="11"/>
  <c r="L50" i="11"/>
  <c r="AY50" i="11"/>
  <c r="AE50" i="11"/>
  <c r="K50" i="11"/>
  <c r="AX50" i="11"/>
  <c r="AD50" i="11"/>
  <c r="J50" i="11"/>
  <c r="AS50" i="11"/>
  <c r="AW50" i="11"/>
  <c r="AC50" i="11"/>
  <c r="I50" i="11"/>
  <c r="E50" i="11"/>
  <c r="AV50" i="11"/>
  <c r="AB50" i="11"/>
  <c r="H50" i="11"/>
  <c r="Y50" i="11"/>
  <c r="AU50" i="11"/>
  <c r="AA50" i="11"/>
  <c r="G50" i="11"/>
  <c r="X50" i="11"/>
  <c r="AT50" i="11"/>
  <c r="Z50" i="11"/>
  <c r="F50" i="11"/>
  <c r="AT62" i="11"/>
  <c r="BI64" i="11"/>
  <c r="AW62" i="11"/>
  <c r="X64" i="11"/>
  <c r="Z64" i="11"/>
  <c r="BE46" i="11"/>
  <c r="AK46" i="11"/>
  <c r="Q46" i="11"/>
  <c r="P46" i="11"/>
  <c r="BD46" i="11"/>
  <c r="AJ46" i="11"/>
  <c r="BC46" i="11"/>
  <c r="AI46" i="11"/>
  <c r="O46" i="11"/>
  <c r="BB46" i="11"/>
  <c r="AH46" i="11"/>
  <c r="N46" i="11"/>
  <c r="AW46" i="11"/>
  <c r="I46" i="11"/>
  <c r="BA46" i="11"/>
  <c r="AG46" i="11"/>
  <c r="M46" i="11"/>
  <c r="AZ46" i="11"/>
  <c r="AF46" i="11"/>
  <c r="L46" i="11"/>
  <c r="J46" i="11"/>
  <c r="AY46" i="11"/>
  <c r="AE46" i="11"/>
  <c r="K46" i="11"/>
  <c r="AC46" i="11"/>
  <c r="AX46" i="11"/>
  <c r="AD46" i="11"/>
  <c r="V50" i="11"/>
  <c r="H64" i="11"/>
  <c r="C27" i="11"/>
  <c r="AA46" i="11"/>
  <c r="D47" i="11"/>
  <c r="AQ47" i="11"/>
  <c r="V48" i="11"/>
  <c r="BJ48" i="11"/>
  <c r="AQ49" i="11"/>
  <c r="W50" i="11"/>
  <c r="C51" i="11"/>
  <c r="E62" i="11"/>
  <c r="AU62" i="11"/>
  <c r="AB63" i="11"/>
  <c r="I64" i="11"/>
  <c r="BH64" i="11"/>
  <c r="AN64" i="11"/>
  <c r="T64" i="11"/>
  <c r="BG64" i="11"/>
  <c r="AM64" i="11"/>
  <c r="S64" i="11"/>
  <c r="BF64" i="11"/>
  <c r="AL64" i="11"/>
  <c r="R64" i="11"/>
  <c r="BE64" i="11"/>
  <c r="AK64" i="11"/>
  <c r="Q64" i="11"/>
  <c r="BD64" i="11"/>
  <c r="AJ64" i="11"/>
  <c r="P64" i="11"/>
  <c r="AX64" i="11"/>
  <c r="BC64" i="11"/>
  <c r="AI64" i="11"/>
  <c r="O64" i="11"/>
  <c r="AE64" i="11"/>
  <c r="AD64" i="11"/>
  <c r="BB64" i="11"/>
  <c r="AH64" i="11"/>
  <c r="N64" i="11"/>
  <c r="AY64" i="11"/>
  <c r="BA64" i="11"/>
  <c r="AG64" i="11"/>
  <c r="M64" i="11"/>
  <c r="K64" i="11"/>
  <c r="J64" i="11"/>
  <c r="AZ64" i="11"/>
  <c r="AF64" i="11"/>
  <c r="L64" i="11"/>
  <c r="BK62" i="11"/>
  <c r="BK50" i="11"/>
  <c r="BK61" i="11"/>
  <c r="AQ61" i="11"/>
  <c r="W61" i="11"/>
  <c r="V61" i="11"/>
  <c r="BI61" i="11"/>
  <c r="BH61" i="11"/>
  <c r="T61" i="11"/>
  <c r="BG61" i="11"/>
  <c r="AM61" i="11"/>
  <c r="S61" i="11"/>
  <c r="BA61" i="11"/>
  <c r="BF61" i="11"/>
  <c r="AL61" i="11"/>
  <c r="R61" i="11"/>
  <c r="BB61" i="11"/>
  <c r="M61" i="11"/>
  <c r="BE61" i="11"/>
  <c r="AK61" i="11"/>
  <c r="BD61" i="11"/>
  <c r="AJ61" i="11"/>
  <c r="AI61" i="11"/>
  <c r="AH61" i="11"/>
  <c r="AG61" i="11"/>
  <c r="AB46" i="11"/>
  <c r="E47" i="11"/>
  <c r="AR47" i="11"/>
  <c r="AR49" i="11"/>
  <c r="AI50" i="11"/>
  <c r="Y61" i="11"/>
  <c r="F62" i="11"/>
  <c r="AV62" i="11"/>
  <c r="AC63" i="11"/>
  <c r="U64" i="11"/>
  <c r="BK64" i="11"/>
  <c r="AV63" i="11" l="1"/>
  <c r="X63" i="11"/>
  <c r="AJ63" i="11"/>
  <c r="AF63" i="11"/>
  <c r="P62" i="11"/>
  <c r="AD62" i="11"/>
  <c r="BE63" i="11"/>
  <c r="O61" i="11"/>
  <c r="AN61" i="11"/>
  <c r="AJ62" i="11"/>
  <c r="AP62" i="11"/>
  <c r="AW61" i="11"/>
  <c r="AE63" i="11"/>
  <c r="R63" i="11"/>
  <c r="AI63" i="11"/>
  <c r="P63" i="11"/>
  <c r="BD63" i="11"/>
  <c r="BI62" i="11"/>
  <c r="BC61" i="11"/>
  <c r="AF62" i="11"/>
  <c r="W62" i="11"/>
  <c r="AZ63" i="11"/>
  <c r="BF63" i="11"/>
  <c r="BJ63" i="11"/>
  <c r="Y63" i="11"/>
  <c r="E63" i="11"/>
  <c r="AW63" i="11"/>
  <c r="AT63" i="11"/>
  <c r="AO62" i="11"/>
  <c r="K62" i="11"/>
  <c r="AG62" i="11"/>
  <c r="V63" i="11"/>
  <c r="Z62" i="11"/>
  <c r="I62" i="11"/>
  <c r="AK63" i="11"/>
  <c r="V62" i="11"/>
  <c r="K63" i="11"/>
  <c r="D62" i="11"/>
  <c r="BD62" i="11"/>
  <c r="BJ62" i="11"/>
  <c r="X62" i="11"/>
  <c r="AY63" i="11"/>
  <c r="AL63" i="11"/>
  <c r="X61" i="11"/>
  <c r="AX61" i="11"/>
  <c r="AE61" i="11"/>
  <c r="AV61" i="11"/>
  <c r="AR61" i="11"/>
  <c r="AF61" i="11"/>
  <c r="AD61" i="11"/>
  <c r="AC61" i="11"/>
  <c r="AB61" i="11"/>
  <c r="AA61" i="11"/>
  <c r="Z61" i="11"/>
  <c r="L61" i="11"/>
  <c r="H61" i="11"/>
  <c r="F61" i="11"/>
  <c r="P61" i="11"/>
  <c r="AO61" i="11"/>
  <c r="AE62" i="11"/>
  <c r="BA62" i="11"/>
  <c r="M63" i="11"/>
  <c r="S63" i="11"/>
  <c r="BJ50" i="11"/>
  <c r="AL50" i="11"/>
  <c r="AO50" i="11"/>
  <c r="AK50" i="11"/>
  <c r="AJ50" i="11"/>
  <c r="R50" i="11"/>
  <c r="BE50" i="11"/>
  <c r="S50" i="11"/>
  <c r="P50" i="11"/>
  <c r="AP50" i="11"/>
  <c r="AM50" i="11"/>
  <c r="BG50" i="11"/>
  <c r="AN50" i="11"/>
  <c r="AR63" i="11"/>
  <c r="AD63" i="11"/>
  <c r="I63" i="11"/>
  <c r="BC63" i="11"/>
  <c r="AA63" i="11"/>
  <c r="BC62" i="11"/>
  <c r="G63" i="11"/>
  <c r="Q63" i="11"/>
  <c r="Q62" i="11"/>
  <c r="Z63" i="11"/>
  <c r="AX63" i="11"/>
  <c r="AG63" i="11"/>
  <c r="AM63" i="11"/>
  <c r="AK62" i="11"/>
  <c r="N61" i="11"/>
  <c r="AP61" i="11"/>
  <c r="BE62" i="11"/>
  <c r="K61" i="11"/>
  <c r="AQ62" i="11"/>
  <c r="AA62" i="11"/>
  <c r="AU63" i="11"/>
  <c r="L63" i="11"/>
  <c r="T63" i="11"/>
  <c r="BJ64" i="11"/>
  <c r="AB64" i="11"/>
  <c r="V64" i="11"/>
  <c r="W64" i="11"/>
  <c r="W63" i="11"/>
  <c r="F63" i="11"/>
  <c r="D63" i="11"/>
  <c r="H63" i="11"/>
  <c r="BA63" i="11"/>
  <c r="BG63" i="11"/>
  <c r="Q61" i="11"/>
  <c r="BJ61" i="11"/>
  <c r="R62" i="11"/>
  <c r="AT64" i="11"/>
  <c r="BK63" i="11"/>
  <c r="AT61" i="11"/>
  <c r="AA64" i="11"/>
  <c r="N63" i="11"/>
  <c r="AN63" i="11"/>
  <c r="AU57" i="11"/>
  <c r="AA57" i="11"/>
  <c r="G57" i="11"/>
  <c r="AT57" i="11"/>
  <c r="Z57" i="11"/>
  <c r="F57" i="11"/>
  <c r="AS57" i="11"/>
  <c r="Y57" i="11"/>
  <c r="E57" i="11"/>
  <c r="AR57" i="11"/>
  <c r="X57" i="11"/>
  <c r="D57" i="11"/>
  <c r="BK57" i="11"/>
  <c r="AQ57" i="11"/>
  <c r="W57" i="11"/>
  <c r="BJ57" i="11"/>
  <c r="AP57" i="11"/>
  <c r="V57" i="11"/>
  <c r="BF57" i="11"/>
  <c r="Q57" i="11"/>
  <c r="BI57" i="11"/>
  <c r="AO57" i="11"/>
  <c r="U57" i="11"/>
  <c r="AL57" i="11"/>
  <c r="BH57" i="11"/>
  <c r="AN57" i="11"/>
  <c r="T57" i="11"/>
  <c r="R57" i="11"/>
  <c r="AK57" i="11"/>
  <c r="BG57" i="11"/>
  <c r="AM57" i="11"/>
  <c r="S57" i="11"/>
  <c r="BE57" i="11"/>
  <c r="AV57" i="11"/>
  <c r="BA57" i="11"/>
  <c r="I57" i="11"/>
  <c r="AW57" i="11"/>
  <c r="AJ57" i="11"/>
  <c r="AI57" i="11"/>
  <c r="L57" i="11"/>
  <c r="J57" i="11"/>
  <c r="AH57" i="11"/>
  <c r="AE57" i="11"/>
  <c r="BB57" i="11"/>
  <c r="AG57" i="11"/>
  <c r="AC57" i="11"/>
  <c r="AF57" i="11"/>
  <c r="AD57" i="11"/>
  <c r="AY57" i="11"/>
  <c r="AB57" i="11"/>
  <c r="P57" i="11"/>
  <c r="BC57" i="11"/>
  <c r="H57" i="11"/>
  <c r="O57" i="11"/>
  <c r="AZ57" i="11"/>
  <c r="AX57" i="11"/>
  <c r="BD57" i="11"/>
  <c r="N57" i="11"/>
  <c r="M57" i="11"/>
  <c r="K57" i="11"/>
  <c r="AZ52" i="11"/>
  <c r="AF52" i="11"/>
  <c r="L52" i="11"/>
  <c r="AY52" i="11"/>
  <c r="AE52" i="11"/>
  <c r="K52" i="11"/>
  <c r="AX52" i="11"/>
  <c r="AD52" i="11"/>
  <c r="J52" i="11"/>
  <c r="AW52" i="11"/>
  <c r="AC52" i="11"/>
  <c r="I52" i="11"/>
  <c r="AV52" i="11"/>
  <c r="AB52" i="11"/>
  <c r="H52" i="11"/>
  <c r="AQ52" i="11"/>
  <c r="BJ52" i="11"/>
  <c r="AU52" i="11"/>
  <c r="AA52" i="11"/>
  <c r="G52" i="11"/>
  <c r="V52" i="11"/>
  <c r="AT52" i="11"/>
  <c r="Z52" i="11"/>
  <c r="F52" i="11"/>
  <c r="AS52" i="11"/>
  <c r="Y52" i="11"/>
  <c r="E52" i="11"/>
  <c r="W52" i="11"/>
  <c r="AP52" i="11"/>
  <c r="AR52" i="11"/>
  <c r="X52" i="11"/>
  <c r="D52" i="11"/>
  <c r="BK52" i="11"/>
  <c r="AK52" i="11"/>
  <c r="AL52" i="11"/>
  <c r="AJ52" i="11"/>
  <c r="AI52" i="11"/>
  <c r="T52" i="11"/>
  <c r="AN52" i="11"/>
  <c r="R52" i="11"/>
  <c r="AH52" i="11"/>
  <c r="AG52" i="11"/>
  <c r="U52" i="11"/>
  <c r="BI52" i="11"/>
  <c r="S52" i="11"/>
  <c r="BH52" i="11"/>
  <c r="BB52" i="11"/>
  <c r="BG52" i="11"/>
  <c r="Q52" i="11"/>
  <c r="BD52" i="11"/>
  <c r="BA52" i="11"/>
  <c r="BF52" i="11"/>
  <c r="P52" i="11"/>
  <c r="BC52" i="11"/>
  <c r="AM52" i="11"/>
  <c r="BE52" i="11"/>
  <c r="O52" i="11"/>
  <c r="N52" i="11"/>
  <c r="M52" i="11"/>
  <c r="AO52" i="11"/>
  <c r="AT58" i="11"/>
  <c r="Z58" i="11"/>
  <c r="F58" i="11"/>
  <c r="AS58" i="11"/>
  <c r="Y58" i="11"/>
  <c r="E58" i="11"/>
  <c r="AR58" i="11"/>
  <c r="X58" i="11"/>
  <c r="D58" i="11"/>
  <c r="BK58" i="11"/>
  <c r="AQ58" i="11"/>
  <c r="W58" i="11"/>
  <c r="BJ58" i="11"/>
  <c r="AP58" i="11"/>
  <c r="V58" i="11"/>
  <c r="P58" i="11"/>
  <c r="BI58" i="11"/>
  <c r="AO58" i="11"/>
  <c r="U58" i="11"/>
  <c r="BE58" i="11"/>
  <c r="AJ58" i="11"/>
  <c r="BH58" i="11"/>
  <c r="AN58" i="11"/>
  <c r="T58" i="11"/>
  <c r="BG58" i="11"/>
  <c r="AM58" i="11"/>
  <c r="S58" i="11"/>
  <c r="Q58" i="11"/>
  <c r="BD58" i="11"/>
  <c r="BF58" i="11"/>
  <c r="AL58" i="11"/>
  <c r="R58" i="11"/>
  <c r="AK58" i="11"/>
  <c r="AC58" i="11"/>
  <c r="AF58" i="11"/>
  <c r="AB58" i="11"/>
  <c r="AE58" i="11"/>
  <c r="AA58" i="11"/>
  <c r="O58" i="11"/>
  <c r="BC58" i="11"/>
  <c r="BB58" i="11"/>
  <c r="L58" i="11"/>
  <c r="J58" i="11"/>
  <c r="N58" i="11"/>
  <c r="M58" i="11"/>
  <c r="AH58" i="11"/>
  <c r="AD58" i="11"/>
  <c r="BA58" i="11"/>
  <c r="K58" i="11"/>
  <c r="AZ58" i="11"/>
  <c r="AY58" i="11"/>
  <c r="I58" i="11"/>
  <c r="AG58" i="11"/>
  <c r="AX58" i="11"/>
  <c r="H58" i="11"/>
  <c r="AW58" i="11"/>
  <c r="G58" i="11"/>
  <c r="AU58" i="11"/>
  <c r="AV58" i="11"/>
  <c r="AI58" i="11"/>
  <c r="AS59" i="11"/>
  <c r="Y59" i="11"/>
  <c r="E59" i="11"/>
  <c r="AR59" i="11"/>
  <c r="X59" i="11"/>
  <c r="D59" i="11"/>
  <c r="BK59" i="11"/>
  <c r="AQ59" i="11"/>
  <c r="W59" i="11"/>
  <c r="BJ59" i="11"/>
  <c r="AP59" i="11"/>
  <c r="V59" i="11"/>
  <c r="BI59" i="11"/>
  <c r="AO59" i="11"/>
  <c r="U59" i="11"/>
  <c r="AI59" i="11"/>
  <c r="BH59" i="11"/>
  <c r="AN59" i="11"/>
  <c r="T59" i="11"/>
  <c r="BD59" i="11"/>
  <c r="BC59" i="11"/>
  <c r="BG59" i="11"/>
  <c r="AM59" i="11"/>
  <c r="S59" i="11"/>
  <c r="P59" i="11"/>
  <c r="BF59" i="11"/>
  <c r="AL59" i="11"/>
  <c r="R59" i="11"/>
  <c r="AJ59" i="11"/>
  <c r="BE59" i="11"/>
  <c r="AK59" i="11"/>
  <c r="Q59" i="11"/>
  <c r="O59" i="11"/>
  <c r="AZ59" i="11"/>
  <c r="J59" i="11"/>
  <c r="AX59" i="11"/>
  <c r="AG59" i="11"/>
  <c r="AY59" i="11"/>
  <c r="I59" i="11"/>
  <c r="H59" i="11"/>
  <c r="BB59" i="11"/>
  <c r="AW59" i="11"/>
  <c r="G59" i="11"/>
  <c r="AT59" i="11"/>
  <c r="Z59" i="11"/>
  <c r="AV59" i="11"/>
  <c r="F59" i="11"/>
  <c r="M59" i="11"/>
  <c r="AU59" i="11"/>
  <c r="AH59" i="11"/>
  <c r="K59" i="11"/>
  <c r="AF59" i="11"/>
  <c r="L59" i="11"/>
  <c r="AE59" i="11"/>
  <c r="AB59" i="11"/>
  <c r="N59" i="11"/>
  <c r="AD59" i="11"/>
  <c r="AC59" i="11"/>
  <c r="AA59" i="11"/>
  <c r="BA59" i="11"/>
  <c r="AY53" i="11"/>
  <c r="AE53" i="11"/>
  <c r="K53" i="11"/>
  <c r="AX53" i="11"/>
  <c r="AD53" i="11"/>
  <c r="J53" i="11"/>
  <c r="AW53" i="11"/>
  <c r="AC53" i="11"/>
  <c r="I53" i="11"/>
  <c r="AV53" i="11"/>
  <c r="AB53" i="11"/>
  <c r="H53" i="11"/>
  <c r="AU53" i="11"/>
  <c r="AA53" i="11"/>
  <c r="G53" i="11"/>
  <c r="AO53" i="11"/>
  <c r="AT53" i="11"/>
  <c r="Z53" i="11"/>
  <c r="F53" i="11"/>
  <c r="V53" i="11"/>
  <c r="BI53" i="11"/>
  <c r="AS53" i="11"/>
  <c r="Y53" i="11"/>
  <c r="E53" i="11"/>
  <c r="AP53" i="11"/>
  <c r="AR53" i="11"/>
  <c r="X53" i="11"/>
  <c r="D53" i="11"/>
  <c r="BJ53" i="11"/>
  <c r="BK53" i="11"/>
  <c r="AQ53" i="11"/>
  <c r="W53" i="11"/>
  <c r="U53" i="11"/>
  <c r="BH53" i="11"/>
  <c r="R53" i="11"/>
  <c r="AH53" i="11"/>
  <c r="BG53" i="11"/>
  <c r="Q53" i="11"/>
  <c r="P53" i="11"/>
  <c r="T53" i="11"/>
  <c r="S53" i="11"/>
  <c r="BF53" i="11"/>
  <c r="BE53" i="11"/>
  <c r="O53" i="11"/>
  <c r="BC53" i="11"/>
  <c r="BB53" i="11"/>
  <c r="AZ53" i="11"/>
  <c r="AF53" i="11"/>
  <c r="BD53" i="11"/>
  <c r="N53" i="11"/>
  <c r="M53" i="11"/>
  <c r="L53" i="11"/>
  <c r="BA53" i="11"/>
  <c r="AN53" i="11"/>
  <c r="AJ53" i="11"/>
  <c r="AM53" i="11"/>
  <c r="AK53" i="11"/>
  <c r="AG53" i="11"/>
  <c r="AL53" i="11"/>
  <c r="AI53" i="11"/>
  <c r="AV56" i="11"/>
  <c r="AB56" i="11"/>
  <c r="H56" i="11"/>
  <c r="AU56" i="11"/>
  <c r="AA56" i="11"/>
  <c r="G56" i="11"/>
  <c r="AT56" i="11"/>
  <c r="Z56" i="11"/>
  <c r="F56" i="11"/>
  <c r="AS56" i="11"/>
  <c r="Y56" i="11"/>
  <c r="E56" i="11"/>
  <c r="AR56" i="11"/>
  <c r="X56" i="11"/>
  <c r="D56" i="11"/>
  <c r="S56" i="11"/>
  <c r="BF56" i="11"/>
  <c r="BK56" i="11"/>
  <c r="AQ56" i="11"/>
  <c r="W56" i="11"/>
  <c r="BG56" i="11"/>
  <c r="AL56" i="11"/>
  <c r="BJ56" i="11"/>
  <c r="AP56" i="11"/>
  <c r="V56" i="11"/>
  <c r="BI56" i="11"/>
  <c r="AO56" i="11"/>
  <c r="U56" i="11"/>
  <c r="BH56" i="11"/>
  <c r="AN56" i="11"/>
  <c r="T56" i="11"/>
  <c r="AM56" i="11"/>
  <c r="R56" i="11"/>
  <c r="BD56" i="11"/>
  <c r="N56" i="11"/>
  <c r="AD56" i="11"/>
  <c r="BC56" i="11"/>
  <c r="M56" i="11"/>
  <c r="L56" i="11"/>
  <c r="BB56" i="11"/>
  <c r="AE56" i="11"/>
  <c r="AC56" i="11"/>
  <c r="BA56" i="11"/>
  <c r="K56" i="11"/>
  <c r="I56" i="11"/>
  <c r="O56" i="11"/>
  <c r="AZ56" i="11"/>
  <c r="J56" i="11"/>
  <c r="AY56" i="11"/>
  <c r="AX56" i="11"/>
  <c r="Q56" i="11"/>
  <c r="AW56" i="11"/>
  <c r="AK56" i="11"/>
  <c r="P56" i="11"/>
  <c r="AJ56" i="11"/>
  <c r="BE56" i="11"/>
  <c r="AI56" i="11"/>
  <c r="AH56" i="11"/>
  <c r="AF56" i="11"/>
  <c r="AG56" i="11"/>
  <c r="AW55" i="11"/>
  <c r="AC55" i="11"/>
  <c r="I55" i="11"/>
  <c r="AV55" i="11"/>
  <c r="AB55" i="11"/>
  <c r="H55" i="11"/>
  <c r="AU55" i="11"/>
  <c r="AA55" i="11"/>
  <c r="G55" i="11"/>
  <c r="AT55" i="11"/>
  <c r="Z55" i="11"/>
  <c r="F55" i="11"/>
  <c r="AS55" i="11"/>
  <c r="Y55" i="11"/>
  <c r="E55" i="11"/>
  <c r="AM55" i="11"/>
  <c r="AR55" i="11"/>
  <c r="X55" i="11"/>
  <c r="D55" i="11"/>
  <c r="AN55" i="11"/>
  <c r="S55" i="11"/>
  <c r="BK55" i="11"/>
  <c r="AQ55" i="11"/>
  <c r="W55" i="11"/>
  <c r="BH55" i="11"/>
  <c r="BJ55" i="11"/>
  <c r="AP55" i="11"/>
  <c r="V55" i="11"/>
  <c r="T55" i="11"/>
  <c r="BG55" i="11"/>
  <c r="BI55" i="11"/>
  <c r="AO55" i="11"/>
  <c r="U55" i="11"/>
  <c r="AG55" i="11"/>
  <c r="AF55" i="11"/>
  <c r="BF55" i="11"/>
  <c r="BD55" i="11"/>
  <c r="AE55" i="11"/>
  <c r="AD55" i="11"/>
  <c r="P55" i="11"/>
  <c r="R55" i="11"/>
  <c r="Q55" i="11"/>
  <c r="AL55" i="11"/>
  <c r="AH55" i="11"/>
  <c r="AI55" i="11"/>
  <c r="BE55" i="11"/>
  <c r="O55" i="11"/>
  <c r="N55" i="11"/>
  <c r="BC55" i="11"/>
  <c r="M55" i="11"/>
  <c r="AY55" i="11"/>
  <c r="BB55" i="11"/>
  <c r="L55" i="11"/>
  <c r="AX55" i="11"/>
  <c r="BA55" i="11"/>
  <c r="K55" i="11"/>
  <c r="AZ55" i="11"/>
  <c r="J55" i="11"/>
  <c r="AJ55" i="11"/>
  <c r="AK55" i="11"/>
  <c r="AR60" i="11"/>
  <c r="X60" i="11"/>
  <c r="D60" i="11"/>
  <c r="BK60" i="11"/>
  <c r="AQ60" i="11"/>
  <c r="W60" i="11"/>
  <c r="BJ60" i="11"/>
  <c r="AP60" i="11"/>
  <c r="V60" i="11"/>
  <c r="BI60" i="11"/>
  <c r="AO60" i="11"/>
  <c r="U60" i="11"/>
  <c r="BH60" i="11"/>
  <c r="AN60" i="11"/>
  <c r="T60" i="11"/>
  <c r="AH60" i="11"/>
  <c r="BG60" i="11"/>
  <c r="AM60" i="11"/>
  <c r="S60" i="11"/>
  <c r="AI60" i="11"/>
  <c r="BF60" i="11"/>
  <c r="AL60" i="11"/>
  <c r="R60" i="11"/>
  <c r="BE60" i="11"/>
  <c r="AK60" i="11"/>
  <c r="Q60" i="11"/>
  <c r="BC60" i="11"/>
  <c r="N60" i="11"/>
  <c r="BD60" i="11"/>
  <c r="AJ60" i="11"/>
  <c r="P60" i="11"/>
  <c r="O60" i="11"/>
  <c r="BB60" i="11"/>
  <c r="AG60" i="11"/>
  <c r="H60" i="11"/>
  <c r="AF60" i="11"/>
  <c r="AE60" i="11"/>
  <c r="Y60" i="11"/>
  <c r="AU60" i="11"/>
  <c r="AS60" i="11"/>
  <c r="AD60" i="11"/>
  <c r="AA60" i="11"/>
  <c r="F60" i="11"/>
  <c r="AC60" i="11"/>
  <c r="AB60" i="11"/>
  <c r="AX60" i="11"/>
  <c r="Z60" i="11"/>
  <c r="M60" i="11"/>
  <c r="AZ60" i="11"/>
  <c r="I60" i="11"/>
  <c r="AW60" i="11"/>
  <c r="E60" i="11"/>
  <c r="L60" i="11"/>
  <c r="J60" i="11"/>
  <c r="G60" i="11"/>
  <c r="BA60" i="11"/>
  <c r="K60" i="11"/>
  <c r="AY60" i="11"/>
  <c r="AT60" i="11"/>
  <c r="AV60" i="11"/>
  <c r="AX54" i="11"/>
  <c r="AD54" i="11"/>
  <c r="J54" i="11"/>
  <c r="AW54" i="11"/>
  <c r="AC54" i="11"/>
  <c r="I54" i="11"/>
  <c r="AV54" i="11"/>
  <c r="AB54" i="11"/>
  <c r="H54" i="11"/>
  <c r="AU54" i="11"/>
  <c r="AA54" i="11"/>
  <c r="G54" i="11"/>
  <c r="AT54" i="11"/>
  <c r="Z54" i="11"/>
  <c r="F54" i="11"/>
  <c r="AN54" i="11"/>
  <c r="AS54" i="11"/>
  <c r="Y54" i="11"/>
  <c r="E54" i="11"/>
  <c r="U54" i="11"/>
  <c r="AR54" i="11"/>
  <c r="X54" i="11"/>
  <c r="D54" i="11"/>
  <c r="BI54" i="11"/>
  <c r="BK54" i="11"/>
  <c r="AQ54" i="11"/>
  <c r="W54" i="11"/>
  <c r="T54" i="11"/>
  <c r="BJ54" i="11"/>
  <c r="AP54" i="11"/>
  <c r="V54" i="11"/>
  <c r="AO54" i="11"/>
  <c r="BH54" i="11"/>
  <c r="AZ54" i="11"/>
  <c r="AI54" i="11"/>
  <c r="BC54" i="11"/>
  <c r="AY54" i="11"/>
  <c r="AM54" i="11"/>
  <c r="BB54" i="11"/>
  <c r="K54" i="11"/>
  <c r="AL54" i="11"/>
  <c r="BE54" i="11"/>
  <c r="N54" i="11"/>
  <c r="AK54" i="11"/>
  <c r="AJ54" i="11"/>
  <c r="O54" i="11"/>
  <c r="AH54" i="11"/>
  <c r="AG54" i="11"/>
  <c r="BD54" i="11"/>
  <c r="AF54" i="11"/>
  <c r="BF54" i="11"/>
  <c r="AE54" i="11"/>
  <c r="BG54" i="11"/>
  <c r="S54" i="11"/>
  <c r="R54" i="11"/>
  <c r="Q54" i="11"/>
  <c r="P54" i="11"/>
  <c r="M54" i="11"/>
  <c r="L54" i="11"/>
  <c r="BA54" i="11"/>
  <c r="BA51" i="11"/>
  <c r="AG51" i="11"/>
  <c r="M51" i="11"/>
  <c r="AZ51" i="11"/>
  <c r="AF51" i="11"/>
  <c r="L51" i="11"/>
  <c r="AQ51" i="11"/>
  <c r="AY51" i="11"/>
  <c r="AE51" i="11"/>
  <c r="K51" i="11"/>
  <c r="AX51" i="11"/>
  <c r="AD51" i="11"/>
  <c r="J51" i="11"/>
  <c r="AW51" i="11"/>
  <c r="AC51" i="11"/>
  <c r="I51" i="11"/>
  <c r="BK51" i="11"/>
  <c r="AV51" i="11"/>
  <c r="AB51" i="11"/>
  <c r="H51" i="11"/>
  <c r="AR51" i="11"/>
  <c r="AU51" i="11"/>
  <c r="AA51" i="11"/>
  <c r="G51" i="11"/>
  <c r="AT51" i="11"/>
  <c r="Z51" i="11"/>
  <c r="F51" i="11"/>
  <c r="D51" i="11"/>
  <c r="AS51" i="11"/>
  <c r="Y51" i="11"/>
  <c r="E51" i="11"/>
  <c r="X51" i="11"/>
  <c r="W51" i="11"/>
  <c r="BD51" i="11"/>
  <c r="N51" i="11"/>
  <c r="AM51" i="11"/>
  <c r="AK51" i="11"/>
  <c r="BC51" i="11"/>
  <c r="BH51" i="11"/>
  <c r="BB51" i="11"/>
  <c r="AP51" i="11"/>
  <c r="AN51" i="11"/>
  <c r="AO51" i="11"/>
  <c r="BI51" i="11"/>
  <c r="AL51" i="11"/>
  <c r="Q51" i="11"/>
  <c r="AJ51" i="11"/>
  <c r="T51" i="11"/>
  <c r="AI51" i="11"/>
  <c r="BJ51" i="11"/>
  <c r="S51" i="11"/>
  <c r="AH51" i="11"/>
  <c r="V51" i="11"/>
  <c r="U51" i="11"/>
  <c r="O51" i="11"/>
  <c r="R51" i="11"/>
  <c r="BF51" i="11"/>
  <c r="BG51" i="11"/>
  <c r="P51" i="11"/>
  <c r="BE51" i="11"/>
  <c r="DL77" i="7" l="1"/>
  <c r="DM77" i="7"/>
  <c r="DR77" i="7"/>
  <c r="CP78" i="7"/>
  <c r="DB78" i="7"/>
  <c r="CW91" i="7"/>
  <c r="CR96" i="7"/>
  <c r="CU96" i="7"/>
  <c r="DQ97" i="7"/>
  <c r="CW98" i="7"/>
  <c r="CX98" i="7"/>
  <c r="CZ98" i="7"/>
  <c r="DA98" i="7"/>
  <c r="DB98" i="7"/>
  <c r="CZ102" i="7"/>
  <c r="DG102" i="7"/>
  <c r="DC111" i="7"/>
  <c r="DG112" i="7"/>
  <c r="CO118" i="7"/>
  <c r="CV118" i="7"/>
  <c r="DC118" i="7"/>
  <c r="DQ118" i="7"/>
  <c r="DE119" i="7"/>
  <c r="DF119" i="7"/>
  <c r="DH119" i="7"/>
  <c r="CV121" i="7"/>
  <c r="DI121" i="7"/>
  <c r="CN124" i="7"/>
  <c r="CW134" i="7"/>
  <c r="CX134" i="7"/>
  <c r="CY134" i="7"/>
  <c r="CZ134" i="7"/>
  <c r="DA134" i="7"/>
  <c r="DC134" i="7"/>
  <c r="DH135" i="7"/>
  <c r="CR140" i="7"/>
  <c r="DL140" i="7"/>
  <c r="DP140" i="7"/>
  <c r="CO141" i="7"/>
  <c r="CZ141" i="7"/>
  <c r="DE141" i="7"/>
  <c r="DL143" i="7"/>
  <c r="DP143" i="7"/>
  <c r="CO144" i="7"/>
  <c r="DS144" i="7"/>
  <c r="DT144" i="7"/>
  <c r="DI145" i="7"/>
  <c r="DJ145" i="7"/>
  <c r="DK145" i="7"/>
  <c r="DL145" i="7"/>
  <c r="DM145" i="7"/>
  <c r="CU146" i="7"/>
  <c r="DG146" i="7"/>
  <c r="DJ146" i="7"/>
  <c r="DK146" i="7"/>
  <c r="DM146" i="7"/>
  <c r="DH150" i="7"/>
  <c r="DI150" i="7"/>
  <c r="DI152" i="7"/>
  <c r="CQ153" i="7"/>
  <c r="CR157" i="7"/>
  <c r="CS157" i="7"/>
  <c r="CU157" i="7"/>
  <c r="CV157" i="7"/>
  <c r="CW157" i="7"/>
  <c r="CY157" i="7"/>
  <c r="CN158" i="7"/>
  <c r="DH159" i="7"/>
  <c r="CP161" i="7"/>
  <c r="CS161" i="7"/>
  <c r="CU161" i="7"/>
  <c r="DH161" i="7"/>
  <c r="DC164" i="7"/>
  <c r="DE164" i="7"/>
  <c r="DN164" i="7"/>
  <c r="DP164" i="7"/>
  <c r="DU164" i="7"/>
  <c r="CT165" i="7"/>
  <c r="CW165" i="7"/>
  <c r="DF165" i="7"/>
  <c r="DG165" i="7"/>
  <c r="CR167" i="7"/>
  <c r="CU167" i="7"/>
  <c r="DB167" i="7"/>
  <c r="DE167" i="7"/>
  <c r="DF167" i="7"/>
  <c r="DH167" i="7"/>
  <c r="DQ167" i="7"/>
  <c r="DR167" i="7"/>
  <c r="DE168" i="7"/>
  <c r="DH168" i="7"/>
  <c r="DI168" i="7"/>
  <c r="DJ168" i="7"/>
  <c r="DK168" i="7"/>
  <c r="DT168" i="7"/>
  <c r="DW168" i="7"/>
  <c r="DO170" i="7"/>
  <c r="CQ171" i="7"/>
  <c r="CN177" i="7"/>
  <c r="CS177" i="7"/>
  <c r="CY177" i="7"/>
  <c r="DA177" i="7"/>
  <c r="DD177" i="7"/>
  <c r="DT179" i="7"/>
  <c r="DV181" i="7"/>
  <c r="DW181" i="7"/>
  <c r="CV182" i="7"/>
  <c r="DE182" i="7"/>
  <c r="DM182" i="7"/>
  <c r="DN182" i="7"/>
  <c r="DT182" i="7"/>
  <c r="DU182" i="7"/>
  <c r="DV182" i="7"/>
  <c r="CV183" i="7"/>
  <c r="DE185" i="7"/>
  <c r="DF185" i="7"/>
  <c r="DR185" i="7"/>
  <c r="DS185" i="7"/>
  <c r="CS187" i="7"/>
  <c r="DL187" i="7"/>
  <c r="DO187" i="7"/>
  <c r="DP187" i="7"/>
  <c r="DQ187" i="7"/>
  <c r="DR187" i="7"/>
  <c r="DT187" i="7"/>
  <c r="CQ188" i="7"/>
  <c r="CU188" i="7"/>
  <c r="DN188" i="7"/>
  <c r="DR188" i="7"/>
  <c r="CW189" i="7"/>
  <c r="DR189" i="7"/>
  <c r="DS189" i="7"/>
  <c r="CS190" i="7"/>
  <c r="CT190" i="7"/>
  <c r="CU190" i="7"/>
  <c r="CX190" i="7"/>
  <c r="CZ190" i="7"/>
  <c r="DA190" i="7"/>
  <c r="DB190" i="7"/>
  <c r="DC190" i="7"/>
  <c r="DF190" i="7"/>
  <c r="DH190" i="7"/>
  <c r="DI190" i="7"/>
  <c r="DG195" i="7"/>
  <c r="DH195" i="7"/>
  <c r="DJ196" i="7"/>
  <c r="DV196" i="7"/>
  <c r="DA199" i="7"/>
  <c r="DF199" i="7"/>
  <c r="DG199" i="7"/>
  <c r="DD200" i="7"/>
  <c r="DN200" i="7"/>
  <c r="DV200" i="7"/>
  <c r="CS201" i="7"/>
  <c r="CT201" i="7"/>
  <c r="CU201" i="7"/>
  <c r="DM201" i="7"/>
  <c r="CQ203" i="7"/>
  <c r="DM203" i="7"/>
  <c r="DN203" i="7"/>
  <c r="DP203" i="7"/>
  <c r="DU203" i="7"/>
  <c r="DV203" i="7"/>
  <c r="DH204" i="7"/>
  <c r="DR204" i="7"/>
  <c r="CU205" i="7"/>
  <c r="DA205" i="7"/>
  <c r="DC205" i="7"/>
  <c r="DP206" i="7"/>
  <c r="DR206" i="7"/>
  <c r="DE207" i="7"/>
  <c r="DF207" i="7"/>
  <c r="DG207" i="7"/>
  <c r="DN207" i="7"/>
  <c r="DO207" i="7"/>
  <c r="DP207" i="7"/>
  <c r="DQ207" i="7"/>
  <c r="DR207" i="7"/>
  <c r="DS207" i="7"/>
  <c r="DM208" i="7"/>
  <c r="DQ208" i="7"/>
  <c r="CX209" i="7"/>
  <c r="DB209" i="7"/>
  <c r="DC209" i="7"/>
  <c r="DD209" i="7"/>
  <c r="DK209" i="7"/>
  <c r="DN209" i="7"/>
  <c r="DR209" i="7"/>
  <c r="DD210" i="7"/>
  <c r="DF210" i="7"/>
  <c r="DH210" i="7"/>
  <c r="CP211" i="7"/>
  <c r="CT211" i="7"/>
  <c r="CX211" i="7"/>
  <c r="CY211" i="7"/>
  <c r="DB211" i="7"/>
  <c r="DD211" i="7"/>
  <c r="DE211" i="7"/>
  <c r="DF211" i="7"/>
  <c r="DG211" i="7"/>
  <c r="DH211" i="7"/>
  <c r="CN212" i="7"/>
  <c r="CP212" i="7"/>
  <c r="CS212" i="7"/>
  <c r="CU212" i="7"/>
  <c r="CV212" i="7"/>
  <c r="CX212" i="7"/>
  <c r="CZ212" i="7"/>
  <c r="DD212" i="7"/>
  <c r="DF212" i="7"/>
  <c r="DG212" i="7"/>
  <c r="DH212" i="7"/>
  <c r="DI212" i="7"/>
  <c r="DJ212" i="7"/>
  <c r="DP212" i="7"/>
  <c r="DQ212" i="7"/>
  <c r="DT212" i="7"/>
  <c r="CT216" i="7"/>
  <c r="CU216" i="7"/>
  <c r="DA216" i="7"/>
  <c r="CN221" i="7"/>
  <c r="CO221" i="7"/>
  <c r="CP221" i="7"/>
  <c r="CY221" i="7"/>
  <c r="DA222" i="7"/>
  <c r="DC222" i="7"/>
  <c r="DJ222" i="7"/>
  <c r="DN222" i="7"/>
  <c r="DO222" i="7"/>
  <c r="DA223" i="7"/>
  <c r="DB223" i="7"/>
  <c r="DG223" i="7"/>
  <c r="DI223" i="7"/>
  <c r="DJ223" i="7"/>
  <c r="DK223" i="7"/>
  <c r="DL223" i="7"/>
  <c r="DM223" i="7"/>
  <c r="CP225" i="7"/>
  <c r="CV225" i="7"/>
  <c r="DF225" i="7"/>
  <c r="DG225" i="7"/>
  <c r="DH225" i="7"/>
  <c r="DI225" i="7"/>
  <c r="DJ225" i="7"/>
  <c r="DK225" i="7"/>
  <c r="DL225" i="7"/>
  <c r="DB226" i="7"/>
  <c r="DC226" i="7"/>
  <c r="DH226" i="7"/>
  <c r="DM226" i="7"/>
  <c r="DN226" i="7"/>
  <c r="DO226" i="7"/>
  <c r="CR227" i="7"/>
  <c r="DJ227" i="7"/>
  <c r="DO227" i="7"/>
  <c r="CO228" i="7"/>
  <c r="CQ228" i="7"/>
  <c r="CR228" i="7"/>
  <c r="CW228" i="7"/>
  <c r="CX228" i="7"/>
  <c r="CY228" i="7"/>
  <c r="CZ228" i="7"/>
  <c r="DA228" i="7"/>
  <c r="DD229" i="7"/>
  <c r="DE229" i="7"/>
  <c r="DH229" i="7"/>
  <c r="DI229" i="7"/>
  <c r="DP229" i="7"/>
  <c r="DQ229" i="7"/>
  <c r="DT229" i="7"/>
  <c r="DV229" i="7"/>
  <c r="CU230" i="7"/>
  <c r="CV230" i="7"/>
  <c r="CW230" i="7"/>
  <c r="DR230" i="7"/>
  <c r="DS230" i="7"/>
  <c r="DT230" i="7"/>
  <c r="CO231" i="7"/>
  <c r="CP231" i="7"/>
  <c r="CQ231" i="7"/>
  <c r="CV231" i="7"/>
  <c r="CX231" i="7"/>
  <c r="CY231" i="7"/>
  <c r="CZ231" i="7"/>
  <c r="DA231" i="7"/>
  <c r="DB231" i="7"/>
  <c r="DL231" i="7"/>
  <c r="CP232" i="7"/>
  <c r="CQ232" i="7"/>
  <c r="CW232" i="7"/>
  <c r="CX232" i="7"/>
  <c r="DF232" i="7"/>
  <c r="DG232" i="7"/>
  <c r="DH232" i="7"/>
  <c r="DI232" i="7"/>
  <c r="DM232" i="7"/>
  <c r="DN232" i="7"/>
  <c r="DO232" i="7"/>
  <c r="CN233" i="7"/>
  <c r="CP233" i="7"/>
  <c r="CW233" i="7"/>
  <c r="CX233" i="7"/>
  <c r="CY233" i="7"/>
  <c r="CZ233" i="7"/>
  <c r="DF233" i="7"/>
  <c r="DH233" i="7"/>
  <c r="DI233" i="7"/>
  <c r="DJ233" i="7"/>
  <c r="DK233" i="7"/>
  <c r="DN233" i="7"/>
  <c r="DO233" i="7"/>
  <c r="DP233" i="7"/>
  <c r="DQ233" i="7"/>
  <c r="DR233" i="7"/>
  <c r="CN234" i="7"/>
  <c r="CO234" i="7"/>
  <c r="CP234" i="7"/>
  <c r="CQ234" i="7"/>
  <c r="CT234" i="7"/>
  <c r="CV234" i="7"/>
  <c r="CW234" i="7"/>
  <c r="CX234" i="7"/>
  <c r="CZ234" i="7"/>
  <c r="DA234" i="7"/>
  <c r="DB234" i="7"/>
  <c r="DC234" i="7"/>
  <c r="DD234" i="7"/>
  <c r="DE234" i="7"/>
  <c r="DF234" i="7"/>
  <c r="DG234" i="7"/>
  <c r="DH234" i="7"/>
  <c r="DJ234" i="7"/>
  <c r="DL234" i="7"/>
  <c r="DN234" i="7"/>
  <c r="DQ234" i="7"/>
  <c r="DS234" i="7"/>
  <c r="DT234" i="7"/>
  <c r="DV234" i="7"/>
  <c r="DW234" i="7"/>
  <c r="DR238" i="7"/>
  <c r="DS238" i="7"/>
  <c r="DS239" i="7"/>
  <c r="CN240" i="7"/>
  <c r="DG241" i="7"/>
  <c r="DO241" i="7"/>
  <c r="DH242" i="7"/>
  <c r="DI242" i="7"/>
  <c r="DN242" i="7"/>
  <c r="DV242" i="7"/>
  <c r="DW242" i="7"/>
  <c r="CN243" i="7"/>
  <c r="CS243" i="7"/>
  <c r="CU243" i="7"/>
  <c r="CV243" i="7"/>
  <c r="DT243" i="7"/>
  <c r="CO244" i="7"/>
  <c r="CP244" i="7"/>
  <c r="CR244" i="7"/>
  <c r="CS244" i="7"/>
  <c r="CT244" i="7"/>
  <c r="CU244" i="7"/>
  <c r="CY244" i="7"/>
  <c r="DC244" i="7"/>
  <c r="DE244" i="7"/>
  <c r="DF244" i="7"/>
  <c r="CR245" i="7"/>
  <c r="CU245" i="7"/>
  <c r="CV245" i="7"/>
  <c r="DA245" i="7"/>
  <c r="DB245" i="7"/>
  <c r="DC245" i="7"/>
  <c r="DD245" i="7"/>
  <c r="DE245" i="7"/>
  <c r="DF245" i="7"/>
  <c r="DG245" i="7"/>
  <c r="DH245" i="7"/>
  <c r="DT245" i="7"/>
  <c r="CN246" i="7"/>
  <c r="DS246" i="7"/>
  <c r="CO247" i="7"/>
  <c r="CP247" i="7"/>
  <c r="CQ247" i="7"/>
  <c r="CR247" i="7"/>
  <c r="CT247" i="7"/>
  <c r="CU247" i="7"/>
  <c r="CY247" i="7"/>
  <c r="DA247" i="7"/>
  <c r="CO248" i="7"/>
  <c r="CQ248" i="7"/>
  <c r="CR248" i="7"/>
  <c r="CS248" i="7"/>
  <c r="CT248" i="7"/>
  <c r="CZ248" i="7"/>
  <c r="DB248" i="7"/>
  <c r="DC248" i="7"/>
  <c r="DD248" i="7"/>
  <c r="DE248" i="7"/>
  <c r="DF248" i="7"/>
  <c r="DG248" i="7"/>
  <c r="DH248" i="7"/>
  <c r="DI248" i="7"/>
  <c r="DV248" i="7"/>
  <c r="CY249" i="7"/>
  <c r="DG249" i="7"/>
  <c r="DK249" i="7"/>
  <c r="DL249" i="7"/>
  <c r="DM249" i="7"/>
  <c r="DN249" i="7"/>
  <c r="DU249" i="7"/>
  <c r="CN250" i="7"/>
  <c r="CO250" i="7"/>
  <c r="CP250" i="7"/>
  <c r="CQ250" i="7"/>
  <c r="DH250" i="7"/>
  <c r="DJ250" i="7"/>
  <c r="DK250" i="7"/>
  <c r="CQ251" i="7"/>
  <c r="CR251" i="7"/>
  <c r="CS251" i="7"/>
  <c r="CV251" i="7"/>
  <c r="CW251" i="7"/>
  <c r="CX251" i="7"/>
  <c r="CY251" i="7"/>
  <c r="CZ251" i="7"/>
  <c r="DC251" i="7"/>
  <c r="DE251" i="7"/>
  <c r="DU251" i="7"/>
  <c r="CQ252" i="7"/>
  <c r="CS252" i="7"/>
  <c r="CT252" i="7"/>
  <c r="CV252" i="7"/>
  <c r="CW252" i="7"/>
  <c r="CX252" i="7"/>
  <c r="DB252" i="7"/>
  <c r="DD252" i="7"/>
  <c r="DE252" i="7"/>
  <c r="DF252" i="7"/>
  <c r="DG252" i="7"/>
  <c r="DM252" i="7"/>
  <c r="DN252" i="7"/>
  <c r="DS252" i="7"/>
  <c r="CS253" i="7"/>
  <c r="CT253" i="7"/>
  <c r="CW253" i="7"/>
  <c r="CY253" i="7"/>
  <c r="DB253" i="7"/>
  <c r="DC253" i="7"/>
  <c r="DD253" i="7"/>
  <c r="DE253" i="7"/>
  <c r="DF253" i="7"/>
  <c r="DG253" i="7"/>
  <c r="DH253" i="7"/>
  <c r="DI253" i="7"/>
  <c r="DU253" i="7"/>
  <c r="CN254" i="7"/>
  <c r="CQ254" i="7"/>
  <c r="CR254" i="7"/>
  <c r="CS254" i="7"/>
  <c r="CT254" i="7"/>
  <c r="CU254" i="7"/>
  <c r="DA254" i="7"/>
  <c r="DH254" i="7"/>
  <c r="DK254" i="7"/>
  <c r="DR254" i="7"/>
  <c r="DV254" i="7"/>
  <c r="DW254" i="7"/>
  <c r="CN255" i="7"/>
  <c r="CQ255" i="7"/>
  <c r="CS255" i="7"/>
  <c r="CW255" i="7"/>
  <c r="CY255" i="7"/>
  <c r="CZ255" i="7"/>
  <c r="DA255" i="7"/>
  <c r="DB255" i="7"/>
  <c r="DE255" i="7"/>
  <c r="DF255" i="7"/>
  <c r="DG255" i="7"/>
  <c r="DH255" i="7"/>
  <c r="DM255" i="7"/>
  <c r="DO255" i="7"/>
  <c r="DP255" i="7"/>
  <c r="DQ255" i="7"/>
  <c r="DR255" i="7"/>
  <c r="DV255" i="7"/>
  <c r="CN256" i="7"/>
  <c r="CO256" i="7"/>
  <c r="CP256" i="7"/>
  <c r="CQ256" i="7"/>
  <c r="CR256" i="7"/>
  <c r="CS256" i="7"/>
  <c r="CT256" i="7"/>
  <c r="CU256" i="7"/>
  <c r="CV256" i="7"/>
  <c r="CY256" i="7"/>
  <c r="DA256" i="7"/>
  <c r="DB256" i="7"/>
  <c r="DC256" i="7"/>
  <c r="DD256" i="7"/>
  <c r="DE256" i="7"/>
  <c r="DF256" i="7"/>
  <c r="DG256" i="7"/>
  <c r="DI256" i="7"/>
  <c r="DJ256" i="7"/>
  <c r="DK256" i="7"/>
  <c r="DL256" i="7"/>
  <c r="DM256" i="7"/>
  <c r="DN256" i="7"/>
  <c r="DO256" i="7"/>
  <c r="DP256" i="7"/>
  <c r="DQ256" i="7"/>
  <c r="DR256" i="7"/>
  <c r="DU256" i="7"/>
  <c r="DW256" i="7"/>
  <c r="CV258" i="7"/>
  <c r="DC258" i="7"/>
  <c r="DP260" i="7"/>
  <c r="DT260" i="7"/>
  <c r="DV260" i="7"/>
  <c r="DW260" i="7"/>
  <c r="DA263" i="7"/>
  <c r="DB263" i="7"/>
  <c r="DC263" i="7"/>
  <c r="DD263" i="7"/>
  <c r="DE263" i="7"/>
  <c r="DF263" i="7"/>
  <c r="DG263" i="7"/>
  <c r="DW264" i="7"/>
  <c r="CN265" i="7"/>
  <c r="DE265" i="7"/>
  <c r="DN265" i="7"/>
  <c r="DU265" i="7"/>
  <c r="DV265" i="7"/>
  <c r="DW265" i="7"/>
  <c r="CQ266" i="7"/>
  <c r="CS266" i="7"/>
  <c r="CT266" i="7"/>
  <c r="CU266" i="7"/>
  <c r="CV266" i="7"/>
  <c r="DC266" i="7"/>
  <c r="DS266" i="7"/>
  <c r="DT266" i="7"/>
  <c r="DW266" i="7"/>
  <c r="CN267" i="7"/>
  <c r="CO267" i="7"/>
  <c r="CP267" i="7"/>
  <c r="CQ267" i="7"/>
  <c r="CR267" i="7"/>
  <c r="CV267" i="7"/>
  <c r="DA267" i="7"/>
  <c r="DB267" i="7"/>
  <c r="DC267" i="7"/>
  <c r="DO267" i="7"/>
  <c r="DP267" i="7"/>
  <c r="DU267" i="7"/>
  <c r="CN268" i="7"/>
  <c r="CS268" i="7"/>
  <c r="CU268" i="7"/>
  <c r="CV268" i="7"/>
  <c r="CW268" i="7"/>
  <c r="CX268" i="7"/>
  <c r="DA268" i="7"/>
  <c r="DC268" i="7"/>
  <c r="CN269" i="7"/>
  <c r="CS269" i="7"/>
  <c r="CW269" i="7"/>
  <c r="CZ269" i="7"/>
  <c r="DE269" i="7"/>
  <c r="DF269" i="7"/>
  <c r="DG269" i="7"/>
  <c r="DI269" i="7"/>
  <c r="DJ269" i="7"/>
  <c r="DK269" i="7"/>
  <c r="DL269" i="7"/>
  <c r="DV269" i="7"/>
  <c r="CS270" i="7"/>
  <c r="CU270" i="7"/>
  <c r="DA270" i="7"/>
  <c r="DC270" i="7"/>
  <c r="DD270" i="7"/>
  <c r="DE270" i="7"/>
  <c r="DF270" i="7"/>
  <c r="DG270" i="7"/>
  <c r="DH270" i="7"/>
  <c r="DI270" i="7"/>
  <c r="DJ270" i="7"/>
  <c r="DK270" i="7"/>
  <c r="DL270" i="7"/>
  <c r="DN270" i="7"/>
  <c r="DR270" i="7"/>
  <c r="CY271" i="7"/>
  <c r="DC271" i="7"/>
  <c r="DE271" i="7"/>
  <c r="DI271" i="7"/>
  <c r="DK271" i="7"/>
  <c r="DL271" i="7"/>
  <c r="DM271" i="7"/>
  <c r="DO271" i="7"/>
  <c r="DP271" i="7"/>
  <c r="DS271" i="7"/>
  <c r="DU271" i="7"/>
  <c r="CZ272" i="7"/>
  <c r="DB272" i="7"/>
  <c r="DD272" i="7"/>
  <c r="DF272" i="7"/>
  <c r="DG272" i="7"/>
  <c r="DH272" i="7"/>
  <c r="DI272" i="7"/>
  <c r="DL272" i="7"/>
  <c r="DN272" i="7"/>
  <c r="DV272" i="7"/>
  <c r="CN273" i="7"/>
  <c r="CO273" i="7"/>
  <c r="CP273" i="7"/>
  <c r="CQ273" i="7"/>
  <c r="CT273" i="7"/>
  <c r="CX273" i="7"/>
  <c r="CY273" i="7"/>
  <c r="DB273" i="7"/>
  <c r="DC273" i="7"/>
  <c r="DK273" i="7"/>
  <c r="DN273" i="7"/>
  <c r="DP273" i="7"/>
  <c r="DQ273" i="7"/>
  <c r="DR273" i="7"/>
  <c r="DS273" i="7"/>
  <c r="DT273" i="7"/>
  <c r="DU273" i="7"/>
  <c r="DV273" i="7"/>
  <c r="DW273" i="7"/>
  <c r="CN274" i="7"/>
  <c r="CP274" i="7"/>
  <c r="CY274" i="7"/>
  <c r="DB274" i="7"/>
  <c r="DE274" i="7"/>
  <c r="DF274" i="7"/>
  <c r="DH274" i="7"/>
  <c r="DI274" i="7"/>
  <c r="DJ274" i="7"/>
  <c r="DK274" i="7"/>
  <c r="DL274" i="7"/>
  <c r="DM274" i="7"/>
  <c r="DO274" i="7"/>
  <c r="DQ274" i="7"/>
  <c r="DS274" i="7"/>
  <c r="DT274" i="7"/>
  <c r="DU274" i="7"/>
  <c r="CP275" i="7"/>
  <c r="CS275" i="7"/>
  <c r="CT275" i="7"/>
  <c r="CU275" i="7"/>
  <c r="CV275" i="7"/>
  <c r="CW275" i="7"/>
  <c r="CX275" i="7"/>
  <c r="CY275" i="7"/>
  <c r="DA275" i="7"/>
  <c r="DC275" i="7"/>
  <c r="DE275" i="7"/>
  <c r="DF275" i="7"/>
  <c r="DG275" i="7"/>
  <c r="DH275" i="7"/>
  <c r="DJ275" i="7"/>
  <c r="DK275" i="7"/>
  <c r="DL275" i="7"/>
  <c r="DM275" i="7"/>
  <c r="DP275" i="7"/>
  <c r="DQ275" i="7"/>
  <c r="DR275" i="7"/>
  <c r="DS275" i="7"/>
  <c r="DU275" i="7"/>
  <c r="DW275" i="7"/>
  <c r="CO276" i="7"/>
  <c r="CQ276" i="7"/>
  <c r="CS276" i="7"/>
  <c r="CT276" i="7"/>
  <c r="CW276" i="7"/>
  <c r="CX276" i="7"/>
  <c r="CY276" i="7"/>
  <c r="CZ276" i="7"/>
  <c r="DA276" i="7"/>
  <c r="DB276" i="7"/>
  <c r="DC276" i="7"/>
  <c r="DF276" i="7"/>
  <c r="DG276" i="7"/>
  <c r="DI276" i="7"/>
  <c r="DK276" i="7"/>
  <c r="DS276" i="7"/>
  <c r="DT276" i="7"/>
  <c r="DV276" i="7"/>
  <c r="DW276" i="7"/>
  <c r="CN277" i="7"/>
  <c r="CO277" i="7"/>
  <c r="CP277" i="7"/>
  <c r="CQ277" i="7"/>
  <c r="CR277" i="7"/>
  <c r="CS277" i="7"/>
  <c r="CY277" i="7"/>
  <c r="CZ277" i="7"/>
  <c r="DA277" i="7"/>
  <c r="DB277" i="7"/>
  <c r="DD277" i="7"/>
  <c r="DE277" i="7"/>
  <c r="DF277" i="7"/>
  <c r="DG277" i="7"/>
  <c r="DH277" i="7"/>
  <c r="DI277" i="7"/>
  <c r="DJ277" i="7"/>
  <c r="DK277" i="7"/>
  <c r="DL277" i="7"/>
  <c r="DM277" i="7"/>
  <c r="DN277" i="7"/>
  <c r="DO277" i="7"/>
  <c r="DQ277" i="7"/>
  <c r="DS277" i="7"/>
  <c r="DU277" i="7"/>
  <c r="DV277" i="7"/>
  <c r="CN278" i="7"/>
  <c r="CO278" i="7"/>
  <c r="CP278" i="7"/>
  <c r="CQ278" i="7"/>
  <c r="CR278" i="7"/>
  <c r="CS278" i="7"/>
  <c r="CT278" i="7"/>
  <c r="CU278" i="7"/>
  <c r="CV278" i="7"/>
  <c r="CW278" i="7"/>
  <c r="CX278" i="7"/>
  <c r="CY278" i="7"/>
  <c r="CZ278" i="7"/>
  <c r="DA278" i="7"/>
  <c r="DC278" i="7"/>
  <c r="DD278" i="7"/>
  <c r="DE278" i="7"/>
  <c r="DF278" i="7"/>
  <c r="DG278" i="7"/>
  <c r="DH278" i="7"/>
  <c r="DI278" i="7"/>
  <c r="DJ278" i="7"/>
  <c r="DK278" i="7"/>
  <c r="DL278" i="7"/>
  <c r="DM278" i="7"/>
  <c r="DN278" i="7"/>
  <c r="DO278" i="7"/>
  <c r="DP278" i="7"/>
  <c r="DQ278" i="7"/>
  <c r="DR278" i="7"/>
  <c r="DS278" i="7"/>
  <c r="DT278" i="7"/>
  <c r="DU278" i="7"/>
  <c r="DV278" i="7"/>
  <c r="DW278" i="7"/>
  <c r="DH279" i="7"/>
  <c r="CP281" i="7"/>
  <c r="CQ281" i="7"/>
  <c r="CR281" i="7"/>
  <c r="DE282" i="7"/>
  <c r="DF282" i="7"/>
  <c r="DS282" i="7"/>
  <c r="DW282" i="7"/>
  <c r="CN283" i="7"/>
  <c r="CM283" i="7" s="1"/>
  <c r="CO283" i="7"/>
  <c r="CP283" i="7"/>
  <c r="CQ283" i="7"/>
  <c r="CR283" i="7"/>
  <c r="CS283" i="7"/>
  <c r="CT283" i="7"/>
  <c r="CU283" i="7"/>
  <c r="CV283" i="7"/>
  <c r="CW283" i="7"/>
  <c r="CX283" i="7"/>
  <c r="CY283" i="7"/>
  <c r="CZ283" i="7"/>
  <c r="DA283" i="7"/>
  <c r="DB283" i="7"/>
  <c r="DC283" i="7"/>
  <c r="DD283" i="7"/>
  <c r="DE283" i="7"/>
  <c r="DF283" i="7"/>
  <c r="DG283" i="7"/>
  <c r="DH283" i="7"/>
  <c r="DI283" i="7"/>
  <c r="DJ283" i="7"/>
  <c r="DK283" i="7"/>
  <c r="DL283" i="7"/>
  <c r="DM283" i="7"/>
  <c r="DN283" i="7"/>
  <c r="DO283" i="7"/>
  <c r="DP283" i="7"/>
  <c r="DQ283" i="7"/>
  <c r="DR283" i="7"/>
  <c r="DS283" i="7"/>
  <c r="DT283" i="7"/>
  <c r="DU283" i="7"/>
  <c r="DV283" i="7"/>
  <c r="DW283" i="7"/>
  <c r="CN9" i="7"/>
  <c r="CP9" i="7"/>
  <c r="CQ9" i="7"/>
  <c r="CS9" i="7"/>
  <c r="CT9" i="7"/>
  <c r="CU9" i="7"/>
  <c r="CV9" i="7"/>
  <c r="CW9" i="7"/>
  <c r="CX9" i="7"/>
  <c r="CY9" i="7"/>
  <c r="CZ9" i="7"/>
  <c r="DA9" i="7"/>
  <c r="DB9" i="7"/>
  <c r="DC9" i="7"/>
  <c r="DH9" i="7"/>
  <c r="DL9" i="7"/>
  <c r="DM9" i="7"/>
  <c r="DO9" i="7"/>
  <c r="DP9" i="7"/>
  <c r="DR9" i="7"/>
  <c r="DS9" i="7"/>
  <c r="DT9" i="7"/>
  <c r="DU9" i="7"/>
  <c r="DV9" i="7"/>
  <c r="DW9" i="7"/>
  <c r="D282" i="7"/>
  <c r="DD282" i="7" s="1"/>
  <c r="D281" i="7"/>
  <c r="DJ281" i="7" s="1"/>
  <c r="D280" i="7"/>
  <c r="CZ280" i="7" s="1"/>
  <c r="D279" i="7"/>
  <c r="D278" i="7"/>
  <c r="BP278" i="7" s="1"/>
  <c r="D277" i="7"/>
  <c r="D276" i="7"/>
  <c r="DO276" i="7" s="1"/>
  <c r="D275" i="7"/>
  <c r="D274" i="7"/>
  <c r="CU274" i="7" s="1"/>
  <c r="D273" i="7"/>
  <c r="CZ273" i="7" s="1"/>
  <c r="D272" i="7"/>
  <c r="DA272" i="7" s="1"/>
  <c r="D271" i="7"/>
  <c r="CU271" i="7" s="1"/>
  <c r="D270" i="7"/>
  <c r="D269" i="7"/>
  <c r="CO269" i="7" s="1"/>
  <c r="D268" i="7"/>
  <c r="D267" i="7"/>
  <c r="D266" i="7"/>
  <c r="D265" i="7"/>
  <c r="DH265" i="7" s="1"/>
  <c r="D264" i="7"/>
  <c r="D263" i="7"/>
  <c r="D262" i="7"/>
  <c r="CT262" i="7" s="1"/>
  <c r="D261" i="7"/>
  <c r="DU261" i="7" s="1"/>
  <c r="D260" i="7"/>
  <c r="DF260" i="7" s="1"/>
  <c r="D259" i="7"/>
  <c r="DO259" i="7" s="1"/>
  <c r="D258" i="7"/>
  <c r="D257" i="7"/>
  <c r="CS257" i="7" s="1"/>
  <c r="D256" i="7"/>
  <c r="D255" i="7"/>
  <c r="D254" i="7"/>
  <c r="CX254" i="7" s="1"/>
  <c r="D253" i="7"/>
  <c r="D252" i="7"/>
  <c r="CR252" i="7" s="1"/>
  <c r="D251" i="7"/>
  <c r="D250" i="7"/>
  <c r="DI250" i="7" s="1"/>
  <c r="D249" i="7"/>
  <c r="CW249" i="7" s="1"/>
  <c r="D248" i="7"/>
  <c r="D247" i="7"/>
  <c r="D246" i="7"/>
  <c r="D245" i="7"/>
  <c r="D244" i="7"/>
  <c r="D243" i="7"/>
  <c r="D242" i="7"/>
  <c r="D241" i="7"/>
  <c r="CN241" i="7" s="1"/>
  <c r="D240" i="7"/>
  <c r="D239" i="7"/>
  <c r="D238" i="7"/>
  <c r="CS238" i="7" s="1"/>
  <c r="D237" i="7"/>
  <c r="CN237" i="7" s="1"/>
  <c r="D236" i="7"/>
  <c r="DJ236" i="7" s="1"/>
  <c r="D235" i="7"/>
  <c r="D234" i="7"/>
  <c r="DK234" i="7" s="1"/>
  <c r="D233" i="7"/>
  <c r="D232" i="7"/>
  <c r="CO232" i="7" s="1"/>
  <c r="D231" i="7"/>
  <c r="D230" i="7"/>
  <c r="D229" i="7"/>
  <c r="DG229" i="7" s="1"/>
  <c r="D228" i="7"/>
  <c r="D227" i="7"/>
  <c r="CP227" i="7" s="1"/>
  <c r="D226" i="7"/>
  <c r="D225" i="7"/>
  <c r="CQ225" i="7" s="1"/>
  <c r="D224" i="7"/>
  <c r="D223" i="7"/>
  <c r="D222" i="7"/>
  <c r="D221" i="7"/>
  <c r="D220" i="7"/>
  <c r="DR220" i="7" s="1"/>
  <c r="D219" i="7"/>
  <c r="D218" i="7"/>
  <c r="CO218" i="7" s="1"/>
  <c r="D217" i="7"/>
  <c r="D216" i="7"/>
  <c r="D215" i="7"/>
  <c r="DT215" i="7" s="1"/>
  <c r="D214" i="7"/>
  <c r="D213" i="7"/>
  <c r="D212" i="7"/>
  <c r="CO212" i="7" s="1"/>
  <c r="D211" i="7"/>
  <c r="D210" i="7"/>
  <c r="D209" i="7"/>
  <c r="DA209" i="7" s="1"/>
  <c r="D208" i="7"/>
  <c r="D207" i="7"/>
  <c r="DB207" i="7" s="1"/>
  <c r="D206" i="7"/>
  <c r="DO206" i="7" s="1"/>
  <c r="D205" i="7"/>
  <c r="D204" i="7"/>
  <c r="D203" i="7"/>
  <c r="CR203" i="7" s="1"/>
  <c r="D202" i="7"/>
  <c r="D201" i="7"/>
  <c r="D200" i="7"/>
  <c r="D199" i="7"/>
  <c r="DC199" i="7" s="1"/>
  <c r="D198" i="7"/>
  <c r="D197" i="7"/>
  <c r="CT197" i="7" s="1"/>
  <c r="D196" i="7"/>
  <c r="D195" i="7"/>
  <c r="D194" i="7"/>
  <c r="D193" i="7"/>
  <c r="D192" i="7"/>
  <c r="CT192" i="7" s="1"/>
  <c r="D191" i="7"/>
  <c r="CV191" i="7" s="1"/>
  <c r="D190" i="7"/>
  <c r="DW190" i="7" s="1"/>
  <c r="D189" i="7"/>
  <c r="CO189" i="7" s="1"/>
  <c r="D188" i="7"/>
  <c r="D187" i="7"/>
  <c r="D186" i="7"/>
  <c r="D185" i="7"/>
  <c r="DQ185" i="7" s="1"/>
  <c r="D184" i="7"/>
  <c r="D183" i="7"/>
  <c r="D182" i="7"/>
  <c r="D181" i="7"/>
  <c r="CZ181" i="7" s="1"/>
  <c r="D180" i="7"/>
  <c r="D179" i="7"/>
  <c r="D178" i="7"/>
  <c r="D177" i="7"/>
  <c r="D176" i="7"/>
  <c r="D175" i="7"/>
  <c r="D174" i="7"/>
  <c r="D173" i="7"/>
  <c r="D172" i="7"/>
  <c r="D171" i="7"/>
  <c r="DK171" i="7" s="1"/>
  <c r="D170" i="7"/>
  <c r="DL170" i="7" s="1"/>
  <c r="D169" i="7"/>
  <c r="D168" i="7"/>
  <c r="DF168" i="7" s="1"/>
  <c r="D167" i="7"/>
  <c r="DC167" i="7" s="1"/>
  <c r="D166" i="7"/>
  <c r="D165" i="7"/>
  <c r="D164" i="7"/>
  <c r="DM164" i="7" s="1"/>
  <c r="D163" i="7"/>
  <c r="CZ163" i="7" s="1"/>
  <c r="D162" i="7"/>
  <c r="D161" i="7"/>
  <c r="D160" i="7"/>
  <c r="D159" i="7"/>
  <c r="D158" i="7"/>
  <c r="CW158" i="7" s="1"/>
  <c r="D157" i="7"/>
  <c r="D156" i="7"/>
  <c r="D155" i="7"/>
  <c r="D154" i="7"/>
  <c r="D153" i="7"/>
  <c r="D152" i="7"/>
  <c r="D151" i="7"/>
  <c r="D150" i="7"/>
  <c r="DB150" i="7" s="1"/>
  <c r="D149" i="7"/>
  <c r="D148" i="7"/>
  <c r="D147" i="7"/>
  <c r="D146" i="7"/>
  <c r="DV146" i="7" s="1"/>
  <c r="D145" i="7"/>
  <c r="D144" i="7"/>
  <c r="D143" i="7"/>
  <c r="D142" i="7"/>
  <c r="D141" i="7"/>
  <c r="CN141" i="7" s="1"/>
  <c r="D140" i="7"/>
  <c r="DE140" i="7" s="1"/>
  <c r="D139" i="7"/>
  <c r="DV139" i="7" s="1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I123" i="7" s="1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CP102" i="7" s="1"/>
  <c r="D101" i="7"/>
  <c r="DF101" i="7" s="1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CN78" i="7" s="1"/>
  <c r="D77" i="7"/>
  <c r="DE77" i="7" s="1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CO9" i="7" s="1"/>
  <c r="E5" i="7"/>
  <c r="C5" i="7"/>
  <c r="BQ147" i="7" l="1"/>
  <c r="CX147" i="7"/>
  <c r="DT147" i="7"/>
  <c r="CO147" i="7"/>
  <c r="DL147" i="7"/>
  <c r="CP147" i="7"/>
  <c r="DM147" i="7"/>
  <c r="CQ147" i="7"/>
  <c r="DN147" i="7"/>
  <c r="CS147" i="7"/>
  <c r="DP147" i="7"/>
  <c r="DE147" i="7"/>
  <c r="DF147" i="7"/>
  <c r="DG147" i="7"/>
  <c r="DO147" i="7"/>
  <c r="DQ147" i="7"/>
  <c r="DR147" i="7"/>
  <c r="DS147" i="7"/>
  <c r="CT147" i="7"/>
  <c r="DA147" i="7"/>
  <c r="DB147" i="7"/>
  <c r="DC147" i="7"/>
  <c r="DD147" i="7"/>
  <c r="DI147" i="7"/>
  <c r="DK147" i="7"/>
  <c r="DU147" i="7"/>
  <c r="DJ147" i="7"/>
  <c r="DV147" i="7"/>
  <c r="DW147" i="7"/>
  <c r="CN147" i="7"/>
  <c r="CR147" i="7"/>
  <c r="CU147" i="7"/>
  <c r="CY147" i="7"/>
  <c r="CZ147" i="7"/>
  <c r="DH147" i="7"/>
  <c r="CV147" i="7"/>
  <c r="CW147" i="7"/>
  <c r="CK37" i="7"/>
  <c r="DF37" i="7"/>
  <c r="DH37" i="7"/>
  <c r="DI37" i="7"/>
  <c r="CN37" i="7"/>
  <c r="DJ37" i="7"/>
  <c r="CT37" i="7"/>
  <c r="DC37" i="7"/>
  <c r="DD37" i="7"/>
  <c r="DE37" i="7"/>
  <c r="DG37" i="7"/>
  <c r="DM37" i="7"/>
  <c r="CV37" i="7"/>
  <c r="CW37" i="7"/>
  <c r="CX37" i="7"/>
  <c r="CY37" i="7"/>
  <c r="CZ37" i="7"/>
  <c r="DA37" i="7"/>
  <c r="DP37" i="7"/>
  <c r="DQ37" i="7"/>
  <c r="DV37" i="7"/>
  <c r="DW37" i="7"/>
  <c r="CO37" i="7"/>
  <c r="CR37" i="7"/>
  <c r="CS37" i="7"/>
  <c r="CP37" i="7"/>
  <c r="CU37" i="7"/>
  <c r="DB37" i="7"/>
  <c r="DK37" i="7"/>
  <c r="CQ37" i="7"/>
  <c r="DN37" i="7"/>
  <c r="DO37" i="7"/>
  <c r="DL37" i="7"/>
  <c r="DT37" i="7"/>
  <c r="DR37" i="7"/>
  <c r="DS37" i="7"/>
  <c r="DU37" i="7"/>
  <c r="CM103" i="7"/>
  <c r="CU103" i="7"/>
  <c r="DQ103" i="7"/>
  <c r="CO103" i="7"/>
  <c r="DL103" i="7"/>
  <c r="CP103" i="7"/>
  <c r="DM103" i="7"/>
  <c r="CQ103" i="7"/>
  <c r="DN103" i="7"/>
  <c r="CT103" i="7"/>
  <c r="DU103" i="7"/>
  <c r="CV103" i="7"/>
  <c r="DV103" i="7"/>
  <c r="CW103" i="7"/>
  <c r="DW103" i="7"/>
  <c r="CY103" i="7"/>
  <c r="DD103" i="7"/>
  <c r="DG103" i="7"/>
  <c r="DH103" i="7"/>
  <c r="DI103" i="7"/>
  <c r="DJ103" i="7"/>
  <c r="DK103" i="7"/>
  <c r="DP103" i="7"/>
  <c r="DS103" i="7"/>
  <c r="DF103" i="7"/>
  <c r="DO103" i="7"/>
  <c r="DR103" i="7"/>
  <c r="CR103" i="7"/>
  <c r="CS103" i="7"/>
  <c r="CZ103" i="7"/>
  <c r="DB103" i="7"/>
  <c r="DA103" i="7"/>
  <c r="DC103" i="7"/>
  <c r="DE103" i="7"/>
  <c r="DT103" i="7"/>
  <c r="CN103" i="7"/>
  <c r="CX103" i="7"/>
  <c r="BW213" i="7"/>
  <c r="DG213" i="7"/>
  <c r="DI213" i="7"/>
  <c r="CP213" i="7"/>
  <c r="DN213" i="7"/>
  <c r="CQ213" i="7"/>
  <c r="CS213" i="7"/>
  <c r="DK213" i="7"/>
  <c r="DL213" i="7"/>
  <c r="DO213" i="7"/>
  <c r="DE213" i="7"/>
  <c r="DF213" i="7"/>
  <c r="DH213" i="7"/>
  <c r="DJ213" i="7"/>
  <c r="DM213" i="7"/>
  <c r="CO213" i="7"/>
  <c r="CR213" i="7"/>
  <c r="CT213" i="7"/>
  <c r="CU213" i="7"/>
  <c r="CV213" i="7"/>
  <c r="DA213" i="7"/>
  <c r="DB213" i="7"/>
  <c r="DC213" i="7"/>
  <c r="CZ213" i="7"/>
  <c r="DD213" i="7"/>
  <c r="DP213" i="7"/>
  <c r="DQ213" i="7"/>
  <c r="DR213" i="7"/>
  <c r="DS213" i="7"/>
  <c r="DT213" i="7"/>
  <c r="DU213" i="7"/>
  <c r="DV213" i="7"/>
  <c r="DW213" i="7"/>
  <c r="BW279" i="7"/>
  <c r="CN279" i="7"/>
  <c r="DJ279" i="7"/>
  <c r="CP279" i="7"/>
  <c r="DL279" i="7"/>
  <c r="CR279" i="7"/>
  <c r="DN279" i="7"/>
  <c r="CW279" i="7"/>
  <c r="CZ279" i="7"/>
  <c r="DA279" i="7"/>
  <c r="DM279" i="7"/>
  <c r="DO279" i="7"/>
  <c r="DP279" i="7"/>
  <c r="DQ279" i="7"/>
  <c r="DR279" i="7"/>
  <c r="DT279" i="7"/>
  <c r="CO279" i="7"/>
  <c r="DS279" i="7"/>
  <c r="CQ279" i="7"/>
  <c r="CS279" i="7"/>
  <c r="DU279" i="7"/>
  <c r="CT279" i="7"/>
  <c r="DV279" i="7"/>
  <c r="CV279" i="7"/>
  <c r="CY279" i="7"/>
  <c r="CX279" i="7"/>
  <c r="CJ16" i="7"/>
  <c r="CR16" i="7"/>
  <c r="DN16" i="7"/>
  <c r="CT16" i="7"/>
  <c r="DP16" i="7"/>
  <c r="CU16" i="7"/>
  <c r="DQ16" i="7"/>
  <c r="CV16" i="7"/>
  <c r="DR16" i="7"/>
  <c r="DB16" i="7"/>
  <c r="CP16" i="7"/>
  <c r="DU16" i="7"/>
  <c r="CQ16" i="7"/>
  <c r="DV16" i="7"/>
  <c r="CS16" i="7"/>
  <c r="DW16" i="7"/>
  <c r="CW16" i="7"/>
  <c r="CX16" i="7"/>
  <c r="CY16" i="7"/>
  <c r="CZ16" i="7"/>
  <c r="DI16" i="7"/>
  <c r="DJ16" i="7"/>
  <c r="DK16" i="7"/>
  <c r="DL16" i="7"/>
  <c r="DM16" i="7"/>
  <c r="DO16" i="7"/>
  <c r="DS16" i="7"/>
  <c r="CN16" i="7"/>
  <c r="DC16" i="7"/>
  <c r="DD16" i="7"/>
  <c r="CO16" i="7"/>
  <c r="DE16" i="7"/>
  <c r="DF16" i="7"/>
  <c r="DG16" i="7"/>
  <c r="DA16" i="7"/>
  <c r="DH16" i="7"/>
  <c r="DT16" i="7"/>
  <c r="BP148" i="7"/>
  <c r="DF148" i="7"/>
  <c r="CY148" i="7"/>
  <c r="DV148" i="7"/>
  <c r="CZ148" i="7"/>
  <c r="DW148" i="7"/>
  <c r="DA148" i="7"/>
  <c r="DC148" i="7"/>
  <c r="CV148" i="7"/>
  <c r="CW148" i="7"/>
  <c r="CX148" i="7"/>
  <c r="DK148" i="7"/>
  <c r="DL148" i="7"/>
  <c r="DM148" i="7"/>
  <c r="DN148" i="7"/>
  <c r="CO148" i="7"/>
  <c r="DS148" i="7"/>
  <c r="DH148" i="7"/>
  <c r="DI148" i="7"/>
  <c r="DJ148" i="7"/>
  <c r="DO148" i="7"/>
  <c r="DQ148" i="7"/>
  <c r="DT148" i="7"/>
  <c r="DU148" i="7"/>
  <c r="CN148" i="7"/>
  <c r="CP148" i="7"/>
  <c r="CR148" i="7"/>
  <c r="CQ148" i="7"/>
  <c r="CS148" i="7"/>
  <c r="CT148" i="7"/>
  <c r="DB148" i="7"/>
  <c r="DD148" i="7"/>
  <c r="DE148" i="7"/>
  <c r="CU148" i="7"/>
  <c r="DG148" i="7"/>
  <c r="DP148" i="7"/>
  <c r="DR148" i="7"/>
  <c r="CQ258" i="7"/>
  <c r="DM258" i="7"/>
  <c r="CR258" i="7"/>
  <c r="DN258" i="7"/>
  <c r="CT258" i="7"/>
  <c r="DP258" i="7"/>
  <c r="DK258" i="7"/>
  <c r="DL258" i="7"/>
  <c r="CN258" i="7"/>
  <c r="DO258" i="7"/>
  <c r="CP258" i="7"/>
  <c r="DR258" i="7"/>
  <c r="CX258" i="7"/>
  <c r="DW258" i="7"/>
  <c r="CY258" i="7"/>
  <c r="CW258" i="7"/>
  <c r="CZ258" i="7"/>
  <c r="DA258" i="7"/>
  <c r="DB258" i="7"/>
  <c r="DD258" i="7"/>
  <c r="DE258" i="7"/>
  <c r="DJ258" i="7"/>
  <c r="DQ258" i="7"/>
  <c r="DS258" i="7"/>
  <c r="DT258" i="7"/>
  <c r="DU258" i="7"/>
  <c r="DV258" i="7"/>
  <c r="DF279" i="7"/>
  <c r="CZ39" i="7"/>
  <c r="DV39" i="7"/>
  <c r="DB39" i="7"/>
  <c r="DC39" i="7"/>
  <c r="DD39" i="7"/>
  <c r="DM39" i="7"/>
  <c r="CN39" i="7"/>
  <c r="DN39" i="7"/>
  <c r="CO39" i="7"/>
  <c r="DO39" i="7"/>
  <c r="CP39" i="7"/>
  <c r="DP39" i="7"/>
  <c r="CS39" i="7"/>
  <c r="DS39" i="7"/>
  <c r="CU39" i="7"/>
  <c r="CV39" i="7"/>
  <c r="CW39" i="7"/>
  <c r="CX39" i="7"/>
  <c r="CY39" i="7"/>
  <c r="DA39" i="7"/>
  <c r="DJ39" i="7"/>
  <c r="DK39" i="7"/>
  <c r="DH39" i="7"/>
  <c r="DI39" i="7"/>
  <c r="DL39" i="7"/>
  <c r="DQ39" i="7"/>
  <c r="DR39" i="7"/>
  <c r="DW39" i="7"/>
  <c r="CQ39" i="7"/>
  <c r="CR39" i="7"/>
  <c r="CT39" i="7"/>
  <c r="DF39" i="7"/>
  <c r="DG39" i="7"/>
  <c r="DT39" i="7"/>
  <c r="DU39" i="7"/>
  <c r="DE39" i="7"/>
  <c r="CA149" i="7"/>
  <c r="CR149" i="7"/>
  <c r="DN149" i="7"/>
  <c r="DI149" i="7"/>
  <c r="DJ149" i="7"/>
  <c r="CN149" i="7"/>
  <c r="DK149" i="7"/>
  <c r="CP149" i="7"/>
  <c r="DM149" i="7"/>
  <c r="CQ149" i="7"/>
  <c r="DS149" i="7"/>
  <c r="CS149" i="7"/>
  <c r="DT149" i="7"/>
  <c r="CT149" i="7"/>
  <c r="DU149" i="7"/>
  <c r="DE149" i="7"/>
  <c r="DF149" i="7"/>
  <c r="DG149" i="7"/>
  <c r="DH149" i="7"/>
  <c r="DR149" i="7"/>
  <c r="DP149" i="7"/>
  <c r="DQ149" i="7"/>
  <c r="DV149" i="7"/>
  <c r="DW149" i="7"/>
  <c r="CZ149" i="7"/>
  <c r="DA149" i="7"/>
  <c r="DB149" i="7"/>
  <c r="DC149" i="7"/>
  <c r="DD149" i="7"/>
  <c r="DO149" i="7"/>
  <c r="CU149" i="7"/>
  <c r="CV149" i="7"/>
  <c r="CW149" i="7"/>
  <c r="CX149" i="7"/>
  <c r="CY149" i="7"/>
  <c r="DL149" i="7"/>
  <c r="CO149" i="7"/>
  <c r="CL62" i="7"/>
  <c r="CN62" i="7"/>
  <c r="DJ62" i="7"/>
  <c r="CO62" i="7"/>
  <c r="DK62" i="7"/>
  <c r="DL62" i="7"/>
  <c r="DM62" i="7"/>
  <c r="CP62" i="7"/>
  <c r="DN62" i="7"/>
  <c r="CQ62" i="7"/>
  <c r="DO62" i="7"/>
  <c r="CS62" i="7"/>
  <c r="DQ62" i="7"/>
  <c r="CY62" i="7"/>
  <c r="DW62" i="7"/>
  <c r="CZ62" i="7"/>
  <c r="CU62" i="7"/>
  <c r="CV62" i="7"/>
  <c r="CW62" i="7"/>
  <c r="CX62" i="7"/>
  <c r="DA62" i="7"/>
  <c r="DG62" i="7"/>
  <c r="DB62" i="7"/>
  <c r="DC62" i="7"/>
  <c r="DD62" i="7"/>
  <c r="DE62" i="7"/>
  <c r="DF62" i="7"/>
  <c r="DI62" i="7"/>
  <c r="DR62" i="7"/>
  <c r="DS62" i="7"/>
  <c r="DT62" i="7"/>
  <c r="CR62" i="7"/>
  <c r="CT62" i="7"/>
  <c r="DH62" i="7"/>
  <c r="DP62" i="7"/>
  <c r="DV62" i="7"/>
  <c r="DU62" i="7"/>
  <c r="DI172" i="7"/>
  <c r="CR172" i="7"/>
  <c r="DO172" i="7"/>
  <c r="CS172" i="7"/>
  <c r="DP172" i="7"/>
  <c r="CT172" i="7"/>
  <c r="DQ172" i="7"/>
  <c r="DK172" i="7"/>
  <c r="DL172" i="7"/>
  <c r="CN172" i="7"/>
  <c r="DN172" i="7"/>
  <c r="CV172" i="7"/>
  <c r="DS172" i="7"/>
  <c r="DT172" i="7"/>
  <c r="CO172" i="7"/>
  <c r="DV172" i="7"/>
  <c r="CQ172" i="7"/>
  <c r="CW172" i="7"/>
  <c r="CX172" i="7"/>
  <c r="CU172" i="7"/>
  <c r="CY172" i="7"/>
  <c r="CZ172" i="7"/>
  <c r="DA172" i="7"/>
  <c r="DB172" i="7"/>
  <c r="DM172" i="7"/>
  <c r="DR172" i="7"/>
  <c r="DU172" i="7"/>
  <c r="DW172" i="7"/>
  <c r="CP172" i="7"/>
  <c r="DC172" i="7"/>
  <c r="DD172" i="7"/>
  <c r="DE172" i="7"/>
  <c r="DF172" i="7"/>
  <c r="DG172" i="7"/>
  <c r="DH172" i="7"/>
  <c r="DJ172" i="7"/>
  <c r="CT41" i="7"/>
  <c r="DP41" i="7"/>
  <c r="CV41" i="7"/>
  <c r="DR41" i="7"/>
  <c r="CW41" i="7"/>
  <c r="DS41" i="7"/>
  <c r="CX41" i="7"/>
  <c r="DT41" i="7"/>
  <c r="CS41" i="7"/>
  <c r="DW41" i="7"/>
  <c r="CU41" i="7"/>
  <c r="CY41" i="7"/>
  <c r="DQ41" i="7"/>
  <c r="CN41" i="7"/>
  <c r="DU41" i="7"/>
  <c r="CO41" i="7"/>
  <c r="DV41" i="7"/>
  <c r="CP41" i="7"/>
  <c r="CQ41" i="7"/>
  <c r="CR41" i="7"/>
  <c r="DE41" i="7"/>
  <c r="DF41" i="7"/>
  <c r="CZ41" i="7"/>
  <c r="DA41" i="7"/>
  <c r="DD41" i="7"/>
  <c r="DI41" i="7"/>
  <c r="DJ41" i="7"/>
  <c r="DB41" i="7"/>
  <c r="DC41" i="7"/>
  <c r="DG41" i="7"/>
  <c r="DH41" i="7"/>
  <c r="DK41" i="7"/>
  <c r="DM41" i="7"/>
  <c r="DN41" i="7"/>
  <c r="DO41" i="7"/>
  <c r="DL41" i="7"/>
  <c r="DE107" i="7"/>
  <c r="DG107" i="7"/>
  <c r="DH107" i="7"/>
  <c r="DI107" i="7"/>
  <c r="DK107" i="7"/>
  <c r="DL107" i="7"/>
  <c r="DM107" i="7"/>
  <c r="CO107" i="7"/>
  <c r="DO107" i="7"/>
  <c r="CT107" i="7"/>
  <c r="DT107" i="7"/>
  <c r="CZ107" i="7"/>
  <c r="DA107" i="7"/>
  <c r="DB107" i="7"/>
  <c r="DC107" i="7"/>
  <c r="DD107" i="7"/>
  <c r="DJ107" i="7"/>
  <c r="DP107" i="7"/>
  <c r="DR107" i="7"/>
  <c r="DS107" i="7"/>
  <c r="CP107" i="7"/>
  <c r="CQ107" i="7"/>
  <c r="CR107" i="7"/>
  <c r="CN107" i="7"/>
  <c r="CS107" i="7"/>
  <c r="CV107" i="7"/>
  <c r="CX107" i="7"/>
  <c r="CU107" i="7"/>
  <c r="CY107" i="7"/>
  <c r="DF107" i="7"/>
  <c r="CW107" i="7"/>
  <c r="DN107" i="7"/>
  <c r="DQ107" i="7"/>
  <c r="DW107" i="7"/>
  <c r="DU107" i="7"/>
  <c r="DV107" i="7"/>
  <c r="BQ195" i="7"/>
  <c r="CU195" i="7"/>
  <c r="DQ195" i="7"/>
  <c r="CS195" i="7"/>
  <c r="DP195" i="7"/>
  <c r="CV195" i="7"/>
  <c r="DS195" i="7"/>
  <c r="DI195" i="7"/>
  <c r="DJ195" i="7"/>
  <c r="DL195" i="7"/>
  <c r="CQ195" i="7"/>
  <c r="DV195" i="7"/>
  <c r="CR195" i="7"/>
  <c r="DW195" i="7"/>
  <c r="CW195" i="7"/>
  <c r="DO195" i="7"/>
  <c r="DR195" i="7"/>
  <c r="DT195" i="7"/>
  <c r="DU195" i="7"/>
  <c r="CN195" i="7"/>
  <c r="CO195" i="7"/>
  <c r="CP195" i="7"/>
  <c r="CZ195" i="7"/>
  <c r="DA195" i="7"/>
  <c r="DB195" i="7"/>
  <c r="DC195" i="7"/>
  <c r="DK195" i="7"/>
  <c r="DM195" i="7"/>
  <c r="DN195" i="7"/>
  <c r="CY195" i="7"/>
  <c r="CT195" i="7"/>
  <c r="CX195" i="7"/>
  <c r="DD195" i="7"/>
  <c r="DF195" i="7"/>
  <c r="DE195" i="7"/>
  <c r="DC279" i="7"/>
  <c r="CX238" i="7"/>
  <c r="BZ64" i="7"/>
  <c r="DD64" i="7"/>
  <c r="DE64" i="7"/>
  <c r="CN64" i="7"/>
  <c r="DL64" i="7"/>
  <c r="CO64" i="7"/>
  <c r="DM64" i="7"/>
  <c r="CP64" i="7"/>
  <c r="DN64" i="7"/>
  <c r="CQ64" i="7"/>
  <c r="DO64" i="7"/>
  <c r="CS64" i="7"/>
  <c r="DQ64" i="7"/>
  <c r="CY64" i="7"/>
  <c r="DW64" i="7"/>
  <c r="CZ64" i="7"/>
  <c r="CT64" i="7"/>
  <c r="CU64" i="7"/>
  <c r="CV64" i="7"/>
  <c r="CW64" i="7"/>
  <c r="CX64" i="7"/>
  <c r="DH64" i="7"/>
  <c r="DU64" i="7"/>
  <c r="DV64" i="7"/>
  <c r="CR64" i="7"/>
  <c r="DA64" i="7"/>
  <c r="DF64" i="7"/>
  <c r="DG64" i="7"/>
  <c r="DI64" i="7"/>
  <c r="DJ64" i="7"/>
  <c r="DK64" i="7"/>
  <c r="DP64" i="7"/>
  <c r="DR64" i="7"/>
  <c r="DT64" i="7"/>
  <c r="DB64" i="7"/>
  <c r="DC64" i="7"/>
  <c r="DS64" i="7"/>
  <c r="CJ152" i="7"/>
  <c r="CT152" i="7"/>
  <c r="DP152" i="7"/>
  <c r="CS152" i="7"/>
  <c r="DQ152" i="7"/>
  <c r="CU152" i="7"/>
  <c r="DR152" i="7"/>
  <c r="CV152" i="7"/>
  <c r="DS152" i="7"/>
  <c r="CX152" i="7"/>
  <c r="DU152" i="7"/>
  <c r="CR152" i="7"/>
  <c r="CW152" i="7"/>
  <c r="CY152" i="7"/>
  <c r="CZ152" i="7"/>
  <c r="DA152" i="7"/>
  <c r="DC152" i="7"/>
  <c r="DH152" i="7"/>
  <c r="CN152" i="7"/>
  <c r="CO152" i="7"/>
  <c r="CQ152" i="7"/>
  <c r="DD152" i="7"/>
  <c r="DE152" i="7"/>
  <c r="DL152" i="7"/>
  <c r="DM152" i="7"/>
  <c r="DN152" i="7"/>
  <c r="DO152" i="7"/>
  <c r="DT152" i="7"/>
  <c r="DW152" i="7"/>
  <c r="CP152" i="7"/>
  <c r="DB152" i="7"/>
  <c r="DF152" i="7"/>
  <c r="DG152" i="7"/>
  <c r="DJ152" i="7"/>
  <c r="DK152" i="7"/>
  <c r="DV152" i="7"/>
  <c r="CL240" i="7"/>
  <c r="DC240" i="7"/>
  <c r="DG240" i="7"/>
  <c r="DH240" i="7"/>
  <c r="DJ240" i="7"/>
  <c r="DF240" i="7"/>
  <c r="DI240" i="7"/>
  <c r="DK240" i="7"/>
  <c r="DM240" i="7"/>
  <c r="CR240" i="7"/>
  <c r="DR240" i="7"/>
  <c r="CS240" i="7"/>
  <c r="DS240" i="7"/>
  <c r="CT240" i="7"/>
  <c r="DE240" i="7"/>
  <c r="DL240" i="7"/>
  <c r="DN240" i="7"/>
  <c r="DO240" i="7"/>
  <c r="DQ240" i="7"/>
  <c r="DT240" i="7"/>
  <c r="CY240" i="7"/>
  <c r="CZ240" i="7"/>
  <c r="DA240" i="7"/>
  <c r="DB240" i="7"/>
  <c r="DD240" i="7"/>
  <c r="DP240" i="7"/>
  <c r="DU240" i="7"/>
  <c r="DV240" i="7"/>
  <c r="DW240" i="7"/>
  <c r="DV280" i="7"/>
  <c r="DM260" i="7"/>
  <c r="CP150" i="7"/>
  <c r="CH87" i="7"/>
  <c r="CY87" i="7"/>
  <c r="DU87" i="7"/>
  <c r="CZ87" i="7"/>
  <c r="CN87" i="7"/>
  <c r="DL87" i="7"/>
  <c r="CO87" i="7"/>
  <c r="DM87" i="7"/>
  <c r="CP87" i="7"/>
  <c r="DN87" i="7"/>
  <c r="CQ87" i="7"/>
  <c r="DO87" i="7"/>
  <c r="DK87" i="7"/>
  <c r="DP87" i="7"/>
  <c r="DQ87" i="7"/>
  <c r="DR87" i="7"/>
  <c r="DS87" i="7"/>
  <c r="CV87" i="7"/>
  <c r="CW87" i="7"/>
  <c r="CR87" i="7"/>
  <c r="CS87" i="7"/>
  <c r="CT87" i="7"/>
  <c r="CU87" i="7"/>
  <c r="CX87" i="7"/>
  <c r="DB87" i="7"/>
  <c r="DD87" i="7"/>
  <c r="DF87" i="7"/>
  <c r="DG87" i="7"/>
  <c r="DC87" i="7"/>
  <c r="DE87" i="7"/>
  <c r="DH87" i="7"/>
  <c r="DI87" i="7"/>
  <c r="DJ87" i="7"/>
  <c r="DT87" i="7"/>
  <c r="DV87" i="7"/>
  <c r="DW87" i="7"/>
  <c r="DA87" i="7"/>
  <c r="CO175" i="7"/>
  <c r="DK175" i="7"/>
  <c r="CY175" i="7"/>
  <c r="DV175" i="7"/>
  <c r="CZ175" i="7"/>
  <c r="DW175" i="7"/>
  <c r="DA175" i="7"/>
  <c r="DJ175" i="7"/>
  <c r="DL175" i="7"/>
  <c r="DN175" i="7"/>
  <c r="DB175" i="7"/>
  <c r="DC175" i="7"/>
  <c r="DE175" i="7"/>
  <c r="DG175" i="7"/>
  <c r="DI175" i="7"/>
  <c r="DM175" i="7"/>
  <c r="DP175" i="7"/>
  <c r="DQ175" i="7"/>
  <c r="DR175" i="7"/>
  <c r="DS175" i="7"/>
  <c r="DT175" i="7"/>
  <c r="DU175" i="7"/>
  <c r="CN175" i="7"/>
  <c r="CP175" i="7"/>
  <c r="CQ175" i="7"/>
  <c r="CR175" i="7"/>
  <c r="CS175" i="7"/>
  <c r="CT175" i="7"/>
  <c r="CU175" i="7"/>
  <c r="CV175" i="7"/>
  <c r="CW175" i="7"/>
  <c r="CX175" i="7"/>
  <c r="DD175" i="7"/>
  <c r="DF175" i="7"/>
  <c r="DO175" i="7"/>
  <c r="DH175" i="7"/>
  <c r="BU263" i="7"/>
  <c r="DI263" i="7"/>
  <c r="CN263" i="7"/>
  <c r="DJ263" i="7"/>
  <c r="CP263" i="7"/>
  <c r="DL263" i="7"/>
  <c r="DK263" i="7"/>
  <c r="DM263" i="7"/>
  <c r="DN263" i="7"/>
  <c r="CQ263" i="7"/>
  <c r="DP263" i="7"/>
  <c r="CV263" i="7"/>
  <c r="DU263" i="7"/>
  <c r="DR263" i="7"/>
  <c r="DS263" i="7"/>
  <c r="DT263" i="7"/>
  <c r="CO263" i="7"/>
  <c r="DV263" i="7"/>
  <c r="CS263" i="7"/>
  <c r="CT263" i="7"/>
  <c r="DH263" i="7"/>
  <c r="DO263" i="7"/>
  <c r="DQ263" i="7"/>
  <c r="DW263" i="7"/>
  <c r="CU263" i="7"/>
  <c r="CX263" i="7"/>
  <c r="CW263" i="7"/>
  <c r="CU279" i="7"/>
  <c r="CC44" i="7"/>
  <c r="CV44" i="7"/>
  <c r="DR44" i="7"/>
  <c r="CX44" i="7"/>
  <c r="DT44" i="7"/>
  <c r="CY44" i="7"/>
  <c r="DU44" i="7"/>
  <c r="CZ44" i="7"/>
  <c r="DV44" i="7"/>
  <c r="CS44" i="7"/>
  <c r="DW44" i="7"/>
  <c r="CT44" i="7"/>
  <c r="CU44" i="7"/>
  <c r="DF44" i="7"/>
  <c r="DG44" i="7"/>
  <c r="DH44" i="7"/>
  <c r="DI44" i="7"/>
  <c r="DJ44" i="7"/>
  <c r="DK44" i="7"/>
  <c r="CN44" i="7"/>
  <c r="DQ44" i="7"/>
  <c r="CO44" i="7"/>
  <c r="DS44" i="7"/>
  <c r="CQ44" i="7"/>
  <c r="DA44" i="7"/>
  <c r="CP44" i="7"/>
  <c r="CR44" i="7"/>
  <c r="CW44" i="7"/>
  <c r="DB44" i="7"/>
  <c r="DC44" i="7"/>
  <c r="DD44" i="7"/>
  <c r="DE44" i="7"/>
  <c r="DM44" i="7"/>
  <c r="DO44" i="7"/>
  <c r="DP44" i="7"/>
  <c r="DL44" i="7"/>
  <c r="DN44" i="7"/>
  <c r="DG88" i="7"/>
  <c r="CY88" i="7"/>
  <c r="DV88" i="7"/>
  <c r="CZ88" i="7"/>
  <c r="DW88" i="7"/>
  <c r="DA88" i="7"/>
  <c r="DB88" i="7"/>
  <c r="DF88" i="7"/>
  <c r="DH88" i="7"/>
  <c r="DI88" i="7"/>
  <c r="DJ88" i="7"/>
  <c r="DK88" i="7"/>
  <c r="CO88" i="7"/>
  <c r="DP88" i="7"/>
  <c r="CS88" i="7"/>
  <c r="CT88" i="7"/>
  <c r="CU88" i="7"/>
  <c r="CV88" i="7"/>
  <c r="CW88" i="7"/>
  <c r="DC88" i="7"/>
  <c r="DE88" i="7"/>
  <c r="DM88" i="7"/>
  <c r="DN88" i="7"/>
  <c r="CN88" i="7"/>
  <c r="CP88" i="7"/>
  <c r="CQ88" i="7"/>
  <c r="CR88" i="7"/>
  <c r="CX88" i="7"/>
  <c r="DD88" i="7"/>
  <c r="DO88" i="7"/>
  <c r="DL88" i="7"/>
  <c r="DQ88" i="7"/>
  <c r="DR88" i="7"/>
  <c r="DS88" i="7"/>
  <c r="DT88" i="7"/>
  <c r="DU88" i="7"/>
  <c r="BQ132" i="7"/>
  <c r="DG132" i="7"/>
  <c r="DE132" i="7"/>
  <c r="CO132" i="7"/>
  <c r="DM132" i="7"/>
  <c r="DA132" i="7"/>
  <c r="DB132" i="7"/>
  <c r="DC132" i="7"/>
  <c r="DF132" i="7"/>
  <c r="CN132" i="7"/>
  <c r="DN132" i="7"/>
  <c r="DO132" i="7"/>
  <c r="DP132" i="7"/>
  <c r="DQ132" i="7"/>
  <c r="DD132" i="7"/>
  <c r="DH132" i="7"/>
  <c r="DI132" i="7"/>
  <c r="DJ132" i="7"/>
  <c r="DL132" i="7"/>
  <c r="DT132" i="7"/>
  <c r="CS132" i="7"/>
  <c r="CT132" i="7"/>
  <c r="CU132" i="7"/>
  <c r="CV132" i="7"/>
  <c r="CW132" i="7"/>
  <c r="CX132" i="7"/>
  <c r="CZ132" i="7"/>
  <c r="DK132" i="7"/>
  <c r="DS132" i="7"/>
  <c r="DU132" i="7"/>
  <c r="DV132" i="7"/>
  <c r="DW132" i="7"/>
  <c r="CQ132" i="7"/>
  <c r="CR132" i="7"/>
  <c r="CY132" i="7"/>
  <c r="DR132" i="7"/>
  <c r="CP132" i="7"/>
  <c r="BS154" i="7"/>
  <c r="CN154" i="7"/>
  <c r="DJ154" i="7"/>
  <c r="CQ154" i="7"/>
  <c r="DN154" i="7"/>
  <c r="CR154" i="7"/>
  <c r="DO154" i="7"/>
  <c r="CS154" i="7"/>
  <c r="DP154" i="7"/>
  <c r="CU154" i="7"/>
  <c r="DR154" i="7"/>
  <c r="DF154" i="7"/>
  <c r="DG154" i="7"/>
  <c r="DH154" i="7"/>
  <c r="CO154" i="7"/>
  <c r="DW154" i="7"/>
  <c r="CP154" i="7"/>
  <c r="CV154" i="7"/>
  <c r="DA154" i="7"/>
  <c r="CX154" i="7"/>
  <c r="CY154" i="7"/>
  <c r="CZ154" i="7"/>
  <c r="DB154" i="7"/>
  <c r="DD154" i="7"/>
  <c r="DI154" i="7"/>
  <c r="DK154" i="7"/>
  <c r="CW154" i="7"/>
  <c r="DC154" i="7"/>
  <c r="DE154" i="7"/>
  <c r="DL154" i="7"/>
  <c r="DM154" i="7"/>
  <c r="CT154" i="7"/>
  <c r="DQ154" i="7"/>
  <c r="DS154" i="7"/>
  <c r="DT154" i="7"/>
  <c r="DU154" i="7"/>
  <c r="DV154" i="7"/>
  <c r="BP198" i="7"/>
  <c r="CW198" i="7"/>
  <c r="DS198" i="7"/>
  <c r="DA198" i="7"/>
  <c r="DC198" i="7"/>
  <c r="DD198" i="7"/>
  <c r="DE198" i="7"/>
  <c r="DG198" i="7"/>
  <c r="CY198" i="7"/>
  <c r="CZ198" i="7"/>
  <c r="DF198" i="7"/>
  <c r="DL198" i="7"/>
  <c r="DM198" i="7"/>
  <c r="DN198" i="7"/>
  <c r="DO198" i="7"/>
  <c r="DP198" i="7"/>
  <c r="DB198" i="7"/>
  <c r="DH198" i="7"/>
  <c r="DI198" i="7"/>
  <c r="DJ198" i="7"/>
  <c r="DK198" i="7"/>
  <c r="DU198" i="7"/>
  <c r="DV198" i="7"/>
  <c r="DW198" i="7"/>
  <c r="CO198" i="7"/>
  <c r="CP198" i="7"/>
  <c r="CQ198" i="7"/>
  <c r="CR198" i="7"/>
  <c r="CS198" i="7"/>
  <c r="CT198" i="7"/>
  <c r="CU198" i="7"/>
  <c r="CV198" i="7"/>
  <c r="DQ198" i="7"/>
  <c r="DR198" i="7"/>
  <c r="DT198" i="7"/>
  <c r="CN198" i="7"/>
  <c r="CX198" i="7"/>
  <c r="BR242" i="7"/>
  <c r="CW242" i="7"/>
  <c r="DS242" i="7"/>
  <c r="DD242" i="7"/>
  <c r="DE242" i="7"/>
  <c r="DG242" i="7"/>
  <c r="CO242" i="7"/>
  <c r="DO242" i="7"/>
  <c r="CP242" i="7"/>
  <c r="DP242" i="7"/>
  <c r="CQ242" i="7"/>
  <c r="DQ242" i="7"/>
  <c r="CS242" i="7"/>
  <c r="DT242" i="7"/>
  <c r="CY242" i="7"/>
  <c r="CZ242" i="7"/>
  <c r="DJ242" i="7"/>
  <c r="DK242" i="7"/>
  <c r="DL242" i="7"/>
  <c r="DM242" i="7"/>
  <c r="DR242" i="7"/>
  <c r="DU242" i="7"/>
  <c r="CN242" i="7"/>
  <c r="CR242" i="7"/>
  <c r="DA242" i="7"/>
  <c r="CT242" i="7"/>
  <c r="CU242" i="7"/>
  <c r="CV242" i="7"/>
  <c r="CX242" i="7"/>
  <c r="DB242" i="7"/>
  <c r="DF242" i="7"/>
  <c r="DC242" i="7"/>
  <c r="CZ282" i="7"/>
  <c r="DR259" i="7"/>
  <c r="CQ257" i="7"/>
  <c r="DE241" i="7"/>
  <c r="CU238" i="7"/>
  <c r="DW220" i="7"/>
  <c r="DK215" i="7"/>
  <c r="DT192" i="7"/>
  <c r="CY282" i="7"/>
  <c r="CR263" i="7"/>
  <c r="DQ259" i="7"/>
  <c r="CP257" i="7"/>
  <c r="DD241" i="7"/>
  <c r="CT238" i="7"/>
  <c r="DV220" i="7"/>
  <c r="CY213" i="7"/>
  <c r="DD192" i="7"/>
  <c r="CX282" i="7"/>
  <c r="DP259" i="7"/>
  <c r="DB241" i="7"/>
  <c r="DU220" i="7"/>
  <c r="CT282" i="7"/>
  <c r="DB280" i="7"/>
  <c r="DE262" i="7"/>
  <c r="CN257" i="7"/>
  <c r="CX241" i="7"/>
  <c r="CW213" i="7"/>
  <c r="BR169" i="7"/>
  <c r="CX169" i="7"/>
  <c r="DT169" i="7"/>
  <c r="DD169" i="7"/>
  <c r="DH169" i="7"/>
  <c r="DC169" i="7"/>
  <c r="DE169" i="7"/>
  <c r="DF169" i="7"/>
  <c r="DK169" i="7"/>
  <c r="DL169" i="7"/>
  <c r="DN169" i="7"/>
  <c r="CQ169" i="7"/>
  <c r="DS169" i="7"/>
  <c r="CP169" i="7"/>
  <c r="CR169" i="7"/>
  <c r="CT169" i="7"/>
  <c r="CV169" i="7"/>
  <c r="CY169" i="7"/>
  <c r="CZ169" i="7"/>
  <c r="DI169" i="7"/>
  <c r="DJ169" i="7"/>
  <c r="DM169" i="7"/>
  <c r="DO169" i="7"/>
  <c r="DP169" i="7"/>
  <c r="DA169" i="7"/>
  <c r="DB169" i="7"/>
  <c r="DG169" i="7"/>
  <c r="DQ169" i="7"/>
  <c r="DR169" i="7"/>
  <c r="DU169" i="7"/>
  <c r="CN169" i="7"/>
  <c r="CO169" i="7"/>
  <c r="CS169" i="7"/>
  <c r="CU169" i="7"/>
  <c r="CW169" i="7"/>
  <c r="DV169" i="7"/>
  <c r="DW169" i="7"/>
  <c r="CL82" i="7"/>
  <c r="DC82" i="7"/>
  <c r="DD82" i="7"/>
  <c r="DE82" i="7"/>
  <c r="CP82" i="7"/>
  <c r="DO82" i="7"/>
  <c r="CQ82" i="7"/>
  <c r="DP82" i="7"/>
  <c r="CR82" i="7"/>
  <c r="DQ82" i="7"/>
  <c r="CS82" i="7"/>
  <c r="DR82" i="7"/>
  <c r="DH82" i="7"/>
  <c r="DI82" i="7"/>
  <c r="DJ82" i="7"/>
  <c r="DK82" i="7"/>
  <c r="DL82" i="7"/>
  <c r="CN82" i="7"/>
  <c r="DU82" i="7"/>
  <c r="CO82" i="7"/>
  <c r="DV82" i="7"/>
  <c r="CT82" i="7"/>
  <c r="CU82" i="7"/>
  <c r="CV82" i="7"/>
  <c r="CX82" i="7"/>
  <c r="CZ82" i="7"/>
  <c r="DB82" i="7"/>
  <c r="DF82" i="7"/>
  <c r="CW82" i="7"/>
  <c r="CY82" i="7"/>
  <c r="DA82" i="7"/>
  <c r="DG82" i="7"/>
  <c r="DM82" i="7"/>
  <c r="DN82" i="7"/>
  <c r="DT82" i="7"/>
  <c r="DS82" i="7"/>
  <c r="DW82" i="7"/>
  <c r="DM170" i="7"/>
  <c r="BX259" i="7"/>
  <c r="CY259" i="7"/>
  <c r="DU259" i="7"/>
  <c r="CZ259" i="7"/>
  <c r="DV259" i="7"/>
  <c r="DB259" i="7"/>
  <c r="DC259" i="7"/>
  <c r="DD259" i="7"/>
  <c r="DE259" i="7"/>
  <c r="DG259" i="7"/>
  <c r="DL259" i="7"/>
  <c r="CN259" i="7"/>
  <c r="CT259" i="7"/>
  <c r="CU259" i="7"/>
  <c r="CV259" i="7"/>
  <c r="CW259" i="7"/>
  <c r="DA259" i="7"/>
  <c r="DF259" i="7"/>
  <c r="DS259" i="7"/>
  <c r="DT259" i="7"/>
  <c r="DW259" i="7"/>
  <c r="CO259" i="7"/>
  <c r="CP259" i="7"/>
  <c r="CQ259" i="7"/>
  <c r="CS259" i="7"/>
  <c r="DH259" i="7"/>
  <c r="CX259" i="7"/>
  <c r="CF194" i="7"/>
  <c r="DI194" i="7"/>
  <c r="DF194" i="7"/>
  <c r="DG194" i="7"/>
  <c r="DH194" i="7"/>
  <c r="CT194" i="7"/>
  <c r="DT194" i="7"/>
  <c r="CU194" i="7"/>
  <c r="DU194" i="7"/>
  <c r="CW194" i="7"/>
  <c r="DW194" i="7"/>
  <c r="CX194" i="7"/>
  <c r="CY194" i="7"/>
  <c r="DA194" i="7"/>
  <c r="DQ194" i="7"/>
  <c r="DR194" i="7"/>
  <c r="DS194" i="7"/>
  <c r="CN194" i="7"/>
  <c r="DV194" i="7"/>
  <c r="CO194" i="7"/>
  <c r="DN194" i="7"/>
  <c r="DO194" i="7"/>
  <c r="DP194" i="7"/>
  <c r="CP194" i="7"/>
  <c r="CQ194" i="7"/>
  <c r="CR194" i="7"/>
  <c r="CS194" i="7"/>
  <c r="CV194" i="7"/>
  <c r="CZ194" i="7"/>
  <c r="DB194" i="7"/>
  <c r="DC194" i="7"/>
  <c r="DE194" i="7"/>
  <c r="DJ194" i="7"/>
  <c r="DK194" i="7"/>
  <c r="DD194" i="7"/>
  <c r="DL194" i="7"/>
  <c r="DM194" i="7"/>
  <c r="DB279" i="7"/>
  <c r="CM22" i="7"/>
  <c r="CV22" i="7"/>
  <c r="DR22" i="7"/>
  <c r="CX22" i="7"/>
  <c r="DT22" i="7"/>
  <c r="CY22" i="7"/>
  <c r="DU22" i="7"/>
  <c r="CZ22" i="7"/>
  <c r="DV22" i="7"/>
  <c r="DF22" i="7"/>
  <c r="DD22" i="7"/>
  <c r="DE22" i="7"/>
  <c r="DG22" i="7"/>
  <c r="DH22" i="7"/>
  <c r="DI22" i="7"/>
  <c r="DK22" i="7"/>
  <c r="DA22" i="7"/>
  <c r="DB22" i="7"/>
  <c r="DC22" i="7"/>
  <c r="DJ22" i="7"/>
  <c r="DL22" i="7"/>
  <c r="DM22" i="7"/>
  <c r="DN22" i="7"/>
  <c r="DS22" i="7"/>
  <c r="DW22" i="7"/>
  <c r="CN22" i="7"/>
  <c r="CO22" i="7"/>
  <c r="CP22" i="7"/>
  <c r="CQ22" i="7"/>
  <c r="CT22" i="7"/>
  <c r="DO22" i="7"/>
  <c r="DP22" i="7"/>
  <c r="CR22" i="7"/>
  <c r="CS22" i="7"/>
  <c r="CU22" i="7"/>
  <c r="CW22" i="7"/>
  <c r="DQ22" i="7"/>
  <c r="CM66" i="7"/>
  <c r="CX66" i="7"/>
  <c r="DT66" i="7"/>
  <c r="CY66" i="7"/>
  <c r="DU66" i="7"/>
  <c r="CN66" i="7"/>
  <c r="DL66" i="7"/>
  <c r="CO66" i="7"/>
  <c r="DM66" i="7"/>
  <c r="CP66" i="7"/>
  <c r="DN66" i="7"/>
  <c r="CQ66" i="7"/>
  <c r="DO66" i="7"/>
  <c r="DQ66" i="7"/>
  <c r="DR66" i="7"/>
  <c r="DS66" i="7"/>
  <c r="CR66" i="7"/>
  <c r="DV66" i="7"/>
  <c r="CS66" i="7"/>
  <c r="DW66" i="7"/>
  <c r="DA66" i="7"/>
  <c r="CV66" i="7"/>
  <c r="CW66" i="7"/>
  <c r="CZ66" i="7"/>
  <c r="DB66" i="7"/>
  <c r="DC66" i="7"/>
  <c r="DE66" i="7"/>
  <c r="DG66" i="7"/>
  <c r="DH66" i="7"/>
  <c r="DI66" i="7"/>
  <c r="DD66" i="7"/>
  <c r="DF66" i="7"/>
  <c r="DJ66" i="7"/>
  <c r="DK66" i="7"/>
  <c r="DP66" i="7"/>
  <c r="CT66" i="7"/>
  <c r="CU66" i="7"/>
  <c r="BP110" i="7"/>
  <c r="DG110" i="7"/>
  <c r="CQ110" i="7"/>
  <c r="DN110" i="7"/>
  <c r="CR110" i="7"/>
  <c r="CS110" i="7"/>
  <c r="DH110" i="7"/>
  <c r="DJ110" i="7"/>
  <c r="DL110" i="7"/>
  <c r="CT110" i="7"/>
  <c r="DR110" i="7"/>
  <c r="CW110" i="7"/>
  <c r="CX110" i="7"/>
  <c r="CY110" i="7"/>
  <c r="CZ110" i="7"/>
  <c r="DA110" i="7"/>
  <c r="DC110" i="7"/>
  <c r="DI110" i="7"/>
  <c r="DK110" i="7"/>
  <c r="CO110" i="7"/>
  <c r="CP110" i="7"/>
  <c r="CU110" i="7"/>
  <c r="CV110" i="7"/>
  <c r="DB110" i="7"/>
  <c r="DD110" i="7"/>
  <c r="DE110" i="7"/>
  <c r="DM110" i="7"/>
  <c r="DO110" i="7"/>
  <c r="DQ110" i="7"/>
  <c r="DT110" i="7"/>
  <c r="DP110" i="7"/>
  <c r="CN110" i="7"/>
  <c r="DF110" i="7"/>
  <c r="DS110" i="7"/>
  <c r="DU110" i="7"/>
  <c r="DV110" i="7"/>
  <c r="DW110" i="7"/>
  <c r="CL176" i="7"/>
  <c r="CW176" i="7"/>
  <c r="DS176" i="7"/>
  <c r="DI176" i="7"/>
  <c r="DJ176" i="7"/>
  <c r="CN176" i="7"/>
  <c r="DK176" i="7"/>
  <c r="DA176" i="7"/>
  <c r="DB176" i="7"/>
  <c r="DD176" i="7"/>
  <c r="CU176" i="7"/>
  <c r="CV176" i="7"/>
  <c r="CY176" i="7"/>
  <c r="DC176" i="7"/>
  <c r="DF176" i="7"/>
  <c r="DG176" i="7"/>
  <c r="DR176" i="7"/>
  <c r="DT176" i="7"/>
  <c r="DU176" i="7"/>
  <c r="DV176" i="7"/>
  <c r="DW176" i="7"/>
  <c r="CO176" i="7"/>
  <c r="CP176" i="7"/>
  <c r="CQ176" i="7"/>
  <c r="CR176" i="7"/>
  <c r="CS176" i="7"/>
  <c r="CZ176" i="7"/>
  <c r="DE176" i="7"/>
  <c r="DH176" i="7"/>
  <c r="DL176" i="7"/>
  <c r="CT176" i="7"/>
  <c r="CX176" i="7"/>
  <c r="DM176" i="7"/>
  <c r="BR220" i="7"/>
  <c r="CW220" i="7"/>
  <c r="DS220" i="7"/>
  <c r="CV220" i="7"/>
  <c r="DT220" i="7"/>
  <c r="DE220" i="7"/>
  <c r="DF220" i="7"/>
  <c r="DH220" i="7"/>
  <c r="DL220" i="7"/>
  <c r="DM220" i="7"/>
  <c r="DN220" i="7"/>
  <c r="CN220" i="7"/>
  <c r="DO220" i="7"/>
  <c r="CT220" i="7"/>
  <c r="CU220" i="7"/>
  <c r="CX220" i="7"/>
  <c r="CY220" i="7"/>
  <c r="CZ220" i="7"/>
  <c r="DG220" i="7"/>
  <c r="DI220" i="7"/>
  <c r="DJ220" i="7"/>
  <c r="CO220" i="7"/>
  <c r="CP220" i="7"/>
  <c r="CQ220" i="7"/>
  <c r="CR220" i="7"/>
  <c r="CS220" i="7"/>
  <c r="DD220" i="7"/>
  <c r="DA220" i="7"/>
  <c r="DB220" i="7"/>
  <c r="DC220" i="7"/>
  <c r="DP220" i="7"/>
  <c r="DK220" i="7"/>
  <c r="CU264" i="7"/>
  <c r="DQ264" i="7"/>
  <c r="CV264" i="7"/>
  <c r="DR264" i="7"/>
  <c r="CX264" i="7"/>
  <c r="DT264" i="7"/>
  <c r="DA264" i="7"/>
  <c r="DB264" i="7"/>
  <c r="DC264" i="7"/>
  <c r="DE264" i="7"/>
  <c r="DJ264" i="7"/>
  <c r="DM264" i="7"/>
  <c r="DN264" i="7"/>
  <c r="DO264" i="7"/>
  <c r="DP264" i="7"/>
  <c r="CN264" i="7"/>
  <c r="DU264" i="7"/>
  <c r="CO264" i="7"/>
  <c r="DV264" i="7"/>
  <c r="CP264" i="7"/>
  <c r="CQ264" i="7"/>
  <c r="CR264" i="7"/>
  <c r="CS264" i="7"/>
  <c r="CT264" i="7"/>
  <c r="CY264" i="7"/>
  <c r="DD264" i="7"/>
  <c r="CZ264" i="7"/>
  <c r="DT280" i="7"/>
  <c r="CY263" i="7"/>
  <c r="DO280" i="7"/>
  <c r="DC280" i="7"/>
  <c r="DF262" i="7"/>
  <c r="CO257" i="7"/>
  <c r="CX213" i="7"/>
  <c r="CL26" i="7"/>
  <c r="DF26" i="7"/>
  <c r="DH26" i="7"/>
  <c r="DI26" i="7"/>
  <c r="CN26" i="7"/>
  <c r="DJ26" i="7"/>
  <c r="CT26" i="7"/>
  <c r="DP26" i="7"/>
  <c r="DA26" i="7"/>
  <c r="DB26" i="7"/>
  <c r="DC26" i="7"/>
  <c r="DD26" i="7"/>
  <c r="DE26" i="7"/>
  <c r="DK26" i="7"/>
  <c r="DQ26" i="7"/>
  <c r="DR26" i="7"/>
  <c r="DS26" i="7"/>
  <c r="DT26" i="7"/>
  <c r="DU26" i="7"/>
  <c r="DV26" i="7"/>
  <c r="CO26" i="7"/>
  <c r="DW26" i="7"/>
  <c r="CS26" i="7"/>
  <c r="CU26" i="7"/>
  <c r="CV26" i="7"/>
  <c r="CP26" i="7"/>
  <c r="CQ26" i="7"/>
  <c r="CR26" i="7"/>
  <c r="CY26" i="7"/>
  <c r="DL26" i="7"/>
  <c r="DM26" i="7"/>
  <c r="CW26" i="7"/>
  <c r="CX26" i="7"/>
  <c r="CZ26" i="7"/>
  <c r="DG26" i="7"/>
  <c r="DN26" i="7"/>
  <c r="DO26" i="7"/>
  <c r="CK48" i="7"/>
  <c r="DF48" i="7"/>
  <c r="DH48" i="7"/>
  <c r="DI48" i="7"/>
  <c r="CN48" i="7"/>
  <c r="DJ48" i="7"/>
  <c r="DM48" i="7"/>
  <c r="DN48" i="7"/>
  <c r="CO48" i="7"/>
  <c r="DO48" i="7"/>
  <c r="DR48" i="7"/>
  <c r="CP48" i="7"/>
  <c r="DS48" i="7"/>
  <c r="CQ48" i="7"/>
  <c r="DT48" i="7"/>
  <c r="CR48" i="7"/>
  <c r="DU48" i="7"/>
  <c r="CT48" i="7"/>
  <c r="DW48" i="7"/>
  <c r="CZ48" i="7"/>
  <c r="DA48" i="7"/>
  <c r="DV48" i="7"/>
  <c r="CS48" i="7"/>
  <c r="CW48" i="7"/>
  <c r="DL48" i="7"/>
  <c r="DP48" i="7"/>
  <c r="DQ48" i="7"/>
  <c r="CU48" i="7"/>
  <c r="CV48" i="7"/>
  <c r="CX48" i="7"/>
  <c r="DB48" i="7"/>
  <c r="DD48" i="7"/>
  <c r="DE48" i="7"/>
  <c r="DG48" i="7"/>
  <c r="DK48" i="7"/>
  <c r="CY48" i="7"/>
  <c r="DC48" i="7"/>
  <c r="CM70" i="7"/>
  <c r="DH70" i="7"/>
  <c r="DI70" i="7"/>
  <c r="CP70" i="7"/>
  <c r="DN70" i="7"/>
  <c r="CQ70" i="7"/>
  <c r="DO70" i="7"/>
  <c r="CR70" i="7"/>
  <c r="DP70" i="7"/>
  <c r="CS70" i="7"/>
  <c r="DQ70" i="7"/>
  <c r="CO70" i="7"/>
  <c r="DU70" i="7"/>
  <c r="CT70" i="7"/>
  <c r="DV70" i="7"/>
  <c r="CU70" i="7"/>
  <c r="DW70" i="7"/>
  <c r="CV70" i="7"/>
  <c r="DC70" i="7"/>
  <c r="DJ70" i="7"/>
  <c r="DK70" i="7"/>
  <c r="DL70" i="7"/>
  <c r="DM70" i="7"/>
  <c r="DR70" i="7"/>
  <c r="DT70" i="7"/>
  <c r="CY70" i="7"/>
  <c r="CZ70" i="7"/>
  <c r="DA70" i="7"/>
  <c r="DB70" i="7"/>
  <c r="DD70" i="7"/>
  <c r="DE70" i="7"/>
  <c r="DF70" i="7"/>
  <c r="DS70" i="7"/>
  <c r="CN70" i="7"/>
  <c r="CX70" i="7"/>
  <c r="DG70" i="7"/>
  <c r="CW70" i="7"/>
  <c r="BQ92" i="7"/>
  <c r="CU92" i="7"/>
  <c r="DQ92" i="7"/>
  <c r="CS92" i="7"/>
  <c r="DP92" i="7"/>
  <c r="CT92" i="7"/>
  <c r="DR92" i="7"/>
  <c r="CV92" i="7"/>
  <c r="DS92" i="7"/>
  <c r="CW92" i="7"/>
  <c r="DT92" i="7"/>
  <c r="DC92" i="7"/>
  <c r="DD92" i="7"/>
  <c r="DE92" i="7"/>
  <c r="DF92" i="7"/>
  <c r="DG92" i="7"/>
  <c r="DL92" i="7"/>
  <c r="DB92" i="7"/>
  <c r="DH92" i="7"/>
  <c r="DI92" i="7"/>
  <c r="DJ92" i="7"/>
  <c r="DK92" i="7"/>
  <c r="DN92" i="7"/>
  <c r="DU92" i="7"/>
  <c r="DW92" i="7"/>
  <c r="CN92" i="7"/>
  <c r="CO92" i="7"/>
  <c r="CR92" i="7"/>
  <c r="CX92" i="7"/>
  <c r="CY92" i="7"/>
  <c r="CZ92" i="7"/>
  <c r="DM92" i="7"/>
  <c r="DO92" i="7"/>
  <c r="DA92" i="7"/>
  <c r="DV92" i="7"/>
  <c r="CP92" i="7"/>
  <c r="CM114" i="7"/>
  <c r="CU114" i="7"/>
  <c r="DQ114" i="7"/>
  <c r="DH114" i="7"/>
  <c r="DI114" i="7"/>
  <c r="DK114" i="7"/>
  <c r="CO114" i="7"/>
  <c r="DM114" i="7"/>
  <c r="CT114" i="7"/>
  <c r="DS114" i="7"/>
  <c r="CZ114" i="7"/>
  <c r="DA114" i="7"/>
  <c r="DB114" i="7"/>
  <c r="DC114" i="7"/>
  <c r="DD114" i="7"/>
  <c r="DF114" i="7"/>
  <c r="DN114" i="7"/>
  <c r="DO114" i="7"/>
  <c r="CP114" i="7"/>
  <c r="CQ114" i="7"/>
  <c r="CR114" i="7"/>
  <c r="DP114" i="7"/>
  <c r="DR114" i="7"/>
  <c r="DT114" i="7"/>
  <c r="DU114" i="7"/>
  <c r="DW114" i="7"/>
  <c r="CV114" i="7"/>
  <c r="CW114" i="7"/>
  <c r="CX114" i="7"/>
  <c r="CY114" i="7"/>
  <c r="DE114" i="7"/>
  <c r="DG114" i="7"/>
  <c r="DL114" i="7"/>
  <c r="DV114" i="7"/>
  <c r="CN114" i="7"/>
  <c r="CS114" i="7"/>
  <c r="DJ114" i="7"/>
  <c r="BT136" i="7"/>
  <c r="CV136" i="7"/>
  <c r="DR136" i="7"/>
  <c r="DI136" i="7"/>
  <c r="DE136" i="7"/>
  <c r="DF136" i="7"/>
  <c r="DG136" i="7"/>
  <c r="DJ136" i="7"/>
  <c r="CU136" i="7"/>
  <c r="CW136" i="7"/>
  <c r="CX136" i="7"/>
  <c r="DH136" i="7"/>
  <c r="DK136" i="7"/>
  <c r="DL136" i="7"/>
  <c r="DM136" i="7"/>
  <c r="DO136" i="7"/>
  <c r="DS136" i="7"/>
  <c r="CY136" i="7"/>
  <c r="CZ136" i="7"/>
  <c r="DA136" i="7"/>
  <c r="DB136" i="7"/>
  <c r="DD136" i="7"/>
  <c r="DP136" i="7"/>
  <c r="DQ136" i="7"/>
  <c r="DV136" i="7"/>
  <c r="DW136" i="7"/>
  <c r="CO136" i="7"/>
  <c r="CP136" i="7"/>
  <c r="CQ136" i="7"/>
  <c r="CR136" i="7"/>
  <c r="CS136" i="7"/>
  <c r="CT136" i="7"/>
  <c r="DT136" i="7"/>
  <c r="DU136" i="7"/>
  <c r="DC136" i="7"/>
  <c r="DN136" i="7"/>
  <c r="CN136" i="7"/>
  <c r="CX158" i="7"/>
  <c r="DT158" i="7"/>
  <c r="DH158" i="7"/>
  <c r="DJ158" i="7"/>
  <c r="CO158" i="7"/>
  <c r="DL158" i="7"/>
  <c r="CZ158" i="7"/>
  <c r="DA158" i="7"/>
  <c r="DB158" i="7"/>
  <c r="DE158" i="7"/>
  <c r="DF158" i="7"/>
  <c r="DI158" i="7"/>
  <c r="DP158" i="7"/>
  <c r="DG158" i="7"/>
  <c r="DK158" i="7"/>
  <c r="DM158" i="7"/>
  <c r="DN158" i="7"/>
  <c r="DQ158" i="7"/>
  <c r="DS158" i="7"/>
  <c r="DU158" i="7"/>
  <c r="CP158" i="7"/>
  <c r="CQ158" i="7"/>
  <c r="CR158" i="7"/>
  <c r="CS158" i="7"/>
  <c r="CT158" i="7"/>
  <c r="CU158" i="7"/>
  <c r="CY158" i="7"/>
  <c r="DC158" i="7"/>
  <c r="DD158" i="7"/>
  <c r="DO158" i="7"/>
  <c r="DR158" i="7"/>
  <c r="DV158" i="7"/>
  <c r="DW158" i="7"/>
  <c r="CA180" i="7"/>
  <c r="DG180" i="7"/>
  <c r="DC180" i="7"/>
  <c r="DD180" i="7"/>
  <c r="DE180" i="7"/>
  <c r="CQ180" i="7"/>
  <c r="DQ180" i="7"/>
  <c r="CR180" i="7"/>
  <c r="DR180" i="7"/>
  <c r="CT180" i="7"/>
  <c r="DT180" i="7"/>
  <c r="DH180" i="7"/>
  <c r="DI180" i="7"/>
  <c r="DK180" i="7"/>
  <c r="DM180" i="7"/>
  <c r="DO180" i="7"/>
  <c r="DP180" i="7"/>
  <c r="CZ180" i="7"/>
  <c r="DA180" i="7"/>
  <c r="DB180" i="7"/>
  <c r="DF180" i="7"/>
  <c r="DJ180" i="7"/>
  <c r="CX180" i="7"/>
  <c r="CY180" i="7"/>
  <c r="DL180" i="7"/>
  <c r="DN180" i="7"/>
  <c r="DS180" i="7"/>
  <c r="DU180" i="7"/>
  <c r="CV180" i="7"/>
  <c r="CW180" i="7"/>
  <c r="DV180" i="7"/>
  <c r="DW180" i="7"/>
  <c r="CN180" i="7"/>
  <c r="CO180" i="7"/>
  <c r="CP180" i="7"/>
  <c r="CS180" i="7"/>
  <c r="CU180" i="7"/>
  <c r="CK202" i="7"/>
  <c r="DG202" i="7"/>
  <c r="CU202" i="7"/>
  <c r="DR202" i="7"/>
  <c r="CW202" i="7"/>
  <c r="DT202" i="7"/>
  <c r="DK202" i="7"/>
  <c r="DL202" i="7"/>
  <c r="CO202" i="7"/>
  <c r="DN202" i="7"/>
  <c r="DC202" i="7"/>
  <c r="DD202" i="7"/>
  <c r="DF202" i="7"/>
  <c r="DA202" i="7"/>
  <c r="DB202" i="7"/>
  <c r="DE202" i="7"/>
  <c r="DH202" i="7"/>
  <c r="DI202" i="7"/>
  <c r="CR202" i="7"/>
  <c r="CS202" i="7"/>
  <c r="CT202" i="7"/>
  <c r="CV202" i="7"/>
  <c r="CX202" i="7"/>
  <c r="DM202" i="7"/>
  <c r="DO202" i="7"/>
  <c r="DP202" i="7"/>
  <c r="DQ202" i="7"/>
  <c r="CN202" i="7"/>
  <c r="CP202" i="7"/>
  <c r="CQ202" i="7"/>
  <c r="CY202" i="7"/>
  <c r="CZ202" i="7"/>
  <c r="DJ202" i="7"/>
  <c r="DV202" i="7"/>
  <c r="DW202" i="7"/>
  <c r="DS202" i="7"/>
  <c r="DU202" i="7"/>
  <c r="CL224" i="7"/>
  <c r="DG224" i="7"/>
  <c r="CQ224" i="7"/>
  <c r="DN224" i="7"/>
  <c r="DE224" i="7"/>
  <c r="DF224" i="7"/>
  <c r="DI224" i="7"/>
  <c r="DH224" i="7"/>
  <c r="DJ224" i="7"/>
  <c r="DK224" i="7"/>
  <c r="DL224" i="7"/>
  <c r="CO224" i="7"/>
  <c r="DU224" i="7"/>
  <c r="CP224" i="7"/>
  <c r="DV224" i="7"/>
  <c r="CR224" i="7"/>
  <c r="DW224" i="7"/>
  <c r="CS224" i="7"/>
  <c r="CT224" i="7"/>
  <c r="CY224" i="7"/>
  <c r="CZ224" i="7"/>
  <c r="DA224" i="7"/>
  <c r="CX224" i="7"/>
  <c r="DB224" i="7"/>
  <c r="DC224" i="7"/>
  <c r="DD224" i="7"/>
  <c r="DM224" i="7"/>
  <c r="DO224" i="7"/>
  <c r="DP224" i="7"/>
  <c r="DT224" i="7"/>
  <c r="CN224" i="7"/>
  <c r="CU224" i="7"/>
  <c r="CV224" i="7"/>
  <c r="CW224" i="7"/>
  <c r="DQ224" i="7"/>
  <c r="DR224" i="7"/>
  <c r="DS224" i="7"/>
  <c r="CL246" i="7"/>
  <c r="DG246" i="7"/>
  <c r="CX246" i="7"/>
  <c r="DU246" i="7"/>
  <c r="CY246" i="7"/>
  <c r="DV246" i="7"/>
  <c r="DA246" i="7"/>
  <c r="DE246" i="7"/>
  <c r="DF246" i="7"/>
  <c r="DH246" i="7"/>
  <c r="DJ246" i="7"/>
  <c r="CO246" i="7"/>
  <c r="DO246" i="7"/>
  <c r="CP246" i="7"/>
  <c r="DP246" i="7"/>
  <c r="DM246" i="7"/>
  <c r="DN246" i="7"/>
  <c r="DQ246" i="7"/>
  <c r="DR246" i="7"/>
  <c r="DT246" i="7"/>
  <c r="DW246" i="7"/>
  <c r="CR246" i="7"/>
  <c r="CS246" i="7"/>
  <c r="CT246" i="7"/>
  <c r="CU246" i="7"/>
  <c r="CV246" i="7"/>
  <c r="CW246" i="7"/>
  <c r="CZ246" i="7"/>
  <c r="DD246" i="7"/>
  <c r="DB246" i="7"/>
  <c r="DC246" i="7"/>
  <c r="DI246" i="7"/>
  <c r="DL246" i="7"/>
  <c r="DK246" i="7"/>
  <c r="DE268" i="7"/>
  <c r="DF268" i="7"/>
  <c r="DH268" i="7"/>
  <c r="DJ268" i="7"/>
  <c r="DL268" i="7"/>
  <c r="CO268" i="7"/>
  <c r="DN268" i="7"/>
  <c r="CT268" i="7"/>
  <c r="DS268" i="7"/>
  <c r="CY268" i="7"/>
  <c r="CZ268" i="7"/>
  <c r="DB268" i="7"/>
  <c r="DD268" i="7"/>
  <c r="DG268" i="7"/>
  <c r="DM268" i="7"/>
  <c r="DO268" i="7"/>
  <c r="DP268" i="7"/>
  <c r="DQ268" i="7"/>
  <c r="DR268" i="7"/>
  <c r="DU268" i="7"/>
  <c r="DT268" i="7"/>
  <c r="DV268" i="7"/>
  <c r="DW268" i="7"/>
  <c r="CP268" i="7"/>
  <c r="CR268" i="7"/>
  <c r="CQ268" i="7"/>
  <c r="DQ281" i="7"/>
  <c r="DA280" i="7"/>
  <c r="DC262" i="7"/>
  <c r="DN259" i="7"/>
  <c r="CV241" i="7"/>
  <c r="DR236" i="7"/>
  <c r="DQ220" i="7"/>
  <c r="CN213" i="7"/>
  <c r="CV158" i="7"/>
  <c r="CY280" i="7"/>
  <c r="DS264" i="7"/>
  <c r="CX262" i="7"/>
  <c r="DK259" i="7"/>
  <c r="DN236" i="7"/>
  <c r="DW218" i="7"/>
  <c r="CM73" i="7"/>
  <c r="CW73" i="7"/>
  <c r="DS73" i="7"/>
  <c r="CX73" i="7"/>
  <c r="DT73" i="7"/>
  <c r="CY73" i="7"/>
  <c r="DU73" i="7"/>
  <c r="CZ73" i="7"/>
  <c r="DV73" i="7"/>
  <c r="CT73" i="7"/>
  <c r="CU73" i="7"/>
  <c r="CV73" i="7"/>
  <c r="DA73" i="7"/>
  <c r="DI73" i="7"/>
  <c r="DJ73" i="7"/>
  <c r="DK73" i="7"/>
  <c r="DL73" i="7"/>
  <c r="DM73" i="7"/>
  <c r="DO73" i="7"/>
  <c r="CN73" i="7"/>
  <c r="DR73" i="7"/>
  <c r="CO73" i="7"/>
  <c r="DW73" i="7"/>
  <c r="DE73" i="7"/>
  <c r="DF73" i="7"/>
  <c r="DG73" i="7"/>
  <c r="DH73" i="7"/>
  <c r="DN73" i="7"/>
  <c r="DP73" i="7"/>
  <c r="DQ73" i="7"/>
  <c r="CP73" i="7"/>
  <c r="CQ73" i="7"/>
  <c r="CS73" i="7"/>
  <c r="DC73" i="7"/>
  <c r="DD73" i="7"/>
  <c r="DB73" i="7"/>
  <c r="CR73" i="7"/>
  <c r="DN281" i="7"/>
  <c r="CW280" i="7"/>
  <c r="DL264" i="7"/>
  <c r="DJ259" i="7"/>
  <c r="CQ246" i="7"/>
  <c r="CX240" i="7"/>
  <c r="DK236" i="7"/>
  <c r="DS218" i="7"/>
  <c r="DO176" i="7"/>
  <c r="CQ92" i="7"/>
  <c r="CO127" i="7"/>
  <c r="DK127" i="7"/>
  <c r="DA127" i="7"/>
  <c r="CY127" i="7"/>
  <c r="DW127" i="7"/>
  <c r="DE127" i="7"/>
  <c r="DF127" i="7"/>
  <c r="DG127" i="7"/>
  <c r="DH127" i="7"/>
  <c r="DI127" i="7"/>
  <c r="CQ127" i="7"/>
  <c r="DP127" i="7"/>
  <c r="CR127" i="7"/>
  <c r="DQ127" i="7"/>
  <c r="CN127" i="7"/>
  <c r="CP127" i="7"/>
  <c r="CS127" i="7"/>
  <c r="CT127" i="7"/>
  <c r="CU127" i="7"/>
  <c r="CW127" i="7"/>
  <c r="DB127" i="7"/>
  <c r="DL127" i="7"/>
  <c r="DM127" i="7"/>
  <c r="DN127" i="7"/>
  <c r="DO127" i="7"/>
  <c r="DR127" i="7"/>
  <c r="DS127" i="7"/>
  <c r="DU127" i="7"/>
  <c r="DV127" i="7"/>
  <c r="DT127" i="7"/>
  <c r="CZ127" i="7"/>
  <c r="CV127" i="7"/>
  <c r="DJ127" i="7"/>
  <c r="CX127" i="7"/>
  <c r="DC127" i="7"/>
  <c r="DD127" i="7"/>
  <c r="BW129" i="7"/>
  <c r="DE129" i="7"/>
  <c r="CX129" i="7"/>
  <c r="DU129" i="7"/>
  <c r="CZ129" i="7"/>
  <c r="DI129" i="7"/>
  <c r="DJ129" i="7"/>
  <c r="DK129" i="7"/>
  <c r="CN129" i="7"/>
  <c r="DM129" i="7"/>
  <c r="CT129" i="7"/>
  <c r="DS129" i="7"/>
  <c r="CU129" i="7"/>
  <c r="CP129" i="7"/>
  <c r="DW129" i="7"/>
  <c r="CQ129" i="7"/>
  <c r="CR129" i="7"/>
  <c r="DA129" i="7"/>
  <c r="DB129" i="7"/>
  <c r="DC129" i="7"/>
  <c r="DD129" i="7"/>
  <c r="DG129" i="7"/>
  <c r="DN129" i="7"/>
  <c r="CS129" i="7"/>
  <c r="CV129" i="7"/>
  <c r="CW129" i="7"/>
  <c r="CY129" i="7"/>
  <c r="DF129" i="7"/>
  <c r="DH129" i="7"/>
  <c r="DO129" i="7"/>
  <c r="DP129" i="7"/>
  <c r="CO129" i="7"/>
  <c r="DL129" i="7"/>
  <c r="DQ129" i="7"/>
  <c r="DV129" i="7"/>
  <c r="DR129" i="7"/>
  <c r="DP176" i="7"/>
  <c r="DL281" i="7"/>
  <c r="CT280" i="7"/>
  <c r="DI264" i="7"/>
  <c r="DV261" i="7"/>
  <c r="CR259" i="7"/>
  <c r="CV240" i="7"/>
  <c r="DH236" i="7"/>
  <c r="DQ218" i="7"/>
  <c r="CW197" i="7"/>
  <c r="DV171" i="7"/>
  <c r="DK281" i="7"/>
  <c r="CS280" i="7"/>
  <c r="DH264" i="7"/>
  <c r="DI258" i="7"/>
  <c r="CU240" i="7"/>
  <c r="DG236" i="7"/>
  <c r="CQ218" i="7"/>
  <c r="CV197" i="7"/>
  <c r="DQ171" i="7"/>
  <c r="CA81" i="7"/>
  <c r="CU81" i="7"/>
  <c r="DQ81" i="7"/>
  <c r="CV81" i="7"/>
  <c r="DR81" i="7"/>
  <c r="CW81" i="7"/>
  <c r="DS81" i="7"/>
  <c r="DA81" i="7"/>
  <c r="DB81" i="7"/>
  <c r="DC81" i="7"/>
  <c r="DD81" i="7"/>
  <c r="DL81" i="7"/>
  <c r="DM81" i="7"/>
  <c r="DN81" i="7"/>
  <c r="DO81" i="7"/>
  <c r="DP81" i="7"/>
  <c r="CO81" i="7"/>
  <c r="CR81" i="7"/>
  <c r="CS81" i="7"/>
  <c r="DV81" i="7"/>
  <c r="DW81" i="7"/>
  <c r="CN81" i="7"/>
  <c r="CQ81" i="7"/>
  <c r="CX81" i="7"/>
  <c r="CY81" i="7"/>
  <c r="DI81" i="7"/>
  <c r="DJ81" i="7"/>
  <c r="DK81" i="7"/>
  <c r="DT81" i="7"/>
  <c r="DU81" i="7"/>
  <c r="DH81" i="7"/>
  <c r="CP81" i="7"/>
  <c r="CT81" i="7"/>
  <c r="DE81" i="7"/>
  <c r="DF81" i="7"/>
  <c r="CZ81" i="7"/>
  <c r="DG81" i="7"/>
  <c r="CE191" i="7"/>
  <c r="DG191" i="7"/>
  <c r="CY191" i="7"/>
  <c r="DV191" i="7"/>
  <c r="CZ191" i="7"/>
  <c r="DW191" i="7"/>
  <c r="DA191" i="7"/>
  <c r="CT191" i="7"/>
  <c r="DT191" i="7"/>
  <c r="CU191" i="7"/>
  <c r="DU191" i="7"/>
  <c r="CW191" i="7"/>
  <c r="DL191" i="7"/>
  <c r="DM191" i="7"/>
  <c r="DO191" i="7"/>
  <c r="CP191" i="7"/>
  <c r="DS191" i="7"/>
  <c r="CQ191" i="7"/>
  <c r="DP191" i="7"/>
  <c r="DQ191" i="7"/>
  <c r="DR191" i="7"/>
  <c r="CN191" i="7"/>
  <c r="CO191" i="7"/>
  <c r="CR191" i="7"/>
  <c r="CS191" i="7"/>
  <c r="DB191" i="7"/>
  <c r="DC191" i="7"/>
  <c r="DD191" i="7"/>
  <c r="DE191" i="7"/>
  <c r="CX191" i="7"/>
  <c r="DF191" i="7"/>
  <c r="DH191" i="7"/>
  <c r="DI191" i="7"/>
  <c r="DJ191" i="7"/>
  <c r="DK191" i="7"/>
  <c r="DN191" i="7"/>
  <c r="DG279" i="7"/>
  <c r="CJ126" i="7"/>
  <c r="DC126" i="7"/>
  <c r="CQ126" i="7"/>
  <c r="DN126" i="7"/>
  <c r="DK126" i="7"/>
  <c r="CO126" i="7"/>
  <c r="CR126" i="7"/>
  <c r="CN126" i="7"/>
  <c r="DP126" i="7"/>
  <c r="CP126" i="7"/>
  <c r="DQ126" i="7"/>
  <c r="CS126" i="7"/>
  <c r="DR126" i="7"/>
  <c r="CT126" i="7"/>
  <c r="DS126" i="7"/>
  <c r="CU126" i="7"/>
  <c r="DT126" i="7"/>
  <c r="DA126" i="7"/>
  <c r="DB126" i="7"/>
  <c r="DV126" i="7"/>
  <c r="DW126" i="7"/>
  <c r="CX126" i="7"/>
  <c r="CV126" i="7"/>
  <c r="CW126" i="7"/>
  <c r="CY126" i="7"/>
  <c r="CZ126" i="7"/>
  <c r="DD126" i="7"/>
  <c r="DF126" i="7"/>
  <c r="DG126" i="7"/>
  <c r="DH126" i="7"/>
  <c r="DI126" i="7"/>
  <c r="DJ126" i="7"/>
  <c r="DL126" i="7"/>
  <c r="DM126" i="7"/>
  <c r="DE126" i="7"/>
  <c r="DO126" i="7"/>
  <c r="DU126" i="7"/>
  <c r="CG61" i="7"/>
  <c r="CZ61" i="7"/>
  <c r="DB61" i="7"/>
  <c r="DD61" i="7"/>
  <c r="CY61" i="7"/>
  <c r="DA61" i="7"/>
  <c r="CU61" i="7"/>
  <c r="DV61" i="7"/>
  <c r="CV61" i="7"/>
  <c r="DW61" i="7"/>
  <c r="CW61" i="7"/>
  <c r="CX61" i="7"/>
  <c r="DE61" i="7"/>
  <c r="DK61" i="7"/>
  <c r="DL61" i="7"/>
  <c r="CP61" i="7"/>
  <c r="CQ61" i="7"/>
  <c r="CR61" i="7"/>
  <c r="CS61" i="7"/>
  <c r="CT61" i="7"/>
  <c r="DJ61" i="7"/>
  <c r="CN61" i="7"/>
  <c r="DC61" i="7"/>
  <c r="DG61" i="7"/>
  <c r="DH61" i="7"/>
  <c r="DI61" i="7"/>
  <c r="DS61" i="7"/>
  <c r="DT61" i="7"/>
  <c r="DU61" i="7"/>
  <c r="CO61" i="7"/>
  <c r="DF61" i="7"/>
  <c r="DO61" i="7"/>
  <c r="DM61" i="7"/>
  <c r="DN61" i="7"/>
  <c r="DP61" i="7"/>
  <c r="DQ61" i="7"/>
  <c r="DR61" i="7"/>
  <c r="BY237" i="7"/>
  <c r="DA237" i="7"/>
  <c r="DW237" i="7"/>
  <c r="CY237" i="7"/>
  <c r="DV237" i="7"/>
  <c r="CZ237" i="7"/>
  <c r="DC237" i="7"/>
  <c r="DI237" i="7"/>
  <c r="DJ237" i="7"/>
  <c r="DK237" i="7"/>
  <c r="DL237" i="7"/>
  <c r="DM237" i="7"/>
  <c r="CR237" i="7"/>
  <c r="DR237" i="7"/>
  <c r="CS237" i="7"/>
  <c r="DS237" i="7"/>
  <c r="CT237" i="7"/>
  <c r="DT237" i="7"/>
  <c r="CW237" i="7"/>
  <c r="CX237" i="7"/>
  <c r="DB237" i="7"/>
  <c r="DD237" i="7"/>
  <c r="DE237" i="7"/>
  <c r="DF237" i="7"/>
  <c r="DG237" i="7"/>
  <c r="DP237" i="7"/>
  <c r="CO237" i="7"/>
  <c r="CP237" i="7"/>
  <c r="CQ237" i="7"/>
  <c r="CU237" i="7"/>
  <c r="CV237" i="7"/>
  <c r="DH237" i="7"/>
  <c r="DN237" i="7"/>
  <c r="DO237" i="7"/>
  <c r="DQ237" i="7"/>
  <c r="DU237" i="7"/>
  <c r="DV215" i="7"/>
  <c r="BS18" i="7"/>
  <c r="DH18" i="7"/>
  <c r="CN18" i="7"/>
  <c r="DJ18" i="7"/>
  <c r="CO18" i="7"/>
  <c r="DK18" i="7"/>
  <c r="CP18" i="7"/>
  <c r="DL18" i="7"/>
  <c r="CV18" i="7"/>
  <c r="DR18" i="7"/>
  <c r="DD18" i="7"/>
  <c r="DE18" i="7"/>
  <c r="DF18" i="7"/>
  <c r="DG18" i="7"/>
  <c r="DI18" i="7"/>
  <c r="DM18" i="7"/>
  <c r="DN18" i="7"/>
  <c r="DV18" i="7"/>
  <c r="DW18" i="7"/>
  <c r="CQ18" i="7"/>
  <c r="CR18" i="7"/>
  <c r="CS18" i="7"/>
  <c r="CX18" i="7"/>
  <c r="CY18" i="7"/>
  <c r="CZ18" i="7"/>
  <c r="CU18" i="7"/>
  <c r="DB18" i="7"/>
  <c r="DC18" i="7"/>
  <c r="DO18" i="7"/>
  <c r="DP18" i="7"/>
  <c r="DQ18" i="7"/>
  <c r="DS18" i="7"/>
  <c r="DT18" i="7"/>
  <c r="DU18" i="7"/>
  <c r="CW18" i="7"/>
  <c r="DA18" i="7"/>
  <c r="CT18" i="7"/>
  <c r="CE106" i="7"/>
  <c r="CW106" i="7"/>
  <c r="DS106" i="7"/>
  <c r="CV106" i="7"/>
  <c r="DT106" i="7"/>
  <c r="CX106" i="7"/>
  <c r="DU106" i="7"/>
  <c r="CY106" i="7"/>
  <c r="DV106" i="7"/>
  <c r="CQ106" i="7"/>
  <c r="DQ106" i="7"/>
  <c r="CR106" i="7"/>
  <c r="DR106" i="7"/>
  <c r="CS106" i="7"/>
  <c r="DW106" i="7"/>
  <c r="CU106" i="7"/>
  <c r="DD106" i="7"/>
  <c r="DE106" i="7"/>
  <c r="DF106" i="7"/>
  <c r="DG106" i="7"/>
  <c r="DH106" i="7"/>
  <c r="DI106" i="7"/>
  <c r="DK106" i="7"/>
  <c r="DM106" i="7"/>
  <c r="DO106" i="7"/>
  <c r="DP106" i="7"/>
  <c r="DB106" i="7"/>
  <c r="DC106" i="7"/>
  <c r="DJ106" i="7"/>
  <c r="DL106" i="7"/>
  <c r="CP106" i="7"/>
  <c r="CT106" i="7"/>
  <c r="CZ106" i="7"/>
  <c r="DA106" i="7"/>
  <c r="DN106" i="7"/>
  <c r="CO106" i="7"/>
  <c r="CN106" i="7"/>
  <c r="DI238" i="7"/>
  <c r="DJ238" i="7"/>
  <c r="CN238" i="7"/>
  <c r="DK238" i="7"/>
  <c r="CP238" i="7"/>
  <c r="DM238" i="7"/>
  <c r="CY238" i="7"/>
  <c r="CZ238" i="7"/>
  <c r="DA238" i="7"/>
  <c r="DC238" i="7"/>
  <c r="DH238" i="7"/>
  <c r="DL238" i="7"/>
  <c r="DN238" i="7"/>
  <c r="DB238" i="7"/>
  <c r="DD238" i="7"/>
  <c r="DE238" i="7"/>
  <c r="DF238" i="7"/>
  <c r="DG238" i="7"/>
  <c r="DO238" i="7"/>
  <c r="DP238" i="7"/>
  <c r="DT238" i="7"/>
  <c r="DU238" i="7"/>
  <c r="DV238" i="7"/>
  <c r="DW238" i="7"/>
  <c r="CO238" i="7"/>
  <c r="CR238" i="7"/>
  <c r="CQ238" i="7"/>
  <c r="DC150" i="7"/>
  <c r="CK19" i="7"/>
  <c r="CT19" i="7"/>
  <c r="DP19" i="7"/>
  <c r="CV19" i="7"/>
  <c r="DR19" i="7"/>
  <c r="CW19" i="7"/>
  <c r="DS19" i="7"/>
  <c r="CX19" i="7"/>
  <c r="DT19" i="7"/>
  <c r="DD19" i="7"/>
  <c r="CY19" i="7"/>
  <c r="CZ19" i="7"/>
  <c r="DA19" i="7"/>
  <c r="DB19" i="7"/>
  <c r="DC19" i="7"/>
  <c r="DE19" i="7"/>
  <c r="DF19" i="7"/>
  <c r="CN19" i="7"/>
  <c r="CO19" i="7"/>
  <c r="CP19" i="7"/>
  <c r="CQ19" i="7"/>
  <c r="CR19" i="7"/>
  <c r="DH19" i="7"/>
  <c r="DI19" i="7"/>
  <c r="DJ19" i="7"/>
  <c r="DL19" i="7"/>
  <c r="DM19" i="7"/>
  <c r="DN19" i="7"/>
  <c r="DO19" i="7"/>
  <c r="DQ19" i="7"/>
  <c r="DW19" i="7"/>
  <c r="CS19" i="7"/>
  <c r="DG19" i="7"/>
  <c r="DK19" i="7"/>
  <c r="DU19" i="7"/>
  <c r="CU19" i="7"/>
  <c r="DV19" i="7"/>
  <c r="BP85" i="7"/>
  <c r="DE85" i="7"/>
  <c r="DF85" i="7"/>
  <c r="DG85" i="7"/>
  <c r="DJ85" i="7"/>
  <c r="DK85" i="7"/>
  <c r="DL85" i="7"/>
  <c r="CN85" i="7"/>
  <c r="DM85" i="7"/>
  <c r="CT85" i="7"/>
  <c r="DW85" i="7"/>
  <c r="CU85" i="7"/>
  <c r="CV85" i="7"/>
  <c r="CW85" i="7"/>
  <c r="CX85" i="7"/>
  <c r="DC85" i="7"/>
  <c r="DD85" i="7"/>
  <c r="DP85" i="7"/>
  <c r="DQ85" i="7"/>
  <c r="DR85" i="7"/>
  <c r="DS85" i="7"/>
  <c r="DT85" i="7"/>
  <c r="DV85" i="7"/>
  <c r="CP85" i="7"/>
  <c r="CQ85" i="7"/>
  <c r="DU85" i="7"/>
  <c r="CO85" i="7"/>
  <c r="CR85" i="7"/>
  <c r="CS85" i="7"/>
  <c r="CY85" i="7"/>
  <c r="CZ85" i="7"/>
  <c r="DB85" i="7"/>
  <c r="DI85" i="7"/>
  <c r="DN85" i="7"/>
  <c r="DA85" i="7"/>
  <c r="DH85" i="7"/>
  <c r="DO85" i="7"/>
  <c r="BS173" i="7"/>
  <c r="CU173" i="7"/>
  <c r="DQ173" i="7"/>
  <c r="DB173" i="7"/>
  <c r="DC173" i="7"/>
  <c r="DD173" i="7"/>
  <c r="DA173" i="7"/>
  <c r="DE173" i="7"/>
  <c r="DG173" i="7"/>
  <c r="DL173" i="7"/>
  <c r="DM173" i="7"/>
  <c r="DO173" i="7"/>
  <c r="CN173" i="7"/>
  <c r="DR173" i="7"/>
  <c r="CP173" i="7"/>
  <c r="DT173" i="7"/>
  <c r="CQ173" i="7"/>
  <c r="DU173" i="7"/>
  <c r="CX173" i="7"/>
  <c r="CY173" i="7"/>
  <c r="CZ173" i="7"/>
  <c r="DF173" i="7"/>
  <c r="DH173" i="7"/>
  <c r="CO173" i="7"/>
  <c r="CR173" i="7"/>
  <c r="CV173" i="7"/>
  <c r="CW173" i="7"/>
  <c r="DI173" i="7"/>
  <c r="DJ173" i="7"/>
  <c r="CT173" i="7"/>
  <c r="DK173" i="7"/>
  <c r="DN173" i="7"/>
  <c r="CS173" i="7"/>
  <c r="DP173" i="7"/>
  <c r="DS173" i="7"/>
  <c r="DV173" i="7"/>
  <c r="DW173" i="7"/>
  <c r="CK239" i="7"/>
  <c r="CU239" i="7"/>
  <c r="DQ239" i="7"/>
  <c r="CW239" i="7"/>
  <c r="DT239" i="7"/>
  <c r="CX239" i="7"/>
  <c r="DU239" i="7"/>
  <c r="CZ239" i="7"/>
  <c r="DW239" i="7"/>
  <c r="CO239" i="7"/>
  <c r="DO239" i="7"/>
  <c r="CP239" i="7"/>
  <c r="DP239" i="7"/>
  <c r="CQ239" i="7"/>
  <c r="DR239" i="7"/>
  <c r="CS239" i="7"/>
  <c r="DV239" i="7"/>
  <c r="DB239" i="7"/>
  <c r="DC239" i="7"/>
  <c r="DD239" i="7"/>
  <c r="DG239" i="7"/>
  <c r="DH239" i="7"/>
  <c r="DI239" i="7"/>
  <c r="DJ239" i="7"/>
  <c r="DK239" i="7"/>
  <c r="DL239" i="7"/>
  <c r="DM239" i="7"/>
  <c r="CN239" i="7"/>
  <c r="CR239" i="7"/>
  <c r="CT239" i="7"/>
  <c r="DA239" i="7"/>
  <c r="CV239" i="7"/>
  <c r="CY239" i="7"/>
  <c r="DE239" i="7"/>
  <c r="DN239" i="7"/>
  <c r="DF239" i="7"/>
  <c r="CI261" i="7"/>
  <c r="CS261" i="7"/>
  <c r="DO261" i="7"/>
  <c r="CT261" i="7"/>
  <c r="DP261" i="7"/>
  <c r="CV261" i="7"/>
  <c r="DR261" i="7"/>
  <c r="DF261" i="7"/>
  <c r="DG261" i="7"/>
  <c r="DH261" i="7"/>
  <c r="DJ261" i="7"/>
  <c r="CP261" i="7"/>
  <c r="DQ261" i="7"/>
  <c r="CO261" i="7"/>
  <c r="DW261" i="7"/>
  <c r="CQ261" i="7"/>
  <c r="CR261" i="7"/>
  <c r="CU261" i="7"/>
  <c r="CX261" i="7"/>
  <c r="CY261" i="7"/>
  <c r="CZ261" i="7"/>
  <c r="DA261" i="7"/>
  <c r="DB261" i="7"/>
  <c r="DC261" i="7"/>
  <c r="DD261" i="7"/>
  <c r="DE261" i="7"/>
  <c r="DI261" i="7"/>
  <c r="DK261" i="7"/>
  <c r="DL261" i="7"/>
  <c r="DN261" i="7"/>
  <c r="DT261" i="7"/>
  <c r="DS261" i="7"/>
  <c r="DW280" i="7"/>
  <c r="DN260" i="7"/>
  <c r="CM42" i="7"/>
  <c r="DB42" i="7"/>
  <c r="DD42" i="7"/>
  <c r="DE42" i="7"/>
  <c r="DF42" i="7"/>
  <c r="DM42" i="7"/>
  <c r="CN42" i="7"/>
  <c r="DN42" i="7"/>
  <c r="CO42" i="7"/>
  <c r="DO42" i="7"/>
  <c r="DP42" i="7"/>
  <c r="DQ42" i="7"/>
  <c r="DR42" i="7"/>
  <c r="CP42" i="7"/>
  <c r="DS42" i="7"/>
  <c r="CQ42" i="7"/>
  <c r="DT42" i="7"/>
  <c r="CR42" i="7"/>
  <c r="DU42" i="7"/>
  <c r="CX42" i="7"/>
  <c r="CY42" i="7"/>
  <c r="CZ42" i="7"/>
  <c r="DA42" i="7"/>
  <c r="DC42" i="7"/>
  <c r="DG42" i="7"/>
  <c r="DH42" i="7"/>
  <c r="DK42" i="7"/>
  <c r="DW42" i="7"/>
  <c r="CS42" i="7"/>
  <c r="DI42" i="7"/>
  <c r="DJ42" i="7"/>
  <c r="DL42" i="7"/>
  <c r="DV42" i="7"/>
  <c r="CT42" i="7"/>
  <c r="CU42" i="7"/>
  <c r="CV42" i="7"/>
  <c r="CW42" i="7"/>
  <c r="CF108" i="7"/>
  <c r="CQ108" i="7"/>
  <c r="DM108" i="7"/>
  <c r="CT108" i="7"/>
  <c r="DQ108" i="7"/>
  <c r="CU108" i="7"/>
  <c r="DR108" i="7"/>
  <c r="CV108" i="7"/>
  <c r="DS108" i="7"/>
  <c r="DA108" i="7"/>
  <c r="DB108" i="7"/>
  <c r="DC108" i="7"/>
  <c r="DE108" i="7"/>
  <c r="DJ108" i="7"/>
  <c r="CY108" i="7"/>
  <c r="CZ108" i="7"/>
  <c r="DD108" i="7"/>
  <c r="DF108" i="7"/>
  <c r="DG108" i="7"/>
  <c r="DI108" i="7"/>
  <c r="DL108" i="7"/>
  <c r="DO108" i="7"/>
  <c r="DP108" i="7"/>
  <c r="DH108" i="7"/>
  <c r="DK108" i="7"/>
  <c r="DN108" i="7"/>
  <c r="CS108" i="7"/>
  <c r="CW108" i="7"/>
  <c r="CX108" i="7"/>
  <c r="DT108" i="7"/>
  <c r="DV108" i="7"/>
  <c r="DW108" i="7"/>
  <c r="CP108" i="7"/>
  <c r="CR108" i="7"/>
  <c r="DU108" i="7"/>
  <c r="CN108" i="7"/>
  <c r="CO108" i="7"/>
  <c r="DC196" i="7"/>
  <c r="DD196" i="7"/>
  <c r="DF196" i="7"/>
  <c r="CX196" i="7"/>
  <c r="DW196" i="7"/>
  <c r="CY196" i="7"/>
  <c r="DA196" i="7"/>
  <c r="DN196" i="7"/>
  <c r="DO196" i="7"/>
  <c r="CO196" i="7"/>
  <c r="DQ196" i="7"/>
  <c r="DM196" i="7"/>
  <c r="DP196" i="7"/>
  <c r="DR196" i="7"/>
  <c r="DS196" i="7"/>
  <c r="CN196" i="7"/>
  <c r="DT196" i="7"/>
  <c r="CR196" i="7"/>
  <c r="CS196" i="7"/>
  <c r="CT196" i="7"/>
  <c r="CU196" i="7"/>
  <c r="CV196" i="7"/>
  <c r="DE196" i="7"/>
  <c r="DG196" i="7"/>
  <c r="DH196" i="7"/>
  <c r="DI196" i="7"/>
  <c r="CP196" i="7"/>
  <c r="CQ196" i="7"/>
  <c r="CW196" i="7"/>
  <c r="CZ196" i="7"/>
  <c r="DB196" i="7"/>
  <c r="DK196" i="7"/>
  <c r="DL196" i="7"/>
  <c r="DU196" i="7"/>
  <c r="DA262" i="7"/>
  <c r="DW262" i="7"/>
  <c r="DB262" i="7"/>
  <c r="DD262" i="7"/>
  <c r="CU262" i="7"/>
  <c r="DT262" i="7"/>
  <c r="CV262" i="7"/>
  <c r="DU262" i="7"/>
  <c r="CW262" i="7"/>
  <c r="DV262" i="7"/>
  <c r="CY262" i="7"/>
  <c r="DG262" i="7"/>
  <c r="DQ262" i="7"/>
  <c r="CN262" i="7"/>
  <c r="DR262" i="7"/>
  <c r="CO262" i="7"/>
  <c r="DS262" i="7"/>
  <c r="CP262" i="7"/>
  <c r="CR262" i="7"/>
  <c r="CS262" i="7"/>
  <c r="DH262" i="7"/>
  <c r="DI262" i="7"/>
  <c r="DJ262" i="7"/>
  <c r="DK262" i="7"/>
  <c r="DL262" i="7"/>
  <c r="DM262" i="7"/>
  <c r="DN262" i="7"/>
  <c r="DO262" i="7"/>
  <c r="DP262" i="7"/>
  <c r="DM215" i="7"/>
  <c r="CY109" i="7"/>
  <c r="DU109" i="7"/>
  <c r="DD109" i="7"/>
  <c r="DE109" i="7"/>
  <c r="DF109" i="7"/>
  <c r="CQ109" i="7"/>
  <c r="DQ109" i="7"/>
  <c r="CR109" i="7"/>
  <c r="CS109" i="7"/>
  <c r="DS109" i="7"/>
  <c r="CU109" i="7"/>
  <c r="DV109" i="7"/>
  <c r="DA109" i="7"/>
  <c r="CX109" i="7"/>
  <c r="CZ109" i="7"/>
  <c r="DB109" i="7"/>
  <c r="DC109" i="7"/>
  <c r="DG109" i="7"/>
  <c r="DI109" i="7"/>
  <c r="DK109" i="7"/>
  <c r="DM109" i="7"/>
  <c r="DN109" i="7"/>
  <c r="CO109" i="7"/>
  <c r="CT109" i="7"/>
  <c r="CW109" i="7"/>
  <c r="DH109" i="7"/>
  <c r="DJ109" i="7"/>
  <c r="DL109" i="7"/>
  <c r="DO109" i="7"/>
  <c r="DP109" i="7"/>
  <c r="DT109" i="7"/>
  <c r="DW109" i="7"/>
  <c r="CN109" i="7"/>
  <c r="CP109" i="7"/>
  <c r="CV109" i="7"/>
  <c r="DR109" i="7"/>
  <c r="CO219" i="7"/>
  <c r="DK219" i="7"/>
  <c r="DI219" i="7"/>
  <c r="CS219" i="7"/>
  <c r="DQ219" i="7"/>
  <c r="CT219" i="7"/>
  <c r="DR219" i="7"/>
  <c r="CV219" i="7"/>
  <c r="DT219" i="7"/>
  <c r="CQ219" i="7"/>
  <c r="DU219" i="7"/>
  <c r="CR219" i="7"/>
  <c r="DV219" i="7"/>
  <c r="CU219" i="7"/>
  <c r="DW219" i="7"/>
  <c r="CW219" i="7"/>
  <c r="CX219" i="7"/>
  <c r="CY219" i="7"/>
  <c r="CZ219" i="7"/>
  <c r="DA219" i="7"/>
  <c r="DB219" i="7"/>
  <c r="DC219" i="7"/>
  <c r="DH219" i="7"/>
  <c r="DJ219" i="7"/>
  <c r="DL219" i="7"/>
  <c r="DP219" i="7"/>
  <c r="DS219" i="7"/>
  <c r="CP219" i="7"/>
  <c r="DD219" i="7"/>
  <c r="DE219" i="7"/>
  <c r="DF219" i="7"/>
  <c r="DG219" i="7"/>
  <c r="DM219" i="7"/>
  <c r="DN219" i="7"/>
  <c r="DO219" i="7"/>
  <c r="DU280" i="7"/>
  <c r="CU280" i="7"/>
  <c r="CQ262" i="7"/>
  <c r="CW240" i="7"/>
  <c r="DR218" i="7"/>
  <c r="DN176" i="7"/>
  <c r="DW279" i="7"/>
  <c r="DG264" i="7"/>
  <c r="DM261" i="7"/>
  <c r="DH258" i="7"/>
  <c r="CQ240" i="7"/>
  <c r="DF236" i="7"/>
  <c r="CP218" i="7"/>
  <c r="CU197" i="7"/>
  <c r="DL171" i="7"/>
  <c r="DF59" i="7"/>
  <c r="DH59" i="7"/>
  <c r="DI59" i="7"/>
  <c r="CN59" i="7"/>
  <c r="DJ59" i="7"/>
  <c r="CS59" i="7"/>
  <c r="DS59" i="7"/>
  <c r="CT59" i="7"/>
  <c r="DT59" i="7"/>
  <c r="DK59" i="7"/>
  <c r="DL59" i="7"/>
  <c r="DM59" i="7"/>
  <c r="DN59" i="7"/>
  <c r="DP59" i="7"/>
  <c r="CV59" i="7"/>
  <c r="CW59" i="7"/>
  <c r="DU59" i="7"/>
  <c r="DV59" i="7"/>
  <c r="DW59" i="7"/>
  <c r="CX59" i="7"/>
  <c r="CU59" i="7"/>
  <c r="CY59" i="7"/>
  <c r="CZ59" i="7"/>
  <c r="DA59" i="7"/>
  <c r="DB59" i="7"/>
  <c r="DD59" i="7"/>
  <c r="DG59" i="7"/>
  <c r="DO59" i="7"/>
  <c r="DQ59" i="7"/>
  <c r="CR59" i="7"/>
  <c r="DC59" i="7"/>
  <c r="DE59" i="7"/>
  <c r="DR59" i="7"/>
  <c r="CO59" i="7"/>
  <c r="CQ59" i="7"/>
  <c r="CP59" i="7"/>
  <c r="DG235" i="7"/>
  <c r="DB235" i="7"/>
  <c r="DC235" i="7"/>
  <c r="DE235" i="7"/>
  <c r="CY235" i="7"/>
  <c r="CZ235" i="7"/>
  <c r="DA235" i="7"/>
  <c r="DD235" i="7"/>
  <c r="DF235" i="7"/>
  <c r="DL235" i="7"/>
  <c r="DM235" i="7"/>
  <c r="CN235" i="7"/>
  <c r="DN235" i="7"/>
  <c r="CO235" i="7"/>
  <c r="DW235" i="7"/>
  <c r="CP235" i="7"/>
  <c r="CQ235" i="7"/>
  <c r="CR235" i="7"/>
  <c r="CS235" i="7"/>
  <c r="CT235" i="7"/>
  <c r="CU235" i="7"/>
  <c r="DH235" i="7"/>
  <c r="CW235" i="7"/>
  <c r="CX235" i="7"/>
  <c r="DI235" i="7"/>
  <c r="DJ235" i="7"/>
  <c r="DK235" i="7"/>
  <c r="DO235" i="7"/>
  <c r="DP235" i="7"/>
  <c r="DS235" i="7"/>
  <c r="DQ235" i="7"/>
  <c r="DR235" i="7"/>
  <c r="DT235" i="7"/>
  <c r="DV235" i="7"/>
  <c r="DU235" i="7"/>
  <c r="CM60" i="7"/>
  <c r="CR60" i="7"/>
  <c r="DN60" i="7"/>
  <c r="CT60" i="7"/>
  <c r="DP60" i="7"/>
  <c r="CU60" i="7"/>
  <c r="DQ60" i="7"/>
  <c r="CV60" i="7"/>
  <c r="DR60" i="7"/>
  <c r="DI60" i="7"/>
  <c r="DJ60" i="7"/>
  <c r="DC60" i="7"/>
  <c r="DD60" i="7"/>
  <c r="DE60" i="7"/>
  <c r="DF60" i="7"/>
  <c r="DH60" i="7"/>
  <c r="CN60" i="7"/>
  <c r="DT60" i="7"/>
  <c r="CO60" i="7"/>
  <c r="DU60" i="7"/>
  <c r="CP60" i="7"/>
  <c r="CQ60" i="7"/>
  <c r="DA60" i="7"/>
  <c r="DO60" i="7"/>
  <c r="DS60" i="7"/>
  <c r="DV60" i="7"/>
  <c r="DW60" i="7"/>
  <c r="CS60" i="7"/>
  <c r="CW60" i="7"/>
  <c r="CX60" i="7"/>
  <c r="CZ60" i="7"/>
  <c r="DG60" i="7"/>
  <c r="DK60" i="7"/>
  <c r="CY60" i="7"/>
  <c r="DB60" i="7"/>
  <c r="DL60" i="7"/>
  <c r="DM60" i="7"/>
  <c r="CS214" i="7"/>
  <c r="DO214" i="7"/>
  <c r="CU214" i="7"/>
  <c r="DQ214" i="7"/>
  <c r="DB214" i="7"/>
  <c r="CZ214" i="7"/>
  <c r="DA214" i="7"/>
  <c r="DD214" i="7"/>
  <c r="CY214" i="7"/>
  <c r="DC214" i="7"/>
  <c r="DE214" i="7"/>
  <c r="DF214" i="7"/>
  <c r="DG214" i="7"/>
  <c r="CO214" i="7"/>
  <c r="CP214" i="7"/>
  <c r="CQ214" i="7"/>
  <c r="CR214" i="7"/>
  <c r="CT214" i="7"/>
  <c r="DI214" i="7"/>
  <c r="DJ214" i="7"/>
  <c r="DK214" i="7"/>
  <c r="DU214" i="7"/>
  <c r="DV214" i="7"/>
  <c r="DW214" i="7"/>
  <c r="CN214" i="7"/>
  <c r="CV214" i="7"/>
  <c r="CW214" i="7"/>
  <c r="CX214" i="7"/>
  <c r="DP214" i="7"/>
  <c r="DH214" i="7"/>
  <c r="DL214" i="7"/>
  <c r="DM214" i="7"/>
  <c r="DN214" i="7"/>
  <c r="DR214" i="7"/>
  <c r="DT214" i="7"/>
  <c r="DS214" i="7"/>
  <c r="CU258" i="7"/>
  <c r="CL17" i="7"/>
  <c r="CZ17" i="7"/>
  <c r="DV17" i="7"/>
  <c r="DB17" i="7"/>
  <c r="DC17" i="7"/>
  <c r="DD17" i="7"/>
  <c r="CN17" i="7"/>
  <c r="DJ17" i="7"/>
  <c r="DM17" i="7"/>
  <c r="DN17" i="7"/>
  <c r="DO17" i="7"/>
  <c r="CO17" i="7"/>
  <c r="DP17" i="7"/>
  <c r="CP17" i="7"/>
  <c r="DQ17" i="7"/>
  <c r="CQ17" i="7"/>
  <c r="DR17" i="7"/>
  <c r="CR17" i="7"/>
  <c r="DS17" i="7"/>
  <c r="DL17" i="7"/>
  <c r="DT17" i="7"/>
  <c r="DU17" i="7"/>
  <c r="DW17" i="7"/>
  <c r="CU17" i="7"/>
  <c r="CV17" i="7"/>
  <c r="CW17" i="7"/>
  <c r="DE17" i="7"/>
  <c r="DF17" i="7"/>
  <c r="DG17" i="7"/>
  <c r="DH17" i="7"/>
  <c r="DI17" i="7"/>
  <c r="CS17" i="7"/>
  <c r="CT17" i="7"/>
  <c r="CX17" i="7"/>
  <c r="CY17" i="7"/>
  <c r="DA17" i="7"/>
  <c r="DK17" i="7"/>
  <c r="BW105" i="7"/>
  <c r="CO105" i="7"/>
  <c r="DK105" i="7"/>
  <c r="DI105" i="7"/>
  <c r="DJ105" i="7"/>
  <c r="CN105" i="7"/>
  <c r="DL105" i="7"/>
  <c r="DA105" i="7"/>
  <c r="DB105" i="7"/>
  <c r="DC105" i="7"/>
  <c r="DE105" i="7"/>
  <c r="DN105" i="7"/>
  <c r="DD105" i="7"/>
  <c r="DF105" i="7"/>
  <c r="DG105" i="7"/>
  <c r="DH105" i="7"/>
  <c r="DM105" i="7"/>
  <c r="DP105" i="7"/>
  <c r="DR105" i="7"/>
  <c r="DT105" i="7"/>
  <c r="CP105" i="7"/>
  <c r="DU105" i="7"/>
  <c r="CV105" i="7"/>
  <c r="CW105" i="7"/>
  <c r="CX105" i="7"/>
  <c r="CR105" i="7"/>
  <c r="CS105" i="7"/>
  <c r="CU105" i="7"/>
  <c r="CZ105" i="7"/>
  <c r="CQ105" i="7"/>
  <c r="CT105" i="7"/>
  <c r="CY105" i="7"/>
  <c r="DS105" i="7"/>
  <c r="DO105" i="7"/>
  <c r="DQ105" i="7"/>
  <c r="DV105" i="7"/>
  <c r="DW105" i="7"/>
  <c r="CL193" i="7"/>
  <c r="DA193" i="7"/>
  <c r="DW193" i="7"/>
  <c r="CV193" i="7"/>
  <c r="DS193" i="7"/>
  <c r="CW193" i="7"/>
  <c r="DT193" i="7"/>
  <c r="CX193" i="7"/>
  <c r="DU193" i="7"/>
  <c r="DD193" i="7"/>
  <c r="DE193" i="7"/>
  <c r="DG193" i="7"/>
  <c r="DB193" i="7"/>
  <c r="DC193" i="7"/>
  <c r="DH193" i="7"/>
  <c r="DQ193" i="7"/>
  <c r="DR193" i="7"/>
  <c r="DV193" i="7"/>
  <c r="CN193" i="7"/>
  <c r="CO193" i="7"/>
  <c r="DI193" i="7"/>
  <c r="DJ193" i="7"/>
  <c r="DK193" i="7"/>
  <c r="DL193" i="7"/>
  <c r="DM193" i="7"/>
  <c r="DF193" i="7"/>
  <c r="DN193" i="7"/>
  <c r="DO193" i="7"/>
  <c r="DP193" i="7"/>
  <c r="CT193" i="7"/>
  <c r="CU193" i="7"/>
  <c r="CY193" i="7"/>
  <c r="CZ193" i="7"/>
  <c r="BW281" i="7"/>
  <c r="DD281" i="7"/>
  <c r="CZ281" i="7"/>
  <c r="DW281" i="7"/>
  <c r="DA281" i="7"/>
  <c r="CS281" i="7"/>
  <c r="DR281" i="7"/>
  <c r="CT281" i="7"/>
  <c r="DS281" i="7"/>
  <c r="CU281" i="7"/>
  <c r="DT281" i="7"/>
  <c r="CV281" i="7"/>
  <c r="DU281" i="7"/>
  <c r="CW281" i="7"/>
  <c r="DV281" i="7"/>
  <c r="CY281" i="7"/>
  <c r="CX281" i="7"/>
  <c r="DB281" i="7"/>
  <c r="DC281" i="7"/>
  <c r="DF281" i="7"/>
  <c r="DH281" i="7"/>
  <c r="DG281" i="7"/>
  <c r="CO281" i="7"/>
  <c r="CS258" i="7"/>
  <c r="CK40" i="7"/>
  <c r="DH40" i="7"/>
  <c r="CN40" i="7"/>
  <c r="DJ40" i="7"/>
  <c r="CO40" i="7"/>
  <c r="DK40" i="7"/>
  <c r="CP40" i="7"/>
  <c r="DL40" i="7"/>
  <c r="DC40" i="7"/>
  <c r="DD40" i="7"/>
  <c r="DE40" i="7"/>
  <c r="CT40" i="7"/>
  <c r="DW40" i="7"/>
  <c r="CU40" i="7"/>
  <c r="CV40" i="7"/>
  <c r="CW40" i="7"/>
  <c r="CX40" i="7"/>
  <c r="CY40" i="7"/>
  <c r="DI40" i="7"/>
  <c r="DM40" i="7"/>
  <c r="DT40" i="7"/>
  <c r="DU40" i="7"/>
  <c r="DV40" i="7"/>
  <c r="CS40" i="7"/>
  <c r="CZ40" i="7"/>
  <c r="DR40" i="7"/>
  <c r="DS40" i="7"/>
  <c r="CQ40" i="7"/>
  <c r="CR40" i="7"/>
  <c r="DA40" i="7"/>
  <c r="DB40" i="7"/>
  <c r="DF40" i="7"/>
  <c r="DG40" i="7"/>
  <c r="DN40" i="7"/>
  <c r="DP40" i="7"/>
  <c r="DO40" i="7"/>
  <c r="DQ40" i="7"/>
  <c r="CM150" i="7"/>
  <c r="CZ150" i="7"/>
  <c r="DV150" i="7"/>
  <c r="CV150" i="7"/>
  <c r="DS150" i="7"/>
  <c r="CW150" i="7"/>
  <c r="DT150" i="7"/>
  <c r="CX150" i="7"/>
  <c r="DU150" i="7"/>
  <c r="DA150" i="7"/>
  <c r="DJ150" i="7"/>
  <c r="DK150" i="7"/>
  <c r="DL150" i="7"/>
  <c r="DD150" i="7"/>
  <c r="DE150" i="7"/>
  <c r="DF150" i="7"/>
  <c r="DG150" i="7"/>
  <c r="DO150" i="7"/>
  <c r="DW150" i="7"/>
  <c r="CO150" i="7"/>
  <c r="CQ150" i="7"/>
  <c r="CR150" i="7"/>
  <c r="CS150" i="7"/>
  <c r="CT150" i="7"/>
  <c r="CU150" i="7"/>
  <c r="CY150" i="7"/>
  <c r="DM150" i="7"/>
  <c r="DN150" i="7"/>
  <c r="DP150" i="7"/>
  <c r="DQ150" i="7"/>
  <c r="DR150" i="7"/>
  <c r="CN150" i="7"/>
  <c r="BX282" i="7"/>
  <c r="CP282" i="7"/>
  <c r="DL282" i="7"/>
  <c r="DJ282" i="7"/>
  <c r="CN282" i="7"/>
  <c r="DK282" i="7"/>
  <c r="DG282" i="7"/>
  <c r="DH282" i="7"/>
  <c r="DI282" i="7"/>
  <c r="DM282" i="7"/>
  <c r="DN282" i="7"/>
  <c r="DP282" i="7"/>
  <c r="CO282" i="7"/>
  <c r="DO282" i="7"/>
  <c r="CQ282" i="7"/>
  <c r="CR282" i="7"/>
  <c r="DQ282" i="7"/>
  <c r="CS282" i="7"/>
  <c r="DR282" i="7"/>
  <c r="CU282" i="7"/>
  <c r="DT282" i="7"/>
  <c r="CW282" i="7"/>
  <c r="DV282" i="7"/>
  <c r="CV282" i="7"/>
  <c r="DU282" i="7"/>
  <c r="DO260" i="7"/>
  <c r="DU215" i="7"/>
  <c r="CS193" i="7"/>
  <c r="BY151" i="7"/>
  <c r="DH151" i="7"/>
  <c r="DF151" i="7"/>
  <c r="DG151" i="7"/>
  <c r="DI151" i="7"/>
  <c r="CN151" i="7"/>
  <c r="DK151" i="7"/>
  <c r="DA151" i="7"/>
  <c r="DB151" i="7"/>
  <c r="DC151" i="7"/>
  <c r="CX151" i="7"/>
  <c r="CY151" i="7"/>
  <c r="DD151" i="7"/>
  <c r="DN151" i="7"/>
  <c r="DV151" i="7"/>
  <c r="CO151" i="7"/>
  <c r="DW151" i="7"/>
  <c r="CP151" i="7"/>
  <c r="CQ151" i="7"/>
  <c r="CS151" i="7"/>
  <c r="CU151" i="7"/>
  <c r="CV151" i="7"/>
  <c r="CR151" i="7"/>
  <c r="CT151" i="7"/>
  <c r="CW151" i="7"/>
  <c r="CZ151" i="7"/>
  <c r="DE151" i="7"/>
  <c r="DL151" i="7"/>
  <c r="DM151" i="7"/>
  <c r="DO151" i="7"/>
  <c r="DP151" i="7"/>
  <c r="DQ151" i="7"/>
  <c r="DR151" i="7"/>
  <c r="DS151" i="7"/>
  <c r="DJ151" i="7"/>
  <c r="DT151" i="7"/>
  <c r="DU151" i="7"/>
  <c r="DR257" i="7"/>
  <c r="BR86" i="7"/>
  <c r="CQ86" i="7"/>
  <c r="DM86" i="7"/>
  <c r="CR86" i="7"/>
  <c r="DN86" i="7"/>
  <c r="CS86" i="7"/>
  <c r="DO86" i="7"/>
  <c r="CY86" i="7"/>
  <c r="CZ86" i="7"/>
  <c r="DA86" i="7"/>
  <c r="DB86" i="7"/>
  <c r="DS86" i="7"/>
  <c r="CN86" i="7"/>
  <c r="DT86" i="7"/>
  <c r="CO86" i="7"/>
  <c r="DU86" i="7"/>
  <c r="CP86" i="7"/>
  <c r="DV86" i="7"/>
  <c r="CT86" i="7"/>
  <c r="DW86" i="7"/>
  <c r="DC86" i="7"/>
  <c r="DD86" i="7"/>
  <c r="CV86" i="7"/>
  <c r="CX86" i="7"/>
  <c r="DE86" i="7"/>
  <c r="CU86" i="7"/>
  <c r="CW86" i="7"/>
  <c r="DF86" i="7"/>
  <c r="DG86" i="7"/>
  <c r="DH86" i="7"/>
  <c r="DI86" i="7"/>
  <c r="DJ86" i="7"/>
  <c r="DL86" i="7"/>
  <c r="DP86" i="7"/>
  <c r="DK86" i="7"/>
  <c r="DQ86" i="7"/>
  <c r="DR86" i="7"/>
  <c r="BR174" i="7"/>
  <c r="DC174" i="7"/>
  <c r="CO174" i="7"/>
  <c r="DL174" i="7"/>
  <c r="CP174" i="7"/>
  <c r="DM174" i="7"/>
  <c r="CQ174" i="7"/>
  <c r="DN174" i="7"/>
  <c r="CT174" i="7"/>
  <c r="DT174" i="7"/>
  <c r="CU174" i="7"/>
  <c r="DU174" i="7"/>
  <c r="CW174" i="7"/>
  <c r="DW174" i="7"/>
  <c r="DF174" i="7"/>
  <c r="DG174" i="7"/>
  <c r="DI174" i="7"/>
  <c r="DK174" i="7"/>
  <c r="DP174" i="7"/>
  <c r="DQ174" i="7"/>
  <c r="DD174" i="7"/>
  <c r="DE174" i="7"/>
  <c r="DH174" i="7"/>
  <c r="DJ174" i="7"/>
  <c r="DO174" i="7"/>
  <c r="CX174" i="7"/>
  <c r="CY174" i="7"/>
  <c r="CZ174" i="7"/>
  <c r="DA174" i="7"/>
  <c r="DB174" i="7"/>
  <c r="DR174" i="7"/>
  <c r="CN174" i="7"/>
  <c r="CR174" i="7"/>
  <c r="CS174" i="7"/>
  <c r="CV174" i="7"/>
  <c r="DS174" i="7"/>
  <c r="DV174" i="7"/>
  <c r="DB282" i="7"/>
  <c r="CW238" i="7"/>
  <c r="CQ193" i="7"/>
  <c r="CN43" i="7"/>
  <c r="DJ43" i="7"/>
  <c r="CP43" i="7"/>
  <c r="DL43" i="7"/>
  <c r="CQ43" i="7"/>
  <c r="DM43" i="7"/>
  <c r="CR43" i="7"/>
  <c r="DN43" i="7"/>
  <c r="DC43" i="7"/>
  <c r="DD43" i="7"/>
  <c r="DE43" i="7"/>
  <c r="DI43" i="7"/>
  <c r="DK43" i="7"/>
  <c r="DO43" i="7"/>
  <c r="DP43" i="7"/>
  <c r="DQ43" i="7"/>
  <c r="DR43" i="7"/>
  <c r="CU43" i="7"/>
  <c r="CV43" i="7"/>
  <c r="DH43" i="7"/>
  <c r="DS43" i="7"/>
  <c r="DT43" i="7"/>
  <c r="DU43" i="7"/>
  <c r="DV43" i="7"/>
  <c r="CT43" i="7"/>
  <c r="CW43" i="7"/>
  <c r="CX43" i="7"/>
  <c r="CY43" i="7"/>
  <c r="CZ43" i="7"/>
  <c r="DA43" i="7"/>
  <c r="DB43" i="7"/>
  <c r="DG43" i="7"/>
  <c r="DW43" i="7"/>
  <c r="DF43" i="7"/>
  <c r="CO43" i="7"/>
  <c r="CS43" i="7"/>
  <c r="CK153" i="7"/>
  <c r="DB153" i="7"/>
  <c r="DD153" i="7"/>
  <c r="DE153" i="7"/>
  <c r="DF153" i="7"/>
  <c r="DH153" i="7"/>
  <c r="CN153" i="7"/>
  <c r="DO153" i="7"/>
  <c r="CO153" i="7"/>
  <c r="DP153" i="7"/>
  <c r="CP153" i="7"/>
  <c r="DQ153" i="7"/>
  <c r="CT153" i="7"/>
  <c r="CU153" i="7"/>
  <c r="CW153" i="7"/>
  <c r="DC153" i="7"/>
  <c r="CR153" i="7"/>
  <c r="CS153" i="7"/>
  <c r="CV153" i="7"/>
  <c r="CX153" i="7"/>
  <c r="CZ153" i="7"/>
  <c r="DG153" i="7"/>
  <c r="DI153" i="7"/>
  <c r="DM153" i="7"/>
  <c r="DN153" i="7"/>
  <c r="DR153" i="7"/>
  <c r="DS153" i="7"/>
  <c r="DT153" i="7"/>
  <c r="DU153" i="7"/>
  <c r="DJ153" i="7"/>
  <c r="DK153" i="7"/>
  <c r="DL153" i="7"/>
  <c r="DV153" i="7"/>
  <c r="DW153" i="7"/>
  <c r="BR241" i="7"/>
  <c r="CO241" i="7"/>
  <c r="DK241" i="7"/>
  <c r="CT241" i="7"/>
  <c r="DQ241" i="7"/>
  <c r="CU241" i="7"/>
  <c r="DR241" i="7"/>
  <c r="CW241" i="7"/>
  <c r="DT241" i="7"/>
  <c r="CY241" i="7"/>
  <c r="CZ241" i="7"/>
  <c r="DA241" i="7"/>
  <c r="DC241" i="7"/>
  <c r="DH241" i="7"/>
  <c r="DI241" i="7"/>
  <c r="DJ241" i="7"/>
  <c r="DL241" i="7"/>
  <c r="DM241" i="7"/>
  <c r="DN241" i="7"/>
  <c r="DP241" i="7"/>
  <c r="DS241" i="7"/>
  <c r="DU241" i="7"/>
  <c r="DV241" i="7"/>
  <c r="DW241" i="7"/>
  <c r="CP241" i="7"/>
  <c r="CR241" i="7"/>
  <c r="CQ241" i="7"/>
  <c r="CV238" i="7"/>
  <c r="CZ262" i="7"/>
  <c r="DQ236" i="7"/>
  <c r="CN219" i="7"/>
  <c r="DO281" i="7"/>
  <c r="DM281" i="7"/>
  <c r="DI259" i="7"/>
  <c r="DI281" i="7"/>
  <c r="DK279" i="7"/>
  <c r="DK268" i="7"/>
  <c r="DF264" i="7"/>
  <c r="CW261" i="7"/>
  <c r="DG258" i="7"/>
  <c r="CP240" i="7"/>
  <c r="CV235" i="7"/>
  <c r="DA153" i="7"/>
  <c r="BQ15" i="7"/>
  <c r="DF15" i="7"/>
  <c r="DH15" i="7"/>
  <c r="DI15" i="7"/>
  <c r="CN15" i="7"/>
  <c r="DJ15" i="7"/>
  <c r="CT15" i="7"/>
  <c r="DP15" i="7"/>
  <c r="CY15" i="7"/>
  <c r="CZ15" i="7"/>
  <c r="DA15" i="7"/>
  <c r="DB15" i="7"/>
  <c r="DC15" i="7"/>
  <c r="DD15" i="7"/>
  <c r="DE15" i="7"/>
  <c r="DG15" i="7"/>
  <c r="DK15" i="7"/>
  <c r="DL15" i="7"/>
  <c r="DM15" i="7"/>
  <c r="DN15" i="7"/>
  <c r="DO15" i="7"/>
  <c r="DQ15" i="7"/>
  <c r="DU15" i="7"/>
  <c r="DV15" i="7"/>
  <c r="DW15" i="7"/>
  <c r="CU15" i="7"/>
  <c r="CV15" i="7"/>
  <c r="CW15" i="7"/>
  <c r="CX15" i="7"/>
  <c r="DR15" i="7"/>
  <c r="CP15" i="7"/>
  <c r="CQ15" i="7"/>
  <c r="CR15" i="7"/>
  <c r="CS15" i="7"/>
  <c r="DS15" i="7"/>
  <c r="DT15" i="7"/>
  <c r="CO15" i="7"/>
  <c r="BV125" i="7"/>
  <c r="CU125" i="7"/>
  <c r="DQ125" i="7"/>
  <c r="DD125" i="7"/>
  <c r="CY125" i="7"/>
  <c r="DW125" i="7"/>
  <c r="DA125" i="7"/>
  <c r="DC125" i="7"/>
  <c r="CV125" i="7"/>
  <c r="CW125" i="7"/>
  <c r="CX125" i="7"/>
  <c r="CZ125" i="7"/>
  <c r="DB125" i="7"/>
  <c r="DJ125" i="7"/>
  <c r="DK125" i="7"/>
  <c r="DS125" i="7"/>
  <c r="DT125" i="7"/>
  <c r="DU125" i="7"/>
  <c r="DM125" i="7"/>
  <c r="DN125" i="7"/>
  <c r="DO125" i="7"/>
  <c r="DP125" i="7"/>
  <c r="DV125" i="7"/>
  <c r="DR125" i="7"/>
  <c r="CS125" i="7"/>
  <c r="CT125" i="7"/>
  <c r="DE125" i="7"/>
  <c r="DF125" i="7"/>
  <c r="DG125" i="7"/>
  <c r="DH125" i="7"/>
  <c r="DI125" i="7"/>
  <c r="CN125" i="7"/>
  <c r="CO125" i="7"/>
  <c r="CP125" i="7"/>
  <c r="CQ125" i="7"/>
  <c r="CR125" i="7"/>
  <c r="DL125" i="7"/>
  <c r="DE257" i="7"/>
  <c r="DF257" i="7"/>
  <c r="DH257" i="7"/>
  <c r="CW257" i="7"/>
  <c r="DV257" i="7"/>
  <c r="CX257" i="7"/>
  <c r="DW257" i="7"/>
  <c r="CY257" i="7"/>
  <c r="DA257" i="7"/>
  <c r="DI257" i="7"/>
  <c r="DJ257" i="7"/>
  <c r="CU257" i="7"/>
  <c r="CV257" i="7"/>
  <c r="CZ257" i="7"/>
  <c r="DB257" i="7"/>
  <c r="DD257" i="7"/>
  <c r="DG257" i="7"/>
  <c r="CT257" i="7"/>
  <c r="DC257" i="7"/>
  <c r="DK257" i="7"/>
  <c r="DL257" i="7"/>
  <c r="DM257" i="7"/>
  <c r="DN257" i="7"/>
  <c r="DO257" i="7"/>
  <c r="DP257" i="7"/>
  <c r="DQ257" i="7"/>
  <c r="DS257" i="7"/>
  <c r="DU257" i="7"/>
  <c r="DT257" i="7"/>
  <c r="CL38" i="7"/>
  <c r="CR38" i="7"/>
  <c r="DN38" i="7"/>
  <c r="CT38" i="7"/>
  <c r="DP38" i="7"/>
  <c r="CU38" i="7"/>
  <c r="DQ38" i="7"/>
  <c r="CV38" i="7"/>
  <c r="DR38" i="7"/>
  <c r="CW38" i="7"/>
  <c r="DW38" i="7"/>
  <c r="CX38" i="7"/>
  <c r="CY38" i="7"/>
  <c r="CZ38" i="7"/>
  <c r="DC38" i="7"/>
  <c r="CQ38" i="7"/>
  <c r="CS38" i="7"/>
  <c r="DA38" i="7"/>
  <c r="DB38" i="7"/>
  <c r="DD38" i="7"/>
  <c r="DE38" i="7"/>
  <c r="DK38" i="7"/>
  <c r="DL38" i="7"/>
  <c r="CN38" i="7"/>
  <c r="CO38" i="7"/>
  <c r="CP38" i="7"/>
  <c r="DH38" i="7"/>
  <c r="DM38" i="7"/>
  <c r="DO38" i="7"/>
  <c r="DS38" i="7"/>
  <c r="DT38" i="7"/>
  <c r="DU38" i="7"/>
  <c r="DV38" i="7"/>
  <c r="DJ38" i="7"/>
  <c r="DF38" i="7"/>
  <c r="DG38" i="7"/>
  <c r="DI38" i="7"/>
  <c r="BX104" i="7"/>
  <c r="DC104" i="7"/>
  <c r="CY104" i="7"/>
  <c r="DV104" i="7"/>
  <c r="CZ104" i="7"/>
  <c r="DW104" i="7"/>
  <c r="DA104" i="7"/>
  <c r="DK104" i="7"/>
  <c r="DL104" i="7"/>
  <c r="DM104" i="7"/>
  <c r="CO104" i="7"/>
  <c r="DO104" i="7"/>
  <c r="CT104" i="7"/>
  <c r="DT104" i="7"/>
  <c r="DF104" i="7"/>
  <c r="DG104" i="7"/>
  <c r="DH104" i="7"/>
  <c r="DI104" i="7"/>
  <c r="DJ104" i="7"/>
  <c r="DP104" i="7"/>
  <c r="DR104" i="7"/>
  <c r="CN104" i="7"/>
  <c r="DU104" i="7"/>
  <c r="CP104" i="7"/>
  <c r="CQ104" i="7"/>
  <c r="DE104" i="7"/>
  <c r="DN104" i="7"/>
  <c r="DQ104" i="7"/>
  <c r="DS104" i="7"/>
  <c r="CR104" i="7"/>
  <c r="CS104" i="7"/>
  <c r="CV104" i="7"/>
  <c r="CW104" i="7"/>
  <c r="CU104" i="7"/>
  <c r="CX104" i="7"/>
  <c r="DB104" i="7"/>
  <c r="DD104" i="7"/>
  <c r="DF170" i="7"/>
  <c r="CQ170" i="7"/>
  <c r="DN170" i="7"/>
  <c r="CS170" i="7"/>
  <c r="DQ170" i="7"/>
  <c r="CT170" i="7"/>
  <c r="DR170" i="7"/>
  <c r="CU170" i="7"/>
  <c r="DS170" i="7"/>
  <c r="DB170" i="7"/>
  <c r="DC170" i="7"/>
  <c r="DE170" i="7"/>
  <c r="DK170" i="7"/>
  <c r="CN170" i="7"/>
  <c r="DW170" i="7"/>
  <c r="CO170" i="7"/>
  <c r="CR170" i="7"/>
  <c r="CW170" i="7"/>
  <c r="CY170" i="7"/>
  <c r="CZ170" i="7"/>
  <c r="DP170" i="7"/>
  <c r="DT170" i="7"/>
  <c r="DU170" i="7"/>
  <c r="DV170" i="7"/>
  <c r="CP170" i="7"/>
  <c r="CV170" i="7"/>
  <c r="CX170" i="7"/>
  <c r="DA170" i="7"/>
  <c r="DG170" i="7"/>
  <c r="DH170" i="7"/>
  <c r="DI170" i="7"/>
  <c r="DJ170" i="7"/>
  <c r="DD170" i="7"/>
  <c r="BS192" i="7"/>
  <c r="CS192" i="7"/>
  <c r="DO192" i="7"/>
  <c r="DI192" i="7"/>
  <c r="DJ192" i="7"/>
  <c r="CN192" i="7"/>
  <c r="DK192" i="7"/>
  <c r="DM192" i="7"/>
  <c r="DN192" i="7"/>
  <c r="CP192" i="7"/>
  <c r="DQ192" i="7"/>
  <c r="DE192" i="7"/>
  <c r="DF192" i="7"/>
  <c r="DH192" i="7"/>
  <c r="DS192" i="7"/>
  <c r="DU192" i="7"/>
  <c r="DV192" i="7"/>
  <c r="DW192" i="7"/>
  <c r="CO192" i="7"/>
  <c r="CQ192" i="7"/>
  <c r="CW192" i="7"/>
  <c r="CX192" i="7"/>
  <c r="CY192" i="7"/>
  <c r="CZ192" i="7"/>
  <c r="DA192" i="7"/>
  <c r="DB192" i="7"/>
  <c r="DG192" i="7"/>
  <c r="DL192" i="7"/>
  <c r="DP192" i="7"/>
  <c r="DR192" i="7"/>
  <c r="CR192" i="7"/>
  <c r="CU192" i="7"/>
  <c r="CV192" i="7"/>
  <c r="DC192" i="7"/>
  <c r="CL236" i="7"/>
  <c r="CS236" i="7"/>
  <c r="DO236" i="7"/>
  <c r="CO236" i="7"/>
  <c r="DL236" i="7"/>
  <c r="CP236" i="7"/>
  <c r="DM236" i="7"/>
  <c r="CR236" i="7"/>
  <c r="DP236" i="7"/>
  <c r="CQ236" i="7"/>
  <c r="DS236" i="7"/>
  <c r="CT236" i="7"/>
  <c r="DT236" i="7"/>
  <c r="CU236" i="7"/>
  <c r="DU236" i="7"/>
  <c r="CV236" i="7"/>
  <c r="DV236" i="7"/>
  <c r="CW236" i="7"/>
  <c r="DW236" i="7"/>
  <c r="DB236" i="7"/>
  <c r="DC236" i="7"/>
  <c r="DD236" i="7"/>
  <c r="CN236" i="7"/>
  <c r="CX236" i="7"/>
  <c r="CY236" i="7"/>
  <c r="CZ236" i="7"/>
  <c r="DA236" i="7"/>
  <c r="DE236" i="7"/>
  <c r="DI236" i="7"/>
  <c r="CG280" i="7"/>
  <c r="CV280" i="7"/>
  <c r="DR280" i="7"/>
  <c r="CX280" i="7"/>
  <c r="CO280" i="7"/>
  <c r="DM280" i="7"/>
  <c r="CP280" i="7"/>
  <c r="DN280" i="7"/>
  <c r="DD280" i="7"/>
  <c r="DE280" i="7"/>
  <c r="DF280" i="7"/>
  <c r="DG280" i="7"/>
  <c r="DH280" i="7"/>
  <c r="DI280" i="7"/>
  <c r="DJ280" i="7"/>
  <c r="DK280" i="7"/>
  <c r="DL280" i="7"/>
  <c r="CN280" i="7"/>
  <c r="DP280" i="7"/>
  <c r="CR280" i="7"/>
  <c r="DS280" i="7"/>
  <c r="CQ280" i="7"/>
  <c r="DQ280" i="7"/>
  <c r="CB83" i="7"/>
  <c r="CO83" i="7"/>
  <c r="DK83" i="7"/>
  <c r="CP83" i="7"/>
  <c r="DL83" i="7"/>
  <c r="CQ83" i="7"/>
  <c r="DM83" i="7"/>
  <c r="DD83" i="7"/>
  <c r="DE83" i="7"/>
  <c r="DF83" i="7"/>
  <c r="DG83" i="7"/>
  <c r="DA83" i="7"/>
  <c r="DB83" i="7"/>
  <c r="DC83" i="7"/>
  <c r="DH83" i="7"/>
  <c r="DI83" i="7"/>
  <c r="DQ83" i="7"/>
  <c r="DR83" i="7"/>
  <c r="CU83" i="7"/>
  <c r="CV83" i="7"/>
  <c r="CW83" i="7"/>
  <c r="CX83" i="7"/>
  <c r="CY83" i="7"/>
  <c r="DJ83" i="7"/>
  <c r="DO83" i="7"/>
  <c r="DS83" i="7"/>
  <c r="DT83" i="7"/>
  <c r="DV83" i="7"/>
  <c r="DW83" i="7"/>
  <c r="CN83" i="7"/>
  <c r="CR83" i="7"/>
  <c r="CT83" i="7"/>
  <c r="CZ83" i="7"/>
  <c r="DN83" i="7"/>
  <c r="DP83" i="7"/>
  <c r="DU83" i="7"/>
  <c r="CS83" i="7"/>
  <c r="CD171" i="7"/>
  <c r="CR171" i="7"/>
  <c r="DA171" i="7"/>
  <c r="DW171" i="7"/>
  <c r="DE171" i="7"/>
  <c r="DF171" i="7"/>
  <c r="DG171" i="7"/>
  <c r="CT171" i="7"/>
  <c r="DT171" i="7"/>
  <c r="CU171" i="7"/>
  <c r="DU171" i="7"/>
  <c r="CW171" i="7"/>
  <c r="DC171" i="7"/>
  <c r="DR171" i="7"/>
  <c r="CN171" i="7"/>
  <c r="DS171" i="7"/>
  <c r="CP171" i="7"/>
  <c r="CS171" i="7"/>
  <c r="CX171" i="7"/>
  <c r="CY171" i="7"/>
  <c r="CO171" i="7"/>
  <c r="CZ171" i="7"/>
  <c r="DB171" i="7"/>
  <c r="DD171" i="7"/>
  <c r="DH171" i="7"/>
  <c r="DI171" i="7"/>
  <c r="DJ171" i="7"/>
  <c r="DM171" i="7"/>
  <c r="DN171" i="7"/>
  <c r="DO171" i="7"/>
  <c r="DP171" i="7"/>
  <c r="BU215" i="7"/>
  <c r="DA215" i="7"/>
  <c r="DW215" i="7"/>
  <c r="DC215" i="7"/>
  <c r="CP215" i="7"/>
  <c r="DN215" i="7"/>
  <c r="CO215" i="7"/>
  <c r="DO215" i="7"/>
  <c r="CQ215" i="7"/>
  <c r="DP215" i="7"/>
  <c r="CS215" i="7"/>
  <c r="DR215" i="7"/>
  <c r="CU215" i="7"/>
  <c r="CV215" i="7"/>
  <c r="CW215" i="7"/>
  <c r="CX215" i="7"/>
  <c r="CY215" i="7"/>
  <c r="CN215" i="7"/>
  <c r="CR215" i="7"/>
  <c r="CT215" i="7"/>
  <c r="CZ215" i="7"/>
  <c r="DB215" i="7"/>
  <c r="DH215" i="7"/>
  <c r="DI215" i="7"/>
  <c r="DJ215" i="7"/>
  <c r="DD215" i="7"/>
  <c r="DE215" i="7"/>
  <c r="DF215" i="7"/>
  <c r="DG215" i="7"/>
  <c r="DQ215" i="7"/>
  <c r="DS215" i="7"/>
  <c r="DE279" i="7"/>
  <c r="BQ84" i="7"/>
  <c r="CW84" i="7"/>
  <c r="DS84" i="7"/>
  <c r="CX84" i="7"/>
  <c r="DT84" i="7"/>
  <c r="CY84" i="7"/>
  <c r="DU84" i="7"/>
  <c r="CS84" i="7"/>
  <c r="DR84" i="7"/>
  <c r="CT84" i="7"/>
  <c r="DV84" i="7"/>
  <c r="CU84" i="7"/>
  <c r="DW84" i="7"/>
  <c r="CV84" i="7"/>
  <c r="DA84" i="7"/>
  <c r="DB84" i="7"/>
  <c r="DC84" i="7"/>
  <c r="DD84" i="7"/>
  <c r="DE84" i="7"/>
  <c r="DJ84" i="7"/>
  <c r="DK84" i="7"/>
  <c r="DG84" i="7"/>
  <c r="DH84" i="7"/>
  <c r="DI84" i="7"/>
  <c r="DL84" i="7"/>
  <c r="DM84" i="7"/>
  <c r="DO84" i="7"/>
  <c r="DQ84" i="7"/>
  <c r="CN84" i="7"/>
  <c r="CO84" i="7"/>
  <c r="CP84" i="7"/>
  <c r="DN84" i="7"/>
  <c r="DP84" i="7"/>
  <c r="CQ84" i="7"/>
  <c r="CR84" i="7"/>
  <c r="CZ84" i="7"/>
  <c r="DF84" i="7"/>
  <c r="CD128" i="7"/>
  <c r="CW128" i="7"/>
  <c r="DS128" i="7"/>
  <c r="CN128" i="7"/>
  <c r="DK128" i="7"/>
  <c r="DL128" i="7"/>
  <c r="CT128" i="7"/>
  <c r="DT128" i="7"/>
  <c r="CU128" i="7"/>
  <c r="DU128" i="7"/>
  <c r="CV128" i="7"/>
  <c r="DV128" i="7"/>
  <c r="CX128" i="7"/>
  <c r="CY128" i="7"/>
  <c r="DE128" i="7"/>
  <c r="DF128" i="7"/>
  <c r="CO128" i="7"/>
  <c r="CP128" i="7"/>
  <c r="CQ128" i="7"/>
  <c r="CS128" i="7"/>
  <c r="CZ128" i="7"/>
  <c r="DA128" i="7"/>
  <c r="DB128" i="7"/>
  <c r="DD128" i="7"/>
  <c r="DI128" i="7"/>
  <c r="CR128" i="7"/>
  <c r="DC128" i="7"/>
  <c r="DG128" i="7"/>
  <c r="DH128" i="7"/>
  <c r="DJ128" i="7"/>
  <c r="DM128" i="7"/>
  <c r="DP128" i="7"/>
  <c r="DQ128" i="7"/>
  <c r="DR128" i="7"/>
  <c r="DW128" i="7"/>
  <c r="DN128" i="7"/>
  <c r="DO128" i="7"/>
  <c r="DI216" i="7"/>
  <c r="CO216" i="7"/>
  <c r="DB216" i="7"/>
  <c r="DD216" i="7"/>
  <c r="DE216" i="7"/>
  <c r="DG216" i="7"/>
  <c r="CN216" i="7"/>
  <c r="DP216" i="7"/>
  <c r="CP216" i="7"/>
  <c r="DQ216" i="7"/>
  <c r="CQ216" i="7"/>
  <c r="DR216" i="7"/>
  <c r="CR216" i="7"/>
  <c r="DS216" i="7"/>
  <c r="CS216" i="7"/>
  <c r="DT216" i="7"/>
  <c r="CV216" i="7"/>
  <c r="CW216" i="7"/>
  <c r="CX216" i="7"/>
  <c r="CY216" i="7"/>
  <c r="CZ216" i="7"/>
  <c r="DJ216" i="7"/>
  <c r="DK216" i="7"/>
  <c r="DL216" i="7"/>
  <c r="DN216" i="7"/>
  <c r="DO216" i="7"/>
  <c r="DU216" i="7"/>
  <c r="DV216" i="7"/>
  <c r="DW216" i="7"/>
  <c r="DC216" i="7"/>
  <c r="DF216" i="7"/>
  <c r="DH216" i="7"/>
  <c r="DM216" i="7"/>
  <c r="BW260" i="7"/>
  <c r="DG260" i="7"/>
  <c r="DH260" i="7"/>
  <c r="CN260" i="7"/>
  <c r="DJ260" i="7"/>
  <c r="CR260" i="7"/>
  <c r="DQ260" i="7"/>
  <c r="CS260" i="7"/>
  <c r="DR260" i="7"/>
  <c r="CT260" i="7"/>
  <c r="DS260" i="7"/>
  <c r="CV260" i="7"/>
  <c r="DU260" i="7"/>
  <c r="DA260" i="7"/>
  <c r="CQ260" i="7"/>
  <c r="CU260" i="7"/>
  <c r="CW260" i="7"/>
  <c r="CX260" i="7"/>
  <c r="CZ260" i="7"/>
  <c r="DB260" i="7"/>
  <c r="CO260" i="7"/>
  <c r="CP260" i="7"/>
  <c r="DC260" i="7"/>
  <c r="CY260" i="7"/>
  <c r="DD260" i="7"/>
  <c r="DE260" i="7"/>
  <c r="DI260" i="7"/>
  <c r="DL260" i="7"/>
  <c r="DK260" i="7"/>
  <c r="CN281" i="7"/>
  <c r="DD279" i="7"/>
  <c r="CO258" i="7"/>
  <c r="DQ238" i="7"/>
  <c r="CM63" i="7"/>
  <c r="CV63" i="7"/>
  <c r="DR63" i="7"/>
  <c r="CW63" i="7"/>
  <c r="DS63" i="7"/>
  <c r="CZ63" i="7"/>
  <c r="DA63" i="7"/>
  <c r="DB63" i="7"/>
  <c r="DC63" i="7"/>
  <c r="DE63" i="7"/>
  <c r="DK63" i="7"/>
  <c r="CN63" i="7"/>
  <c r="DL63" i="7"/>
  <c r="CR63" i="7"/>
  <c r="CS63" i="7"/>
  <c r="CT63" i="7"/>
  <c r="CU63" i="7"/>
  <c r="CX63" i="7"/>
  <c r="DI63" i="7"/>
  <c r="DM63" i="7"/>
  <c r="DN63" i="7"/>
  <c r="DO63" i="7"/>
  <c r="DP63" i="7"/>
  <c r="DQ63" i="7"/>
  <c r="DU63" i="7"/>
  <c r="DW63" i="7"/>
  <c r="CP63" i="7"/>
  <c r="CQ63" i="7"/>
  <c r="CO63" i="7"/>
  <c r="CY63" i="7"/>
  <c r="DD63" i="7"/>
  <c r="DF63" i="7"/>
  <c r="DG63" i="7"/>
  <c r="DH63" i="7"/>
  <c r="DJ63" i="7"/>
  <c r="DV63" i="7"/>
  <c r="DT63" i="7"/>
  <c r="CK217" i="7"/>
  <c r="CU217" i="7"/>
  <c r="DQ217" i="7"/>
  <c r="CO217" i="7"/>
  <c r="DL217" i="7"/>
  <c r="CR217" i="7"/>
  <c r="DP217" i="7"/>
  <c r="CS217" i="7"/>
  <c r="DR217" i="7"/>
  <c r="CV217" i="7"/>
  <c r="DT217" i="7"/>
  <c r="DG217" i="7"/>
  <c r="DH217" i="7"/>
  <c r="DI217" i="7"/>
  <c r="DJ217" i="7"/>
  <c r="DK217" i="7"/>
  <c r="CW217" i="7"/>
  <c r="CX217" i="7"/>
  <c r="CY217" i="7"/>
  <c r="CZ217" i="7"/>
  <c r="DA217" i="7"/>
  <c r="DF217" i="7"/>
  <c r="DM217" i="7"/>
  <c r="DN217" i="7"/>
  <c r="CN217" i="7"/>
  <c r="CP217" i="7"/>
  <c r="DC217" i="7"/>
  <c r="DD217" i="7"/>
  <c r="CQ217" i="7"/>
  <c r="CT217" i="7"/>
  <c r="DB217" i="7"/>
  <c r="DS217" i="7"/>
  <c r="DE217" i="7"/>
  <c r="DO217" i="7"/>
  <c r="DU217" i="7"/>
  <c r="DW217" i="7"/>
  <c r="DV217" i="7"/>
  <c r="DC282" i="7"/>
  <c r="CR193" i="7"/>
  <c r="CL20" i="7"/>
  <c r="DB20" i="7"/>
  <c r="DD20" i="7"/>
  <c r="DE20" i="7"/>
  <c r="DF20" i="7"/>
  <c r="CP20" i="7"/>
  <c r="DL20" i="7"/>
  <c r="CQ20" i="7"/>
  <c r="DR20" i="7"/>
  <c r="CR20" i="7"/>
  <c r="DS20" i="7"/>
  <c r="CS20" i="7"/>
  <c r="DT20" i="7"/>
  <c r="CT20" i="7"/>
  <c r="DU20" i="7"/>
  <c r="CU20" i="7"/>
  <c r="DV20" i="7"/>
  <c r="CV20" i="7"/>
  <c r="DW20" i="7"/>
  <c r="CW20" i="7"/>
  <c r="CN20" i="7"/>
  <c r="CO20" i="7"/>
  <c r="CX20" i="7"/>
  <c r="CY20" i="7"/>
  <c r="CZ20" i="7"/>
  <c r="DA20" i="7"/>
  <c r="DC20" i="7"/>
  <c r="DJ20" i="7"/>
  <c r="DK20" i="7"/>
  <c r="DM20" i="7"/>
  <c r="DI20" i="7"/>
  <c r="DN20" i="7"/>
  <c r="DG20" i="7"/>
  <c r="DH20" i="7"/>
  <c r="DO20" i="7"/>
  <c r="DQ20" i="7"/>
  <c r="DP20" i="7"/>
  <c r="BZ130" i="7"/>
  <c r="CQ130" i="7"/>
  <c r="DM130" i="7"/>
  <c r="DH130" i="7"/>
  <c r="CN130" i="7"/>
  <c r="DL130" i="7"/>
  <c r="CX130" i="7"/>
  <c r="DW130" i="7"/>
  <c r="CY130" i="7"/>
  <c r="CZ130" i="7"/>
  <c r="DB130" i="7"/>
  <c r="DI130" i="7"/>
  <c r="DS130" i="7"/>
  <c r="CO130" i="7"/>
  <c r="DT130" i="7"/>
  <c r="CP130" i="7"/>
  <c r="DU130" i="7"/>
  <c r="DC130" i="7"/>
  <c r="DD130" i="7"/>
  <c r="DE130" i="7"/>
  <c r="DF130" i="7"/>
  <c r="DJ130" i="7"/>
  <c r="DO130" i="7"/>
  <c r="DN130" i="7"/>
  <c r="DP130" i="7"/>
  <c r="DQ130" i="7"/>
  <c r="DR130" i="7"/>
  <c r="DV130" i="7"/>
  <c r="CU130" i="7"/>
  <c r="CV130" i="7"/>
  <c r="CW130" i="7"/>
  <c r="DA130" i="7"/>
  <c r="DG130" i="7"/>
  <c r="DK130" i="7"/>
  <c r="CR130" i="7"/>
  <c r="CS130" i="7"/>
  <c r="CT130" i="7"/>
  <c r="CK218" i="7"/>
  <c r="DC218" i="7"/>
  <c r="CY218" i="7"/>
  <c r="DV218" i="7"/>
  <c r="DE218" i="7"/>
  <c r="DF218" i="7"/>
  <c r="DH218" i="7"/>
  <c r="CX218" i="7"/>
  <c r="CZ218" i="7"/>
  <c r="DA218" i="7"/>
  <c r="DB218" i="7"/>
  <c r="DD218" i="7"/>
  <c r="CS218" i="7"/>
  <c r="CT218" i="7"/>
  <c r="CU218" i="7"/>
  <c r="CV218" i="7"/>
  <c r="CW218" i="7"/>
  <c r="DL218" i="7"/>
  <c r="DM218" i="7"/>
  <c r="DN218" i="7"/>
  <c r="CR218" i="7"/>
  <c r="DG218" i="7"/>
  <c r="DI218" i="7"/>
  <c r="DJ218" i="7"/>
  <c r="DK218" i="7"/>
  <c r="DO218" i="7"/>
  <c r="DP218" i="7"/>
  <c r="DT218" i="7"/>
  <c r="DU218" i="7"/>
  <c r="CM21" i="7"/>
  <c r="CN21" i="7"/>
  <c r="DJ21" i="7"/>
  <c r="CP21" i="7"/>
  <c r="DL21" i="7"/>
  <c r="CQ21" i="7"/>
  <c r="DM21" i="7"/>
  <c r="CR21" i="7"/>
  <c r="DN21" i="7"/>
  <c r="CX21" i="7"/>
  <c r="DT21" i="7"/>
  <c r="DI21" i="7"/>
  <c r="DK21" i="7"/>
  <c r="DO21" i="7"/>
  <c r="DP21" i="7"/>
  <c r="DQ21" i="7"/>
  <c r="DR21" i="7"/>
  <c r="CO21" i="7"/>
  <c r="DS21" i="7"/>
  <c r="CY21" i="7"/>
  <c r="CZ21" i="7"/>
  <c r="DA21" i="7"/>
  <c r="DB21" i="7"/>
  <c r="DC21" i="7"/>
  <c r="DD21" i="7"/>
  <c r="DE21" i="7"/>
  <c r="DU21" i="7"/>
  <c r="DV21" i="7"/>
  <c r="DW21" i="7"/>
  <c r="DH21" i="7"/>
  <c r="DF21" i="7"/>
  <c r="DG21" i="7"/>
  <c r="CT21" i="7"/>
  <c r="CU21" i="7"/>
  <c r="CS21" i="7"/>
  <c r="CW21" i="7"/>
  <c r="CV21" i="7"/>
  <c r="BR65" i="7"/>
  <c r="CP65" i="7"/>
  <c r="DL65" i="7"/>
  <c r="CQ65" i="7"/>
  <c r="DM65" i="7"/>
  <c r="CZ65" i="7"/>
  <c r="DA65" i="7"/>
  <c r="DB65" i="7"/>
  <c r="DC65" i="7"/>
  <c r="CN65" i="7"/>
  <c r="CS65" i="7"/>
  <c r="DU65" i="7"/>
  <c r="CT65" i="7"/>
  <c r="DV65" i="7"/>
  <c r="CU65" i="7"/>
  <c r="DW65" i="7"/>
  <c r="CV65" i="7"/>
  <c r="CW65" i="7"/>
  <c r="DG65" i="7"/>
  <c r="CO65" i="7"/>
  <c r="CR65" i="7"/>
  <c r="CX65" i="7"/>
  <c r="DD65" i="7"/>
  <c r="DF65" i="7"/>
  <c r="DH65" i="7"/>
  <c r="DI65" i="7"/>
  <c r="DE65" i="7"/>
  <c r="DJ65" i="7"/>
  <c r="CY65" i="7"/>
  <c r="DK65" i="7"/>
  <c r="DO65" i="7"/>
  <c r="DP65" i="7"/>
  <c r="DQ65" i="7"/>
  <c r="DR65" i="7"/>
  <c r="DS65" i="7"/>
  <c r="DT65" i="7"/>
  <c r="DN65" i="7"/>
  <c r="CM131" i="7"/>
  <c r="CY131" i="7"/>
  <c r="DU131" i="7"/>
  <c r="CU131" i="7"/>
  <c r="DR131" i="7"/>
  <c r="DA131" i="7"/>
  <c r="DL131" i="7"/>
  <c r="CN131" i="7"/>
  <c r="DM131" i="7"/>
  <c r="CO131" i="7"/>
  <c r="DN131" i="7"/>
  <c r="CQ131" i="7"/>
  <c r="DP131" i="7"/>
  <c r="CX131" i="7"/>
  <c r="DQ131" i="7"/>
  <c r="DS131" i="7"/>
  <c r="DT131" i="7"/>
  <c r="DD131" i="7"/>
  <c r="DE131" i="7"/>
  <c r="DF131" i="7"/>
  <c r="DG131" i="7"/>
  <c r="DI131" i="7"/>
  <c r="DO131" i="7"/>
  <c r="CP131" i="7"/>
  <c r="CS131" i="7"/>
  <c r="CT131" i="7"/>
  <c r="CR131" i="7"/>
  <c r="CZ131" i="7"/>
  <c r="CV131" i="7"/>
  <c r="CW131" i="7"/>
  <c r="DB131" i="7"/>
  <c r="DC131" i="7"/>
  <c r="DH131" i="7"/>
  <c r="DJ131" i="7"/>
  <c r="DK131" i="7"/>
  <c r="DV131" i="7"/>
  <c r="BW197" i="7"/>
  <c r="CO197" i="7"/>
  <c r="DK197" i="7"/>
  <c r="CQ197" i="7"/>
  <c r="DN197" i="7"/>
  <c r="CS197" i="7"/>
  <c r="DP197" i="7"/>
  <c r="DM197" i="7"/>
  <c r="CN197" i="7"/>
  <c r="DO197" i="7"/>
  <c r="CR197" i="7"/>
  <c r="DR197" i="7"/>
  <c r="DF197" i="7"/>
  <c r="DG197" i="7"/>
  <c r="DI197" i="7"/>
  <c r="DL197" i="7"/>
  <c r="DQ197" i="7"/>
  <c r="DS197" i="7"/>
  <c r="DT197" i="7"/>
  <c r="DU197" i="7"/>
  <c r="CX197" i="7"/>
  <c r="CY197" i="7"/>
  <c r="CZ197" i="7"/>
  <c r="DA197" i="7"/>
  <c r="DB197" i="7"/>
  <c r="DH197" i="7"/>
  <c r="DJ197" i="7"/>
  <c r="DV197" i="7"/>
  <c r="DW197" i="7"/>
  <c r="DC197" i="7"/>
  <c r="DD197" i="7"/>
  <c r="DE197" i="7"/>
  <c r="DA282" i="7"/>
  <c r="CZ263" i="7"/>
  <c r="CR257" i="7"/>
  <c r="DF241" i="7"/>
  <c r="DL215" i="7"/>
  <c r="CP193" i="7"/>
  <c r="DP281" i="7"/>
  <c r="DM259" i="7"/>
  <c r="CS241" i="7"/>
  <c r="DQ176" i="7"/>
  <c r="DW131" i="7"/>
  <c r="DT129" i="7"/>
  <c r="DK264" i="7"/>
  <c r="DE281" i="7"/>
  <c r="DI279" i="7"/>
  <c r="DI268" i="7"/>
  <c r="CW264" i="7"/>
  <c r="CN261" i="7"/>
  <c r="DF258" i="7"/>
  <c r="CO240" i="7"/>
  <c r="CN218" i="7"/>
  <c r="CP197" i="7"/>
  <c r="CV171" i="7"/>
  <c r="CY153" i="7"/>
  <c r="BP23" i="7"/>
  <c r="DD23" i="7"/>
  <c r="DF23" i="7"/>
  <c r="DG23" i="7"/>
  <c r="DH23" i="7"/>
  <c r="CR23" i="7"/>
  <c r="DN23" i="7"/>
  <c r="CV23" i="7"/>
  <c r="DW23" i="7"/>
  <c r="CW23" i="7"/>
  <c r="CX23" i="7"/>
  <c r="CY23" i="7"/>
  <c r="CZ23" i="7"/>
  <c r="DB23" i="7"/>
  <c r="DI23" i="7"/>
  <c r="DJ23" i="7"/>
  <c r="DK23" i="7"/>
  <c r="DL23" i="7"/>
  <c r="DM23" i="7"/>
  <c r="DO23" i="7"/>
  <c r="DP23" i="7"/>
  <c r="DT23" i="7"/>
  <c r="DU23" i="7"/>
  <c r="CN23" i="7"/>
  <c r="DV23" i="7"/>
  <c r="DQ23" i="7"/>
  <c r="DR23" i="7"/>
  <c r="DS23" i="7"/>
  <c r="CP23" i="7"/>
  <c r="CQ23" i="7"/>
  <c r="CS23" i="7"/>
  <c r="CO23" i="7"/>
  <c r="CT23" i="7"/>
  <c r="CU23" i="7"/>
  <c r="DA23" i="7"/>
  <c r="DC23" i="7"/>
  <c r="DE23" i="7"/>
  <c r="CM24" i="7"/>
  <c r="CP24" i="7"/>
  <c r="DL24" i="7"/>
  <c r="CR24" i="7"/>
  <c r="DN24" i="7"/>
  <c r="CS24" i="7"/>
  <c r="DO24" i="7"/>
  <c r="CT24" i="7"/>
  <c r="DP24" i="7"/>
  <c r="CZ24" i="7"/>
  <c r="DV24" i="7"/>
  <c r="DR24" i="7"/>
  <c r="CN24" i="7"/>
  <c r="DS24" i="7"/>
  <c r="CO24" i="7"/>
  <c r="DT24" i="7"/>
  <c r="CQ24" i="7"/>
  <c r="DU24" i="7"/>
  <c r="CU24" i="7"/>
  <c r="DW24" i="7"/>
  <c r="CW24" i="7"/>
  <c r="DG24" i="7"/>
  <c r="DH24" i="7"/>
  <c r="DI24" i="7"/>
  <c r="DJ24" i="7"/>
  <c r="DK24" i="7"/>
  <c r="DM24" i="7"/>
  <c r="DQ24" i="7"/>
  <c r="CV24" i="7"/>
  <c r="CX24" i="7"/>
  <c r="DB24" i="7"/>
  <c r="DE24" i="7"/>
  <c r="DF24" i="7"/>
  <c r="DC24" i="7"/>
  <c r="DD24" i="7"/>
  <c r="CY24" i="7"/>
  <c r="DA24" i="7"/>
  <c r="BV46" i="7"/>
  <c r="CP46" i="7"/>
  <c r="DL46" i="7"/>
  <c r="CR46" i="7"/>
  <c r="DN46" i="7"/>
  <c r="CS46" i="7"/>
  <c r="DO46" i="7"/>
  <c r="CT46" i="7"/>
  <c r="DP46" i="7"/>
  <c r="DC46" i="7"/>
  <c r="DD46" i="7"/>
  <c r="DE46" i="7"/>
  <c r="CV46" i="7"/>
  <c r="CW46" i="7"/>
  <c r="CX46" i="7"/>
  <c r="CY46" i="7"/>
  <c r="DA46" i="7"/>
  <c r="DJ46" i="7"/>
  <c r="DK46" i="7"/>
  <c r="DB46" i="7"/>
  <c r="DF46" i="7"/>
  <c r="DG46" i="7"/>
  <c r="DH46" i="7"/>
  <c r="DI46" i="7"/>
  <c r="DR46" i="7"/>
  <c r="DU46" i="7"/>
  <c r="DW46" i="7"/>
  <c r="DT46" i="7"/>
  <c r="DV46" i="7"/>
  <c r="CN46" i="7"/>
  <c r="CO46" i="7"/>
  <c r="CU46" i="7"/>
  <c r="CZ46" i="7"/>
  <c r="DQ46" i="7"/>
  <c r="DS46" i="7"/>
  <c r="CQ46" i="7"/>
  <c r="DM46" i="7"/>
  <c r="CL68" i="7"/>
  <c r="CR68" i="7"/>
  <c r="DN68" i="7"/>
  <c r="CS68" i="7"/>
  <c r="DO68" i="7"/>
  <c r="CN68" i="7"/>
  <c r="DL68" i="7"/>
  <c r="CO68" i="7"/>
  <c r="DM68" i="7"/>
  <c r="CP68" i="7"/>
  <c r="DP68" i="7"/>
  <c r="CQ68" i="7"/>
  <c r="DQ68" i="7"/>
  <c r="DC68" i="7"/>
  <c r="DD68" i="7"/>
  <c r="DE68" i="7"/>
  <c r="DF68" i="7"/>
  <c r="DG68" i="7"/>
  <c r="DS68" i="7"/>
  <c r="DA68" i="7"/>
  <c r="DB68" i="7"/>
  <c r="DH68" i="7"/>
  <c r="DI68" i="7"/>
  <c r="DJ68" i="7"/>
  <c r="DR68" i="7"/>
  <c r="DU68" i="7"/>
  <c r="DV68" i="7"/>
  <c r="DW68" i="7"/>
  <c r="CW68" i="7"/>
  <c r="CX68" i="7"/>
  <c r="CY68" i="7"/>
  <c r="CZ68" i="7"/>
  <c r="DK68" i="7"/>
  <c r="DT68" i="7"/>
  <c r="CT68" i="7"/>
  <c r="CU68" i="7"/>
  <c r="CV68" i="7"/>
  <c r="BZ90" i="7"/>
  <c r="DA90" i="7"/>
  <c r="DW90" i="7"/>
  <c r="CV90" i="7"/>
  <c r="DS90" i="7"/>
  <c r="CW90" i="7"/>
  <c r="DT90" i="7"/>
  <c r="CX90" i="7"/>
  <c r="DU90" i="7"/>
  <c r="CY90" i="7"/>
  <c r="DV90" i="7"/>
  <c r="CO90" i="7"/>
  <c r="DP90" i="7"/>
  <c r="CP90" i="7"/>
  <c r="DQ90" i="7"/>
  <c r="CQ90" i="7"/>
  <c r="DR90" i="7"/>
  <c r="CR90" i="7"/>
  <c r="CS90" i="7"/>
  <c r="DC90" i="7"/>
  <c r="DB90" i="7"/>
  <c r="DD90" i="7"/>
  <c r="DE90" i="7"/>
  <c r="DF90" i="7"/>
  <c r="DG90" i="7"/>
  <c r="DI90" i="7"/>
  <c r="DK90" i="7"/>
  <c r="DM90" i="7"/>
  <c r="DN90" i="7"/>
  <c r="CN90" i="7"/>
  <c r="CT90" i="7"/>
  <c r="CU90" i="7"/>
  <c r="CZ90" i="7"/>
  <c r="DH90" i="7"/>
  <c r="DL90" i="7"/>
  <c r="DJ90" i="7"/>
  <c r="DO90" i="7"/>
  <c r="DA112" i="7"/>
  <c r="DW112" i="7"/>
  <c r="CN112" i="7"/>
  <c r="DK112" i="7"/>
  <c r="DH112" i="7"/>
  <c r="DJ112" i="7"/>
  <c r="CO112" i="7"/>
  <c r="DM112" i="7"/>
  <c r="CT112" i="7"/>
  <c r="DR112" i="7"/>
  <c r="DN112" i="7"/>
  <c r="DO112" i="7"/>
  <c r="DP112" i="7"/>
  <c r="DQ112" i="7"/>
  <c r="CP112" i="7"/>
  <c r="DS112" i="7"/>
  <c r="CR112" i="7"/>
  <c r="DU112" i="7"/>
  <c r="CW112" i="7"/>
  <c r="CX112" i="7"/>
  <c r="DI112" i="7"/>
  <c r="DL112" i="7"/>
  <c r="DT112" i="7"/>
  <c r="CS112" i="7"/>
  <c r="CU112" i="7"/>
  <c r="CY112" i="7"/>
  <c r="DB112" i="7"/>
  <c r="CQ112" i="7"/>
  <c r="CV112" i="7"/>
  <c r="CZ112" i="7"/>
  <c r="DC112" i="7"/>
  <c r="DE112" i="7"/>
  <c r="DF112" i="7"/>
  <c r="DV112" i="7"/>
  <c r="DB134" i="7"/>
  <c r="CO134" i="7"/>
  <c r="DL134" i="7"/>
  <c r="DE134" i="7"/>
  <c r="DF134" i="7"/>
  <c r="DG134" i="7"/>
  <c r="DI134" i="7"/>
  <c r="CR134" i="7"/>
  <c r="DP134" i="7"/>
  <c r="DD134" i="7"/>
  <c r="DH134" i="7"/>
  <c r="DJ134" i="7"/>
  <c r="DK134" i="7"/>
  <c r="DM134" i="7"/>
  <c r="DN134" i="7"/>
  <c r="DO134" i="7"/>
  <c r="DR134" i="7"/>
  <c r="DU134" i="7"/>
  <c r="DW134" i="7"/>
  <c r="CN134" i="7"/>
  <c r="CQ134" i="7"/>
  <c r="CS134" i="7"/>
  <c r="DQ134" i="7"/>
  <c r="DS134" i="7"/>
  <c r="DT134" i="7"/>
  <c r="DV134" i="7"/>
  <c r="CP134" i="7"/>
  <c r="CT134" i="7"/>
  <c r="CU134" i="7"/>
  <c r="CV134" i="7"/>
  <c r="CC156" i="7"/>
  <c r="DD156" i="7"/>
  <c r="CN156" i="7"/>
  <c r="DK156" i="7"/>
  <c r="CO156" i="7"/>
  <c r="CP156" i="7"/>
  <c r="DM156" i="7"/>
  <c r="CR156" i="7"/>
  <c r="DO156" i="7"/>
  <c r="CS156" i="7"/>
  <c r="DS156" i="7"/>
  <c r="CT156" i="7"/>
  <c r="DT156" i="7"/>
  <c r="CU156" i="7"/>
  <c r="DU156" i="7"/>
  <c r="DN156" i="7"/>
  <c r="DP156" i="7"/>
  <c r="DR156" i="7"/>
  <c r="CW156" i="7"/>
  <c r="DC156" i="7"/>
  <c r="DE156" i="7"/>
  <c r="DF156" i="7"/>
  <c r="DG156" i="7"/>
  <c r="DI156" i="7"/>
  <c r="DL156" i="7"/>
  <c r="DQ156" i="7"/>
  <c r="CQ156" i="7"/>
  <c r="CV156" i="7"/>
  <c r="CX156" i="7"/>
  <c r="CY156" i="7"/>
  <c r="CZ156" i="7"/>
  <c r="DH156" i="7"/>
  <c r="DJ156" i="7"/>
  <c r="DV156" i="7"/>
  <c r="DW156" i="7"/>
  <c r="DB156" i="7"/>
  <c r="CQ178" i="7"/>
  <c r="DM178" i="7"/>
  <c r="DF178" i="7"/>
  <c r="DG178" i="7"/>
  <c r="DH178" i="7"/>
  <c r="DJ178" i="7"/>
  <c r="DK178" i="7"/>
  <c r="DN178" i="7"/>
  <c r="CN178" i="7"/>
  <c r="DR178" i="7"/>
  <c r="CO178" i="7"/>
  <c r="DS178" i="7"/>
  <c r="CR178" i="7"/>
  <c r="DU178" i="7"/>
  <c r="CT178" i="7"/>
  <c r="DW178" i="7"/>
  <c r="CV178" i="7"/>
  <c r="CW178" i="7"/>
  <c r="CP178" i="7"/>
  <c r="CS178" i="7"/>
  <c r="CU178" i="7"/>
  <c r="CX178" i="7"/>
  <c r="CY178" i="7"/>
  <c r="DQ178" i="7"/>
  <c r="DT178" i="7"/>
  <c r="DV178" i="7"/>
  <c r="CZ178" i="7"/>
  <c r="DA178" i="7"/>
  <c r="DB178" i="7"/>
  <c r="DC178" i="7"/>
  <c r="DD178" i="7"/>
  <c r="DE178" i="7"/>
  <c r="DL178" i="7"/>
  <c r="DO178" i="7"/>
  <c r="DP178" i="7"/>
  <c r="CI200" i="7"/>
  <c r="CQ200" i="7"/>
  <c r="DM200" i="7"/>
  <c r="CX200" i="7"/>
  <c r="DU200" i="7"/>
  <c r="CZ200" i="7"/>
  <c r="DW200" i="7"/>
  <c r="DG200" i="7"/>
  <c r="DH200" i="7"/>
  <c r="DJ200" i="7"/>
  <c r="CN200" i="7"/>
  <c r="DQ200" i="7"/>
  <c r="CO200" i="7"/>
  <c r="DR200" i="7"/>
  <c r="CR200" i="7"/>
  <c r="DT200" i="7"/>
  <c r="DE200" i="7"/>
  <c r="DF200" i="7"/>
  <c r="DI200" i="7"/>
  <c r="DK200" i="7"/>
  <c r="DL200" i="7"/>
  <c r="CT200" i="7"/>
  <c r="CU200" i="7"/>
  <c r="CV200" i="7"/>
  <c r="CW200" i="7"/>
  <c r="CP200" i="7"/>
  <c r="CS200" i="7"/>
  <c r="CY200" i="7"/>
  <c r="DA200" i="7"/>
  <c r="DB200" i="7"/>
  <c r="DC200" i="7"/>
  <c r="DO200" i="7"/>
  <c r="DP200" i="7"/>
  <c r="DS200" i="7"/>
  <c r="BX222" i="7"/>
  <c r="CQ222" i="7"/>
  <c r="DM222" i="7"/>
  <c r="CT222" i="7"/>
  <c r="DQ222" i="7"/>
  <c r="DE222" i="7"/>
  <c r="DF222" i="7"/>
  <c r="DH222" i="7"/>
  <c r="CV222" i="7"/>
  <c r="DW222" i="7"/>
  <c r="CW222" i="7"/>
  <c r="CX222" i="7"/>
  <c r="CY222" i="7"/>
  <c r="CO222" i="7"/>
  <c r="DV222" i="7"/>
  <c r="CP222" i="7"/>
  <c r="CR222" i="7"/>
  <c r="CS222" i="7"/>
  <c r="CU222" i="7"/>
  <c r="DD222" i="7"/>
  <c r="DG222" i="7"/>
  <c r="DI222" i="7"/>
  <c r="DP222" i="7"/>
  <c r="DR222" i="7"/>
  <c r="DS222" i="7"/>
  <c r="DT222" i="7"/>
  <c r="DU222" i="7"/>
  <c r="CQ244" i="7"/>
  <c r="DM244" i="7"/>
  <c r="DA244" i="7"/>
  <c r="DB244" i="7"/>
  <c r="DD244" i="7"/>
  <c r="CV244" i="7"/>
  <c r="DV244" i="7"/>
  <c r="CW244" i="7"/>
  <c r="DW244" i="7"/>
  <c r="CX244" i="7"/>
  <c r="CZ244" i="7"/>
  <c r="DH244" i="7"/>
  <c r="DI244" i="7"/>
  <c r="DL244" i="7"/>
  <c r="DN244" i="7"/>
  <c r="DO244" i="7"/>
  <c r="DP244" i="7"/>
  <c r="DR244" i="7"/>
  <c r="DS244" i="7"/>
  <c r="BR266" i="7"/>
  <c r="CO266" i="7"/>
  <c r="DK266" i="7"/>
  <c r="CP266" i="7"/>
  <c r="DL266" i="7"/>
  <c r="CR266" i="7"/>
  <c r="DN266" i="7"/>
  <c r="DD266" i="7"/>
  <c r="DE266" i="7"/>
  <c r="DF266" i="7"/>
  <c r="DH266" i="7"/>
  <c r="CN266" i="7"/>
  <c r="DP266" i="7"/>
  <c r="DG266" i="7"/>
  <c r="DI266" i="7"/>
  <c r="DJ266" i="7"/>
  <c r="DM266" i="7"/>
  <c r="DQ266" i="7"/>
  <c r="DR266" i="7"/>
  <c r="DA271" i="7"/>
  <c r="CP269" i="7"/>
  <c r="DV266" i="7"/>
  <c r="DT250" i="7"/>
  <c r="DA249" i="7"/>
  <c r="CN244" i="7"/>
  <c r="DA227" i="7"/>
  <c r="CR225" i="7"/>
  <c r="DL222" i="7"/>
  <c r="CT203" i="7"/>
  <c r="DD112" i="7"/>
  <c r="CJ45" i="7"/>
  <c r="DD45" i="7"/>
  <c r="DF45" i="7"/>
  <c r="DG45" i="7"/>
  <c r="DH45" i="7"/>
  <c r="DM45" i="7"/>
  <c r="CN45" i="7"/>
  <c r="DN45" i="7"/>
  <c r="CO45" i="7"/>
  <c r="DO45" i="7"/>
  <c r="CY45" i="7"/>
  <c r="CZ45" i="7"/>
  <c r="DA45" i="7"/>
  <c r="DB45" i="7"/>
  <c r="DC45" i="7"/>
  <c r="DE45" i="7"/>
  <c r="DQ45" i="7"/>
  <c r="DR45" i="7"/>
  <c r="CR45" i="7"/>
  <c r="CS45" i="7"/>
  <c r="CT45" i="7"/>
  <c r="CU45" i="7"/>
  <c r="CV45" i="7"/>
  <c r="DI45" i="7"/>
  <c r="DL45" i="7"/>
  <c r="CP45" i="7"/>
  <c r="CQ45" i="7"/>
  <c r="CW45" i="7"/>
  <c r="CX45" i="7"/>
  <c r="DJ45" i="7"/>
  <c r="DK45" i="7"/>
  <c r="DP45" i="7"/>
  <c r="DT45" i="7"/>
  <c r="DU45" i="7"/>
  <c r="DV45" i="7"/>
  <c r="DS45" i="7"/>
  <c r="DW45" i="7"/>
  <c r="CC67" i="7"/>
  <c r="DF67" i="7"/>
  <c r="DG67" i="7"/>
  <c r="CZ67" i="7"/>
  <c r="DA67" i="7"/>
  <c r="DB67" i="7"/>
  <c r="DC67" i="7"/>
  <c r="DK67" i="7"/>
  <c r="DL67" i="7"/>
  <c r="DM67" i="7"/>
  <c r="DN67" i="7"/>
  <c r="DO67" i="7"/>
  <c r="CS67" i="7"/>
  <c r="DU67" i="7"/>
  <c r="CW67" i="7"/>
  <c r="CX67" i="7"/>
  <c r="CY67" i="7"/>
  <c r="DD67" i="7"/>
  <c r="DE67" i="7"/>
  <c r="DI67" i="7"/>
  <c r="DP67" i="7"/>
  <c r="DQ67" i="7"/>
  <c r="DR67" i="7"/>
  <c r="CN67" i="7"/>
  <c r="CO67" i="7"/>
  <c r="CQ67" i="7"/>
  <c r="CT67" i="7"/>
  <c r="CU67" i="7"/>
  <c r="DW67" i="7"/>
  <c r="DJ67" i="7"/>
  <c r="DS67" i="7"/>
  <c r="DT67" i="7"/>
  <c r="DV67" i="7"/>
  <c r="CP67" i="7"/>
  <c r="CR67" i="7"/>
  <c r="CV67" i="7"/>
  <c r="DH67" i="7"/>
  <c r="CJ89" i="7"/>
  <c r="CS89" i="7"/>
  <c r="DO89" i="7"/>
  <c r="DI89" i="7"/>
  <c r="DJ89" i="7"/>
  <c r="CN89" i="7"/>
  <c r="DK89" i="7"/>
  <c r="CO89" i="7"/>
  <c r="DL89" i="7"/>
  <c r="CX89" i="7"/>
  <c r="CY89" i="7"/>
  <c r="CZ89" i="7"/>
  <c r="DA89" i="7"/>
  <c r="DB89" i="7"/>
  <c r="DG89" i="7"/>
  <c r="CU89" i="7"/>
  <c r="CV89" i="7"/>
  <c r="CW89" i="7"/>
  <c r="DC89" i="7"/>
  <c r="DD89" i="7"/>
  <c r="DF89" i="7"/>
  <c r="DM89" i="7"/>
  <c r="DP89" i="7"/>
  <c r="DQ89" i="7"/>
  <c r="DT89" i="7"/>
  <c r="DU89" i="7"/>
  <c r="DV89" i="7"/>
  <c r="DW89" i="7"/>
  <c r="DN89" i="7"/>
  <c r="DR89" i="7"/>
  <c r="DS89" i="7"/>
  <c r="CT89" i="7"/>
  <c r="DE89" i="7"/>
  <c r="DH89" i="7"/>
  <c r="CR89" i="7"/>
  <c r="CP89" i="7"/>
  <c r="CQ89" i="7"/>
  <c r="CS111" i="7"/>
  <c r="DO111" i="7"/>
  <c r="DA111" i="7"/>
  <c r="CV111" i="7"/>
  <c r="DT111" i="7"/>
  <c r="CX111" i="7"/>
  <c r="DV111" i="7"/>
  <c r="CZ111" i="7"/>
  <c r="DF111" i="7"/>
  <c r="CO111" i="7"/>
  <c r="DR111" i="7"/>
  <c r="CP111" i="7"/>
  <c r="DS111" i="7"/>
  <c r="CQ111" i="7"/>
  <c r="DU111" i="7"/>
  <c r="CR111" i="7"/>
  <c r="DW111" i="7"/>
  <c r="CT111" i="7"/>
  <c r="CW111" i="7"/>
  <c r="DD111" i="7"/>
  <c r="DE111" i="7"/>
  <c r="DG111" i="7"/>
  <c r="DH111" i="7"/>
  <c r="DI111" i="7"/>
  <c r="DM111" i="7"/>
  <c r="DN111" i="7"/>
  <c r="DP111" i="7"/>
  <c r="DQ111" i="7"/>
  <c r="DK111" i="7"/>
  <c r="DL111" i="7"/>
  <c r="CN111" i="7"/>
  <c r="CU111" i="7"/>
  <c r="CY111" i="7"/>
  <c r="DB111" i="7"/>
  <c r="CA133" i="7"/>
  <c r="CS133" i="7"/>
  <c r="DO133" i="7"/>
  <c r="CR133" i="7"/>
  <c r="DP133" i="7"/>
  <c r="DA133" i="7"/>
  <c r="CP133" i="7"/>
  <c r="DQ133" i="7"/>
  <c r="CQ133" i="7"/>
  <c r="DR133" i="7"/>
  <c r="CT133" i="7"/>
  <c r="DS133" i="7"/>
  <c r="CV133" i="7"/>
  <c r="DU133" i="7"/>
  <c r="DC133" i="7"/>
  <c r="DI133" i="7"/>
  <c r="DJ133" i="7"/>
  <c r="DK133" i="7"/>
  <c r="DF133" i="7"/>
  <c r="DG133" i="7"/>
  <c r="DH133" i="7"/>
  <c r="DL133" i="7"/>
  <c r="DN133" i="7"/>
  <c r="DW133" i="7"/>
  <c r="DD133" i="7"/>
  <c r="DE133" i="7"/>
  <c r="DM133" i="7"/>
  <c r="DT133" i="7"/>
  <c r="DV133" i="7"/>
  <c r="CN133" i="7"/>
  <c r="CO133" i="7"/>
  <c r="CU133" i="7"/>
  <c r="CY133" i="7"/>
  <c r="CW133" i="7"/>
  <c r="CX133" i="7"/>
  <c r="CZ133" i="7"/>
  <c r="DB133" i="7"/>
  <c r="CV155" i="7"/>
  <c r="DR155" i="7"/>
  <c r="DA155" i="7"/>
  <c r="DB155" i="7"/>
  <c r="DC155" i="7"/>
  <c r="DE155" i="7"/>
  <c r="CX155" i="7"/>
  <c r="CY155" i="7"/>
  <c r="CZ155" i="7"/>
  <c r="DQ155" i="7"/>
  <c r="CN155" i="7"/>
  <c r="DS155" i="7"/>
  <c r="CP155" i="7"/>
  <c r="DU155" i="7"/>
  <c r="CU155" i="7"/>
  <c r="DD155" i="7"/>
  <c r="DF155" i="7"/>
  <c r="DG155" i="7"/>
  <c r="DH155" i="7"/>
  <c r="DJ155" i="7"/>
  <c r="DL155" i="7"/>
  <c r="DM155" i="7"/>
  <c r="DV155" i="7"/>
  <c r="DW155" i="7"/>
  <c r="DN155" i="7"/>
  <c r="DO155" i="7"/>
  <c r="DP155" i="7"/>
  <c r="DT155" i="7"/>
  <c r="CO155" i="7"/>
  <c r="CQ155" i="7"/>
  <c r="CR155" i="7"/>
  <c r="CS155" i="7"/>
  <c r="CT155" i="7"/>
  <c r="CW155" i="7"/>
  <c r="DI155" i="7"/>
  <c r="DK155" i="7"/>
  <c r="BP177" i="7"/>
  <c r="DE177" i="7"/>
  <c r="CV177" i="7"/>
  <c r="DS177" i="7"/>
  <c r="CW177" i="7"/>
  <c r="DT177" i="7"/>
  <c r="CX177" i="7"/>
  <c r="DU177" i="7"/>
  <c r="CQ177" i="7"/>
  <c r="DQ177" i="7"/>
  <c r="CR177" i="7"/>
  <c r="DR177" i="7"/>
  <c r="CT177" i="7"/>
  <c r="DW177" i="7"/>
  <c r="CO177" i="7"/>
  <c r="CP177" i="7"/>
  <c r="CU177" i="7"/>
  <c r="CZ177" i="7"/>
  <c r="DB177" i="7"/>
  <c r="DC177" i="7"/>
  <c r="DF177" i="7"/>
  <c r="DG177" i="7"/>
  <c r="DH177" i="7"/>
  <c r="DI177" i="7"/>
  <c r="DJ177" i="7"/>
  <c r="DK177" i="7"/>
  <c r="DN177" i="7"/>
  <c r="DO177" i="7"/>
  <c r="DP177" i="7"/>
  <c r="DV177" i="7"/>
  <c r="DL177" i="7"/>
  <c r="DM177" i="7"/>
  <c r="DE199" i="7"/>
  <c r="CN199" i="7"/>
  <c r="DK199" i="7"/>
  <c r="CP199" i="7"/>
  <c r="DM199" i="7"/>
  <c r="CS199" i="7"/>
  <c r="DR199" i="7"/>
  <c r="CT199" i="7"/>
  <c r="DS199" i="7"/>
  <c r="CV199" i="7"/>
  <c r="DU199" i="7"/>
  <c r="CU199" i="7"/>
  <c r="CW199" i="7"/>
  <c r="CY199" i="7"/>
  <c r="DH199" i="7"/>
  <c r="DI199" i="7"/>
  <c r="DJ199" i="7"/>
  <c r="DL199" i="7"/>
  <c r="DN199" i="7"/>
  <c r="DO199" i="7"/>
  <c r="DP199" i="7"/>
  <c r="DQ199" i="7"/>
  <c r="DT199" i="7"/>
  <c r="DV199" i="7"/>
  <c r="CO199" i="7"/>
  <c r="DW199" i="7"/>
  <c r="BV221" i="7"/>
  <c r="DE221" i="7"/>
  <c r="DG221" i="7"/>
  <c r="CS221" i="7"/>
  <c r="DQ221" i="7"/>
  <c r="CT221" i="7"/>
  <c r="DR221" i="7"/>
  <c r="CV221" i="7"/>
  <c r="DT221" i="7"/>
  <c r="DC221" i="7"/>
  <c r="DD221" i="7"/>
  <c r="DF221" i="7"/>
  <c r="DH221" i="7"/>
  <c r="CQ221" i="7"/>
  <c r="CR221" i="7"/>
  <c r="CU221" i="7"/>
  <c r="CW221" i="7"/>
  <c r="CX221" i="7"/>
  <c r="DI221" i="7"/>
  <c r="DJ221" i="7"/>
  <c r="DK221" i="7"/>
  <c r="CZ221" i="7"/>
  <c r="DA221" i="7"/>
  <c r="DB221" i="7"/>
  <c r="DL221" i="7"/>
  <c r="DM221" i="7"/>
  <c r="DN221" i="7"/>
  <c r="DO221" i="7"/>
  <c r="DV221" i="7"/>
  <c r="CC243" i="7"/>
  <c r="DE243" i="7"/>
  <c r="CQ243" i="7"/>
  <c r="DN243" i="7"/>
  <c r="CR243" i="7"/>
  <c r="DO243" i="7"/>
  <c r="CT243" i="7"/>
  <c r="DQ243" i="7"/>
  <c r="DF243" i="7"/>
  <c r="DG243" i="7"/>
  <c r="DH243" i="7"/>
  <c r="DJ243" i="7"/>
  <c r="CO243" i="7"/>
  <c r="DR243" i="7"/>
  <c r="CP243" i="7"/>
  <c r="DS243" i="7"/>
  <c r="DK243" i="7"/>
  <c r="DL243" i="7"/>
  <c r="DM243" i="7"/>
  <c r="DP243" i="7"/>
  <c r="DU243" i="7"/>
  <c r="DV243" i="7"/>
  <c r="BQ265" i="7"/>
  <c r="DC265" i="7"/>
  <c r="DD265" i="7"/>
  <c r="DF265" i="7"/>
  <c r="CP265" i="7"/>
  <c r="DO265" i="7"/>
  <c r="CQ265" i="7"/>
  <c r="DP265" i="7"/>
  <c r="CR265" i="7"/>
  <c r="DQ265" i="7"/>
  <c r="CT265" i="7"/>
  <c r="DS265" i="7"/>
  <c r="CY265" i="7"/>
  <c r="DJ265" i="7"/>
  <c r="DK265" i="7"/>
  <c r="DL265" i="7"/>
  <c r="DM265" i="7"/>
  <c r="DR265" i="7"/>
  <c r="DT265" i="7"/>
  <c r="DI265" i="7"/>
  <c r="DD199" i="7"/>
  <c r="CX25" i="7"/>
  <c r="DT25" i="7"/>
  <c r="CZ25" i="7"/>
  <c r="DV25" i="7"/>
  <c r="DA25" i="7"/>
  <c r="DW25" i="7"/>
  <c r="DB25" i="7"/>
  <c r="DH25" i="7"/>
  <c r="DJ25" i="7"/>
  <c r="DK25" i="7"/>
  <c r="DL25" i="7"/>
  <c r="DM25" i="7"/>
  <c r="DN25" i="7"/>
  <c r="CO25" i="7"/>
  <c r="DP25" i="7"/>
  <c r="DI25" i="7"/>
  <c r="DO25" i="7"/>
  <c r="DQ25" i="7"/>
  <c r="DR25" i="7"/>
  <c r="DS25" i="7"/>
  <c r="DU25" i="7"/>
  <c r="CR25" i="7"/>
  <c r="CS25" i="7"/>
  <c r="CT25" i="7"/>
  <c r="DF25" i="7"/>
  <c r="DG25" i="7"/>
  <c r="CQ25" i="7"/>
  <c r="CU25" i="7"/>
  <c r="CV25" i="7"/>
  <c r="CW25" i="7"/>
  <c r="CY25" i="7"/>
  <c r="DC25" i="7"/>
  <c r="DD25" i="7"/>
  <c r="CN25" i="7"/>
  <c r="CP25" i="7"/>
  <c r="DE25" i="7"/>
  <c r="CM47" i="7"/>
  <c r="CX47" i="7"/>
  <c r="DT47" i="7"/>
  <c r="CZ47" i="7"/>
  <c r="DV47" i="7"/>
  <c r="DA47" i="7"/>
  <c r="DW47" i="7"/>
  <c r="DB47" i="7"/>
  <c r="CS47" i="7"/>
  <c r="DS47" i="7"/>
  <c r="CT47" i="7"/>
  <c r="DU47" i="7"/>
  <c r="CU47" i="7"/>
  <c r="CO47" i="7"/>
  <c r="DR47" i="7"/>
  <c r="CP47" i="7"/>
  <c r="CQ47" i="7"/>
  <c r="CR47" i="7"/>
  <c r="CW47" i="7"/>
  <c r="DG47" i="7"/>
  <c r="DH47" i="7"/>
  <c r="DK47" i="7"/>
  <c r="DL47" i="7"/>
  <c r="DM47" i="7"/>
  <c r="DN47" i="7"/>
  <c r="DO47" i="7"/>
  <c r="CN47" i="7"/>
  <c r="CV47" i="7"/>
  <c r="CY47" i="7"/>
  <c r="DC47" i="7"/>
  <c r="DD47" i="7"/>
  <c r="DE47" i="7"/>
  <c r="DI47" i="7"/>
  <c r="DJ47" i="7"/>
  <c r="DP47" i="7"/>
  <c r="DF47" i="7"/>
  <c r="DQ47" i="7"/>
  <c r="BZ69" i="7"/>
  <c r="CZ69" i="7"/>
  <c r="DV69" i="7"/>
  <c r="DA69" i="7"/>
  <c r="DW69" i="7"/>
  <c r="DB69" i="7"/>
  <c r="DC69" i="7"/>
  <c r="DD69" i="7"/>
  <c r="DE69" i="7"/>
  <c r="CU69" i="7"/>
  <c r="CV69" i="7"/>
  <c r="CW69" i="7"/>
  <c r="CX69" i="7"/>
  <c r="CY69" i="7"/>
  <c r="DK69" i="7"/>
  <c r="DJ69" i="7"/>
  <c r="DL69" i="7"/>
  <c r="DM69" i="7"/>
  <c r="DN69" i="7"/>
  <c r="DO69" i="7"/>
  <c r="DQ69" i="7"/>
  <c r="DS69" i="7"/>
  <c r="DT69" i="7"/>
  <c r="DU69" i="7"/>
  <c r="CN69" i="7"/>
  <c r="CP69" i="7"/>
  <c r="CR69" i="7"/>
  <c r="CS69" i="7"/>
  <c r="CO69" i="7"/>
  <c r="CQ69" i="7"/>
  <c r="CT69" i="7"/>
  <c r="DF69" i="7"/>
  <c r="DH69" i="7"/>
  <c r="DP69" i="7"/>
  <c r="DR69" i="7"/>
  <c r="DI69" i="7"/>
  <c r="DG69" i="7"/>
  <c r="CE91" i="7"/>
  <c r="DI91" i="7"/>
  <c r="DF91" i="7"/>
  <c r="DG91" i="7"/>
  <c r="DH91" i="7"/>
  <c r="DJ91" i="7"/>
  <c r="DL91" i="7"/>
  <c r="DM91" i="7"/>
  <c r="DN91" i="7"/>
  <c r="CN91" i="7"/>
  <c r="DO91" i="7"/>
  <c r="CO91" i="7"/>
  <c r="DP91" i="7"/>
  <c r="CT91" i="7"/>
  <c r="DU91" i="7"/>
  <c r="CZ91" i="7"/>
  <c r="DA91" i="7"/>
  <c r="DB91" i="7"/>
  <c r="DC91" i="7"/>
  <c r="DD91" i="7"/>
  <c r="DK91" i="7"/>
  <c r="DR91" i="7"/>
  <c r="DT91" i="7"/>
  <c r="DV91" i="7"/>
  <c r="DQ91" i="7"/>
  <c r="DS91" i="7"/>
  <c r="DW91" i="7"/>
  <c r="CP91" i="7"/>
  <c r="CQ91" i="7"/>
  <c r="CS91" i="7"/>
  <c r="CU91" i="7"/>
  <c r="CR91" i="7"/>
  <c r="CV91" i="7"/>
  <c r="CX91" i="7"/>
  <c r="CY91" i="7"/>
  <c r="DE91" i="7"/>
  <c r="BY113" i="7"/>
  <c r="DI113" i="7"/>
  <c r="CX113" i="7"/>
  <c r="DU113" i="7"/>
  <c r="CV113" i="7"/>
  <c r="DT113" i="7"/>
  <c r="CY113" i="7"/>
  <c r="DW113" i="7"/>
  <c r="DA113" i="7"/>
  <c r="DF113" i="7"/>
  <c r="DG113" i="7"/>
  <c r="DH113" i="7"/>
  <c r="DJ113" i="7"/>
  <c r="DK113" i="7"/>
  <c r="DL113" i="7"/>
  <c r="DN113" i="7"/>
  <c r="CP113" i="7"/>
  <c r="DR113" i="7"/>
  <c r="CQ113" i="7"/>
  <c r="DS113" i="7"/>
  <c r="CU113" i="7"/>
  <c r="CW113" i="7"/>
  <c r="CZ113" i="7"/>
  <c r="DB113" i="7"/>
  <c r="DD113" i="7"/>
  <c r="DE113" i="7"/>
  <c r="DO113" i="7"/>
  <c r="DQ113" i="7"/>
  <c r="CN113" i="7"/>
  <c r="CO113" i="7"/>
  <c r="CR113" i="7"/>
  <c r="CS113" i="7"/>
  <c r="CT113" i="7"/>
  <c r="DC113" i="7"/>
  <c r="DV113" i="7"/>
  <c r="DM113" i="7"/>
  <c r="DP113" i="7"/>
  <c r="CN135" i="7"/>
  <c r="DJ135" i="7"/>
  <c r="CY135" i="7"/>
  <c r="DV135" i="7"/>
  <c r="CS135" i="7"/>
  <c r="DQ135" i="7"/>
  <c r="CT135" i="7"/>
  <c r="DR135" i="7"/>
  <c r="CU135" i="7"/>
  <c r="DS135" i="7"/>
  <c r="CW135" i="7"/>
  <c r="DU135" i="7"/>
  <c r="DD135" i="7"/>
  <c r="DB135" i="7"/>
  <c r="DC135" i="7"/>
  <c r="DE135" i="7"/>
  <c r="DI135" i="7"/>
  <c r="DK135" i="7"/>
  <c r="DL135" i="7"/>
  <c r="DM135" i="7"/>
  <c r="DO135" i="7"/>
  <c r="DW135" i="7"/>
  <c r="CO135" i="7"/>
  <c r="CP135" i="7"/>
  <c r="CQ135" i="7"/>
  <c r="CR135" i="7"/>
  <c r="CV135" i="7"/>
  <c r="CZ135" i="7"/>
  <c r="DA135" i="7"/>
  <c r="CX135" i="7"/>
  <c r="DF135" i="7"/>
  <c r="DG135" i="7"/>
  <c r="DP135" i="7"/>
  <c r="CM157" i="7"/>
  <c r="CP157" i="7"/>
  <c r="DL157" i="7"/>
  <c r="CX157" i="7"/>
  <c r="DU157" i="7"/>
  <c r="CZ157" i="7"/>
  <c r="DW157" i="7"/>
  <c r="DB157" i="7"/>
  <c r="DI157" i="7"/>
  <c r="DJ157" i="7"/>
  <c r="DK157" i="7"/>
  <c r="DH157" i="7"/>
  <c r="DM157" i="7"/>
  <c r="DO157" i="7"/>
  <c r="CQ157" i="7"/>
  <c r="DT157" i="7"/>
  <c r="DD157" i="7"/>
  <c r="DE157" i="7"/>
  <c r="DF157" i="7"/>
  <c r="DG157" i="7"/>
  <c r="DP157" i="7"/>
  <c r="DR157" i="7"/>
  <c r="DS157" i="7"/>
  <c r="DA157" i="7"/>
  <c r="DC157" i="7"/>
  <c r="DN157" i="7"/>
  <c r="DQ157" i="7"/>
  <c r="DV157" i="7"/>
  <c r="CN157" i="7"/>
  <c r="CO157" i="7"/>
  <c r="CH179" i="7"/>
  <c r="CY179" i="7"/>
  <c r="DU179" i="7"/>
  <c r="CS179" i="7"/>
  <c r="DP179" i="7"/>
  <c r="CT179" i="7"/>
  <c r="DQ179" i="7"/>
  <c r="CU179" i="7"/>
  <c r="DR179" i="7"/>
  <c r="DA179" i="7"/>
  <c r="DB179" i="7"/>
  <c r="DD179" i="7"/>
  <c r="DK179" i="7"/>
  <c r="DL179" i="7"/>
  <c r="DN179" i="7"/>
  <c r="DS179" i="7"/>
  <c r="CO179" i="7"/>
  <c r="DV179" i="7"/>
  <c r="CP179" i="7"/>
  <c r="DW179" i="7"/>
  <c r="CW179" i="7"/>
  <c r="CX179" i="7"/>
  <c r="CZ179" i="7"/>
  <c r="DC179" i="7"/>
  <c r="DE179" i="7"/>
  <c r="CN179" i="7"/>
  <c r="CQ179" i="7"/>
  <c r="CR179" i="7"/>
  <c r="DG179" i="7"/>
  <c r="DH179" i="7"/>
  <c r="DI179" i="7"/>
  <c r="DJ179" i="7"/>
  <c r="BX201" i="7"/>
  <c r="CY201" i="7"/>
  <c r="DU201" i="7"/>
  <c r="DH201" i="7"/>
  <c r="DJ201" i="7"/>
  <c r="CV201" i="7"/>
  <c r="DV201" i="7"/>
  <c r="CW201" i="7"/>
  <c r="DW201" i="7"/>
  <c r="CZ201" i="7"/>
  <c r="DK201" i="7"/>
  <c r="DL201" i="7"/>
  <c r="DN201" i="7"/>
  <c r="DD201" i="7"/>
  <c r="DE201" i="7"/>
  <c r="DF201" i="7"/>
  <c r="DG201" i="7"/>
  <c r="DI201" i="7"/>
  <c r="CN201" i="7"/>
  <c r="CO201" i="7"/>
  <c r="CP201" i="7"/>
  <c r="CQ201" i="7"/>
  <c r="CR201" i="7"/>
  <c r="CX201" i="7"/>
  <c r="DA201" i="7"/>
  <c r="DB201" i="7"/>
  <c r="DC201" i="7"/>
  <c r="DT201" i="7"/>
  <c r="BP223" i="7"/>
  <c r="CY223" i="7"/>
  <c r="DU223" i="7"/>
  <c r="DD223" i="7"/>
  <c r="CS223" i="7"/>
  <c r="DQ223" i="7"/>
  <c r="CT223" i="7"/>
  <c r="DR223" i="7"/>
  <c r="CV223" i="7"/>
  <c r="DT223" i="7"/>
  <c r="DN223" i="7"/>
  <c r="CN223" i="7"/>
  <c r="DO223" i="7"/>
  <c r="CO223" i="7"/>
  <c r="DP223" i="7"/>
  <c r="CP223" i="7"/>
  <c r="DS223" i="7"/>
  <c r="CQ223" i="7"/>
  <c r="CR223" i="7"/>
  <c r="CU223" i="7"/>
  <c r="CW223" i="7"/>
  <c r="DC223" i="7"/>
  <c r="DE223" i="7"/>
  <c r="DF223" i="7"/>
  <c r="CX223" i="7"/>
  <c r="CZ223" i="7"/>
  <c r="DH223" i="7"/>
  <c r="BT245" i="7"/>
  <c r="CY245" i="7"/>
  <c r="DU245" i="7"/>
  <c r="CN245" i="7"/>
  <c r="DK245" i="7"/>
  <c r="CO245" i="7"/>
  <c r="DL245" i="7"/>
  <c r="CQ245" i="7"/>
  <c r="DN245" i="7"/>
  <c r="DO245" i="7"/>
  <c r="DP245" i="7"/>
  <c r="CP245" i="7"/>
  <c r="DQ245" i="7"/>
  <c r="CS245" i="7"/>
  <c r="DS245" i="7"/>
  <c r="CX245" i="7"/>
  <c r="CZ245" i="7"/>
  <c r="DI245" i="7"/>
  <c r="DJ245" i="7"/>
  <c r="DM245" i="7"/>
  <c r="DR245" i="7"/>
  <c r="DV245" i="7"/>
  <c r="DW245" i="7"/>
  <c r="CW267" i="7"/>
  <c r="DS267" i="7"/>
  <c r="CX267" i="7"/>
  <c r="DT267" i="7"/>
  <c r="CZ267" i="7"/>
  <c r="DV267" i="7"/>
  <c r="CS267" i="7"/>
  <c r="DR267" i="7"/>
  <c r="CT267" i="7"/>
  <c r="CU267" i="7"/>
  <c r="DW267" i="7"/>
  <c r="CY267" i="7"/>
  <c r="DE267" i="7"/>
  <c r="DF267" i="7"/>
  <c r="DG267" i="7"/>
  <c r="DI267" i="7"/>
  <c r="DK267" i="7"/>
  <c r="DL267" i="7"/>
  <c r="DQ9" i="7"/>
  <c r="CR9" i="7"/>
  <c r="CV276" i="7"/>
  <c r="DG274" i="7"/>
  <c r="DG273" i="7"/>
  <c r="DE272" i="7"/>
  <c r="CZ271" i="7"/>
  <c r="DU266" i="7"/>
  <c r="DG265" i="7"/>
  <c r="DU254" i="7"/>
  <c r="CU252" i="7"/>
  <c r="DL250" i="7"/>
  <c r="CZ249" i="7"/>
  <c r="CW245" i="7"/>
  <c r="DW243" i="7"/>
  <c r="DJ229" i="7"/>
  <c r="CS227" i="7"/>
  <c r="DK222" i="7"/>
  <c r="DB199" i="7"/>
  <c r="DV185" i="7"/>
  <c r="CT157" i="7"/>
  <c r="DJ111" i="7"/>
  <c r="DK78" i="7"/>
  <c r="CR27" i="7"/>
  <c r="DN27" i="7"/>
  <c r="CT27" i="7"/>
  <c r="DP27" i="7"/>
  <c r="CU27" i="7"/>
  <c r="DQ27" i="7"/>
  <c r="CV27" i="7"/>
  <c r="DR27" i="7"/>
  <c r="DB27" i="7"/>
  <c r="CS27" i="7"/>
  <c r="DW27" i="7"/>
  <c r="CW27" i="7"/>
  <c r="CX27" i="7"/>
  <c r="CY27" i="7"/>
  <c r="CZ27" i="7"/>
  <c r="DC27" i="7"/>
  <c r="DO27" i="7"/>
  <c r="DS27" i="7"/>
  <c r="DT27" i="7"/>
  <c r="DU27" i="7"/>
  <c r="DV27" i="7"/>
  <c r="CQ27" i="7"/>
  <c r="DA27" i="7"/>
  <c r="DD27" i="7"/>
  <c r="DJ27" i="7"/>
  <c r="DK27" i="7"/>
  <c r="DL27" i="7"/>
  <c r="DM27" i="7"/>
  <c r="CN27" i="7"/>
  <c r="CP27" i="7"/>
  <c r="DE27" i="7"/>
  <c r="CO27" i="7"/>
  <c r="DF27" i="7"/>
  <c r="DG27" i="7"/>
  <c r="DH27" i="7"/>
  <c r="DI27" i="7"/>
  <c r="BQ49" i="7"/>
  <c r="CR49" i="7"/>
  <c r="DN49" i="7"/>
  <c r="CT49" i="7"/>
  <c r="DP49" i="7"/>
  <c r="CU49" i="7"/>
  <c r="DQ49" i="7"/>
  <c r="CV49" i="7"/>
  <c r="DR49" i="7"/>
  <c r="DC49" i="7"/>
  <c r="DD49" i="7"/>
  <c r="DE49" i="7"/>
  <c r="DK49" i="7"/>
  <c r="DL49" i="7"/>
  <c r="DM49" i="7"/>
  <c r="DO49" i="7"/>
  <c r="DT49" i="7"/>
  <c r="CW49" i="7"/>
  <c r="CX49" i="7"/>
  <c r="CN49" i="7"/>
  <c r="CO49" i="7"/>
  <c r="CP49" i="7"/>
  <c r="CQ49" i="7"/>
  <c r="CZ49" i="7"/>
  <c r="DF49" i="7"/>
  <c r="CS49" i="7"/>
  <c r="CY49" i="7"/>
  <c r="DA49" i="7"/>
  <c r="DB49" i="7"/>
  <c r="DH49" i="7"/>
  <c r="DI49" i="7"/>
  <c r="DJ49" i="7"/>
  <c r="DG49" i="7"/>
  <c r="DS49" i="7"/>
  <c r="DU49" i="7"/>
  <c r="DV49" i="7"/>
  <c r="DW49" i="7"/>
  <c r="BT71" i="7"/>
  <c r="CU71" i="7"/>
  <c r="DQ71" i="7"/>
  <c r="DA71" i="7"/>
  <c r="DB71" i="7"/>
  <c r="DC71" i="7"/>
  <c r="DD71" i="7"/>
  <c r="DL71" i="7"/>
  <c r="DM71" i="7"/>
  <c r="DN71" i="7"/>
  <c r="CN71" i="7"/>
  <c r="DO71" i="7"/>
  <c r="CV71" i="7"/>
  <c r="DW71" i="7"/>
  <c r="DJ71" i="7"/>
  <c r="DK71" i="7"/>
  <c r="DP71" i="7"/>
  <c r="DR71" i="7"/>
  <c r="DS71" i="7"/>
  <c r="DU71" i="7"/>
  <c r="CP71" i="7"/>
  <c r="CQ71" i="7"/>
  <c r="CR71" i="7"/>
  <c r="DV71" i="7"/>
  <c r="CS71" i="7"/>
  <c r="CT71" i="7"/>
  <c r="DE71" i="7"/>
  <c r="DF71" i="7"/>
  <c r="DG71" i="7"/>
  <c r="DH71" i="7"/>
  <c r="DI71" i="7"/>
  <c r="CO71" i="7"/>
  <c r="CW71" i="7"/>
  <c r="CX71" i="7"/>
  <c r="CY71" i="7"/>
  <c r="CZ71" i="7"/>
  <c r="CE93" i="7"/>
  <c r="DC93" i="7"/>
  <c r="DD93" i="7"/>
  <c r="DE93" i="7"/>
  <c r="DF93" i="7"/>
  <c r="DG93" i="7"/>
  <c r="CT93" i="7"/>
  <c r="DU93" i="7"/>
  <c r="CU93" i="7"/>
  <c r="DV93" i="7"/>
  <c r="CV93" i="7"/>
  <c r="DW93" i="7"/>
  <c r="CW93" i="7"/>
  <c r="CX93" i="7"/>
  <c r="DH93" i="7"/>
  <c r="DJ93" i="7"/>
  <c r="DK93" i="7"/>
  <c r="DL93" i="7"/>
  <c r="DM93" i="7"/>
  <c r="DN93" i="7"/>
  <c r="DP93" i="7"/>
  <c r="DR93" i="7"/>
  <c r="DT93" i="7"/>
  <c r="CN93" i="7"/>
  <c r="DA93" i="7"/>
  <c r="DB93" i="7"/>
  <c r="DI93" i="7"/>
  <c r="DQ93" i="7"/>
  <c r="CO93" i="7"/>
  <c r="CQ93" i="7"/>
  <c r="CZ93" i="7"/>
  <c r="DO93" i="7"/>
  <c r="DS93" i="7"/>
  <c r="CS93" i="7"/>
  <c r="CY93" i="7"/>
  <c r="CP93" i="7"/>
  <c r="CR93" i="7"/>
  <c r="CL115" i="7"/>
  <c r="DC115" i="7"/>
  <c r="CU115" i="7"/>
  <c r="DR115" i="7"/>
  <c r="CW115" i="7"/>
  <c r="DU115" i="7"/>
  <c r="CY115" i="7"/>
  <c r="DW115" i="7"/>
  <c r="DA115" i="7"/>
  <c r="CR115" i="7"/>
  <c r="DT115" i="7"/>
  <c r="CS115" i="7"/>
  <c r="DV115" i="7"/>
  <c r="CT115" i="7"/>
  <c r="CV115" i="7"/>
  <c r="CX115" i="7"/>
  <c r="DB115" i="7"/>
  <c r="DG115" i="7"/>
  <c r="DH115" i="7"/>
  <c r="CZ115" i="7"/>
  <c r="DD115" i="7"/>
  <c r="DE115" i="7"/>
  <c r="CN115" i="7"/>
  <c r="CP115" i="7"/>
  <c r="DF115" i="7"/>
  <c r="DP115" i="7"/>
  <c r="DQ115" i="7"/>
  <c r="DS115" i="7"/>
  <c r="CQ115" i="7"/>
  <c r="DI115" i="7"/>
  <c r="DJ115" i="7"/>
  <c r="DK115" i="7"/>
  <c r="DL115" i="7"/>
  <c r="DM115" i="7"/>
  <c r="CO115" i="7"/>
  <c r="DN115" i="7"/>
  <c r="DO115" i="7"/>
  <c r="CM137" i="7"/>
  <c r="DD137" i="7"/>
  <c r="CV137" i="7"/>
  <c r="DS137" i="7"/>
  <c r="CS137" i="7"/>
  <c r="DQ137" i="7"/>
  <c r="CT137" i="7"/>
  <c r="DR137" i="7"/>
  <c r="CU137" i="7"/>
  <c r="DT137" i="7"/>
  <c r="CX137" i="7"/>
  <c r="DV137" i="7"/>
  <c r="CN137" i="7"/>
  <c r="DP137" i="7"/>
  <c r="CO137" i="7"/>
  <c r="DU137" i="7"/>
  <c r="CP137" i="7"/>
  <c r="DW137" i="7"/>
  <c r="DF137" i="7"/>
  <c r="DG137" i="7"/>
  <c r="DH137" i="7"/>
  <c r="DI137" i="7"/>
  <c r="DK137" i="7"/>
  <c r="DN137" i="7"/>
  <c r="DJ137" i="7"/>
  <c r="DL137" i="7"/>
  <c r="DM137" i="7"/>
  <c r="DO137" i="7"/>
  <c r="CQ137" i="7"/>
  <c r="CR137" i="7"/>
  <c r="CW137" i="7"/>
  <c r="CY137" i="7"/>
  <c r="CZ137" i="7"/>
  <c r="DC137" i="7"/>
  <c r="DA137" i="7"/>
  <c r="DB137" i="7"/>
  <c r="DE137" i="7"/>
  <c r="BQ159" i="7"/>
  <c r="DF159" i="7"/>
  <c r="CU159" i="7"/>
  <c r="DR159" i="7"/>
  <c r="CW159" i="7"/>
  <c r="DT159" i="7"/>
  <c r="CY159" i="7"/>
  <c r="DV159" i="7"/>
  <c r="CP159" i="7"/>
  <c r="DP159" i="7"/>
  <c r="CQ159" i="7"/>
  <c r="DQ159" i="7"/>
  <c r="CR159" i="7"/>
  <c r="DS159" i="7"/>
  <c r="DA159" i="7"/>
  <c r="DB159" i="7"/>
  <c r="DD159" i="7"/>
  <c r="DJ159" i="7"/>
  <c r="DI159" i="7"/>
  <c r="DK159" i="7"/>
  <c r="DL159" i="7"/>
  <c r="DM159" i="7"/>
  <c r="DO159" i="7"/>
  <c r="DW159" i="7"/>
  <c r="CO159" i="7"/>
  <c r="CS159" i="7"/>
  <c r="CT159" i="7"/>
  <c r="CV159" i="7"/>
  <c r="CX159" i="7"/>
  <c r="DU159" i="7"/>
  <c r="CN159" i="7"/>
  <c r="CZ159" i="7"/>
  <c r="DC159" i="7"/>
  <c r="DE159" i="7"/>
  <c r="DG159" i="7"/>
  <c r="DN159" i="7"/>
  <c r="BS181" i="7"/>
  <c r="CS181" i="7"/>
  <c r="DO181" i="7"/>
  <c r="CP181" i="7"/>
  <c r="DM181" i="7"/>
  <c r="CQ181" i="7"/>
  <c r="DN181" i="7"/>
  <c r="CR181" i="7"/>
  <c r="DP181" i="7"/>
  <c r="DG181" i="7"/>
  <c r="DH181" i="7"/>
  <c r="DJ181" i="7"/>
  <c r="DA181" i="7"/>
  <c r="DB181" i="7"/>
  <c r="DD181" i="7"/>
  <c r="DF181" i="7"/>
  <c r="DK181" i="7"/>
  <c r="DL181" i="7"/>
  <c r="DI181" i="7"/>
  <c r="DQ181" i="7"/>
  <c r="DR181" i="7"/>
  <c r="DS181" i="7"/>
  <c r="DT181" i="7"/>
  <c r="CN181" i="7"/>
  <c r="CO181" i="7"/>
  <c r="CT181" i="7"/>
  <c r="CU181" i="7"/>
  <c r="CV181" i="7"/>
  <c r="CW181" i="7"/>
  <c r="CX181" i="7"/>
  <c r="CY181" i="7"/>
  <c r="DC181" i="7"/>
  <c r="DE181" i="7"/>
  <c r="DU181" i="7"/>
  <c r="CS203" i="7"/>
  <c r="DO203" i="7"/>
  <c r="DE203" i="7"/>
  <c r="DG203" i="7"/>
  <c r="CZ203" i="7"/>
  <c r="DA203" i="7"/>
  <c r="DC203" i="7"/>
  <c r="CV203" i="7"/>
  <c r="CW203" i="7"/>
  <c r="CY203" i="7"/>
  <c r="DB203" i="7"/>
  <c r="DD203" i="7"/>
  <c r="DF203" i="7"/>
  <c r="DH203" i="7"/>
  <c r="DI203" i="7"/>
  <c r="CU203" i="7"/>
  <c r="CX203" i="7"/>
  <c r="DJ203" i="7"/>
  <c r="DK203" i="7"/>
  <c r="DL203" i="7"/>
  <c r="DQ203" i="7"/>
  <c r="DR203" i="7"/>
  <c r="DS203" i="7"/>
  <c r="DT203" i="7"/>
  <c r="DW203" i="7"/>
  <c r="CN203" i="7"/>
  <c r="CS225" i="7"/>
  <c r="DO225" i="7"/>
  <c r="DA225" i="7"/>
  <c r="CT225" i="7"/>
  <c r="DR225" i="7"/>
  <c r="CU225" i="7"/>
  <c r="DS225" i="7"/>
  <c r="CW225" i="7"/>
  <c r="DU225" i="7"/>
  <c r="CZ225" i="7"/>
  <c r="DB225" i="7"/>
  <c r="DC225" i="7"/>
  <c r="DD225" i="7"/>
  <c r="DQ225" i="7"/>
  <c r="DT225" i="7"/>
  <c r="DV225" i="7"/>
  <c r="CN225" i="7"/>
  <c r="DW225" i="7"/>
  <c r="CO225" i="7"/>
  <c r="CX225" i="7"/>
  <c r="CY225" i="7"/>
  <c r="DE225" i="7"/>
  <c r="DM225" i="7"/>
  <c r="DN225" i="7"/>
  <c r="DP225" i="7"/>
  <c r="BR247" i="7"/>
  <c r="CS247" i="7"/>
  <c r="DO247" i="7"/>
  <c r="DH247" i="7"/>
  <c r="DI247" i="7"/>
  <c r="CN247" i="7"/>
  <c r="DK247" i="7"/>
  <c r="CV247" i="7"/>
  <c r="DV247" i="7"/>
  <c r="CW247" i="7"/>
  <c r="DW247" i="7"/>
  <c r="CX247" i="7"/>
  <c r="CZ247" i="7"/>
  <c r="DE247" i="7"/>
  <c r="DF247" i="7"/>
  <c r="DN247" i="7"/>
  <c r="DP247" i="7"/>
  <c r="DQ247" i="7"/>
  <c r="DR247" i="7"/>
  <c r="DT247" i="7"/>
  <c r="DU247" i="7"/>
  <c r="CF269" i="7"/>
  <c r="CQ269" i="7"/>
  <c r="DM269" i="7"/>
  <c r="CR269" i="7"/>
  <c r="DN269" i="7"/>
  <c r="CT269" i="7"/>
  <c r="DP269" i="7"/>
  <c r="CY269" i="7"/>
  <c r="DA269" i="7"/>
  <c r="DC269" i="7"/>
  <c r="DH269" i="7"/>
  <c r="CU269" i="7"/>
  <c r="CV269" i="7"/>
  <c r="CX269" i="7"/>
  <c r="DB269" i="7"/>
  <c r="DD269" i="7"/>
  <c r="CX271" i="7"/>
  <c r="DB265" i="7"/>
  <c r="CX249" i="7"/>
  <c r="DI243" i="7"/>
  <c r="CQ227" i="7"/>
  <c r="CP203" i="7"/>
  <c r="CZ199" i="7"/>
  <c r="CM28" i="7"/>
  <c r="CZ28" i="7"/>
  <c r="DV28" i="7"/>
  <c r="DB28" i="7"/>
  <c r="DC28" i="7"/>
  <c r="DD28" i="7"/>
  <c r="CN28" i="7"/>
  <c r="DJ28" i="7"/>
  <c r="DO28" i="7"/>
  <c r="CO28" i="7"/>
  <c r="DP28" i="7"/>
  <c r="CP28" i="7"/>
  <c r="DQ28" i="7"/>
  <c r="CQ28" i="7"/>
  <c r="DR28" i="7"/>
  <c r="CR28" i="7"/>
  <c r="DS28" i="7"/>
  <c r="CT28" i="7"/>
  <c r="DU28" i="7"/>
  <c r="DW28" i="7"/>
  <c r="CS28" i="7"/>
  <c r="CY28" i="7"/>
  <c r="DA28" i="7"/>
  <c r="DE28" i="7"/>
  <c r="CU28" i="7"/>
  <c r="CX28" i="7"/>
  <c r="DH28" i="7"/>
  <c r="DI28" i="7"/>
  <c r="CV28" i="7"/>
  <c r="CW28" i="7"/>
  <c r="DF28" i="7"/>
  <c r="DG28" i="7"/>
  <c r="DK28" i="7"/>
  <c r="DL28" i="7"/>
  <c r="DM28" i="7"/>
  <c r="DT28" i="7"/>
  <c r="DN28" i="7"/>
  <c r="BU50" i="7"/>
  <c r="CZ50" i="7"/>
  <c r="DV50" i="7"/>
  <c r="DB50" i="7"/>
  <c r="DC50" i="7"/>
  <c r="DD50" i="7"/>
  <c r="CS50" i="7"/>
  <c r="DS50" i="7"/>
  <c r="CT50" i="7"/>
  <c r="DT50" i="7"/>
  <c r="CU50" i="7"/>
  <c r="DU50" i="7"/>
  <c r="DH50" i="7"/>
  <c r="DI50" i="7"/>
  <c r="DJ50" i="7"/>
  <c r="DK50" i="7"/>
  <c r="DM50" i="7"/>
  <c r="CP50" i="7"/>
  <c r="DW50" i="7"/>
  <c r="CQ50" i="7"/>
  <c r="CV50" i="7"/>
  <c r="CW50" i="7"/>
  <c r="CX50" i="7"/>
  <c r="CY50" i="7"/>
  <c r="DA50" i="7"/>
  <c r="DG50" i="7"/>
  <c r="DO50" i="7"/>
  <c r="DP50" i="7"/>
  <c r="DQ50" i="7"/>
  <c r="DR50" i="7"/>
  <c r="DE50" i="7"/>
  <c r="DF50" i="7"/>
  <c r="DL50" i="7"/>
  <c r="DN50" i="7"/>
  <c r="CN50" i="7"/>
  <c r="CO50" i="7"/>
  <c r="CR50" i="7"/>
  <c r="CB72" i="7"/>
  <c r="DC72" i="7"/>
  <c r="CN72" i="7"/>
  <c r="DK72" i="7"/>
  <c r="CO72" i="7"/>
  <c r="DL72" i="7"/>
  <c r="CP72" i="7"/>
  <c r="DM72" i="7"/>
  <c r="CQ72" i="7"/>
  <c r="DN72" i="7"/>
  <c r="DD72" i="7"/>
  <c r="DE72" i="7"/>
  <c r="DF72" i="7"/>
  <c r="DG72" i="7"/>
  <c r="DO72" i="7"/>
  <c r="DP72" i="7"/>
  <c r="DQ72" i="7"/>
  <c r="DR72" i="7"/>
  <c r="DS72" i="7"/>
  <c r="DU72" i="7"/>
  <c r="CR72" i="7"/>
  <c r="CS72" i="7"/>
  <c r="CT72" i="7"/>
  <c r="CU72" i="7"/>
  <c r="CV72" i="7"/>
  <c r="CW72" i="7"/>
  <c r="CX72" i="7"/>
  <c r="CY72" i="7"/>
  <c r="CZ72" i="7"/>
  <c r="DB72" i="7"/>
  <c r="DI72" i="7"/>
  <c r="DJ72" i="7"/>
  <c r="DA72" i="7"/>
  <c r="DH72" i="7"/>
  <c r="DT72" i="7"/>
  <c r="DV72" i="7"/>
  <c r="DW72" i="7"/>
  <c r="CJ94" i="7"/>
  <c r="CO94" i="7"/>
  <c r="DK94" i="7"/>
  <c r="CQ94" i="7"/>
  <c r="DN94" i="7"/>
  <c r="CR94" i="7"/>
  <c r="DO94" i="7"/>
  <c r="CS94" i="7"/>
  <c r="DP94" i="7"/>
  <c r="CT94" i="7"/>
  <c r="DQ94" i="7"/>
  <c r="DM94" i="7"/>
  <c r="DR94" i="7"/>
  <c r="DS94" i="7"/>
  <c r="CN94" i="7"/>
  <c r="DT94" i="7"/>
  <c r="CP94" i="7"/>
  <c r="DU94" i="7"/>
  <c r="CY94" i="7"/>
  <c r="DG94" i="7"/>
  <c r="DH94" i="7"/>
  <c r="DI94" i="7"/>
  <c r="DJ94" i="7"/>
  <c r="DL94" i="7"/>
  <c r="DW94" i="7"/>
  <c r="CU94" i="7"/>
  <c r="DB94" i="7"/>
  <c r="DC94" i="7"/>
  <c r="DD94" i="7"/>
  <c r="DE94" i="7"/>
  <c r="DV94" i="7"/>
  <c r="CV94" i="7"/>
  <c r="CW94" i="7"/>
  <c r="CX94" i="7"/>
  <c r="DA94" i="7"/>
  <c r="DF94" i="7"/>
  <c r="CZ94" i="7"/>
  <c r="CL116" i="7"/>
  <c r="CO116" i="7"/>
  <c r="DK116" i="7"/>
  <c r="DE116" i="7"/>
  <c r="DI116" i="7"/>
  <c r="DL116" i="7"/>
  <c r="CP116" i="7"/>
  <c r="DN116" i="7"/>
  <c r="DO116" i="7"/>
  <c r="DP116" i="7"/>
  <c r="CN116" i="7"/>
  <c r="DQ116" i="7"/>
  <c r="CQ116" i="7"/>
  <c r="DR116" i="7"/>
  <c r="CR116" i="7"/>
  <c r="DS116" i="7"/>
  <c r="CT116" i="7"/>
  <c r="DU116" i="7"/>
  <c r="CX116" i="7"/>
  <c r="CY116" i="7"/>
  <c r="DD116" i="7"/>
  <c r="DF116" i="7"/>
  <c r="DG116" i="7"/>
  <c r="CU116" i="7"/>
  <c r="CV116" i="7"/>
  <c r="CW116" i="7"/>
  <c r="CZ116" i="7"/>
  <c r="DB116" i="7"/>
  <c r="DJ116" i="7"/>
  <c r="DT116" i="7"/>
  <c r="DA116" i="7"/>
  <c r="DC116" i="7"/>
  <c r="DH116" i="7"/>
  <c r="DM116" i="7"/>
  <c r="DV116" i="7"/>
  <c r="DW116" i="7"/>
  <c r="CS116" i="7"/>
  <c r="BT138" i="7"/>
  <c r="CP138" i="7"/>
  <c r="DL138" i="7"/>
  <c r="DF138" i="7"/>
  <c r="DE138" i="7"/>
  <c r="DG138" i="7"/>
  <c r="DH138" i="7"/>
  <c r="DJ138" i="7"/>
  <c r="DN138" i="7"/>
  <c r="DO138" i="7"/>
  <c r="DP138" i="7"/>
  <c r="DA138" i="7"/>
  <c r="DB138" i="7"/>
  <c r="DC138" i="7"/>
  <c r="DD138" i="7"/>
  <c r="DK138" i="7"/>
  <c r="DR138" i="7"/>
  <c r="DV138" i="7"/>
  <c r="DW138" i="7"/>
  <c r="CO138" i="7"/>
  <c r="CR138" i="7"/>
  <c r="CS138" i="7"/>
  <c r="DQ138" i="7"/>
  <c r="DS138" i="7"/>
  <c r="DT138" i="7"/>
  <c r="DU138" i="7"/>
  <c r="DI138" i="7"/>
  <c r="DM138" i="7"/>
  <c r="CN138" i="7"/>
  <c r="CQ138" i="7"/>
  <c r="CT138" i="7"/>
  <c r="CU138" i="7"/>
  <c r="CV138" i="7"/>
  <c r="CX138" i="7"/>
  <c r="CY138" i="7"/>
  <c r="CZ138" i="7"/>
  <c r="CR160" i="7"/>
  <c r="DN160" i="7"/>
  <c r="DE160" i="7"/>
  <c r="DG160" i="7"/>
  <c r="DI160" i="7"/>
  <c r="DH160" i="7"/>
  <c r="DJ160" i="7"/>
  <c r="DK160" i="7"/>
  <c r="CU160" i="7"/>
  <c r="CV160" i="7"/>
  <c r="CX160" i="7"/>
  <c r="DC160" i="7"/>
  <c r="DM160" i="7"/>
  <c r="DO160" i="7"/>
  <c r="DP160" i="7"/>
  <c r="DQ160" i="7"/>
  <c r="DS160" i="7"/>
  <c r="DU160" i="7"/>
  <c r="CN160" i="7"/>
  <c r="DV160" i="7"/>
  <c r="DD160" i="7"/>
  <c r="DF160" i="7"/>
  <c r="DL160" i="7"/>
  <c r="DR160" i="7"/>
  <c r="DT160" i="7"/>
  <c r="CO160" i="7"/>
  <c r="CP160" i="7"/>
  <c r="CQ160" i="7"/>
  <c r="CS160" i="7"/>
  <c r="CT160" i="7"/>
  <c r="CZ160" i="7"/>
  <c r="DA160" i="7"/>
  <c r="DB160" i="7"/>
  <c r="DW160" i="7"/>
  <c r="CW160" i="7"/>
  <c r="CY160" i="7"/>
  <c r="BY182" i="7"/>
  <c r="DA182" i="7"/>
  <c r="DW182" i="7"/>
  <c r="CZ182" i="7"/>
  <c r="DB182" i="7"/>
  <c r="DC182" i="7"/>
  <c r="CW182" i="7"/>
  <c r="CX182" i="7"/>
  <c r="DD182" i="7"/>
  <c r="CT182" i="7"/>
  <c r="CU182" i="7"/>
  <c r="CY182" i="7"/>
  <c r="DF182" i="7"/>
  <c r="DH182" i="7"/>
  <c r="DI182" i="7"/>
  <c r="DO182" i="7"/>
  <c r="DP182" i="7"/>
  <c r="DQ182" i="7"/>
  <c r="DR182" i="7"/>
  <c r="DS182" i="7"/>
  <c r="CN182" i="7"/>
  <c r="CO182" i="7"/>
  <c r="CP182" i="7"/>
  <c r="CQ182" i="7"/>
  <c r="CR182" i="7"/>
  <c r="CS182" i="7"/>
  <c r="DG182" i="7"/>
  <c r="DJ182" i="7"/>
  <c r="DK182" i="7"/>
  <c r="DL182" i="7"/>
  <c r="DA204" i="7"/>
  <c r="DW204" i="7"/>
  <c r="CR204" i="7"/>
  <c r="DO204" i="7"/>
  <c r="CT204" i="7"/>
  <c r="DQ204" i="7"/>
  <c r="CO204" i="7"/>
  <c r="DN204" i="7"/>
  <c r="CP204" i="7"/>
  <c r="DP204" i="7"/>
  <c r="CS204" i="7"/>
  <c r="DS204" i="7"/>
  <c r="CN204" i="7"/>
  <c r="DU204" i="7"/>
  <c r="CQ204" i="7"/>
  <c r="DV204" i="7"/>
  <c r="CV204" i="7"/>
  <c r="CZ204" i="7"/>
  <c r="DB204" i="7"/>
  <c r="DC204" i="7"/>
  <c r="DD204" i="7"/>
  <c r="DE204" i="7"/>
  <c r="DI204" i="7"/>
  <c r="DJ204" i="7"/>
  <c r="DK204" i="7"/>
  <c r="DL204" i="7"/>
  <c r="DM204" i="7"/>
  <c r="CU204" i="7"/>
  <c r="CW204" i="7"/>
  <c r="CX204" i="7"/>
  <c r="CY204" i="7"/>
  <c r="DF204" i="7"/>
  <c r="DG204" i="7"/>
  <c r="DT204" i="7"/>
  <c r="CM226" i="7"/>
  <c r="DA226" i="7"/>
  <c r="DW226" i="7"/>
  <c r="CN226" i="7"/>
  <c r="DK226" i="7"/>
  <c r="DF226" i="7"/>
  <c r="DG226" i="7"/>
  <c r="DI226" i="7"/>
  <c r="CR226" i="7"/>
  <c r="DS226" i="7"/>
  <c r="CS226" i="7"/>
  <c r="DT226" i="7"/>
  <c r="CT226" i="7"/>
  <c r="DU226" i="7"/>
  <c r="CU226" i="7"/>
  <c r="DV226" i="7"/>
  <c r="DP226" i="7"/>
  <c r="DQ226" i="7"/>
  <c r="DR226" i="7"/>
  <c r="CO226" i="7"/>
  <c r="CX226" i="7"/>
  <c r="CY226" i="7"/>
  <c r="CZ226" i="7"/>
  <c r="CP226" i="7"/>
  <c r="CQ226" i="7"/>
  <c r="CV226" i="7"/>
  <c r="CW226" i="7"/>
  <c r="DE226" i="7"/>
  <c r="DA248" i="7"/>
  <c r="DW248" i="7"/>
  <c r="CU248" i="7"/>
  <c r="DR248" i="7"/>
  <c r="CV248" i="7"/>
  <c r="DS248" i="7"/>
  <c r="CX248" i="7"/>
  <c r="DU248" i="7"/>
  <c r="DL248" i="7"/>
  <c r="DM248" i="7"/>
  <c r="CN248" i="7"/>
  <c r="DN248" i="7"/>
  <c r="CP248" i="7"/>
  <c r="DP248" i="7"/>
  <c r="CW248" i="7"/>
  <c r="CY248" i="7"/>
  <c r="DK248" i="7"/>
  <c r="DO248" i="7"/>
  <c r="DQ248" i="7"/>
  <c r="DT248" i="7"/>
  <c r="CB270" i="7"/>
  <c r="CY270" i="7"/>
  <c r="DU270" i="7"/>
  <c r="CZ270" i="7"/>
  <c r="DV270" i="7"/>
  <c r="DB270" i="7"/>
  <c r="CN270" i="7"/>
  <c r="DM270" i="7"/>
  <c r="CP270" i="7"/>
  <c r="DO270" i="7"/>
  <c r="CR270" i="7"/>
  <c r="DQ270" i="7"/>
  <c r="CW270" i="7"/>
  <c r="CO270" i="7"/>
  <c r="DT270" i="7"/>
  <c r="CQ270" i="7"/>
  <c r="DW270" i="7"/>
  <c r="CT270" i="7"/>
  <c r="CV270" i="7"/>
  <c r="CX270" i="7"/>
  <c r="DN9" i="7"/>
  <c r="DU276" i="7"/>
  <c r="CR276" i="7"/>
  <c r="DC274" i="7"/>
  <c r="CW271" i="7"/>
  <c r="DW269" i="7"/>
  <c r="DQ267" i="7"/>
  <c r="DO266" i="7"/>
  <c r="DA265" i="7"/>
  <c r="DJ254" i="7"/>
  <c r="DS247" i="7"/>
  <c r="CT245" i="7"/>
  <c r="DD243" i="7"/>
  <c r="DB222" i="7"/>
  <c r="DJ209" i="7"/>
  <c r="CO203" i="7"/>
  <c r="CX199" i="7"/>
  <c r="DA156" i="7"/>
  <c r="BZ29" i="7"/>
  <c r="DH29" i="7"/>
  <c r="CN29" i="7"/>
  <c r="DJ29" i="7"/>
  <c r="CO29" i="7"/>
  <c r="DK29" i="7"/>
  <c r="CP29" i="7"/>
  <c r="DL29" i="7"/>
  <c r="CV29" i="7"/>
  <c r="DR29" i="7"/>
  <c r="DF29" i="7"/>
  <c r="DG29" i="7"/>
  <c r="DI29" i="7"/>
  <c r="DM29" i="7"/>
  <c r="DN29" i="7"/>
  <c r="DP29" i="7"/>
  <c r="CQ29" i="7"/>
  <c r="CR29" i="7"/>
  <c r="CS29" i="7"/>
  <c r="CT29" i="7"/>
  <c r="CU29" i="7"/>
  <c r="DA29" i="7"/>
  <c r="DB29" i="7"/>
  <c r="DC29" i="7"/>
  <c r="DE29" i="7"/>
  <c r="DO29" i="7"/>
  <c r="DQ29" i="7"/>
  <c r="DS29" i="7"/>
  <c r="DT29" i="7"/>
  <c r="DW29" i="7"/>
  <c r="CW29" i="7"/>
  <c r="CX29" i="7"/>
  <c r="CZ29" i="7"/>
  <c r="DD29" i="7"/>
  <c r="DU29" i="7"/>
  <c r="DV29" i="7"/>
  <c r="CY29" i="7"/>
  <c r="BX117" i="7"/>
  <c r="CW117" i="7"/>
  <c r="DS117" i="7"/>
  <c r="CR117" i="7"/>
  <c r="DO117" i="7"/>
  <c r="CX117" i="7"/>
  <c r="DV117" i="7"/>
  <c r="CZ117" i="7"/>
  <c r="DB117" i="7"/>
  <c r="DF117" i="7"/>
  <c r="DG117" i="7"/>
  <c r="DH117" i="7"/>
  <c r="DI117" i="7"/>
  <c r="DJ117" i="7"/>
  <c r="DL117" i="7"/>
  <c r="CO117" i="7"/>
  <c r="DQ117" i="7"/>
  <c r="CP117" i="7"/>
  <c r="DR117" i="7"/>
  <c r="DN117" i="7"/>
  <c r="DP117" i="7"/>
  <c r="DT117" i="7"/>
  <c r="DD117" i="7"/>
  <c r="DE117" i="7"/>
  <c r="DK117" i="7"/>
  <c r="DM117" i="7"/>
  <c r="DW117" i="7"/>
  <c r="CQ117" i="7"/>
  <c r="CS117" i="7"/>
  <c r="CN117" i="7"/>
  <c r="CT117" i="7"/>
  <c r="CU117" i="7"/>
  <c r="DA117" i="7"/>
  <c r="CV117" i="7"/>
  <c r="CY117" i="7"/>
  <c r="DC117" i="7"/>
  <c r="DU117" i="7"/>
  <c r="CL161" i="7"/>
  <c r="CZ161" i="7"/>
  <c r="DV161" i="7"/>
  <c r="CR161" i="7"/>
  <c r="DO161" i="7"/>
  <c r="CT161" i="7"/>
  <c r="DQ161" i="7"/>
  <c r="CV161" i="7"/>
  <c r="DS161" i="7"/>
  <c r="CY161" i="7"/>
  <c r="DA161" i="7"/>
  <c r="DB161" i="7"/>
  <c r="CN161" i="7"/>
  <c r="DT161" i="7"/>
  <c r="CO161" i="7"/>
  <c r="DU161" i="7"/>
  <c r="CQ161" i="7"/>
  <c r="DC161" i="7"/>
  <c r="DK161" i="7"/>
  <c r="DL161" i="7"/>
  <c r="DM161" i="7"/>
  <c r="DN161" i="7"/>
  <c r="DR161" i="7"/>
  <c r="DI161" i="7"/>
  <c r="DJ161" i="7"/>
  <c r="DP161" i="7"/>
  <c r="DW161" i="7"/>
  <c r="BS205" i="7"/>
  <c r="DI205" i="7"/>
  <c r="DB205" i="7"/>
  <c r="DD205" i="7"/>
  <c r="DE205" i="7"/>
  <c r="DF205" i="7"/>
  <c r="DH205" i="7"/>
  <c r="DN205" i="7"/>
  <c r="DO205" i="7"/>
  <c r="CO205" i="7"/>
  <c r="DQ205" i="7"/>
  <c r="CV205" i="7"/>
  <c r="CW205" i="7"/>
  <c r="CX205" i="7"/>
  <c r="CY205" i="7"/>
  <c r="CZ205" i="7"/>
  <c r="DR205" i="7"/>
  <c r="DS205" i="7"/>
  <c r="DT205" i="7"/>
  <c r="DU205" i="7"/>
  <c r="DV205" i="7"/>
  <c r="CP205" i="7"/>
  <c r="CQ205" i="7"/>
  <c r="CR205" i="7"/>
  <c r="CS205" i="7"/>
  <c r="CN205" i="7"/>
  <c r="CT205" i="7"/>
  <c r="BR249" i="7"/>
  <c r="DI249" i="7"/>
  <c r="DE249" i="7"/>
  <c r="DF249" i="7"/>
  <c r="DH249" i="7"/>
  <c r="DB249" i="7"/>
  <c r="DC249" i="7"/>
  <c r="DD249" i="7"/>
  <c r="DJ249" i="7"/>
  <c r="CO249" i="7"/>
  <c r="DO249" i="7"/>
  <c r="CP249" i="7"/>
  <c r="DP249" i="7"/>
  <c r="DQ249" i="7"/>
  <c r="DR249" i="7"/>
  <c r="DS249" i="7"/>
  <c r="DT249" i="7"/>
  <c r="CN249" i="7"/>
  <c r="DV249" i="7"/>
  <c r="CQ249" i="7"/>
  <c r="DW249" i="7"/>
  <c r="CV271" i="7"/>
  <c r="CZ265" i="7"/>
  <c r="CV249" i="7"/>
  <c r="DM247" i="7"/>
  <c r="DC243" i="7"/>
  <c r="DW205" i="7"/>
  <c r="CR199" i="7"/>
  <c r="CJ30" i="7"/>
  <c r="CT30" i="7"/>
  <c r="DP30" i="7"/>
  <c r="CV30" i="7"/>
  <c r="DR30" i="7"/>
  <c r="CW30" i="7"/>
  <c r="DS30" i="7"/>
  <c r="CX30" i="7"/>
  <c r="DT30" i="7"/>
  <c r="DD30" i="7"/>
  <c r="DA30" i="7"/>
  <c r="DB30" i="7"/>
  <c r="DC30" i="7"/>
  <c r="DE30" i="7"/>
  <c r="DF30" i="7"/>
  <c r="DH30" i="7"/>
  <c r="CN30" i="7"/>
  <c r="CO30" i="7"/>
  <c r="CP30" i="7"/>
  <c r="CQ30" i="7"/>
  <c r="CR30" i="7"/>
  <c r="CS30" i="7"/>
  <c r="DI30" i="7"/>
  <c r="DJ30" i="7"/>
  <c r="DK30" i="7"/>
  <c r="CZ30" i="7"/>
  <c r="DG30" i="7"/>
  <c r="DQ30" i="7"/>
  <c r="DU30" i="7"/>
  <c r="DV30" i="7"/>
  <c r="DW30" i="7"/>
  <c r="CU30" i="7"/>
  <c r="CY30" i="7"/>
  <c r="DL30" i="7"/>
  <c r="DM30" i="7"/>
  <c r="DN30" i="7"/>
  <c r="DO30" i="7"/>
  <c r="CT52" i="7"/>
  <c r="DP52" i="7"/>
  <c r="CV52" i="7"/>
  <c r="DR52" i="7"/>
  <c r="CW52" i="7"/>
  <c r="DS52" i="7"/>
  <c r="CX52" i="7"/>
  <c r="DT52" i="7"/>
  <c r="DC52" i="7"/>
  <c r="DD52" i="7"/>
  <c r="CS52" i="7"/>
  <c r="CU52" i="7"/>
  <c r="CY52" i="7"/>
  <c r="CZ52" i="7"/>
  <c r="DB52" i="7"/>
  <c r="DJ52" i="7"/>
  <c r="DK52" i="7"/>
  <c r="DL52" i="7"/>
  <c r="DM52" i="7"/>
  <c r="DN52" i="7"/>
  <c r="DO52" i="7"/>
  <c r="DQ52" i="7"/>
  <c r="DF52" i="7"/>
  <c r="DG52" i="7"/>
  <c r="DH52" i="7"/>
  <c r="DI52" i="7"/>
  <c r="DU52" i="7"/>
  <c r="DV52" i="7"/>
  <c r="DW52" i="7"/>
  <c r="CO52" i="7"/>
  <c r="CP52" i="7"/>
  <c r="CN52" i="7"/>
  <c r="CR52" i="7"/>
  <c r="DE52" i="7"/>
  <c r="CQ52" i="7"/>
  <c r="DA52" i="7"/>
  <c r="BP74" i="7"/>
  <c r="DE74" i="7"/>
  <c r="DF74" i="7"/>
  <c r="DG74" i="7"/>
  <c r="DH74" i="7"/>
  <c r="CN74" i="7"/>
  <c r="DN74" i="7"/>
  <c r="CO74" i="7"/>
  <c r="DO74" i="7"/>
  <c r="CP74" i="7"/>
  <c r="DP74" i="7"/>
  <c r="CQ74" i="7"/>
  <c r="DQ74" i="7"/>
  <c r="DC74" i="7"/>
  <c r="DD74" i="7"/>
  <c r="DI74" i="7"/>
  <c r="DJ74" i="7"/>
  <c r="DK74" i="7"/>
  <c r="DM74" i="7"/>
  <c r="DT74" i="7"/>
  <c r="DU74" i="7"/>
  <c r="DW74" i="7"/>
  <c r="CS74" i="7"/>
  <c r="CU74" i="7"/>
  <c r="CV74" i="7"/>
  <c r="CY74" i="7"/>
  <c r="CZ74" i="7"/>
  <c r="DA74" i="7"/>
  <c r="DB74" i="7"/>
  <c r="DL74" i="7"/>
  <c r="CW74" i="7"/>
  <c r="CX74" i="7"/>
  <c r="DR74" i="7"/>
  <c r="DS74" i="7"/>
  <c r="DV74" i="7"/>
  <c r="CR74" i="7"/>
  <c r="CT74" i="7"/>
  <c r="CB96" i="7"/>
  <c r="DE96" i="7"/>
  <c r="CN96" i="7"/>
  <c r="DK96" i="7"/>
  <c r="CO96" i="7"/>
  <c r="DL96" i="7"/>
  <c r="CP96" i="7"/>
  <c r="DM96" i="7"/>
  <c r="CQ96" i="7"/>
  <c r="DN96" i="7"/>
  <c r="CY96" i="7"/>
  <c r="CZ96" i="7"/>
  <c r="DA96" i="7"/>
  <c r="DC96" i="7"/>
  <c r="DI96" i="7"/>
  <c r="DO96" i="7"/>
  <c r="DP96" i="7"/>
  <c r="DQ96" i="7"/>
  <c r="DR96" i="7"/>
  <c r="DS96" i="7"/>
  <c r="DU96" i="7"/>
  <c r="DW96" i="7"/>
  <c r="CS96" i="7"/>
  <c r="CT96" i="7"/>
  <c r="DD96" i="7"/>
  <c r="DF96" i="7"/>
  <c r="DG96" i="7"/>
  <c r="DH96" i="7"/>
  <c r="DT96" i="7"/>
  <c r="DV96" i="7"/>
  <c r="DJ96" i="7"/>
  <c r="CV96" i="7"/>
  <c r="CW96" i="7"/>
  <c r="CX96" i="7"/>
  <c r="DB96" i="7"/>
  <c r="CM118" i="7"/>
  <c r="DE118" i="7"/>
  <c r="DB118" i="7"/>
  <c r="DJ118" i="7"/>
  <c r="CN118" i="7"/>
  <c r="DL118" i="7"/>
  <c r="CP118" i="7"/>
  <c r="DN118" i="7"/>
  <c r="CW118" i="7"/>
  <c r="CX118" i="7"/>
  <c r="CY118" i="7"/>
  <c r="CZ118" i="7"/>
  <c r="DA118" i="7"/>
  <c r="DD118" i="7"/>
  <c r="DI118" i="7"/>
  <c r="DK118" i="7"/>
  <c r="DT118" i="7"/>
  <c r="DU118" i="7"/>
  <c r="DV118" i="7"/>
  <c r="DS118" i="7"/>
  <c r="DW118" i="7"/>
  <c r="CR118" i="7"/>
  <c r="CT118" i="7"/>
  <c r="DF118" i="7"/>
  <c r="DG118" i="7"/>
  <c r="DH118" i="7"/>
  <c r="DM118" i="7"/>
  <c r="DO118" i="7"/>
  <c r="DP118" i="7"/>
  <c r="DR118" i="7"/>
  <c r="CQ118" i="7"/>
  <c r="CS118" i="7"/>
  <c r="CU118" i="7"/>
  <c r="CB140" i="7"/>
  <c r="DF140" i="7"/>
  <c r="DC140" i="7"/>
  <c r="DG140" i="7"/>
  <c r="DH140" i="7"/>
  <c r="DI140" i="7"/>
  <c r="DK140" i="7"/>
  <c r="CX140" i="7"/>
  <c r="CY140" i="7"/>
  <c r="CZ140" i="7"/>
  <c r="CW140" i="7"/>
  <c r="DA140" i="7"/>
  <c r="DB140" i="7"/>
  <c r="DD140" i="7"/>
  <c r="DN140" i="7"/>
  <c r="CS140" i="7"/>
  <c r="CT140" i="7"/>
  <c r="CU140" i="7"/>
  <c r="CV140" i="7"/>
  <c r="DJ140" i="7"/>
  <c r="DM140" i="7"/>
  <c r="DO140" i="7"/>
  <c r="DQ140" i="7"/>
  <c r="DR140" i="7"/>
  <c r="DS140" i="7"/>
  <c r="DT140" i="7"/>
  <c r="DU140" i="7"/>
  <c r="DV140" i="7"/>
  <c r="DW140" i="7"/>
  <c r="CN140" i="7"/>
  <c r="CO140" i="7"/>
  <c r="CP140" i="7"/>
  <c r="CQ140" i="7"/>
  <c r="BZ162" i="7"/>
  <c r="DH162" i="7"/>
  <c r="DB162" i="7"/>
  <c r="DD162" i="7"/>
  <c r="DF162" i="7"/>
  <c r="CP162" i="7"/>
  <c r="DP162" i="7"/>
  <c r="CQ162" i="7"/>
  <c r="DQ162" i="7"/>
  <c r="CR162" i="7"/>
  <c r="DR162" i="7"/>
  <c r="DN162" i="7"/>
  <c r="DO162" i="7"/>
  <c r="CN162" i="7"/>
  <c r="DT162" i="7"/>
  <c r="CV162" i="7"/>
  <c r="DL162" i="7"/>
  <c r="DM162" i="7"/>
  <c r="DS162" i="7"/>
  <c r="DU162" i="7"/>
  <c r="DW162" i="7"/>
  <c r="CO162" i="7"/>
  <c r="CS162" i="7"/>
  <c r="CW162" i="7"/>
  <c r="CX162" i="7"/>
  <c r="CY162" i="7"/>
  <c r="CZ162" i="7"/>
  <c r="DA162" i="7"/>
  <c r="CT162" i="7"/>
  <c r="CU162" i="7"/>
  <c r="DG162" i="7"/>
  <c r="DI162" i="7"/>
  <c r="DJ162" i="7"/>
  <c r="DK162" i="7"/>
  <c r="DC162" i="7"/>
  <c r="DE162" i="7"/>
  <c r="DV162" i="7"/>
  <c r="CM184" i="7"/>
  <c r="CU184" i="7"/>
  <c r="DQ184" i="7"/>
  <c r="CX184" i="7"/>
  <c r="DU184" i="7"/>
  <c r="CY184" i="7"/>
  <c r="DV184" i="7"/>
  <c r="CZ184" i="7"/>
  <c r="DW184" i="7"/>
  <c r="DG184" i="7"/>
  <c r="DH184" i="7"/>
  <c r="DJ184" i="7"/>
  <c r="DP184" i="7"/>
  <c r="CN184" i="7"/>
  <c r="DR184" i="7"/>
  <c r="CP184" i="7"/>
  <c r="DT184" i="7"/>
  <c r="CR184" i="7"/>
  <c r="CT184" i="7"/>
  <c r="CV184" i="7"/>
  <c r="CO184" i="7"/>
  <c r="CQ184" i="7"/>
  <c r="CS184" i="7"/>
  <c r="DS184" i="7"/>
  <c r="CW184" i="7"/>
  <c r="DA184" i="7"/>
  <c r="DB184" i="7"/>
  <c r="DC184" i="7"/>
  <c r="DD184" i="7"/>
  <c r="DF184" i="7"/>
  <c r="DI184" i="7"/>
  <c r="DK184" i="7"/>
  <c r="BX206" i="7"/>
  <c r="CU206" i="7"/>
  <c r="DQ206" i="7"/>
  <c r="CO206" i="7"/>
  <c r="DL206" i="7"/>
  <c r="CQ206" i="7"/>
  <c r="DN206" i="7"/>
  <c r="CT206" i="7"/>
  <c r="DT206" i="7"/>
  <c r="CV206" i="7"/>
  <c r="DU206" i="7"/>
  <c r="CX206" i="7"/>
  <c r="DW206" i="7"/>
  <c r="DF206" i="7"/>
  <c r="DG206" i="7"/>
  <c r="DI206" i="7"/>
  <c r="CS206" i="7"/>
  <c r="CW206" i="7"/>
  <c r="CY206" i="7"/>
  <c r="CZ206" i="7"/>
  <c r="DA206" i="7"/>
  <c r="CR206" i="7"/>
  <c r="DB206" i="7"/>
  <c r="DC206" i="7"/>
  <c r="DD206" i="7"/>
  <c r="CN206" i="7"/>
  <c r="CP206" i="7"/>
  <c r="DE206" i="7"/>
  <c r="DH206" i="7"/>
  <c r="DJ206" i="7"/>
  <c r="DK206" i="7"/>
  <c r="DM206" i="7"/>
  <c r="DS206" i="7"/>
  <c r="DV206" i="7"/>
  <c r="CD228" i="7"/>
  <c r="CU228" i="7"/>
  <c r="DQ228" i="7"/>
  <c r="DH228" i="7"/>
  <c r="DF228" i="7"/>
  <c r="DG228" i="7"/>
  <c r="DJ228" i="7"/>
  <c r="DB228" i="7"/>
  <c r="DC228" i="7"/>
  <c r="DD228" i="7"/>
  <c r="DE228" i="7"/>
  <c r="DO228" i="7"/>
  <c r="DP228" i="7"/>
  <c r="DR228" i="7"/>
  <c r="DS228" i="7"/>
  <c r="CN228" i="7"/>
  <c r="DT228" i="7"/>
  <c r="CS228" i="7"/>
  <c r="CT228" i="7"/>
  <c r="CV228" i="7"/>
  <c r="DN228" i="7"/>
  <c r="DU228" i="7"/>
  <c r="DV228" i="7"/>
  <c r="DW228" i="7"/>
  <c r="CP228" i="7"/>
  <c r="CU250" i="7"/>
  <c r="CR250" i="7"/>
  <c r="DO250" i="7"/>
  <c r="CS250" i="7"/>
  <c r="DP250" i="7"/>
  <c r="CV250" i="7"/>
  <c r="DR250" i="7"/>
  <c r="CT250" i="7"/>
  <c r="DU250" i="7"/>
  <c r="CW250" i="7"/>
  <c r="DV250" i="7"/>
  <c r="CX250" i="7"/>
  <c r="DW250" i="7"/>
  <c r="CZ250" i="7"/>
  <c r="DE250" i="7"/>
  <c r="DF250" i="7"/>
  <c r="DM250" i="7"/>
  <c r="DN250" i="7"/>
  <c r="DQ250" i="7"/>
  <c r="DS250" i="7"/>
  <c r="CD272" i="7"/>
  <c r="CS272" i="7"/>
  <c r="DO272" i="7"/>
  <c r="CT272" i="7"/>
  <c r="DP272" i="7"/>
  <c r="CV272" i="7"/>
  <c r="DR272" i="7"/>
  <c r="CQ272" i="7"/>
  <c r="DS272" i="7"/>
  <c r="CU272" i="7"/>
  <c r="DU272" i="7"/>
  <c r="CX272" i="7"/>
  <c r="DW272" i="7"/>
  <c r="DC272" i="7"/>
  <c r="DJ272" i="7"/>
  <c r="DK272" i="7"/>
  <c r="DM272" i="7"/>
  <c r="DQ272" i="7"/>
  <c r="DT272" i="7"/>
  <c r="CY272" i="7"/>
  <c r="DU269" i="7"/>
  <c r="DB266" i="7"/>
  <c r="CX265" i="7"/>
  <c r="DG250" i="7"/>
  <c r="CU249" i="7"/>
  <c r="DL247" i="7"/>
  <c r="DU244" i="7"/>
  <c r="DB243" i="7"/>
  <c r="CZ222" i="7"/>
  <c r="DP205" i="7"/>
  <c r="CQ199" i="7"/>
  <c r="DG161" i="7"/>
  <c r="BW51" i="7"/>
  <c r="DH51" i="7"/>
  <c r="CN51" i="7"/>
  <c r="DJ51" i="7"/>
  <c r="CO51" i="7"/>
  <c r="DK51" i="7"/>
  <c r="CP51" i="7"/>
  <c r="DL51" i="7"/>
  <c r="DM51" i="7"/>
  <c r="DN51" i="7"/>
  <c r="DA51" i="7"/>
  <c r="DB51" i="7"/>
  <c r="DC51" i="7"/>
  <c r="DD51" i="7"/>
  <c r="DF51" i="7"/>
  <c r="DR51" i="7"/>
  <c r="CQ51" i="7"/>
  <c r="DS51" i="7"/>
  <c r="CZ51" i="7"/>
  <c r="DE51" i="7"/>
  <c r="DG51" i="7"/>
  <c r="DI51" i="7"/>
  <c r="DO51" i="7"/>
  <c r="DT51" i="7"/>
  <c r="DW51" i="7"/>
  <c r="CR51" i="7"/>
  <c r="CS51" i="7"/>
  <c r="CT51" i="7"/>
  <c r="CU51" i="7"/>
  <c r="CW51" i="7"/>
  <c r="CX51" i="7"/>
  <c r="CY51" i="7"/>
  <c r="CV51" i="7"/>
  <c r="DP51" i="7"/>
  <c r="DQ51" i="7"/>
  <c r="DV51" i="7"/>
  <c r="DU51" i="7"/>
  <c r="BP95" i="7"/>
  <c r="CW95" i="7"/>
  <c r="DS95" i="7"/>
  <c r="DA95" i="7"/>
  <c r="DB95" i="7"/>
  <c r="DC95" i="7"/>
  <c r="DD95" i="7"/>
  <c r="DH95" i="7"/>
  <c r="DI95" i="7"/>
  <c r="DJ95" i="7"/>
  <c r="DL95" i="7"/>
  <c r="CP95" i="7"/>
  <c r="DQ95" i="7"/>
  <c r="DM95" i="7"/>
  <c r="DN95" i="7"/>
  <c r="DO95" i="7"/>
  <c r="DP95" i="7"/>
  <c r="DR95" i="7"/>
  <c r="DU95" i="7"/>
  <c r="CO95" i="7"/>
  <c r="DW95" i="7"/>
  <c r="CR95" i="7"/>
  <c r="CS95" i="7"/>
  <c r="CX95" i="7"/>
  <c r="CY95" i="7"/>
  <c r="CZ95" i="7"/>
  <c r="DF95" i="7"/>
  <c r="CN95" i="7"/>
  <c r="CT95" i="7"/>
  <c r="CV95" i="7"/>
  <c r="CQ95" i="7"/>
  <c r="CU95" i="7"/>
  <c r="DE95" i="7"/>
  <c r="DG95" i="7"/>
  <c r="DV95" i="7"/>
  <c r="DK95" i="7"/>
  <c r="DT95" i="7"/>
  <c r="BX139" i="7"/>
  <c r="CX139" i="7"/>
  <c r="DT139" i="7"/>
  <c r="CS139" i="7"/>
  <c r="DP139" i="7"/>
  <c r="CT139" i="7"/>
  <c r="DR139" i="7"/>
  <c r="CU139" i="7"/>
  <c r="DS139" i="7"/>
  <c r="CV139" i="7"/>
  <c r="DU139" i="7"/>
  <c r="CY139" i="7"/>
  <c r="DW139" i="7"/>
  <c r="DF139" i="7"/>
  <c r="DG139" i="7"/>
  <c r="DH139" i="7"/>
  <c r="DB139" i="7"/>
  <c r="DC139" i="7"/>
  <c r="DD139" i="7"/>
  <c r="DE139" i="7"/>
  <c r="DJ139" i="7"/>
  <c r="DM139" i="7"/>
  <c r="CN139" i="7"/>
  <c r="CO139" i="7"/>
  <c r="CQ139" i="7"/>
  <c r="CW139" i="7"/>
  <c r="CZ139" i="7"/>
  <c r="CP139" i="7"/>
  <c r="CR139" i="7"/>
  <c r="DA139" i="7"/>
  <c r="DL139" i="7"/>
  <c r="DI139" i="7"/>
  <c r="DK139" i="7"/>
  <c r="DN139" i="7"/>
  <c r="DO139" i="7"/>
  <c r="BP183" i="7"/>
  <c r="DI183" i="7"/>
  <c r="CN183" i="7"/>
  <c r="DK183" i="7"/>
  <c r="CO183" i="7"/>
  <c r="DL183" i="7"/>
  <c r="CP183" i="7"/>
  <c r="DM183" i="7"/>
  <c r="CQ183" i="7"/>
  <c r="DQ183" i="7"/>
  <c r="CR183" i="7"/>
  <c r="DR183" i="7"/>
  <c r="CT183" i="7"/>
  <c r="DT183" i="7"/>
  <c r="CS183" i="7"/>
  <c r="DW183" i="7"/>
  <c r="CU183" i="7"/>
  <c r="CW183" i="7"/>
  <c r="CY183" i="7"/>
  <c r="DA183" i="7"/>
  <c r="DB183" i="7"/>
  <c r="DU183" i="7"/>
  <c r="DV183" i="7"/>
  <c r="DE183" i="7"/>
  <c r="DF183" i="7"/>
  <c r="DG183" i="7"/>
  <c r="DH183" i="7"/>
  <c r="DJ183" i="7"/>
  <c r="DN183" i="7"/>
  <c r="DS183" i="7"/>
  <c r="CX183" i="7"/>
  <c r="CZ183" i="7"/>
  <c r="DC183" i="7"/>
  <c r="DD183" i="7"/>
  <c r="DO183" i="7"/>
  <c r="DP183" i="7"/>
  <c r="CD227" i="7"/>
  <c r="DI227" i="7"/>
  <c r="CX227" i="7"/>
  <c r="DU227" i="7"/>
  <c r="CT227" i="7"/>
  <c r="DR227" i="7"/>
  <c r="CU227" i="7"/>
  <c r="DS227" i="7"/>
  <c r="CW227" i="7"/>
  <c r="DV227" i="7"/>
  <c r="DK227" i="7"/>
  <c r="DL227" i="7"/>
  <c r="DM227" i="7"/>
  <c r="DN227" i="7"/>
  <c r="DP227" i="7"/>
  <c r="DQ227" i="7"/>
  <c r="DT227" i="7"/>
  <c r="CN227" i="7"/>
  <c r="DW227" i="7"/>
  <c r="CO227" i="7"/>
  <c r="CV227" i="7"/>
  <c r="CY227" i="7"/>
  <c r="CZ227" i="7"/>
  <c r="DB227" i="7"/>
  <c r="DC227" i="7"/>
  <c r="DD227" i="7"/>
  <c r="DE227" i="7"/>
  <c r="DF227" i="7"/>
  <c r="DG227" i="7"/>
  <c r="DH227" i="7"/>
  <c r="DG271" i="7"/>
  <c r="DH271" i="7"/>
  <c r="CN271" i="7"/>
  <c r="DJ271" i="7"/>
  <c r="DB271" i="7"/>
  <c r="DD271" i="7"/>
  <c r="DF271" i="7"/>
  <c r="CO271" i="7"/>
  <c r="DN271" i="7"/>
  <c r="DQ271" i="7"/>
  <c r="DR271" i="7"/>
  <c r="CQ271" i="7"/>
  <c r="DT271" i="7"/>
  <c r="CS271" i="7"/>
  <c r="DV271" i="7"/>
  <c r="CT271" i="7"/>
  <c r="DW271" i="7"/>
  <c r="BQ9" i="7"/>
  <c r="DF9" i="7"/>
  <c r="DE9" i="7"/>
  <c r="DG9" i="7"/>
  <c r="CB31" i="7"/>
  <c r="DB31" i="7"/>
  <c r="DD31" i="7"/>
  <c r="DE31" i="7"/>
  <c r="DF31" i="7"/>
  <c r="CP31" i="7"/>
  <c r="DL31" i="7"/>
  <c r="CS31" i="7"/>
  <c r="DT31" i="7"/>
  <c r="CT31" i="7"/>
  <c r="DU31" i="7"/>
  <c r="CU31" i="7"/>
  <c r="DV31" i="7"/>
  <c r="CV31" i="7"/>
  <c r="DW31" i="7"/>
  <c r="CY31" i="7"/>
  <c r="CO31" i="7"/>
  <c r="CQ31" i="7"/>
  <c r="CR31" i="7"/>
  <c r="CW31" i="7"/>
  <c r="CX31" i="7"/>
  <c r="CZ31" i="7"/>
  <c r="DI31" i="7"/>
  <c r="DJ31" i="7"/>
  <c r="DK31" i="7"/>
  <c r="DC31" i="7"/>
  <c r="DG31" i="7"/>
  <c r="DH31" i="7"/>
  <c r="DM31" i="7"/>
  <c r="DN31" i="7"/>
  <c r="DQ31" i="7"/>
  <c r="CN31" i="7"/>
  <c r="DA31" i="7"/>
  <c r="DO31" i="7"/>
  <c r="DR31" i="7"/>
  <c r="DS31" i="7"/>
  <c r="DP31" i="7"/>
  <c r="DB53" i="7"/>
  <c r="DD53" i="7"/>
  <c r="DE53" i="7"/>
  <c r="DF53" i="7"/>
  <c r="CS53" i="7"/>
  <c r="DS53" i="7"/>
  <c r="CT53" i="7"/>
  <c r="DT53" i="7"/>
  <c r="CO53" i="7"/>
  <c r="DQ53" i="7"/>
  <c r="CP53" i="7"/>
  <c r="DR53" i="7"/>
  <c r="CQ53" i="7"/>
  <c r="DU53" i="7"/>
  <c r="CR53" i="7"/>
  <c r="DV53" i="7"/>
  <c r="CV53" i="7"/>
  <c r="DC53" i="7"/>
  <c r="DG53" i="7"/>
  <c r="DO53" i="7"/>
  <c r="DP53" i="7"/>
  <c r="DW53" i="7"/>
  <c r="CW53" i="7"/>
  <c r="CU53" i="7"/>
  <c r="CX53" i="7"/>
  <c r="CY53" i="7"/>
  <c r="DK53" i="7"/>
  <c r="DL53" i="7"/>
  <c r="DM53" i="7"/>
  <c r="DN53" i="7"/>
  <c r="CN53" i="7"/>
  <c r="CZ53" i="7"/>
  <c r="DA53" i="7"/>
  <c r="DH53" i="7"/>
  <c r="DI53" i="7"/>
  <c r="DJ53" i="7"/>
  <c r="CB75" i="7"/>
  <c r="CQ75" i="7"/>
  <c r="DM75" i="7"/>
  <c r="CR75" i="7"/>
  <c r="DN75" i="7"/>
  <c r="CS75" i="7"/>
  <c r="DO75" i="7"/>
  <c r="CT75" i="7"/>
  <c r="DP75" i="7"/>
  <c r="DD75" i="7"/>
  <c r="DE75" i="7"/>
  <c r="DF75" i="7"/>
  <c r="DG75" i="7"/>
  <c r="DA75" i="7"/>
  <c r="DB75" i="7"/>
  <c r="DC75" i="7"/>
  <c r="DH75" i="7"/>
  <c r="DI75" i="7"/>
  <c r="DK75" i="7"/>
  <c r="DR75" i="7"/>
  <c r="DS75" i="7"/>
  <c r="CN75" i="7"/>
  <c r="CO75" i="7"/>
  <c r="CP75" i="7"/>
  <c r="CU75" i="7"/>
  <c r="CV75" i="7"/>
  <c r="CW75" i="7"/>
  <c r="CY75" i="7"/>
  <c r="DJ75" i="7"/>
  <c r="DL75" i="7"/>
  <c r="DT75" i="7"/>
  <c r="DU75" i="7"/>
  <c r="DV75" i="7"/>
  <c r="DW75" i="7"/>
  <c r="CX75" i="7"/>
  <c r="DQ75" i="7"/>
  <c r="CZ75" i="7"/>
  <c r="BX97" i="7"/>
  <c r="CQ97" i="7"/>
  <c r="DM97" i="7"/>
  <c r="CX97" i="7"/>
  <c r="DU97" i="7"/>
  <c r="CY97" i="7"/>
  <c r="DV97" i="7"/>
  <c r="CZ97" i="7"/>
  <c r="DW97" i="7"/>
  <c r="DA97" i="7"/>
  <c r="CP97" i="7"/>
  <c r="DR97" i="7"/>
  <c r="CR97" i="7"/>
  <c r="DS97" i="7"/>
  <c r="CS97" i="7"/>
  <c r="DT97" i="7"/>
  <c r="CU97" i="7"/>
  <c r="DD97" i="7"/>
  <c r="DK97" i="7"/>
  <c r="DL97" i="7"/>
  <c r="DN97" i="7"/>
  <c r="DO97" i="7"/>
  <c r="DP97" i="7"/>
  <c r="CO97" i="7"/>
  <c r="CT97" i="7"/>
  <c r="CN97" i="7"/>
  <c r="CV97" i="7"/>
  <c r="CW97" i="7"/>
  <c r="DC97" i="7"/>
  <c r="DE97" i="7"/>
  <c r="DG97" i="7"/>
  <c r="DB97" i="7"/>
  <c r="DF97" i="7"/>
  <c r="DH97" i="7"/>
  <c r="DI97" i="7"/>
  <c r="DJ97" i="7"/>
  <c r="BS119" i="7"/>
  <c r="CQ119" i="7"/>
  <c r="DM119" i="7"/>
  <c r="CO119" i="7"/>
  <c r="DL119" i="7"/>
  <c r="CX119" i="7"/>
  <c r="DV119" i="7"/>
  <c r="CZ119" i="7"/>
  <c r="DB119" i="7"/>
  <c r="CN119" i="7"/>
  <c r="DQ119" i="7"/>
  <c r="CP119" i="7"/>
  <c r="DR119" i="7"/>
  <c r="CR119" i="7"/>
  <c r="DS119" i="7"/>
  <c r="CS119" i="7"/>
  <c r="DT119" i="7"/>
  <c r="CT119" i="7"/>
  <c r="DU119" i="7"/>
  <c r="CV119" i="7"/>
  <c r="DC119" i="7"/>
  <c r="DD119" i="7"/>
  <c r="CU119" i="7"/>
  <c r="CW119" i="7"/>
  <c r="DA119" i="7"/>
  <c r="DG119" i="7"/>
  <c r="CY119" i="7"/>
  <c r="DI119" i="7"/>
  <c r="DJ119" i="7"/>
  <c r="DK119" i="7"/>
  <c r="DN119" i="7"/>
  <c r="DO119" i="7"/>
  <c r="DP119" i="7"/>
  <c r="DW119" i="7"/>
  <c r="CH141" i="7"/>
  <c r="CR141" i="7"/>
  <c r="DN141" i="7"/>
  <c r="CP141" i="7"/>
  <c r="DM141" i="7"/>
  <c r="CU141" i="7"/>
  <c r="DS141" i="7"/>
  <c r="CV141" i="7"/>
  <c r="DT141" i="7"/>
  <c r="CW141" i="7"/>
  <c r="DU141" i="7"/>
  <c r="CY141" i="7"/>
  <c r="DW141" i="7"/>
  <c r="CQ141" i="7"/>
  <c r="CS141" i="7"/>
  <c r="CT141" i="7"/>
  <c r="DA141" i="7"/>
  <c r="DB141" i="7"/>
  <c r="DC141" i="7"/>
  <c r="DD141" i="7"/>
  <c r="DI141" i="7"/>
  <c r="DF141" i="7"/>
  <c r="DG141" i="7"/>
  <c r="DH141" i="7"/>
  <c r="DJ141" i="7"/>
  <c r="DL141" i="7"/>
  <c r="DP141" i="7"/>
  <c r="DQ141" i="7"/>
  <c r="CX141" i="7"/>
  <c r="DR141" i="7"/>
  <c r="DV141" i="7"/>
  <c r="DK141" i="7"/>
  <c r="DO141" i="7"/>
  <c r="CT163" i="7"/>
  <c r="DP163" i="7"/>
  <c r="CO163" i="7"/>
  <c r="DL163" i="7"/>
  <c r="CQ163" i="7"/>
  <c r="DN163" i="7"/>
  <c r="CS163" i="7"/>
  <c r="DQ163" i="7"/>
  <c r="DF163" i="7"/>
  <c r="DG163" i="7"/>
  <c r="DH163" i="7"/>
  <c r="DJ163" i="7"/>
  <c r="DK163" i="7"/>
  <c r="DO163" i="7"/>
  <c r="CP163" i="7"/>
  <c r="DV163" i="7"/>
  <c r="DS163" i="7"/>
  <c r="DT163" i="7"/>
  <c r="DU163" i="7"/>
  <c r="DW163" i="7"/>
  <c r="CR163" i="7"/>
  <c r="CU163" i="7"/>
  <c r="DE163" i="7"/>
  <c r="DI163" i="7"/>
  <c r="DM163" i="7"/>
  <c r="DR163" i="7"/>
  <c r="DD163" i="7"/>
  <c r="CN163" i="7"/>
  <c r="CV163" i="7"/>
  <c r="CW163" i="7"/>
  <c r="CX163" i="7"/>
  <c r="CY163" i="7"/>
  <c r="DA163" i="7"/>
  <c r="DB163" i="7"/>
  <c r="DC163" i="7"/>
  <c r="BP185" i="7"/>
  <c r="DC185" i="7"/>
  <c r="DH185" i="7"/>
  <c r="DI185" i="7"/>
  <c r="DJ185" i="7"/>
  <c r="CW185" i="7"/>
  <c r="DW185" i="7"/>
  <c r="CX185" i="7"/>
  <c r="CZ185" i="7"/>
  <c r="DM185" i="7"/>
  <c r="DN185" i="7"/>
  <c r="DP185" i="7"/>
  <c r="CO185" i="7"/>
  <c r="CQ185" i="7"/>
  <c r="DT185" i="7"/>
  <c r="CR185" i="7"/>
  <c r="DU185" i="7"/>
  <c r="CT185" i="7"/>
  <c r="CU185" i="7"/>
  <c r="CV185" i="7"/>
  <c r="CY185" i="7"/>
  <c r="DA185" i="7"/>
  <c r="CN185" i="7"/>
  <c r="CP185" i="7"/>
  <c r="CS185" i="7"/>
  <c r="DB185" i="7"/>
  <c r="DD185" i="7"/>
  <c r="DG185" i="7"/>
  <c r="DK185" i="7"/>
  <c r="DL185" i="7"/>
  <c r="DO185" i="7"/>
  <c r="DC207" i="7"/>
  <c r="CY207" i="7"/>
  <c r="DV207" i="7"/>
  <c r="DA207" i="7"/>
  <c r="DI207" i="7"/>
  <c r="DJ207" i="7"/>
  <c r="DL207" i="7"/>
  <c r="CX207" i="7"/>
  <c r="CZ207" i="7"/>
  <c r="DD207" i="7"/>
  <c r="CR207" i="7"/>
  <c r="CS207" i="7"/>
  <c r="CT207" i="7"/>
  <c r="CU207" i="7"/>
  <c r="CV207" i="7"/>
  <c r="CN207" i="7"/>
  <c r="CO207" i="7"/>
  <c r="CP207" i="7"/>
  <c r="CQ207" i="7"/>
  <c r="CW207" i="7"/>
  <c r="DH207" i="7"/>
  <c r="DK207" i="7"/>
  <c r="DM207" i="7"/>
  <c r="DT207" i="7"/>
  <c r="DU207" i="7"/>
  <c r="DW207" i="7"/>
  <c r="CH229" i="7"/>
  <c r="DC229" i="7"/>
  <c r="CU229" i="7"/>
  <c r="CT229" i="7"/>
  <c r="DR229" i="7"/>
  <c r="CV229" i="7"/>
  <c r="DS229" i="7"/>
  <c r="CX229" i="7"/>
  <c r="DU229" i="7"/>
  <c r="CS229" i="7"/>
  <c r="DW229" i="7"/>
  <c r="CW229" i="7"/>
  <c r="CY229" i="7"/>
  <c r="CZ229" i="7"/>
  <c r="DK229" i="7"/>
  <c r="DL229" i="7"/>
  <c r="DM229" i="7"/>
  <c r="DN229" i="7"/>
  <c r="DO229" i="7"/>
  <c r="CO229" i="7"/>
  <c r="CP229" i="7"/>
  <c r="CQ229" i="7"/>
  <c r="CN229" i="7"/>
  <c r="CR229" i="7"/>
  <c r="DA229" i="7"/>
  <c r="DF229" i="7"/>
  <c r="CA251" i="7"/>
  <c r="DA251" i="7"/>
  <c r="DW251" i="7"/>
  <c r="DB251" i="7"/>
  <c r="DD251" i="7"/>
  <c r="DJ251" i="7"/>
  <c r="DK251" i="7"/>
  <c r="DL251" i="7"/>
  <c r="CO251" i="7"/>
  <c r="DN251" i="7"/>
  <c r="CT251" i="7"/>
  <c r="DS251" i="7"/>
  <c r="CU251" i="7"/>
  <c r="DT251" i="7"/>
  <c r="DO251" i="7"/>
  <c r="DP251" i="7"/>
  <c r="DQ251" i="7"/>
  <c r="DR251" i="7"/>
  <c r="CN251" i="7"/>
  <c r="DV251" i="7"/>
  <c r="CP251" i="7"/>
  <c r="CC273" i="7"/>
  <c r="DA273" i="7"/>
  <c r="DF273" i="7"/>
  <c r="DH273" i="7"/>
  <c r="DJ273" i="7"/>
  <c r="CR273" i="7"/>
  <c r="DO273" i="7"/>
  <c r="DD273" i="7"/>
  <c r="DE273" i="7"/>
  <c r="DI273" i="7"/>
  <c r="DL273" i="7"/>
  <c r="DM273" i="7"/>
  <c r="DK9" i="7"/>
  <c r="DR276" i="7"/>
  <c r="CW273" i="7"/>
  <c r="CW272" i="7"/>
  <c r="CR271" i="7"/>
  <c r="DT269" i="7"/>
  <c r="DN267" i="7"/>
  <c r="DA266" i="7"/>
  <c r="CW265" i="7"/>
  <c r="CZ254" i="7"/>
  <c r="DM251" i="7"/>
  <c r="DD250" i="7"/>
  <c r="CT249" i="7"/>
  <c r="DJ247" i="7"/>
  <c r="DT244" i="7"/>
  <c r="DA243" i="7"/>
  <c r="DB229" i="7"/>
  <c r="CN222" i="7"/>
  <c r="DM205" i="7"/>
  <c r="DS201" i="7"/>
  <c r="DO184" i="7"/>
  <c r="DO179" i="7"/>
  <c r="DF161" i="7"/>
  <c r="DQ139" i="7"/>
  <c r="CH10" i="7"/>
  <c r="CN10" i="7"/>
  <c r="DJ10" i="7"/>
  <c r="CO10" i="7"/>
  <c r="CP10" i="7"/>
  <c r="DL10" i="7"/>
  <c r="CQ10" i="7"/>
  <c r="DM10" i="7"/>
  <c r="CR10" i="7"/>
  <c r="DN10" i="7"/>
  <c r="CS10" i="7"/>
  <c r="DO10" i="7"/>
  <c r="CX10" i="7"/>
  <c r="DT10" i="7"/>
  <c r="CY10" i="7"/>
  <c r="CZ10" i="7"/>
  <c r="DV10" i="7"/>
  <c r="CT10" i="7"/>
  <c r="CU10" i="7"/>
  <c r="CV10" i="7"/>
  <c r="CW10" i="7"/>
  <c r="DA10" i="7"/>
  <c r="DB10" i="7"/>
  <c r="DC10" i="7"/>
  <c r="DD10" i="7"/>
  <c r="DE10" i="7"/>
  <c r="DF10" i="7"/>
  <c r="DG10" i="7"/>
  <c r="DH10" i="7"/>
  <c r="DI10" i="7"/>
  <c r="DK10" i="7"/>
  <c r="DP10" i="7"/>
  <c r="DQ10" i="7"/>
  <c r="DW10" i="7"/>
  <c r="DR10" i="7"/>
  <c r="DS10" i="7"/>
  <c r="DU10" i="7"/>
  <c r="CM32" i="7"/>
  <c r="CN32" i="7"/>
  <c r="DJ32" i="7"/>
  <c r="CP32" i="7"/>
  <c r="DL32" i="7"/>
  <c r="CQ32" i="7"/>
  <c r="DM32" i="7"/>
  <c r="CR32" i="7"/>
  <c r="DN32" i="7"/>
  <c r="CX32" i="7"/>
  <c r="DT32" i="7"/>
  <c r="DO32" i="7"/>
  <c r="DP32" i="7"/>
  <c r="DQ32" i="7"/>
  <c r="DR32" i="7"/>
  <c r="CT32" i="7"/>
  <c r="DV32" i="7"/>
  <c r="CU32" i="7"/>
  <c r="CV32" i="7"/>
  <c r="CW32" i="7"/>
  <c r="CY32" i="7"/>
  <c r="CZ32" i="7"/>
  <c r="DA32" i="7"/>
  <c r="DF32" i="7"/>
  <c r="DG32" i="7"/>
  <c r="DH32" i="7"/>
  <c r="CO32" i="7"/>
  <c r="CS32" i="7"/>
  <c r="DB32" i="7"/>
  <c r="DD32" i="7"/>
  <c r="DI32" i="7"/>
  <c r="DK32" i="7"/>
  <c r="DC32" i="7"/>
  <c r="DE32" i="7"/>
  <c r="DS32" i="7"/>
  <c r="DW32" i="7"/>
  <c r="DU32" i="7"/>
  <c r="BP54" i="7"/>
  <c r="CN54" i="7"/>
  <c r="DJ54" i="7"/>
  <c r="CP54" i="7"/>
  <c r="DL54" i="7"/>
  <c r="CQ54" i="7"/>
  <c r="DM54" i="7"/>
  <c r="CR54" i="7"/>
  <c r="DN54" i="7"/>
  <c r="DI54" i="7"/>
  <c r="DK54" i="7"/>
  <c r="DO54" i="7"/>
  <c r="DP54" i="7"/>
  <c r="DQ54" i="7"/>
  <c r="DR54" i="7"/>
  <c r="CO54" i="7"/>
  <c r="DT54" i="7"/>
  <c r="CX54" i="7"/>
  <c r="CY54" i="7"/>
  <c r="CS54" i="7"/>
  <c r="CT54" i="7"/>
  <c r="DB54" i="7"/>
  <c r="CW54" i="7"/>
  <c r="CZ54" i="7"/>
  <c r="DA54" i="7"/>
  <c r="DC54" i="7"/>
  <c r="DD54" i="7"/>
  <c r="DF54" i="7"/>
  <c r="DH54" i="7"/>
  <c r="DS54" i="7"/>
  <c r="DU54" i="7"/>
  <c r="CU54" i="7"/>
  <c r="CV54" i="7"/>
  <c r="DE54" i="7"/>
  <c r="DV54" i="7"/>
  <c r="DW54" i="7"/>
  <c r="DG54" i="7"/>
  <c r="CY76" i="7"/>
  <c r="DU76" i="7"/>
  <c r="CZ76" i="7"/>
  <c r="DV76" i="7"/>
  <c r="DA76" i="7"/>
  <c r="DW76" i="7"/>
  <c r="DB76" i="7"/>
  <c r="CT76" i="7"/>
  <c r="DT76" i="7"/>
  <c r="CU76" i="7"/>
  <c r="CV76" i="7"/>
  <c r="CW76" i="7"/>
  <c r="DC76" i="7"/>
  <c r="DD76" i="7"/>
  <c r="DE76" i="7"/>
  <c r="DF76" i="7"/>
  <c r="DG76" i="7"/>
  <c r="DI76" i="7"/>
  <c r="DL76" i="7"/>
  <c r="DM76" i="7"/>
  <c r="CS76" i="7"/>
  <c r="CX76" i="7"/>
  <c r="DH76" i="7"/>
  <c r="DJ76" i="7"/>
  <c r="DK76" i="7"/>
  <c r="DN76" i="7"/>
  <c r="DO76" i="7"/>
  <c r="DQ76" i="7"/>
  <c r="DS76" i="7"/>
  <c r="CN76" i="7"/>
  <c r="CO76" i="7"/>
  <c r="CP76" i="7"/>
  <c r="CR76" i="7"/>
  <c r="DR76" i="7"/>
  <c r="CQ76" i="7"/>
  <c r="DP76" i="7"/>
  <c r="CM98" i="7"/>
  <c r="CY98" i="7"/>
  <c r="DU98" i="7"/>
  <c r="DH98" i="7"/>
  <c r="DI98" i="7"/>
  <c r="DJ98" i="7"/>
  <c r="CN98" i="7"/>
  <c r="DK98" i="7"/>
  <c r="DM98" i="7"/>
  <c r="DN98" i="7"/>
  <c r="DO98" i="7"/>
  <c r="CP98" i="7"/>
  <c r="DQ98" i="7"/>
  <c r="CU98" i="7"/>
  <c r="DW98" i="7"/>
  <c r="DL98" i="7"/>
  <c r="DP98" i="7"/>
  <c r="DR98" i="7"/>
  <c r="DS98" i="7"/>
  <c r="DT98" i="7"/>
  <c r="CO98" i="7"/>
  <c r="CR98" i="7"/>
  <c r="CT98" i="7"/>
  <c r="CV98" i="7"/>
  <c r="DF98" i="7"/>
  <c r="DG98" i="7"/>
  <c r="DV98" i="7"/>
  <c r="DC98" i="7"/>
  <c r="DD98" i="7"/>
  <c r="DE98" i="7"/>
  <c r="CQ98" i="7"/>
  <c r="CS98" i="7"/>
  <c r="BU120" i="7"/>
  <c r="CY120" i="7"/>
  <c r="DU120" i="7"/>
  <c r="CZ120" i="7"/>
  <c r="DW120" i="7"/>
  <c r="DJ120" i="7"/>
  <c r="CN120" i="7"/>
  <c r="DL120" i="7"/>
  <c r="CP120" i="7"/>
  <c r="DN120" i="7"/>
  <c r="DH120" i="7"/>
  <c r="DI120" i="7"/>
  <c r="DK120" i="7"/>
  <c r="DM120" i="7"/>
  <c r="DO120" i="7"/>
  <c r="CO120" i="7"/>
  <c r="DQ120" i="7"/>
  <c r="CT120" i="7"/>
  <c r="DV120" i="7"/>
  <c r="CU120" i="7"/>
  <c r="CV120" i="7"/>
  <c r="CW120" i="7"/>
  <c r="CX120" i="7"/>
  <c r="DC120" i="7"/>
  <c r="DD120" i="7"/>
  <c r="DE120" i="7"/>
  <c r="DF120" i="7"/>
  <c r="DP120" i="7"/>
  <c r="DT120" i="7"/>
  <c r="DA120" i="7"/>
  <c r="DB120" i="7"/>
  <c r="DG120" i="7"/>
  <c r="DR120" i="7"/>
  <c r="DS120" i="7"/>
  <c r="CS120" i="7"/>
  <c r="CQ120" i="7"/>
  <c r="CR120" i="7"/>
  <c r="CH142" i="7"/>
  <c r="CZ142" i="7"/>
  <c r="DV142" i="7"/>
  <c r="DA142" i="7"/>
  <c r="DG142" i="7"/>
  <c r="DH142" i="7"/>
  <c r="DI142" i="7"/>
  <c r="DK142" i="7"/>
  <c r="CN142" i="7"/>
  <c r="DP142" i="7"/>
  <c r="CO142" i="7"/>
  <c r="DQ142" i="7"/>
  <c r="CP142" i="7"/>
  <c r="DR142" i="7"/>
  <c r="CV142" i="7"/>
  <c r="CW142" i="7"/>
  <c r="CX142" i="7"/>
  <c r="CY142" i="7"/>
  <c r="DF142" i="7"/>
  <c r="DM142" i="7"/>
  <c r="DN142" i="7"/>
  <c r="DO142" i="7"/>
  <c r="DS142" i="7"/>
  <c r="DU142" i="7"/>
  <c r="DC142" i="7"/>
  <c r="DD142" i="7"/>
  <c r="DE142" i="7"/>
  <c r="DJ142" i="7"/>
  <c r="DL142" i="7"/>
  <c r="DT142" i="7"/>
  <c r="DW142" i="7"/>
  <c r="CQ142" i="7"/>
  <c r="CR142" i="7"/>
  <c r="CS142" i="7"/>
  <c r="CT142" i="7"/>
  <c r="CU142" i="7"/>
  <c r="DB142" i="7"/>
  <c r="CD164" i="7"/>
  <c r="DB164" i="7"/>
  <c r="CY164" i="7"/>
  <c r="DV164" i="7"/>
  <c r="DA164" i="7"/>
  <c r="DD164" i="7"/>
  <c r="CV164" i="7"/>
  <c r="DW164" i="7"/>
  <c r="CW164" i="7"/>
  <c r="CX164" i="7"/>
  <c r="DG164" i="7"/>
  <c r="DH164" i="7"/>
  <c r="DJ164" i="7"/>
  <c r="DO164" i="7"/>
  <c r="DQ164" i="7"/>
  <c r="DR164" i="7"/>
  <c r="DS164" i="7"/>
  <c r="DT164" i="7"/>
  <c r="CO164" i="7"/>
  <c r="CQ164" i="7"/>
  <c r="CR164" i="7"/>
  <c r="CN164" i="7"/>
  <c r="CP164" i="7"/>
  <c r="CS164" i="7"/>
  <c r="CT164" i="7"/>
  <c r="CU164" i="7"/>
  <c r="CZ164" i="7"/>
  <c r="DF164" i="7"/>
  <c r="DI164" i="7"/>
  <c r="DK164" i="7"/>
  <c r="DL164" i="7"/>
  <c r="CC186" i="7"/>
  <c r="CO186" i="7"/>
  <c r="DK186" i="7"/>
  <c r="CU186" i="7"/>
  <c r="DR186" i="7"/>
  <c r="CV186" i="7"/>
  <c r="DS186" i="7"/>
  <c r="CW186" i="7"/>
  <c r="DT186" i="7"/>
  <c r="DN186" i="7"/>
  <c r="CN186" i="7"/>
  <c r="DO186" i="7"/>
  <c r="CQ186" i="7"/>
  <c r="DQ186" i="7"/>
  <c r="DF186" i="7"/>
  <c r="DG186" i="7"/>
  <c r="DI186" i="7"/>
  <c r="DP186" i="7"/>
  <c r="DU186" i="7"/>
  <c r="CY186" i="7"/>
  <c r="CZ186" i="7"/>
  <c r="DA186" i="7"/>
  <c r="DB186" i="7"/>
  <c r="DC186" i="7"/>
  <c r="DE186" i="7"/>
  <c r="DH186" i="7"/>
  <c r="DJ186" i="7"/>
  <c r="DL186" i="7"/>
  <c r="DM186" i="7"/>
  <c r="DV186" i="7"/>
  <c r="CP186" i="7"/>
  <c r="CR186" i="7"/>
  <c r="CS186" i="7"/>
  <c r="CT186" i="7"/>
  <c r="CX186" i="7"/>
  <c r="DD186" i="7"/>
  <c r="DW186" i="7"/>
  <c r="BV208" i="7"/>
  <c r="CO208" i="7"/>
  <c r="DK208" i="7"/>
  <c r="DI208" i="7"/>
  <c r="CN208" i="7"/>
  <c r="DL208" i="7"/>
  <c r="CX208" i="7"/>
  <c r="DW208" i="7"/>
  <c r="CY208" i="7"/>
  <c r="DA208" i="7"/>
  <c r="CS208" i="7"/>
  <c r="DU208" i="7"/>
  <c r="CT208" i="7"/>
  <c r="DV208" i="7"/>
  <c r="CV208" i="7"/>
  <c r="CP208" i="7"/>
  <c r="CQ208" i="7"/>
  <c r="CR208" i="7"/>
  <c r="CU208" i="7"/>
  <c r="CW208" i="7"/>
  <c r="DB208" i="7"/>
  <c r="DC208" i="7"/>
  <c r="DD208" i="7"/>
  <c r="DE208" i="7"/>
  <c r="DF208" i="7"/>
  <c r="DN208" i="7"/>
  <c r="DO208" i="7"/>
  <c r="DP208" i="7"/>
  <c r="CZ208" i="7"/>
  <c r="DG208" i="7"/>
  <c r="DH208" i="7"/>
  <c r="DJ208" i="7"/>
  <c r="DS208" i="7"/>
  <c r="DT208" i="7"/>
  <c r="CM230" i="7"/>
  <c r="CO230" i="7"/>
  <c r="DK230" i="7"/>
  <c r="DE230" i="7"/>
  <c r="DF230" i="7"/>
  <c r="DH230" i="7"/>
  <c r="DN230" i="7"/>
  <c r="CN230" i="7"/>
  <c r="DO230" i="7"/>
  <c r="CP230" i="7"/>
  <c r="DP230" i="7"/>
  <c r="CQ230" i="7"/>
  <c r="DQ230" i="7"/>
  <c r="DG230" i="7"/>
  <c r="DI230" i="7"/>
  <c r="DJ230" i="7"/>
  <c r="DL230" i="7"/>
  <c r="DM230" i="7"/>
  <c r="CR230" i="7"/>
  <c r="DV230" i="7"/>
  <c r="CS230" i="7"/>
  <c r="DW230" i="7"/>
  <c r="CT230" i="7"/>
  <c r="CX230" i="7"/>
  <c r="CY230" i="7"/>
  <c r="CZ230" i="7"/>
  <c r="DA230" i="7"/>
  <c r="DB230" i="7"/>
  <c r="DC230" i="7"/>
  <c r="DD230" i="7"/>
  <c r="DU230" i="7"/>
  <c r="BP252" i="7"/>
  <c r="DI252" i="7"/>
  <c r="CN252" i="7"/>
  <c r="DJ252" i="7"/>
  <c r="CP252" i="7"/>
  <c r="DL252" i="7"/>
  <c r="CY252" i="7"/>
  <c r="CZ252" i="7"/>
  <c r="DA252" i="7"/>
  <c r="DC252" i="7"/>
  <c r="DH252" i="7"/>
  <c r="DK252" i="7"/>
  <c r="DO252" i="7"/>
  <c r="DP252" i="7"/>
  <c r="DQ252" i="7"/>
  <c r="DR252" i="7"/>
  <c r="DT252" i="7"/>
  <c r="CO252" i="7"/>
  <c r="DU252" i="7"/>
  <c r="BR274" i="7"/>
  <c r="CR274" i="7"/>
  <c r="DN274" i="7"/>
  <c r="CT274" i="7"/>
  <c r="DP274" i="7"/>
  <c r="CV274" i="7"/>
  <c r="DR274" i="7"/>
  <c r="DA274" i="7"/>
  <c r="DW274" i="7"/>
  <c r="CW274" i="7"/>
  <c r="CX274" i="7"/>
  <c r="CZ274" i="7"/>
  <c r="DD274" i="7"/>
  <c r="DJ9" i="7"/>
  <c r="DP276" i="7"/>
  <c r="CS274" i="7"/>
  <c r="CV273" i="7"/>
  <c r="CR272" i="7"/>
  <c r="CP271" i="7"/>
  <c r="DS269" i="7"/>
  <c r="DM267" i="7"/>
  <c r="CZ266" i="7"/>
  <c r="CV265" i="7"/>
  <c r="CY254" i="7"/>
  <c r="DI251" i="7"/>
  <c r="DC250" i="7"/>
  <c r="CS249" i="7"/>
  <c r="DG247" i="7"/>
  <c r="DQ244" i="7"/>
  <c r="CZ243" i="7"/>
  <c r="DM228" i="7"/>
  <c r="DL226" i="7"/>
  <c r="DW221" i="7"/>
  <c r="DL205" i="7"/>
  <c r="DR201" i="7"/>
  <c r="DN184" i="7"/>
  <c r="DM179" i="7"/>
  <c r="DE161" i="7"/>
  <c r="CW138" i="7"/>
  <c r="CK11" i="7"/>
  <c r="CV11" i="7"/>
  <c r="DR11" i="7"/>
  <c r="CX11" i="7"/>
  <c r="DT11" i="7"/>
  <c r="CY11" i="7"/>
  <c r="DU11" i="7"/>
  <c r="CZ11" i="7"/>
  <c r="DV11" i="7"/>
  <c r="DA11" i="7"/>
  <c r="DW11" i="7"/>
  <c r="DF11" i="7"/>
  <c r="DH11" i="7"/>
  <c r="CP11" i="7"/>
  <c r="CQ11" i="7"/>
  <c r="CR11" i="7"/>
  <c r="CS11" i="7"/>
  <c r="CT11" i="7"/>
  <c r="CU11" i="7"/>
  <c r="CW11" i="7"/>
  <c r="DM11" i="7"/>
  <c r="DN11" i="7"/>
  <c r="DO11" i="7"/>
  <c r="DP11" i="7"/>
  <c r="DQ11" i="7"/>
  <c r="DS11" i="7"/>
  <c r="CN11" i="7"/>
  <c r="CO11" i="7"/>
  <c r="DB11" i="7"/>
  <c r="DC11" i="7"/>
  <c r="DD11" i="7"/>
  <c r="DE11" i="7"/>
  <c r="DG11" i="7"/>
  <c r="DK11" i="7"/>
  <c r="DL11" i="7"/>
  <c r="DI11" i="7"/>
  <c r="DJ11" i="7"/>
  <c r="CK33" i="7"/>
  <c r="CV33" i="7"/>
  <c r="DR33" i="7"/>
  <c r="CX33" i="7"/>
  <c r="DT33" i="7"/>
  <c r="CY33" i="7"/>
  <c r="DU33" i="7"/>
  <c r="CZ33" i="7"/>
  <c r="DV33" i="7"/>
  <c r="DF33" i="7"/>
  <c r="DG33" i="7"/>
  <c r="DH33" i="7"/>
  <c r="DI33" i="7"/>
  <c r="DJ33" i="7"/>
  <c r="DM33" i="7"/>
  <c r="CR33" i="7"/>
  <c r="CS33" i="7"/>
  <c r="CT33" i="7"/>
  <c r="CU33" i="7"/>
  <c r="CW33" i="7"/>
  <c r="DA33" i="7"/>
  <c r="DK33" i="7"/>
  <c r="DL33" i="7"/>
  <c r="DN33" i="7"/>
  <c r="CO33" i="7"/>
  <c r="CP33" i="7"/>
  <c r="CQ33" i="7"/>
  <c r="DB33" i="7"/>
  <c r="DC33" i="7"/>
  <c r="DO33" i="7"/>
  <c r="DS33" i="7"/>
  <c r="DW33" i="7"/>
  <c r="DP33" i="7"/>
  <c r="DQ33" i="7"/>
  <c r="DD33" i="7"/>
  <c r="DE33" i="7"/>
  <c r="CN33" i="7"/>
  <c r="CV55" i="7"/>
  <c r="DR55" i="7"/>
  <c r="CX55" i="7"/>
  <c r="DT55" i="7"/>
  <c r="CY55" i="7"/>
  <c r="DU55" i="7"/>
  <c r="CZ55" i="7"/>
  <c r="DV55" i="7"/>
  <c r="DC55" i="7"/>
  <c r="DD55" i="7"/>
  <c r="DG55" i="7"/>
  <c r="DH55" i="7"/>
  <c r="DI55" i="7"/>
  <c r="DJ55" i="7"/>
  <c r="DL55" i="7"/>
  <c r="CP55" i="7"/>
  <c r="DS55" i="7"/>
  <c r="CQ55" i="7"/>
  <c r="DW55" i="7"/>
  <c r="CO55" i="7"/>
  <c r="CR55" i="7"/>
  <c r="CS55" i="7"/>
  <c r="CT55" i="7"/>
  <c r="CU55" i="7"/>
  <c r="DK55" i="7"/>
  <c r="DP55" i="7"/>
  <c r="DQ55" i="7"/>
  <c r="CN55" i="7"/>
  <c r="CW55" i="7"/>
  <c r="DA55" i="7"/>
  <c r="DB55" i="7"/>
  <c r="DE55" i="7"/>
  <c r="DF55" i="7"/>
  <c r="DM55" i="7"/>
  <c r="DN55" i="7"/>
  <c r="DO55" i="7"/>
  <c r="BY77" i="7"/>
  <c r="DG77" i="7"/>
  <c r="DH77" i="7"/>
  <c r="DI77" i="7"/>
  <c r="CN77" i="7"/>
  <c r="DJ77" i="7"/>
  <c r="DN77" i="7"/>
  <c r="CO77" i="7"/>
  <c r="DO77" i="7"/>
  <c r="CP77" i="7"/>
  <c r="DP77" i="7"/>
  <c r="CQ77" i="7"/>
  <c r="DQ77" i="7"/>
  <c r="CW77" i="7"/>
  <c r="CX77" i="7"/>
  <c r="CY77" i="7"/>
  <c r="CZ77" i="7"/>
  <c r="DA77" i="7"/>
  <c r="DC77" i="7"/>
  <c r="DF77" i="7"/>
  <c r="DK77" i="7"/>
  <c r="DS77" i="7"/>
  <c r="DT77" i="7"/>
  <c r="DU77" i="7"/>
  <c r="DV77" i="7"/>
  <c r="DW77" i="7"/>
  <c r="CR77" i="7"/>
  <c r="CS77" i="7"/>
  <c r="CT77" i="7"/>
  <c r="CU77" i="7"/>
  <c r="CV77" i="7"/>
  <c r="DB77" i="7"/>
  <c r="DD77" i="7"/>
  <c r="CK99" i="7"/>
  <c r="DG99" i="7"/>
  <c r="CU99" i="7"/>
  <c r="DR99" i="7"/>
  <c r="CV99" i="7"/>
  <c r="DS99" i="7"/>
  <c r="CW99" i="7"/>
  <c r="DT99" i="7"/>
  <c r="CX99" i="7"/>
  <c r="DD99" i="7"/>
  <c r="DE99" i="7"/>
  <c r="DF99" i="7"/>
  <c r="DI99" i="7"/>
  <c r="DN99" i="7"/>
  <c r="DM99" i="7"/>
  <c r="DO99" i="7"/>
  <c r="DP99" i="7"/>
  <c r="DQ99" i="7"/>
  <c r="DU99" i="7"/>
  <c r="CN99" i="7"/>
  <c r="DW99" i="7"/>
  <c r="CP99" i="7"/>
  <c r="CR99" i="7"/>
  <c r="CS99" i="7"/>
  <c r="CQ99" i="7"/>
  <c r="CO99" i="7"/>
  <c r="CY99" i="7"/>
  <c r="CZ99" i="7"/>
  <c r="DB99" i="7"/>
  <c r="DH99" i="7"/>
  <c r="CT99" i="7"/>
  <c r="DA99" i="7"/>
  <c r="DC99" i="7"/>
  <c r="DJ99" i="7"/>
  <c r="DK99" i="7"/>
  <c r="DL99" i="7"/>
  <c r="DV99" i="7"/>
  <c r="BT121" i="7"/>
  <c r="DG121" i="7"/>
  <c r="DJ121" i="7"/>
  <c r="CX121" i="7"/>
  <c r="DV121" i="7"/>
  <c r="CZ121" i="7"/>
  <c r="DB121" i="7"/>
  <c r="DA121" i="7"/>
  <c r="DC121" i="7"/>
  <c r="DD121" i="7"/>
  <c r="DE121" i="7"/>
  <c r="DF121" i="7"/>
  <c r="DN121" i="7"/>
  <c r="CN121" i="7"/>
  <c r="DO121" i="7"/>
  <c r="CW121" i="7"/>
  <c r="CY121" i="7"/>
  <c r="DH121" i="7"/>
  <c r="DQ121" i="7"/>
  <c r="DR121" i="7"/>
  <c r="DS121" i="7"/>
  <c r="DT121" i="7"/>
  <c r="DW121" i="7"/>
  <c r="CO121" i="7"/>
  <c r="CQ121" i="7"/>
  <c r="CR121" i="7"/>
  <c r="CP121" i="7"/>
  <c r="CS121" i="7"/>
  <c r="CT121" i="7"/>
  <c r="CU121" i="7"/>
  <c r="DK121" i="7"/>
  <c r="DL121" i="7"/>
  <c r="DM121" i="7"/>
  <c r="DP121" i="7"/>
  <c r="CK143" i="7"/>
  <c r="CN143" i="7"/>
  <c r="DJ143" i="7"/>
  <c r="CU143" i="7"/>
  <c r="DR143" i="7"/>
  <c r="CV143" i="7"/>
  <c r="DS143" i="7"/>
  <c r="CW143" i="7"/>
  <c r="DT143" i="7"/>
  <c r="CY143" i="7"/>
  <c r="DV143" i="7"/>
  <c r="DH143" i="7"/>
  <c r="DI143" i="7"/>
  <c r="DK143" i="7"/>
  <c r="CS143" i="7"/>
  <c r="CT143" i="7"/>
  <c r="CX143" i="7"/>
  <c r="CZ143" i="7"/>
  <c r="DE143" i="7"/>
  <c r="DQ143" i="7"/>
  <c r="DU143" i="7"/>
  <c r="DW143" i="7"/>
  <c r="CO143" i="7"/>
  <c r="CP143" i="7"/>
  <c r="CQ143" i="7"/>
  <c r="CR143" i="7"/>
  <c r="DA143" i="7"/>
  <c r="DB143" i="7"/>
  <c r="DC143" i="7"/>
  <c r="DD143" i="7"/>
  <c r="DF143" i="7"/>
  <c r="DG143" i="7"/>
  <c r="DM143" i="7"/>
  <c r="DN143" i="7"/>
  <c r="DO143" i="7"/>
  <c r="CE165" i="7"/>
  <c r="CN165" i="7"/>
  <c r="DJ165" i="7"/>
  <c r="DI165" i="7"/>
  <c r="CO165" i="7"/>
  <c r="DL165" i="7"/>
  <c r="CQ165" i="7"/>
  <c r="DN165" i="7"/>
  <c r="DP165" i="7"/>
  <c r="CP165" i="7"/>
  <c r="DQ165" i="7"/>
  <c r="CR165" i="7"/>
  <c r="DR165" i="7"/>
  <c r="CZ165" i="7"/>
  <c r="DA165" i="7"/>
  <c r="DC165" i="7"/>
  <c r="DH165" i="7"/>
  <c r="DU165" i="7"/>
  <c r="DV165" i="7"/>
  <c r="CS165" i="7"/>
  <c r="CU165" i="7"/>
  <c r="CV165" i="7"/>
  <c r="CX165" i="7"/>
  <c r="CY165" i="7"/>
  <c r="DB165" i="7"/>
  <c r="DD165" i="7"/>
  <c r="DE165" i="7"/>
  <c r="DO165" i="7"/>
  <c r="DS165" i="7"/>
  <c r="DT165" i="7"/>
  <c r="DW165" i="7"/>
  <c r="DK165" i="7"/>
  <c r="DM165" i="7"/>
  <c r="CK187" i="7"/>
  <c r="CW187" i="7"/>
  <c r="DS187" i="7"/>
  <c r="DE187" i="7"/>
  <c r="DF187" i="7"/>
  <c r="DG187" i="7"/>
  <c r="DD187" i="7"/>
  <c r="DH187" i="7"/>
  <c r="DJ187" i="7"/>
  <c r="CZ187" i="7"/>
  <c r="DA187" i="7"/>
  <c r="DC187" i="7"/>
  <c r="DM187" i="7"/>
  <c r="DN187" i="7"/>
  <c r="CX187" i="7"/>
  <c r="CY187" i="7"/>
  <c r="DB187" i="7"/>
  <c r="DI187" i="7"/>
  <c r="DK187" i="7"/>
  <c r="DU187" i="7"/>
  <c r="DV187" i="7"/>
  <c r="DW187" i="7"/>
  <c r="CO187" i="7"/>
  <c r="CP187" i="7"/>
  <c r="CQ187" i="7"/>
  <c r="CR187" i="7"/>
  <c r="CN187" i="7"/>
  <c r="CT187" i="7"/>
  <c r="CU187" i="7"/>
  <c r="CV187" i="7"/>
  <c r="BR209" i="7"/>
  <c r="CW209" i="7"/>
  <c r="CV209" i="7"/>
  <c r="DS209" i="7"/>
  <c r="CY209" i="7"/>
  <c r="DU209" i="7"/>
  <c r="DL209" i="7"/>
  <c r="CN209" i="7"/>
  <c r="DM209" i="7"/>
  <c r="CP209" i="7"/>
  <c r="DO209" i="7"/>
  <c r="DP209" i="7"/>
  <c r="DQ209" i="7"/>
  <c r="CQ209" i="7"/>
  <c r="DT209" i="7"/>
  <c r="CO209" i="7"/>
  <c r="CR209" i="7"/>
  <c r="CS209" i="7"/>
  <c r="CT209" i="7"/>
  <c r="CU209" i="7"/>
  <c r="DE209" i="7"/>
  <c r="DF209" i="7"/>
  <c r="DG209" i="7"/>
  <c r="DH209" i="7"/>
  <c r="DI209" i="7"/>
  <c r="DV209" i="7"/>
  <c r="DW209" i="7"/>
  <c r="CW231" i="7"/>
  <c r="DS231" i="7"/>
  <c r="CR231" i="7"/>
  <c r="DO231" i="7"/>
  <c r="CS231" i="7"/>
  <c r="CU231" i="7"/>
  <c r="DD231" i="7"/>
  <c r="DE231" i="7"/>
  <c r="DF231" i="7"/>
  <c r="DG231" i="7"/>
  <c r="DC231" i="7"/>
  <c r="DH231" i="7"/>
  <c r="DI231" i="7"/>
  <c r="DJ231" i="7"/>
  <c r="DK231" i="7"/>
  <c r="DQ231" i="7"/>
  <c r="DR231" i="7"/>
  <c r="CN231" i="7"/>
  <c r="DT231" i="7"/>
  <c r="DM231" i="7"/>
  <c r="DN231" i="7"/>
  <c r="DP231" i="7"/>
  <c r="DU231" i="7"/>
  <c r="DV231" i="7"/>
  <c r="DW231" i="7"/>
  <c r="BS253" i="7"/>
  <c r="CU253" i="7"/>
  <c r="DQ253" i="7"/>
  <c r="CV253" i="7"/>
  <c r="DR253" i="7"/>
  <c r="CX253" i="7"/>
  <c r="DT253" i="7"/>
  <c r="CN253" i="7"/>
  <c r="DM253" i="7"/>
  <c r="CO253" i="7"/>
  <c r="DN253" i="7"/>
  <c r="CP253" i="7"/>
  <c r="DO253" i="7"/>
  <c r="CR253" i="7"/>
  <c r="DS253" i="7"/>
  <c r="CZ253" i="7"/>
  <c r="DA253" i="7"/>
  <c r="DJ253" i="7"/>
  <c r="DK253" i="7"/>
  <c r="DL253" i="7"/>
  <c r="DP253" i="7"/>
  <c r="DV253" i="7"/>
  <c r="DW253" i="7"/>
  <c r="CZ275" i="7"/>
  <c r="DV275" i="7"/>
  <c r="DB275" i="7"/>
  <c r="DD275" i="7"/>
  <c r="DI275" i="7"/>
  <c r="CN275" i="7"/>
  <c r="DN275" i="7"/>
  <c r="CO275" i="7"/>
  <c r="DO275" i="7"/>
  <c r="CQ275" i="7"/>
  <c r="DI9" i="7"/>
  <c r="DT275" i="7"/>
  <c r="CR275" i="7"/>
  <c r="CQ274" i="7"/>
  <c r="CU273" i="7"/>
  <c r="CP272" i="7"/>
  <c r="DS270" i="7"/>
  <c r="DR269" i="7"/>
  <c r="DJ267" i="7"/>
  <c r="CY266" i="7"/>
  <c r="CU265" i="7"/>
  <c r="CQ253" i="7"/>
  <c r="DH251" i="7"/>
  <c r="DB250" i="7"/>
  <c r="CR249" i="7"/>
  <c r="DD247" i="7"/>
  <c r="DK244" i="7"/>
  <c r="CY243" i="7"/>
  <c r="CT231" i="7"/>
  <c r="DL228" i="7"/>
  <c r="DJ226" i="7"/>
  <c r="DU221" i="7"/>
  <c r="CZ209" i="7"/>
  <c r="DK205" i="7"/>
  <c r="DQ201" i="7"/>
  <c r="DM184" i="7"/>
  <c r="DF179" i="7"/>
  <c r="DD161" i="7"/>
  <c r="BT12" i="7"/>
  <c r="DD12" i="7"/>
  <c r="DF12" i="7"/>
  <c r="DG12" i="7"/>
  <c r="DH12" i="7"/>
  <c r="DI12" i="7"/>
  <c r="CR12" i="7"/>
  <c r="DN12" i="7"/>
  <c r="CT12" i="7"/>
  <c r="CN12" i="7"/>
  <c r="DR12" i="7"/>
  <c r="CO12" i="7"/>
  <c r="DS12" i="7"/>
  <c r="CP12" i="7"/>
  <c r="DT12" i="7"/>
  <c r="CQ12" i="7"/>
  <c r="DU12" i="7"/>
  <c r="CS12" i="7"/>
  <c r="DV12" i="7"/>
  <c r="CU12" i="7"/>
  <c r="DW12" i="7"/>
  <c r="CV12" i="7"/>
  <c r="CW12" i="7"/>
  <c r="DA12" i="7"/>
  <c r="DB12" i="7"/>
  <c r="DC12" i="7"/>
  <c r="DQ12" i="7"/>
  <c r="CX12" i="7"/>
  <c r="CY12" i="7"/>
  <c r="CZ12" i="7"/>
  <c r="DE12" i="7"/>
  <c r="DJ12" i="7"/>
  <c r="DL12" i="7"/>
  <c r="DM12" i="7"/>
  <c r="DO12" i="7"/>
  <c r="DK12" i="7"/>
  <c r="DP12" i="7"/>
  <c r="CB34" i="7"/>
  <c r="DD34" i="7"/>
  <c r="DF34" i="7"/>
  <c r="DG34" i="7"/>
  <c r="DH34" i="7"/>
  <c r="CR34" i="7"/>
  <c r="DN34" i="7"/>
  <c r="CX34" i="7"/>
  <c r="CY34" i="7"/>
  <c r="CZ34" i="7"/>
  <c r="DA34" i="7"/>
  <c r="DE34" i="7"/>
  <c r="CS34" i="7"/>
  <c r="CT34" i="7"/>
  <c r="CU34" i="7"/>
  <c r="CV34" i="7"/>
  <c r="CW34" i="7"/>
  <c r="DB34" i="7"/>
  <c r="DL34" i="7"/>
  <c r="DM34" i="7"/>
  <c r="DO34" i="7"/>
  <c r="DR34" i="7"/>
  <c r="DS34" i="7"/>
  <c r="DT34" i="7"/>
  <c r="DU34" i="7"/>
  <c r="DV34" i="7"/>
  <c r="CN34" i="7"/>
  <c r="CO34" i="7"/>
  <c r="CP34" i="7"/>
  <c r="CQ34" i="7"/>
  <c r="DC34" i="7"/>
  <c r="DJ34" i="7"/>
  <c r="DK34" i="7"/>
  <c r="DP34" i="7"/>
  <c r="DI34" i="7"/>
  <c r="DQ34" i="7"/>
  <c r="DW34" i="7"/>
  <c r="CM56" i="7"/>
  <c r="DD56" i="7"/>
  <c r="DF56" i="7"/>
  <c r="DG56" i="7"/>
  <c r="DH56" i="7"/>
  <c r="CS56" i="7"/>
  <c r="DS56" i="7"/>
  <c r="CT56" i="7"/>
  <c r="DT56" i="7"/>
  <c r="CY56" i="7"/>
  <c r="CZ56" i="7"/>
  <c r="DA56" i="7"/>
  <c r="DB56" i="7"/>
  <c r="DE56" i="7"/>
  <c r="DN56" i="7"/>
  <c r="DO56" i="7"/>
  <c r="CV56" i="7"/>
  <c r="CW56" i="7"/>
  <c r="CX56" i="7"/>
  <c r="DC56" i="7"/>
  <c r="DI56" i="7"/>
  <c r="DQ56" i="7"/>
  <c r="CN56" i="7"/>
  <c r="CO56" i="7"/>
  <c r="CP56" i="7"/>
  <c r="CR56" i="7"/>
  <c r="DJ56" i="7"/>
  <c r="DK56" i="7"/>
  <c r="DL56" i="7"/>
  <c r="DP56" i="7"/>
  <c r="DR56" i="7"/>
  <c r="DU56" i="7"/>
  <c r="DV56" i="7"/>
  <c r="DW56" i="7"/>
  <c r="CU56" i="7"/>
  <c r="DM56" i="7"/>
  <c r="CQ56" i="7"/>
  <c r="BR78" i="7"/>
  <c r="CS78" i="7"/>
  <c r="DO78" i="7"/>
  <c r="CT78" i="7"/>
  <c r="DP78" i="7"/>
  <c r="CU78" i="7"/>
  <c r="DQ78" i="7"/>
  <c r="CV78" i="7"/>
  <c r="DR78" i="7"/>
  <c r="DD78" i="7"/>
  <c r="DE78" i="7"/>
  <c r="DF78" i="7"/>
  <c r="DG78" i="7"/>
  <c r="CQ78" i="7"/>
  <c r="CR78" i="7"/>
  <c r="CW78" i="7"/>
  <c r="CX78" i="7"/>
  <c r="CY78" i="7"/>
  <c r="DA78" i="7"/>
  <c r="DH78" i="7"/>
  <c r="DI78" i="7"/>
  <c r="CO78" i="7"/>
  <c r="CZ78" i="7"/>
  <c r="DC78" i="7"/>
  <c r="DJ78" i="7"/>
  <c r="DN78" i="7"/>
  <c r="DS78" i="7"/>
  <c r="DT78" i="7"/>
  <c r="DU78" i="7"/>
  <c r="DV78" i="7"/>
  <c r="DW78" i="7"/>
  <c r="DL78" i="7"/>
  <c r="DM78" i="7"/>
  <c r="BP100" i="7"/>
  <c r="CS100" i="7"/>
  <c r="DO100" i="7"/>
  <c r="DE100" i="7"/>
  <c r="DF100" i="7"/>
  <c r="DG100" i="7"/>
  <c r="CU100" i="7"/>
  <c r="DU100" i="7"/>
  <c r="CV100" i="7"/>
  <c r="DV100" i="7"/>
  <c r="CW100" i="7"/>
  <c r="DW100" i="7"/>
  <c r="CY100" i="7"/>
  <c r="DD100" i="7"/>
  <c r="DL100" i="7"/>
  <c r="DM100" i="7"/>
  <c r="DN100" i="7"/>
  <c r="DP100" i="7"/>
  <c r="DQ100" i="7"/>
  <c r="DS100" i="7"/>
  <c r="CO100" i="7"/>
  <c r="CQ100" i="7"/>
  <c r="CR100" i="7"/>
  <c r="DB100" i="7"/>
  <c r="DC100" i="7"/>
  <c r="DH100" i="7"/>
  <c r="DJ100" i="7"/>
  <c r="DK100" i="7"/>
  <c r="DR100" i="7"/>
  <c r="DT100" i="7"/>
  <c r="CP100" i="7"/>
  <c r="CT100" i="7"/>
  <c r="CX100" i="7"/>
  <c r="CZ100" i="7"/>
  <c r="DA100" i="7"/>
  <c r="DI100" i="7"/>
  <c r="CN100" i="7"/>
  <c r="CM122" i="7"/>
  <c r="CS122" i="7"/>
  <c r="DO122" i="7"/>
  <c r="CW122" i="7"/>
  <c r="DT122" i="7"/>
  <c r="DJ122" i="7"/>
  <c r="CN122" i="7"/>
  <c r="DL122" i="7"/>
  <c r="CP122" i="7"/>
  <c r="DN122" i="7"/>
  <c r="CT122" i="7"/>
  <c r="DV122" i="7"/>
  <c r="CU122" i="7"/>
  <c r="DW122" i="7"/>
  <c r="CV122" i="7"/>
  <c r="CX122" i="7"/>
  <c r="CY122" i="7"/>
  <c r="DE122" i="7"/>
  <c r="DF122" i="7"/>
  <c r="DG122" i="7"/>
  <c r="DH122" i="7"/>
  <c r="DI122" i="7"/>
  <c r="CR122" i="7"/>
  <c r="DA122" i="7"/>
  <c r="DB122" i="7"/>
  <c r="DC122" i="7"/>
  <c r="DD122" i="7"/>
  <c r="DK122" i="7"/>
  <c r="DM122" i="7"/>
  <c r="DQ122" i="7"/>
  <c r="DR122" i="7"/>
  <c r="CQ122" i="7"/>
  <c r="CZ122" i="7"/>
  <c r="DP122" i="7"/>
  <c r="DS122" i="7"/>
  <c r="DU122" i="7"/>
  <c r="BR144" i="7"/>
  <c r="CV144" i="7"/>
  <c r="DR144" i="7"/>
  <c r="DE144" i="7"/>
  <c r="DF144" i="7"/>
  <c r="DG144" i="7"/>
  <c r="DI144" i="7"/>
  <c r="CZ144" i="7"/>
  <c r="DA144" i="7"/>
  <c r="DB144" i="7"/>
  <c r="CQ144" i="7"/>
  <c r="DV144" i="7"/>
  <c r="CR144" i="7"/>
  <c r="DW144" i="7"/>
  <c r="CS144" i="7"/>
  <c r="CT144" i="7"/>
  <c r="DC144" i="7"/>
  <c r="DU144" i="7"/>
  <c r="CN144" i="7"/>
  <c r="CP144" i="7"/>
  <c r="CW144" i="7"/>
  <c r="CX144" i="7"/>
  <c r="CY144" i="7"/>
  <c r="DD144" i="7"/>
  <c r="DH144" i="7"/>
  <c r="DJ144" i="7"/>
  <c r="DK144" i="7"/>
  <c r="DM144" i="7"/>
  <c r="CU144" i="7"/>
  <c r="DL144" i="7"/>
  <c r="DN144" i="7"/>
  <c r="DO144" i="7"/>
  <c r="DP144" i="7"/>
  <c r="DQ144" i="7"/>
  <c r="BV166" i="7"/>
  <c r="CV166" i="7"/>
  <c r="DR166" i="7"/>
  <c r="CW166" i="7"/>
  <c r="DT166" i="7"/>
  <c r="CY166" i="7"/>
  <c r="DV166" i="7"/>
  <c r="DA166" i="7"/>
  <c r="DF166" i="7"/>
  <c r="DG166" i="7"/>
  <c r="DH166" i="7"/>
  <c r="CS166" i="7"/>
  <c r="CT166" i="7"/>
  <c r="CX166" i="7"/>
  <c r="DE166" i="7"/>
  <c r="DS166" i="7"/>
  <c r="DU166" i="7"/>
  <c r="CN166" i="7"/>
  <c r="CP166" i="7"/>
  <c r="CR166" i="7"/>
  <c r="CU166" i="7"/>
  <c r="DL166" i="7"/>
  <c r="DM166" i="7"/>
  <c r="DN166" i="7"/>
  <c r="DO166" i="7"/>
  <c r="DP166" i="7"/>
  <c r="CO166" i="7"/>
  <c r="CQ166" i="7"/>
  <c r="DC166" i="7"/>
  <c r="DD166" i="7"/>
  <c r="DI166" i="7"/>
  <c r="DJ166" i="7"/>
  <c r="CZ166" i="7"/>
  <c r="DB166" i="7"/>
  <c r="DK166" i="7"/>
  <c r="DQ166" i="7"/>
  <c r="DW166" i="7"/>
  <c r="BT188" i="7"/>
  <c r="DE188" i="7"/>
  <c r="CR188" i="7"/>
  <c r="DO188" i="7"/>
  <c r="CS188" i="7"/>
  <c r="DP188" i="7"/>
  <c r="CT188" i="7"/>
  <c r="DQ188" i="7"/>
  <c r="CW188" i="7"/>
  <c r="DW188" i="7"/>
  <c r="CX188" i="7"/>
  <c r="CZ188" i="7"/>
  <c r="CV188" i="7"/>
  <c r="CY188" i="7"/>
  <c r="DB188" i="7"/>
  <c r="DG188" i="7"/>
  <c r="DH188" i="7"/>
  <c r="DF188" i="7"/>
  <c r="DI188" i="7"/>
  <c r="DJ188" i="7"/>
  <c r="DK188" i="7"/>
  <c r="DL188" i="7"/>
  <c r="CN188" i="7"/>
  <c r="CO188" i="7"/>
  <c r="CP188" i="7"/>
  <c r="DA188" i="7"/>
  <c r="DC188" i="7"/>
  <c r="DD188" i="7"/>
  <c r="DM188" i="7"/>
  <c r="DS188" i="7"/>
  <c r="DT188" i="7"/>
  <c r="DU188" i="7"/>
  <c r="DV188" i="7"/>
  <c r="DE210" i="7"/>
  <c r="DG210" i="7"/>
  <c r="CZ210" i="7"/>
  <c r="DA210" i="7"/>
  <c r="DC210" i="7"/>
  <c r="DI210" i="7"/>
  <c r="DJ210" i="7"/>
  <c r="DL210" i="7"/>
  <c r="CN210" i="7"/>
  <c r="DR210" i="7"/>
  <c r="CO210" i="7"/>
  <c r="DS210" i="7"/>
  <c r="CP210" i="7"/>
  <c r="DT210" i="7"/>
  <c r="CQ210" i="7"/>
  <c r="DU210" i="7"/>
  <c r="CR210" i="7"/>
  <c r="DV210" i="7"/>
  <c r="DK210" i="7"/>
  <c r="DM210" i="7"/>
  <c r="DN210" i="7"/>
  <c r="DO210" i="7"/>
  <c r="DP210" i="7"/>
  <c r="CS210" i="7"/>
  <c r="CT210" i="7"/>
  <c r="CU210" i="7"/>
  <c r="CV210" i="7"/>
  <c r="CW210" i="7"/>
  <c r="CX210" i="7"/>
  <c r="CY210" i="7"/>
  <c r="DB210" i="7"/>
  <c r="DQ210" i="7"/>
  <c r="DW210" i="7"/>
  <c r="CM232" i="7"/>
  <c r="DE232" i="7"/>
  <c r="DB232" i="7"/>
  <c r="CR232" i="7"/>
  <c r="DP232" i="7"/>
  <c r="CS232" i="7"/>
  <c r="DQ232" i="7"/>
  <c r="CT232" i="7"/>
  <c r="CU232" i="7"/>
  <c r="DS232" i="7"/>
  <c r="CY232" i="7"/>
  <c r="CZ232" i="7"/>
  <c r="DA232" i="7"/>
  <c r="DC232" i="7"/>
  <c r="DD232" i="7"/>
  <c r="DJ232" i="7"/>
  <c r="DK232" i="7"/>
  <c r="DL232" i="7"/>
  <c r="DU232" i="7"/>
  <c r="DV232" i="7"/>
  <c r="DW232" i="7"/>
  <c r="CN232" i="7"/>
  <c r="CV232" i="7"/>
  <c r="BQ254" i="7"/>
  <c r="DC254" i="7"/>
  <c r="DD254" i="7"/>
  <c r="DF254" i="7"/>
  <c r="DB254" i="7"/>
  <c r="DE254" i="7"/>
  <c r="DG254" i="7"/>
  <c r="DI254" i="7"/>
  <c r="CO254" i="7"/>
  <c r="DN254" i="7"/>
  <c r="CP254" i="7"/>
  <c r="DO254" i="7"/>
  <c r="DL254" i="7"/>
  <c r="DM254" i="7"/>
  <c r="DP254" i="7"/>
  <c r="DQ254" i="7"/>
  <c r="DS254" i="7"/>
  <c r="DT254" i="7"/>
  <c r="CM276" i="7"/>
  <c r="DH276" i="7"/>
  <c r="CN276" i="7"/>
  <c r="DJ276" i="7"/>
  <c r="CP276" i="7"/>
  <c r="DL276" i="7"/>
  <c r="CU276" i="7"/>
  <c r="DQ276" i="7"/>
  <c r="DD276" i="7"/>
  <c r="DE276" i="7"/>
  <c r="DN276" i="7"/>
  <c r="CO272" i="7"/>
  <c r="DQ269" i="7"/>
  <c r="DH267" i="7"/>
  <c r="CX266" i="7"/>
  <c r="CS265" i="7"/>
  <c r="CW254" i="7"/>
  <c r="DW252" i="7"/>
  <c r="DG251" i="7"/>
  <c r="DA250" i="7"/>
  <c r="DC247" i="7"/>
  <c r="DJ244" i="7"/>
  <c r="CX243" i="7"/>
  <c r="DT232" i="7"/>
  <c r="DK228" i="7"/>
  <c r="DW223" i="7"/>
  <c r="DS221" i="7"/>
  <c r="DJ205" i="7"/>
  <c r="DP201" i="7"/>
  <c r="DL184" i="7"/>
  <c r="CV179" i="7"/>
  <c r="CX161" i="7"/>
  <c r="DT135" i="7"/>
  <c r="CO122" i="7"/>
  <c r="DT71" i="7"/>
  <c r="DD9" i="7"/>
  <c r="DM276" i="7"/>
  <c r="DV274" i="7"/>
  <c r="CO274" i="7"/>
  <c r="CS273" i="7"/>
  <c r="CN272" i="7"/>
  <c r="DP270" i="7"/>
  <c r="DO269" i="7"/>
  <c r="DD267" i="7"/>
  <c r="CW266" i="7"/>
  <c r="CO265" i="7"/>
  <c r="CV254" i="7"/>
  <c r="DV252" i="7"/>
  <c r="DF251" i="7"/>
  <c r="CY250" i="7"/>
  <c r="DJ248" i="7"/>
  <c r="DB247" i="7"/>
  <c r="DG244" i="7"/>
  <c r="CW243" i="7"/>
  <c r="DR232" i="7"/>
  <c r="DI228" i="7"/>
  <c r="DD226" i="7"/>
  <c r="DV223" i="7"/>
  <c r="DP221" i="7"/>
  <c r="DR208" i="7"/>
  <c r="DG205" i="7"/>
  <c r="DO201" i="7"/>
  <c r="DE184" i="7"/>
  <c r="DI178" i="7"/>
  <c r="CW161" i="7"/>
  <c r="DN135" i="7"/>
  <c r="DU121" i="7"/>
  <c r="CU189" i="7"/>
  <c r="DU123" i="7"/>
  <c r="CR189" i="7"/>
  <c r="DT123" i="7"/>
  <c r="DS123" i="7"/>
  <c r="DR123" i="7"/>
  <c r="DG101" i="7"/>
  <c r="CL13" i="7"/>
  <c r="CP13" i="7"/>
  <c r="DL13" i="7"/>
  <c r="CR13" i="7"/>
  <c r="DN13" i="7"/>
  <c r="CS13" i="7"/>
  <c r="DO13" i="7"/>
  <c r="CT13" i="7"/>
  <c r="DP13" i="7"/>
  <c r="CU13" i="7"/>
  <c r="DQ13" i="7"/>
  <c r="CZ13" i="7"/>
  <c r="DV13" i="7"/>
  <c r="DJ13" i="7"/>
  <c r="DK13" i="7"/>
  <c r="DM13" i="7"/>
  <c r="DR13" i="7"/>
  <c r="DS13" i="7"/>
  <c r="DT13" i="7"/>
  <c r="CN13" i="7"/>
  <c r="DU13" i="7"/>
  <c r="CQ13" i="7"/>
  <c r="CV13" i="7"/>
  <c r="CW13" i="7"/>
  <c r="CX13" i="7"/>
  <c r="CY13" i="7"/>
  <c r="DA13" i="7"/>
  <c r="DB13" i="7"/>
  <c r="DF13" i="7"/>
  <c r="DG13" i="7"/>
  <c r="DH13" i="7"/>
  <c r="CO13" i="7"/>
  <c r="DC13" i="7"/>
  <c r="DD13" i="7"/>
  <c r="DE13" i="7"/>
  <c r="DI13" i="7"/>
  <c r="DW13" i="7"/>
  <c r="BV35" i="7"/>
  <c r="CP35" i="7"/>
  <c r="DL35" i="7"/>
  <c r="CR35" i="7"/>
  <c r="DN35" i="7"/>
  <c r="CS35" i="7"/>
  <c r="DO35" i="7"/>
  <c r="CT35" i="7"/>
  <c r="DP35" i="7"/>
  <c r="CZ35" i="7"/>
  <c r="DV35" i="7"/>
  <c r="CO35" i="7"/>
  <c r="DT35" i="7"/>
  <c r="CQ35" i="7"/>
  <c r="DU35" i="7"/>
  <c r="CU35" i="7"/>
  <c r="DW35" i="7"/>
  <c r="CV35" i="7"/>
  <c r="CY35" i="7"/>
  <c r="CW35" i="7"/>
  <c r="CX35" i="7"/>
  <c r="DA35" i="7"/>
  <c r="DB35" i="7"/>
  <c r="DC35" i="7"/>
  <c r="DD35" i="7"/>
  <c r="DJ35" i="7"/>
  <c r="DK35" i="7"/>
  <c r="DE35" i="7"/>
  <c r="DH35" i="7"/>
  <c r="DI35" i="7"/>
  <c r="DF35" i="7"/>
  <c r="DG35" i="7"/>
  <c r="DM35" i="7"/>
  <c r="DQ35" i="7"/>
  <c r="DR35" i="7"/>
  <c r="DS35" i="7"/>
  <c r="CN35" i="7"/>
  <c r="CP57" i="7"/>
  <c r="DL57" i="7"/>
  <c r="CR57" i="7"/>
  <c r="DN57" i="7"/>
  <c r="CS57" i="7"/>
  <c r="DO57" i="7"/>
  <c r="CT57" i="7"/>
  <c r="DP57" i="7"/>
  <c r="DI57" i="7"/>
  <c r="DJ57" i="7"/>
  <c r="CU57" i="7"/>
  <c r="DW57" i="7"/>
  <c r="CV57" i="7"/>
  <c r="CW57" i="7"/>
  <c r="CX57" i="7"/>
  <c r="CZ57" i="7"/>
  <c r="DF57" i="7"/>
  <c r="DG57" i="7"/>
  <c r="DD57" i="7"/>
  <c r="DE57" i="7"/>
  <c r="DH57" i="7"/>
  <c r="DK57" i="7"/>
  <c r="DM57" i="7"/>
  <c r="DV57" i="7"/>
  <c r="DB57" i="7"/>
  <c r="DC57" i="7"/>
  <c r="DQ57" i="7"/>
  <c r="DR57" i="7"/>
  <c r="DS57" i="7"/>
  <c r="DU57" i="7"/>
  <c r="CN57" i="7"/>
  <c r="CO57" i="7"/>
  <c r="CY57" i="7"/>
  <c r="DT57" i="7"/>
  <c r="CQ57" i="7"/>
  <c r="DA57" i="7"/>
  <c r="BR79" i="7"/>
  <c r="DA79" i="7"/>
  <c r="DW79" i="7"/>
  <c r="DB79" i="7"/>
  <c r="DC79" i="7"/>
  <c r="DD79" i="7"/>
  <c r="CT79" i="7"/>
  <c r="DT79" i="7"/>
  <c r="CU79" i="7"/>
  <c r="DU79" i="7"/>
  <c r="CV79" i="7"/>
  <c r="DV79" i="7"/>
  <c r="CW79" i="7"/>
  <c r="CO79" i="7"/>
  <c r="DS79" i="7"/>
  <c r="CP79" i="7"/>
  <c r="CQ79" i="7"/>
  <c r="CR79" i="7"/>
  <c r="CS79" i="7"/>
  <c r="CY79" i="7"/>
  <c r="DF79" i="7"/>
  <c r="DG79" i="7"/>
  <c r="CX79" i="7"/>
  <c r="CZ79" i="7"/>
  <c r="DE79" i="7"/>
  <c r="DH79" i="7"/>
  <c r="DI79" i="7"/>
  <c r="DK79" i="7"/>
  <c r="DM79" i="7"/>
  <c r="DO79" i="7"/>
  <c r="DP79" i="7"/>
  <c r="CN79" i="7"/>
  <c r="DJ79" i="7"/>
  <c r="DL79" i="7"/>
  <c r="DN79" i="7"/>
  <c r="DQ79" i="7"/>
  <c r="DR79" i="7"/>
  <c r="BZ101" i="7"/>
  <c r="DA101" i="7"/>
  <c r="DW101" i="7"/>
  <c r="CR101" i="7"/>
  <c r="DO101" i="7"/>
  <c r="CS101" i="7"/>
  <c r="DP101" i="7"/>
  <c r="CT101" i="7"/>
  <c r="DQ101" i="7"/>
  <c r="DK101" i="7"/>
  <c r="DL101" i="7"/>
  <c r="DM101" i="7"/>
  <c r="CO101" i="7"/>
  <c r="DR101" i="7"/>
  <c r="CW101" i="7"/>
  <c r="DH101" i="7"/>
  <c r="DI101" i="7"/>
  <c r="DJ101" i="7"/>
  <c r="DN101" i="7"/>
  <c r="DS101" i="7"/>
  <c r="DU101" i="7"/>
  <c r="CN101" i="7"/>
  <c r="CQ101" i="7"/>
  <c r="CU101" i="7"/>
  <c r="CP101" i="7"/>
  <c r="CX101" i="7"/>
  <c r="CY101" i="7"/>
  <c r="DB101" i="7"/>
  <c r="DD101" i="7"/>
  <c r="CZ101" i="7"/>
  <c r="DC101" i="7"/>
  <c r="DE101" i="7"/>
  <c r="DT101" i="7"/>
  <c r="DV101" i="7"/>
  <c r="BR123" i="7"/>
  <c r="DA123" i="7"/>
  <c r="DW123" i="7"/>
  <c r="DG123" i="7"/>
  <c r="CX123" i="7"/>
  <c r="DV123" i="7"/>
  <c r="CZ123" i="7"/>
  <c r="DC123" i="7"/>
  <c r="DM123" i="7"/>
  <c r="DN123" i="7"/>
  <c r="CN123" i="7"/>
  <c r="DO123" i="7"/>
  <c r="CO123" i="7"/>
  <c r="DP123" i="7"/>
  <c r="CP123" i="7"/>
  <c r="DQ123" i="7"/>
  <c r="CV123" i="7"/>
  <c r="CW123" i="7"/>
  <c r="DJ123" i="7"/>
  <c r="DK123" i="7"/>
  <c r="DL123" i="7"/>
  <c r="CR123" i="7"/>
  <c r="CS123" i="7"/>
  <c r="CT123" i="7"/>
  <c r="CU123" i="7"/>
  <c r="DB123" i="7"/>
  <c r="DF123" i="7"/>
  <c r="CQ123" i="7"/>
  <c r="CY123" i="7"/>
  <c r="DH123" i="7"/>
  <c r="BQ145" i="7"/>
  <c r="DD145" i="7"/>
  <c r="CR145" i="7"/>
  <c r="DO145" i="7"/>
  <c r="CS145" i="7"/>
  <c r="DP145" i="7"/>
  <c r="CT145" i="7"/>
  <c r="DQ145" i="7"/>
  <c r="CV145" i="7"/>
  <c r="DS145" i="7"/>
  <c r="CQ145" i="7"/>
  <c r="DV145" i="7"/>
  <c r="CU145" i="7"/>
  <c r="DW145" i="7"/>
  <c r="CW145" i="7"/>
  <c r="DT145" i="7"/>
  <c r="DU145" i="7"/>
  <c r="CN145" i="7"/>
  <c r="CO145" i="7"/>
  <c r="DA145" i="7"/>
  <c r="CP145" i="7"/>
  <c r="CX145" i="7"/>
  <c r="CY145" i="7"/>
  <c r="DB145" i="7"/>
  <c r="DE145" i="7"/>
  <c r="DF145" i="7"/>
  <c r="DN145" i="7"/>
  <c r="DR145" i="7"/>
  <c r="CZ145" i="7"/>
  <c r="DC145" i="7"/>
  <c r="DG145" i="7"/>
  <c r="DH145" i="7"/>
  <c r="CH167" i="7"/>
  <c r="DD167" i="7"/>
  <c r="DG167" i="7"/>
  <c r="DI167" i="7"/>
  <c r="CN167" i="7"/>
  <c r="DK167" i="7"/>
  <c r="CV167" i="7"/>
  <c r="DV167" i="7"/>
  <c r="CW167" i="7"/>
  <c r="DW167" i="7"/>
  <c r="CX167" i="7"/>
  <c r="CP167" i="7"/>
  <c r="DS167" i="7"/>
  <c r="CQ167" i="7"/>
  <c r="DT167" i="7"/>
  <c r="CS167" i="7"/>
  <c r="DA167" i="7"/>
  <c r="DU167" i="7"/>
  <c r="CO167" i="7"/>
  <c r="CT167" i="7"/>
  <c r="CY167" i="7"/>
  <c r="CZ167" i="7"/>
  <c r="DJ167" i="7"/>
  <c r="DL167" i="7"/>
  <c r="DM167" i="7"/>
  <c r="DN167" i="7"/>
  <c r="DO167" i="7"/>
  <c r="DP167" i="7"/>
  <c r="BR189" i="7"/>
  <c r="CQ189" i="7"/>
  <c r="DM189" i="7"/>
  <c r="DB189" i="7"/>
  <c r="DC189" i="7"/>
  <c r="DD189" i="7"/>
  <c r="DN189" i="7"/>
  <c r="CN189" i="7"/>
  <c r="DO189" i="7"/>
  <c r="CP189" i="7"/>
  <c r="DQ189" i="7"/>
  <c r="CS189" i="7"/>
  <c r="DV189" i="7"/>
  <c r="CT189" i="7"/>
  <c r="DW189" i="7"/>
  <c r="CV189" i="7"/>
  <c r="CZ189" i="7"/>
  <c r="DA189" i="7"/>
  <c r="DI189" i="7"/>
  <c r="DJ189" i="7"/>
  <c r="DK189" i="7"/>
  <c r="DL189" i="7"/>
  <c r="DP189" i="7"/>
  <c r="CX189" i="7"/>
  <c r="CY189" i="7"/>
  <c r="DE189" i="7"/>
  <c r="DF189" i="7"/>
  <c r="DG189" i="7"/>
  <c r="DH189" i="7"/>
  <c r="DT189" i="7"/>
  <c r="DU189" i="7"/>
  <c r="CL211" i="7"/>
  <c r="CQ211" i="7"/>
  <c r="DM211" i="7"/>
  <c r="CS211" i="7"/>
  <c r="DO211" i="7"/>
  <c r="CN211" i="7"/>
  <c r="DL211" i="7"/>
  <c r="CO211" i="7"/>
  <c r="DN211" i="7"/>
  <c r="CR211" i="7"/>
  <c r="DQ211" i="7"/>
  <c r="CZ211" i="7"/>
  <c r="DA211" i="7"/>
  <c r="DC211" i="7"/>
  <c r="DP211" i="7"/>
  <c r="DR211" i="7"/>
  <c r="DS211" i="7"/>
  <c r="DT211" i="7"/>
  <c r="DU211" i="7"/>
  <c r="DK211" i="7"/>
  <c r="DV211" i="7"/>
  <c r="DW211" i="7"/>
  <c r="CU211" i="7"/>
  <c r="CV211" i="7"/>
  <c r="CW211" i="7"/>
  <c r="CM233" i="7"/>
  <c r="CQ233" i="7"/>
  <c r="DM233" i="7"/>
  <c r="CO233" i="7"/>
  <c r="DL233" i="7"/>
  <c r="DD233" i="7"/>
  <c r="DE233" i="7"/>
  <c r="DG233" i="7"/>
  <c r="CR233" i="7"/>
  <c r="DS233" i="7"/>
  <c r="CS233" i="7"/>
  <c r="DT233" i="7"/>
  <c r="CT233" i="7"/>
  <c r="DU233" i="7"/>
  <c r="CU233" i="7"/>
  <c r="DV233" i="7"/>
  <c r="CV233" i="7"/>
  <c r="DW233" i="7"/>
  <c r="DA233" i="7"/>
  <c r="DB233" i="7"/>
  <c r="DC233" i="7"/>
  <c r="CM255" i="7"/>
  <c r="CO255" i="7"/>
  <c r="DK255" i="7"/>
  <c r="CP255" i="7"/>
  <c r="DL255" i="7"/>
  <c r="CR255" i="7"/>
  <c r="DN255" i="7"/>
  <c r="CT255" i="7"/>
  <c r="DS255" i="7"/>
  <c r="CU255" i="7"/>
  <c r="DT255" i="7"/>
  <c r="CV255" i="7"/>
  <c r="DU255" i="7"/>
  <c r="CX255" i="7"/>
  <c r="DW255" i="7"/>
  <c r="DC255" i="7"/>
  <c r="DD255" i="7"/>
  <c r="CH277" i="7"/>
  <c r="CT277" i="7"/>
  <c r="DP277" i="7"/>
  <c r="CV277" i="7"/>
  <c r="DR277" i="7"/>
  <c r="CX277" i="7"/>
  <c r="DT277" i="7"/>
  <c r="DC277" i="7"/>
  <c r="CW277" i="7"/>
  <c r="DJ255" i="7"/>
  <c r="DJ211" i="7"/>
  <c r="DE123" i="7"/>
  <c r="CV101" i="7"/>
  <c r="DW277" i="7"/>
  <c r="CU277" i="7"/>
  <c r="DI255" i="7"/>
  <c r="DI211" i="7"/>
  <c r="DD123" i="7"/>
  <c r="CN190" i="7"/>
  <c r="DG168" i="7"/>
  <c r="CW212" i="7"/>
  <c r="CY102" i="7"/>
  <c r="DM234" i="7"/>
  <c r="CX102" i="7"/>
  <c r="CV102" i="7"/>
  <c r="DW146" i="7"/>
  <c r="CX14" i="7"/>
  <c r="DT14" i="7"/>
  <c r="CZ14" i="7"/>
  <c r="DV14" i="7"/>
  <c r="DA14" i="7"/>
  <c r="DW14" i="7"/>
  <c r="DB14" i="7"/>
  <c r="DC14" i="7"/>
  <c r="DH14" i="7"/>
  <c r="DG14" i="7"/>
  <c r="DI14" i="7"/>
  <c r="DJ14" i="7"/>
  <c r="DK14" i="7"/>
  <c r="DL14" i="7"/>
  <c r="DM14" i="7"/>
  <c r="DN14" i="7"/>
  <c r="CU14" i="7"/>
  <c r="CV14" i="7"/>
  <c r="CW14" i="7"/>
  <c r="CY14" i="7"/>
  <c r="DD14" i="7"/>
  <c r="DE14" i="7"/>
  <c r="DF14" i="7"/>
  <c r="DR14" i="7"/>
  <c r="DS14" i="7"/>
  <c r="DU14" i="7"/>
  <c r="CN14" i="7"/>
  <c r="CQ14" i="7"/>
  <c r="CR14" i="7"/>
  <c r="CO14" i="7"/>
  <c r="CP14" i="7"/>
  <c r="CS14" i="7"/>
  <c r="DO14" i="7"/>
  <c r="DQ14" i="7"/>
  <c r="CT14" i="7"/>
  <c r="DP14" i="7"/>
  <c r="CF36" i="7"/>
  <c r="CX36" i="7"/>
  <c r="DT36" i="7"/>
  <c r="CZ36" i="7"/>
  <c r="DV36" i="7"/>
  <c r="DA36" i="7"/>
  <c r="DW36" i="7"/>
  <c r="DB36" i="7"/>
  <c r="DH36" i="7"/>
  <c r="DL36" i="7"/>
  <c r="DM36" i="7"/>
  <c r="DN36" i="7"/>
  <c r="CN36" i="7"/>
  <c r="DO36" i="7"/>
  <c r="CQ36" i="7"/>
  <c r="DR36" i="7"/>
  <c r="CU36" i="7"/>
  <c r="CV36" i="7"/>
  <c r="CW36" i="7"/>
  <c r="CY36" i="7"/>
  <c r="DC36" i="7"/>
  <c r="DD36" i="7"/>
  <c r="DK36" i="7"/>
  <c r="DP36" i="7"/>
  <c r="DF36" i="7"/>
  <c r="DG36" i="7"/>
  <c r="DI36" i="7"/>
  <c r="DJ36" i="7"/>
  <c r="DQ36" i="7"/>
  <c r="CR36" i="7"/>
  <c r="CS36" i="7"/>
  <c r="CT36" i="7"/>
  <c r="DE36" i="7"/>
  <c r="DS36" i="7"/>
  <c r="DU36" i="7"/>
  <c r="CO36" i="7"/>
  <c r="CP36" i="7"/>
  <c r="CJ58" i="7"/>
  <c r="CX58" i="7"/>
  <c r="DT58" i="7"/>
  <c r="CZ58" i="7"/>
  <c r="DV58" i="7"/>
  <c r="DA58" i="7"/>
  <c r="DW58" i="7"/>
  <c r="DB58" i="7"/>
  <c r="DC58" i="7"/>
  <c r="DD58" i="7"/>
  <c r="DO58" i="7"/>
  <c r="CN58" i="7"/>
  <c r="DP58" i="7"/>
  <c r="CO58" i="7"/>
  <c r="DQ58" i="7"/>
  <c r="CP58" i="7"/>
  <c r="DR58" i="7"/>
  <c r="CR58" i="7"/>
  <c r="DU58" i="7"/>
  <c r="CY58" i="7"/>
  <c r="DE58" i="7"/>
  <c r="DK58" i="7"/>
  <c r="DL58" i="7"/>
  <c r="DM58" i="7"/>
  <c r="DN58" i="7"/>
  <c r="DS58" i="7"/>
  <c r="CS58" i="7"/>
  <c r="CT58" i="7"/>
  <c r="CU58" i="7"/>
  <c r="CQ58" i="7"/>
  <c r="CV58" i="7"/>
  <c r="CW58" i="7"/>
  <c r="DF58" i="7"/>
  <c r="DH58" i="7"/>
  <c r="DJ58" i="7"/>
  <c r="DG58" i="7"/>
  <c r="DI58" i="7"/>
  <c r="DI80" i="7"/>
  <c r="CN80" i="7"/>
  <c r="DJ80" i="7"/>
  <c r="CO80" i="7"/>
  <c r="DK80" i="7"/>
  <c r="DL80" i="7"/>
  <c r="DM80" i="7"/>
  <c r="DN80" i="7"/>
  <c r="CP80" i="7"/>
  <c r="DO80" i="7"/>
  <c r="DS80" i="7"/>
  <c r="CQ80" i="7"/>
  <c r="DT80" i="7"/>
  <c r="CR80" i="7"/>
  <c r="DU80" i="7"/>
  <c r="CS80" i="7"/>
  <c r="DV80" i="7"/>
  <c r="CT80" i="7"/>
  <c r="DW80" i="7"/>
  <c r="CV80" i="7"/>
  <c r="CY80" i="7"/>
  <c r="CZ80" i="7"/>
  <c r="DF80" i="7"/>
  <c r="DG80" i="7"/>
  <c r="DH80" i="7"/>
  <c r="DP80" i="7"/>
  <c r="DQ80" i="7"/>
  <c r="CW80" i="7"/>
  <c r="DA80" i="7"/>
  <c r="DB80" i="7"/>
  <c r="DC80" i="7"/>
  <c r="DD80" i="7"/>
  <c r="DE80" i="7"/>
  <c r="DR80" i="7"/>
  <c r="CU80" i="7"/>
  <c r="CX80" i="7"/>
  <c r="BW102" i="7"/>
  <c r="DI102" i="7"/>
  <c r="DB102" i="7"/>
  <c r="DC102" i="7"/>
  <c r="DD102" i="7"/>
  <c r="DA102" i="7"/>
  <c r="DE102" i="7"/>
  <c r="DF102" i="7"/>
  <c r="DH102" i="7"/>
  <c r="CN102" i="7"/>
  <c r="DN102" i="7"/>
  <c r="DK102" i="7"/>
  <c r="DL102" i="7"/>
  <c r="DM102" i="7"/>
  <c r="DO102" i="7"/>
  <c r="DP102" i="7"/>
  <c r="DR102" i="7"/>
  <c r="CO102" i="7"/>
  <c r="DT102" i="7"/>
  <c r="CQ102" i="7"/>
  <c r="DV102" i="7"/>
  <c r="CR102" i="7"/>
  <c r="DW102" i="7"/>
  <c r="CS102" i="7"/>
  <c r="CT102" i="7"/>
  <c r="CU102" i="7"/>
  <c r="CW102" i="7"/>
  <c r="DJ102" i="7"/>
  <c r="DQ102" i="7"/>
  <c r="DS102" i="7"/>
  <c r="DU102" i="7"/>
  <c r="BT124" i="7"/>
  <c r="DI124" i="7"/>
  <c r="CT124" i="7"/>
  <c r="DQ124" i="7"/>
  <c r="DK124" i="7"/>
  <c r="CO124" i="7"/>
  <c r="DM124" i="7"/>
  <c r="CQ124" i="7"/>
  <c r="DO124" i="7"/>
  <c r="DD124" i="7"/>
  <c r="DE124" i="7"/>
  <c r="DF124" i="7"/>
  <c r="DG124" i="7"/>
  <c r="DH124" i="7"/>
  <c r="CP124" i="7"/>
  <c r="DS124" i="7"/>
  <c r="CR124" i="7"/>
  <c r="DT124" i="7"/>
  <c r="DR124" i="7"/>
  <c r="DU124" i="7"/>
  <c r="DV124" i="7"/>
  <c r="CZ124" i="7"/>
  <c r="DA124" i="7"/>
  <c r="DB124" i="7"/>
  <c r="DC124" i="7"/>
  <c r="DL124" i="7"/>
  <c r="DW124" i="7"/>
  <c r="CS124" i="7"/>
  <c r="CU124" i="7"/>
  <c r="CV124" i="7"/>
  <c r="CW124" i="7"/>
  <c r="CX124" i="7"/>
  <c r="CY124" i="7"/>
  <c r="DN124" i="7"/>
  <c r="DP124" i="7"/>
  <c r="BW146" i="7"/>
  <c r="CP146" i="7"/>
  <c r="DL146" i="7"/>
  <c r="DB146" i="7"/>
  <c r="DC146" i="7"/>
  <c r="DD146" i="7"/>
  <c r="DF146" i="7"/>
  <c r="DN146" i="7"/>
  <c r="DO146" i="7"/>
  <c r="CN146" i="7"/>
  <c r="DP146" i="7"/>
  <c r="DR146" i="7"/>
  <c r="DS146" i="7"/>
  <c r="CO146" i="7"/>
  <c r="DT146" i="7"/>
  <c r="CQ146" i="7"/>
  <c r="DU146" i="7"/>
  <c r="CV146" i="7"/>
  <c r="CW146" i="7"/>
  <c r="CX146" i="7"/>
  <c r="CY146" i="7"/>
  <c r="CZ146" i="7"/>
  <c r="DE146" i="7"/>
  <c r="DH146" i="7"/>
  <c r="DI146" i="7"/>
  <c r="CR146" i="7"/>
  <c r="CS146" i="7"/>
  <c r="CT146" i="7"/>
  <c r="DA146" i="7"/>
  <c r="CM168" i="7"/>
  <c r="CP168" i="7"/>
  <c r="DL168" i="7"/>
  <c r="CT168" i="7"/>
  <c r="DQ168" i="7"/>
  <c r="CV168" i="7"/>
  <c r="DS168" i="7"/>
  <c r="CX168" i="7"/>
  <c r="DU168" i="7"/>
  <c r="DM168" i="7"/>
  <c r="DN168" i="7"/>
  <c r="CN168" i="7"/>
  <c r="DO168" i="7"/>
  <c r="DP168" i="7"/>
  <c r="DR168" i="7"/>
  <c r="CO168" i="7"/>
  <c r="DV168" i="7"/>
  <c r="CW168" i="7"/>
  <c r="CQ168" i="7"/>
  <c r="CS168" i="7"/>
  <c r="CY168" i="7"/>
  <c r="DA168" i="7"/>
  <c r="DB168" i="7"/>
  <c r="CR168" i="7"/>
  <c r="CU168" i="7"/>
  <c r="CZ168" i="7"/>
  <c r="DC168" i="7"/>
  <c r="DD168" i="7"/>
  <c r="BS190" i="7"/>
  <c r="CY190" i="7"/>
  <c r="DU190" i="7"/>
  <c r="CO190" i="7"/>
  <c r="DL190" i="7"/>
  <c r="CP190" i="7"/>
  <c r="DM190" i="7"/>
  <c r="CQ190" i="7"/>
  <c r="DN190" i="7"/>
  <c r="DD190" i="7"/>
  <c r="DE190" i="7"/>
  <c r="DG190" i="7"/>
  <c r="DR190" i="7"/>
  <c r="DS190" i="7"/>
  <c r="CR190" i="7"/>
  <c r="DV190" i="7"/>
  <c r="CV190" i="7"/>
  <c r="CW190" i="7"/>
  <c r="DK190" i="7"/>
  <c r="DO190" i="7"/>
  <c r="DP190" i="7"/>
  <c r="DQ190" i="7"/>
  <c r="DT190" i="7"/>
  <c r="BV212" i="7"/>
  <c r="CY212" i="7"/>
  <c r="DU212" i="7"/>
  <c r="DA212" i="7"/>
  <c r="DW212" i="7"/>
  <c r="DB212" i="7"/>
  <c r="DC212" i="7"/>
  <c r="DE212" i="7"/>
  <c r="CQ212" i="7"/>
  <c r="DR212" i="7"/>
  <c r="CR212" i="7"/>
  <c r="DS212" i="7"/>
  <c r="CT212" i="7"/>
  <c r="DV212" i="7"/>
  <c r="DK212" i="7"/>
  <c r="DL212" i="7"/>
  <c r="DM212" i="7"/>
  <c r="DN212" i="7"/>
  <c r="DO212" i="7"/>
  <c r="CM234" i="7"/>
  <c r="CY234" i="7"/>
  <c r="DU234" i="7"/>
  <c r="CR234" i="7"/>
  <c r="DO234" i="7"/>
  <c r="CS234" i="7"/>
  <c r="DP234" i="7"/>
  <c r="CU234" i="7"/>
  <c r="DR234" i="7"/>
  <c r="BU256" i="7"/>
  <c r="CW256" i="7"/>
  <c r="DS256" i="7"/>
  <c r="CX256" i="7"/>
  <c r="DT256" i="7"/>
  <c r="CZ256" i="7"/>
  <c r="DV256" i="7"/>
  <c r="DB278" i="7"/>
  <c r="DH256" i="7"/>
  <c r="DI234" i="7"/>
  <c r="DJ190" i="7"/>
  <c r="DQ146" i="7"/>
  <c r="DJ124" i="7"/>
  <c r="CK213" i="7"/>
  <c r="CM213" i="7"/>
  <c r="CG138" i="7"/>
  <c r="CL138" i="7"/>
  <c r="CM37" i="7"/>
  <c r="CI180" i="7"/>
  <c r="CL37" i="7"/>
  <c r="CG180" i="7"/>
  <c r="CL180" i="7"/>
  <c r="BY260" i="7"/>
  <c r="CE56" i="7"/>
  <c r="CE118" i="7"/>
  <c r="CH71" i="7"/>
  <c r="CG56" i="7"/>
  <c r="CF118" i="7"/>
  <c r="CG118" i="7"/>
  <c r="CF138" i="7"/>
  <c r="BP213" i="7"/>
  <c r="CL118" i="7"/>
  <c r="CB149" i="7"/>
  <c r="CI138" i="7"/>
  <c r="CL213" i="7"/>
  <c r="CM138" i="7"/>
  <c r="CC180" i="7"/>
  <c r="CD180" i="7"/>
  <c r="CE180" i="7"/>
  <c r="CB71" i="7"/>
  <c r="CF180" i="7"/>
  <c r="CG249" i="7"/>
  <c r="CC157" i="7"/>
  <c r="CE157" i="7"/>
  <c r="CF157" i="7"/>
  <c r="CG157" i="7"/>
  <c r="CL30" i="7"/>
  <c r="CA98" i="7"/>
  <c r="CB137" i="7"/>
  <c r="CL157" i="7"/>
  <c r="BY137" i="7"/>
  <c r="BZ137" i="7"/>
  <c r="CK98" i="7"/>
  <c r="CC137" i="7"/>
  <c r="BW240" i="7"/>
  <c r="CJ75" i="7"/>
  <c r="CK75" i="7"/>
  <c r="CL98" i="7"/>
  <c r="CD137" i="7"/>
  <c r="CI176" i="7"/>
  <c r="BQ208" i="7"/>
  <c r="CM240" i="7"/>
  <c r="CJ168" i="7"/>
  <c r="CB157" i="7"/>
  <c r="BY217" i="7"/>
  <c r="BW47" i="7"/>
  <c r="BS118" i="7"/>
  <c r="CF137" i="7"/>
  <c r="CJ176" i="7"/>
  <c r="BR208" i="7"/>
  <c r="CK89" i="7"/>
  <c r="CL249" i="7"/>
  <c r="CF119" i="7"/>
  <c r="CK30" i="7"/>
  <c r="CA71" i="7"/>
  <c r="BT118" i="7"/>
  <c r="CH137" i="7"/>
  <c r="CK176" i="7"/>
  <c r="BU208" i="7"/>
  <c r="CH279" i="7"/>
  <c r="BS137" i="7"/>
  <c r="BT137" i="7"/>
  <c r="BX137" i="7"/>
  <c r="CM75" i="7"/>
  <c r="CM217" i="7"/>
  <c r="BY118" i="7"/>
  <c r="CI137" i="7"/>
  <c r="CM176" i="7"/>
  <c r="CE108" i="7"/>
  <c r="CK108" i="7"/>
  <c r="CK269" i="7"/>
  <c r="CC71" i="7"/>
  <c r="BZ118" i="7"/>
  <c r="CJ137" i="7"/>
  <c r="CL243" i="7"/>
  <c r="CA280" i="7"/>
  <c r="CA137" i="7"/>
  <c r="CD71" i="7"/>
  <c r="CA118" i="7"/>
  <c r="CK137" i="7"/>
  <c r="BQ150" i="7"/>
  <c r="CM243" i="7"/>
  <c r="BU168" i="7"/>
  <c r="CB119" i="7"/>
  <c r="CE119" i="7"/>
  <c r="BV141" i="7"/>
  <c r="CI217" i="7"/>
  <c r="CE71" i="7"/>
  <c r="CB118" i="7"/>
  <c r="CL137" i="7"/>
  <c r="CC75" i="7"/>
  <c r="CD157" i="7"/>
  <c r="CH119" i="7"/>
  <c r="CF71" i="7"/>
  <c r="CC118" i="7"/>
  <c r="BV168" i="7"/>
  <c r="BW168" i="7"/>
  <c r="BT157" i="7"/>
  <c r="CH47" i="7"/>
  <c r="CG71" i="7"/>
  <c r="CD118" i="7"/>
  <c r="BY236" i="7"/>
  <c r="CC140" i="7"/>
  <c r="CL81" i="7"/>
  <c r="BW246" i="7"/>
  <c r="CE33" i="7"/>
  <c r="BX82" i="7"/>
  <c r="BW97" i="7"/>
  <c r="CG140" i="7"/>
  <c r="CF33" i="7"/>
  <c r="BP103" i="7"/>
  <c r="BY159" i="7"/>
  <c r="CB205" i="7"/>
  <c r="CE215" i="7"/>
  <c r="CD26" i="7"/>
  <c r="CG33" i="7"/>
  <c r="CG45" i="7"/>
  <c r="CG66" i="7"/>
  <c r="CE83" i="7"/>
  <c r="CA97" i="7"/>
  <c r="BW103" i="7"/>
  <c r="CF114" i="7"/>
  <c r="CI140" i="7"/>
  <c r="CD156" i="7"/>
  <c r="BZ159" i="7"/>
  <c r="CF165" i="7"/>
  <c r="CF195" i="7"/>
  <c r="CD205" i="7"/>
  <c r="CF209" i="7"/>
  <c r="CF215" i="7"/>
  <c r="BY223" i="7"/>
  <c r="CD246" i="7"/>
  <c r="BS259" i="7"/>
  <c r="CB266" i="7"/>
  <c r="CC200" i="7"/>
  <c r="BY205" i="7"/>
  <c r="BR259" i="7"/>
  <c r="CE26" i="7"/>
  <c r="CH33" i="7"/>
  <c r="CH45" i="7"/>
  <c r="CH66" i="7"/>
  <c r="CF83" i="7"/>
  <c r="BZ103" i="7"/>
  <c r="CG114" i="7"/>
  <c r="CJ140" i="7"/>
  <c r="CA159" i="7"/>
  <c r="CG165" i="7"/>
  <c r="CG195" i="7"/>
  <c r="CE205" i="7"/>
  <c r="CG215" i="7"/>
  <c r="BZ223" i="7"/>
  <c r="CE246" i="7"/>
  <c r="BV259" i="7"/>
  <c r="CG266" i="7"/>
  <c r="BP81" i="7"/>
  <c r="BQ122" i="7"/>
  <c r="CD143" i="7"/>
  <c r="BV272" i="7"/>
  <c r="BR122" i="7"/>
  <c r="BT162" i="7"/>
  <c r="CD200" i="7"/>
  <c r="CF143" i="7"/>
  <c r="CB162" i="7"/>
  <c r="CD192" i="7"/>
  <c r="BP273" i="7"/>
  <c r="CF81" i="7"/>
  <c r="CK122" i="7"/>
  <c r="CF192" i="7"/>
  <c r="CE273" i="7"/>
  <c r="CH143" i="7"/>
  <c r="CK263" i="7"/>
  <c r="BP114" i="7"/>
  <c r="BT209" i="7"/>
  <c r="CL263" i="7"/>
  <c r="BP45" i="7"/>
  <c r="CB114" i="7"/>
  <c r="CE140" i="7"/>
  <c r="CD45" i="7"/>
  <c r="BX102" i="7"/>
  <c r="CF140" i="7"/>
  <c r="BU195" i="7"/>
  <c r="BW209" i="7"/>
  <c r="BQ73" i="7"/>
  <c r="CB156" i="7"/>
  <c r="BU159" i="7"/>
  <c r="BV195" i="7"/>
  <c r="BX209" i="7"/>
  <c r="BU26" i="7"/>
  <c r="CF45" i="7"/>
  <c r="CE114" i="7"/>
  <c r="CH140" i="7"/>
  <c r="BP165" i="7"/>
  <c r="BZ195" i="7"/>
  <c r="CD209" i="7"/>
  <c r="BX223" i="7"/>
  <c r="BX266" i="7"/>
  <c r="CF26" i="7"/>
  <c r="CI33" i="7"/>
  <c r="CK45" i="7"/>
  <c r="CJ66" i="7"/>
  <c r="CG83" i="7"/>
  <c r="BP98" i="7"/>
  <c r="CH114" i="7"/>
  <c r="CK140" i="7"/>
  <c r="BP157" i="7"/>
  <c r="CB159" i="7"/>
  <c r="CH165" i="7"/>
  <c r="CH195" i="7"/>
  <c r="CG205" i="7"/>
  <c r="CH215" i="7"/>
  <c r="CA223" i="7"/>
  <c r="CG229" i="7"/>
  <c r="CF246" i="7"/>
  <c r="BW259" i="7"/>
  <c r="CI266" i="7"/>
  <c r="BQ279" i="7"/>
  <c r="BQ215" i="7"/>
  <c r="BR215" i="7"/>
  <c r="BU209" i="7"/>
  <c r="CC215" i="7"/>
  <c r="CD215" i="7"/>
  <c r="CG26" i="7"/>
  <c r="CJ33" i="7"/>
  <c r="CL45" i="7"/>
  <c r="CH83" i="7"/>
  <c r="CI114" i="7"/>
  <c r="CL140" i="7"/>
  <c r="CC159" i="7"/>
  <c r="CI165" i="7"/>
  <c r="CI195" i="7"/>
  <c r="CI205" i="7"/>
  <c r="CI215" i="7"/>
  <c r="CC223" i="7"/>
  <c r="CH246" i="7"/>
  <c r="CJ266" i="7"/>
  <c r="CB81" i="7"/>
  <c r="BZ192" i="7"/>
  <c r="CE224" i="7"/>
  <c r="BR140" i="7"/>
  <c r="CH224" i="7"/>
  <c r="CD51" i="7"/>
  <c r="BQ246" i="7"/>
  <c r="BU223" i="7"/>
  <c r="CB246" i="7"/>
  <c r="CM239" i="7"/>
  <c r="CI26" i="7"/>
  <c r="CM45" i="7"/>
  <c r="CF56" i="7"/>
  <c r="BT67" i="7"/>
  <c r="CL75" i="7"/>
  <c r="CB98" i="7"/>
  <c r="CK114" i="7"/>
  <c r="CG119" i="7"/>
  <c r="CK131" i="7"/>
  <c r="BX150" i="7"/>
  <c r="BU157" i="7"/>
  <c r="CH159" i="7"/>
  <c r="CJ165" i="7"/>
  <c r="CJ195" i="7"/>
  <c r="CJ205" i="7"/>
  <c r="CJ215" i="7"/>
  <c r="CE223" i="7"/>
  <c r="BZ230" i="7"/>
  <c r="BS241" i="7"/>
  <c r="CI246" i="7"/>
  <c r="CK266" i="7"/>
  <c r="CD224" i="7"/>
  <c r="BP60" i="7"/>
  <c r="CE143" i="7"/>
  <c r="CC51" i="7"/>
  <c r="CL152" i="7"/>
  <c r="CI224" i="7"/>
  <c r="CK51" i="7"/>
  <c r="CC33" i="7"/>
  <c r="BZ246" i="7"/>
  <c r="CL239" i="7"/>
  <c r="CC98" i="7"/>
  <c r="CL114" i="7"/>
  <c r="BY150" i="7"/>
  <c r="BV157" i="7"/>
  <c r="CI159" i="7"/>
  <c r="CL165" i="7"/>
  <c r="CK195" i="7"/>
  <c r="CK205" i="7"/>
  <c r="CM215" i="7"/>
  <c r="CF223" i="7"/>
  <c r="CI230" i="7"/>
  <c r="CM224" i="7"/>
  <c r="CF66" i="7"/>
  <c r="CM12" i="7"/>
  <c r="CH56" i="7"/>
  <c r="CD98" i="7"/>
  <c r="CJ119" i="7"/>
  <c r="CI141" i="7"/>
  <c r="BZ150" i="7"/>
  <c r="BW157" i="7"/>
  <c r="CJ159" i="7"/>
  <c r="CM165" i="7"/>
  <c r="CM195" i="7"/>
  <c r="CL205" i="7"/>
  <c r="BX213" i="7"/>
  <c r="CG223" i="7"/>
  <c r="CJ230" i="7"/>
  <c r="BZ260" i="7"/>
  <c r="BX152" i="7"/>
  <c r="BV60" i="7"/>
  <c r="CK152" i="7"/>
  <c r="BV263" i="7"/>
  <c r="CD162" i="7"/>
  <c r="CJ263" i="7"/>
  <c r="CF162" i="7"/>
  <c r="CI273" i="7"/>
  <c r="CB33" i="7"/>
  <c r="BT102" i="7"/>
  <c r="BS123" i="7"/>
  <c r="CD140" i="7"/>
  <c r="CL162" i="7"/>
  <c r="CK273" i="7"/>
  <c r="CL51" i="7"/>
  <c r="CM81" i="7"/>
  <c r="CD33" i="7"/>
  <c r="CM51" i="7"/>
  <c r="CC114" i="7"/>
  <c r="CL173" i="7"/>
  <c r="CE45" i="7"/>
  <c r="CD114" i="7"/>
  <c r="CC246" i="7"/>
  <c r="BT28" i="7"/>
  <c r="BV47" i="7"/>
  <c r="CI56" i="7"/>
  <c r="CF98" i="7"/>
  <c r="CB108" i="7"/>
  <c r="CK119" i="7"/>
  <c r="CH138" i="7"/>
  <c r="CJ141" i="7"/>
  <c r="CA150" i="7"/>
  <c r="BX157" i="7"/>
  <c r="CK159" i="7"/>
  <c r="BP190" i="7"/>
  <c r="CM205" i="7"/>
  <c r="BY213" i="7"/>
  <c r="CH223" i="7"/>
  <c r="CL230" i="7"/>
  <c r="CF243" i="7"/>
  <c r="CB260" i="7"/>
  <c r="BQ223" i="7"/>
  <c r="CB215" i="7"/>
  <c r="BV223" i="7"/>
  <c r="BW223" i="7"/>
  <c r="CJ56" i="7"/>
  <c r="CG98" i="7"/>
  <c r="CL119" i="7"/>
  <c r="CK141" i="7"/>
  <c r="CB150" i="7"/>
  <c r="BY157" i="7"/>
  <c r="CL159" i="7"/>
  <c r="BQ190" i="7"/>
  <c r="CF213" i="7"/>
  <c r="CK223" i="7"/>
  <c r="CI243" i="7"/>
  <c r="CC260" i="7"/>
  <c r="BS209" i="7"/>
  <c r="CG47" i="7"/>
  <c r="BZ71" i="7"/>
  <c r="CH98" i="7"/>
  <c r="CG108" i="7"/>
  <c r="CJ138" i="7"/>
  <c r="CM141" i="7"/>
  <c r="CD150" i="7"/>
  <c r="BZ157" i="7"/>
  <c r="CM159" i="7"/>
  <c r="CI213" i="7"/>
  <c r="CL223" i="7"/>
  <c r="CJ243" i="7"/>
  <c r="CF260" i="7"/>
  <c r="CE81" i="7"/>
  <c r="BV122" i="7"/>
  <c r="CF224" i="7"/>
  <c r="CG143" i="7"/>
  <c r="CI81" i="7"/>
  <c r="CK236" i="7"/>
  <c r="BQ95" i="7"/>
  <c r="CJ224" i="7"/>
  <c r="CA246" i="7"/>
  <c r="CJ98" i="7"/>
  <c r="CK138" i="7"/>
  <c r="CA157" i="7"/>
  <c r="CJ213" i="7"/>
  <c r="CM223" i="7"/>
  <c r="CK243" i="7"/>
  <c r="CK260" i="7"/>
  <c r="BT169" i="7"/>
  <c r="BY163" i="7"/>
  <c r="CA163" i="7"/>
  <c r="CM163" i="7"/>
  <c r="CL163" i="7"/>
  <c r="CJ163" i="7"/>
  <c r="CK163" i="7"/>
  <c r="CI163" i="7"/>
  <c r="CH163" i="7"/>
  <c r="CE163" i="7"/>
  <c r="CC163" i="7"/>
  <c r="BZ163" i="7"/>
  <c r="CG163" i="7"/>
  <c r="CK170" i="7"/>
  <c r="CL170" i="7"/>
  <c r="BV237" i="7"/>
  <c r="CI244" i="7"/>
  <c r="CH244" i="7"/>
  <c r="CJ244" i="7"/>
  <c r="CK244" i="7"/>
  <c r="CA214" i="7"/>
  <c r="CC214" i="7"/>
  <c r="CM214" i="7"/>
  <c r="CI214" i="7"/>
  <c r="CL214" i="7"/>
  <c r="CK214" i="7"/>
  <c r="CJ214" i="7"/>
  <c r="CH214" i="7"/>
  <c r="CE214" i="7"/>
  <c r="CG214" i="7"/>
  <c r="CD214" i="7"/>
  <c r="CF214" i="7"/>
  <c r="CB214" i="7"/>
  <c r="BU30" i="7"/>
  <c r="CI30" i="7"/>
  <c r="CH30" i="7"/>
  <c r="BP30" i="7"/>
  <c r="CG30" i="7"/>
  <c r="CF30" i="7"/>
  <c r="CE30" i="7"/>
  <c r="CD30" i="7"/>
  <c r="CC30" i="7"/>
  <c r="CA30" i="7"/>
  <c r="CB30" i="7"/>
  <c r="BW30" i="7"/>
  <c r="BQ30" i="7"/>
  <c r="BV30" i="7"/>
  <c r="BT30" i="7"/>
  <c r="BR30" i="7"/>
  <c r="CD102" i="7"/>
  <c r="CC102" i="7"/>
  <c r="CM102" i="7"/>
  <c r="CJ102" i="7"/>
  <c r="CH102" i="7"/>
  <c r="CE102" i="7"/>
  <c r="CG102" i="7"/>
  <c r="CA102" i="7"/>
  <c r="CF102" i="7"/>
  <c r="BP163" i="7"/>
  <c r="BP170" i="7"/>
  <c r="BW237" i="7"/>
  <c r="CG244" i="7"/>
  <c r="BY252" i="7"/>
  <c r="CC252" i="7"/>
  <c r="CM252" i="7"/>
  <c r="BZ252" i="7"/>
  <c r="BW270" i="7"/>
  <c r="CK80" i="7"/>
  <c r="CB80" i="7"/>
  <c r="CM80" i="7"/>
  <c r="CJ80" i="7"/>
  <c r="CH80" i="7"/>
  <c r="CI80" i="7"/>
  <c r="CG80" i="7"/>
  <c r="CD80" i="7"/>
  <c r="CC80" i="7"/>
  <c r="CF80" i="7"/>
  <c r="CA80" i="7"/>
  <c r="CE80" i="7"/>
  <c r="BP80" i="7"/>
  <c r="BW80" i="7"/>
  <c r="CF142" i="7"/>
  <c r="CM107" i="7"/>
  <c r="CD107" i="7"/>
  <c r="CC107" i="7"/>
  <c r="CL107" i="7"/>
  <c r="CK107" i="7"/>
  <c r="CH107" i="7"/>
  <c r="CE107" i="7"/>
  <c r="CG107" i="7"/>
  <c r="CF107" i="7"/>
  <c r="BX107" i="7"/>
  <c r="BT127" i="7"/>
  <c r="CF127" i="7"/>
  <c r="CE127" i="7"/>
  <c r="CL127" i="7"/>
  <c r="CM127" i="7"/>
  <c r="CK127" i="7"/>
  <c r="CI127" i="7"/>
  <c r="CG127" i="7"/>
  <c r="CH127" i="7"/>
  <c r="CD127" i="7"/>
  <c r="BY177" i="7"/>
  <c r="CK178" i="7"/>
  <c r="CM178" i="7"/>
  <c r="BY29" i="7"/>
  <c r="CM97" i="7"/>
  <c r="CC97" i="7"/>
  <c r="CI97" i="7"/>
  <c r="CL97" i="7"/>
  <c r="CJ97" i="7"/>
  <c r="CH97" i="7"/>
  <c r="CB97" i="7"/>
  <c r="CF97" i="7"/>
  <c r="CD97" i="7"/>
  <c r="CE97" i="7"/>
  <c r="CJ170" i="7"/>
  <c r="BX237" i="7"/>
  <c r="CM274" i="7"/>
  <c r="CG274" i="7"/>
  <c r="BP16" i="7"/>
  <c r="BU274" i="7"/>
  <c r="BZ107" i="7"/>
  <c r="CB107" i="7"/>
  <c r="BS188" i="7"/>
  <c r="CC127" i="7"/>
  <c r="BU188" i="7"/>
  <c r="CG29" i="7"/>
  <c r="CC25" i="7"/>
  <c r="BX25" i="7"/>
  <c r="BY25" i="7"/>
  <c r="BP271" i="7"/>
  <c r="CG271" i="7"/>
  <c r="CF271" i="7"/>
  <c r="CH271" i="7"/>
  <c r="CM271" i="7"/>
  <c r="CL271" i="7"/>
  <c r="CJ271" i="7"/>
  <c r="BV25" i="7"/>
  <c r="BU67" i="7"/>
  <c r="CC111" i="7"/>
  <c r="CK111" i="7"/>
  <c r="CG111" i="7"/>
  <c r="CE111" i="7"/>
  <c r="CI111" i="7"/>
  <c r="CH111" i="7"/>
  <c r="CD111" i="7"/>
  <c r="BP132" i="7"/>
  <c r="CK238" i="7"/>
  <c r="BX238" i="7"/>
  <c r="BY238" i="7"/>
  <c r="CA238" i="7"/>
  <c r="BR271" i="7"/>
  <c r="BU281" i="7"/>
  <c r="CM281" i="7"/>
  <c r="CJ281" i="7"/>
  <c r="BY281" i="7"/>
  <c r="BX281" i="7"/>
  <c r="CI281" i="7"/>
  <c r="CH281" i="7"/>
  <c r="CG281" i="7"/>
  <c r="CF281" i="7"/>
  <c r="CE281" i="7"/>
  <c r="CD281" i="7"/>
  <c r="CC281" i="7"/>
  <c r="CA281" i="7"/>
  <c r="BZ281" i="7"/>
  <c r="CB281" i="7"/>
  <c r="CL232" i="7"/>
  <c r="BU16" i="7"/>
  <c r="BX29" i="7"/>
  <c r="BW25" i="7"/>
  <c r="BZ31" i="7"/>
  <c r="CE31" i="7"/>
  <c r="CD31" i="7"/>
  <c r="CM31" i="7"/>
  <c r="CK31" i="7"/>
  <c r="CJ31" i="7"/>
  <c r="CI31" i="7"/>
  <c r="CF31" i="7"/>
  <c r="CH31" i="7"/>
  <c r="CG31" i="7"/>
  <c r="CK57" i="7"/>
  <c r="CM57" i="7"/>
  <c r="CJ57" i="7"/>
  <c r="BY97" i="7"/>
  <c r="BY102" i="7"/>
  <c r="BP111" i="7"/>
  <c r="BS281" i="7"/>
  <c r="CL27" i="7"/>
  <c r="BV27" i="7"/>
  <c r="CM27" i="7"/>
  <c r="CA27" i="7"/>
  <c r="CE27" i="7"/>
  <c r="CD27" i="7"/>
  <c r="CC27" i="7"/>
  <c r="BZ27" i="7"/>
  <c r="BW27" i="7"/>
  <c r="BY27" i="7"/>
  <c r="BX27" i="7"/>
  <c r="BU27" i="7"/>
  <c r="BV126" i="7"/>
  <c r="CI126" i="7"/>
  <c r="CH126" i="7"/>
  <c r="CG126" i="7"/>
  <c r="BU126" i="7"/>
  <c r="BT126" i="7"/>
  <c r="CF126" i="7"/>
  <c r="CE126" i="7"/>
  <c r="CA126" i="7"/>
  <c r="CD126" i="7"/>
  <c r="CC126" i="7"/>
  <c r="CB126" i="7"/>
  <c r="BZ126" i="7"/>
  <c r="BW126" i="7"/>
  <c r="BY126" i="7"/>
  <c r="BS126" i="7"/>
  <c r="BX126" i="7"/>
  <c r="BX274" i="7"/>
  <c r="CL16" i="7"/>
  <c r="CK65" i="7"/>
  <c r="CM65" i="7"/>
  <c r="BU65" i="7"/>
  <c r="BT65" i="7"/>
  <c r="CJ65" i="7"/>
  <c r="CI65" i="7"/>
  <c r="CE65" i="7"/>
  <c r="CH65" i="7"/>
  <c r="CG65" i="7"/>
  <c r="CF65" i="7"/>
  <c r="CD65" i="7"/>
  <c r="BZ65" i="7"/>
  <c r="BY65" i="7"/>
  <c r="BX65" i="7"/>
  <c r="BU127" i="7"/>
  <c r="BP188" i="7"/>
  <c r="CA107" i="7"/>
  <c r="BR188" i="7"/>
  <c r="BP29" i="7"/>
  <c r="BS65" i="7"/>
  <c r="CA127" i="7"/>
  <c r="CB178" i="7"/>
  <c r="CF154" i="7"/>
  <c r="CM154" i="7"/>
  <c r="CL154" i="7"/>
  <c r="CD154" i="7"/>
  <c r="BT154" i="7"/>
  <c r="CC154" i="7"/>
  <c r="BV154" i="7"/>
  <c r="BU154" i="7"/>
  <c r="CB154" i="7"/>
  <c r="CA154" i="7"/>
  <c r="BS169" i="7"/>
  <c r="CA31" i="7"/>
  <c r="CI57" i="7"/>
  <c r="BZ97" i="7"/>
  <c r="CM192" i="7"/>
  <c r="CJ192" i="7"/>
  <c r="CI192" i="7"/>
  <c r="CL192" i="7"/>
  <c r="CG192" i="7"/>
  <c r="CK192" i="7"/>
  <c r="CH192" i="7"/>
  <c r="BV281" i="7"/>
  <c r="BX80" i="7"/>
  <c r="BY80" i="7"/>
  <c r="CK16" i="7"/>
  <c r="BY107" i="7"/>
  <c r="BV127" i="7"/>
  <c r="BQ41" i="7"/>
  <c r="CL41" i="7"/>
  <c r="CM41" i="7"/>
  <c r="CH41" i="7"/>
  <c r="CG41" i="7"/>
  <c r="CF41" i="7"/>
  <c r="BV41" i="7"/>
  <c r="BR41" i="7"/>
  <c r="BU134" i="7"/>
  <c r="BZ134" i="7"/>
  <c r="CM134" i="7"/>
  <c r="CL134" i="7"/>
  <c r="CK134" i="7"/>
  <c r="CG134" i="7"/>
  <c r="CF134" i="7"/>
  <c r="CE134" i="7"/>
  <c r="CA200" i="7"/>
  <c r="CK200" i="7"/>
  <c r="CM200" i="7"/>
  <c r="CE264" i="7"/>
  <c r="CH264" i="7"/>
  <c r="CF264" i="7"/>
  <c r="CM264" i="7"/>
  <c r="CL264" i="7"/>
  <c r="CI264" i="7"/>
  <c r="CK264" i="7"/>
  <c r="CG264" i="7"/>
  <c r="CJ264" i="7"/>
  <c r="CC31" i="7"/>
  <c r="BP41" i="7"/>
  <c r="BP49" i="7"/>
  <c r="BX134" i="7"/>
  <c r="BP200" i="7"/>
  <c r="BT208" i="7"/>
  <c r="BW208" i="7"/>
  <c r="CJ208" i="7"/>
  <c r="BY208" i="7"/>
  <c r="CI208" i="7"/>
  <c r="CH208" i="7"/>
  <c r="CG208" i="7"/>
  <c r="CF208" i="7"/>
  <c r="CD208" i="7"/>
  <c r="CE208" i="7"/>
  <c r="CC208" i="7"/>
  <c r="BZ208" i="7"/>
  <c r="CB208" i="7"/>
  <c r="CA208" i="7"/>
  <c r="BX208" i="7"/>
  <c r="BQ264" i="7"/>
  <c r="CD218" i="7"/>
  <c r="CM218" i="7"/>
  <c r="CF218" i="7"/>
  <c r="CI218" i="7"/>
  <c r="BQ27" i="7"/>
  <c r="BZ80" i="7"/>
  <c r="CD188" i="7"/>
  <c r="CJ188" i="7"/>
  <c r="CL188" i="7"/>
  <c r="BV188" i="7"/>
  <c r="CI188" i="7"/>
  <c r="CH188" i="7"/>
  <c r="CG188" i="7"/>
  <c r="CF188" i="7"/>
  <c r="CE188" i="7"/>
  <c r="CK55" i="7"/>
  <c r="CM55" i="7"/>
  <c r="BU55" i="7"/>
  <c r="CL55" i="7"/>
  <c r="CI55" i="7"/>
  <c r="CE55" i="7"/>
  <c r="CH55" i="7"/>
  <c r="CG55" i="7"/>
  <c r="CF55" i="7"/>
  <c r="CD55" i="7"/>
  <c r="BV55" i="7"/>
  <c r="CC55" i="7"/>
  <c r="BW55" i="7"/>
  <c r="CB55" i="7"/>
  <c r="CH178" i="7"/>
  <c r="CL268" i="7"/>
  <c r="BR268" i="7"/>
  <c r="BS268" i="7"/>
  <c r="CM268" i="7"/>
  <c r="CE268" i="7"/>
  <c r="CJ268" i="7"/>
  <c r="CI268" i="7"/>
  <c r="CH268" i="7"/>
  <c r="CF268" i="7"/>
  <c r="CD268" i="7"/>
  <c r="CA268" i="7"/>
  <c r="CC268" i="7"/>
  <c r="CB268" i="7"/>
  <c r="BQ268" i="7"/>
  <c r="BR154" i="7"/>
  <c r="CC192" i="7"/>
  <c r="CB200" i="7"/>
  <c r="BP208" i="7"/>
  <c r="BU240" i="7"/>
  <c r="BU259" i="7"/>
  <c r="CF259" i="7"/>
  <c r="BY259" i="7"/>
  <c r="BZ259" i="7"/>
  <c r="CM259" i="7"/>
  <c r="CA259" i="7"/>
  <c r="CJ259" i="7"/>
  <c r="CI259" i="7"/>
  <c r="CH259" i="7"/>
  <c r="CG259" i="7"/>
  <c r="CE259" i="7"/>
  <c r="CB259" i="7"/>
  <c r="CD259" i="7"/>
  <c r="CC259" i="7"/>
  <c r="BR264" i="7"/>
  <c r="BQ99" i="7"/>
  <c r="BP115" i="7"/>
  <c r="BP19" i="7"/>
  <c r="BP50" i="7"/>
  <c r="BQ83" i="7"/>
  <c r="CL120" i="7"/>
  <c r="BW166" i="7"/>
  <c r="BU241" i="7"/>
  <c r="BQ19" i="7"/>
  <c r="BR34" i="7"/>
  <c r="BQ46" i="7"/>
  <c r="BR50" i="7"/>
  <c r="BP69" i="7"/>
  <c r="CG72" i="7"/>
  <c r="CA79" i="7"/>
  <c r="BR83" i="7"/>
  <c r="CA99" i="7"/>
  <c r="BR115" i="7"/>
  <c r="BR143" i="7"/>
  <c r="BP146" i="7"/>
  <c r="BY179" i="7"/>
  <c r="CD182" i="7"/>
  <c r="BP197" i="7"/>
  <c r="CA202" i="7"/>
  <c r="CA206" i="7"/>
  <c r="CD220" i="7"/>
  <c r="BS227" i="7"/>
  <c r="BT234" i="7"/>
  <c r="BP239" i="7"/>
  <c r="CI241" i="7"/>
  <c r="BT247" i="7"/>
  <c r="BW276" i="7"/>
  <c r="BT241" i="7"/>
  <c r="BZ79" i="7"/>
  <c r="BQ115" i="7"/>
  <c r="CA182" i="7"/>
  <c r="BQ220" i="7"/>
  <c r="BR234" i="7"/>
  <c r="BZ19" i="7"/>
  <c r="BQ26" i="7"/>
  <c r="BS34" i="7"/>
  <c r="BR46" i="7"/>
  <c r="BS50" i="7"/>
  <c r="BQ69" i="7"/>
  <c r="CH72" i="7"/>
  <c r="CB79" i="7"/>
  <c r="BS83" i="7"/>
  <c r="CB99" i="7"/>
  <c r="BZ115" i="7"/>
  <c r="CH118" i="7"/>
  <c r="BP140" i="7"/>
  <c r="BP141" i="7"/>
  <c r="BS143" i="7"/>
  <c r="CA146" i="7"/>
  <c r="BV152" i="7"/>
  <c r="BV173" i="7"/>
  <c r="BZ179" i="7"/>
  <c r="BY197" i="7"/>
  <c r="CB202" i="7"/>
  <c r="CB206" i="7"/>
  <c r="BW217" i="7"/>
  <c r="CG220" i="7"/>
  <c r="BT227" i="7"/>
  <c r="BV234" i="7"/>
  <c r="BQ239" i="7"/>
  <c r="CK241" i="7"/>
  <c r="BX247" i="7"/>
  <c r="BP263" i="7"/>
  <c r="BZ276" i="7"/>
  <c r="BP46" i="7"/>
  <c r="CI87" i="7"/>
  <c r="BR99" i="7"/>
  <c r="BR139" i="7"/>
  <c r="BP179" i="7"/>
  <c r="CA19" i="7"/>
  <c r="BT26" i="7"/>
  <c r="CD34" i="7"/>
  <c r="CD46" i="7"/>
  <c r="BT50" i="7"/>
  <c r="BR69" i="7"/>
  <c r="CC79" i="7"/>
  <c r="BT83" i="7"/>
  <c r="CC99" i="7"/>
  <c r="CI118" i="7"/>
  <c r="BQ140" i="7"/>
  <c r="BT141" i="7"/>
  <c r="BT143" i="7"/>
  <c r="CD146" i="7"/>
  <c r="BW152" i="7"/>
  <c r="CI173" i="7"/>
  <c r="CA179" i="7"/>
  <c r="CD197" i="7"/>
  <c r="CC206" i="7"/>
  <c r="BX217" i="7"/>
  <c r="CJ220" i="7"/>
  <c r="BY227" i="7"/>
  <c r="BZ234" i="7"/>
  <c r="BY239" i="7"/>
  <c r="CM241" i="7"/>
  <c r="CE247" i="7"/>
  <c r="BQ263" i="7"/>
  <c r="BP261" i="7"/>
  <c r="CE46" i="7"/>
  <c r="CE69" i="7"/>
  <c r="CE146" i="7"/>
  <c r="CD206" i="7"/>
  <c r="CI234" i="7"/>
  <c r="CF247" i="7"/>
  <c r="CC19" i="7"/>
  <c r="BV26" i="7"/>
  <c r="CF34" i="7"/>
  <c r="CF46" i="7"/>
  <c r="BW50" i="7"/>
  <c r="BQ60" i="7"/>
  <c r="CF69" i="7"/>
  <c r="BR73" i="7"/>
  <c r="CE79" i="7"/>
  <c r="BV83" i="7"/>
  <c r="CE99" i="7"/>
  <c r="BV138" i="7"/>
  <c r="BS140" i="7"/>
  <c r="BW141" i="7"/>
  <c r="BV143" i="7"/>
  <c r="CF146" i="7"/>
  <c r="BY152" i="7"/>
  <c r="CM173" i="7"/>
  <c r="CC179" i="7"/>
  <c r="CG184" i="7"/>
  <c r="CG197" i="7"/>
  <c r="CE206" i="7"/>
  <c r="BZ217" i="7"/>
  <c r="CL220" i="7"/>
  <c r="BV224" i="7"/>
  <c r="CK234" i="7"/>
  <c r="CA239" i="7"/>
  <c r="BR246" i="7"/>
  <c r="CJ247" i="7"/>
  <c r="BW255" i="7"/>
  <c r="BW263" i="7"/>
  <c r="BW272" i="7"/>
  <c r="CG12" i="7"/>
  <c r="CD19" i="7"/>
  <c r="BW26" i="7"/>
  <c r="CG34" i="7"/>
  <c r="CG46" i="7"/>
  <c r="CA50" i="7"/>
  <c r="BR60" i="7"/>
  <c r="CG69" i="7"/>
  <c r="BS73" i="7"/>
  <c r="CF79" i="7"/>
  <c r="BW83" i="7"/>
  <c r="CF99" i="7"/>
  <c r="BX108" i="7"/>
  <c r="BW113" i="7"/>
  <c r="CD117" i="7"/>
  <c r="BT119" i="7"/>
  <c r="BX122" i="7"/>
  <c r="BW138" i="7"/>
  <c r="BT140" i="7"/>
  <c r="CB141" i="7"/>
  <c r="BW143" i="7"/>
  <c r="CJ146" i="7"/>
  <c r="BZ152" i="7"/>
  <c r="CH157" i="7"/>
  <c r="BP162" i="7"/>
  <c r="BX168" i="7"/>
  <c r="CD179" i="7"/>
  <c r="CH184" i="7"/>
  <c r="CI197" i="7"/>
  <c r="BT205" i="7"/>
  <c r="CG206" i="7"/>
  <c r="CB213" i="7"/>
  <c r="CA217" i="7"/>
  <c r="CM220" i="7"/>
  <c r="BW224" i="7"/>
  <c r="CB239" i="7"/>
  <c r="BP243" i="7"/>
  <c r="BS246" i="7"/>
  <c r="BX255" i="7"/>
  <c r="BX263" i="7"/>
  <c r="CH12" i="7"/>
  <c r="CE19" i="7"/>
  <c r="BX26" i="7"/>
  <c r="CK34" i="7"/>
  <c r="CH46" i="7"/>
  <c r="BS60" i="7"/>
  <c r="CH69" i="7"/>
  <c r="CE73" i="7"/>
  <c r="CG79" i="7"/>
  <c r="BX83" i="7"/>
  <c r="CG99" i="7"/>
  <c r="BY108" i="7"/>
  <c r="CE117" i="7"/>
  <c r="BY119" i="7"/>
  <c r="BZ122" i="7"/>
  <c r="BX138" i="7"/>
  <c r="BU140" i="7"/>
  <c r="CC141" i="7"/>
  <c r="BX143" i="7"/>
  <c r="CA152" i="7"/>
  <c r="CI157" i="7"/>
  <c r="BQ162" i="7"/>
  <c r="BY168" i="7"/>
  <c r="CE179" i="7"/>
  <c r="CI184" i="7"/>
  <c r="CJ197" i="7"/>
  <c r="BU205" i="7"/>
  <c r="CI206" i="7"/>
  <c r="CC213" i="7"/>
  <c r="CB217" i="7"/>
  <c r="BX224" i="7"/>
  <c r="CC239" i="7"/>
  <c r="BQ243" i="7"/>
  <c r="BT246" i="7"/>
  <c r="BY255" i="7"/>
  <c r="CA263" i="7"/>
  <c r="BQ143" i="7"/>
  <c r="CB19" i="7"/>
  <c r="CD79" i="7"/>
  <c r="BU83" i="7"/>
  <c r="CD99" i="7"/>
  <c r="BU143" i="7"/>
  <c r="CE197" i="7"/>
  <c r="BZ239" i="7"/>
  <c r="CK12" i="7"/>
  <c r="CF19" i="7"/>
  <c r="BY26" i="7"/>
  <c r="CL32" i="7"/>
  <c r="CL34" i="7"/>
  <c r="CI46" i="7"/>
  <c r="BZ51" i="7"/>
  <c r="BT60" i="7"/>
  <c r="CI69" i="7"/>
  <c r="CH79" i="7"/>
  <c r="BY83" i="7"/>
  <c r="CH99" i="7"/>
  <c r="BZ108" i="7"/>
  <c r="CF117" i="7"/>
  <c r="BZ119" i="7"/>
  <c r="CI122" i="7"/>
  <c r="BQ137" i="7"/>
  <c r="BY138" i="7"/>
  <c r="BW140" i="7"/>
  <c r="CD141" i="7"/>
  <c r="BY143" i="7"/>
  <c r="CB152" i="7"/>
  <c r="CJ157" i="7"/>
  <c r="BR162" i="7"/>
  <c r="BZ168" i="7"/>
  <c r="CF179" i="7"/>
  <c r="CJ184" i="7"/>
  <c r="BS195" i="7"/>
  <c r="CK197" i="7"/>
  <c r="BV205" i="7"/>
  <c r="CJ206" i="7"/>
  <c r="CD213" i="7"/>
  <c r="CC217" i="7"/>
  <c r="BY224" i="7"/>
  <c r="CD239" i="7"/>
  <c r="CD243" i="7"/>
  <c r="BU246" i="7"/>
  <c r="CD249" i="7"/>
  <c r="BZ255" i="7"/>
  <c r="CB263" i="7"/>
  <c r="BZ266" i="7"/>
  <c r="BS273" i="7"/>
  <c r="CE279" i="7"/>
  <c r="BP99" i="7"/>
  <c r="BP83" i="7"/>
  <c r="BP143" i="7"/>
  <c r="CE34" i="7"/>
  <c r="CB179" i="7"/>
  <c r="CK220" i="7"/>
  <c r="CL12" i="7"/>
  <c r="CG19" i="7"/>
  <c r="BZ26" i="7"/>
  <c r="CM34" i="7"/>
  <c r="CJ46" i="7"/>
  <c r="BU60" i="7"/>
  <c r="CJ69" i="7"/>
  <c r="CI79" i="7"/>
  <c r="BZ83" i="7"/>
  <c r="CI99" i="7"/>
  <c r="CA108" i="7"/>
  <c r="CH117" i="7"/>
  <c r="CA119" i="7"/>
  <c r="CJ122" i="7"/>
  <c r="BZ138" i="7"/>
  <c r="BY140" i="7"/>
  <c r="CE141" i="7"/>
  <c r="BZ143" i="7"/>
  <c r="CG152" i="7"/>
  <c r="BS162" i="7"/>
  <c r="CA168" i="7"/>
  <c r="CG179" i="7"/>
  <c r="CL197" i="7"/>
  <c r="BW205" i="7"/>
  <c r="CK206" i="7"/>
  <c r="CE213" i="7"/>
  <c r="CD217" i="7"/>
  <c r="BZ224" i="7"/>
  <c r="BT236" i="7"/>
  <c r="CE239" i="7"/>
  <c r="CE243" i="7"/>
  <c r="BV246" i="7"/>
  <c r="CE249" i="7"/>
  <c r="CF263" i="7"/>
  <c r="CA266" i="7"/>
  <c r="CD273" i="7"/>
  <c r="CG279" i="7"/>
  <c r="BP145" i="7"/>
  <c r="BU233" i="7"/>
  <c r="CH19" i="7"/>
  <c r="CA26" i="7"/>
  <c r="CL46" i="7"/>
  <c r="CM69" i="7"/>
  <c r="CJ79" i="7"/>
  <c r="CA83" i="7"/>
  <c r="CJ99" i="7"/>
  <c r="CA138" i="7"/>
  <c r="BZ140" i="7"/>
  <c r="CF141" i="7"/>
  <c r="CA143" i="7"/>
  <c r="CH152" i="7"/>
  <c r="CM197" i="7"/>
  <c r="CL206" i="7"/>
  <c r="CE217" i="7"/>
  <c r="CA224" i="7"/>
  <c r="CG239" i="7"/>
  <c r="CG263" i="7"/>
  <c r="BV79" i="7"/>
  <c r="BZ182" i="7"/>
  <c r="CI19" i="7"/>
  <c r="CB26" i="7"/>
  <c r="BU28" i="7"/>
  <c r="BR33" i="7"/>
  <c r="CB45" i="7"/>
  <c r="CM46" i="7"/>
  <c r="CE51" i="7"/>
  <c r="BZ60" i="7"/>
  <c r="CH75" i="7"/>
  <c r="CK79" i="7"/>
  <c r="CC81" i="7"/>
  <c r="CC83" i="7"/>
  <c r="BV95" i="7"/>
  <c r="CM99" i="7"/>
  <c r="CC108" i="7"/>
  <c r="BP118" i="7"/>
  <c r="CC119" i="7"/>
  <c r="CL122" i="7"/>
  <c r="CL131" i="7"/>
  <c r="BV137" i="7"/>
  <c r="CC138" i="7"/>
  <c r="CA140" i="7"/>
  <c r="CG141" i="7"/>
  <c r="CB143" i="7"/>
  <c r="CC149" i="7"/>
  <c r="CI152" i="7"/>
  <c r="BY162" i="7"/>
  <c r="CD165" i="7"/>
  <c r="CK168" i="7"/>
  <c r="BW195" i="7"/>
  <c r="BZ205" i="7"/>
  <c r="CM206" i="7"/>
  <c r="CG213" i="7"/>
  <c r="CG217" i="7"/>
  <c r="CB224" i="7"/>
  <c r="CH239" i="7"/>
  <c r="CG243" i="7"/>
  <c r="BX246" i="7"/>
  <c r="CI249" i="7"/>
  <c r="BU260" i="7"/>
  <c r="CH263" i="7"/>
  <c r="CD266" i="7"/>
  <c r="CE269" i="7"/>
  <c r="CF273" i="7"/>
  <c r="CI279" i="7"/>
  <c r="CC26" i="7"/>
  <c r="CH28" i="7"/>
  <c r="BS33" i="7"/>
  <c r="CC45" i="7"/>
  <c r="CI51" i="7"/>
  <c r="CE66" i="7"/>
  <c r="CI75" i="7"/>
  <c r="CM79" i="7"/>
  <c r="CD81" i="7"/>
  <c r="CD83" i="7"/>
  <c r="BW95" i="7"/>
  <c r="CD108" i="7"/>
  <c r="BQ118" i="7"/>
  <c r="CD119" i="7"/>
  <c r="BW137" i="7"/>
  <c r="CE138" i="7"/>
  <c r="CC143" i="7"/>
  <c r="BS159" i="7"/>
  <c r="BX195" i="7"/>
  <c r="CA205" i="7"/>
  <c r="CH213" i="7"/>
  <c r="CH217" i="7"/>
  <c r="CC224" i="7"/>
  <c r="CI239" i="7"/>
  <c r="CH243" i="7"/>
  <c r="BY246" i="7"/>
  <c r="CK249" i="7"/>
  <c r="BX260" i="7"/>
  <c r="CI263" i="7"/>
  <c r="CE266" i="7"/>
  <c r="CH273" i="7"/>
  <c r="BP256" i="7"/>
  <c r="BR256" i="7"/>
  <c r="CM257" i="7"/>
  <c r="CL257" i="7"/>
  <c r="CK257" i="7"/>
  <c r="CG257" i="7"/>
  <c r="CJ257" i="7"/>
  <c r="CI257" i="7"/>
  <c r="CH257" i="7"/>
  <c r="CE257" i="7"/>
  <c r="CD257" i="7"/>
  <c r="CB257" i="7"/>
  <c r="BW257" i="7"/>
  <c r="CF257" i="7"/>
  <c r="BW43" i="7"/>
  <c r="BV43" i="7"/>
  <c r="BU43" i="7"/>
  <c r="BY106" i="7"/>
  <c r="BT144" i="7"/>
  <c r="BZ201" i="7"/>
  <c r="CJ18" i="7"/>
  <c r="BR24" i="7"/>
  <c r="CA36" i="7"/>
  <c r="BS43" i="7"/>
  <c r="CM48" i="7"/>
  <c r="CH58" i="7"/>
  <c r="BW61" i="7"/>
  <c r="CK68" i="7"/>
  <c r="BW74" i="7"/>
  <c r="BV86" i="7"/>
  <c r="BP93" i="7"/>
  <c r="BR121" i="7"/>
  <c r="BT125" i="7"/>
  <c r="BP130" i="7"/>
  <c r="CK136" i="7"/>
  <c r="CG136" i="7"/>
  <c r="CD136" i="7"/>
  <c r="CB136" i="7"/>
  <c r="CA136" i="7"/>
  <c r="BY136" i="7"/>
  <c r="BX136" i="7"/>
  <c r="BZ136" i="7"/>
  <c r="BU144" i="7"/>
  <c r="BP191" i="7"/>
  <c r="CK212" i="7"/>
  <c r="CG212" i="7"/>
  <c r="CF212" i="7"/>
  <c r="CH212" i="7"/>
  <c r="CE212" i="7"/>
  <c r="BP245" i="7"/>
  <c r="CM253" i="7"/>
  <c r="CJ253" i="7"/>
  <c r="CI253" i="7"/>
  <c r="CF253" i="7"/>
  <c r="CE253" i="7"/>
  <c r="CD253" i="7"/>
  <c r="CB253" i="7"/>
  <c r="CA253" i="7"/>
  <c r="BZ253" i="7"/>
  <c r="CC253" i="7"/>
  <c r="BX253" i="7"/>
  <c r="BW253" i="7"/>
  <c r="BV253" i="7"/>
  <c r="BU253" i="7"/>
  <c r="BP277" i="7"/>
  <c r="BS24" i="7"/>
  <c r="CE36" i="7"/>
  <c r="BT43" i="7"/>
  <c r="BT49" i="7"/>
  <c r="CH49" i="7"/>
  <c r="CG49" i="7"/>
  <c r="CF49" i="7"/>
  <c r="CE49" i="7"/>
  <c r="BZ49" i="7"/>
  <c r="CD49" i="7"/>
  <c r="CC49" i="7"/>
  <c r="CB49" i="7"/>
  <c r="CA49" i="7"/>
  <c r="BX49" i="7"/>
  <c r="BW49" i="7"/>
  <c r="BV49" i="7"/>
  <c r="CI58" i="7"/>
  <c r="BZ61" i="7"/>
  <c r="BX74" i="7"/>
  <c r="CM87" i="7"/>
  <c r="CG87" i="7"/>
  <c r="CF87" i="7"/>
  <c r="CB87" i="7"/>
  <c r="CA87" i="7"/>
  <c r="BZ87" i="7"/>
  <c r="BW87" i="7"/>
  <c r="BR87" i="7"/>
  <c r="BU87" i="7"/>
  <c r="BT87" i="7"/>
  <c r="BQ93" i="7"/>
  <c r="BS121" i="7"/>
  <c r="BU125" i="7"/>
  <c r="BR136" i="7"/>
  <c r="BV144" i="7"/>
  <c r="BQ191" i="7"/>
  <c r="BU212" i="7"/>
  <c r="CM235" i="7"/>
  <c r="CL235" i="7"/>
  <c r="CK235" i="7"/>
  <c r="CJ235" i="7"/>
  <c r="CH235" i="7"/>
  <c r="CE235" i="7"/>
  <c r="CD235" i="7"/>
  <c r="BX235" i="7"/>
  <c r="CG235" i="7"/>
  <c r="CC235" i="7"/>
  <c r="CB235" i="7"/>
  <c r="BR253" i="7"/>
  <c r="BX277" i="7"/>
  <c r="CM256" i="7"/>
  <c r="CL256" i="7"/>
  <c r="CK256" i="7"/>
  <c r="CJ256" i="7"/>
  <c r="CI256" i="7"/>
  <c r="CH256" i="7"/>
  <c r="CG256" i="7"/>
  <c r="CF256" i="7"/>
  <c r="CE256" i="7"/>
  <c r="BZ256" i="7"/>
  <c r="BW256" i="7"/>
  <c r="BS256" i="7"/>
  <c r="CA256" i="7"/>
  <c r="BU70" i="7"/>
  <c r="BQ48" i="7"/>
  <c r="BR92" i="7"/>
  <c r="CA228" i="7"/>
  <c r="CC164" i="7"/>
  <c r="CJ48" i="7"/>
  <c r="CI164" i="7"/>
  <c r="BZ74" i="7"/>
  <c r="BR191" i="7"/>
  <c r="CC32" i="7"/>
  <c r="CB32" i="7"/>
  <c r="CA32" i="7"/>
  <c r="BZ32" i="7"/>
  <c r="BY32" i="7"/>
  <c r="BX32" i="7"/>
  <c r="BW32" i="7"/>
  <c r="BP32" i="7"/>
  <c r="BV32" i="7"/>
  <c r="CC61" i="7"/>
  <c r="BW93" i="7"/>
  <c r="BS191" i="7"/>
  <c r="CM219" i="7"/>
  <c r="CL219" i="7"/>
  <c r="CK219" i="7"/>
  <c r="CJ219" i="7"/>
  <c r="CH219" i="7"/>
  <c r="CG219" i="7"/>
  <c r="CC219" i="7"/>
  <c r="CI219" i="7"/>
  <c r="BX219" i="7"/>
  <c r="BW219" i="7"/>
  <c r="BS219" i="7"/>
  <c r="BU219" i="7"/>
  <c r="CB24" i="7"/>
  <c r="CD32" i="7"/>
  <c r="BR49" i="7"/>
  <c r="CM58" i="7"/>
  <c r="CF61" i="7"/>
  <c r="BZ72" i="7"/>
  <c r="CK74" i="7"/>
  <c r="CJ87" i="7"/>
  <c r="BX93" i="7"/>
  <c r="CF121" i="7"/>
  <c r="CC125" i="7"/>
  <c r="BW136" i="7"/>
  <c r="BQ174" i="7"/>
  <c r="BW183" i="7"/>
  <c r="BV183" i="7"/>
  <c r="BU183" i="7"/>
  <c r="BT183" i="7"/>
  <c r="BS183" i="7"/>
  <c r="BR183" i="7"/>
  <c r="BQ183" i="7"/>
  <c r="CL183" i="7"/>
  <c r="CH183" i="7"/>
  <c r="CK183" i="7"/>
  <c r="CJ183" i="7"/>
  <c r="CI183" i="7"/>
  <c r="CE183" i="7"/>
  <c r="CC183" i="7"/>
  <c r="CB183" i="7"/>
  <c r="CA183" i="7"/>
  <c r="BZ212" i="7"/>
  <c r="CB219" i="7"/>
  <c r="BY253" i="7"/>
  <c r="BV112" i="7"/>
  <c r="CK112" i="7"/>
  <c r="CH112" i="7"/>
  <c r="CI112" i="7"/>
  <c r="BZ68" i="7"/>
  <c r="CM116" i="7"/>
  <c r="CI116" i="7"/>
  <c r="CH116" i="7"/>
  <c r="CG116" i="7"/>
  <c r="CF116" i="7"/>
  <c r="CE116" i="7"/>
  <c r="CB116" i="7"/>
  <c r="CK116" i="7"/>
  <c r="CA116" i="7"/>
  <c r="CJ116" i="7"/>
  <c r="CC116" i="7"/>
  <c r="CM10" i="7"/>
  <c r="CL10" i="7"/>
  <c r="CK10" i="7"/>
  <c r="CG10" i="7"/>
  <c r="CF10" i="7"/>
  <c r="BR10" i="7"/>
  <c r="CK35" i="7"/>
  <c r="BP58" i="7"/>
  <c r="CJ106" i="7"/>
  <c r="CH106" i="7"/>
  <c r="CF106" i="7"/>
  <c r="CG106" i="7"/>
  <c r="CD106" i="7"/>
  <c r="CA106" i="7"/>
  <c r="CC106" i="7"/>
  <c r="CB106" i="7"/>
  <c r="BP116" i="7"/>
  <c r="BP201" i="7"/>
  <c r="CL35" i="7"/>
  <c r="BQ58" i="7"/>
  <c r="CF68" i="7"/>
  <c r="CC86" i="7"/>
  <c r="BW86" i="7"/>
  <c r="CB86" i="7"/>
  <c r="BY86" i="7"/>
  <c r="BQ106" i="7"/>
  <c r="BQ116" i="7"/>
  <c r="BP144" i="7"/>
  <c r="BR106" i="7"/>
  <c r="BS92" i="7"/>
  <c r="BT18" i="7"/>
  <c r="BW58" i="7"/>
  <c r="CB92" i="7"/>
  <c r="BY116" i="7"/>
  <c r="BQ24" i="7"/>
  <c r="CG58" i="7"/>
  <c r="CJ68" i="7"/>
  <c r="CA144" i="7"/>
  <c r="CC277" i="7"/>
  <c r="CM14" i="7"/>
  <c r="CJ14" i="7"/>
  <c r="CI14" i="7"/>
  <c r="BT14" i="7"/>
  <c r="CC24" i="7"/>
  <c r="CE32" i="7"/>
  <c r="BS49" i="7"/>
  <c r="CJ52" i="7"/>
  <c r="CI52" i="7"/>
  <c r="BQ52" i="7"/>
  <c r="CK59" i="7"/>
  <c r="CJ59" i="7"/>
  <c r="CF59" i="7"/>
  <c r="CE59" i="7"/>
  <c r="CD59" i="7"/>
  <c r="CC59" i="7"/>
  <c r="CB59" i="7"/>
  <c r="BZ59" i="7"/>
  <c r="CA59" i="7"/>
  <c r="BW59" i="7"/>
  <c r="BV59" i="7"/>
  <c r="BU59" i="7"/>
  <c r="CA72" i="7"/>
  <c r="CK87" i="7"/>
  <c r="BY93" i="7"/>
  <c r="CD125" i="7"/>
  <c r="CA212" i="7"/>
  <c r="BW48" i="7"/>
  <c r="CI48" i="7"/>
  <c r="CH48" i="7"/>
  <c r="CG48" i="7"/>
  <c r="CF48" i="7"/>
  <c r="CE48" i="7"/>
  <c r="CD48" i="7"/>
  <c r="CC48" i="7"/>
  <c r="CA48" i="7"/>
  <c r="CB48" i="7"/>
  <c r="BY48" i="7"/>
  <c r="BX48" i="7"/>
  <c r="BV48" i="7"/>
  <c r="CL171" i="7"/>
  <c r="CK171" i="7"/>
  <c r="CJ171" i="7"/>
  <c r="CI171" i="7"/>
  <c r="BP35" i="7"/>
  <c r="CI222" i="7"/>
  <c r="CH222" i="7"/>
  <c r="CG222" i="7"/>
  <c r="CF222" i="7"/>
  <c r="CE222" i="7"/>
  <c r="CD222" i="7"/>
  <c r="BZ222" i="7"/>
  <c r="BY222" i="7"/>
  <c r="BR201" i="7"/>
  <c r="BP18" i="7"/>
  <c r="CM35" i="7"/>
  <c r="BQ86" i="7"/>
  <c r="BS116" i="7"/>
  <c r="BU164" i="7"/>
  <c r="BS201" i="7"/>
  <c r="BZ48" i="7"/>
  <c r="BX116" i="7"/>
  <c r="BU86" i="7"/>
  <c r="CM43" i="7"/>
  <c r="BR93" i="7"/>
  <c r="CK174" i="7"/>
  <c r="BY174" i="7"/>
  <c r="BX174" i="7"/>
  <c r="BW174" i="7"/>
  <c r="BV174" i="7"/>
  <c r="BU174" i="7"/>
  <c r="BT174" i="7"/>
  <c r="BS174" i="7"/>
  <c r="CM174" i="7"/>
  <c r="CL174" i="7"/>
  <c r="CJ174" i="7"/>
  <c r="CI174" i="7"/>
  <c r="CE174" i="7"/>
  <c r="CH174" i="7"/>
  <c r="CG174" i="7"/>
  <c r="CF174" i="7"/>
  <c r="CC174" i="7"/>
  <c r="BZ174" i="7"/>
  <c r="CB174" i="7"/>
  <c r="CA174" i="7"/>
  <c r="BP14" i="7"/>
  <c r="CM29" i="7"/>
  <c r="CH29" i="7"/>
  <c r="CJ29" i="7"/>
  <c r="CI29" i="7"/>
  <c r="CF29" i="7"/>
  <c r="CE29" i="7"/>
  <c r="CD29" i="7"/>
  <c r="CF32" i="7"/>
  <c r="BU49" i="7"/>
  <c r="BQ53" i="7"/>
  <c r="BS53" i="7"/>
  <c r="CM53" i="7"/>
  <c r="CL53" i="7"/>
  <c r="BT53" i="7"/>
  <c r="BS59" i="7"/>
  <c r="CM88" i="7"/>
  <c r="CL88" i="7"/>
  <c r="CK88" i="7"/>
  <c r="CH88" i="7"/>
  <c r="CJ88" i="7"/>
  <c r="CF88" i="7"/>
  <c r="CE88" i="7"/>
  <c r="BY88" i="7"/>
  <c r="CD88" i="7"/>
  <c r="BZ93" i="7"/>
  <c r="CJ125" i="7"/>
  <c r="CM151" i="7"/>
  <c r="CK151" i="7"/>
  <c r="CJ151" i="7"/>
  <c r="CE151" i="7"/>
  <c r="BZ151" i="7"/>
  <c r="CD151" i="7"/>
  <c r="CC151" i="7"/>
  <c r="CB151" i="7"/>
  <c r="CA151" i="7"/>
  <c r="BX151" i="7"/>
  <c r="BW151" i="7"/>
  <c r="BS151" i="7"/>
  <c r="BV151" i="7"/>
  <c r="CD174" i="7"/>
  <c r="BX183" i="7"/>
  <c r="CM199" i="7"/>
  <c r="CH199" i="7"/>
  <c r="BU199" i="7"/>
  <c r="CJ199" i="7"/>
  <c r="CB212" i="7"/>
  <c r="CK261" i="7"/>
  <c r="CC261" i="7"/>
  <c r="CB261" i="7"/>
  <c r="CA261" i="7"/>
  <c r="BZ261" i="7"/>
  <c r="BY261" i="7"/>
  <c r="BX261" i="7"/>
  <c r="BW261" i="7"/>
  <c r="BV261" i="7"/>
  <c r="BT261" i="7"/>
  <c r="BS261" i="7"/>
  <c r="CL261" i="7"/>
  <c r="CM261" i="7"/>
  <c r="CH261" i="7"/>
  <c r="CG261" i="7"/>
  <c r="CE261" i="7"/>
  <c r="CD261" i="7"/>
  <c r="CM207" i="7"/>
  <c r="CL207" i="7"/>
  <c r="CK207" i="7"/>
  <c r="CI207" i="7"/>
  <c r="CG207" i="7"/>
  <c r="CC207" i="7"/>
  <c r="BP207" i="7"/>
  <c r="CA207" i="7"/>
  <c r="BP48" i="7"/>
  <c r="CG112" i="7"/>
  <c r="BY171" i="7"/>
  <c r="CL201" i="7"/>
  <c r="CK201" i="7"/>
  <c r="CJ201" i="7"/>
  <c r="CE201" i="7"/>
  <c r="CD201" i="7"/>
  <c r="CC201" i="7"/>
  <c r="CB201" i="7"/>
  <c r="CA201" i="7"/>
  <c r="BY201" i="7"/>
  <c r="CM201" i="7"/>
  <c r="BT48" i="7"/>
  <c r="CK265" i="7"/>
  <c r="CJ265" i="7"/>
  <c r="CI265" i="7"/>
  <c r="CH265" i="7"/>
  <c r="CG265" i="7"/>
  <c r="CF265" i="7"/>
  <c r="CC265" i="7"/>
  <c r="CA265" i="7"/>
  <c r="BU48" i="7"/>
  <c r="CL74" i="7"/>
  <c r="CM74" i="7"/>
  <c r="CJ74" i="7"/>
  <c r="CE74" i="7"/>
  <c r="CD74" i="7"/>
  <c r="BX128" i="7"/>
  <c r="CM36" i="7"/>
  <c r="CK36" i="7"/>
  <c r="CL36" i="7"/>
  <c r="CI36" i="7"/>
  <c r="CH36" i="7"/>
  <c r="CG36" i="7"/>
  <c r="CB222" i="7"/>
  <c r="BT86" i="7"/>
  <c r="BP121" i="7"/>
  <c r="BQ121" i="7"/>
  <c r="CK72" i="7"/>
  <c r="BY72" i="7"/>
  <c r="BX72" i="7"/>
  <c r="BW72" i="7"/>
  <c r="BV72" i="7"/>
  <c r="BP72" i="7"/>
  <c r="BU72" i="7"/>
  <c r="BT72" i="7"/>
  <c r="BS72" i="7"/>
  <c r="BR72" i="7"/>
  <c r="CI72" i="7"/>
  <c r="BP174" i="7"/>
  <c r="BQ14" i="7"/>
  <c r="CI25" i="7"/>
  <c r="CD25" i="7"/>
  <c r="CL25" i="7"/>
  <c r="CK25" i="7"/>
  <c r="CJ25" i="7"/>
  <c r="CF25" i="7"/>
  <c r="CB25" i="7"/>
  <c r="CA25" i="7"/>
  <c r="BZ25" i="7"/>
  <c r="CG32" i="7"/>
  <c r="BY49" i="7"/>
  <c r="BR57" i="7"/>
  <c r="CH57" i="7"/>
  <c r="CG57" i="7"/>
  <c r="BZ57" i="7"/>
  <c r="CF57" i="7"/>
  <c r="CE57" i="7"/>
  <c r="CD57" i="7"/>
  <c r="CC57" i="7"/>
  <c r="CB57" i="7"/>
  <c r="CA57" i="7"/>
  <c r="BX57" i="7"/>
  <c r="BT57" i="7"/>
  <c r="BS57" i="7"/>
  <c r="BT59" i="7"/>
  <c r="CC72" i="7"/>
  <c r="BR88" i="7"/>
  <c r="BY183" i="7"/>
  <c r="CK231" i="7"/>
  <c r="CI231" i="7"/>
  <c r="CD231" i="7"/>
  <c r="CC231" i="7"/>
  <c r="CB231" i="7"/>
  <c r="BV231" i="7"/>
  <c r="BU237" i="7"/>
  <c r="CM237" i="7"/>
  <c r="CJ237" i="7"/>
  <c r="CI237" i="7"/>
  <c r="CH237" i="7"/>
  <c r="CG237" i="7"/>
  <c r="CF237" i="7"/>
  <c r="CE237" i="7"/>
  <c r="CD237" i="7"/>
  <c r="CB237" i="7"/>
  <c r="CA237" i="7"/>
  <c r="CC237" i="7"/>
  <c r="BZ237" i="7"/>
  <c r="CM76" i="7"/>
  <c r="CK76" i="7"/>
  <c r="CJ76" i="7"/>
  <c r="BQ76" i="7"/>
  <c r="BP76" i="7"/>
  <c r="CK96" i="7"/>
  <c r="CG96" i="7"/>
  <c r="CC96" i="7"/>
  <c r="CF96" i="7"/>
  <c r="CE96" i="7"/>
  <c r="CD96" i="7"/>
  <c r="CA96" i="7"/>
  <c r="BW96" i="7"/>
  <c r="BZ96" i="7"/>
  <c r="BY96" i="7"/>
  <c r="CB155" i="7"/>
  <c r="CI155" i="7"/>
  <c r="CC155" i="7"/>
  <c r="BR48" i="7"/>
  <c r="CK58" i="7"/>
  <c r="CF58" i="7"/>
  <c r="CE58" i="7"/>
  <c r="CD58" i="7"/>
  <c r="CC58" i="7"/>
  <c r="BX58" i="7"/>
  <c r="CB58" i="7"/>
  <c r="CA58" i="7"/>
  <c r="BZ58" i="7"/>
  <c r="BY58" i="7"/>
  <c r="BV58" i="7"/>
  <c r="BU58" i="7"/>
  <c r="BT58" i="7"/>
  <c r="BR96" i="7"/>
  <c r="BR164" i="7"/>
  <c r="CB164" i="7"/>
  <c r="CA164" i="7"/>
  <c r="BZ164" i="7"/>
  <c r="BY164" i="7"/>
  <c r="BX164" i="7"/>
  <c r="BW164" i="7"/>
  <c r="BV164" i="7"/>
  <c r="CJ164" i="7"/>
  <c r="CH164" i="7"/>
  <c r="CG164" i="7"/>
  <c r="CF164" i="7"/>
  <c r="CE164" i="7"/>
  <c r="BS48" i="7"/>
  <c r="CB68" i="7"/>
  <c r="CJ185" i="7"/>
  <c r="CI185" i="7"/>
  <c r="CH185" i="7"/>
  <c r="CG185" i="7"/>
  <c r="CF185" i="7"/>
  <c r="CE185" i="7"/>
  <c r="CD185" i="7"/>
  <c r="CL185" i="7"/>
  <c r="CM185" i="7"/>
  <c r="CB185" i="7"/>
  <c r="BS185" i="7"/>
  <c r="CA185" i="7"/>
  <c r="BY185" i="7"/>
  <c r="BR222" i="7"/>
  <c r="CL18" i="7"/>
  <c r="CK18" i="7"/>
  <c r="CM128" i="7"/>
  <c r="CK128" i="7"/>
  <c r="CJ128" i="7"/>
  <c r="CI128" i="7"/>
  <c r="CF128" i="7"/>
  <c r="CC128" i="7"/>
  <c r="CM171" i="7"/>
  <c r="BT222" i="7"/>
  <c r="CG68" i="7"/>
  <c r="BV24" i="7"/>
  <c r="CL24" i="7"/>
  <c r="CJ24" i="7"/>
  <c r="CI24" i="7"/>
  <c r="CH24" i="7"/>
  <c r="CG24" i="7"/>
  <c r="CF24" i="7"/>
  <c r="CE24" i="7"/>
  <c r="CD24" i="7"/>
  <c r="CA24" i="7"/>
  <c r="BZ24" i="7"/>
  <c r="BY24" i="7"/>
  <c r="BS58" i="7"/>
  <c r="BW106" i="7"/>
  <c r="CC185" i="7"/>
  <c r="BZ265" i="7"/>
  <c r="BU36" i="7"/>
  <c r="CM61" i="7"/>
  <c r="CL61" i="7"/>
  <c r="CH61" i="7"/>
  <c r="CI68" i="7"/>
  <c r="BU74" i="7"/>
  <c r="CM125" i="7"/>
  <c r="CK125" i="7"/>
  <c r="CL125" i="7"/>
  <c r="CI125" i="7"/>
  <c r="CF125" i="7"/>
  <c r="CH125" i="7"/>
  <c r="CG125" i="7"/>
  <c r="CE265" i="7"/>
  <c r="BW18" i="7"/>
  <c r="BX36" i="7"/>
  <c r="BU61" i="7"/>
  <c r="BV74" i="7"/>
  <c r="BZ116" i="7"/>
  <c r="BP125" i="7"/>
  <c r="CM130" i="7"/>
  <c r="CL130" i="7"/>
  <c r="CK130" i="7"/>
  <c r="CJ130" i="7"/>
  <c r="CI130" i="7"/>
  <c r="CH130" i="7"/>
  <c r="CA130" i="7"/>
  <c r="CG130" i="7"/>
  <c r="BX130" i="7"/>
  <c r="BT130" i="7"/>
  <c r="BR130" i="7"/>
  <c r="BQ130" i="7"/>
  <c r="CM191" i="7"/>
  <c r="CL191" i="7"/>
  <c r="CK191" i="7"/>
  <c r="CG191" i="7"/>
  <c r="CJ191" i="7"/>
  <c r="CI191" i="7"/>
  <c r="CH191" i="7"/>
  <c r="CC191" i="7"/>
  <c r="BZ191" i="7"/>
  <c r="BY191" i="7"/>
  <c r="BX191" i="7"/>
  <c r="CL245" i="7"/>
  <c r="CK245" i="7"/>
  <c r="CH245" i="7"/>
  <c r="CG245" i="7"/>
  <c r="CF245" i="7"/>
  <c r="CE245" i="7"/>
  <c r="CD245" i="7"/>
  <c r="CB245" i="7"/>
  <c r="CA245" i="7"/>
  <c r="CC245" i="7"/>
  <c r="BZ245" i="7"/>
  <c r="BY245" i="7"/>
  <c r="BW245" i="7"/>
  <c r="BW24" i="7"/>
  <c r="BV136" i="7"/>
  <c r="CK14" i="7"/>
  <c r="BP25" i="7"/>
  <c r="BR29" i="7"/>
  <c r="CH32" i="7"/>
  <c r="CI49" i="7"/>
  <c r="BP57" i="7"/>
  <c r="BY59" i="7"/>
  <c r="CD72" i="7"/>
  <c r="BS88" i="7"/>
  <c r="CB176" i="7"/>
  <c r="CA176" i="7"/>
  <c r="BZ176" i="7"/>
  <c r="BY176" i="7"/>
  <c r="BX176" i="7"/>
  <c r="BR176" i="7"/>
  <c r="BQ176" i="7"/>
  <c r="BZ183" i="7"/>
  <c r="BS231" i="7"/>
  <c r="BQ237" i="7"/>
  <c r="BQ261" i="7"/>
  <c r="BT274" i="7"/>
  <c r="CF274" i="7"/>
  <c r="CE274" i="7"/>
  <c r="CD274" i="7"/>
  <c r="CC274" i="7"/>
  <c r="CB274" i="7"/>
  <c r="CA274" i="7"/>
  <c r="BZ274" i="7"/>
  <c r="BY274" i="7"/>
  <c r="BW274" i="7"/>
  <c r="BV274" i="7"/>
  <c r="CL274" i="7"/>
  <c r="CJ274" i="7"/>
  <c r="CH274" i="7"/>
  <c r="CI274" i="7"/>
  <c r="BT171" i="7"/>
  <c r="CK196" i="7"/>
  <c r="BW196" i="7"/>
  <c r="BV196" i="7"/>
  <c r="BU196" i="7"/>
  <c r="BT196" i="7"/>
  <c r="BS196" i="7"/>
  <c r="BR196" i="7"/>
  <c r="BQ196" i="7"/>
  <c r="CJ196" i="7"/>
  <c r="CM196" i="7"/>
  <c r="CL196" i="7"/>
  <c r="CI196" i="7"/>
  <c r="CH196" i="7"/>
  <c r="CG196" i="7"/>
  <c r="CC196" i="7"/>
  <c r="CF196" i="7"/>
  <c r="CE196" i="7"/>
  <c r="CD196" i="7"/>
  <c r="CA196" i="7"/>
  <c r="BZ196" i="7"/>
  <c r="BY196" i="7"/>
  <c r="BX196" i="7"/>
  <c r="CJ148" i="7"/>
  <c r="BW148" i="7"/>
  <c r="BQ148" i="7"/>
  <c r="CB148" i="7"/>
  <c r="BR148" i="7"/>
  <c r="BW171" i="7"/>
  <c r="BP196" i="7"/>
  <c r="CL76" i="7"/>
  <c r="CL92" i="7"/>
  <c r="CC92" i="7"/>
  <c r="CK92" i="7"/>
  <c r="CI92" i="7"/>
  <c r="CH92" i="7"/>
  <c r="CG92" i="7"/>
  <c r="CF92" i="7"/>
  <c r="CE92" i="7"/>
  <c r="CD92" i="7"/>
  <c r="CA92" i="7"/>
  <c r="BW92" i="7"/>
  <c r="BZ92" i="7"/>
  <c r="BY92" i="7"/>
  <c r="CB196" i="7"/>
  <c r="BP92" i="7"/>
  <c r="CI144" i="7"/>
  <c r="CL144" i="7"/>
  <c r="CK144" i="7"/>
  <c r="CJ144" i="7"/>
  <c r="CG144" i="7"/>
  <c r="CD144" i="7"/>
  <c r="CB144" i="7"/>
  <c r="CE144" i="7"/>
  <c r="CC144" i="7"/>
  <c r="BZ144" i="7"/>
  <c r="BY144" i="7"/>
  <c r="BX144" i="7"/>
  <c r="BW144" i="7"/>
  <c r="BS164" i="7"/>
  <c r="CL228" i="7"/>
  <c r="CH228" i="7"/>
  <c r="CG228" i="7"/>
  <c r="CE228" i="7"/>
  <c r="BT164" i="7"/>
  <c r="BQ228" i="7"/>
  <c r="CB23" i="7"/>
  <c r="BQ144" i="7"/>
  <c r="CH68" i="7"/>
  <c r="BW201" i="7"/>
  <c r="BP24" i="7"/>
  <c r="CM277" i="7"/>
  <c r="CL277" i="7"/>
  <c r="CJ277" i="7"/>
  <c r="CI277" i="7"/>
  <c r="CK277" i="7"/>
  <c r="CC74" i="7"/>
  <c r="CB125" i="7"/>
  <c r="BT253" i="7"/>
  <c r="CL14" i="7"/>
  <c r="BT25" i="7"/>
  <c r="BU29" i="7"/>
  <c r="CJ32" i="7"/>
  <c r="CM49" i="7"/>
  <c r="BQ57" i="7"/>
  <c r="CL59" i="7"/>
  <c r="CM67" i="7"/>
  <c r="CL67" i="7"/>
  <c r="CK67" i="7"/>
  <c r="CJ67" i="7"/>
  <c r="CI67" i="7"/>
  <c r="CH67" i="7"/>
  <c r="CG67" i="7"/>
  <c r="CD67" i="7"/>
  <c r="CE67" i="7"/>
  <c r="CB67" i="7"/>
  <c r="BZ67" i="7"/>
  <c r="BV67" i="7"/>
  <c r="CE72" i="7"/>
  <c r="BU88" i="7"/>
  <c r="CM133" i="7"/>
  <c r="CK133" i="7"/>
  <c r="CJ133" i="7"/>
  <c r="CE133" i="7"/>
  <c r="CD133" i="7"/>
  <c r="CF133" i="7"/>
  <c r="BX133" i="7"/>
  <c r="BS133" i="7"/>
  <c r="BU133" i="7"/>
  <c r="BT133" i="7"/>
  <c r="CD176" i="7"/>
  <c r="CG183" i="7"/>
  <c r="BT231" i="7"/>
  <c r="BR237" i="7"/>
  <c r="BR261" i="7"/>
  <c r="BP274" i="7"/>
  <c r="CJ35" i="7"/>
  <c r="CI35" i="7"/>
  <c r="CH35" i="7"/>
  <c r="CD35" i="7"/>
  <c r="CC35" i="7"/>
  <c r="BW35" i="7"/>
  <c r="CB35" i="7"/>
  <c r="CA35" i="7"/>
  <c r="BY35" i="7"/>
  <c r="BU35" i="7"/>
  <c r="BT35" i="7"/>
  <c r="BS35" i="7"/>
  <c r="CJ10" i="7"/>
  <c r="BR58" i="7"/>
  <c r="BR185" i="7"/>
  <c r="CK121" i="7"/>
  <c r="CC121" i="7"/>
  <c r="CB121" i="7"/>
  <c r="CA121" i="7"/>
  <c r="BZ121" i="7"/>
  <c r="BY121" i="7"/>
  <c r="BW121" i="7"/>
  <c r="CM121" i="7"/>
  <c r="CL121" i="7"/>
  <c r="CJ121" i="7"/>
  <c r="CI121" i="7"/>
  <c r="CG121" i="7"/>
  <c r="CH121" i="7"/>
  <c r="CE121" i="7"/>
  <c r="BV121" i="7"/>
  <c r="CD121" i="7"/>
  <c r="BX121" i="7"/>
  <c r="BX106" i="7"/>
  <c r="BS144" i="7"/>
  <c r="CL93" i="7"/>
  <c r="CF93" i="7"/>
  <c r="CK93" i="7"/>
  <c r="CJ93" i="7"/>
  <c r="CI93" i="7"/>
  <c r="CH93" i="7"/>
  <c r="CD93" i="7"/>
  <c r="CC93" i="7"/>
  <c r="CA93" i="7"/>
  <c r="CB93" i="7"/>
  <c r="CA61" i="7"/>
  <c r="BX24" i="7"/>
  <c r="CJ36" i="7"/>
  <c r="CL58" i="7"/>
  <c r="BU121" i="7"/>
  <c r="BW212" i="7"/>
  <c r="BU25" i="7"/>
  <c r="BW29" i="7"/>
  <c r="CK32" i="7"/>
  <c r="CK41" i="7"/>
  <c r="CE41" i="7"/>
  <c r="CD41" i="7"/>
  <c r="CC41" i="7"/>
  <c r="CB41" i="7"/>
  <c r="CA41" i="7"/>
  <c r="BZ41" i="7"/>
  <c r="BY41" i="7"/>
  <c r="BX41" i="7"/>
  <c r="BW41" i="7"/>
  <c r="BU41" i="7"/>
  <c r="BT41" i="7"/>
  <c r="BS41" i="7"/>
  <c r="CB50" i="7"/>
  <c r="CL50" i="7"/>
  <c r="CK50" i="7"/>
  <c r="CG50" i="7"/>
  <c r="CF50" i="7"/>
  <c r="CE50" i="7"/>
  <c r="BZ50" i="7"/>
  <c r="BY50" i="7"/>
  <c r="BX50" i="7"/>
  <c r="BY57" i="7"/>
  <c r="CE60" i="7"/>
  <c r="CJ60" i="7"/>
  <c r="CI60" i="7"/>
  <c r="CH60" i="7"/>
  <c r="CG60" i="7"/>
  <c r="CF60" i="7"/>
  <c r="CA60" i="7"/>
  <c r="CD60" i="7"/>
  <c r="CC60" i="7"/>
  <c r="CB60" i="7"/>
  <c r="BY60" i="7"/>
  <c r="BX60" i="7"/>
  <c r="BW60" i="7"/>
  <c r="BQ67" i="7"/>
  <c r="CF72" i="7"/>
  <c r="CG88" i="7"/>
  <c r="BQ133" i="7"/>
  <c r="CG176" i="7"/>
  <c r="BX232" i="7"/>
  <c r="BW232" i="7"/>
  <c r="BV232" i="7"/>
  <c r="BU232" i="7"/>
  <c r="BT232" i="7"/>
  <c r="BS232" i="7"/>
  <c r="BR232" i="7"/>
  <c r="BP232" i="7"/>
  <c r="CK232" i="7"/>
  <c r="CH232" i="7"/>
  <c r="CG232" i="7"/>
  <c r="CF232" i="7"/>
  <c r="CC232" i="7"/>
  <c r="BY232" i="7"/>
  <c r="CB232" i="7"/>
  <c r="CA232" i="7"/>
  <c r="BZ232" i="7"/>
  <c r="BS237" i="7"/>
  <c r="BU261" i="7"/>
  <c r="BQ274" i="7"/>
  <c r="BY70" i="7"/>
  <c r="BX70" i="7"/>
  <c r="BV70" i="7"/>
  <c r="BQ256" i="7"/>
  <c r="BV96" i="7"/>
  <c r="CM193" i="7"/>
  <c r="CJ193" i="7"/>
  <c r="BV216" i="7"/>
  <c r="BT216" i="7"/>
  <c r="CI251" i="7"/>
  <c r="CH251" i="7"/>
  <c r="CG251" i="7"/>
  <c r="CF251" i="7"/>
  <c r="CE251" i="7"/>
  <c r="CD251" i="7"/>
  <c r="CC251" i="7"/>
  <c r="CB251" i="7"/>
  <c r="BZ251" i="7"/>
  <c r="BY251" i="7"/>
  <c r="CL33" i="7"/>
  <c r="CI71" i="7"/>
  <c r="BS82" i="7"/>
  <c r="CH108" i="7"/>
  <c r="CL123" i="7"/>
  <c r="CK123" i="7"/>
  <c r="CJ123" i="7"/>
  <c r="CI123" i="7"/>
  <c r="CH123" i="7"/>
  <c r="CD123" i="7"/>
  <c r="CK166" i="7"/>
  <c r="CJ166" i="7"/>
  <c r="CI166" i="7"/>
  <c r="CC166" i="7"/>
  <c r="CA166" i="7"/>
  <c r="BY166" i="7"/>
  <c r="BX166" i="7"/>
  <c r="BP193" i="7"/>
  <c r="BY216" i="7"/>
  <c r="BP251" i="7"/>
  <c r="CM177" i="7"/>
  <c r="CK177" i="7"/>
  <c r="CI177" i="7"/>
  <c r="CG177" i="7"/>
  <c r="CF177" i="7"/>
  <c r="CL19" i="7"/>
  <c r="BP33" i="7"/>
  <c r="CM33" i="7"/>
  <c r="BP47" i="7"/>
  <c r="CJ71" i="7"/>
  <c r="BV82" i="7"/>
  <c r="CL99" i="7"/>
  <c r="CI108" i="7"/>
  <c r="CM115" i="7"/>
  <c r="CD115" i="7"/>
  <c r="CC115" i="7"/>
  <c r="CB115" i="7"/>
  <c r="CA115" i="7"/>
  <c r="BW115" i="7"/>
  <c r="BP123" i="7"/>
  <c r="BR166" i="7"/>
  <c r="BQ177" i="7"/>
  <c r="CF193" i="7"/>
  <c r="BT202" i="7"/>
  <c r="CE229" i="7"/>
  <c r="CD229" i="7"/>
  <c r="CC229" i="7"/>
  <c r="CB229" i="7"/>
  <c r="CA229" i="7"/>
  <c r="BZ229" i="7"/>
  <c r="BY229" i="7"/>
  <c r="BX229" i="7"/>
  <c r="BS251" i="7"/>
  <c r="CA269" i="7"/>
  <c r="BY269" i="7"/>
  <c r="BX269" i="7"/>
  <c r="BW269" i="7"/>
  <c r="BV269" i="7"/>
  <c r="BU269" i="7"/>
  <c r="BT269" i="7"/>
  <c r="BS269" i="7"/>
  <c r="BQ269" i="7"/>
  <c r="BP269" i="7"/>
  <c r="CM19" i="7"/>
  <c r="BQ33" i="7"/>
  <c r="BT47" i="7"/>
  <c r="CK71" i="7"/>
  <c r="BW82" i="7"/>
  <c r="CJ108" i="7"/>
  <c r="BQ123" i="7"/>
  <c r="BU166" i="7"/>
  <c r="BW177" i="7"/>
  <c r="CK193" i="7"/>
  <c r="BZ202" i="7"/>
  <c r="CF229" i="7"/>
  <c r="BW238" i="7"/>
  <c r="BX251" i="7"/>
  <c r="BR269" i="7"/>
  <c r="BS272" i="7"/>
  <c r="CH172" i="7"/>
  <c r="CG172" i="7"/>
  <c r="CF172" i="7"/>
  <c r="CC172" i="7"/>
  <c r="BX172" i="7"/>
  <c r="BT172" i="7"/>
  <c r="BR172" i="7"/>
  <c r="CM275" i="7"/>
  <c r="CF275" i="7"/>
  <c r="CE275" i="7"/>
  <c r="CD275" i="7"/>
  <c r="CC275" i="7"/>
  <c r="CB275" i="7"/>
  <c r="CA275" i="7"/>
  <c r="BZ275" i="7"/>
  <c r="BY275" i="7"/>
  <c r="BW275" i="7"/>
  <c r="BV275" i="7"/>
  <c r="BR19" i="7"/>
  <c r="BP21" i="7"/>
  <c r="CH26" i="7"/>
  <c r="BV28" i="7"/>
  <c r="CM30" i="7"/>
  <c r="BT33" i="7"/>
  <c r="BT34" i="7"/>
  <c r="BS46" i="7"/>
  <c r="BX47" i="7"/>
  <c r="BP56" i="7"/>
  <c r="BP63" i="7"/>
  <c r="BV69" i="7"/>
  <c r="BQ71" i="7"/>
  <c r="BT73" i="7"/>
  <c r="CL80" i="7"/>
  <c r="CB82" i="7"/>
  <c r="BS99" i="7"/>
  <c r="BP101" i="7"/>
  <c r="CA103" i="7"/>
  <c r="BP108" i="7"/>
  <c r="BY115" i="7"/>
  <c r="BQ117" i="7"/>
  <c r="CC120" i="7"/>
  <c r="CB120" i="7"/>
  <c r="CA120" i="7"/>
  <c r="BZ120" i="7"/>
  <c r="BY120" i="7"/>
  <c r="BS120" i="7"/>
  <c r="BX123" i="7"/>
  <c r="CL150" i="7"/>
  <c r="CI150" i="7"/>
  <c r="CH150" i="7"/>
  <c r="CG150" i="7"/>
  <c r="CF150" i="7"/>
  <c r="CE150" i="7"/>
  <c r="CC150" i="7"/>
  <c r="BQ153" i="7"/>
  <c r="CK165" i="7"/>
  <c r="CB165" i="7"/>
  <c r="CA165" i="7"/>
  <c r="BZ165" i="7"/>
  <c r="BY165" i="7"/>
  <c r="BX165" i="7"/>
  <c r="BW165" i="7"/>
  <c r="BV165" i="7"/>
  <c r="CL166" i="7"/>
  <c r="CM170" i="7"/>
  <c r="CI170" i="7"/>
  <c r="CG170" i="7"/>
  <c r="CF170" i="7"/>
  <c r="CE170" i="7"/>
  <c r="BY170" i="7"/>
  <c r="BX170" i="7"/>
  <c r="BW170" i="7"/>
  <c r="BP172" i="7"/>
  <c r="CD177" i="7"/>
  <c r="CM189" i="7"/>
  <c r="CL189" i="7"/>
  <c r="CK189" i="7"/>
  <c r="CG189" i="7"/>
  <c r="CK229" i="7"/>
  <c r="BZ238" i="7"/>
  <c r="BT252" i="7"/>
  <c r="CL252" i="7"/>
  <c r="CJ252" i="7"/>
  <c r="CI252" i="7"/>
  <c r="CH252" i="7"/>
  <c r="CG252" i="7"/>
  <c r="CF252" i="7"/>
  <c r="CE252" i="7"/>
  <c r="CD252" i="7"/>
  <c r="CB252" i="7"/>
  <c r="CA252" i="7"/>
  <c r="CJ269" i="7"/>
  <c r="BR275" i="7"/>
  <c r="BZ82" i="7"/>
  <c r="BS19" i="7"/>
  <c r="BQ21" i="7"/>
  <c r="BW28" i="7"/>
  <c r="BU33" i="7"/>
  <c r="BU34" i="7"/>
  <c r="BW46" i="7"/>
  <c r="BY47" i="7"/>
  <c r="BS56" i="7"/>
  <c r="BQ63" i="7"/>
  <c r="BW69" i="7"/>
  <c r="BR71" i="7"/>
  <c r="BU73" i="7"/>
  <c r="CC82" i="7"/>
  <c r="BT99" i="7"/>
  <c r="BT101" i="7"/>
  <c r="CC103" i="7"/>
  <c r="BQ108" i="7"/>
  <c r="BR117" i="7"/>
  <c r="BY123" i="7"/>
  <c r="BT153" i="7"/>
  <c r="CI172" i="7"/>
  <c r="CE177" i="7"/>
  <c r="CG203" i="7"/>
  <c r="CF203" i="7"/>
  <c r="CE203" i="7"/>
  <c r="CB203" i="7"/>
  <c r="BT230" i="7"/>
  <c r="CH230" i="7"/>
  <c r="CG230" i="7"/>
  <c r="CF230" i="7"/>
  <c r="CE230" i="7"/>
  <c r="CD230" i="7"/>
  <c r="CC230" i="7"/>
  <c r="CB230" i="7"/>
  <c r="CA230" i="7"/>
  <c r="BY230" i="7"/>
  <c r="BX230" i="7"/>
  <c r="CM248" i="7"/>
  <c r="CL248" i="7"/>
  <c r="CJ248" i="7"/>
  <c r="CH248" i="7"/>
  <c r="CG248" i="7"/>
  <c r="BW248" i="7"/>
  <c r="BV248" i="7"/>
  <c r="CL262" i="7"/>
  <c r="CE262" i="7"/>
  <c r="CD262" i="7"/>
  <c r="BS275" i="7"/>
  <c r="BT19" i="7"/>
  <c r="BR21" i="7"/>
  <c r="CM26" i="7"/>
  <c r="BX28" i="7"/>
  <c r="BR31" i="7"/>
  <c r="BV33" i="7"/>
  <c r="BV34" i="7"/>
  <c r="BQ45" i="7"/>
  <c r="BX46" i="7"/>
  <c r="CA47" i="7"/>
  <c r="BV56" i="7"/>
  <c r="BR63" i="7"/>
  <c r="BV66" i="7"/>
  <c r="BX69" i="7"/>
  <c r="BS71" i="7"/>
  <c r="BV73" i="7"/>
  <c r="BP75" i="7"/>
  <c r="CE78" i="7"/>
  <c r="BQ80" i="7"/>
  <c r="CD82" i="7"/>
  <c r="BQ98" i="7"/>
  <c r="BU99" i="7"/>
  <c r="BU101" i="7"/>
  <c r="CE103" i="7"/>
  <c r="BR108" i="7"/>
  <c r="BQ114" i="7"/>
  <c r="CE115" i="7"/>
  <c r="BS117" i="7"/>
  <c r="CD120" i="7"/>
  <c r="BZ123" i="7"/>
  <c r="BR150" i="7"/>
  <c r="CG156" i="7"/>
  <c r="CF156" i="7"/>
  <c r="CE156" i="7"/>
  <c r="CK160" i="7"/>
  <c r="CJ160" i="7"/>
  <c r="CI160" i="7"/>
  <c r="CH160" i="7"/>
  <c r="CG160" i="7"/>
  <c r="BZ160" i="7"/>
  <c r="BQ160" i="7"/>
  <c r="BQ165" i="7"/>
  <c r="CG168" i="7"/>
  <c r="CI168" i="7"/>
  <c r="CH168" i="7"/>
  <c r="CF168" i="7"/>
  <c r="CE168" i="7"/>
  <c r="CD168" i="7"/>
  <c r="CC168" i="7"/>
  <c r="CB168" i="7"/>
  <c r="BQ170" i="7"/>
  <c r="CJ172" i="7"/>
  <c r="BY189" i="7"/>
  <c r="BR203" i="7"/>
  <c r="CE211" i="7"/>
  <c r="CC211" i="7"/>
  <c r="BZ211" i="7"/>
  <c r="BY211" i="7"/>
  <c r="BX211" i="7"/>
  <c r="BW211" i="7"/>
  <c r="BV211" i="7"/>
  <c r="BU211" i="7"/>
  <c r="BS211" i="7"/>
  <c r="BR211" i="7"/>
  <c r="BP230" i="7"/>
  <c r="CC238" i="7"/>
  <c r="BQ248" i="7"/>
  <c r="BQ252" i="7"/>
  <c r="BV262" i="7"/>
  <c r="CL269" i="7"/>
  <c r="BT275" i="7"/>
  <c r="CM280" i="7"/>
  <c r="CL280" i="7"/>
  <c r="CK280" i="7"/>
  <c r="CJ280" i="7"/>
  <c r="CI280" i="7"/>
  <c r="CC280" i="7"/>
  <c r="CB280" i="7"/>
  <c r="CM108" i="7"/>
  <c r="CJ153" i="7"/>
  <c r="CI153" i="7"/>
  <c r="CH153" i="7"/>
  <c r="CG153" i="7"/>
  <c r="CD153" i="7"/>
  <c r="BS153" i="7"/>
  <c r="CA177" i="7"/>
  <c r="CK251" i="7"/>
  <c r="BU19" i="7"/>
  <c r="BS21" i="7"/>
  <c r="BZ28" i="7"/>
  <c r="BS31" i="7"/>
  <c r="BW33" i="7"/>
  <c r="BX34" i="7"/>
  <c r="CE37" i="7"/>
  <c r="BT45" i="7"/>
  <c r="BY46" i="7"/>
  <c r="CB47" i="7"/>
  <c r="BZ56" i="7"/>
  <c r="BS63" i="7"/>
  <c r="BW66" i="7"/>
  <c r="BY69" i="7"/>
  <c r="BU71" i="7"/>
  <c r="BW73" i="7"/>
  <c r="BS75" i="7"/>
  <c r="CF78" i="7"/>
  <c r="BR80" i="7"/>
  <c r="CG82" i="7"/>
  <c r="BS98" i="7"/>
  <c r="BV99" i="7"/>
  <c r="CF103" i="7"/>
  <c r="BS108" i="7"/>
  <c r="BR114" i="7"/>
  <c r="CF115" i="7"/>
  <c r="CE120" i="7"/>
  <c r="CA123" i="7"/>
  <c r="BS150" i="7"/>
  <c r="CL153" i="7"/>
  <c r="BP156" i="7"/>
  <c r="BP160" i="7"/>
  <c r="BR165" i="7"/>
  <c r="BP168" i="7"/>
  <c r="BR170" i="7"/>
  <c r="CK172" i="7"/>
  <c r="CB187" i="7"/>
  <c r="BZ189" i="7"/>
  <c r="BS203" i="7"/>
  <c r="BP211" i="7"/>
  <c r="BQ230" i="7"/>
  <c r="CE238" i="7"/>
  <c r="BR248" i="7"/>
  <c r="BR252" i="7"/>
  <c r="BX262" i="7"/>
  <c r="CM269" i="7"/>
  <c r="BU275" i="7"/>
  <c r="BP280" i="7"/>
  <c r="CL117" i="7"/>
  <c r="CK117" i="7"/>
  <c r="CJ117" i="7"/>
  <c r="CI117" i="7"/>
  <c r="CG117" i="7"/>
  <c r="BR16" i="7"/>
  <c r="BV19" i="7"/>
  <c r="BV21" i="7"/>
  <c r="BP27" i="7"/>
  <c r="CA28" i="7"/>
  <c r="BT31" i="7"/>
  <c r="BX33" i="7"/>
  <c r="BY34" i="7"/>
  <c r="CF37" i="7"/>
  <c r="BU45" i="7"/>
  <c r="BZ46" i="7"/>
  <c r="CC47" i="7"/>
  <c r="CA56" i="7"/>
  <c r="BX66" i="7"/>
  <c r="CA69" i="7"/>
  <c r="BV71" i="7"/>
  <c r="BX73" i="7"/>
  <c r="BT75" i="7"/>
  <c r="BS80" i="7"/>
  <c r="BX81" i="7"/>
  <c r="CJ82" i="7"/>
  <c r="CI83" i="7"/>
  <c r="BW98" i="7"/>
  <c r="BW99" i="7"/>
  <c r="CG103" i="7"/>
  <c r="BP107" i="7"/>
  <c r="BT108" i="7"/>
  <c r="BY111" i="7"/>
  <c r="BW114" i="7"/>
  <c r="CH115" i="7"/>
  <c r="BY117" i="7"/>
  <c r="CF120" i="7"/>
  <c r="CC123" i="7"/>
  <c r="BT150" i="7"/>
  <c r="CM153" i="7"/>
  <c r="BV156" i="7"/>
  <c r="CL160" i="7"/>
  <c r="BS165" i="7"/>
  <c r="BQ168" i="7"/>
  <c r="BS170" i="7"/>
  <c r="CL172" i="7"/>
  <c r="CD184" i="7"/>
  <c r="CB184" i="7"/>
  <c r="BZ184" i="7"/>
  <c r="BY184" i="7"/>
  <c r="BX184" i="7"/>
  <c r="BS184" i="7"/>
  <c r="BQ184" i="7"/>
  <c r="CG187" i="7"/>
  <c r="CA189" i="7"/>
  <c r="BV203" i="7"/>
  <c r="BQ211" i="7"/>
  <c r="BR230" i="7"/>
  <c r="CF238" i="7"/>
  <c r="BS248" i="7"/>
  <c r="BU252" i="7"/>
  <c r="CM258" i="7"/>
  <c r="CL258" i="7"/>
  <c r="CK258" i="7"/>
  <c r="CI258" i="7"/>
  <c r="BU258" i="7"/>
  <c r="BP258" i="7"/>
  <c r="BZ262" i="7"/>
  <c r="CM270" i="7"/>
  <c r="CL270" i="7"/>
  <c r="CK270" i="7"/>
  <c r="CJ270" i="7"/>
  <c r="CH270" i="7"/>
  <c r="CC270" i="7"/>
  <c r="BY270" i="7"/>
  <c r="BX270" i="7"/>
  <c r="BX275" i="7"/>
  <c r="BQ280" i="7"/>
  <c r="BP12" i="7"/>
  <c r="BW19" i="7"/>
  <c r="CL21" i="7"/>
  <c r="CB28" i="7"/>
  <c r="BX31" i="7"/>
  <c r="BY33" i="7"/>
  <c r="BZ34" i="7"/>
  <c r="CG37" i="7"/>
  <c r="BV45" i="7"/>
  <c r="CA46" i="7"/>
  <c r="CD47" i="7"/>
  <c r="BP55" i="7"/>
  <c r="CB56" i="7"/>
  <c r="CB66" i="7"/>
  <c r="CB69" i="7"/>
  <c r="BW71" i="7"/>
  <c r="BY73" i="7"/>
  <c r="BU75" i="7"/>
  <c r="BP79" i="7"/>
  <c r="BT80" i="7"/>
  <c r="BY81" i="7"/>
  <c r="CK82" i="7"/>
  <c r="CJ83" i="7"/>
  <c r="BP89" i="7"/>
  <c r="CG94" i="7"/>
  <c r="BP97" i="7"/>
  <c r="BX98" i="7"/>
  <c r="BX99" i="7"/>
  <c r="CH103" i="7"/>
  <c r="BR107" i="7"/>
  <c r="BU108" i="7"/>
  <c r="BZ111" i="7"/>
  <c r="BX114" i="7"/>
  <c r="CI115" i="7"/>
  <c r="BZ117" i="7"/>
  <c r="CH120" i="7"/>
  <c r="CF122" i="7"/>
  <c r="CE122" i="7"/>
  <c r="CD122" i="7"/>
  <c r="CB122" i="7"/>
  <c r="CA122" i="7"/>
  <c r="BY122" i="7"/>
  <c r="CF123" i="7"/>
  <c r="BU150" i="7"/>
  <c r="CK154" i="7"/>
  <c r="CJ154" i="7"/>
  <c r="CI154" i="7"/>
  <c r="CH154" i="7"/>
  <c r="CG154" i="7"/>
  <c r="CE154" i="7"/>
  <c r="BX156" i="7"/>
  <c r="CM160" i="7"/>
  <c r="BT165" i="7"/>
  <c r="BR168" i="7"/>
  <c r="BT170" i="7"/>
  <c r="CM172" i="7"/>
  <c r="BP184" i="7"/>
  <c r="CH187" i="7"/>
  <c r="CB189" i="7"/>
  <c r="BZ203" i="7"/>
  <c r="BT211" i="7"/>
  <c r="BU230" i="7"/>
  <c r="CG238" i="7"/>
  <c r="BP241" i="7"/>
  <c r="BT248" i="7"/>
  <c r="BV252" i="7"/>
  <c r="CJ262" i="7"/>
  <c r="BR270" i="7"/>
  <c r="CI275" i="7"/>
  <c r="BU280" i="7"/>
  <c r="BQ12" i="7"/>
  <c r="CI16" i="7"/>
  <c r="BX19" i="7"/>
  <c r="BR26" i="7"/>
  <c r="BS27" i="7"/>
  <c r="CC28" i="7"/>
  <c r="BY31" i="7"/>
  <c r="BZ33" i="7"/>
  <c r="CA34" i="7"/>
  <c r="CH37" i="7"/>
  <c r="BZ45" i="7"/>
  <c r="CB46" i="7"/>
  <c r="CE47" i="7"/>
  <c r="BU51" i="7"/>
  <c r="BQ55" i="7"/>
  <c r="CC56" i="7"/>
  <c r="CC66" i="7"/>
  <c r="CC69" i="7"/>
  <c r="BX71" i="7"/>
  <c r="BZ73" i="7"/>
  <c r="BX75" i="7"/>
  <c r="BT79" i="7"/>
  <c r="BU80" i="7"/>
  <c r="BZ81" i="7"/>
  <c r="CK83" i="7"/>
  <c r="CI89" i="7"/>
  <c r="CH94" i="7"/>
  <c r="BQ97" i="7"/>
  <c r="BY98" i="7"/>
  <c r="BY99" i="7"/>
  <c r="CJ103" i="7"/>
  <c r="BS107" i="7"/>
  <c r="BV108" i="7"/>
  <c r="CA111" i="7"/>
  <c r="BY114" i="7"/>
  <c r="CJ115" i="7"/>
  <c r="CB117" i="7"/>
  <c r="CI120" i="7"/>
  <c r="BP122" i="7"/>
  <c r="CM123" i="7"/>
  <c r="CI131" i="7"/>
  <c r="CD131" i="7"/>
  <c r="BZ131" i="7"/>
  <c r="BV131" i="7"/>
  <c r="BS131" i="7"/>
  <c r="CM142" i="7"/>
  <c r="CJ142" i="7"/>
  <c r="CI142" i="7"/>
  <c r="CG142" i="7"/>
  <c r="BV150" i="7"/>
  <c r="BP154" i="7"/>
  <c r="BZ156" i="7"/>
  <c r="BU165" i="7"/>
  <c r="BS168" i="7"/>
  <c r="BU170" i="7"/>
  <c r="CE184" i="7"/>
  <c r="CD189" i="7"/>
  <c r="CD203" i="7"/>
  <c r="CH211" i="7"/>
  <c r="BV230" i="7"/>
  <c r="CJ238" i="7"/>
  <c r="BQ241" i="7"/>
  <c r="CF244" i="7"/>
  <c r="CE244" i="7"/>
  <c r="CD244" i="7"/>
  <c r="CC244" i="7"/>
  <c r="CB244" i="7"/>
  <c r="CA244" i="7"/>
  <c r="BZ244" i="7"/>
  <c r="BY244" i="7"/>
  <c r="BW244" i="7"/>
  <c r="BR244" i="7"/>
  <c r="BU248" i="7"/>
  <c r="BW252" i="7"/>
  <c r="BT270" i="7"/>
  <c r="CJ275" i="7"/>
  <c r="BY280" i="7"/>
  <c r="BY19" i="7"/>
  <c r="BS26" i="7"/>
  <c r="BT27" i="7"/>
  <c r="CG28" i="7"/>
  <c r="CA33" i="7"/>
  <c r="CA45" i="7"/>
  <c r="CC46" i="7"/>
  <c r="CF47" i="7"/>
  <c r="BR55" i="7"/>
  <c r="CD56" i="7"/>
  <c r="BQ65" i="7"/>
  <c r="CD66" i="7"/>
  <c r="CD69" i="7"/>
  <c r="BY71" i="7"/>
  <c r="CB73" i="7"/>
  <c r="BU79" i="7"/>
  <c r="BV80" i="7"/>
  <c r="CM83" i="7"/>
  <c r="BR97" i="7"/>
  <c r="BZ98" i="7"/>
  <c r="BZ99" i="7"/>
  <c r="BW107" i="7"/>
  <c r="BW108" i="7"/>
  <c r="CA114" i="7"/>
  <c r="CK115" i="7"/>
  <c r="CC117" i="7"/>
  <c r="CJ120" i="7"/>
  <c r="CJ131" i="7"/>
  <c r="BT142" i="7"/>
  <c r="BW150" i="7"/>
  <c r="CM152" i="7"/>
  <c r="BU152" i="7"/>
  <c r="BT152" i="7"/>
  <c r="BS152" i="7"/>
  <c r="BR152" i="7"/>
  <c r="BP152" i="7"/>
  <c r="BQ154" i="7"/>
  <c r="CA156" i="7"/>
  <c r="CC165" i="7"/>
  <c r="BT168" i="7"/>
  <c r="BV170" i="7"/>
  <c r="CM179" i="7"/>
  <c r="CL179" i="7"/>
  <c r="CK179" i="7"/>
  <c r="CJ179" i="7"/>
  <c r="CI179" i="7"/>
  <c r="CF184" i="7"/>
  <c r="CM188" i="7"/>
  <c r="CC188" i="7"/>
  <c r="CB188" i="7"/>
  <c r="CA188" i="7"/>
  <c r="BZ188" i="7"/>
  <c r="BY188" i="7"/>
  <c r="BX188" i="7"/>
  <c r="BW188" i="7"/>
  <c r="CJ211" i="7"/>
  <c r="BW230" i="7"/>
  <c r="BX244" i="7"/>
  <c r="BX248" i="7"/>
  <c r="BX252" i="7"/>
  <c r="BV270" i="7"/>
  <c r="BZ280" i="7"/>
  <c r="CL217" i="7"/>
  <c r="BQ233" i="7"/>
  <c r="BX233" i="7"/>
  <c r="CJ118" i="7"/>
  <c r="BQ214" i="7"/>
  <c r="BS215" i="7"/>
  <c r="BP217" i="7"/>
  <c r="BP218" i="7"/>
  <c r="BY233" i="7"/>
  <c r="BR239" i="7"/>
  <c r="BY240" i="7"/>
  <c r="BR243" i="7"/>
  <c r="BT264" i="7"/>
  <c r="BT268" i="7"/>
  <c r="BT273" i="7"/>
  <c r="BT214" i="7"/>
  <c r="BV215" i="7"/>
  <c r="BQ217" i="7"/>
  <c r="BQ218" i="7"/>
  <c r="BZ233" i="7"/>
  <c r="BS239" i="7"/>
  <c r="BZ240" i="7"/>
  <c r="BU243" i="7"/>
  <c r="BU264" i="7"/>
  <c r="BU268" i="7"/>
  <c r="BX273" i="7"/>
  <c r="CK126" i="7"/>
  <c r="BQ163" i="7"/>
  <c r="BT194" i="7"/>
  <c r="BR197" i="7"/>
  <c r="BQ200" i="7"/>
  <c r="BQ206" i="7"/>
  <c r="BQ213" i="7"/>
  <c r="BU214" i="7"/>
  <c r="BW215" i="7"/>
  <c r="BR217" i="7"/>
  <c r="BT218" i="7"/>
  <c r="BQ224" i="7"/>
  <c r="BT226" i="7"/>
  <c r="CC233" i="7"/>
  <c r="BT239" i="7"/>
  <c r="CA240" i="7"/>
  <c r="BV243" i="7"/>
  <c r="BX264" i="7"/>
  <c r="BV268" i="7"/>
  <c r="BY273" i="7"/>
  <c r="CM126" i="7"/>
  <c r="CI143" i="7"/>
  <c r="BV163" i="7"/>
  <c r="BX194" i="7"/>
  <c r="BS197" i="7"/>
  <c r="BS200" i="7"/>
  <c r="BT206" i="7"/>
  <c r="CL208" i="7"/>
  <c r="BR213" i="7"/>
  <c r="BV214" i="7"/>
  <c r="BX215" i="7"/>
  <c r="BS217" i="7"/>
  <c r="BW218" i="7"/>
  <c r="BR224" i="7"/>
  <c r="CJ226" i="7"/>
  <c r="CD233" i="7"/>
  <c r="BU239" i="7"/>
  <c r="CD240" i="7"/>
  <c r="BZ243" i="7"/>
  <c r="CJ246" i="7"/>
  <c r="BR263" i="7"/>
  <c r="BY264" i="7"/>
  <c r="BW268" i="7"/>
  <c r="BZ273" i="7"/>
  <c r="BS282" i="7"/>
  <c r="BQ119" i="7"/>
  <c r="BP126" i="7"/>
  <c r="CJ143" i="7"/>
  <c r="BW149" i="7"/>
  <c r="BW163" i="7"/>
  <c r="BT197" i="7"/>
  <c r="BV200" i="7"/>
  <c r="BP205" i="7"/>
  <c r="BV206" i="7"/>
  <c r="CM208" i="7"/>
  <c r="BS213" i="7"/>
  <c r="BY214" i="7"/>
  <c r="BY215" i="7"/>
  <c r="BT217" i="7"/>
  <c r="BZ218" i="7"/>
  <c r="BS224" i="7"/>
  <c r="CK226" i="7"/>
  <c r="CE233" i="7"/>
  <c r="BV239" i="7"/>
  <c r="CI240" i="7"/>
  <c r="CA243" i="7"/>
  <c r="CM246" i="7"/>
  <c r="BS263" i="7"/>
  <c r="CC264" i="7"/>
  <c r="BX268" i="7"/>
  <c r="CA273" i="7"/>
  <c r="BV282" i="7"/>
  <c r="BR119" i="7"/>
  <c r="BQ126" i="7"/>
  <c r="BP127" i="7"/>
  <c r="BS134" i="7"/>
  <c r="CL143" i="7"/>
  <c r="BX149" i="7"/>
  <c r="BR157" i="7"/>
  <c r="BP159" i="7"/>
  <c r="BX163" i="7"/>
  <c r="BV197" i="7"/>
  <c r="BX200" i="7"/>
  <c r="BQ205" i="7"/>
  <c r="BW206" i="7"/>
  <c r="BT213" i="7"/>
  <c r="BZ214" i="7"/>
  <c r="BZ215" i="7"/>
  <c r="BU217" i="7"/>
  <c r="CA218" i="7"/>
  <c r="BT224" i="7"/>
  <c r="CL226" i="7"/>
  <c r="BW239" i="7"/>
  <c r="CK240" i="7"/>
  <c r="CB243" i="7"/>
  <c r="BP249" i="7"/>
  <c r="BV260" i="7"/>
  <c r="BT263" i="7"/>
  <c r="CD264" i="7"/>
  <c r="BY268" i="7"/>
  <c r="CB273" i="7"/>
  <c r="BS279" i="7"/>
  <c r="BQ281" i="7"/>
  <c r="BR126" i="7"/>
  <c r="CM143" i="7"/>
  <c r="BS157" i="7"/>
  <c r="CA215" i="7"/>
  <c r="BV217" i="7"/>
  <c r="BU224" i="7"/>
  <c r="BX239" i="7"/>
  <c r="BQ259" i="7"/>
  <c r="BZ268" i="7"/>
  <c r="BR281" i="7"/>
  <c r="CC109" i="7"/>
  <c r="CJ109" i="7"/>
  <c r="CF109" i="7"/>
  <c r="BT109" i="7"/>
  <c r="BS109" i="7"/>
  <c r="BR109" i="7"/>
  <c r="CM109" i="7"/>
  <c r="CL109" i="7"/>
  <c r="CI109" i="7"/>
  <c r="CK109" i="7"/>
  <c r="CH109" i="7"/>
  <c r="CG109" i="7"/>
  <c r="CE109" i="7"/>
  <c r="CD109" i="7"/>
  <c r="CB109" i="7"/>
  <c r="CA109" i="7"/>
  <c r="BZ109" i="7"/>
  <c r="BY109" i="7"/>
  <c r="BX109" i="7"/>
  <c r="BV109" i="7"/>
  <c r="BW109" i="7"/>
  <c r="BR11" i="7"/>
  <c r="BR15" i="7"/>
  <c r="BV22" i="7"/>
  <c r="BR44" i="7"/>
  <c r="BT54" i="7"/>
  <c r="BY105" i="7"/>
  <c r="CM124" i="7"/>
  <c r="BS11" i="7"/>
  <c r="BS13" i="7"/>
  <c r="BS15" i="7"/>
  <c r="BV17" i="7"/>
  <c r="BT20" i="7"/>
  <c r="BW22" i="7"/>
  <c r="CK38" i="7"/>
  <c r="BQ42" i="7"/>
  <c r="BS44" i="7"/>
  <c r="CG52" i="7"/>
  <c r="CF52" i="7"/>
  <c r="CE52" i="7"/>
  <c r="CD52" i="7"/>
  <c r="BZ52" i="7"/>
  <c r="BY52" i="7"/>
  <c r="CH52" i="7"/>
  <c r="CC52" i="7"/>
  <c r="CB52" i="7"/>
  <c r="CA52" i="7"/>
  <c r="BX52" i="7"/>
  <c r="BW52" i="7"/>
  <c r="BV52" i="7"/>
  <c r="BU52" i="7"/>
  <c r="BT52" i="7"/>
  <c r="BS52" i="7"/>
  <c r="BR52" i="7"/>
  <c r="BW54" i="7"/>
  <c r="CF62" i="7"/>
  <c r="BT77" i="7"/>
  <c r="CH84" i="7"/>
  <c r="BX91" i="7"/>
  <c r="CD94" i="7"/>
  <c r="BT94" i="7"/>
  <c r="CM94" i="7"/>
  <c r="BU94" i="7"/>
  <c r="BS94" i="7"/>
  <c r="BR94" i="7"/>
  <c r="CL94" i="7"/>
  <c r="CK94" i="7"/>
  <c r="CI94" i="7"/>
  <c r="CE94" i="7"/>
  <c r="CC94" i="7"/>
  <c r="CB94" i="7"/>
  <c r="CA94" i="7"/>
  <c r="BZ94" i="7"/>
  <c r="BY94" i="7"/>
  <c r="BX94" i="7"/>
  <c r="BW94" i="7"/>
  <c r="BV94" i="7"/>
  <c r="BQ94" i="7"/>
  <c r="BP94" i="7"/>
  <c r="CM100" i="7"/>
  <c r="BZ105" i="7"/>
  <c r="BQ129" i="7"/>
  <c r="CB167" i="7"/>
  <c r="BU40" i="7"/>
  <c r="BW9" i="7"/>
  <c r="BV9" i="7"/>
  <c r="CL9" i="7"/>
  <c r="BP9" i="7"/>
  <c r="CE9" i="7"/>
  <c r="CC9" i="7"/>
  <c r="CD9" i="7"/>
  <c r="CB9" i="7"/>
  <c r="CA9" i="7"/>
  <c r="BZ9" i="7"/>
  <c r="BY9" i="7"/>
  <c r="BX9" i="7"/>
  <c r="BU9" i="7"/>
  <c r="BT9" i="7"/>
  <c r="BS9" i="7"/>
  <c r="BR13" i="7"/>
  <c r="BS17" i="7"/>
  <c r="BS20" i="7"/>
  <c r="CJ38" i="7"/>
  <c r="BP42" i="7"/>
  <c r="BQ62" i="7"/>
  <c r="BR77" i="7"/>
  <c r="CG84" i="7"/>
  <c r="BT91" i="7"/>
  <c r="CJ100" i="7"/>
  <c r="BZ110" i="7"/>
  <c r="CH110" i="7"/>
  <c r="CD110" i="7"/>
  <c r="BT110" i="7"/>
  <c r="BS110" i="7"/>
  <c r="BR110" i="7"/>
  <c r="CM110" i="7"/>
  <c r="CL110" i="7"/>
  <c r="CJ110" i="7"/>
  <c r="CK110" i="7"/>
  <c r="CC110" i="7"/>
  <c r="CI110" i="7"/>
  <c r="CG110" i="7"/>
  <c r="CF110" i="7"/>
  <c r="CE110" i="7"/>
  <c r="BP129" i="7"/>
  <c r="BU147" i="7"/>
  <c r="CA167" i="7"/>
  <c r="BR9" i="7"/>
  <c r="BT11" i="7"/>
  <c r="BT13" i="7"/>
  <c r="BU15" i="7"/>
  <c r="BW17" i="7"/>
  <c r="BU20" i="7"/>
  <c r="BX22" i="7"/>
  <c r="BR42" i="7"/>
  <c r="BT44" i="7"/>
  <c r="BP52" i="7"/>
  <c r="BX54" i="7"/>
  <c r="CJ62" i="7"/>
  <c r="BW77" i="7"/>
  <c r="CL84" i="7"/>
  <c r="BY91" i="7"/>
  <c r="CF94" i="7"/>
  <c r="CE101" i="7"/>
  <c r="CB101" i="7"/>
  <c r="BX101" i="7"/>
  <c r="BS101" i="7"/>
  <c r="BR101" i="7"/>
  <c r="BQ101" i="7"/>
  <c r="CL101" i="7"/>
  <c r="CK101" i="7"/>
  <c r="CI101" i="7"/>
  <c r="CM101" i="7"/>
  <c r="CJ101" i="7"/>
  <c r="CH101" i="7"/>
  <c r="CA101" i="7"/>
  <c r="CG101" i="7"/>
  <c r="CF101" i="7"/>
  <c r="CD101" i="7"/>
  <c r="CC101" i="7"/>
  <c r="CA105" i="7"/>
  <c r="BQ110" i="7"/>
  <c r="BS129" i="7"/>
  <c r="CA139" i="7"/>
  <c r="BY139" i="7"/>
  <c r="BT139" i="7"/>
  <c r="BP139" i="7"/>
  <c r="BV139" i="7"/>
  <c r="BQ139" i="7"/>
  <c r="BW139" i="7"/>
  <c r="BU139" i="7"/>
  <c r="BS139" i="7"/>
  <c r="CL139" i="7"/>
  <c r="CM139" i="7"/>
  <c r="CK139" i="7"/>
  <c r="CJ139" i="7"/>
  <c r="CI139" i="7"/>
  <c r="CH139" i="7"/>
  <c r="CG139" i="7"/>
  <c r="CF139" i="7"/>
  <c r="BZ139" i="7"/>
  <c r="CE139" i="7"/>
  <c r="CD139" i="7"/>
  <c r="CC139" i="7"/>
  <c r="CB139" i="7"/>
  <c r="CF9" i="7"/>
  <c r="CG11" i="7"/>
  <c r="CI13" i="7"/>
  <c r="CI15" i="7"/>
  <c r="CI17" i="7"/>
  <c r="CK20" i="7"/>
  <c r="BU39" i="7"/>
  <c r="BT39" i="7"/>
  <c r="BS39" i="7"/>
  <c r="CJ39" i="7"/>
  <c r="CF39" i="7"/>
  <c r="CE39" i="7"/>
  <c r="CD39" i="7"/>
  <c r="CC39" i="7"/>
  <c r="CB39" i="7"/>
  <c r="CA39" i="7"/>
  <c r="BZ39" i="7"/>
  <c r="BY39" i="7"/>
  <c r="BX39" i="7"/>
  <c r="BW39" i="7"/>
  <c r="BV39" i="7"/>
  <c r="BS42" i="7"/>
  <c r="BW44" i="7"/>
  <c r="BY54" i="7"/>
  <c r="CK62" i="7"/>
  <c r="CM84" i="7"/>
  <c r="CA91" i="7"/>
  <c r="CB105" i="7"/>
  <c r="BU110" i="7"/>
  <c r="CI204" i="7"/>
  <c r="CG204" i="7"/>
  <c r="BS204" i="7"/>
  <c r="BP204" i="7"/>
  <c r="CM204" i="7"/>
  <c r="CL204" i="7"/>
  <c r="CK204" i="7"/>
  <c r="CJ204" i="7"/>
  <c r="CF204" i="7"/>
  <c r="CD204" i="7"/>
  <c r="CH204" i="7"/>
  <c r="CC204" i="7"/>
  <c r="CB204" i="7"/>
  <c r="CA204" i="7"/>
  <c r="BZ204" i="7"/>
  <c r="BY204" i="7"/>
  <c r="BW204" i="7"/>
  <c r="BU204" i="7"/>
  <c r="BT204" i="7"/>
  <c r="BQ204" i="7"/>
  <c r="CH11" i="7"/>
  <c r="BR204" i="7"/>
  <c r="BQ13" i="7"/>
  <c r="CH9" i="7"/>
  <c r="CI11" i="7"/>
  <c r="CK13" i="7"/>
  <c r="CK15" i="7"/>
  <c r="CM20" i="7"/>
  <c r="BQ39" i="7"/>
  <c r="BU42" i="7"/>
  <c r="BY44" i="7"/>
  <c r="CM62" i="7"/>
  <c r="BP78" i="7"/>
  <c r="CC91" i="7"/>
  <c r="CD105" i="7"/>
  <c r="BW110" i="7"/>
  <c r="CM113" i="7"/>
  <c r="BQ113" i="7"/>
  <c r="CB113" i="7"/>
  <c r="BX113" i="7"/>
  <c r="BU113" i="7"/>
  <c r="BT113" i="7"/>
  <c r="BS113" i="7"/>
  <c r="CL113" i="7"/>
  <c r="CJ113" i="7"/>
  <c r="CK113" i="7"/>
  <c r="CI113" i="7"/>
  <c r="CH113" i="7"/>
  <c r="CG113" i="7"/>
  <c r="CF113" i="7"/>
  <c r="CE113" i="7"/>
  <c r="CD113" i="7"/>
  <c r="CC113" i="7"/>
  <c r="BZ113" i="7"/>
  <c r="CA113" i="7"/>
  <c r="BV204" i="7"/>
  <c r="CI225" i="7"/>
  <c r="CH225" i="7"/>
  <c r="CD225" i="7"/>
  <c r="CC225" i="7"/>
  <c r="CF225" i="7"/>
  <c r="CB225" i="7"/>
  <c r="BV225" i="7"/>
  <c r="BS225" i="7"/>
  <c r="BW225" i="7"/>
  <c r="BU225" i="7"/>
  <c r="BT225" i="7"/>
  <c r="BR225" i="7"/>
  <c r="CM225" i="7"/>
  <c r="CK225" i="7"/>
  <c r="CJ225" i="7"/>
  <c r="CL225" i="7"/>
  <c r="CG225" i="7"/>
  <c r="CA225" i="7"/>
  <c r="CE225" i="7"/>
  <c r="BQ225" i="7"/>
  <c r="BZ225" i="7"/>
  <c r="BY225" i="7"/>
  <c r="BX225" i="7"/>
  <c r="BS64" i="7"/>
  <c r="CE64" i="7"/>
  <c r="CD64" i="7"/>
  <c r="CC64" i="7"/>
  <c r="BY64" i="7"/>
  <c r="BX64" i="7"/>
  <c r="CM64" i="7"/>
  <c r="CL64" i="7"/>
  <c r="CK64" i="7"/>
  <c r="CJ64" i="7"/>
  <c r="CI64" i="7"/>
  <c r="CH64" i="7"/>
  <c r="CG64" i="7"/>
  <c r="CF64" i="7"/>
  <c r="CB64" i="7"/>
  <c r="CA64" i="7"/>
  <c r="CM135" i="7"/>
  <c r="BQ135" i="7"/>
  <c r="BU135" i="7"/>
  <c r="BV135" i="7"/>
  <c r="BP135" i="7"/>
  <c r="CK135" i="7"/>
  <c r="CJ135" i="7"/>
  <c r="CI135" i="7"/>
  <c r="CE135" i="7"/>
  <c r="CD135" i="7"/>
  <c r="CB135" i="7"/>
  <c r="CL135" i="7"/>
  <c r="CH135" i="7"/>
  <c r="CG135" i="7"/>
  <c r="CF135" i="7"/>
  <c r="CC135" i="7"/>
  <c r="CA135" i="7"/>
  <c r="BZ135" i="7"/>
  <c r="BY135" i="7"/>
  <c r="BW135" i="7"/>
  <c r="BX135" i="7"/>
  <c r="CB22" i="7"/>
  <c r="CA22" i="7"/>
  <c r="BZ22" i="7"/>
  <c r="BU22" i="7"/>
  <c r="CL22" i="7"/>
  <c r="CK22" i="7"/>
  <c r="CJ22" i="7"/>
  <c r="CI22" i="7"/>
  <c r="CH22" i="7"/>
  <c r="CG22" i="7"/>
  <c r="CF22" i="7"/>
  <c r="CE22" i="7"/>
  <c r="CD22" i="7"/>
  <c r="CC22" i="7"/>
  <c r="BY22" i="7"/>
  <c r="BX38" i="7"/>
  <c r="BW38" i="7"/>
  <c r="BV38" i="7"/>
  <c r="CM38" i="7"/>
  <c r="BQ38" i="7"/>
  <c r="CE38" i="7"/>
  <c r="CD38" i="7"/>
  <c r="CC38" i="7"/>
  <c r="CB38" i="7"/>
  <c r="CA38" i="7"/>
  <c r="BZ38" i="7"/>
  <c r="BY38" i="7"/>
  <c r="BU38" i="7"/>
  <c r="BT38" i="7"/>
  <c r="BS38" i="7"/>
  <c r="BR38" i="7"/>
  <c r="BS135" i="7"/>
  <c r="CA161" i="7"/>
  <c r="BZ161" i="7"/>
  <c r="BY161" i="7"/>
  <c r="BX161" i="7"/>
  <c r="CD161" i="7"/>
  <c r="CB161" i="7"/>
  <c r="BV161" i="7"/>
  <c r="CJ161" i="7"/>
  <c r="CI161" i="7"/>
  <c r="CG161" i="7"/>
  <c r="CF161" i="7"/>
  <c r="CE161" i="7"/>
  <c r="CC161" i="7"/>
  <c r="BW161" i="7"/>
  <c r="CM161" i="7"/>
  <c r="BU161" i="7"/>
  <c r="BT161" i="7"/>
  <c r="BR161" i="7"/>
  <c r="BV40" i="7"/>
  <c r="BU17" i="7"/>
  <c r="BT17" i="7"/>
  <c r="CJ17" i="7"/>
  <c r="CH17" i="7"/>
  <c r="CG17" i="7"/>
  <c r="CF17" i="7"/>
  <c r="CE17" i="7"/>
  <c r="CD17" i="7"/>
  <c r="CC17" i="7"/>
  <c r="CB17" i="7"/>
  <c r="CA17" i="7"/>
  <c r="BZ17" i="7"/>
  <c r="BY17" i="7"/>
  <c r="BX17" i="7"/>
  <c r="BQ22" i="7"/>
  <c r="CF38" i="7"/>
  <c r="BT64" i="7"/>
  <c r="CJ40" i="7"/>
  <c r="BX77" i="7"/>
  <c r="CC77" i="7"/>
  <c r="CB77" i="7"/>
  <c r="CA77" i="7"/>
  <c r="BV77" i="7"/>
  <c r="BU77" i="7"/>
  <c r="BS77" i="7"/>
  <c r="CM77" i="7"/>
  <c r="CL77" i="7"/>
  <c r="CK77" i="7"/>
  <c r="CJ77" i="7"/>
  <c r="CI77" i="7"/>
  <c r="CH77" i="7"/>
  <c r="CG77" i="7"/>
  <c r="CF77" i="7"/>
  <c r="CE77" i="7"/>
  <c r="CD77" i="7"/>
  <c r="BZ77" i="7"/>
  <c r="BQ20" i="7"/>
  <c r="BS91" i="7"/>
  <c r="BX105" i="7"/>
  <c r="CI129" i="7"/>
  <c r="CF129" i="7"/>
  <c r="BZ129" i="7"/>
  <c r="BV129" i="7"/>
  <c r="CC129" i="7"/>
  <c r="CB129" i="7"/>
  <c r="CA129" i="7"/>
  <c r="BU129" i="7"/>
  <c r="BT129" i="7"/>
  <c r="BR129" i="7"/>
  <c r="CM129" i="7"/>
  <c r="CL129" i="7"/>
  <c r="CK129" i="7"/>
  <c r="CJ129" i="7"/>
  <c r="BY129" i="7"/>
  <c r="CH129" i="7"/>
  <c r="CG129" i="7"/>
  <c r="CE129" i="7"/>
  <c r="CD129" i="7"/>
  <c r="CJ167" i="7"/>
  <c r="BQ167" i="7"/>
  <c r="CG167" i="7"/>
  <c r="CF167" i="7"/>
  <c r="CE167" i="7"/>
  <c r="CD167" i="7"/>
  <c r="CL167" i="7"/>
  <c r="CI167" i="7"/>
  <c r="CC167" i="7"/>
  <c r="BZ167" i="7"/>
  <c r="BY167" i="7"/>
  <c r="BW167" i="7"/>
  <c r="BV167" i="7"/>
  <c r="BU167" i="7"/>
  <c r="BT167" i="7"/>
  <c r="BS167" i="7"/>
  <c r="BX167" i="7"/>
  <c r="BR167" i="7"/>
  <c r="BP167" i="7"/>
  <c r="CK167" i="7"/>
  <c r="CM167" i="7"/>
  <c r="CJ13" i="7"/>
  <c r="CK17" i="7"/>
  <c r="BY23" i="7"/>
  <c r="BX23" i="7"/>
  <c r="BW23" i="7"/>
  <c r="BR23" i="7"/>
  <c r="CM23" i="7"/>
  <c r="CL23" i="7"/>
  <c r="CK23" i="7"/>
  <c r="CJ23" i="7"/>
  <c r="CI23" i="7"/>
  <c r="CH23" i="7"/>
  <c r="CG23" i="7"/>
  <c r="CF23" i="7"/>
  <c r="CE23" i="7"/>
  <c r="CD23" i="7"/>
  <c r="CC23" i="7"/>
  <c r="BX44" i="7"/>
  <c r="BV85" i="7"/>
  <c r="CI85" i="7"/>
  <c r="CH85" i="7"/>
  <c r="CG85" i="7"/>
  <c r="CC85" i="7"/>
  <c r="CB85" i="7"/>
  <c r="BZ85" i="7"/>
  <c r="CM85" i="7"/>
  <c r="CL85" i="7"/>
  <c r="CK85" i="7"/>
  <c r="CJ85" i="7"/>
  <c r="CF85" i="7"/>
  <c r="CE85" i="7"/>
  <c r="CD85" i="7"/>
  <c r="CA85" i="7"/>
  <c r="BY85" i="7"/>
  <c r="BX85" i="7"/>
  <c r="BW85" i="7"/>
  <c r="CB91" i="7"/>
  <c r="CC105" i="7"/>
  <c r="BV110" i="7"/>
  <c r="BX129" i="7"/>
  <c r="CI9" i="7"/>
  <c r="CJ11" i="7"/>
  <c r="CL15" i="7"/>
  <c r="CM17" i="7"/>
  <c r="CE21" i="7"/>
  <c r="CD21" i="7"/>
  <c r="CC21" i="7"/>
  <c r="BX21" i="7"/>
  <c r="CK21" i="7"/>
  <c r="CJ21" i="7"/>
  <c r="CI21" i="7"/>
  <c r="CH21" i="7"/>
  <c r="CG21" i="7"/>
  <c r="CF21" i="7"/>
  <c r="CB21" i="7"/>
  <c r="CA21" i="7"/>
  <c r="BZ21" i="7"/>
  <c r="BY21" i="7"/>
  <c r="BW21" i="7"/>
  <c r="BQ23" i="7"/>
  <c r="CA37" i="7"/>
  <c r="BZ37" i="7"/>
  <c r="BY37" i="7"/>
  <c r="BT37" i="7"/>
  <c r="CD37" i="7"/>
  <c r="CC37" i="7"/>
  <c r="CB37" i="7"/>
  <c r="BX37" i="7"/>
  <c r="BW37" i="7"/>
  <c r="BV37" i="7"/>
  <c r="BU37" i="7"/>
  <c r="BS37" i="7"/>
  <c r="BR37" i="7"/>
  <c r="BQ37" i="7"/>
  <c r="BP37" i="7"/>
  <c r="BR39" i="7"/>
  <c r="BV42" i="7"/>
  <c r="CK52" i="7"/>
  <c r="BV63" i="7"/>
  <c r="CG63" i="7"/>
  <c r="CF63" i="7"/>
  <c r="CE63" i="7"/>
  <c r="CA63" i="7"/>
  <c r="BZ63" i="7"/>
  <c r="CK63" i="7"/>
  <c r="CJ63" i="7"/>
  <c r="CI63" i="7"/>
  <c r="CH63" i="7"/>
  <c r="CD63" i="7"/>
  <c r="CC63" i="7"/>
  <c r="CB63" i="7"/>
  <c r="BY63" i="7"/>
  <c r="BX63" i="7"/>
  <c r="BW63" i="7"/>
  <c r="BU63" i="7"/>
  <c r="BQ85" i="7"/>
  <c r="CF89" i="7"/>
  <c r="CA89" i="7"/>
  <c r="BZ89" i="7"/>
  <c r="BY89" i="7"/>
  <c r="BU89" i="7"/>
  <c r="BT89" i="7"/>
  <c r="BR89" i="7"/>
  <c r="CH89" i="7"/>
  <c r="CG89" i="7"/>
  <c r="CE89" i="7"/>
  <c r="CD89" i="7"/>
  <c r="CC89" i="7"/>
  <c r="CB89" i="7"/>
  <c r="BX89" i="7"/>
  <c r="BW89" i="7"/>
  <c r="BV89" i="7"/>
  <c r="BS89" i="7"/>
  <c r="BQ89" i="7"/>
  <c r="CD91" i="7"/>
  <c r="CA95" i="7"/>
  <c r="BR95" i="7"/>
  <c r="CK95" i="7"/>
  <c r="BU95" i="7"/>
  <c r="BT95" i="7"/>
  <c r="BS95" i="7"/>
  <c r="CM95" i="7"/>
  <c r="CL95" i="7"/>
  <c r="CI95" i="7"/>
  <c r="CJ95" i="7"/>
  <c r="CH95" i="7"/>
  <c r="CG95" i="7"/>
  <c r="CF95" i="7"/>
  <c r="CE95" i="7"/>
  <c r="CD95" i="7"/>
  <c r="CC95" i="7"/>
  <c r="CB95" i="7"/>
  <c r="BZ95" i="7"/>
  <c r="BV101" i="7"/>
  <c r="BX110" i="7"/>
  <c r="BP113" i="7"/>
  <c r="BX204" i="7"/>
  <c r="BP225" i="7"/>
  <c r="CC90" i="7"/>
  <c r="BY90" i="7"/>
  <c r="BX90" i="7"/>
  <c r="BW90" i="7"/>
  <c r="BS90" i="7"/>
  <c r="BR90" i="7"/>
  <c r="CM90" i="7"/>
  <c r="BP90" i="7"/>
  <c r="CL90" i="7"/>
  <c r="CK90" i="7"/>
  <c r="CJ90" i="7"/>
  <c r="CI90" i="7"/>
  <c r="CH90" i="7"/>
  <c r="CG90" i="7"/>
  <c r="CF90" i="7"/>
  <c r="CE90" i="7"/>
  <c r="CD90" i="7"/>
  <c r="CB90" i="7"/>
  <c r="CA90" i="7"/>
  <c r="CL181" i="7"/>
  <c r="BP181" i="7"/>
  <c r="CJ181" i="7"/>
  <c r="BQ181" i="7"/>
  <c r="BX181" i="7"/>
  <c r="BW181" i="7"/>
  <c r="BV181" i="7"/>
  <c r="BU181" i="7"/>
  <c r="CF181" i="7"/>
  <c r="CD181" i="7"/>
  <c r="CB181" i="7"/>
  <c r="CH181" i="7"/>
  <c r="CG181" i="7"/>
  <c r="CC181" i="7"/>
  <c r="CA181" i="7"/>
  <c r="BZ181" i="7"/>
  <c r="BY181" i="7"/>
  <c r="BT181" i="7"/>
  <c r="BR181" i="7"/>
  <c r="CK181" i="7"/>
  <c r="CI181" i="7"/>
  <c r="CE181" i="7"/>
  <c r="CM181" i="7"/>
  <c r="BP64" i="7"/>
  <c r="BT90" i="7"/>
  <c r="BR135" i="7"/>
  <c r="BT135" i="7"/>
  <c r="BP161" i="7"/>
  <c r="CG13" i="7"/>
  <c r="CF13" i="7"/>
  <c r="BZ13" i="7"/>
  <c r="CH13" i="7"/>
  <c r="CE13" i="7"/>
  <c r="CD13" i="7"/>
  <c r="CC13" i="7"/>
  <c r="CB13" i="7"/>
  <c r="CA13" i="7"/>
  <c r="BY13" i="7"/>
  <c r="BX13" i="7"/>
  <c r="BW13" i="7"/>
  <c r="BV13" i="7"/>
  <c r="BU13" i="7"/>
  <c r="BR22" i="7"/>
  <c r="CB44" i="7"/>
  <c r="CA44" i="7"/>
  <c r="BZ44" i="7"/>
  <c r="BV44" i="7"/>
  <c r="BU44" i="7"/>
  <c r="CM44" i="7"/>
  <c r="CL44" i="7"/>
  <c r="CK44" i="7"/>
  <c r="CJ44" i="7"/>
  <c r="CI44" i="7"/>
  <c r="CH44" i="7"/>
  <c r="CG44" i="7"/>
  <c r="CF44" i="7"/>
  <c r="CE44" i="7"/>
  <c r="CD44" i="7"/>
  <c r="BS161" i="7"/>
  <c r="BZ250" i="7"/>
  <c r="BY250" i="7"/>
  <c r="BX250" i="7"/>
  <c r="BU250" i="7"/>
  <c r="BT250" i="7"/>
  <c r="CJ250" i="7"/>
  <c r="CH250" i="7"/>
  <c r="BP250" i="7"/>
  <c r="CK250" i="7"/>
  <c r="CI250" i="7"/>
  <c r="CG250" i="7"/>
  <c r="CF250" i="7"/>
  <c r="CE250" i="7"/>
  <c r="CM250" i="7"/>
  <c r="CD250" i="7"/>
  <c r="CC250" i="7"/>
  <c r="CL250" i="7"/>
  <c r="CB250" i="7"/>
  <c r="CA250" i="7"/>
  <c r="BW250" i="7"/>
  <c r="BV250" i="7"/>
  <c r="BS250" i="7"/>
  <c r="BR250" i="7"/>
  <c r="BQ250" i="7"/>
  <c r="BP15" i="7"/>
  <c r="BS22" i="7"/>
  <c r="BP44" i="7"/>
  <c r="BV64" i="7"/>
  <c r="BP77" i="7"/>
  <c r="BR91" i="7"/>
  <c r="CH161" i="7"/>
  <c r="BR17" i="7"/>
  <c r="BT22" i="7"/>
  <c r="BQ44" i="7"/>
  <c r="CK161" i="7"/>
  <c r="CG9" i="7"/>
  <c r="CJ15" i="7"/>
  <c r="BP39" i="7"/>
  <c r="BT42" i="7"/>
  <c r="BU78" i="7"/>
  <c r="CA78" i="7"/>
  <c r="BZ78" i="7"/>
  <c r="BY78" i="7"/>
  <c r="BT78" i="7"/>
  <c r="BS78" i="7"/>
  <c r="BQ78" i="7"/>
  <c r="CM78" i="7"/>
  <c r="CL78" i="7"/>
  <c r="CK78" i="7"/>
  <c r="CJ78" i="7"/>
  <c r="CI78" i="7"/>
  <c r="CH78" i="7"/>
  <c r="CG78" i="7"/>
  <c r="CJ9" i="7"/>
  <c r="CM13" i="7"/>
  <c r="CM15" i="7"/>
  <c r="BR18" i="7"/>
  <c r="CM18" i="7"/>
  <c r="BQ18" i="7"/>
  <c r="CG18" i="7"/>
  <c r="CI18" i="7"/>
  <c r="CH18" i="7"/>
  <c r="CF18" i="7"/>
  <c r="CE18" i="7"/>
  <c r="CD18" i="7"/>
  <c r="CC18" i="7"/>
  <c r="CB18" i="7"/>
  <c r="CA18" i="7"/>
  <c r="BZ18" i="7"/>
  <c r="BY18" i="7"/>
  <c r="BX18" i="7"/>
  <c r="BS23" i="7"/>
  <c r="CG39" i="7"/>
  <c r="CL42" i="7"/>
  <c r="CL52" i="7"/>
  <c r="BV78" i="7"/>
  <c r="BR85" i="7"/>
  <c r="BW101" i="7"/>
  <c r="BY110" i="7"/>
  <c r="BR113" i="7"/>
  <c r="CE204" i="7"/>
  <c r="CK9" i="7"/>
  <c r="CJ12" i="7"/>
  <c r="CI12" i="7"/>
  <c r="CC12" i="7"/>
  <c r="CF12" i="7"/>
  <c r="CE12" i="7"/>
  <c r="CD12" i="7"/>
  <c r="CB12" i="7"/>
  <c r="CA12" i="7"/>
  <c r="BZ12" i="7"/>
  <c r="BY12" i="7"/>
  <c r="BX12" i="7"/>
  <c r="BW12" i="7"/>
  <c r="BV12" i="7"/>
  <c r="BU12" i="7"/>
  <c r="CD14" i="7"/>
  <c r="CC14" i="7"/>
  <c r="BW14" i="7"/>
  <c r="CH14" i="7"/>
  <c r="CG14" i="7"/>
  <c r="CF14" i="7"/>
  <c r="CE14" i="7"/>
  <c r="CB14" i="7"/>
  <c r="CA14" i="7"/>
  <c r="BZ14" i="7"/>
  <c r="BY14" i="7"/>
  <c r="BX14" i="7"/>
  <c r="BV14" i="7"/>
  <c r="BU14" i="7"/>
  <c r="BX16" i="7"/>
  <c r="BW16" i="7"/>
  <c r="CM16" i="7"/>
  <c r="BQ16" i="7"/>
  <c r="CH16" i="7"/>
  <c r="CG16" i="7"/>
  <c r="CF16" i="7"/>
  <c r="CE16" i="7"/>
  <c r="CD16" i="7"/>
  <c r="CC16" i="7"/>
  <c r="CB16" i="7"/>
  <c r="CA16" i="7"/>
  <c r="BZ16" i="7"/>
  <c r="BY16" i="7"/>
  <c r="BV16" i="7"/>
  <c r="BT23" i="7"/>
  <c r="CH39" i="7"/>
  <c r="CM52" i="7"/>
  <c r="BW78" i="7"/>
  <c r="BS85" i="7"/>
  <c r="BY101" i="7"/>
  <c r="CA110" i="7"/>
  <c r="BV113" i="7"/>
  <c r="BZ132" i="7"/>
  <c r="CA132" i="7"/>
  <c r="BW132" i="7"/>
  <c r="BS132" i="7"/>
  <c r="CH132" i="7"/>
  <c r="CG132" i="7"/>
  <c r="CF132" i="7"/>
  <c r="CB132" i="7"/>
  <c r="BY132" i="7"/>
  <c r="BV132" i="7"/>
  <c r="CM132" i="7"/>
  <c r="CL132" i="7"/>
  <c r="CK132" i="7"/>
  <c r="CJ132" i="7"/>
  <c r="CI132" i="7"/>
  <c r="BU132" i="7"/>
  <c r="CE132" i="7"/>
  <c r="CD132" i="7"/>
  <c r="CC132" i="7"/>
  <c r="BX132" i="7"/>
  <c r="CE145" i="7"/>
  <c r="CC145" i="7"/>
  <c r="CL145" i="7"/>
  <c r="CJ145" i="7"/>
  <c r="CH145" i="7"/>
  <c r="BY145" i="7"/>
  <c r="BW145" i="7"/>
  <c r="BV145" i="7"/>
  <c r="BT145" i="7"/>
  <c r="BS145" i="7"/>
  <c r="CK145" i="7"/>
  <c r="CI145" i="7"/>
  <c r="CG145" i="7"/>
  <c r="CA145" i="7"/>
  <c r="BZ145" i="7"/>
  <c r="BU145" i="7"/>
  <c r="CM145" i="7"/>
  <c r="CF145" i="7"/>
  <c r="BR145" i="7"/>
  <c r="CD145" i="7"/>
  <c r="CB145" i="7"/>
  <c r="BX145" i="7"/>
  <c r="BS149" i="7"/>
  <c r="BR149" i="7"/>
  <c r="CM149" i="7"/>
  <c r="BQ149" i="7"/>
  <c r="CL149" i="7"/>
  <c r="BP149" i="7"/>
  <c r="CJ149" i="7"/>
  <c r="CH149" i="7"/>
  <c r="CK149" i="7"/>
  <c r="CI149" i="7"/>
  <c r="CG149" i="7"/>
  <c r="BV149" i="7"/>
  <c r="BU149" i="7"/>
  <c r="BT149" i="7"/>
  <c r="CD149" i="7"/>
  <c r="CF149" i="7"/>
  <c r="CE149" i="7"/>
  <c r="BR40" i="7"/>
  <c r="CM40" i="7"/>
  <c r="BQ40" i="7"/>
  <c r="CL40" i="7"/>
  <c r="BP40" i="7"/>
  <c r="CG40" i="7"/>
  <c r="CH40" i="7"/>
  <c r="CF40" i="7"/>
  <c r="CE40" i="7"/>
  <c r="CD40" i="7"/>
  <c r="CC40" i="7"/>
  <c r="CB40" i="7"/>
  <c r="CA40" i="7"/>
  <c r="BZ40" i="7"/>
  <c r="BY40" i="7"/>
  <c r="BX40" i="7"/>
  <c r="BW40" i="7"/>
  <c r="BS40" i="7"/>
  <c r="BQ90" i="7"/>
  <c r="BV104" i="7"/>
  <c r="BW104" i="7"/>
  <c r="BR104" i="7"/>
  <c r="BT104" i="7"/>
  <c r="BS104" i="7"/>
  <c r="BQ104" i="7"/>
  <c r="CL104" i="7"/>
  <c r="CK104" i="7"/>
  <c r="CI104" i="7"/>
  <c r="CM104" i="7"/>
  <c r="CJ104" i="7"/>
  <c r="CH104" i="7"/>
  <c r="CG104" i="7"/>
  <c r="CF104" i="7"/>
  <c r="CE104" i="7"/>
  <c r="CD104" i="7"/>
  <c r="CC104" i="7"/>
  <c r="BY104" i="7"/>
  <c r="CB104" i="7"/>
  <c r="CA104" i="7"/>
  <c r="BZ104" i="7"/>
  <c r="CH175" i="7"/>
  <c r="BW175" i="7"/>
  <c r="BX175" i="7"/>
  <c r="BV175" i="7"/>
  <c r="BU175" i="7"/>
  <c r="BT175" i="7"/>
  <c r="CD175" i="7"/>
  <c r="CB175" i="7"/>
  <c r="BZ175" i="7"/>
  <c r="CL175" i="7"/>
  <c r="CK175" i="7"/>
  <c r="CJ175" i="7"/>
  <c r="CI175" i="7"/>
  <c r="CG175" i="7"/>
  <c r="CE175" i="7"/>
  <c r="CF175" i="7"/>
  <c r="CC175" i="7"/>
  <c r="BY175" i="7"/>
  <c r="CM175" i="7"/>
  <c r="BQ64" i="7"/>
  <c r="BU90" i="7"/>
  <c r="BQ175" i="7"/>
  <c r="CE198" i="7"/>
  <c r="CC198" i="7"/>
  <c r="BW198" i="7"/>
  <c r="BT198" i="7"/>
  <c r="CF198" i="7"/>
  <c r="CD198" i="7"/>
  <c r="CB198" i="7"/>
  <c r="CA198" i="7"/>
  <c r="BX198" i="7"/>
  <c r="BU198" i="7"/>
  <c r="BR198" i="7"/>
  <c r="CM198" i="7"/>
  <c r="CL198" i="7"/>
  <c r="CJ198" i="7"/>
  <c r="CI198" i="7"/>
  <c r="CH198" i="7"/>
  <c r="CG198" i="7"/>
  <c r="BZ198" i="7"/>
  <c r="BV198" i="7"/>
  <c r="CK198" i="7"/>
  <c r="BQ198" i="7"/>
  <c r="BY198" i="7"/>
  <c r="BS198" i="7"/>
  <c r="BP38" i="7"/>
  <c r="BV90" i="7"/>
  <c r="CH20" i="7"/>
  <c r="CG20" i="7"/>
  <c r="CF20" i="7"/>
  <c r="CA20" i="7"/>
  <c r="CJ20" i="7"/>
  <c r="CI20" i="7"/>
  <c r="CE20" i="7"/>
  <c r="CD20" i="7"/>
  <c r="CC20" i="7"/>
  <c r="CB20" i="7"/>
  <c r="BZ20" i="7"/>
  <c r="BY20" i="7"/>
  <c r="BX20" i="7"/>
  <c r="BW20" i="7"/>
  <c r="BV20" i="7"/>
  <c r="BS105" i="7"/>
  <c r="BU105" i="7"/>
  <c r="CM105" i="7"/>
  <c r="BP105" i="7"/>
  <c r="BV105" i="7"/>
  <c r="BT105" i="7"/>
  <c r="BR105" i="7"/>
  <c r="CL105" i="7"/>
  <c r="CK105" i="7"/>
  <c r="CI105" i="7"/>
  <c r="CE105" i="7"/>
  <c r="CJ105" i="7"/>
  <c r="CH105" i="7"/>
  <c r="CG105" i="7"/>
  <c r="CF105" i="7"/>
  <c r="BQ161" i="7"/>
  <c r="BS175" i="7"/>
  <c r="BP17" i="7"/>
  <c r="BU64" i="7"/>
  <c r="CH38" i="7"/>
  <c r="CH42" i="7"/>
  <c r="CG42" i="7"/>
  <c r="CF42" i="7"/>
  <c r="CA42" i="7"/>
  <c r="CK42" i="7"/>
  <c r="CJ42" i="7"/>
  <c r="CI42" i="7"/>
  <c r="CE42" i="7"/>
  <c r="CD42" i="7"/>
  <c r="CC42" i="7"/>
  <c r="CB42" i="7"/>
  <c r="BZ42" i="7"/>
  <c r="BY42" i="7"/>
  <c r="BX42" i="7"/>
  <c r="BW42" i="7"/>
  <c r="BW64" i="7"/>
  <c r="BU23" i="7"/>
  <c r="CI39" i="7"/>
  <c r="CE43" i="7"/>
  <c r="CD43" i="7"/>
  <c r="CC43" i="7"/>
  <c r="BX43" i="7"/>
  <c r="CL43" i="7"/>
  <c r="CK43" i="7"/>
  <c r="CJ43" i="7"/>
  <c r="CI43" i="7"/>
  <c r="CH43" i="7"/>
  <c r="CG43" i="7"/>
  <c r="CF43" i="7"/>
  <c r="CB43" i="7"/>
  <c r="CA43" i="7"/>
  <c r="BZ43" i="7"/>
  <c r="BY43" i="7"/>
  <c r="BT85" i="7"/>
  <c r="BT10" i="7"/>
  <c r="BS10" i="7"/>
  <c r="CI10" i="7"/>
  <c r="CE10" i="7"/>
  <c r="CD10" i="7"/>
  <c r="CC10" i="7"/>
  <c r="CB10" i="7"/>
  <c r="CA10" i="7"/>
  <c r="BZ10" i="7"/>
  <c r="BY10" i="7"/>
  <c r="BX10" i="7"/>
  <c r="BW10" i="7"/>
  <c r="BV10" i="7"/>
  <c r="BU10" i="7"/>
  <c r="BV23" i="7"/>
  <c r="BP53" i="7"/>
  <c r="BW70" i="7"/>
  <c r="BS70" i="7"/>
  <c r="BR70" i="7"/>
  <c r="BQ70" i="7"/>
  <c r="CJ70" i="7"/>
  <c r="CI70" i="7"/>
  <c r="CL70" i="7"/>
  <c r="CK70" i="7"/>
  <c r="CH70" i="7"/>
  <c r="CG70" i="7"/>
  <c r="CF70" i="7"/>
  <c r="CE70" i="7"/>
  <c r="CD70" i="7"/>
  <c r="CC70" i="7"/>
  <c r="CB70" i="7"/>
  <c r="CA70" i="7"/>
  <c r="BZ70" i="7"/>
  <c r="BU85" i="7"/>
  <c r="CJ158" i="7"/>
  <c r="CI158" i="7"/>
  <c r="CH158" i="7"/>
  <c r="CG158" i="7"/>
  <c r="BW158" i="7"/>
  <c r="BU158" i="7"/>
  <c r="BS158" i="7"/>
  <c r="BQ158" i="7"/>
  <c r="BP158" i="7"/>
  <c r="CM158" i="7"/>
  <c r="CD158" i="7"/>
  <c r="CC158" i="7"/>
  <c r="CB158" i="7"/>
  <c r="BX158" i="7"/>
  <c r="BV158" i="7"/>
  <c r="BR158" i="7"/>
  <c r="CL158" i="7"/>
  <c r="CK158" i="7"/>
  <c r="CF158" i="7"/>
  <c r="BT158" i="7"/>
  <c r="CE158" i="7"/>
  <c r="CA158" i="7"/>
  <c r="BZ158" i="7"/>
  <c r="BY158" i="7"/>
  <c r="BP10" i="7"/>
  <c r="BR12" i="7"/>
  <c r="BR14" i="7"/>
  <c r="BS16" i="7"/>
  <c r="BU18" i="7"/>
  <c r="BT21" i="7"/>
  <c r="BZ23" i="7"/>
  <c r="CI37" i="7"/>
  <c r="CL39" i="7"/>
  <c r="BQ43" i="7"/>
  <c r="BT63" i="7"/>
  <c r="BP70" i="7"/>
  <c r="CC78" i="7"/>
  <c r="BS86" i="7"/>
  <c r="CG86" i="7"/>
  <c r="CF86" i="7"/>
  <c r="CE86" i="7"/>
  <c r="CA86" i="7"/>
  <c r="BZ86" i="7"/>
  <c r="BX86" i="7"/>
  <c r="CM86" i="7"/>
  <c r="CL86" i="7"/>
  <c r="CK86" i="7"/>
  <c r="CJ86" i="7"/>
  <c r="CI86" i="7"/>
  <c r="CH86" i="7"/>
  <c r="CD86" i="7"/>
  <c r="CL89" i="7"/>
  <c r="BX95" i="7"/>
  <c r="BR132" i="7"/>
  <c r="BY149" i="7"/>
  <c r="BT40" i="7"/>
  <c r="BP104" i="7"/>
  <c r="BP175" i="7"/>
  <c r="BU104" i="7"/>
  <c r="BP22" i="7"/>
  <c r="CA54" i="7"/>
  <c r="CC54" i="7"/>
  <c r="CB54" i="7"/>
  <c r="BZ54" i="7"/>
  <c r="BV54" i="7"/>
  <c r="BU54" i="7"/>
  <c r="CM54" i="7"/>
  <c r="CL54" i="7"/>
  <c r="CK54" i="7"/>
  <c r="CJ54" i="7"/>
  <c r="CI54" i="7"/>
  <c r="CH54" i="7"/>
  <c r="CG54" i="7"/>
  <c r="CF54" i="7"/>
  <c r="CE54" i="7"/>
  <c r="CD54" i="7"/>
  <c r="BR64" i="7"/>
  <c r="BR175" i="7"/>
  <c r="CI40" i="7"/>
  <c r="CA15" i="7"/>
  <c r="BZ15" i="7"/>
  <c r="BT15" i="7"/>
  <c r="CH15" i="7"/>
  <c r="CG15" i="7"/>
  <c r="CF15" i="7"/>
  <c r="CE15" i="7"/>
  <c r="CD15" i="7"/>
  <c r="CC15" i="7"/>
  <c r="CB15" i="7"/>
  <c r="BY15" i="7"/>
  <c r="BX15" i="7"/>
  <c r="BW15" i="7"/>
  <c r="BV15" i="7"/>
  <c r="BP20" i="7"/>
  <c r="CG38" i="7"/>
  <c r="BQ54" i="7"/>
  <c r="BY84" i="7"/>
  <c r="CK84" i="7"/>
  <c r="CJ84" i="7"/>
  <c r="CI84" i="7"/>
  <c r="CE84" i="7"/>
  <c r="CD84" i="7"/>
  <c r="CB84" i="7"/>
  <c r="CF84" i="7"/>
  <c r="CC84" i="7"/>
  <c r="CA84" i="7"/>
  <c r="BZ84" i="7"/>
  <c r="BX84" i="7"/>
  <c r="BW84" i="7"/>
  <c r="BV84" i="7"/>
  <c r="BU84" i="7"/>
  <c r="BT84" i="7"/>
  <c r="BS84" i="7"/>
  <c r="BR84" i="7"/>
  <c r="CM91" i="7"/>
  <c r="BZ91" i="7"/>
  <c r="BW91" i="7"/>
  <c r="BV91" i="7"/>
  <c r="BU91" i="7"/>
  <c r="BQ91" i="7"/>
  <c r="BP91" i="7"/>
  <c r="CK91" i="7"/>
  <c r="CL91" i="7"/>
  <c r="CJ91" i="7"/>
  <c r="CI91" i="7"/>
  <c r="CH91" i="7"/>
  <c r="CG91" i="7"/>
  <c r="CF91" i="7"/>
  <c r="BQ105" i="7"/>
  <c r="BP109" i="7"/>
  <c r="CB124" i="7"/>
  <c r="BS124" i="7"/>
  <c r="CF124" i="7"/>
  <c r="CA124" i="7"/>
  <c r="BX124" i="7"/>
  <c r="BW124" i="7"/>
  <c r="BV124" i="7"/>
  <c r="BQ124" i="7"/>
  <c r="BP124" i="7"/>
  <c r="CL124" i="7"/>
  <c r="CK124" i="7"/>
  <c r="CJ124" i="7"/>
  <c r="CI124" i="7"/>
  <c r="CH124" i="7"/>
  <c r="CG124" i="7"/>
  <c r="CE124" i="7"/>
  <c r="BU124" i="7"/>
  <c r="CD124" i="7"/>
  <c r="CC124" i="7"/>
  <c r="BZ124" i="7"/>
  <c r="BY124" i="7"/>
  <c r="BY147" i="7"/>
  <c r="BX147" i="7"/>
  <c r="BW147" i="7"/>
  <c r="CK147" i="7"/>
  <c r="CI147" i="7"/>
  <c r="CG147" i="7"/>
  <c r="CH147" i="7"/>
  <c r="CF147" i="7"/>
  <c r="CD147" i="7"/>
  <c r="CC147" i="7"/>
  <c r="CB147" i="7"/>
  <c r="CA147" i="7"/>
  <c r="BZ147" i="7"/>
  <c r="BT147" i="7"/>
  <c r="BS147" i="7"/>
  <c r="BR147" i="7"/>
  <c r="CM147" i="7"/>
  <c r="CL147" i="7"/>
  <c r="CJ147" i="7"/>
  <c r="BV147" i="7"/>
  <c r="CE147" i="7"/>
  <c r="CA175" i="7"/>
  <c r="BP13" i="7"/>
  <c r="BQ17" i="7"/>
  <c r="BR54" i="7"/>
  <c r="BY62" i="7"/>
  <c r="CI62" i="7"/>
  <c r="CH62" i="7"/>
  <c r="CG62" i="7"/>
  <c r="CC62" i="7"/>
  <c r="CB62" i="7"/>
  <c r="CE62" i="7"/>
  <c r="CD62" i="7"/>
  <c r="CA62" i="7"/>
  <c r="BZ62" i="7"/>
  <c r="BX62" i="7"/>
  <c r="BW62" i="7"/>
  <c r="BV62" i="7"/>
  <c r="BU62" i="7"/>
  <c r="BT62" i="7"/>
  <c r="BS62" i="7"/>
  <c r="BR62" i="7"/>
  <c r="BP84" i="7"/>
  <c r="CH100" i="7"/>
  <c r="CD100" i="7"/>
  <c r="BZ100" i="7"/>
  <c r="BS100" i="7"/>
  <c r="BR100" i="7"/>
  <c r="BQ100" i="7"/>
  <c r="CL100" i="7"/>
  <c r="CK100" i="7"/>
  <c r="CI100" i="7"/>
  <c r="CG100" i="7"/>
  <c r="CF100" i="7"/>
  <c r="CE100" i="7"/>
  <c r="CC100" i="7"/>
  <c r="CB100" i="7"/>
  <c r="CA100" i="7"/>
  <c r="BY100" i="7"/>
  <c r="BX100" i="7"/>
  <c r="BW100" i="7"/>
  <c r="BV100" i="7"/>
  <c r="BT100" i="7"/>
  <c r="BU100" i="7"/>
  <c r="BQ109" i="7"/>
  <c r="BR124" i="7"/>
  <c r="BP147" i="7"/>
  <c r="CM11" i="7"/>
  <c r="BQ11" i="7"/>
  <c r="CL11" i="7"/>
  <c r="BP11" i="7"/>
  <c r="CF11" i="7"/>
  <c r="CE11" i="7"/>
  <c r="CD11" i="7"/>
  <c r="CC11" i="7"/>
  <c r="CB11" i="7"/>
  <c r="CA11" i="7"/>
  <c r="BZ11" i="7"/>
  <c r="BY11" i="7"/>
  <c r="BX11" i="7"/>
  <c r="BW11" i="7"/>
  <c r="BV11" i="7"/>
  <c r="BU11" i="7"/>
  <c r="BR20" i="7"/>
  <c r="CI38" i="7"/>
  <c r="BS54" i="7"/>
  <c r="BP62" i="7"/>
  <c r="BQ77" i="7"/>
  <c r="BU109" i="7"/>
  <c r="CM9" i="7"/>
  <c r="CD53" i="7"/>
  <c r="CE53" i="7"/>
  <c r="CC53" i="7"/>
  <c r="CB53" i="7"/>
  <c r="BX53" i="7"/>
  <c r="BW53" i="7"/>
  <c r="CK53" i="7"/>
  <c r="CJ53" i="7"/>
  <c r="CI53" i="7"/>
  <c r="CH53" i="7"/>
  <c r="CG53" i="7"/>
  <c r="CF53" i="7"/>
  <c r="CA53" i="7"/>
  <c r="BZ53" i="7"/>
  <c r="BY53" i="7"/>
  <c r="BV53" i="7"/>
  <c r="BU53" i="7"/>
  <c r="BX78" i="7"/>
  <c r="CB110" i="7"/>
  <c r="CK39" i="7"/>
  <c r="BP43" i="7"/>
  <c r="CB78" i="7"/>
  <c r="BQ10" i="7"/>
  <c r="BS12" i="7"/>
  <c r="BS14" i="7"/>
  <c r="BT16" i="7"/>
  <c r="BV18" i="7"/>
  <c r="BU21" i="7"/>
  <c r="CA23" i="7"/>
  <c r="CJ37" i="7"/>
  <c r="CM39" i="7"/>
  <c r="BR43" i="7"/>
  <c r="BR53" i="7"/>
  <c r="CL63" i="7"/>
  <c r="BT70" i="7"/>
  <c r="CA76" i="7"/>
  <c r="CE76" i="7"/>
  <c r="CD76" i="7"/>
  <c r="CC76" i="7"/>
  <c r="BX76" i="7"/>
  <c r="BW76" i="7"/>
  <c r="BU76" i="7"/>
  <c r="CI76" i="7"/>
  <c r="CH76" i="7"/>
  <c r="CG76" i="7"/>
  <c r="CF76" i="7"/>
  <c r="CB76" i="7"/>
  <c r="BZ76" i="7"/>
  <c r="BY76" i="7"/>
  <c r="BV76" i="7"/>
  <c r="BT76" i="7"/>
  <c r="BS76" i="7"/>
  <c r="BR76" i="7"/>
  <c r="CD78" i="7"/>
  <c r="BP86" i="7"/>
  <c r="CM89" i="7"/>
  <c r="BY95" i="7"/>
  <c r="BT132" i="7"/>
  <c r="BZ149" i="7"/>
  <c r="CI28" i="7"/>
  <c r="CD36" i="7"/>
  <c r="CC36" i="7"/>
  <c r="CB36" i="7"/>
  <c r="BW36" i="7"/>
  <c r="CJ51" i="7"/>
  <c r="CH51" i="7"/>
  <c r="CG51" i="7"/>
  <c r="CF51" i="7"/>
  <c r="CB51" i="7"/>
  <c r="CA51" i="7"/>
  <c r="CB61" i="7"/>
  <c r="CK61" i="7"/>
  <c r="CJ61" i="7"/>
  <c r="CI61" i="7"/>
  <c r="CE61" i="7"/>
  <c r="CD61" i="7"/>
  <c r="CK66" i="7"/>
  <c r="CC68" i="7"/>
  <c r="BW68" i="7"/>
  <c r="BV68" i="7"/>
  <c r="BU68" i="7"/>
  <c r="BQ68" i="7"/>
  <c r="CM68" i="7"/>
  <c r="BP68" i="7"/>
  <c r="BP112" i="7"/>
  <c r="CL133" i="7"/>
  <c r="CI136" i="7"/>
  <c r="CI182" i="7"/>
  <c r="CG182" i="7"/>
  <c r="BP182" i="7"/>
  <c r="BX182" i="7"/>
  <c r="BW182" i="7"/>
  <c r="BV182" i="7"/>
  <c r="BU182" i="7"/>
  <c r="CL182" i="7"/>
  <c r="CJ182" i="7"/>
  <c r="CF182" i="7"/>
  <c r="CM182" i="7"/>
  <c r="CK182" i="7"/>
  <c r="CH182" i="7"/>
  <c r="CE182" i="7"/>
  <c r="CC182" i="7"/>
  <c r="BP186" i="7"/>
  <c r="CE25" i="7"/>
  <c r="CF27" i="7"/>
  <c r="CJ28" i="7"/>
  <c r="CK29" i="7"/>
  <c r="BT32" i="7"/>
  <c r="BS32" i="7"/>
  <c r="BR32" i="7"/>
  <c r="CI32" i="7"/>
  <c r="CG35" i="7"/>
  <c r="CF35" i="7"/>
  <c r="CE35" i="7"/>
  <c r="BZ35" i="7"/>
  <c r="BP36" i="7"/>
  <c r="CK47" i="7"/>
  <c r="BP51" i="7"/>
  <c r="CK56" i="7"/>
  <c r="BP61" i="7"/>
  <c r="CL66" i="7"/>
  <c r="BR68" i="7"/>
  <c r="CF73" i="7"/>
  <c r="CD75" i="7"/>
  <c r="CG75" i="7"/>
  <c r="CF75" i="7"/>
  <c r="CE75" i="7"/>
  <c r="BZ75" i="7"/>
  <c r="BY75" i="7"/>
  <c r="BW75" i="7"/>
  <c r="CE82" i="7"/>
  <c r="BR82" i="7"/>
  <c r="BQ82" i="7"/>
  <c r="CM82" i="7"/>
  <c r="BP82" i="7"/>
  <c r="CI82" i="7"/>
  <c r="CH82" i="7"/>
  <c r="CF82" i="7"/>
  <c r="CH96" i="7"/>
  <c r="BY103" i="7"/>
  <c r="BX103" i="7"/>
  <c r="BT103" i="7"/>
  <c r="BS103" i="7"/>
  <c r="BR103" i="7"/>
  <c r="BQ103" i="7"/>
  <c r="CL103" i="7"/>
  <c r="CK103" i="7"/>
  <c r="CI103" i="7"/>
  <c r="BQ112" i="7"/>
  <c r="CL128" i="7"/>
  <c r="BP128" i="7"/>
  <c r="CH128" i="7"/>
  <c r="CA128" i="7"/>
  <c r="BW128" i="7"/>
  <c r="CB128" i="7"/>
  <c r="BZ128" i="7"/>
  <c r="BY128" i="7"/>
  <c r="BT128" i="7"/>
  <c r="BS128" i="7"/>
  <c r="BQ128" i="7"/>
  <c r="CC131" i="7"/>
  <c r="CB131" i="7"/>
  <c r="BX131" i="7"/>
  <c r="BT131" i="7"/>
  <c r="CG131" i="7"/>
  <c r="CF131" i="7"/>
  <c r="CE131" i="7"/>
  <c r="BY131" i="7"/>
  <c r="BW131" i="7"/>
  <c r="BU131" i="7"/>
  <c r="BQ182" i="7"/>
  <c r="BR186" i="7"/>
  <c r="CJ27" i="7"/>
  <c r="CK28" i="7"/>
  <c r="CL29" i="7"/>
  <c r="CJ34" i="7"/>
  <c r="CI34" i="7"/>
  <c r="CH34" i="7"/>
  <c r="CC34" i="7"/>
  <c r="BQ36" i="7"/>
  <c r="CL47" i="7"/>
  <c r="BQ51" i="7"/>
  <c r="CL56" i="7"/>
  <c r="BQ61" i="7"/>
  <c r="BS68" i="7"/>
  <c r="CG73" i="7"/>
  <c r="CI88" i="7"/>
  <c r="CC88" i="7"/>
  <c r="CB88" i="7"/>
  <c r="CA88" i="7"/>
  <c r="BW88" i="7"/>
  <c r="BV88" i="7"/>
  <c r="BT88" i="7"/>
  <c r="BR128" i="7"/>
  <c r="BP131" i="7"/>
  <c r="BT134" i="7"/>
  <c r="BW134" i="7"/>
  <c r="BV134" i="7"/>
  <c r="BQ134" i="7"/>
  <c r="CJ134" i="7"/>
  <c r="CI134" i="7"/>
  <c r="CH134" i="7"/>
  <c r="CD134" i="7"/>
  <c r="CC134" i="7"/>
  <c r="CA134" i="7"/>
  <c r="BW155" i="7"/>
  <c r="BV155" i="7"/>
  <c r="BU155" i="7"/>
  <c r="BT155" i="7"/>
  <c r="BX155" i="7"/>
  <c r="BR155" i="7"/>
  <c r="BP155" i="7"/>
  <c r="CK155" i="7"/>
  <c r="CJ155" i="7"/>
  <c r="CH155" i="7"/>
  <c r="CG155" i="7"/>
  <c r="CF155" i="7"/>
  <c r="CE155" i="7"/>
  <c r="CD155" i="7"/>
  <c r="CM155" i="7"/>
  <c r="CL155" i="7"/>
  <c r="CA155" i="7"/>
  <c r="BZ155" i="7"/>
  <c r="BS155" i="7"/>
  <c r="CD169" i="7"/>
  <c r="CJ169" i="7"/>
  <c r="CE169" i="7"/>
  <c r="CC169" i="7"/>
  <c r="CB169" i="7"/>
  <c r="CA169" i="7"/>
  <c r="CL169" i="7"/>
  <c r="CI169" i="7"/>
  <c r="CK169" i="7"/>
  <c r="CH169" i="7"/>
  <c r="CF169" i="7"/>
  <c r="BZ169" i="7"/>
  <c r="BY169" i="7"/>
  <c r="BX169" i="7"/>
  <c r="BW169" i="7"/>
  <c r="CM169" i="7"/>
  <c r="CG169" i="7"/>
  <c r="BU169" i="7"/>
  <c r="BR182" i="7"/>
  <c r="BZ186" i="7"/>
  <c r="BU194" i="7"/>
  <c r="BS194" i="7"/>
  <c r="CC194" i="7"/>
  <c r="BZ194" i="7"/>
  <c r="CD194" i="7"/>
  <c r="CB194" i="7"/>
  <c r="CA194" i="7"/>
  <c r="BY194" i="7"/>
  <c r="CL194" i="7"/>
  <c r="CJ194" i="7"/>
  <c r="CH194" i="7"/>
  <c r="CM194" i="7"/>
  <c r="CK194" i="7"/>
  <c r="CI194" i="7"/>
  <c r="CG194" i="7"/>
  <c r="CE194" i="7"/>
  <c r="BW194" i="7"/>
  <c r="BV194" i="7"/>
  <c r="BR194" i="7"/>
  <c r="CB199" i="7"/>
  <c r="BZ199" i="7"/>
  <c r="BV199" i="7"/>
  <c r="BS199" i="7"/>
  <c r="CG199" i="7"/>
  <c r="CF199" i="7"/>
  <c r="CE199" i="7"/>
  <c r="CD199" i="7"/>
  <c r="CI199" i="7"/>
  <c r="CC199" i="7"/>
  <c r="BY199" i="7"/>
  <c r="CL199" i="7"/>
  <c r="CA199" i="7"/>
  <c r="BX199" i="7"/>
  <c r="BW199" i="7"/>
  <c r="BQ199" i="7"/>
  <c r="BP199" i="7"/>
  <c r="BT112" i="7"/>
  <c r="CD112" i="7"/>
  <c r="BZ112" i="7"/>
  <c r="BU112" i="7"/>
  <c r="BS112" i="7"/>
  <c r="BR112" i="7"/>
  <c r="CM112" i="7"/>
  <c r="CL112" i="7"/>
  <c r="CJ112" i="7"/>
  <c r="BS267" i="7"/>
  <c r="BR267" i="7"/>
  <c r="CM267" i="7"/>
  <c r="BQ267" i="7"/>
  <c r="CJ267" i="7"/>
  <c r="CI267" i="7"/>
  <c r="CA267" i="7"/>
  <c r="BY267" i="7"/>
  <c r="CL267" i="7"/>
  <c r="CG267" i="7"/>
  <c r="CE267" i="7"/>
  <c r="CD267" i="7"/>
  <c r="CC267" i="7"/>
  <c r="CB267" i="7"/>
  <c r="BZ267" i="7"/>
  <c r="CK267" i="7"/>
  <c r="CH267" i="7"/>
  <c r="CF267" i="7"/>
  <c r="BX267" i="7"/>
  <c r="BW267" i="7"/>
  <c r="BV267" i="7"/>
  <c r="BU267" i="7"/>
  <c r="BT267" i="7"/>
  <c r="BP267" i="7"/>
  <c r="CG25" i="7"/>
  <c r="CK27" i="7"/>
  <c r="CL28" i="7"/>
  <c r="BW31" i="7"/>
  <c r="BV31" i="7"/>
  <c r="BU31" i="7"/>
  <c r="CL31" i="7"/>
  <c r="BP31" i="7"/>
  <c r="BQ32" i="7"/>
  <c r="BP34" i="7"/>
  <c r="BQ35" i="7"/>
  <c r="BR36" i="7"/>
  <c r="CI45" i="7"/>
  <c r="BR51" i="7"/>
  <c r="CJ55" i="7"/>
  <c r="BR61" i="7"/>
  <c r="CF67" i="7"/>
  <c r="BY67" i="7"/>
  <c r="BX67" i="7"/>
  <c r="BW67" i="7"/>
  <c r="BS67" i="7"/>
  <c r="BR67" i="7"/>
  <c r="BT68" i="7"/>
  <c r="CL73" i="7"/>
  <c r="BQ75" i="7"/>
  <c r="BT82" i="7"/>
  <c r="BP88" i="7"/>
  <c r="BU103" i="7"/>
  <c r="BW112" i="7"/>
  <c r="BU128" i="7"/>
  <c r="BQ131" i="7"/>
  <c r="BP134" i="7"/>
  <c r="BQ155" i="7"/>
  <c r="BP169" i="7"/>
  <c r="BS182" i="7"/>
  <c r="BP194" i="7"/>
  <c r="BR199" i="7"/>
  <c r="BW186" i="7"/>
  <c r="BU186" i="7"/>
  <c r="CJ186" i="7"/>
  <c r="BY186" i="7"/>
  <c r="BX186" i="7"/>
  <c r="BV186" i="7"/>
  <c r="BT186" i="7"/>
  <c r="CA186" i="7"/>
  <c r="BS186" i="7"/>
  <c r="BQ186" i="7"/>
  <c r="CL186" i="7"/>
  <c r="CK186" i="7"/>
  <c r="CH186" i="7"/>
  <c r="CG186" i="7"/>
  <c r="CF186" i="7"/>
  <c r="CE186" i="7"/>
  <c r="CD186" i="7"/>
  <c r="CB186" i="7"/>
  <c r="CB242" i="7"/>
  <c r="CA242" i="7"/>
  <c r="BZ242" i="7"/>
  <c r="BW242" i="7"/>
  <c r="BV242" i="7"/>
  <c r="CL242" i="7"/>
  <c r="CK242" i="7"/>
  <c r="CI242" i="7"/>
  <c r="CF242" i="7"/>
  <c r="CM242" i="7"/>
  <c r="CJ242" i="7"/>
  <c r="BY242" i="7"/>
  <c r="BU242" i="7"/>
  <c r="BS242" i="7"/>
  <c r="BQ242" i="7"/>
  <c r="BP242" i="7"/>
  <c r="CH242" i="7"/>
  <c r="CG242" i="7"/>
  <c r="CE242" i="7"/>
  <c r="CD242" i="7"/>
  <c r="CC242" i="7"/>
  <c r="BT242" i="7"/>
  <c r="BX242" i="7"/>
  <c r="BZ30" i="7"/>
  <c r="BY30" i="7"/>
  <c r="BX30" i="7"/>
  <c r="BS30" i="7"/>
  <c r="BQ31" i="7"/>
  <c r="BU32" i="7"/>
  <c r="BQ34" i="7"/>
  <c r="BR35" i="7"/>
  <c r="BS36" i="7"/>
  <c r="CM50" i="7"/>
  <c r="BQ50" i="7"/>
  <c r="CJ50" i="7"/>
  <c r="CI50" i="7"/>
  <c r="CH50" i="7"/>
  <c r="CD50" i="7"/>
  <c r="CC50" i="7"/>
  <c r="BS51" i="7"/>
  <c r="CH59" i="7"/>
  <c r="BR59" i="7"/>
  <c r="BQ59" i="7"/>
  <c r="CM59" i="7"/>
  <c r="BP59" i="7"/>
  <c r="CI59" i="7"/>
  <c r="CG59" i="7"/>
  <c r="BS61" i="7"/>
  <c r="BP67" i="7"/>
  <c r="BX68" i="7"/>
  <c r="BR75" i="7"/>
  <c r="BU82" i="7"/>
  <c r="BQ88" i="7"/>
  <c r="BV103" i="7"/>
  <c r="CL106" i="7"/>
  <c r="BP106" i="7"/>
  <c r="BS106" i="7"/>
  <c r="CK106" i="7"/>
  <c r="BV106" i="7"/>
  <c r="BU106" i="7"/>
  <c r="BT106" i="7"/>
  <c r="CM106" i="7"/>
  <c r="CI106" i="7"/>
  <c r="BX112" i="7"/>
  <c r="BV128" i="7"/>
  <c r="BR131" i="7"/>
  <c r="BR134" i="7"/>
  <c r="BV148" i="7"/>
  <c r="BU148" i="7"/>
  <c r="BT148" i="7"/>
  <c r="CK148" i="7"/>
  <c r="CI148" i="7"/>
  <c r="CG148" i="7"/>
  <c r="CM148" i="7"/>
  <c r="CL148" i="7"/>
  <c r="CH148" i="7"/>
  <c r="CF148" i="7"/>
  <c r="CE148" i="7"/>
  <c r="CD148" i="7"/>
  <c r="CC148" i="7"/>
  <c r="CA148" i="7"/>
  <c r="BZ148" i="7"/>
  <c r="BX148" i="7"/>
  <c r="BY155" i="7"/>
  <c r="BQ169" i="7"/>
  <c r="BT182" i="7"/>
  <c r="CI186" i="7"/>
  <c r="CG190" i="7"/>
  <c r="CE190" i="7"/>
  <c r="CF190" i="7"/>
  <c r="BW190" i="7"/>
  <c r="BV190" i="7"/>
  <c r="BU190" i="7"/>
  <c r="BT190" i="7"/>
  <c r="CL190" i="7"/>
  <c r="CJ190" i="7"/>
  <c r="CH190" i="7"/>
  <c r="CD190" i="7"/>
  <c r="CB190" i="7"/>
  <c r="CA190" i="7"/>
  <c r="BZ190" i="7"/>
  <c r="BY190" i="7"/>
  <c r="BX190" i="7"/>
  <c r="BR190" i="7"/>
  <c r="CM190" i="7"/>
  <c r="CK190" i="7"/>
  <c r="CC190" i="7"/>
  <c r="BQ194" i="7"/>
  <c r="BT199" i="7"/>
  <c r="CC29" i="7"/>
  <c r="CB29" i="7"/>
  <c r="CA29" i="7"/>
  <c r="BV29" i="7"/>
  <c r="BT36" i="7"/>
  <c r="BT51" i="7"/>
  <c r="BT61" i="7"/>
  <c r="BY68" i="7"/>
  <c r="CG74" i="7"/>
  <c r="CI74" i="7"/>
  <c r="CH74" i="7"/>
  <c r="CF74" i="7"/>
  <c r="CB74" i="7"/>
  <c r="CA74" i="7"/>
  <c r="BY74" i="7"/>
  <c r="CH81" i="7"/>
  <c r="BT81" i="7"/>
  <c r="BS81" i="7"/>
  <c r="BR81" i="7"/>
  <c r="CK81" i="7"/>
  <c r="CJ81" i="7"/>
  <c r="CG81" i="7"/>
  <c r="BW111" i="7"/>
  <c r="CF111" i="7"/>
  <c r="CB111" i="7"/>
  <c r="BT111" i="7"/>
  <c r="BS111" i="7"/>
  <c r="BR111" i="7"/>
  <c r="CM111" i="7"/>
  <c r="CL111" i="7"/>
  <c r="CJ111" i="7"/>
  <c r="BY112" i="7"/>
  <c r="BR142" i="7"/>
  <c r="CL142" i="7"/>
  <c r="BP142" i="7"/>
  <c r="BS142" i="7"/>
  <c r="CK142" i="7"/>
  <c r="BY142" i="7"/>
  <c r="BU142" i="7"/>
  <c r="CD142" i="7"/>
  <c r="CC142" i="7"/>
  <c r="CB142" i="7"/>
  <c r="BW142" i="7"/>
  <c r="BV142" i="7"/>
  <c r="BQ142" i="7"/>
  <c r="CB146" i="7"/>
  <c r="BZ146" i="7"/>
  <c r="CK146" i="7"/>
  <c r="CI146" i="7"/>
  <c r="CG146" i="7"/>
  <c r="CC146" i="7"/>
  <c r="BY146" i="7"/>
  <c r="BX146" i="7"/>
  <c r="BV146" i="7"/>
  <c r="BU146" i="7"/>
  <c r="CM146" i="7"/>
  <c r="CL146" i="7"/>
  <c r="CH146" i="7"/>
  <c r="CM186" i="7"/>
  <c r="CF28" i="7"/>
  <c r="CE28" i="7"/>
  <c r="CD28" i="7"/>
  <c r="BY28" i="7"/>
  <c r="CI66" i="7"/>
  <c r="CA66" i="7"/>
  <c r="BZ66" i="7"/>
  <c r="BY66" i="7"/>
  <c r="BU66" i="7"/>
  <c r="BT66" i="7"/>
  <c r="CA112" i="7"/>
  <c r="BY178" i="7"/>
  <c r="BW178" i="7"/>
  <c r="BR178" i="7"/>
  <c r="BV178" i="7"/>
  <c r="BU178" i="7"/>
  <c r="BT178" i="7"/>
  <c r="BS178" i="7"/>
  <c r="CL178" i="7"/>
  <c r="CJ178" i="7"/>
  <c r="CI178" i="7"/>
  <c r="CG178" i="7"/>
  <c r="CF178" i="7"/>
  <c r="CE178" i="7"/>
  <c r="CD178" i="7"/>
  <c r="CC178" i="7"/>
  <c r="CA178" i="7"/>
  <c r="BT187" i="7"/>
  <c r="BR187" i="7"/>
  <c r="CI187" i="7"/>
  <c r="BY187" i="7"/>
  <c r="BX187" i="7"/>
  <c r="BW187" i="7"/>
  <c r="BV187" i="7"/>
  <c r="CE187" i="7"/>
  <c r="CC187" i="7"/>
  <c r="CA187" i="7"/>
  <c r="CM187" i="7"/>
  <c r="CL187" i="7"/>
  <c r="CJ187" i="7"/>
  <c r="CF187" i="7"/>
  <c r="CD187" i="7"/>
  <c r="BZ187" i="7"/>
  <c r="CJ210" i="7"/>
  <c r="CI210" i="7"/>
  <c r="CE210" i="7"/>
  <c r="CD210" i="7"/>
  <c r="CL210" i="7"/>
  <c r="CH210" i="7"/>
  <c r="CB210" i="7"/>
  <c r="BY210" i="7"/>
  <c r="CM210" i="7"/>
  <c r="CK210" i="7"/>
  <c r="CG210" i="7"/>
  <c r="BR210" i="7"/>
  <c r="BP210" i="7"/>
  <c r="BZ210" i="7"/>
  <c r="BX210" i="7"/>
  <c r="BV210" i="7"/>
  <c r="BU210" i="7"/>
  <c r="BT210" i="7"/>
  <c r="BS210" i="7"/>
  <c r="BQ210" i="7"/>
  <c r="CF210" i="7"/>
  <c r="CI27" i="7"/>
  <c r="CH27" i="7"/>
  <c r="CG27" i="7"/>
  <c r="CB27" i="7"/>
  <c r="BP28" i="7"/>
  <c r="BQ29" i="7"/>
  <c r="BV36" i="7"/>
  <c r="BZ47" i="7"/>
  <c r="BS47" i="7"/>
  <c r="BR47" i="7"/>
  <c r="BQ47" i="7"/>
  <c r="CJ47" i="7"/>
  <c r="CI47" i="7"/>
  <c r="BV51" i="7"/>
  <c r="BU56" i="7"/>
  <c r="BY56" i="7"/>
  <c r="BX56" i="7"/>
  <c r="BW56" i="7"/>
  <c r="BR56" i="7"/>
  <c r="BQ56" i="7"/>
  <c r="BV61" i="7"/>
  <c r="BP66" i="7"/>
  <c r="CA68" i="7"/>
  <c r="BQ74" i="7"/>
  <c r="BQ81" i="7"/>
  <c r="CL87" i="7"/>
  <c r="BP87" i="7"/>
  <c r="CE87" i="7"/>
  <c r="CD87" i="7"/>
  <c r="CC87" i="7"/>
  <c r="BY87" i="7"/>
  <c r="BX87" i="7"/>
  <c r="BV87" i="7"/>
  <c r="CB102" i="7"/>
  <c r="BZ102" i="7"/>
  <c r="BV102" i="7"/>
  <c r="BS102" i="7"/>
  <c r="BR102" i="7"/>
  <c r="BQ102" i="7"/>
  <c r="CL102" i="7"/>
  <c r="CK102" i="7"/>
  <c r="CI102" i="7"/>
  <c r="BQ111" i="7"/>
  <c r="CB112" i="7"/>
  <c r="BX142" i="7"/>
  <c r="BQ146" i="7"/>
  <c r="BP178" i="7"/>
  <c r="BP187" i="7"/>
  <c r="BW210" i="7"/>
  <c r="BY221" i="7"/>
  <c r="BX221" i="7"/>
  <c r="BT221" i="7"/>
  <c r="BS221" i="7"/>
  <c r="CB221" i="7"/>
  <c r="BZ221" i="7"/>
  <c r="CL221" i="7"/>
  <c r="CI221" i="7"/>
  <c r="CH221" i="7"/>
  <c r="CG221" i="7"/>
  <c r="CF221" i="7"/>
  <c r="CE221" i="7"/>
  <c r="CJ221" i="7"/>
  <c r="CK221" i="7"/>
  <c r="CD221" i="7"/>
  <c r="CC221" i="7"/>
  <c r="CA221" i="7"/>
  <c r="BW221" i="7"/>
  <c r="BU221" i="7"/>
  <c r="BQ221" i="7"/>
  <c r="BP221" i="7"/>
  <c r="BQ28" i="7"/>
  <c r="BQ66" i="7"/>
  <c r="BR74" i="7"/>
  <c r="BV75" i="7"/>
  <c r="BU81" i="7"/>
  <c r="BY82" i="7"/>
  <c r="BQ87" i="7"/>
  <c r="BX88" i="7"/>
  <c r="BP102" i="7"/>
  <c r="CB103" i="7"/>
  <c r="BU111" i="7"/>
  <c r="CC112" i="7"/>
  <c r="BR120" i="7"/>
  <c r="CK120" i="7"/>
  <c r="CG120" i="7"/>
  <c r="BX120" i="7"/>
  <c r="BW120" i="7"/>
  <c r="BV120" i="7"/>
  <c r="BQ120" i="7"/>
  <c r="BP120" i="7"/>
  <c r="CM120" i="7"/>
  <c r="CE128" i="7"/>
  <c r="CF130" i="7"/>
  <c r="CD130" i="7"/>
  <c r="BY130" i="7"/>
  <c r="BU130" i="7"/>
  <c r="CE130" i="7"/>
  <c r="CC130" i="7"/>
  <c r="CB130" i="7"/>
  <c r="BW130" i="7"/>
  <c r="BV130" i="7"/>
  <c r="BS130" i="7"/>
  <c r="CA131" i="7"/>
  <c r="BY134" i="7"/>
  <c r="BZ142" i="7"/>
  <c r="BR146" i="7"/>
  <c r="BS148" i="7"/>
  <c r="BV169" i="7"/>
  <c r="BQ178" i="7"/>
  <c r="CB182" i="7"/>
  <c r="BQ187" i="7"/>
  <c r="CI190" i="7"/>
  <c r="CK199" i="7"/>
  <c r="CA210" i="7"/>
  <c r="BR221" i="7"/>
  <c r="BR28" i="7"/>
  <c r="BS29" i="7"/>
  <c r="BY36" i="7"/>
  <c r="BX51" i="7"/>
  <c r="BX61" i="7"/>
  <c r="BR66" i="7"/>
  <c r="CD68" i="7"/>
  <c r="CJ73" i="7"/>
  <c r="CK73" i="7"/>
  <c r="CI73" i="7"/>
  <c r="CH73" i="7"/>
  <c r="CD73" i="7"/>
  <c r="CC73" i="7"/>
  <c r="CA73" i="7"/>
  <c r="BS74" i="7"/>
  <c r="BV81" i="7"/>
  <c r="BX96" i="7"/>
  <c r="CM96" i="7"/>
  <c r="BP96" i="7"/>
  <c r="CI96" i="7"/>
  <c r="BU96" i="7"/>
  <c r="BT96" i="7"/>
  <c r="BS96" i="7"/>
  <c r="CL96" i="7"/>
  <c r="CJ96" i="7"/>
  <c r="BV111" i="7"/>
  <c r="CE112" i="7"/>
  <c r="BW133" i="7"/>
  <c r="BY133" i="7"/>
  <c r="BV133" i="7"/>
  <c r="BR133" i="7"/>
  <c r="CI133" i="7"/>
  <c r="CH133" i="7"/>
  <c r="CG133" i="7"/>
  <c r="CC133" i="7"/>
  <c r="CB133" i="7"/>
  <c r="BZ133" i="7"/>
  <c r="CJ136" i="7"/>
  <c r="CH136" i="7"/>
  <c r="BS136" i="7"/>
  <c r="BU136" i="7"/>
  <c r="BP136" i="7"/>
  <c r="CM136" i="7"/>
  <c r="CL136" i="7"/>
  <c r="CF136" i="7"/>
  <c r="CE136" i="7"/>
  <c r="CC136" i="7"/>
  <c r="CA142" i="7"/>
  <c r="BS146" i="7"/>
  <c r="BX178" i="7"/>
  <c r="BS187" i="7"/>
  <c r="CC210" i="7"/>
  <c r="BS25" i="7"/>
  <c r="BR25" i="7"/>
  <c r="CM25" i="7"/>
  <c r="BQ25" i="7"/>
  <c r="CH25" i="7"/>
  <c r="BR27" i="7"/>
  <c r="BS28" i="7"/>
  <c r="BT29" i="7"/>
  <c r="BW34" i="7"/>
  <c r="BX35" i="7"/>
  <c r="BZ36" i="7"/>
  <c r="BY45" i="7"/>
  <c r="BX45" i="7"/>
  <c r="BW45" i="7"/>
  <c r="BS45" i="7"/>
  <c r="BR45" i="7"/>
  <c r="BU47" i="7"/>
  <c r="BV50" i="7"/>
  <c r="BY51" i="7"/>
  <c r="BX55" i="7"/>
  <c r="CA55" i="7"/>
  <c r="BZ55" i="7"/>
  <c r="BY55" i="7"/>
  <c r="BT55" i="7"/>
  <c r="BS55" i="7"/>
  <c r="BT56" i="7"/>
  <c r="BX59" i="7"/>
  <c r="BY61" i="7"/>
  <c r="CL65" i="7"/>
  <c r="BP65" i="7"/>
  <c r="CC65" i="7"/>
  <c r="CB65" i="7"/>
  <c r="CA65" i="7"/>
  <c r="BW65" i="7"/>
  <c r="BV65" i="7"/>
  <c r="BS66" i="7"/>
  <c r="CA67" i="7"/>
  <c r="CE68" i="7"/>
  <c r="BP73" i="7"/>
  <c r="BT74" i="7"/>
  <c r="CA75" i="7"/>
  <c r="BW81" i="7"/>
  <c r="CA82" i="7"/>
  <c r="BS87" i="7"/>
  <c r="BZ88" i="7"/>
  <c r="BQ96" i="7"/>
  <c r="BU102" i="7"/>
  <c r="CD103" i="7"/>
  <c r="BZ106" i="7"/>
  <c r="BX111" i="7"/>
  <c r="CF112" i="7"/>
  <c r="BT120" i="7"/>
  <c r="CG128" i="7"/>
  <c r="CH131" i="7"/>
  <c r="BP133" i="7"/>
  <c r="CB134" i="7"/>
  <c r="BQ136" i="7"/>
  <c r="CE142" i="7"/>
  <c r="BT146" i="7"/>
  <c r="BY148" i="7"/>
  <c r="BZ178" i="7"/>
  <c r="BS180" i="7"/>
  <c r="CM180" i="7"/>
  <c r="BQ180" i="7"/>
  <c r="BP180" i="7"/>
  <c r="BX180" i="7"/>
  <c r="BW180" i="7"/>
  <c r="BV180" i="7"/>
  <c r="BU180" i="7"/>
  <c r="CB180" i="7"/>
  <c r="BZ180" i="7"/>
  <c r="BT180" i="7"/>
  <c r="BY180" i="7"/>
  <c r="BR180" i="7"/>
  <c r="CK180" i="7"/>
  <c r="CJ180" i="7"/>
  <c r="CH180" i="7"/>
  <c r="BU187" i="7"/>
  <c r="CM221" i="7"/>
  <c r="CC227" i="7"/>
  <c r="CB227" i="7"/>
  <c r="BX227" i="7"/>
  <c r="BW227" i="7"/>
  <c r="CJ227" i="7"/>
  <c r="CH227" i="7"/>
  <c r="CF227" i="7"/>
  <c r="CA227" i="7"/>
  <c r="CM227" i="7"/>
  <c r="CL227" i="7"/>
  <c r="CK227" i="7"/>
  <c r="CI227" i="7"/>
  <c r="CG227" i="7"/>
  <c r="CE227" i="7"/>
  <c r="BZ227" i="7"/>
  <c r="BV227" i="7"/>
  <c r="BU227" i="7"/>
  <c r="BR227" i="7"/>
  <c r="BQ227" i="7"/>
  <c r="BP227" i="7"/>
  <c r="CL79" i="7"/>
  <c r="BY125" i="7"/>
  <c r="BQ125" i="7"/>
  <c r="CE125" i="7"/>
  <c r="CA125" i="7"/>
  <c r="BS127" i="7"/>
  <c r="CJ127" i="7"/>
  <c r="CB127" i="7"/>
  <c r="BX127" i="7"/>
  <c r="BX171" i="7"/>
  <c r="CF171" i="7"/>
  <c r="CC171" i="7"/>
  <c r="CB171" i="7"/>
  <c r="CA171" i="7"/>
  <c r="BZ171" i="7"/>
  <c r="BR171" i="7"/>
  <c r="BP171" i="7"/>
  <c r="BS171" i="7"/>
  <c r="BQ171" i="7"/>
  <c r="BS202" i="7"/>
  <c r="CM202" i="7"/>
  <c r="BQ202" i="7"/>
  <c r="BU202" i="7"/>
  <c r="BP202" i="7"/>
  <c r="CJ202" i="7"/>
  <c r="CI202" i="7"/>
  <c r="CH202" i="7"/>
  <c r="CG202" i="7"/>
  <c r="BX202" i="7"/>
  <c r="BV202" i="7"/>
  <c r="BR202" i="7"/>
  <c r="CL202" i="7"/>
  <c r="CF202" i="7"/>
  <c r="CK24" i="7"/>
  <c r="CK46" i="7"/>
  <c r="CL57" i="7"/>
  <c r="CK69" i="7"/>
  <c r="BQ79" i="7"/>
  <c r="CJ92" i="7"/>
  <c r="BX92" i="7"/>
  <c r="CM92" i="7"/>
  <c r="BX118" i="7"/>
  <c r="BR118" i="7"/>
  <c r="CK118" i="7"/>
  <c r="BU119" i="7"/>
  <c r="CM119" i="7"/>
  <c r="BP119" i="7"/>
  <c r="CI119" i="7"/>
  <c r="CE123" i="7"/>
  <c r="BU123" i="7"/>
  <c r="CG123" i="7"/>
  <c r="CB123" i="7"/>
  <c r="BR125" i="7"/>
  <c r="BQ127" i="7"/>
  <c r="BU141" i="7"/>
  <c r="BS141" i="7"/>
  <c r="BR141" i="7"/>
  <c r="CL141" i="7"/>
  <c r="BX141" i="7"/>
  <c r="BQ141" i="7"/>
  <c r="BU171" i="7"/>
  <c r="BW202" i="7"/>
  <c r="CL69" i="7"/>
  <c r="BS79" i="7"/>
  <c r="CG93" i="7"/>
  <c r="BV93" i="7"/>
  <c r="CM93" i="7"/>
  <c r="BU97" i="7"/>
  <c r="CK97" i="7"/>
  <c r="CG97" i="7"/>
  <c r="BR98" i="7"/>
  <c r="CI98" i="7"/>
  <c r="CE98" i="7"/>
  <c r="CI107" i="7"/>
  <c r="BQ107" i="7"/>
  <c r="CJ107" i="7"/>
  <c r="CJ114" i="7"/>
  <c r="BZ114" i="7"/>
  <c r="BV114" i="7"/>
  <c r="CG115" i="7"/>
  <c r="BX115" i="7"/>
  <c r="BT115" i="7"/>
  <c r="CD116" i="7"/>
  <c r="BV116" i="7"/>
  <c r="BR116" i="7"/>
  <c r="CA117" i="7"/>
  <c r="BT117" i="7"/>
  <c r="CM117" i="7"/>
  <c r="BP117" i="7"/>
  <c r="CH122" i="7"/>
  <c r="BW122" i="7"/>
  <c r="CG122" i="7"/>
  <c r="CC122" i="7"/>
  <c r="BS125" i="7"/>
  <c r="BR127" i="7"/>
  <c r="BV171" i="7"/>
  <c r="BY202" i="7"/>
  <c r="BR216" i="7"/>
  <c r="CM216" i="7"/>
  <c r="BQ216" i="7"/>
  <c r="CI216" i="7"/>
  <c r="CH216" i="7"/>
  <c r="BU216" i="7"/>
  <c r="BS216" i="7"/>
  <c r="BW216" i="7"/>
  <c r="BP216" i="7"/>
  <c r="CK216" i="7"/>
  <c r="CJ216" i="7"/>
  <c r="CG216" i="7"/>
  <c r="CF216" i="7"/>
  <c r="CB216" i="7"/>
  <c r="BZ216" i="7"/>
  <c r="BX216" i="7"/>
  <c r="CL216" i="7"/>
  <c r="CD216" i="7"/>
  <c r="BT24" i="7"/>
  <c r="CJ26" i="7"/>
  <c r="CI41" i="7"/>
  <c r="BT46" i="7"/>
  <c r="CL48" i="7"/>
  <c r="CJ49" i="7"/>
  <c r="BU57" i="7"/>
  <c r="CK60" i="7"/>
  <c r="BS69" i="7"/>
  <c r="CL71" i="7"/>
  <c r="CJ72" i="7"/>
  <c r="BW79" i="7"/>
  <c r="BT92" i="7"/>
  <c r="BS93" i="7"/>
  <c r="BS97" i="7"/>
  <c r="BT98" i="7"/>
  <c r="BT107" i="7"/>
  <c r="BS114" i="7"/>
  <c r="BS115" i="7"/>
  <c r="BT116" i="7"/>
  <c r="BU117" i="7"/>
  <c r="BU118" i="7"/>
  <c r="BV119" i="7"/>
  <c r="BS122" i="7"/>
  <c r="BT123" i="7"/>
  <c r="BW125" i="7"/>
  <c r="BW127" i="7"/>
  <c r="CD138" i="7"/>
  <c r="CB138" i="7"/>
  <c r="BQ138" i="7"/>
  <c r="BU138" i="7"/>
  <c r="BP138" i="7"/>
  <c r="BY141" i="7"/>
  <c r="CE171" i="7"/>
  <c r="BR173" i="7"/>
  <c r="CB173" i="7"/>
  <c r="CA173" i="7"/>
  <c r="BZ173" i="7"/>
  <c r="BY173" i="7"/>
  <c r="BX173" i="7"/>
  <c r="CD173" i="7"/>
  <c r="BW173" i="7"/>
  <c r="BU173" i="7"/>
  <c r="CK173" i="7"/>
  <c r="CJ173" i="7"/>
  <c r="CH173" i="7"/>
  <c r="CG173" i="7"/>
  <c r="CF173" i="7"/>
  <c r="CE173" i="7"/>
  <c r="CC173" i="7"/>
  <c r="BT173" i="7"/>
  <c r="CC202" i="7"/>
  <c r="CA216" i="7"/>
  <c r="CJ19" i="7"/>
  <c r="BU24" i="7"/>
  <c r="CK26" i="7"/>
  <c r="CJ41" i="7"/>
  <c r="BU46" i="7"/>
  <c r="CK49" i="7"/>
  <c r="BV57" i="7"/>
  <c r="CL60" i="7"/>
  <c r="BT69" i="7"/>
  <c r="BP71" i="7"/>
  <c r="CM71" i="7"/>
  <c r="BX79" i="7"/>
  <c r="CL83" i="7"/>
  <c r="BU92" i="7"/>
  <c r="BT93" i="7"/>
  <c r="BT97" i="7"/>
  <c r="BU98" i="7"/>
  <c r="BU107" i="7"/>
  <c r="BT114" i="7"/>
  <c r="BU115" i="7"/>
  <c r="BU116" i="7"/>
  <c r="BV117" i="7"/>
  <c r="BV118" i="7"/>
  <c r="BW119" i="7"/>
  <c r="BT122" i="7"/>
  <c r="BV123" i="7"/>
  <c r="BX125" i="7"/>
  <c r="BY127" i="7"/>
  <c r="BR138" i="7"/>
  <c r="BZ141" i="7"/>
  <c r="CD160" i="7"/>
  <c r="CC160" i="7"/>
  <c r="CB160" i="7"/>
  <c r="CA160" i="7"/>
  <c r="BY160" i="7"/>
  <c r="BW160" i="7"/>
  <c r="BU160" i="7"/>
  <c r="CF160" i="7"/>
  <c r="CE160" i="7"/>
  <c r="BX160" i="7"/>
  <c r="BV160" i="7"/>
  <c r="BT160" i="7"/>
  <c r="BS160" i="7"/>
  <c r="BR160" i="7"/>
  <c r="BX162" i="7"/>
  <c r="BW162" i="7"/>
  <c r="BV162" i="7"/>
  <c r="BU162" i="7"/>
  <c r="CE162" i="7"/>
  <c r="CC162" i="7"/>
  <c r="CA162" i="7"/>
  <c r="CM162" i="7"/>
  <c r="CK162" i="7"/>
  <c r="CJ162" i="7"/>
  <c r="CI162" i="7"/>
  <c r="CH162" i="7"/>
  <c r="CG162" i="7"/>
  <c r="CG171" i="7"/>
  <c r="BP173" i="7"/>
  <c r="CD202" i="7"/>
  <c r="CC216" i="7"/>
  <c r="BP26" i="7"/>
  <c r="CL49" i="7"/>
  <c r="BW57" i="7"/>
  <c r="BU69" i="7"/>
  <c r="CM72" i="7"/>
  <c r="BQ72" i="7"/>
  <c r="CL72" i="7"/>
  <c r="BY79" i="7"/>
  <c r="BV92" i="7"/>
  <c r="BU93" i="7"/>
  <c r="BV97" i="7"/>
  <c r="BV98" i="7"/>
  <c r="BV107" i="7"/>
  <c r="BU114" i="7"/>
  <c r="BV115" i="7"/>
  <c r="BW116" i="7"/>
  <c r="BW117" i="7"/>
  <c r="BW118" i="7"/>
  <c r="BX119" i="7"/>
  <c r="BU122" i="7"/>
  <c r="BW123" i="7"/>
  <c r="BZ125" i="7"/>
  <c r="BZ127" i="7"/>
  <c r="CG137" i="7"/>
  <c r="CE137" i="7"/>
  <c r="BR137" i="7"/>
  <c r="BU137" i="7"/>
  <c r="BP137" i="7"/>
  <c r="BS138" i="7"/>
  <c r="CA141" i="7"/>
  <c r="CC153" i="7"/>
  <c r="CB153" i="7"/>
  <c r="CA153" i="7"/>
  <c r="BZ153" i="7"/>
  <c r="BR153" i="7"/>
  <c r="BP153" i="7"/>
  <c r="CF153" i="7"/>
  <c r="CE153" i="7"/>
  <c r="BY153" i="7"/>
  <c r="BX153" i="7"/>
  <c r="BW153" i="7"/>
  <c r="BV153" i="7"/>
  <c r="BU153" i="7"/>
  <c r="BT156" i="7"/>
  <c r="BS156" i="7"/>
  <c r="BR156" i="7"/>
  <c r="CM156" i="7"/>
  <c r="BQ156" i="7"/>
  <c r="BY156" i="7"/>
  <c r="BW156" i="7"/>
  <c r="BU156" i="7"/>
  <c r="CL156" i="7"/>
  <c r="CK156" i="7"/>
  <c r="CJ156" i="7"/>
  <c r="CI156" i="7"/>
  <c r="CH156" i="7"/>
  <c r="CH171" i="7"/>
  <c r="BQ173" i="7"/>
  <c r="CE202" i="7"/>
  <c r="CM209" i="7"/>
  <c r="BQ209" i="7"/>
  <c r="CL209" i="7"/>
  <c r="BP209" i="7"/>
  <c r="CH209" i="7"/>
  <c r="CG209" i="7"/>
  <c r="CI209" i="7"/>
  <c r="CE209" i="7"/>
  <c r="BY209" i="7"/>
  <c r="BV209" i="7"/>
  <c r="CC209" i="7"/>
  <c r="CB209" i="7"/>
  <c r="CA209" i="7"/>
  <c r="BZ209" i="7"/>
  <c r="CK209" i="7"/>
  <c r="CJ209" i="7"/>
  <c r="CE216" i="7"/>
  <c r="CI247" i="7"/>
  <c r="CH247" i="7"/>
  <c r="CG247" i="7"/>
  <c r="CD247" i="7"/>
  <c r="CC247" i="7"/>
  <c r="BY247" i="7"/>
  <c r="BW247" i="7"/>
  <c r="CB247" i="7"/>
  <c r="BZ247" i="7"/>
  <c r="BU247" i="7"/>
  <c r="CM247" i="7"/>
  <c r="CL247" i="7"/>
  <c r="CK247" i="7"/>
  <c r="CA247" i="7"/>
  <c r="BV247" i="7"/>
  <c r="BS247" i="7"/>
  <c r="BQ247" i="7"/>
  <c r="BP247" i="7"/>
  <c r="BX193" i="7"/>
  <c r="BV193" i="7"/>
  <c r="CD193" i="7"/>
  <c r="CA193" i="7"/>
  <c r="CB193" i="7"/>
  <c r="BZ193" i="7"/>
  <c r="BY193" i="7"/>
  <c r="BW193" i="7"/>
  <c r="CG193" i="7"/>
  <c r="CE193" i="7"/>
  <c r="BU193" i="7"/>
  <c r="BZ228" i="7"/>
  <c r="BY228" i="7"/>
  <c r="BU228" i="7"/>
  <c r="BT228" i="7"/>
  <c r="CK228" i="7"/>
  <c r="CI228" i="7"/>
  <c r="CJ228" i="7"/>
  <c r="CF228" i="7"/>
  <c r="BP228" i="7"/>
  <c r="CM228" i="7"/>
  <c r="CJ254" i="7"/>
  <c r="CI254" i="7"/>
  <c r="CH254" i="7"/>
  <c r="CE254" i="7"/>
  <c r="CD254" i="7"/>
  <c r="BR254" i="7"/>
  <c r="BP254" i="7"/>
  <c r="CG254" i="7"/>
  <c r="CC254" i="7"/>
  <c r="BZ254" i="7"/>
  <c r="BX254" i="7"/>
  <c r="BW254" i="7"/>
  <c r="BV254" i="7"/>
  <c r="BU254" i="7"/>
  <c r="BT254" i="7"/>
  <c r="CM254" i="7"/>
  <c r="CK254" i="7"/>
  <c r="CF254" i="7"/>
  <c r="CD278" i="7"/>
  <c r="CC278" i="7"/>
  <c r="CB278" i="7"/>
  <c r="BY278" i="7"/>
  <c r="BX278" i="7"/>
  <c r="CA278" i="7"/>
  <c r="BW278" i="7"/>
  <c r="BV278" i="7"/>
  <c r="BU278" i="7"/>
  <c r="CM278" i="7"/>
  <c r="CK278" i="7"/>
  <c r="CH278" i="7"/>
  <c r="CG278" i="7"/>
  <c r="BZ278" i="7"/>
  <c r="BT278" i="7"/>
  <c r="BS278" i="7"/>
  <c r="BR278" i="7"/>
  <c r="BQ278" i="7"/>
  <c r="BU172" i="7"/>
  <c r="CD172" i="7"/>
  <c r="CB172" i="7"/>
  <c r="CA172" i="7"/>
  <c r="BZ172" i="7"/>
  <c r="BY172" i="7"/>
  <c r="BV172" i="7"/>
  <c r="BS172" i="7"/>
  <c r="BQ172" i="7"/>
  <c r="CB177" i="7"/>
  <c r="BZ177" i="7"/>
  <c r="BS177" i="7"/>
  <c r="BV177" i="7"/>
  <c r="BU177" i="7"/>
  <c r="BT177" i="7"/>
  <c r="BR177" i="7"/>
  <c r="CL177" i="7"/>
  <c r="CJ177" i="7"/>
  <c r="CH177" i="7"/>
  <c r="BQ193" i="7"/>
  <c r="BY200" i="7"/>
  <c r="BW200" i="7"/>
  <c r="BU200" i="7"/>
  <c r="BR200" i="7"/>
  <c r="CH200" i="7"/>
  <c r="CG200" i="7"/>
  <c r="CF200" i="7"/>
  <c r="CE200" i="7"/>
  <c r="CL200" i="7"/>
  <c r="CJ200" i="7"/>
  <c r="BW207" i="7"/>
  <c r="BV207" i="7"/>
  <c r="BR207" i="7"/>
  <c r="CH207" i="7"/>
  <c r="CF207" i="7"/>
  <c r="BX207" i="7"/>
  <c r="BS207" i="7"/>
  <c r="BZ207" i="7"/>
  <c r="BY207" i="7"/>
  <c r="BU207" i="7"/>
  <c r="BT207" i="7"/>
  <c r="CD207" i="7"/>
  <c r="CB207" i="7"/>
  <c r="BQ207" i="7"/>
  <c r="BR228" i="7"/>
  <c r="CD234" i="7"/>
  <c r="CC234" i="7"/>
  <c r="CB234" i="7"/>
  <c r="BY234" i="7"/>
  <c r="BX234" i="7"/>
  <c r="BS234" i="7"/>
  <c r="BQ234" i="7"/>
  <c r="CE234" i="7"/>
  <c r="BW234" i="7"/>
  <c r="CL234" i="7"/>
  <c r="CJ234" i="7"/>
  <c r="CH234" i="7"/>
  <c r="CF234" i="7"/>
  <c r="CA234" i="7"/>
  <c r="BS254" i="7"/>
  <c r="CE278" i="7"/>
  <c r="CG159" i="7"/>
  <c r="CF159" i="7"/>
  <c r="CE159" i="7"/>
  <c r="CD159" i="7"/>
  <c r="BX159" i="7"/>
  <c r="BV159" i="7"/>
  <c r="BT159" i="7"/>
  <c r="BR193" i="7"/>
  <c r="CL203" i="7"/>
  <c r="BP203" i="7"/>
  <c r="CJ203" i="7"/>
  <c r="BT203" i="7"/>
  <c r="BQ203" i="7"/>
  <c r="CM203" i="7"/>
  <c r="CK203" i="7"/>
  <c r="CI203" i="7"/>
  <c r="CH203" i="7"/>
  <c r="CC203" i="7"/>
  <c r="CA203" i="7"/>
  <c r="BY203" i="7"/>
  <c r="CH218" i="7"/>
  <c r="CG218" i="7"/>
  <c r="CC218" i="7"/>
  <c r="CB218" i="7"/>
  <c r="BU218" i="7"/>
  <c r="BS218" i="7"/>
  <c r="BY218" i="7"/>
  <c r="BV218" i="7"/>
  <c r="CL218" i="7"/>
  <c r="CJ218" i="7"/>
  <c r="CE218" i="7"/>
  <c r="BS228" i="7"/>
  <c r="BP234" i="7"/>
  <c r="BX236" i="7"/>
  <c r="BW236" i="7"/>
  <c r="BV236" i="7"/>
  <c r="BS236" i="7"/>
  <c r="BR236" i="7"/>
  <c r="CB236" i="7"/>
  <c r="BZ236" i="7"/>
  <c r="CM236" i="7"/>
  <c r="CJ236" i="7"/>
  <c r="CF236" i="7"/>
  <c r="CE236" i="7"/>
  <c r="CD236" i="7"/>
  <c r="CC236" i="7"/>
  <c r="CA236" i="7"/>
  <c r="CI236" i="7"/>
  <c r="CG236" i="7"/>
  <c r="BU236" i="7"/>
  <c r="BQ236" i="7"/>
  <c r="BP236" i="7"/>
  <c r="BY254" i="7"/>
  <c r="CF278" i="7"/>
  <c r="CI151" i="7"/>
  <c r="CH151" i="7"/>
  <c r="CG151" i="7"/>
  <c r="CF151" i="7"/>
  <c r="BP151" i="7"/>
  <c r="CL151" i="7"/>
  <c r="CM166" i="7"/>
  <c r="CH166" i="7"/>
  <c r="CG166" i="7"/>
  <c r="CF166" i="7"/>
  <c r="CE166" i="7"/>
  <c r="CD166" i="7"/>
  <c r="CB166" i="7"/>
  <c r="BZ166" i="7"/>
  <c r="CJ189" i="7"/>
  <c r="CH189" i="7"/>
  <c r="CF189" i="7"/>
  <c r="BW189" i="7"/>
  <c r="BV189" i="7"/>
  <c r="BU189" i="7"/>
  <c r="BT189" i="7"/>
  <c r="CI189" i="7"/>
  <c r="CE189" i="7"/>
  <c r="CC189" i="7"/>
  <c r="BS193" i="7"/>
  <c r="CF226" i="7"/>
  <c r="CE226" i="7"/>
  <c r="CA226" i="7"/>
  <c r="BZ226" i="7"/>
  <c r="CI226" i="7"/>
  <c r="CG226" i="7"/>
  <c r="BY226" i="7"/>
  <c r="BV226" i="7"/>
  <c r="CD226" i="7"/>
  <c r="CC226" i="7"/>
  <c r="CB226" i="7"/>
  <c r="BX226" i="7"/>
  <c r="BW226" i="7"/>
  <c r="BR226" i="7"/>
  <c r="BP226" i="7"/>
  <c r="BV228" i="7"/>
  <c r="CA254" i="7"/>
  <c r="CI278" i="7"/>
  <c r="BQ151" i="7"/>
  <c r="BP166" i="7"/>
  <c r="BP189" i="7"/>
  <c r="BT193" i="7"/>
  <c r="BQ226" i="7"/>
  <c r="BW228" i="7"/>
  <c r="CB254" i="7"/>
  <c r="CJ276" i="7"/>
  <c r="CI276" i="7"/>
  <c r="CH276" i="7"/>
  <c r="CE276" i="7"/>
  <c r="CD276" i="7"/>
  <c r="BU276" i="7"/>
  <c r="BS276" i="7"/>
  <c r="BR276" i="7"/>
  <c r="BQ276" i="7"/>
  <c r="BV276" i="7"/>
  <c r="BP276" i="7"/>
  <c r="CG276" i="7"/>
  <c r="CF276" i="7"/>
  <c r="CC276" i="7"/>
  <c r="CB276" i="7"/>
  <c r="CA276" i="7"/>
  <c r="CL276" i="7"/>
  <c r="CK276" i="7"/>
  <c r="CJ278" i="7"/>
  <c r="CL108" i="7"/>
  <c r="BR151" i="7"/>
  <c r="BR159" i="7"/>
  <c r="BQ166" i="7"/>
  <c r="BW172" i="7"/>
  <c r="BX177" i="7"/>
  <c r="CC184" i="7"/>
  <c r="CA184" i="7"/>
  <c r="CL184" i="7"/>
  <c r="BW184" i="7"/>
  <c r="BV184" i="7"/>
  <c r="BU184" i="7"/>
  <c r="BT184" i="7"/>
  <c r="CK184" i="7"/>
  <c r="BQ189" i="7"/>
  <c r="CC193" i="7"/>
  <c r="BR195" i="7"/>
  <c r="CL195" i="7"/>
  <c r="BP195" i="7"/>
  <c r="CB195" i="7"/>
  <c r="BY195" i="7"/>
  <c r="CE195" i="7"/>
  <c r="CD195" i="7"/>
  <c r="CC195" i="7"/>
  <c r="CA195" i="7"/>
  <c r="BT200" i="7"/>
  <c r="BU203" i="7"/>
  <c r="CE207" i="7"/>
  <c r="BR218" i="7"/>
  <c r="BS226" i="7"/>
  <c r="BX228" i="7"/>
  <c r="CM231" i="7"/>
  <c r="BQ231" i="7"/>
  <c r="CL231" i="7"/>
  <c r="BP231" i="7"/>
  <c r="CH231" i="7"/>
  <c r="CG231" i="7"/>
  <c r="BR231" i="7"/>
  <c r="CA231" i="7"/>
  <c r="BZ231" i="7"/>
  <c r="BY231" i="7"/>
  <c r="BX231" i="7"/>
  <c r="BW231" i="7"/>
  <c r="CJ231" i="7"/>
  <c r="CF231" i="7"/>
  <c r="CE231" i="7"/>
  <c r="BU234" i="7"/>
  <c r="CH236" i="7"/>
  <c r="CL254" i="7"/>
  <c r="BT276" i="7"/>
  <c r="CL278" i="7"/>
  <c r="BR238" i="7"/>
  <c r="CM238" i="7"/>
  <c r="BQ238" i="7"/>
  <c r="CL238" i="7"/>
  <c r="BP238" i="7"/>
  <c r="CI238" i="7"/>
  <c r="CH238" i="7"/>
  <c r="CD238" i="7"/>
  <c r="CB238" i="7"/>
  <c r="BU238" i="7"/>
  <c r="BS238" i="7"/>
  <c r="CG255" i="7"/>
  <c r="CF255" i="7"/>
  <c r="CE255" i="7"/>
  <c r="CB255" i="7"/>
  <c r="CA255" i="7"/>
  <c r="BT255" i="7"/>
  <c r="BR255" i="7"/>
  <c r="CL255" i="7"/>
  <c r="CI255" i="7"/>
  <c r="CK255" i="7"/>
  <c r="CJ255" i="7"/>
  <c r="CH255" i="7"/>
  <c r="CD255" i="7"/>
  <c r="CC255" i="7"/>
  <c r="BS255" i="7"/>
  <c r="BP255" i="7"/>
  <c r="BR260" i="7"/>
  <c r="CM260" i="7"/>
  <c r="BQ260" i="7"/>
  <c r="CL260" i="7"/>
  <c r="BP260" i="7"/>
  <c r="CI260" i="7"/>
  <c r="CH260" i="7"/>
  <c r="CG260" i="7"/>
  <c r="CE260" i="7"/>
  <c r="CJ260" i="7"/>
  <c r="CD260" i="7"/>
  <c r="CA260" i="7"/>
  <c r="BZ272" i="7"/>
  <c r="BY272" i="7"/>
  <c r="BX272" i="7"/>
  <c r="BU272" i="7"/>
  <c r="BT272" i="7"/>
  <c r="CM272" i="7"/>
  <c r="CK272" i="7"/>
  <c r="CH272" i="7"/>
  <c r="CF272" i="7"/>
  <c r="CC272" i="7"/>
  <c r="CL272" i="7"/>
  <c r="CJ272" i="7"/>
  <c r="CI272" i="7"/>
  <c r="CG272" i="7"/>
  <c r="CE272" i="7"/>
  <c r="CB272" i="7"/>
  <c r="CA272" i="7"/>
  <c r="BT151" i="7"/>
  <c r="BS166" i="7"/>
  <c r="CE176" i="7"/>
  <c r="BU176" i="7"/>
  <c r="BW176" i="7"/>
  <c r="BV176" i="7"/>
  <c r="BT176" i="7"/>
  <c r="BS176" i="7"/>
  <c r="CH176" i="7"/>
  <c r="CF176" i="7"/>
  <c r="CC176" i="7"/>
  <c r="BS189" i="7"/>
  <c r="CA192" i="7"/>
  <c r="BY192" i="7"/>
  <c r="CE192" i="7"/>
  <c r="CB192" i="7"/>
  <c r="BX192" i="7"/>
  <c r="BW192" i="7"/>
  <c r="BV192" i="7"/>
  <c r="BU192" i="7"/>
  <c r="BT192" i="7"/>
  <c r="BR192" i="7"/>
  <c r="BP192" i="7"/>
  <c r="CH193" i="7"/>
  <c r="BW203" i="7"/>
  <c r="CD212" i="7"/>
  <c r="CC212" i="7"/>
  <c r="BY212" i="7"/>
  <c r="BX212" i="7"/>
  <c r="CL212" i="7"/>
  <c r="CM212" i="7"/>
  <c r="CI212" i="7"/>
  <c r="BT212" i="7"/>
  <c r="BS212" i="7"/>
  <c r="BR212" i="7"/>
  <c r="BQ212" i="7"/>
  <c r="CJ212" i="7"/>
  <c r="BU226" i="7"/>
  <c r="CB228" i="7"/>
  <c r="BT238" i="7"/>
  <c r="BQ255" i="7"/>
  <c r="BS260" i="7"/>
  <c r="BP272" i="7"/>
  <c r="BX276" i="7"/>
  <c r="BU151" i="7"/>
  <c r="BW159" i="7"/>
  <c r="BU163" i="7"/>
  <c r="BT163" i="7"/>
  <c r="BS163" i="7"/>
  <c r="BR163" i="7"/>
  <c r="CF163" i="7"/>
  <c r="CD163" i="7"/>
  <c r="CB163" i="7"/>
  <c r="BT166" i="7"/>
  <c r="CE172" i="7"/>
  <c r="BP176" i="7"/>
  <c r="CC177" i="7"/>
  <c r="BR184" i="7"/>
  <c r="BX189" i="7"/>
  <c r="BQ192" i="7"/>
  <c r="CI193" i="7"/>
  <c r="BT195" i="7"/>
  <c r="BZ200" i="7"/>
  <c r="BX203" i="7"/>
  <c r="CJ207" i="7"/>
  <c r="BP212" i="7"/>
  <c r="BX218" i="7"/>
  <c r="CB220" i="7"/>
  <c r="CA220" i="7"/>
  <c r="BW220" i="7"/>
  <c r="BV220" i="7"/>
  <c r="BY220" i="7"/>
  <c r="BU220" i="7"/>
  <c r="CI220" i="7"/>
  <c r="CF220" i="7"/>
  <c r="CC220" i="7"/>
  <c r="BZ220" i="7"/>
  <c r="BX220" i="7"/>
  <c r="BT220" i="7"/>
  <c r="CH220" i="7"/>
  <c r="CE220" i="7"/>
  <c r="BS220" i="7"/>
  <c r="BP220" i="7"/>
  <c r="CH226" i="7"/>
  <c r="CC228" i="7"/>
  <c r="BU231" i="7"/>
  <c r="CG234" i="7"/>
  <c r="BV238" i="7"/>
  <c r="BU255" i="7"/>
  <c r="BT260" i="7"/>
  <c r="BQ272" i="7"/>
  <c r="BY276" i="7"/>
  <c r="CE241" i="7"/>
  <c r="CD241" i="7"/>
  <c r="CC241" i="7"/>
  <c r="BZ241" i="7"/>
  <c r="BY241" i="7"/>
  <c r="CL241" i="7"/>
  <c r="CJ241" i="7"/>
  <c r="CG241" i="7"/>
  <c r="CB241" i="7"/>
  <c r="BW241" i="7"/>
  <c r="CH241" i="7"/>
  <c r="CF241" i="7"/>
  <c r="CA241" i="7"/>
  <c r="BX241" i="7"/>
  <c r="BV241" i="7"/>
  <c r="BV255" i="7"/>
  <c r="BR272" i="7"/>
  <c r="CH262" i="7"/>
  <c r="CG262" i="7"/>
  <c r="CF262" i="7"/>
  <c r="CC262" i="7"/>
  <c r="CB262" i="7"/>
  <c r="CM262" i="7"/>
  <c r="CK262" i="7"/>
  <c r="CI262" i="7"/>
  <c r="BT262" i="7"/>
  <c r="BS262" i="7"/>
  <c r="BR262" i="7"/>
  <c r="BQ262" i="7"/>
  <c r="BP262" i="7"/>
  <c r="CA279" i="7"/>
  <c r="BZ279" i="7"/>
  <c r="BY279" i="7"/>
  <c r="BV279" i="7"/>
  <c r="BU279" i="7"/>
  <c r="CF279" i="7"/>
  <c r="CD279" i="7"/>
  <c r="CC279" i="7"/>
  <c r="CB279" i="7"/>
  <c r="CM279" i="7"/>
  <c r="CL279" i="7"/>
  <c r="CK279" i="7"/>
  <c r="CJ279" i="7"/>
  <c r="BX258" i="7"/>
  <c r="BW258" i="7"/>
  <c r="BV258" i="7"/>
  <c r="BS258" i="7"/>
  <c r="BR258" i="7"/>
  <c r="CE258" i="7"/>
  <c r="CC258" i="7"/>
  <c r="CB258" i="7"/>
  <c r="BZ258" i="7"/>
  <c r="BT258" i="7"/>
  <c r="CH258" i="7"/>
  <c r="CG258" i="7"/>
  <c r="CF258" i="7"/>
  <c r="CD258" i="7"/>
  <c r="CA258" i="7"/>
  <c r="BU262" i="7"/>
  <c r="BP279" i="7"/>
  <c r="CL126" i="7"/>
  <c r="BX140" i="7"/>
  <c r="BV140" i="7"/>
  <c r="CM140" i="7"/>
  <c r="BZ154" i="7"/>
  <c r="BY154" i="7"/>
  <c r="BX154" i="7"/>
  <c r="BW154" i="7"/>
  <c r="BV222" i="7"/>
  <c r="BU222" i="7"/>
  <c r="CM222" i="7"/>
  <c r="BQ222" i="7"/>
  <c r="CL222" i="7"/>
  <c r="BP222" i="7"/>
  <c r="CC222" i="7"/>
  <c r="CA222" i="7"/>
  <c r="CK222" i="7"/>
  <c r="CJ222" i="7"/>
  <c r="CG233" i="7"/>
  <c r="CF233" i="7"/>
  <c r="CB233" i="7"/>
  <c r="CA233" i="7"/>
  <c r="BR233" i="7"/>
  <c r="BP233" i="7"/>
  <c r="BW233" i="7"/>
  <c r="BT233" i="7"/>
  <c r="CL233" i="7"/>
  <c r="CK233" i="7"/>
  <c r="CJ233" i="7"/>
  <c r="CI233" i="7"/>
  <c r="CH233" i="7"/>
  <c r="CC249" i="7"/>
  <c r="CB249" i="7"/>
  <c r="CA249" i="7"/>
  <c r="BX249" i="7"/>
  <c r="BW249" i="7"/>
  <c r="CH249" i="7"/>
  <c r="CF249" i="7"/>
  <c r="CM249" i="7"/>
  <c r="CJ249" i="7"/>
  <c r="BY249" i="7"/>
  <c r="BV249" i="7"/>
  <c r="BU249" i="7"/>
  <c r="BT249" i="7"/>
  <c r="BS249" i="7"/>
  <c r="BQ258" i="7"/>
  <c r="BW262" i="7"/>
  <c r="CG277" i="7"/>
  <c r="CF277" i="7"/>
  <c r="CE277" i="7"/>
  <c r="CB277" i="7"/>
  <c r="CA277" i="7"/>
  <c r="BW277" i="7"/>
  <c r="BU277" i="7"/>
  <c r="BT277" i="7"/>
  <c r="BS277" i="7"/>
  <c r="CD277" i="7"/>
  <c r="BZ277" i="7"/>
  <c r="BV277" i="7"/>
  <c r="BR277" i="7"/>
  <c r="BR279" i="7"/>
  <c r="BR282" i="7"/>
  <c r="CM282" i="7"/>
  <c r="BQ282" i="7"/>
  <c r="CL282" i="7"/>
  <c r="BP282" i="7"/>
  <c r="CI282" i="7"/>
  <c r="CH282" i="7"/>
  <c r="CJ282" i="7"/>
  <c r="CG282" i="7"/>
  <c r="CF282" i="7"/>
  <c r="CE282" i="7"/>
  <c r="CC282" i="7"/>
  <c r="BZ282" i="7"/>
  <c r="BY282" i="7"/>
  <c r="BT282" i="7"/>
  <c r="CK282" i="7"/>
  <c r="CD282" i="7"/>
  <c r="CB282" i="7"/>
  <c r="CA282" i="7"/>
  <c r="CF152" i="7"/>
  <c r="CE152" i="7"/>
  <c r="CD152" i="7"/>
  <c r="CC152" i="7"/>
  <c r="BV179" i="7"/>
  <c r="BT179" i="7"/>
  <c r="BQ179" i="7"/>
  <c r="BX179" i="7"/>
  <c r="BW179" i="7"/>
  <c r="BU179" i="7"/>
  <c r="BS179" i="7"/>
  <c r="BZ185" i="7"/>
  <c r="BX185" i="7"/>
  <c r="CK185" i="7"/>
  <c r="BW185" i="7"/>
  <c r="BV185" i="7"/>
  <c r="BU185" i="7"/>
  <c r="BT185" i="7"/>
  <c r="CH197" i="7"/>
  <c r="CF197" i="7"/>
  <c r="BX197" i="7"/>
  <c r="BU197" i="7"/>
  <c r="CC197" i="7"/>
  <c r="CB197" i="7"/>
  <c r="CA197" i="7"/>
  <c r="BZ197" i="7"/>
  <c r="BS222" i="7"/>
  <c r="BS233" i="7"/>
  <c r="BQ249" i="7"/>
  <c r="BY258" i="7"/>
  <c r="BY262" i="7"/>
  <c r="BY265" i="7"/>
  <c r="BX265" i="7"/>
  <c r="BW265" i="7"/>
  <c r="BT265" i="7"/>
  <c r="BS265" i="7"/>
  <c r="BR265" i="7"/>
  <c r="BP265" i="7"/>
  <c r="CD265" i="7"/>
  <c r="CB265" i="7"/>
  <c r="BV265" i="7"/>
  <c r="CM265" i="7"/>
  <c r="CL265" i="7"/>
  <c r="CC271" i="7"/>
  <c r="CB271" i="7"/>
  <c r="CA271" i="7"/>
  <c r="BX271" i="7"/>
  <c r="BW271" i="7"/>
  <c r="CK271" i="7"/>
  <c r="CI271" i="7"/>
  <c r="CD271" i="7"/>
  <c r="BY271" i="7"/>
  <c r="BT271" i="7"/>
  <c r="CE271" i="7"/>
  <c r="BZ271" i="7"/>
  <c r="BV271" i="7"/>
  <c r="BU271" i="7"/>
  <c r="BS271" i="7"/>
  <c r="BQ277" i="7"/>
  <c r="BT279" i="7"/>
  <c r="BU282" i="7"/>
  <c r="CH144" i="7"/>
  <c r="CF144" i="7"/>
  <c r="CM144" i="7"/>
  <c r="BQ152" i="7"/>
  <c r="CA170" i="7"/>
  <c r="CH170" i="7"/>
  <c r="CD170" i="7"/>
  <c r="CC170" i="7"/>
  <c r="CB170" i="7"/>
  <c r="BZ170" i="7"/>
  <c r="BR179" i="7"/>
  <c r="BQ185" i="7"/>
  <c r="CD191" i="7"/>
  <c r="CB191" i="7"/>
  <c r="CF191" i="7"/>
  <c r="CA191" i="7"/>
  <c r="BW191" i="7"/>
  <c r="BV191" i="7"/>
  <c r="BU191" i="7"/>
  <c r="BT191" i="7"/>
  <c r="BQ197" i="7"/>
  <c r="BV201" i="7"/>
  <c r="BT201" i="7"/>
  <c r="BU201" i="7"/>
  <c r="BQ201" i="7"/>
  <c r="CI201" i="7"/>
  <c r="CH201" i="7"/>
  <c r="CG201" i="7"/>
  <c r="CF201" i="7"/>
  <c r="BW222" i="7"/>
  <c r="BV233" i="7"/>
  <c r="BZ249" i="7"/>
  <c r="CJ258" i="7"/>
  <c r="CA262" i="7"/>
  <c r="BU265" i="7"/>
  <c r="BQ271" i="7"/>
  <c r="BY277" i="7"/>
  <c r="BX279" i="7"/>
  <c r="BW282" i="7"/>
  <c r="BW229" i="7"/>
  <c r="BV229" i="7"/>
  <c r="BR229" i="7"/>
  <c r="CM229" i="7"/>
  <c r="BQ229" i="7"/>
  <c r="CL229" i="7"/>
  <c r="CJ229" i="7"/>
  <c r="CI229" i="7"/>
  <c r="CA235" i="7"/>
  <c r="BZ235" i="7"/>
  <c r="BY235" i="7"/>
  <c r="BV235" i="7"/>
  <c r="BU235" i="7"/>
  <c r="BW235" i="7"/>
  <c r="BS235" i="7"/>
  <c r="CI235" i="7"/>
  <c r="CF235" i="7"/>
  <c r="CH240" i="7"/>
  <c r="CG240" i="7"/>
  <c r="CF240" i="7"/>
  <c r="CC240" i="7"/>
  <c r="CB240" i="7"/>
  <c r="CJ240" i="7"/>
  <c r="CE240" i="7"/>
  <c r="BX240" i="7"/>
  <c r="BV240" i="7"/>
  <c r="BS240" i="7"/>
  <c r="CK164" i="7"/>
  <c r="CE219" i="7"/>
  <c r="CD219" i="7"/>
  <c r="BZ219" i="7"/>
  <c r="BY219" i="7"/>
  <c r="BV219" i="7"/>
  <c r="BT219" i="7"/>
  <c r="CF219" i="7"/>
  <c r="CA219" i="7"/>
  <c r="BP229" i="7"/>
  <c r="BP235" i="7"/>
  <c r="BP240" i="7"/>
  <c r="CA257" i="7"/>
  <c r="BZ257" i="7"/>
  <c r="BY257" i="7"/>
  <c r="BV257" i="7"/>
  <c r="BU257" i="7"/>
  <c r="CC257" i="7"/>
  <c r="BX257" i="7"/>
  <c r="BS257" i="7"/>
  <c r="BQ257" i="7"/>
  <c r="CJ150" i="7"/>
  <c r="CK157" i="7"/>
  <c r="BP164" i="7"/>
  <c r="CL164" i="7"/>
  <c r="BZ206" i="7"/>
  <c r="BY206" i="7"/>
  <c r="BU206" i="7"/>
  <c r="CH206" i="7"/>
  <c r="CF206" i="7"/>
  <c r="BS206" i="7"/>
  <c r="BP206" i="7"/>
  <c r="BP219" i="7"/>
  <c r="BS229" i="7"/>
  <c r="BQ235" i="7"/>
  <c r="BQ240" i="7"/>
  <c r="BP257" i="7"/>
  <c r="BV266" i="7"/>
  <c r="BU266" i="7"/>
  <c r="BT266" i="7"/>
  <c r="CM266" i="7"/>
  <c r="BQ266" i="7"/>
  <c r="CL266" i="7"/>
  <c r="BP266" i="7"/>
  <c r="BY266" i="7"/>
  <c r="BW266" i="7"/>
  <c r="CH266" i="7"/>
  <c r="CF266" i="7"/>
  <c r="CC266" i="7"/>
  <c r="CK150" i="7"/>
  <c r="BQ164" i="7"/>
  <c r="CM164" i="7"/>
  <c r="BQ219" i="7"/>
  <c r="BT229" i="7"/>
  <c r="BR235" i="7"/>
  <c r="BR240" i="7"/>
  <c r="CF248" i="7"/>
  <c r="CE248" i="7"/>
  <c r="CD248" i="7"/>
  <c r="CA248" i="7"/>
  <c r="BZ248" i="7"/>
  <c r="CC248" i="7"/>
  <c r="BY248" i="7"/>
  <c r="CK248" i="7"/>
  <c r="CI248" i="7"/>
  <c r="CB248" i="7"/>
  <c r="BR257" i="7"/>
  <c r="CF270" i="7"/>
  <c r="CE270" i="7"/>
  <c r="CD270" i="7"/>
  <c r="CA270" i="7"/>
  <c r="BZ270" i="7"/>
  <c r="CI270" i="7"/>
  <c r="CG270" i="7"/>
  <c r="BU270" i="7"/>
  <c r="BS270" i="7"/>
  <c r="BP270" i="7"/>
  <c r="BP150" i="7"/>
  <c r="BQ157" i="7"/>
  <c r="BR206" i="7"/>
  <c r="CG211" i="7"/>
  <c r="CF211" i="7"/>
  <c r="CB211" i="7"/>
  <c r="CA211" i="7"/>
  <c r="CM211" i="7"/>
  <c r="CK211" i="7"/>
  <c r="CI211" i="7"/>
  <c r="CD211" i="7"/>
  <c r="BR219" i="7"/>
  <c r="BU229" i="7"/>
  <c r="BT235" i="7"/>
  <c r="BT240" i="7"/>
  <c r="BP248" i="7"/>
  <c r="BT257" i="7"/>
  <c r="BS266" i="7"/>
  <c r="BQ270" i="7"/>
  <c r="BW273" i="7"/>
  <c r="BV273" i="7"/>
  <c r="BU273" i="7"/>
  <c r="BR273" i="7"/>
  <c r="CM273" i="7"/>
  <c r="BQ273" i="7"/>
  <c r="CL273" i="7"/>
  <c r="CJ273" i="7"/>
  <c r="CG273" i="7"/>
  <c r="CC205" i="7"/>
  <c r="BX205" i="7"/>
  <c r="CH205" i="7"/>
  <c r="CF205" i="7"/>
  <c r="BS223" i="7"/>
  <c r="BR223" i="7"/>
  <c r="CJ223" i="7"/>
  <c r="CI223" i="7"/>
  <c r="CD223" i="7"/>
  <c r="CB223" i="7"/>
  <c r="BS245" i="7"/>
  <c r="BR245" i="7"/>
  <c r="CM245" i="7"/>
  <c r="BQ245" i="7"/>
  <c r="CJ245" i="7"/>
  <c r="CI245" i="7"/>
  <c r="BX245" i="7"/>
  <c r="BV245" i="7"/>
  <c r="BW251" i="7"/>
  <c r="BV251" i="7"/>
  <c r="BU251" i="7"/>
  <c r="BR251" i="7"/>
  <c r="CM251" i="7"/>
  <c r="BQ251" i="7"/>
  <c r="CL251" i="7"/>
  <c r="CJ251" i="7"/>
  <c r="CB264" i="7"/>
  <c r="CA264" i="7"/>
  <c r="BZ264" i="7"/>
  <c r="BW264" i="7"/>
  <c r="BV264" i="7"/>
  <c r="BP264" i="7"/>
  <c r="BX280" i="7"/>
  <c r="BW280" i="7"/>
  <c r="BV280" i="7"/>
  <c r="BS280" i="7"/>
  <c r="BR280" i="7"/>
  <c r="CH280" i="7"/>
  <c r="CF280" i="7"/>
  <c r="CE280" i="7"/>
  <c r="CD280" i="7"/>
  <c r="CL168" i="7"/>
  <c r="CF183" i="7"/>
  <c r="CD183" i="7"/>
  <c r="CM183" i="7"/>
  <c r="BR205" i="7"/>
  <c r="BX214" i="7"/>
  <c r="BW214" i="7"/>
  <c r="BS214" i="7"/>
  <c r="BR214" i="7"/>
  <c r="BP214" i="7"/>
  <c r="BT223" i="7"/>
  <c r="BU245" i="7"/>
  <c r="BT251" i="7"/>
  <c r="CE263" i="7"/>
  <c r="CD263" i="7"/>
  <c r="CC263" i="7"/>
  <c r="BZ263" i="7"/>
  <c r="BY263" i="7"/>
  <c r="CM263" i="7"/>
  <c r="BS264" i="7"/>
  <c r="CI269" i="7"/>
  <c r="CH269" i="7"/>
  <c r="CG269" i="7"/>
  <c r="CD269" i="7"/>
  <c r="CC269" i="7"/>
  <c r="CB269" i="7"/>
  <c r="BZ269" i="7"/>
  <c r="BT280" i="7"/>
  <c r="CD256" i="7"/>
  <c r="CC256" i="7"/>
  <c r="CB256" i="7"/>
  <c r="BY256" i="7"/>
  <c r="BX256" i="7"/>
  <c r="BV256" i="7"/>
  <c r="BT256" i="7"/>
  <c r="CK188" i="7"/>
  <c r="CJ232" i="7"/>
  <c r="CI232" i="7"/>
  <c r="CE232" i="7"/>
  <c r="CD232" i="7"/>
  <c r="BV244" i="7"/>
  <c r="BU244" i="7"/>
  <c r="BT244" i="7"/>
  <c r="CM244" i="7"/>
  <c r="BQ244" i="7"/>
  <c r="CL244" i="7"/>
  <c r="BP244" i="7"/>
  <c r="BQ188" i="7"/>
  <c r="CA213" i="7"/>
  <c r="BZ213" i="7"/>
  <c r="BV213" i="7"/>
  <c r="BU213" i="7"/>
  <c r="BQ232" i="7"/>
  <c r="BY243" i="7"/>
  <c r="BX243" i="7"/>
  <c r="BW243" i="7"/>
  <c r="BT243" i="7"/>
  <c r="BS243" i="7"/>
  <c r="BS244" i="7"/>
  <c r="CK215" i="7"/>
  <c r="CK237" i="7"/>
  <c r="CG253" i="7"/>
  <c r="CK259" i="7"/>
  <c r="CG275" i="7"/>
  <c r="CK281" i="7"/>
  <c r="CK208" i="7"/>
  <c r="BP215" i="7"/>
  <c r="CL215" i="7"/>
  <c r="CF217" i="7"/>
  <c r="CG224" i="7"/>
  <c r="CK230" i="7"/>
  <c r="BP237" i="7"/>
  <c r="CL237" i="7"/>
  <c r="CF239" i="7"/>
  <c r="CG246" i="7"/>
  <c r="CK252" i="7"/>
  <c r="CH253" i="7"/>
  <c r="BP259" i="7"/>
  <c r="CL259" i="7"/>
  <c r="CF261" i="7"/>
  <c r="CG268" i="7"/>
  <c r="CK274" i="7"/>
  <c r="CH275" i="7"/>
  <c r="BP281" i="7"/>
  <c r="CL281" i="7"/>
  <c r="CK253" i="7"/>
  <c r="CK275" i="7"/>
  <c r="BS208" i="7"/>
  <c r="BT215" i="7"/>
  <c r="CJ217" i="7"/>
  <c r="CK224" i="7"/>
  <c r="BS230" i="7"/>
  <c r="BT237" i="7"/>
  <c r="CJ239" i="7"/>
  <c r="CK246" i="7"/>
  <c r="BS252" i="7"/>
  <c r="BP253" i="7"/>
  <c r="CL253" i="7"/>
  <c r="BT259" i="7"/>
  <c r="CJ261" i="7"/>
  <c r="CK268" i="7"/>
  <c r="BS274" i="7"/>
  <c r="BP275" i="7"/>
  <c r="CL275" i="7"/>
  <c r="BT281" i="7"/>
  <c r="BP224" i="7"/>
  <c r="BP246" i="7"/>
  <c r="BQ253" i="7"/>
  <c r="BP268" i="7"/>
  <c r="BQ275" i="7"/>
</calcChain>
</file>

<file path=xl/sharedStrings.xml><?xml version="1.0" encoding="utf-8"?>
<sst xmlns="http://schemas.openxmlformats.org/spreadsheetml/2006/main" count="949" uniqueCount="388">
  <si>
    <t>IC #1</t>
    <phoneticPr fontId="1" type="noConversion"/>
  </si>
  <si>
    <t>IC #2</t>
  </si>
  <si>
    <t>IC #3</t>
  </si>
  <si>
    <t>dev_1</t>
    <phoneticPr fontId="1" type="noConversion"/>
  </si>
  <si>
    <t>dev_2</t>
  </si>
  <si>
    <t>dev_3</t>
  </si>
  <si>
    <t>dev_4</t>
  </si>
  <si>
    <t>dev_5</t>
  </si>
  <si>
    <t>dev_6</t>
  </si>
  <si>
    <t>dev_7</t>
  </si>
  <si>
    <t>dev_8</t>
  </si>
  <si>
    <t>dev_9</t>
  </si>
  <si>
    <t>dev_10</t>
  </si>
  <si>
    <t>dev_11</t>
  </si>
  <si>
    <t>dev_12</t>
  </si>
  <si>
    <t>ch1</t>
    <phoneticPr fontId="1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</si>
  <si>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</si>
  <si>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</si>
  <si>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</si>
  <si>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</si>
  <si>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</si>
  <si>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</si>
  <si>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</si>
  <si>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</si>
  <si>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</si>
  <si>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</si>
  <si>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</si>
  <si>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ideal</t>
    <phoneticPr fontId="1" type="noConversion"/>
  </si>
  <si>
    <t>VREF</t>
    <phoneticPr fontId="1" type="noConversion"/>
  </si>
  <si>
    <t>max_curr_lvl</t>
    <phoneticPr fontId="1" type="noConversion"/>
  </si>
  <si>
    <t>Gain P1</t>
    <phoneticPr fontId="1" type="noConversion"/>
  </si>
  <si>
    <t>Ofs P1</t>
    <phoneticPr fontId="1" type="noConversion"/>
  </si>
  <si>
    <t>Ofs P2</t>
    <phoneticPr fontId="1" type="noConversion"/>
  </si>
  <si>
    <t>Gain TGT</t>
    <phoneticPr fontId="1" type="noConversion"/>
  </si>
  <si>
    <t>Ofs TGT</t>
    <phoneticPr fontId="1" type="noConversion"/>
  </si>
  <si>
    <t>IC #4</t>
  </si>
  <si>
    <t>IC #5</t>
  </si>
  <si>
    <t>Trim 항목</t>
    <phoneticPr fontId="1" type="noConversion"/>
  </si>
  <si>
    <t>REG</t>
    <phoneticPr fontId="1" type="noConversion"/>
  </si>
  <si>
    <t>VALUE</t>
    <phoneticPr fontId="1" type="noConversion"/>
  </si>
  <si>
    <t>XDR_CURRENT_REF</t>
  </si>
  <si>
    <t xml:space="preserve">XDR_LDO_DIG    </t>
  </si>
  <si>
    <t xml:space="preserve">XDR_LDO_DAC    </t>
  </si>
  <si>
    <t xml:space="preserve">XDR_LDO_FLL    </t>
  </si>
  <si>
    <t xml:space="preserve">XDR_OSC        </t>
  </si>
  <si>
    <t>XDR_CH_GAIN_1</t>
    <phoneticPr fontId="1" type="noConversion"/>
  </si>
  <si>
    <t>XDR_CH_GAIN_2</t>
  </si>
  <si>
    <t>XDR_CH_GAIN_3</t>
  </si>
  <si>
    <t>XDR_CH_GAIN_4</t>
  </si>
  <si>
    <t>XDR_CH_GAIN_5</t>
  </si>
  <si>
    <t>XDR_CH_GAIN_6</t>
  </si>
  <si>
    <t>XDR_CH_GAIN_7</t>
  </si>
  <si>
    <t>XDR_CH_GAIN_8</t>
  </si>
  <si>
    <t>XDR_CH_GAIN_9</t>
  </si>
  <si>
    <t>XDR_CH_GAIN_10</t>
  </si>
  <si>
    <t>XDR_CH_GAIN_11</t>
  </si>
  <si>
    <t>XDR_CH_GAIN_12</t>
  </si>
  <si>
    <t>XDR_CH_OFS_1</t>
    <phoneticPr fontId="1" type="noConversion"/>
  </si>
  <si>
    <t>XDR_CH_OFS_2</t>
  </si>
  <si>
    <t>XDR_CH_OFS_3</t>
  </si>
  <si>
    <t>XDR_CH_OFS_4</t>
  </si>
  <si>
    <t>XDR_CH_OFS_5</t>
  </si>
  <si>
    <t>XDR_CH_OFS_6</t>
  </si>
  <si>
    <t>XDR_CH_OFS_7</t>
  </si>
  <si>
    <t>XDR_CH_OFS_8</t>
  </si>
  <si>
    <t>XDR_CH_OFS_9</t>
  </si>
  <si>
    <t>XDR_CH_OFS_10</t>
  </si>
  <si>
    <t>XDR_CH_OFS_11</t>
  </si>
  <si>
    <t>XDR_CH_OFS_12</t>
  </si>
  <si>
    <t>Typ</t>
    <phoneticPr fontId="1" type="noConversion"/>
  </si>
  <si>
    <t>CH1</t>
    <phoneticPr fontId="1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</si>
  <si>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</si>
  <si>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</si>
  <si>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</si>
  <si>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</si>
  <si>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</si>
  <si>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</si>
  <si>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</si>
  <si>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</si>
  <si>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</si>
  <si>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</si>
  <si>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</si>
  <si>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 xml:space="preserve">XDR_ICC_STBY     </t>
  </si>
  <si>
    <t>-</t>
    <phoneticPr fontId="1" type="noConversion"/>
  </si>
  <si>
    <t xml:space="preserve">XDR_ICC_ACTV     </t>
  </si>
  <si>
    <t xml:space="preserve">XDR_CURRENT_REF  </t>
  </si>
  <si>
    <t xml:space="preserve">XDR_LDO_DIG      </t>
  </si>
  <si>
    <t xml:space="preserve">XDR_LDO_DAC      </t>
  </si>
  <si>
    <t xml:space="preserve">XDR_LDO_FLL      </t>
  </si>
  <si>
    <t xml:space="preserve">XDR_OSC          </t>
  </si>
  <si>
    <t xml:space="preserve">XDR_FLL_40M      </t>
  </si>
  <si>
    <t xml:space="preserve">XDR_FLL_50M      </t>
  </si>
  <si>
    <t xml:space="preserve">XDR_FLL_60M      </t>
  </si>
  <si>
    <t xml:space="preserve">XDR_IOUT_P1      </t>
  </si>
  <si>
    <t xml:space="preserve">XDR_IOUT_P2      </t>
  </si>
  <si>
    <t xml:space="preserve">XDR_IOUT_P3      </t>
  </si>
  <si>
    <t>XDR_MAX_SWEEP_P01</t>
  </si>
  <si>
    <t>XDR_MAX_SWEEP_P02</t>
  </si>
  <si>
    <t>XDR_MAX_SWEEP_P03</t>
  </si>
  <si>
    <t>XDR_MAX_SWEEP_P04</t>
  </si>
  <si>
    <t>XDR_MAX_SWEEP_P05</t>
  </si>
  <si>
    <t>XDR_MAX_SWEEP_P06</t>
  </si>
  <si>
    <t>XDR_MAX_SWEEP_P07</t>
  </si>
  <si>
    <t>XDR_MAX_SWEEP_P08</t>
  </si>
  <si>
    <t>XDR_MAX_SWEEP_P09</t>
  </si>
  <si>
    <t>XDR_MAX_SWEEP_P10</t>
  </si>
  <si>
    <t>XDR_MAX_SWEEP_P11</t>
  </si>
  <si>
    <t>XDR_MAX_SWEEP_P12</t>
  </si>
  <si>
    <t>XDR_MAX_SWEEP_P13</t>
  </si>
  <si>
    <t>XDR_MAX_SWEEP_P14</t>
  </si>
  <si>
    <t>XDR_MAX_SWEEP_P15</t>
  </si>
  <si>
    <t>XDR_MAX_SWEEP_P16</t>
  </si>
  <si>
    <t>FLL Transition (40 -&gt; 50MHz)</t>
    <phoneticPr fontId="1" type="noConversion"/>
  </si>
  <si>
    <t>FLL Transition (50 -&gt; 40MHz)</t>
    <phoneticPr fontId="1" type="noConversion"/>
  </si>
  <si>
    <t>FLL Transition  (40 -&gt; 50MHz) (FLT_GAIN, ERROR_RANGE)</t>
    <phoneticPr fontId="1" type="noConversion"/>
  </si>
  <si>
    <t>FLL Transition  (50 -&gt; 40MHz) (FLT_GAIN, ERROR_RANGE)</t>
    <phoneticPr fontId="1" type="noConversion"/>
  </si>
  <si>
    <t>time [ms]</t>
    <phoneticPr fontId="1" type="noConversion"/>
  </si>
  <si>
    <t>(0, 0)</t>
    <phoneticPr fontId="1" type="noConversion"/>
  </si>
  <si>
    <t>(0, 3)</t>
    <phoneticPr fontId="1" type="noConversion"/>
  </si>
  <si>
    <t>(2, 0)</t>
    <phoneticPr fontId="1" type="noConversion"/>
  </si>
  <si>
    <t>(3, 0)</t>
    <phoneticPr fontId="1" type="noConversion"/>
  </si>
  <si>
    <t>(3, 3)</t>
    <phoneticPr fontId="1" type="noConversion"/>
  </si>
  <si>
    <t>Test No.</t>
    <phoneticPr fontId="1" type="noConversion"/>
  </si>
  <si>
    <t>Test Item</t>
    <phoneticPr fontId="1" type="noConversion"/>
  </si>
  <si>
    <t>Descriptions</t>
    <phoneticPr fontId="1" type="noConversion"/>
  </si>
  <si>
    <t>Result (Average of ICs)</t>
    <phoneticPr fontId="1" type="noConversion"/>
  </si>
  <si>
    <t>Deviation [%]</t>
    <phoneticPr fontId="1" type="noConversion"/>
  </si>
  <si>
    <t>Functional Check</t>
    <phoneticPr fontId="1" type="noConversion"/>
  </si>
  <si>
    <t>No. 0</t>
    <phoneticPr fontId="1" type="noConversion"/>
  </si>
  <si>
    <t>POR</t>
    <phoneticPr fontId="1" type="noConversion"/>
  </si>
  <si>
    <t>Default Register Values Verification (Sheet 'Reg Default')</t>
    <phoneticPr fontId="1" type="noConversion"/>
  </si>
  <si>
    <t>OK</t>
    <phoneticPr fontId="1" type="noConversion"/>
  </si>
  <si>
    <t>No. 1</t>
  </si>
  <si>
    <t>Register Access</t>
    <phoneticPr fontId="1" type="noConversion"/>
  </si>
  <si>
    <t>Register Write &amp; Read Operation</t>
    <phoneticPr fontId="1" type="noConversion"/>
  </si>
  <si>
    <t>No. 2</t>
  </si>
  <si>
    <t>Current REF</t>
  </si>
  <si>
    <t>Current reference Voltage trimming</t>
  </si>
  <si>
    <t>No. 3</t>
  </si>
  <si>
    <t>LDO(Digital)</t>
  </si>
  <si>
    <t>Digital LDO Voltage trimming</t>
  </si>
  <si>
    <t>No. 4</t>
  </si>
  <si>
    <t>LDO(DAC)</t>
  </si>
  <si>
    <t>DAC LDO Voltage trimming</t>
  </si>
  <si>
    <t>No. 5</t>
  </si>
  <si>
    <t>LDO(FLL)</t>
  </si>
  <si>
    <t>FLL LDO Voltage trimming</t>
  </si>
  <si>
    <t>No. 6</t>
  </si>
  <si>
    <t>OSC Frequency</t>
  </si>
  <si>
    <t>Frequency trimming</t>
  </si>
  <si>
    <t>No. 7</t>
  </si>
  <si>
    <t>CH_GAIN</t>
  </si>
  <si>
    <t>Gain trimming</t>
  </si>
  <si>
    <t>No. 8</t>
  </si>
  <si>
    <t>CH_OFFSET</t>
  </si>
  <si>
    <t>Offset trimming</t>
  </si>
  <si>
    <t>No. 9</t>
  </si>
  <si>
    <t>e-Fusing</t>
    <phoneticPr fontId="1" type="noConversion"/>
  </si>
  <si>
    <t>OTP Burn</t>
    <phoneticPr fontId="1" type="noConversion"/>
  </si>
  <si>
    <t>No. 10</t>
    <phoneticPr fontId="1" type="noConversion"/>
  </si>
  <si>
    <t>Standby Current</t>
    <phoneticPr fontId="1" type="noConversion"/>
  </si>
  <si>
    <t>No. 11</t>
  </si>
  <si>
    <t>FLL function test (40MHz)</t>
    <phoneticPr fontId="1" type="noConversion"/>
  </si>
  <si>
    <t>No. 12</t>
  </si>
  <si>
    <t>FLL function test (50MHz)</t>
    <phoneticPr fontId="1" type="noConversion"/>
  </si>
  <si>
    <t>No. 13</t>
  </si>
  <si>
    <t>FLL function test (60MHz)</t>
    <phoneticPr fontId="1" type="noConversion"/>
  </si>
  <si>
    <t>No. 14</t>
  </si>
  <si>
    <t>Iout accuracy low current (VREF = 300)</t>
    <phoneticPr fontId="1" type="noConversion"/>
  </si>
  <si>
    <t>No. 15</t>
  </si>
  <si>
    <t>Iout accuracy mid current (VREF = 700)</t>
    <phoneticPr fontId="1" type="noConversion"/>
  </si>
  <si>
    <t>No. 16</t>
  </si>
  <si>
    <t>Iout accuracy high current (VREF = 1000)</t>
    <phoneticPr fontId="1" type="noConversion"/>
  </si>
  <si>
    <t>No. 17</t>
  </si>
  <si>
    <t>Iout accuracy max current level = 4mA (VREF = 300)</t>
  </si>
  <si>
    <t>No. 18</t>
  </si>
  <si>
    <t>Iout accuracy max current level = 8mA (VREF = 300)</t>
  </si>
  <si>
    <t>No. 19</t>
  </si>
  <si>
    <t>Iout accuracy max current level = 12mA (VREF = 300)</t>
  </si>
  <si>
    <t>No. 20</t>
  </si>
  <si>
    <t>Iout accuracy max current level = 16mA (VREF = 300)</t>
  </si>
  <si>
    <t>No. 21</t>
  </si>
  <si>
    <t>Iout accuracy max current level = 20mA (VREF = 300)</t>
  </si>
  <si>
    <t>No. 22</t>
  </si>
  <si>
    <t>Iout accuracy max current level = 24mA (VREF = 300)</t>
  </si>
  <si>
    <t>No. 23</t>
  </si>
  <si>
    <t>Iout accuracy max current level = 28mA (VREF = 300)</t>
  </si>
  <si>
    <t>No. 24</t>
  </si>
  <si>
    <t>Iout accuracy max current level = 32mA (VREF = 300)</t>
  </si>
  <si>
    <t>No. 25</t>
  </si>
  <si>
    <t>Iout accuracy max current level = 36mA (VREF = 300)</t>
  </si>
  <si>
    <t>No. 26</t>
  </si>
  <si>
    <t>Iout accuracy max current level = 40mA (VREF = 300)</t>
  </si>
  <si>
    <t>No. 27</t>
  </si>
  <si>
    <t>Iout accuracy max current level = 44mA (VREF = 300)</t>
  </si>
  <si>
    <t>No. 28</t>
  </si>
  <si>
    <t>Iout accuracy max current level = 48mA (VREF = 300)</t>
  </si>
  <si>
    <t>No. 29</t>
  </si>
  <si>
    <t>Iout accuracy max current level = 52mA (VREF = 300)</t>
  </si>
  <si>
    <t>No. 30</t>
  </si>
  <si>
    <t>Iout accuracy max current level = 56mA (VREF = 300)</t>
  </si>
  <si>
    <t>No. 31</t>
  </si>
  <si>
    <t>Iout accuracy max current level = 60mA (VREF = 300)</t>
  </si>
  <si>
    <t>No. 32</t>
  </si>
  <si>
    <t>Iout accuracy max current level = 64mA (VREF = 300)</t>
  </si>
  <si>
    <t>No. 33</t>
  </si>
  <si>
    <t>FLL Transition_1</t>
    <phoneticPr fontId="1" type="noConversion"/>
  </si>
  <si>
    <t>FLL function test (40MHz -&gt; 50MHz)</t>
    <phoneticPr fontId="1" type="noConversion"/>
  </si>
  <si>
    <t>No. 34</t>
  </si>
  <si>
    <t>FLL Transition_2</t>
    <phoneticPr fontId="1" type="noConversion"/>
  </si>
  <si>
    <t>FLL function test (50MHz -&gt; 40MHz)</t>
    <phoneticPr fontId="1" type="noConversion"/>
  </si>
  <si>
    <t>Simulation  or  Spec</t>
    <phoneticPr fontId="6" type="noConversion"/>
  </si>
  <si>
    <t>Measurement</t>
    <phoneticPr fontId="6" type="noConversion"/>
  </si>
  <si>
    <t>Check</t>
    <phoneticPr fontId="6" type="noConversion"/>
  </si>
  <si>
    <t>Note</t>
    <phoneticPr fontId="6" type="noConversion"/>
  </si>
  <si>
    <t>Bias</t>
    <phoneticPr fontId="6" type="noConversion"/>
  </si>
  <si>
    <t>최소 수량</t>
    <phoneticPr fontId="6" type="noConversion"/>
  </si>
  <si>
    <t>min</t>
    <phoneticPr fontId="6" type="noConversion"/>
  </si>
  <si>
    <t>Typ</t>
    <phoneticPr fontId="6" type="noConversion"/>
  </si>
  <si>
    <t>max</t>
    <phoneticPr fontId="6" type="noConversion"/>
  </si>
  <si>
    <t>VDD Range</t>
    <phoneticPr fontId="6" type="noConversion"/>
  </si>
  <si>
    <r>
      <rPr>
        <sz val="11"/>
        <color theme="1"/>
        <rFont val="맑은 고딕"/>
        <family val="2"/>
        <charset val="129"/>
      </rPr>
      <t>정상동작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범위</t>
    </r>
    <phoneticPr fontId="6" type="noConversion"/>
  </si>
  <si>
    <t>3V</t>
    <phoneticPr fontId="6" type="noConversion"/>
  </si>
  <si>
    <t>3.3V</t>
    <phoneticPr fontId="6" type="noConversion"/>
  </si>
  <si>
    <t>5.5V</t>
    <phoneticPr fontId="6" type="noConversion"/>
  </si>
  <si>
    <t>VDD Ramp up</t>
    <phoneticPr fontId="6" type="noConversion"/>
  </si>
  <si>
    <r>
      <rPr>
        <sz val="11"/>
        <color theme="1"/>
        <rFont val="맑은 고딕"/>
        <family val="2"/>
        <charset val="129"/>
      </rPr>
      <t>정상동작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범위</t>
    </r>
    <r>
      <rPr>
        <sz val="11"/>
        <color theme="1"/>
        <rFont val="Calibri"/>
        <family val="2"/>
      </rPr>
      <t xml:space="preserve"> (10</t>
    </r>
    <r>
      <rPr>
        <sz val="11"/>
        <color theme="1"/>
        <rFont val="맑은 고딕"/>
        <family val="2"/>
        <charset val="129"/>
      </rPr>
      <t xml:space="preserve">회 </t>
    </r>
    <r>
      <rPr>
        <sz val="11"/>
        <color theme="1"/>
        <rFont val="Calibri"/>
        <family val="2"/>
      </rPr>
      <t>ON/OFF)</t>
    </r>
    <phoneticPr fontId="6" type="noConversion"/>
  </si>
  <si>
    <t>100u</t>
    <phoneticPr fontId="6" type="noConversion"/>
  </si>
  <si>
    <t>1m</t>
    <phoneticPr fontId="6" type="noConversion"/>
  </si>
  <si>
    <t>10m</t>
    <phoneticPr fontId="6" type="noConversion"/>
  </si>
  <si>
    <t>ICC @ Standby</t>
    <phoneticPr fontId="6" type="noConversion"/>
  </si>
  <si>
    <r>
      <rPr>
        <sz val="11"/>
        <color theme="1"/>
        <rFont val="맑은 고딕"/>
        <family val="2"/>
        <charset val="129"/>
      </rPr>
      <t>초기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인가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직후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</si>
  <si>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-</t>
    <phoneticPr fontId="6" type="noConversion"/>
  </si>
  <si>
    <t>ICC @ Active (RGB Mode)</t>
    <phoneticPr fontId="6" type="noConversion"/>
  </si>
  <si>
    <r>
      <t xml:space="preserve">Dimming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</si>
  <si>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ICC @ Active (R/GB Mode)</t>
    <phoneticPr fontId="6" type="noConversion"/>
  </si>
  <si>
    <t>POR UV LEVEL</t>
    <phoneticPr fontId="6" type="noConversion"/>
  </si>
  <si>
    <r>
      <t xml:space="preserve">VDD DC Sweep(Up) </t>
    </r>
    <r>
      <rPr>
        <sz val="11"/>
        <color theme="1"/>
        <rFont val="맑은 고딕"/>
        <family val="2"/>
        <charset val="129"/>
      </rPr>
      <t xml:space="preserve">후 </t>
    </r>
    <r>
      <rPr>
        <sz val="11"/>
        <color theme="1"/>
        <rFont val="Calibri"/>
        <family val="2"/>
      </rPr>
      <t xml:space="preserve">POR Reset </t>
    </r>
    <r>
      <rPr>
        <sz val="11"/>
        <color theme="1"/>
        <rFont val="맑은 고딕"/>
        <family val="2"/>
        <charset val="129"/>
      </rPr>
      <t>풀리는 지점 확인</t>
    </r>
    <phoneticPr fontId="6" type="noConversion"/>
  </si>
  <si>
    <t>2.4V</t>
    <phoneticPr fontId="6" type="noConversion"/>
  </si>
  <si>
    <t>VDD1P5_DAC</t>
    <phoneticPr fontId="6" type="noConversion"/>
  </si>
  <si>
    <r>
      <rPr>
        <sz val="11"/>
        <color theme="1"/>
        <rFont val="맑은 고딕"/>
        <family val="2"/>
        <charset val="129"/>
      </rPr>
      <t>전압측정</t>
    </r>
    <r>
      <rPr>
        <sz val="11"/>
        <color theme="1"/>
        <rFont val="Calibri"/>
        <family val="2"/>
      </rPr>
      <t xml:space="preserve"> After trimming  (Trim code </t>
    </r>
    <r>
      <rPr>
        <sz val="11"/>
        <color theme="1"/>
        <rFont val="맑은 고딕"/>
        <family val="2"/>
        <charset val="129"/>
      </rPr>
      <t>위아래</t>
    </r>
    <r>
      <rPr>
        <sz val="11"/>
        <color theme="1"/>
        <rFont val="Calibri"/>
        <family val="2"/>
      </rPr>
      <t xml:space="preserve"> margin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>)</t>
    </r>
    <phoneticPr fontId="6" type="noConversion"/>
  </si>
  <si>
    <t>1.5V (&gt; +20% / &gt; - 20%)</t>
    <phoneticPr fontId="6" type="noConversion"/>
  </si>
  <si>
    <t>VDD1P5_DIG</t>
    <phoneticPr fontId="6" type="noConversion"/>
  </si>
  <si>
    <t>VDD1P5_FLL</t>
    <phoneticPr fontId="6" type="noConversion"/>
  </si>
  <si>
    <t>&gt; +20% / &gt; - 20%</t>
    <phoneticPr fontId="6" type="noConversion"/>
  </si>
  <si>
    <t>Fault</t>
    <phoneticPr fontId="6" type="noConversion"/>
  </si>
  <si>
    <t>open</t>
    <phoneticPr fontId="6" type="noConversion"/>
  </si>
  <si>
    <r>
      <t xml:space="preserve">Open detector level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</si>
  <si>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0.25 V</t>
    <phoneticPr fontId="6" type="noConversion"/>
  </si>
  <si>
    <t>FB</t>
    <phoneticPr fontId="6" type="noConversion"/>
  </si>
  <si>
    <r>
      <t xml:space="preserve">Feedback detector level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</si>
  <si>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0.45 / 0.55 / 0.65 / 0.75 / 0.9 / 1.05 / 1.2 / 1.35 V</t>
    <phoneticPr fontId="6" type="noConversion"/>
  </si>
  <si>
    <t>Short</t>
    <phoneticPr fontId="6" type="noConversion"/>
  </si>
  <si>
    <r>
      <t xml:space="preserve">Short detector level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</si>
  <si>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3.5 / 4.5 / 6.5 / 9 / 13.5 / 17.5 / 26 / 32 V</t>
    <phoneticPr fontId="6" type="noConversion"/>
  </si>
  <si>
    <t>Thermal (Over-temp)</t>
    <phoneticPr fontId="6" type="noConversion"/>
  </si>
  <si>
    <r>
      <t xml:space="preserve">Thermal detector level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</si>
  <si>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 xml:space="preserve"> (93°/103°/113°)</t>
    <phoneticPr fontId="6" type="noConversion"/>
  </si>
  <si>
    <t>Noise</t>
    <phoneticPr fontId="6" type="noConversion"/>
  </si>
  <si>
    <t>IOUT current noise</t>
    <phoneticPr fontId="6" type="noConversion"/>
  </si>
  <si>
    <r>
      <t xml:space="preserve">8mA / 24mA noise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</si>
  <si>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Driver</t>
    <phoneticPr fontId="6" type="noConversion"/>
  </si>
  <si>
    <t>IOUT_Mismatch(200 ~ 4095 @ 8mA)</t>
    <phoneticPr fontId="6" type="noConversion"/>
  </si>
  <si>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편차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</si>
  <si>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&lt; 1.5%</t>
    <phoneticPr fontId="6" type="noConversion"/>
  </si>
  <si>
    <t>IOUT_Mismatch(200 ~ 4095 @ 24mA)</t>
    <phoneticPr fontId="6" type="noConversion"/>
  </si>
  <si>
    <t>IOUT_Mismatch(200 ~ 4095 @ 8mA &gt; 4mA)</t>
    <phoneticPr fontId="6" type="noConversion"/>
  </si>
  <si>
    <t>IOUT_Mismatch(200 ~ 4095 @ 8mA &gt; 12mA)</t>
    <phoneticPr fontId="6" type="noConversion"/>
  </si>
  <si>
    <t>IOUT_Mismatch(200 ~ 4095 @ 8mA &gt; 24mA)</t>
    <phoneticPr fontId="6" type="noConversion"/>
  </si>
  <si>
    <t>IOUT_Mismatch(200 ~ 4095 @ 24mA &gt; 8mA)</t>
    <phoneticPr fontId="6" type="noConversion"/>
  </si>
  <si>
    <t>IOUT_Mismatch(200 ~ 4095 @ 24mA &gt; 16mA)</t>
    <phoneticPr fontId="6" type="noConversion"/>
  </si>
  <si>
    <t>IOUT_Mismatch(200 ~ 4095 @ 24mA &gt; 32mA)</t>
    <phoneticPr fontId="6" type="noConversion"/>
  </si>
  <si>
    <t>Gain trim margin</t>
    <phoneticPr fontId="6" type="noConversion"/>
  </si>
  <si>
    <r>
      <t xml:space="preserve">Trim code </t>
    </r>
    <r>
      <rPr>
        <sz val="11"/>
        <color theme="1"/>
        <rFont val="돋움"/>
        <family val="3"/>
        <charset val="129"/>
      </rPr>
      <t>위아래</t>
    </r>
    <r>
      <rPr>
        <sz val="11"/>
        <color theme="1"/>
        <rFont val="Calibri"/>
        <family val="2"/>
      </rPr>
      <t xml:space="preserve"> margin </t>
    </r>
    <r>
      <rPr>
        <sz val="11"/>
        <color theme="1"/>
        <rFont val="돋움"/>
        <family val="3"/>
        <charset val="129"/>
      </rPr>
      <t>확인</t>
    </r>
  </si>
  <si>
    <t>offset trim margin</t>
    <phoneticPr fontId="6" type="noConversion"/>
  </si>
  <si>
    <t>PWM Rising @ 8mA</t>
    <phoneticPr fontId="6" type="noConversion"/>
  </si>
  <si>
    <r>
      <t xml:space="preserve">PWM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rising time </t>
    </r>
    <phoneticPr fontId="6" type="noConversion"/>
  </si>
  <si>
    <t>PWM Falling @ 8mA</t>
    <phoneticPr fontId="6" type="noConversion"/>
  </si>
  <si>
    <r>
      <t xml:space="preserve">PWM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Falling time</t>
    </r>
    <phoneticPr fontId="6" type="noConversion"/>
  </si>
  <si>
    <t>VDD dependency @ 8mA</t>
    <phoneticPr fontId="6" type="noConversion"/>
  </si>
  <si>
    <r>
      <t xml:space="preserve">VDD </t>
    </r>
    <r>
      <rPr>
        <sz val="11"/>
        <color theme="1"/>
        <rFont val="맑은 고딕"/>
        <family val="2"/>
        <charset val="129"/>
      </rPr>
      <t>변화에 따른 전류 변화 측정</t>
    </r>
    <r>
      <rPr>
        <sz val="11"/>
        <color theme="1"/>
        <rFont val="Calibri"/>
        <family val="2"/>
      </rPr>
      <t xml:space="preserve"> (3V ~ 5.5V)</t>
    </r>
    <phoneticPr fontId="6" type="noConversion"/>
  </si>
  <si>
    <t>&lt; 1%/1V</t>
    <phoneticPr fontId="6" type="noConversion"/>
  </si>
  <si>
    <t>VLED dependency @ 8mA</t>
    <phoneticPr fontId="6" type="noConversion"/>
  </si>
  <si>
    <r>
      <t xml:space="preserve">VLED </t>
    </r>
    <r>
      <rPr>
        <sz val="11"/>
        <color theme="1"/>
        <rFont val="맑은 고딕"/>
        <family val="2"/>
        <charset val="129"/>
      </rPr>
      <t>변화에 따른 전류 포화지점 측정 (0</t>
    </r>
    <r>
      <rPr>
        <sz val="11"/>
        <color theme="1"/>
        <rFont val="Calibri"/>
        <family val="2"/>
      </rPr>
      <t>V ~ 1V) 50mV Step</t>
    </r>
    <phoneticPr fontId="6" type="noConversion"/>
  </si>
  <si>
    <t>0.45V @ 8mA</t>
    <phoneticPr fontId="6" type="noConversion"/>
  </si>
  <si>
    <t>Temperature Drift @ 8mA</t>
    <phoneticPr fontId="6" type="noConversion"/>
  </si>
  <si>
    <r>
      <rPr>
        <sz val="11"/>
        <color theme="1"/>
        <rFont val="맑은 고딕"/>
        <family val="2"/>
        <charset val="129"/>
      </rPr>
      <t>온도에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따른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r>
      <rPr>
        <sz val="11"/>
        <color theme="1"/>
        <rFont val="Calibri"/>
        <family val="2"/>
      </rPr>
      <t xml:space="preserve"> (-40 / 100)</t>
    </r>
    <phoneticPr fontId="6" type="noConversion"/>
  </si>
  <si>
    <t>&lt; 2% / &lt; 2%</t>
    <phoneticPr fontId="6" type="noConversion"/>
  </si>
  <si>
    <t>FLL</t>
    <phoneticPr fontId="6" type="noConversion"/>
  </si>
  <si>
    <t>Frequency Range @ OSC Trim</t>
    <phoneticPr fontId="6" type="noConversion"/>
  </si>
  <si>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가능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범위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
및</t>
    </r>
    <r>
      <rPr>
        <sz val="11"/>
        <color theme="1"/>
        <rFont val="Calibri"/>
        <family val="2"/>
      </rPr>
      <t xml:space="preserve"> FLL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범위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</si>
  <si>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Frequency Range @ FLL Manaul</t>
    <phoneticPr fontId="6" type="noConversion"/>
  </si>
  <si>
    <t>25M</t>
    <phoneticPr fontId="6" type="noConversion"/>
  </si>
  <si>
    <t>50M</t>
    <phoneticPr fontId="6" type="noConversion"/>
  </si>
  <si>
    <t>75M</t>
    <phoneticPr fontId="6" type="noConversion"/>
  </si>
  <si>
    <t>Frequency Range @ FLL Enable</t>
    <phoneticPr fontId="6" type="noConversion"/>
  </si>
  <si>
    <t>Temperature Drift @ 50M</t>
    <phoneticPr fontId="6" type="noConversion"/>
  </si>
  <si>
    <t>Jitter @ 8.33ms Acc jitter (120Hz Vsync)</t>
    <phoneticPr fontId="6" type="noConversion"/>
  </si>
  <si>
    <r>
      <t xml:space="preserve">Jitter </t>
    </r>
    <r>
      <rPr>
        <sz val="11"/>
        <color theme="1"/>
        <rFont val="맑은 고딕"/>
        <family val="2"/>
        <charset val="129"/>
      </rPr>
      <t>확인</t>
    </r>
    <phoneticPr fontId="6" type="noConversion"/>
  </si>
  <si>
    <t>&lt; 2usec</t>
    <phoneticPr fontId="6" type="noConversion"/>
  </si>
  <si>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Up</t>
    </r>
    <phoneticPr fontId="6" type="noConversion"/>
  </si>
  <si>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Down</t>
    </r>
    <phoneticPr fontId="6" type="noConversion"/>
  </si>
  <si>
    <t>Frequency Spread</t>
    <phoneticPr fontId="6" type="noConversion"/>
  </si>
  <si>
    <r>
      <t xml:space="preserve">Spread </t>
    </r>
    <r>
      <rPr>
        <sz val="11"/>
        <color theme="1"/>
        <rFont val="맑은 고딕"/>
        <family val="2"/>
        <charset val="129"/>
      </rPr>
      <t>효과확인</t>
    </r>
    <r>
      <rPr>
        <sz val="11"/>
        <color theme="1"/>
        <rFont val="Calibri"/>
        <family val="2"/>
      </rPr>
      <t xml:space="preserve"> @ Spread gain = 3</t>
    </r>
    <phoneticPr fontId="6" type="noConversion"/>
  </si>
  <si>
    <t>Operation</t>
    <phoneticPr fontId="6" type="noConversion"/>
  </si>
  <si>
    <t>ON/OFF TEST</t>
    <phoneticPr fontId="6" type="noConversion"/>
  </si>
  <si>
    <r>
      <t xml:space="preserve">ON/OFF </t>
    </r>
    <r>
      <rPr>
        <sz val="11"/>
        <color theme="1"/>
        <rFont val="맑은 고딕"/>
        <family val="2"/>
        <charset val="129"/>
      </rPr>
      <t>정상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(20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Calibri"/>
        <family val="2"/>
      </rPr>
      <t xml:space="preserve"> IC , IC</t>
    </r>
    <r>
      <rPr>
        <sz val="11"/>
        <color theme="1"/>
        <rFont val="맑은 고딕"/>
        <family val="2"/>
        <charset val="129"/>
      </rPr>
      <t>당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</rPr>
      <t>)  (</t>
    </r>
    <r>
      <rPr>
        <sz val="11"/>
        <color theme="1"/>
        <rFont val="맑은 고딕"/>
        <family val="2"/>
        <charset val="129"/>
      </rPr>
      <t>상온</t>
    </r>
    <r>
      <rPr>
        <sz val="11"/>
        <color theme="1"/>
        <rFont val="Calibri"/>
        <family val="2"/>
      </rPr>
      <t>)</t>
    </r>
    <phoneticPr fontId="6" type="noConversion"/>
  </si>
  <si>
    <r>
      <t xml:space="preserve">ON/OFF </t>
    </r>
    <r>
      <rPr>
        <sz val="11"/>
        <color theme="1"/>
        <rFont val="맑은 고딕"/>
        <family val="2"/>
        <charset val="129"/>
      </rPr>
      <t>정상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(20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Calibri"/>
        <family val="2"/>
      </rPr>
      <t xml:space="preserve"> IC , IC</t>
    </r>
    <r>
      <rPr>
        <sz val="11"/>
        <color theme="1"/>
        <rFont val="맑은 고딕"/>
        <family val="2"/>
        <charset val="129"/>
      </rPr>
      <t>당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</rPr>
      <t>)  (</t>
    </r>
    <r>
      <rPr>
        <sz val="11"/>
        <color theme="1"/>
        <rFont val="맑은 고딕"/>
        <family val="2"/>
        <charset val="129"/>
      </rPr>
      <t>저온</t>
    </r>
    <r>
      <rPr>
        <sz val="11"/>
        <color theme="1"/>
        <rFont val="Calibri"/>
        <family val="2"/>
      </rPr>
      <t xml:space="preserve"> -40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>)</t>
    </r>
    <phoneticPr fontId="6" type="noConversion"/>
  </si>
  <si>
    <r>
      <t xml:space="preserve">ON/OFF </t>
    </r>
    <r>
      <rPr>
        <sz val="11"/>
        <color theme="1"/>
        <rFont val="맑은 고딕"/>
        <family val="2"/>
        <charset val="129"/>
      </rPr>
      <t>정상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(20</t>
    </r>
    <r>
      <rPr>
        <sz val="11"/>
        <color theme="1"/>
        <rFont val="맑은 고딕"/>
        <family val="2"/>
        <charset val="129"/>
      </rPr>
      <t xml:space="preserve">개 IC, </t>
    </r>
    <r>
      <rPr>
        <sz val="11"/>
        <color theme="1"/>
        <rFont val="Calibri"/>
        <family val="2"/>
      </rPr>
      <t>IC</t>
    </r>
    <r>
      <rPr>
        <sz val="11"/>
        <color theme="1"/>
        <rFont val="맑은 고딕"/>
        <family val="2"/>
        <charset val="129"/>
      </rPr>
      <t>당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</rPr>
      <t>)  (</t>
    </r>
    <r>
      <rPr>
        <sz val="11"/>
        <color theme="1"/>
        <rFont val="맑은 고딕"/>
        <family val="2"/>
        <charset val="129"/>
      </rPr>
      <t>고온</t>
    </r>
    <r>
      <rPr>
        <sz val="11"/>
        <color theme="1"/>
        <rFont val="Calibri"/>
        <family val="2"/>
      </rPr>
      <t xml:space="preserve"> 100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>)</t>
    </r>
    <phoneticPr fontId="6" type="noConversion"/>
  </si>
  <si>
    <t>ESD</t>
    <phoneticPr fontId="6" type="noConversion"/>
  </si>
  <si>
    <t>ESD LEVEL(HBM)</t>
    <phoneticPr fontId="6" type="noConversion"/>
  </si>
  <si>
    <t>2K</t>
    <phoneticPr fontId="6" type="noConversion"/>
  </si>
  <si>
    <t>VREF1P2_IREF</t>
    <phoneticPr fontId="1" type="noConversion"/>
  </si>
  <si>
    <t>1.4V (&gt; +20% / &gt; - 20%)</t>
    <phoneticPr fontId="6" type="noConversion"/>
  </si>
  <si>
    <t>50M (&gt; +20% / &gt; - 20%)</t>
    <phoneticPr fontId="6" type="noConversion"/>
  </si>
  <si>
    <t>52.5M</t>
    <phoneticPr fontId="1" type="noConversion"/>
  </si>
  <si>
    <t>47.5M</t>
    <phoneticPr fontId="1" type="noConversion"/>
  </si>
  <si>
    <t>&lt; 20Frame</t>
    <phoneticPr fontId="6" type="noConversion"/>
  </si>
  <si>
    <r>
      <rPr>
        <sz val="11"/>
        <color theme="1"/>
        <rFont val="맑은 고딕"/>
        <family val="2"/>
        <charset val="129"/>
      </rPr>
      <t>온도에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따른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r>
      <rPr>
        <sz val="11"/>
        <color theme="1"/>
        <rFont val="Calibri"/>
        <family val="2"/>
      </rPr>
      <t xml:space="preserve"> (FLL Manual)</t>
    </r>
    <r>
      <rPr>
        <sz val="11"/>
        <color theme="1"/>
        <rFont val="Calibri"/>
        <family val="2"/>
        <charset val="129"/>
      </rPr>
      <t xml:space="preserve"> (-40 / 100)</t>
    </r>
    <phoneticPr fontId="6" type="noConversion"/>
  </si>
  <si>
    <t>Frequency Jump (40M -&gt; 50M)</t>
    <phoneticPr fontId="6" type="noConversion"/>
  </si>
  <si>
    <t>Frequency Jump (50M -&gt; 40M)</t>
    <phoneticPr fontId="6" type="noConversion"/>
  </si>
  <si>
    <t>√</t>
    <phoneticPr fontId="1" type="noConversion"/>
  </si>
  <si>
    <t>1.745mA</t>
    <phoneticPr fontId="1" type="noConversion"/>
  </si>
  <si>
    <r>
      <t xml:space="preserve">Trim code  4code </t>
    </r>
    <r>
      <rPr>
        <sz val="11"/>
        <color theme="1"/>
        <rFont val="맑은 고딕"/>
        <family val="2"/>
        <charset val="129"/>
      </rPr>
      <t>가량,하향</t>
    </r>
    <r>
      <rPr>
        <sz val="11"/>
        <color theme="1"/>
        <rFont val="Calibri"/>
        <family val="2"/>
      </rPr>
      <t xml:space="preserve"> shift </t>
    </r>
    <r>
      <rPr>
        <sz val="11"/>
        <color theme="1"/>
        <rFont val="맑은 고딕"/>
        <family val="2"/>
        <charset val="129"/>
      </rPr>
      <t>분석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예정</t>
    </r>
    <phoneticPr fontId="1" type="noConversion"/>
  </si>
  <si>
    <t>&lt; 1.3%</t>
    <phoneticPr fontId="6" type="noConversion"/>
  </si>
  <si>
    <r>
      <t>8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Calibri"/>
        <family val="2"/>
      </rPr>
      <t xml:space="preserve">CH  DAC </t>
    </r>
    <r>
      <rPr>
        <sz val="11"/>
        <color theme="1"/>
        <rFont val="맑은 고딕"/>
        <family val="2"/>
        <charset val="129"/>
      </rPr>
      <t xml:space="preserve">전원 </t>
    </r>
    <r>
      <rPr>
        <sz val="11"/>
        <color theme="1"/>
        <rFont val="Calibri"/>
        <family val="2"/>
      </rPr>
      <t xml:space="preserve">Layout </t>
    </r>
    <r>
      <rPr>
        <sz val="11"/>
        <color theme="1"/>
        <rFont val="맑은 고딕"/>
        <family val="2"/>
        <charset val="129"/>
      </rPr>
      <t>보강 필요 발견
8번CH 수정시 0.5% 가량 산포 개선 가능 예상됨</t>
    </r>
    <phoneticPr fontId="1" type="noConversion"/>
  </si>
  <si>
    <t>15M</t>
    <phoneticPr fontId="1" type="noConversion"/>
  </si>
  <si>
    <t>80M</t>
    <phoneticPr fontId="1" type="noConversion"/>
  </si>
  <si>
    <t>tgt_dac</t>
    <phoneticPr fontId="1" type="noConversion"/>
  </si>
  <si>
    <t>dac_ch1</t>
    <phoneticPr fontId="1" type="noConversion"/>
  </si>
  <si>
    <t>dac_ch2</t>
  </si>
  <si>
    <t>dac_ch3</t>
  </si>
  <si>
    <t>1.5V LDO(DIGITAL)</t>
  </si>
  <si>
    <t>3.0V DAC</t>
  </si>
  <si>
    <t>DAC Reference Voltage trimming</t>
    <phoneticPr fontId="1" type="noConversion"/>
  </si>
  <si>
    <t>DAC1 OFS</t>
  </si>
  <si>
    <t>DAC1 Offset trimming</t>
    <phoneticPr fontId="1" type="noConversion"/>
  </si>
  <si>
    <t>DAC2 OFS</t>
  </si>
  <si>
    <t>DAC2 Offset trimming</t>
    <phoneticPr fontId="1" type="noConversion"/>
  </si>
  <si>
    <t>DAC3 OFS</t>
  </si>
  <si>
    <t>DAC3 Offset trimming</t>
    <phoneticPr fontId="1" type="noConversion"/>
  </si>
  <si>
    <t>1.5V LDO(OSC_A)</t>
  </si>
  <si>
    <t>Oscillator LDO Voltage trimming</t>
    <phoneticPr fontId="1" type="noConversion"/>
  </si>
  <si>
    <t>OSC_A</t>
  </si>
  <si>
    <t>Oscillator A Frequency trimming</t>
    <phoneticPr fontId="1" type="noConversion"/>
  </si>
  <si>
    <t>OSC_B</t>
  </si>
  <si>
    <t>eFuse Write</t>
  </si>
  <si>
    <t>XD12R</t>
    <phoneticPr fontId="1" type="noConversion"/>
  </si>
  <si>
    <t>XC24R</t>
    <phoneticPr fontId="1" type="noConversion"/>
  </si>
  <si>
    <t>3.5K(HV) / 7K(LV)</t>
    <phoneticPr fontId="1" type="noConversion"/>
  </si>
  <si>
    <t>0.24 V</t>
    <phoneticPr fontId="1" type="noConversion"/>
  </si>
  <si>
    <t>2.3 / 5.5 / 8.7 / 11.8 / 15.7 V</t>
    <phoneticPr fontId="1" type="noConversion"/>
  </si>
  <si>
    <t>0.42 / 0.52 / 0.62 / 0.72 / 0.88 / 1.03 / 1.18 / 1.33 V</t>
    <phoneticPr fontId="1" type="noConversion"/>
  </si>
  <si>
    <r>
      <t xml:space="preserve">Short detector Time </t>
    </r>
    <r>
      <rPr>
        <sz val="11"/>
        <color theme="1"/>
        <rFont val="맑은 고딕"/>
        <family val="2"/>
        <charset val="129"/>
      </rPr>
      <t>특성 보강 필요 확인
해결방안 수립 완료, revision및 이후 제품들 모두 반영 예정</t>
    </r>
    <phoneticPr fontId="1" type="noConversion"/>
  </si>
  <si>
    <t>ICC @ Active</t>
    <phoneticPr fontId="6" type="noConversion"/>
  </si>
  <si>
    <r>
      <t xml:space="preserve">Function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</si>
  <si>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10.3m</t>
    <phoneticPr fontId="1" type="noConversion"/>
  </si>
  <si>
    <t>VDD1P5_DIG</t>
    <phoneticPr fontId="1" type="noConversion"/>
  </si>
  <si>
    <t>VDD1P5_FLLA</t>
    <phoneticPr fontId="6" type="noConversion"/>
  </si>
  <si>
    <t>VDD1P5_FLLB</t>
    <phoneticPr fontId="6" type="noConversion"/>
  </si>
  <si>
    <t>DAC</t>
    <phoneticPr fontId="6" type="noConversion"/>
  </si>
  <si>
    <t>DAC_Mismatch(200 ~ 4095 @ 8mA)</t>
    <phoneticPr fontId="6" type="noConversion"/>
  </si>
  <si>
    <t>VDD dependency @ 1000 code</t>
    <phoneticPr fontId="6" type="noConversion"/>
  </si>
  <si>
    <t>Temperature Drift @ 1000 code</t>
    <phoneticPr fontId="6" type="noConversion"/>
  </si>
  <si>
    <r>
      <t xml:space="preserve">VDD </t>
    </r>
    <r>
      <rPr>
        <sz val="11"/>
        <color theme="1"/>
        <rFont val="맑은 고딕"/>
        <family val="2"/>
        <charset val="129"/>
      </rPr>
      <t>변화에 따른 전압 변화 측정 (3~5.5V)</t>
    </r>
    <phoneticPr fontId="6" type="noConversion"/>
  </si>
  <si>
    <t>35M</t>
    <phoneticPr fontId="6" type="noConversion"/>
  </si>
  <si>
    <t>20M</t>
    <phoneticPr fontId="6" type="noConversion"/>
  </si>
  <si>
    <t>35M (&gt; +20% / &gt; - 20%)</t>
    <phoneticPr fontId="6" type="noConversion"/>
  </si>
  <si>
    <t>30M</t>
    <phoneticPr fontId="1" type="noConversion"/>
  </si>
  <si>
    <t>40M</t>
    <phoneticPr fontId="1" type="noConversion"/>
  </si>
  <si>
    <t>Frequency Jump (35M -&gt; 40M)</t>
    <phoneticPr fontId="6" type="noConversion"/>
  </si>
  <si>
    <t>Frequency Jump (35M -&gt; 30M)</t>
    <phoneticPr fontId="6" type="noConversion"/>
  </si>
  <si>
    <t>8K</t>
    <phoneticPr fontId="1" type="noConversion"/>
  </si>
  <si>
    <t>&lt; 1%</t>
    <phoneticPr fontId="1" type="noConversion"/>
  </si>
  <si>
    <t>37M</t>
    <phoneticPr fontId="1" type="noConversion"/>
  </si>
  <si>
    <t>33M</t>
    <phoneticPr fontId="1" type="noConversion"/>
  </si>
  <si>
    <t>35M</t>
    <phoneticPr fontId="1" type="noConversion"/>
  </si>
  <si>
    <t>UVOV_VDD</t>
    <phoneticPr fontId="6" type="noConversion"/>
  </si>
  <si>
    <r>
      <t xml:space="preserve">VDD UVOV </t>
    </r>
    <r>
      <rPr>
        <sz val="11"/>
        <color theme="1"/>
        <rFont val="맑은 고딕"/>
        <family val="2"/>
        <charset val="129"/>
      </rPr>
      <t>전압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</si>
  <si>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UVOV_LDO</t>
    <phoneticPr fontId="6" type="noConversion"/>
  </si>
  <si>
    <r>
      <t xml:space="preserve">LDO UVOV </t>
    </r>
    <r>
      <rPr>
        <sz val="11"/>
        <color theme="1"/>
        <rFont val="맑은 고딕"/>
        <family val="2"/>
        <charset val="129"/>
      </rPr>
      <t>전압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</si>
  <si>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r>
      <rPr>
        <b/>
        <sz val="11"/>
        <color theme="1"/>
        <rFont val="Calibri"/>
        <family val="2"/>
      </rPr>
      <t xml:space="preserve">FLL </t>
    </r>
    <r>
      <rPr>
        <b/>
        <sz val="11"/>
        <color theme="1"/>
        <rFont val="맑은 고딕"/>
        <family val="2"/>
        <charset val="129"/>
      </rPr>
      <t>관련 연결 이슈가 있음.</t>
    </r>
    <r>
      <rPr>
        <sz val="11"/>
        <color theme="1"/>
        <rFont val="맑은 고딕"/>
        <family val="2"/>
        <charset val="129"/>
      </rPr>
      <t xml:space="preserve">
해당 이슈는 원인파악및 수정 완료
1. </t>
    </r>
    <r>
      <rPr>
        <sz val="11"/>
        <color theme="1"/>
        <rFont val="Calibri"/>
        <family val="2"/>
      </rPr>
      <t>FLLA , FLL</t>
    </r>
    <r>
      <rPr>
        <sz val="11"/>
        <color theme="1"/>
        <rFont val="맑은 고딕"/>
        <family val="2"/>
        <charset val="129"/>
      </rPr>
      <t xml:space="preserve">로 동작 불가 = 프리러닝으로 사용
2. </t>
    </r>
    <r>
      <rPr>
        <sz val="11"/>
        <color theme="1"/>
        <rFont val="Calibri"/>
        <family val="2"/>
      </rPr>
      <t xml:space="preserve">FLLA </t>
    </r>
    <r>
      <rPr>
        <sz val="11"/>
        <color theme="1"/>
        <rFont val="맑은 고딕"/>
        <family val="2"/>
        <charset val="129"/>
      </rPr>
      <t xml:space="preserve">분주 클록 확인 어려움, 원본으로 확인해야하나
</t>
    </r>
    <r>
      <rPr>
        <sz val="11"/>
        <color theme="1"/>
        <rFont val="Calibri"/>
        <family val="2"/>
      </rPr>
      <t xml:space="preserve">PAD </t>
    </r>
    <r>
      <rPr>
        <sz val="11"/>
        <color theme="1"/>
        <rFont val="맑은 고딕"/>
        <family val="2"/>
        <charset val="129"/>
      </rPr>
      <t>드라이빙이 어려운 상황 (35</t>
    </r>
    <r>
      <rPr>
        <sz val="11"/>
        <color theme="1"/>
        <rFont val="Calibri"/>
        <family val="2"/>
      </rPr>
      <t xml:space="preserve">M)
3. </t>
    </r>
    <r>
      <rPr>
        <sz val="11"/>
        <color theme="1"/>
        <rFont val="맑은 고딕"/>
        <family val="2"/>
        <charset val="129"/>
      </rPr>
      <t xml:space="preserve">임시로 </t>
    </r>
    <r>
      <rPr>
        <sz val="11"/>
        <color theme="1"/>
        <rFont val="Calibri"/>
        <family val="2"/>
      </rPr>
      <t>D1 port</t>
    </r>
    <r>
      <rPr>
        <sz val="11"/>
        <color theme="1"/>
        <rFont val="맑은 고딕"/>
        <family val="2"/>
        <charset val="129"/>
      </rPr>
      <t xml:space="preserve">로 </t>
    </r>
    <r>
      <rPr>
        <sz val="11"/>
        <color theme="1"/>
        <rFont val="Calibri"/>
        <family val="2"/>
      </rPr>
      <t>FLLB</t>
    </r>
    <r>
      <rPr>
        <sz val="11"/>
        <color theme="1"/>
        <rFont val="맑은 고딕"/>
        <family val="2"/>
        <charset val="129"/>
      </rPr>
      <t xml:space="preserve">는 간접 동작 확인 가능 (확인 완료)
FLLA/B는 완전히 같은 dB이기 때문에 연결 오류만 수정하면 될것으로 판단됨.
</t>
    </r>
    <phoneticPr fontId="1" type="noConversion"/>
  </si>
  <si>
    <t>jylee</t>
    <phoneticPr fontId="1" type="noConversion"/>
  </si>
  <si>
    <r>
      <t xml:space="preserve">1ch 3color </t>
    </r>
    <r>
      <rPr>
        <sz val="11"/>
        <color theme="1"/>
        <rFont val="맑은 고딕"/>
        <family val="2"/>
        <charset val="129"/>
      </rPr>
      <t>모드 없어짐</t>
    </r>
    <phoneticPr fontId="1" type="noConversion"/>
  </si>
  <si>
    <r>
      <rPr>
        <sz val="11"/>
        <color theme="1"/>
        <rFont val="맑은 고딕"/>
        <family val="2"/>
        <charset val="129"/>
      </rPr>
      <t xml:space="preserve">지그 코드에 </t>
    </r>
    <r>
      <rPr>
        <sz val="11"/>
        <color theme="1"/>
        <rFont val="Calibri"/>
        <family val="2"/>
      </rPr>
      <t>0x27</t>
    </r>
    <r>
      <rPr>
        <sz val="11"/>
        <color theme="1"/>
        <rFont val="맑은 고딕"/>
        <family val="2"/>
        <charset val="129"/>
      </rPr>
      <t xml:space="preserve">번지 </t>
    </r>
    <r>
      <rPr>
        <sz val="11"/>
        <color theme="1"/>
        <rFont val="Calibri"/>
        <family val="2"/>
      </rPr>
      <t>flt_gain = 1</t>
    </r>
    <r>
      <rPr>
        <sz val="11"/>
        <color theme="1"/>
        <rFont val="맑은 고딕"/>
        <family val="2"/>
        <charset val="129"/>
      </rPr>
      <t>로 되어있는걸 보면 
테스트를 했던거 같습니다.</t>
    </r>
    <phoneticPr fontId="1" type="noConversion"/>
  </si>
  <si>
    <t>당연 잘 됨 (Trim 많이 했음)</t>
    <phoneticPr fontId="1" type="noConversion"/>
  </si>
  <si>
    <r>
      <t>150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맑은 고딕"/>
        <family val="2"/>
        <charset val="129"/>
      </rPr>
      <t xml:space="preserve"> 6개 OK</t>
    </r>
    <r>
      <rPr>
        <sz val="11"/>
        <color theme="1"/>
        <rFont val="Calibri"/>
        <family val="2"/>
      </rPr>
      <t xml:space="preserve"> (Lab </t>
    </r>
    <r>
      <rPr>
        <sz val="11"/>
        <color theme="1"/>
        <rFont val="맑은 고딕"/>
        <family val="2"/>
        <charset val="129"/>
      </rPr>
      <t>챔버 테스트)</t>
    </r>
    <phoneticPr fontId="1" type="noConversion"/>
  </si>
  <si>
    <r>
      <t>-20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맑은 고딕"/>
        <family val="2"/>
        <charset val="129"/>
      </rPr>
      <t xml:space="preserve"> 10개 OK</t>
    </r>
    <r>
      <rPr>
        <sz val="11"/>
        <color theme="1"/>
        <rFont val="Calibri"/>
        <family val="2"/>
      </rPr>
      <t xml:space="preserve"> (Lab </t>
    </r>
    <r>
      <rPr>
        <sz val="11"/>
        <color theme="1"/>
        <rFont val="맑은 고딕"/>
        <family val="2"/>
        <charset val="129"/>
      </rPr>
      <t>챔버 테스트)
Lab 챔버 스팩: 최저 -20</t>
    </r>
    <r>
      <rPr>
        <sz val="11"/>
        <color theme="1"/>
        <rFont val="Segoe UI Symbol"/>
        <family val="2"/>
      </rPr>
      <t xml:space="preserve">℃ </t>
    </r>
    <r>
      <rPr>
        <sz val="11"/>
        <color theme="1"/>
        <rFont val="맑은 고딕"/>
        <family val="2"/>
        <charset val="129"/>
      </rPr>
      <t>~ 최고 150℃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</si>
</sst>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%"/>
    <numFmt numFmtId="177" formatCode="0.000_);[Red]\(0.000\)"/>
    <numFmt numFmtId="178" formatCode="0.000"/>
    <numFmt numFmtId="179" formatCode="0.000%"/>
    <numFmt numFmtId="180" formatCode="0.0000%"/>
    <numFmt numFmtId="181" formatCode="0.0"/>
    <numFmt numFmtId="182" formatCode="0.0000"/>
  </numFmts>
  <fonts count="17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b/>
      <sz val="11"/>
      <name val="Calibri"/>
      <family val="2"/>
    </font>
    <font>
      <b/>
      <sz val="11"/>
      <name val="맑은 고딕"/>
      <family val="3"/>
      <charset val="129"/>
    </font>
    <font>
      <sz val="11"/>
      <color theme="1"/>
      <name val="Calibri"/>
      <family val="2"/>
      <charset val="129"/>
    </font>
    <font>
      <sz val="11"/>
      <name val="Calibri"/>
      <family val="2"/>
    </font>
    <font>
      <u/>
      <sz val="11"/>
      <color theme="1"/>
      <name val="Calibri"/>
      <family val="2"/>
    </font>
    <font>
      <sz val="11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color theme="1"/>
      <name val="Segoe UI Symbo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</cellStyleXfs>
  <cellXfs count="276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0" xfId="1" applyNumberFormat="1" applyFont="1">
      <alignment vertical="center"/>
    </xf>
    <xf numFmtId="176" fontId="0" fillId="0" borderId="1" xfId="1" applyNumberFormat="1" applyFont="1" applyBorder="1">
      <alignment vertical="center"/>
    </xf>
    <xf numFmtId="0" fontId="0" fillId="0" borderId="2" xfId="0" applyBorder="1">
      <alignment vertical="center"/>
    </xf>
    <xf numFmtId="177" fontId="0" fillId="0" borderId="0" xfId="1" applyNumberFormat="1" applyFont="1" applyBorder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176" fontId="0" fillId="2" borderId="1" xfId="1" applyNumberFormat="1" applyFont="1" applyFill="1" applyBorder="1">
      <alignment vertical="center"/>
    </xf>
    <xf numFmtId="0" fontId="0" fillId="3" borderId="3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3" borderId="18" xfId="0" applyFill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3" borderId="22" xfId="0" applyFill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3" borderId="28" xfId="0" applyFill="1" applyBorder="1">
      <alignment vertical="center"/>
    </xf>
    <xf numFmtId="0" fontId="0" fillId="3" borderId="13" xfId="0" quotePrefix="1" applyFill="1" applyBorder="1">
      <alignment vertical="center"/>
    </xf>
    <xf numFmtId="0" fontId="0" fillId="0" borderId="29" xfId="0" applyBorder="1">
      <alignment vertical="center"/>
    </xf>
    <xf numFmtId="178" fontId="0" fillId="3" borderId="18" xfId="0" applyNumberFormat="1" applyFill="1" applyBorder="1">
      <alignment vertical="center"/>
    </xf>
    <xf numFmtId="178" fontId="0" fillId="3" borderId="8" xfId="0" applyNumberFormat="1" applyFill="1" applyBorder="1">
      <alignment vertical="center"/>
    </xf>
    <xf numFmtId="0" fontId="0" fillId="0" borderId="28" xfId="0" applyBorder="1">
      <alignment vertical="center"/>
    </xf>
    <xf numFmtId="10" fontId="0" fillId="0" borderId="19" xfId="1" applyNumberFormat="1" applyFont="1" applyBorder="1">
      <alignment vertical="center"/>
    </xf>
    <xf numFmtId="0" fontId="0" fillId="3" borderId="30" xfId="0" applyFill="1" applyBorder="1">
      <alignment vertical="center"/>
    </xf>
    <xf numFmtId="10" fontId="0" fillId="0" borderId="31" xfId="1" applyNumberFormat="1" applyFont="1" applyBorder="1">
      <alignment vertical="center"/>
    </xf>
    <xf numFmtId="10" fontId="0" fillId="0" borderId="9" xfId="1" applyNumberFormat="1" applyFont="1" applyBorder="1">
      <alignment vertical="center"/>
    </xf>
    <xf numFmtId="10" fontId="0" fillId="0" borderId="30" xfId="1" applyNumberFormat="1" applyFont="1" applyBorder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1" xfId="0" applyFill="1" applyBorder="1">
      <alignment vertical="center"/>
    </xf>
    <xf numFmtId="0" fontId="0" fillId="3" borderId="36" xfId="0" applyFill="1" applyBorder="1">
      <alignment vertical="center"/>
    </xf>
    <xf numFmtId="0" fontId="0" fillId="3" borderId="37" xfId="0" applyFill="1" applyBorder="1">
      <alignment vertical="center"/>
    </xf>
    <xf numFmtId="0" fontId="0" fillId="3" borderId="38" xfId="0" applyFill="1" applyBorder="1">
      <alignment vertical="center"/>
    </xf>
    <xf numFmtId="0" fontId="0" fillId="3" borderId="39" xfId="0" applyFill="1" applyBorder="1">
      <alignment vertical="center"/>
    </xf>
    <xf numFmtId="0" fontId="0" fillId="3" borderId="3" xfId="0" applyFill="1" applyBorder="1" applyAlignment="1">
      <alignment horizontal="left" vertical="center"/>
    </xf>
    <xf numFmtId="0" fontId="0" fillId="0" borderId="27" xfId="0" applyBorder="1">
      <alignment vertical="center"/>
    </xf>
    <xf numFmtId="0" fontId="0" fillId="0" borderId="5" xfId="0" quotePrefix="1" applyBorder="1">
      <alignment vertical="center"/>
    </xf>
    <xf numFmtId="0" fontId="0" fillId="3" borderId="18" xfId="0" applyFill="1" applyBorder="1" applyAlignment="1">
      <alignment horizontal="left" vertical="center"/>
    </xf>
    <xf numFmtId="0" fontId="0" fillId="0" borderId="15" xfId="0" quotePrefix="1" applyBorder="1">
      <alignment vertical="center"/>
    </xf>
    <xf numFmtId="178" fontId="0" fillId="0" borderId="15" xfId="0" applyNumberFormat="1" applyBorder="1">
      <alignment vertical="center"/>
    </xf>
    <xf numFmtId="179" fontId="0" fillId="0" borderId="15" xfId="1" applyNumberFormat="1" applyFont="1" applyBorder="1">
      <alignment vertical="center"/>
    </xf>
    <xf numFmtId="0" fontId="0" fillId="3" borderId="22" xfId="0" applyFill="1" applyBorder="1" applyAlignment="1">
      <alignment horizontal="left" vertical="center"/>
    </xf>
    <xf numFmtId="0" fontId="0" fillId="0" borderId="40" xfId="0" applyBorder="1">
      <alignment vertical="center"/>
    </xf>
    <xf numFmtId="0" fontId="0" fillId="0" borderId="41" xfId="0" quotePrefix="1" applyBorder="1">
      <alignment vertical="center"/>
    </xf>
    <xf numFmtId="0" fontId="0" fillId="0" borderId="42" xfId="0" applyBorder="1">
      <alignment vertical="center"/>
    </xf>
    <xf numFmtId="0" fontId="0" fillId="0" borderId="27" xfId="0" quotePrefix="1" applyBorder="1">
      <alignment vertical="center"/>
    </xf>
    <xf numFmtId="0" fontId="0" fillId="0" borderId="7" xfId="0" quotePrefix="1" applyBorder="1">
      <alignment vertical="center"/>
    </xf>
    <xf numFmtId="179" fontId="0" fillId="0" borderId="1" xfId="1" applyNumberFormat="1" applyFont="1" applyBorder="1">
      <alignment vertical="center"/>
    </xf>
    <xf numFmtId="179" fontId="0" fillId="0" borderId="40" xfId="1" applyNumberFormat="1" applyFont="1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0" borderId="28" xfId="0" quotePrefix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3" fillId="0" borderId="0" xfId="2"/>
    <xf numFmtId="0" fontId="3" fillId="0" borderId="0" xfId="2" applyAlignment="1">
      <alignment horizontal="center"/>
    </xf>
    <xf numFmtId="0" fontId="4" fillId="3" borderId="43" xfId="2" applyFont="1" applyFill="1" applyBorder="1" applyAlignment="1">
      <alignment horizontal="center" vertical="center"/>
    </xf>
    <xf numFmtId="0" fontId="4" fillId="0" borderId="44" xfId="2" applyFont="1" applyBorder="1" applyAlignment="1">
      <alignment horizontal="center" vertical="center"/>
    </xf>
    <xf numFmtId="0" fontId="5" fillId="0" borderId="43" xfId="2" applyFont="1" applyBorder="1" applyAlignment="1">
      <alignment horizontal="center" vertical="center"/>
    </xf>
    <xf numFmtId="0" fontId="4" fillId="0" borderId="0" xfId="2" applyFont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center" vertical="center"/>
    </xf>
    <xf numFmtId="0" fontId="4" fillId="0" borderId="46" xfId="2" applyFont="1" applyBorder="1" applyAlignment="1">
      <alignment horizontal="center" vertical="center"/>
    </xf>
    <xf numFmtId="0" fontId="7" fillId="0" borderId="46" xfId="2" applyFont="1" applyBorder="1" applyAlignment="1">
      <alignment horizontal="center" vertical="center"/>
    </xf>
    <xf numFmtId="0" fontId="4" fillId="0" borderId="47" xfId="2" applyFont="1" applyBorder="1" applyAlignment="1">
      <alignment horizontal="center" vertical="center"/>
    </xf>
    <xf numFmtId="0" fontId="4" fillId="0" borderId="48" xfId="2" applyFont="1" applyBorder="1" applyAlignment="1">
      <alignment horizontal="center" vertical="center"/>
    </xf>
    <xf numFmtId="0" fontId="4" fillId="0" borderId="41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49" xfId="2" applyFont="1" applyBorder="1" applyAlignment="1">
      <alignment horizontal="center" vertical="center"/>
    </xf>
    <xf numFmtId="0" fontId="10" fillId="0" borderId="49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50" xfId="2" applyFont="1" applyBorder="1" applyAlignment="1">
      <alignment horizontal="center" vertical="center"/>
    </xf>
    <xf numFmtId="0" fontId="4" fillId="0" borderId="51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40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5" fillId="0" borderId="44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 wrapText="1"/>
    </xf>
    <xf numFmtId="0" fontId="4" fillId="0" borderId="52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/>
    </xf>
    <xf numFmtId="0" fontId="4" fillId="0" borderId="23" xfId="2" applyFont="1" applyBorder="1" applyAlignment="1">
      <alignment vertical="center"/>
    </xf>
    <xf numFmtId="0" fontId="4" fillId="0" borderId="26" xfId="2" applyFont="1" applyBorder="1" applyAlignment="1">
      <alignment vertical="center"/>
    </xf>
    <xf numFmtId="0" fontId="4" fillId="0" borderId="25" xfId="2" applyFont="1" applyBorder="1" applyAlignment="1">
      <alignment vertical="center"/>
    </xf>
    <xf numFmtId="0" fontId="3" fillId="0" borderId="43" xfId="2" applyBorder="1" applyAlignment="1">
      <alignment vertical="center"/>
    </xf>
    <xf numFmtId="0" fontId="3" fillId="0" borderId="45" xfId="2" applyBorder="1" applyAlignment="1">
      <alignment horizontal="center" vertical="center"/>
    </xf>
    <xf numFmtId="0" fontId="3" fillId="0" borderId="37" xfId="2" applyBorder="1" applyAlignment="1">
      <alignment vertical="center"/>
    </xf>
    <xf numFmtId="0" fontId="3" fillId="0" borderId="39" xfId="2" applyBorder="1" applyAlignment="1">
      <alignment vertical="center"/>
    </xf>
    <xf numFmtId="0" fontId="3" fillId="0" borderId="45" xfId="2" applyBorder="1" applyAlignment="1">
      <alignment vertical="center"/>
    </xf>
    <xf numFmtId="0" fontId="3" fillId="0" borderId="37" xfId="2" applyBorder="1" applyAlignment="1">
      <alignment horizontal="center" vertical="center"/>
    </xf>
    <xf numFmtId="0" fontId="3" fillId="0" borderId="56" xfId="2" applyBorder="1" applyAlignment="1">
      <alignment horizontal="center" vertical="center"/>
    </xf>
    <xf numFmtId="179" fontId="0" fillId="0" borderId="0" xfId="3" applyNumberFormat="1" applyFont="1" applyAlignment="1"/>
    <xf numFmtId="180" fontId="0" fillId="0" borderId="0" xfId="3" applyNumberFormat="1" applyFont="1" applyAlignment="1"/>
    <xf numFmtId="0" fontId="10" fillId="0" borderId="51" xfId="2" applyFont="1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16" xfId="0" applyFill="1" applyBorder="1">
      <alignment vertical="center"/>
    </xf>
    <xf numFmtId="178" fontId="0" fillId="3" borderId="17" xfId="0" applyNumberFormat="1" applyFill="1" applyBorder="1">
      <alignment vertical="center"/>
    </xf>
    <xf numFmtId="10" fontId="0" fillId="0" borderId="16" xfId="1" applyNumberFormat="1" applyFont="1" applyBorder="1">
      <alignment vertical="center"/>
    </xf>
    <xf numFmtId="10" fontId="0" fillId="0" borderId="51" xfId="1" applyNumberFormat="1" applyFont="1" applyBorder="1">
      <alignment vertical="center"/>
    </xf>
    <xf numFmtId="10" fontId="0" fillId="0" borderId="13" xfId="1" applyNumberFormat="1" applyFont="1" applyBorder="1">
      <alignment vertical="center"/>
    </xf>
    <xf numFmtId="10" fontId="0" fillId="0" borderId="14" xfId="1" applyNumberFormat="1" applyFont="1" applyBorder="1">
      <alignment vertical="center"/>
    </xf>
    <xf numFmtId="178" fontId="0" fillId="3" borderId="21" xfId="0" applyNumberFormat="1" applyFill="1" applyBorder="1">
      <alignment vertical="center"/>
    </xf>
    <xf numFmtId="178" fontId="0" fillId="3" borderId="12" xfId="0" applyNumberFormat="1" applyFill="1" applyBorder="1">
      <alignment vertical="center"/>
    </xf>
    <xf numFmtId="10" fontId="0" fillId="2" borderId="16" xfId="1" applyNumberFormat="1" applyFont="1" applyFill="1" applyBorder="1">
      <alignment vertical="center"/>
    </xf>
    <xf numFmtId="10" fontId="0" fillId="2" borderId="51" xfId="1" applyNumberFormat="1" applyFont="1" applyFill="1" applyBorder="1">
      <alignment vertical="center"/>
    </xf>
    <xf numFmtId="10" fontId="0" fillId="2" borderId="13" xfId="1" applyNumberFormat="1" applyFont="1" applyFill="1" applyBorder="1">
      <alignment vertical="center"/>
    </xf>
    <xf numFmtId="10" fontId="0" fillId="2" borderId="14" xfId="1" applyNumberFormat="1" applyFont="1" applyFill="1" applyBorder="1">
      <alignment vertical="center"/>
    </xf>
    <xf numFmtId="10" fontId="0" fillId="2" borderId="57" xfId="1" applyNumberFormat="1" applyFont="1" applyFill="1" applyBorder="1">
      <alignment vertical="center"/>
    </xf>
    <xf numFmtId="10" fontId="0" fillId="2" borderId="55" xfId="1" applyNumberFormat="1" applyFont="1" applyFill="1" applyBorder="1">
      <alignment vertical="center"/>
    </xf>
    <xf numFmtId="0" fontId="0" fillId="3" borderId="43" xfId="0" applyFill="1" applyBorder="1">
      <alignment vertical="center"/>
    </xf>
    <xf numFmtId="0" fontId="0" fillId="3" borderId="45" xfId="0" applyFill="1" applyBorder="1">
      <alignment vertical="center"/>
    </xf>
    <xf numFmtId="0" fontId="0" fillId="3" borderId="56" xfId="0" applyFill="1" applyBorder="1">
      <alignment vertical="center"/>
    </xf>
    <xf numFmtId="0" fontId="0" fillId="3" borderId="13" xfId="0" applyFill="1" applyBorder="1" applyAlignment="1">
      <alignment horizontal="left" vertical="center"/>
    </xf>
    <xf numFmtId="0" fontId="0" fillId="0" borderId="16" xfId="0" quotePrefix="1" applyBorder="1">
      <alignment vertical="center"/>
    </xf>
    <xf numFmtId="0" fontId="0" fillId="0" borderId="29" xfId="0" quotePrefix="1" applyBorder="1">
      <alignment vertical="center"/>
    </xf>
    <xf numFmtId="0" fontId="0" fillId="0" borderId="17" xfId="0" quotePrefix="1" applyBorder="1">
      <alignment vertical="center"/>
    </xf>
    <xf numFmtId="0" fontId="0" fillId="0" borderId="58" xfId="0" applyBorder="1">
      <alignment vertical="center"/>
    </xf>
    <xf numFmtId="0" fontId="0" fillId="0" borderId="25" xfId="0" quotePrefix="1" applyBorder="1">
      <alignment vertical="center"/>
    </xf>
    <xf numFmtId="0" fontId="0" fillId="0" borderId="40" xfId="0" quotePrefix="1" applyBorder="1">
      <alignment vertical="center"/>
    </xf>
    <xf numFmtId="0" fontId="0" fillId="0" borderId="26" xfId="0" quotePrefix="1" applyBorder="1">
      <alignment vertical="center"/>
    </xf>
    <xf numFmtId="0" fontId="0" fillId="0" borderId="59" xfId="0" applyBorder="1">
      <alignment vertical="center"/>
    </xf>
    <xf numFmtId="181" fontId="0" fillId="0" borderId="6" xfId="0" applyNumberFormat="1" applyBorder="1">
      <alignment vertical="center"/>
    </xf>
    <xf numFmtId="178" fontId="0" fillId="0" borderId="27" xfId="0" applyNumberFormat="1" applyBorder="1">
      <alignment vertical="center"/>
    </xf>
    <xf numFmtId="179" fontId="0" fillId="0" borderId="7" xfId="1" applyNumberFormat="1" applyFont="1" applyBorder="1">
      <alignment vertical="center"/>
    </xf>
    <xf numFmtId="0" fontId="0" fillId="0" borderId="34" xfId="0" applyBorder="1">
      <alignment vertical="center"/>
    </xf>
    <xf numFmtId="181" fontId="0" fillId="0" borderId="2" xfId="0" applyNumberFormat="1" applyBorder="1">
      <alignment vertical="center"/>
    </xf>
    <xf numFmtId="179" fontId="0" fillId="0" borderId="21" xfId="1" applyNumberFormat="1" applyFont="1" applyBorder="1">
      <alignment vertical="center"/>
    </xf>
    <xf numFmtId="0" fontId="0" fillId="0" borderId="31" xfId="0" applyBorder="1">
      <alignment vertical="center"/>
    </xf>
    <xf numFmtId="182" fontId="0" fillId="0" borderId="2" xfId="0" applyNumberFormat="1" applyBorder="1">
      <alignment vertical="center"/>
    </xf>
    <xf numFmtId="181" fontId="0" fillId="0" borderId="2" xfId="0" quotePrefix="1" applyNumberFormat="1" applyBorder="1">
      <alignment vertical="center"/>
    </xf>
    <xf numFmtId="0" fontId="0" fillId="0" borderId="1" xfId="0" quotePrefix="1" applyBorder="1">
      <alignment vertical="center"/>
    </xf>
    <xf numFmtId="0" fontId="0" fillId="0" borderId="21" xfId="0" quotePrefix="1" applyBorder="1">
      <alignment vertical="center"/>
    </xf>
    <xf numFmtId="0" fontId="0" fillId="0" borderId="11" xfId="0" quotePrefix="1" applyBorder="1">
      <alignment vertical="center"/>
    </xf>
    <xf numFmtId="0" fontId="0" fillId="0" borderId="12" xfId="0" quotePrefix="1" applyBorder="1">
      <alignment vertical="center"/>
    </xf>
    <xf numFmtId="0" fontId="0" fillId="0" borderId="30" xfId="0" quotePrefix="1" applyBorder="1">
      <alignment vertical="center"/>
    </xf>
    <xf numFmtId="178" fontId="0" fillId="0" borderId="29" xfId="0" applyNumberFormat="1" applyBorder="1">
      <alignment vertical="center"/>
    </xf>
    <xf numFmtId="179" fontId="0" fillId="0" borderId="17" xfId="1" applyNumberFormat="1" applyFont="1" applyBorder="1">
      <alignment vertical="center"/>
    </xf>
    <xf numFmtId="0" fontId="0" fillId="0" borderId="2" xfId="0" quotePrefix="1" applyBorder="1">
      <alignment vertical="center"/>
    </xf>
    <xf numFmtId="0" fontId="0" fillId="0" borderId="30" xfId="0" applyBorder="1">
      <alignment vertical="center"/>
    </xf>
    <xf numFmtId="0" fontId="0" fillId="3" borderId="54" xfId="0" applyFill="1" applyBorder="1">
      <alignment vertical="center"/>
    </xf>
    <xf numFmtId="0" fontId="0" fillId="3" borderId="60" xfId="0" applyFill="1" applyBorder="1">
      <alignment vertical="center"/>
    </xf>
    <xf numFmtId="0" fontId="0" fillId="3" borderId="61" xfId="0" applyFill="1" applyBorder="1">
      <alignment vertical="center"/>
    </xf>
    <xf numFmtId="0" fontId="0" fillId="3" borderId="62" xfId="0" applyFill="1" applyBorder="1">
      <alignment vertical="center"/>
    </xf>
    <xf numFmtId="0" fontId="0" fillId="3" borderId="63" xfId="0" applyFill="1" applyBorder="1">
      <alignment vertical="center"/>
    </xf>
    <xf numFmtId="0" fontId="5" fillId="0" borderId="65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4" fillId="2" borderId="31" xfId="2" applyFont="1" applyFill="1" applyBorder="1" applyAlignment="1">
      <alignment horizontal="center" vertical="center"/>
    </xf>
    <xf numFmtId="0" fontId="4" fillId="0" borderId="31" xfId="2" applyFont="1" applyBorder="1" applyAlignment="1">
      <alignment horizontal="center" vertical="center" wrapText="1"/>
    </xf>
    <xf numFmtId="0" fontId="3" fillId="0" borderId="31" xfId="2" applyBorder="1" applyAlignment="1">
      <alignment horizontal="center" vertical="center"/>
    </xf>
    <xf numFmtId="0" fontId="3" fillId="0" borderId="59" xfId="2" applyBorder="1" applyAlignment="1">
      <alignment vertical="center"/>
    </xf>
    <xf numFmtId="0" fontId="8" fillId="4" borderId="3" xfId="2" applyFont="1" applyFill="1" applyBorder="1" applyAlignment="1">
      <alignment horizontal="center" vertical="center"/>
    </xf>
    <xf numFmtId="0" fontId="11" fillId="4" borderId="18" xfId="2" applyFont="1" applyFill="1" applyBorder="1" applyAlignment="1">
      <alignment horizontal="center" vertical="center"/>
    </xf>
    <xf numFmtId="0" fontId="9" fillId="5" borderId="18" xfId="2" applyFont="1" applyFill="1" applyBorder="1" applyAlignment="1">
      <alignment horizontal="center" vertical="center"/>
    </xf>
    <xf numFmtId="0" fontId="8" fillId="4" borderId="18" xfId="2" applyFont="1" applyFill="1" applyBorder="1" applyAlignment="1">
      <alignment horizontal="center" vertical="center"/>
    </xf>
    <xf numFmtId="0" fontId="8" fillId="4" borderId="8" xfId="2" applyFont="1" applyFill="1" applyBorder="1" applyAlignment="1">
      <alignment horizontal="center" vertical="center"/>
    </xf>
    <xf numFmtId="0" fontId="11" fillId="4" borderId="22" xfId="2" applyFont="1" applyFill="1" applyBorder="1" applyAlignment="1">
      <alignment horizontal="center" vertical="center"/>
    </xf>
    <xf numFmtId="0" fontId="11" fillId="4" borderId="8" xfId="2" applyFont="1" applyFill="1" applyBorder="1" applyAlignment="1">
      <alignment horizontal="center" vertical="center"/>
    </xf>
    <xf numFmtId="0" fontId="4" fillId="4" borderId="18" xfId="2" applyFont="1" applyFill="1" applyBorder="1" applyAlignment="1">
      <alignment horizontal="center" vertical="center"/>
    </xf>
    <xf numFmtId="0" fontId="4" fillId="4" borderId="22" xfId="2" applyFont="1" applyFill="1" applyBorder="1" applyAlignment="1">
      <alignment vertical="center"/>
    </xf>
    <xf numFmtId="0" fontId="9" fillId="5" borderId="8" xfId="2" applyFont="1" applyFill="1" applyBorder="1" applyAlignment="1">
      <alignment horizontal="center" vertical="center"/>
    </xf>
    <xf numFmtId="0" fontId="5" fillId="0" borderId="67" xfId="2" applyFont="1" applyBorder="1" applyAlignment="1">
      <alignment horizontal="center" vertical="center"/>
    </xf>
    <xf numFmtId="0" fontId="4" fillId="0" borderId="58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35" xfId="2" applyFont="1" applyBorder="1" applyAlignment="1">
      <alignment horizontal="center" vertical="center"/>
    </xf>
    <xf numFmtId="0" fontId="4" fillId="0" borderId="65" xfId="2" applyFont="1" applyBorder="1" applyAlignment="1">
      <alignment horizontal="center" vertical="center"/>
    </xf>
    <xf numFmtId="0" fontId="4" fillId="0" borderId="54" xfId="2" applyFont="1" applyBorder="1" applyAlignment="1">
      <alignment horizontal="center" vertical="center"/>
    </xf>
    <xf numFmtId="0" fontId="4" fillId="0" borderId="68" xfId="2" applyFont="1" applyBorder="1" applyAlignment="1">
      <alignment horizontal="center" vertical="center"/>
    </xf>
    <xf numFmtId="49" fontId="4" fillId="0" borderId="48" xfId="2" applyNumberFormat="1" applyFont="1" applyBorder="1" applyAlignment="1">
      <alignment horizontal="center" vertical="center"/>
    </xf>
    <xf numFmtId="0" fontId="4" fillId="0" borderId="42" xfId="2" applyFont="1" applyBorder="1" applyAlignment="1">
      <alignment horizontal="center" vertical="center"/>
    </xf>
    <xf numFmtId="0" fontId="8" fillId="4" borderId="54" xfId="2" applyFont="1" applyFill="1" applyBorder="1" applyAlignment="1">
      <alignment horizontal="center" vertical="center"/>
    </xf>
    <xf numFmtId="0" fontId="4" fillId="0" borderId="66" xfId="2" applyFont="1" applyBorder="1" applyAlignment="1">
      <alignment horizontal="center" vertical="center"/>
    </xf>
    <xf numFmtId="0" fontId="4" fillId="4" borderId="13" xfId="2" applyFont="1" applyFill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4" fillId="2" borderId="31" xfId="2" applyFont="1" applyFill="1" applyBorder="1" applyAlignment="1">
      <alignment horizontal="center" vertical="center" wrapText="1"/>
    </xf>
    <xf numFmtId="0" fontId="10" fillId="0" borderId="18" xfId="2" applyFont="1" applyBorder="1" applyAlignment="1">
      <alignment horizontal="center" vertical="center"/>
    </xf>
    <xf numFmtId="0" fontId="10" fillId="0" borderId="52" xfId="2" applyFont="1" applyBorder="1" applyAlignment="1">
      <alignment horizontal="center" vertical="center"/>
    </xf>
    <xf numFmtId="0" fontId="3" fillId="0" borderId="18" xfId="2" applyBorder="1"/>
    <xf numFmtId="0" fontId="4" fillId="4" borderId="65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5" fillId="0" borderId="45" xfId="2" applyFont="1" applyBorder="1" applyAlignment="1">
      <alignment horizontal="center" vertical="center"/>
    </xf>
    <xf numFmtId="0" fontId="5" fillId="0" borderId="37" xfId="2" applyFont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0" fontId="4" fillId="2" borderId="35" xfId="2" applyFont="1" applyFill="1" applyBorder="1" applyAlignment="1">
      <alignment horizontal="center" vertical="center" wrapText="1"/>
    </xf>
    <xf numFmtId="0" fontId="4" fillId="2" borderId="54" xfId="2" applyFont="1" applyFill="1" applyBorder="1" applyAlignment="1">
      <alignment horizontal="center" vertical="center"/>
    </xf>
    <xf numFmtId="0" fontId="4" fillId="2" borderId="55" xfId="2" applyFont="1" applyFill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35" xfId="2" applyFont="1" applyBorder="1" applyAlignment="1">
      <alignment horizontal="center" vertical="center"/>
    </xf>
    <xf numFmtId="0" fontId="5" fillId="0" borderId="54" xfId="2" applyFont="1" applyBorder="1" applyAlignment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4" fillId="0" borderId="53" xfId="2" applyFont="1" applyBorder="1" applyAlignment="1">
      <alignment horizontal="center" vertical="center" wrapText="1"/>
    </xf>
    <xf numFmtId="0" fontId="4" fillId="0" borderId="46" xfId="2" applyFont="1" applyBorder="1" applyAlignment="1">
      <alignment horizontal="center" vertical="center" wrapText="1"/>
    </xf>
    <xf numFmtId="0" fontId="4" fillId="0" borderId="51" xfId="2" applyFont="1" applyBorder="1" applyAlignment="1">
      <alignment horizontal="center" vertical="center"/>
    </xf>
    <xf numFmtId="0" fontId="14" fillId="3" borderId="45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/>
    </xf>
    <xf numFmtId="0" fontId="14" fillId="3" borderId="64" xfId="0" applyFont="1" applyFill="1" applyBorder="1" applyAlignment="1">
      <alignment horizontal="center" vertical="center"/>
    </xf>
    <xf numFmtId="0" fontId="14" fillId="3" borderId="56" xfId="0" applyFont="1" applyFill="1" applyBorder="1" applyAlignment="1">
      <alignment horizontal="center" vertical="center"/>
    </xf>
    <xf numFmtId="0" fontId="4" fillId="2" borderId="65" xfId="2" applyFont="1" applyFill="1" applyBorder="1" applyAlignment="1">
      <alignment horizontal="center" vertical="center" wrapText="1"/>
    </xf>
    <xf numFmtId="0" fontId="4" fillId="2" borderId="66" xfId="2" applyFont="1" applyFill="1" applyBorder="1" applyAlignment="1">
      <alignment horizontal="center" vertical="center"/>
    </xf>
    <xf numFmtId="0" fontId="4" fillId="2" borderId="58" xfId="2" applyFont="1" applyFill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49" xfId="2" applyFont="1" applyBorder="1" applyAlignment="1">
      <alignment horizontal="center" vertical="center"/>
    </xf>
    <xf numFmtId="0" fontId="4" fillId="0" borderId="50" xfId="2" applyFont="1" applyBorder="1" applyAlignment="1">
      <alignment horizontal="center" vertical="center"/>
    </xf>
    <xf numFmtId="0" fontId="5" fillId="0" borderId="53" xfId="2" applyFont="1" applyBorder="1" applyAlignment="1">
      <alignment horizontal="center" vertical="center"/>
    </xf>
    <xf numFmtId="0" fontId="5" fillId="0" borderId="46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4" fillId="0" borderId="53" xfId="2" applyFont="1" applyBorder="1" applyAlignment="1">
      <alignment horizontal="center" vertical="center"/>
    </xf>
    <xf numFmtId="0" fontId="10" fillId="0" borderId="52" xfId="2" applyFont="1" applyBorder="1" applyAlignment="1">
      <alignment horizontal="center" vertical="center" wrapText="1"/>
    </xf>
    <xf numFmtId="0" fontId="7" fillId="0" borderId="51" xfId="2" applyFont="1" applyBorder="1" applyAlignment="1">
      <alignment horizontal="center" vertical="center"/>
    </xf>
    <xf numFmtId="0" fontId="4" fillId="0" borderId="49" xfId="2" quotePrefix="1" applyFont="1" applyBorder="1" applyAlignment="1">
      <alignment horizontal="center" vertical="center" wrapText="1"/>
    </xf>
  </cellXfs>
  <cellStyles count="4">
    <cellStyle name="백분율" xfId="1" builtinId="5"/>
    <cellStyle name="백분율 2" xfId="3" xr:uid="{6C563100-6D34-4480-A2D5-BB3533AF886C}"/>
    <cellStyle name="표준" xfId="0" builtinId="0"/>
    <cellStyle name="표준 2" xfId="2" xr:uid="{B05A04CE-737A-4353-AAC5-9BD27E99E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800" b="1" i="0" baseline="0"/>
              <a:t>전류 편차</a:t>
            </a:r>
            <a:r>
              <a:rPr lang="en-US" altLang="ko-KR" sz="2800" b="1" i="0" baseline="0"/>
              <a:t>%(IC:5EA CH:60EA)</a:t>
            </a:r>
            <a:endParaRPr lang="ko-KR" altLang="en-US" sz="2800" b="1" i="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'전류편차_24mA(절대값기준)'!$BP$7</c:f>
              <c:strCache>
                <c:ptCount val="1"/>
                <c:pt idx="0">
                  <c:v>IC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'전류편차_24mA(절대값기준)'!$BP$22:$BP$262</c:f>
              <c:numCache>
                <c:formatCode>0.0%</c:formatCode>
                <c:ptCount val="241"/>
                <c:pt idx="0">
                  <c:v>5.3750000000000742E-3</c:v>
                </c:pt>
                <c:pt idx="1">
                  <c:v>4.2499999999999344E-3</c:v>
                </c:pt>
                <c:pt idx="2">
                  <c:v>2.5166666666667317E-3</c:v>
                </c:pt>
                <c:pt idx="3">
                  <c:v>9.9999999999986385E-4</c:v>
                </c:pt>
                <c:pt idx="4">
                  <c:v>-1.0073529411764135E-3</c:v>
                </c:pt>
                <c:pt idx="5">
                  <c:v>-2.1597222222222035E-3</c:v>
                </c:pt>
                <c:pt idx="6">
                  <c:v>-1.9934210526315931E-3</c:v>
                </c:pt>
                <c:pt idx="7">
                  <c:v>-2.4124999999999815E-3</c:v>
                </c:pt>
                <c:pt idx="8">
                  <c:v>-2.2500000000000111E-3</c:v>
                </c:pt>
                <c:pt idx="9">
                  <c:v>-1.5852272727272534E-3</c:v>
                </c:pt>
                <c:pt idx="10">
                  <c:v>-1.9673913043478895E-3</c:v>
                </c:pt>
                <c:pt idx="11">
                  <c:v>-1.843750000000086E-3</c:v>
                </c:pt>
                <c:pt idx="12">
                  <c:v>-1.2750000000001571E-3</c:v>
                </c:pt>
                <c:pt idx="13">
                  <c:v>-1.1874999999999802E-3</c:v>
                </c:pt>
                <c:pt idx="14">
                  <c:v>-2.3703703703704219E-3</c:v>
                </c:pt>
                <c:pt idx="15">
                  <c:v>-3.0624999999999819E-3</c:v>
                </c:pt>
                <c:pt idx="16">
                  <c:v>-3.7068965517240552E-3</c:v>
                </c:pt>
                <c:pt idx="17">
                  <c:v>-3.1708333333333154E-3</c:v>
                </c:pt>
                <c:pt idx="18">
                  <c:v>-3.770161290322665E-3</c:v>
                </c:pt>
                <c:pt idx="19">
                  <c:v>-3.9765625000000616E-3</c:v>
                </c:pt>
                <c:pt idx="20">
                  <c:v>-4.1704545454545857E-3</c:v>
                </c:pt>
                <c:pt idx="21">
                  <c:v>-6.3602941176470066E-3</c:v>
                </c:pt>
                <c:pt idx="22">
                  <c:v>-5.8250000000000021E-3</c:v>
                </c:pt>
                <c:pt idx="23">
                  <c:v>-4.6874999999999833E-3</c:v>
                </c:pt>
                <c:pt idx="24">
                  <c:v>-4.2263513513513852E-3</c:v>
                </c:pt>
                <c:pt idx="25">
                  <c:v>-4.0888157894737338E-3</c:v>
                </c:pt>
                <c:pt idx="26">
                  <c:v>-3.3749999999999987E-3</c:v>
                </c:pt>
                <c:pt idx="27">
                  <c:v>-3.2656250000000137E-3</c:v>
                </c:pt>
                <c:pt idx="28">
                  <c:v>-3.1615853658536865E-3</c:v>
                </c:pt>
                <c:pt idx="29">
                  <c:v>-3.0625000000000418E-3</c:v>
                </c:pt>
                <c:pt idx="30">
                  <c:v>-3.2325581395349101E-3</c:v>
                </c:pt>
                <c:pt idx="31">
                  <c:v>-3.3948863636363747E-3</c:v>
                </c:pt>
                <c:pt idx="32">
                  <c:v>-3.2972222222222465E-3</c:v>
                </c:pt>
                <c:pt idx="33">
                  <c:v>-3.4510869565216391E-3</c:v>
                </c:pt>
                <c:pt idx="34">
                  <c:v>-3.5984042553192518E-3</c:v>
                </c:pt>
                <c:pt idx="35">
                  <c:v>-3.2656249999999292E-3</c:v>
                </c:pt>
                <c:pt idx="36">
                  <c:v>-3.4107142857142036E-3</c:v>
                </c:pt>
                <c:pt idx="37">
                  <c:v>-3.5500000000001082E-3</c:v>
                </c:pt>
                <c:pt idx="38">
                  <c:v>-3.6838235294118587E-3</c:v>
                </c:pt>
                <c:pt idx="39">
                  <c:v>-3.3749999999999336E-3</c:v>
                </c:pt>
                <c:pt idx="40">
                  <c:v>-2.8632075471699001E-3</c:v>
                </c:pt>
                <c:pt idx="41">
                  <c:v>-2.7916666666666719E-3</c:v>
                </c:pt>
                <c:pt idx="42">
                  <c:v>-2.722727272727197E-3</c:v>
                </c:pt>
                <c:pt idx="43">
                  <c:v>-2.4531250000001392E-3</c:v>
                </c:pt>
                <c:pt idx="44">
                  <c:v>-2.1929824561403429E-3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-2.0333333333332725E-3</c:v>
                </c:pt>
                <c:pt idx="48">
                  <c:v>-1.9836065573769165E-3</c:v>
                </c:pt>
                <c:pt idx="49">
                  <c:v>-2.1189516129032477E-3</c:v>
                </c:pt>
                <c:pt idx="50">
                  <c:v>-2.2500000000000111E-3</c:v>
                </c:pt>
                <c:pt idx="51">
                  <c:v>-2.376953125000001E-3</c:v>
                </c:pt>
                <c:pt idx="52">
                  <c:v>-2.3250000000000878E-3</c:v>
                </c:pt>
                <c:pt idx="53">
                  <c:v>-2.4469696969696211E-3</c:v>
                </c:pt>
                <c:pt idx="54">
                  <c:v>-2.3955223880597109E-3</c:v>
                </c:pt>
                <c:pt idx="55">
                  <c:v>-2.1783088235294485E-3</c:v>
                </c:pt>
                <c:pt idx="56">
                  <c:v>-1.6376811594202431E-3</c:v>
                </c:pt>
                <c:pt idx="57">
                  <c:v>-1.7625000000000889E-3</c:v>
                </c:pt>
                <c:pt idx="58">
                  <c:v>-1.7235915492957998E-3</c:v>
                </c:pt>
                <c:pt idx="59">
                  <c:v>-1.6857638888888521E-3</c:v>
                </c:pt>
                <c:pt idx="60">
                  <c:v>-1.493150684931496E-3</c:v>
                </c:pt>
                <c:pt idx="61">
                  <c:v>-1.4594594594593887E-3</c:v>
                </c:pt>
                <c:pt idx="62">
                  <c:v>-1.578333333333255E-3</c:v>
                </c:pt>
                <c:pt idx="63">
                  <c:v>-1.5444078947368391E-3</c:v>
                </c:pt>
                <c:pt idx="64">
                  <c:v>-1.5113636363635759E-3</c:v>
                </c:pt>
                <c:pt idx="65">
                  <c:v>-1.6249999999999321E-3</c:v>
                </c:pt>
                <c:pt idx="66">
                  <c:v>-1.8797468354430108E-3</c:v>
                </c:pt>
                <c:pt idx="67">
                  <c:v>-2.1281250000000128E-3</c:v>
                </c:pt>
                <c:pt idx="68">
                  <c:v>-2.2299382716048184E-3</c:v>
                </c:pt>
                <c:pt idx="69">
                  <c:v>-2.3292682926829233E-3</c:v>
                </c:pt>
                <c:pt idx="70">
                  <c:v>-2.5632530120482276E-3</c:v>
                </c:pt>
                <c:pt idx="71">
                  <c:v>-2.2500000000000111E-3</c:v>
                </c:pt>
                <c:pt idx="72">
                  <c:v>-2.0779411764706214E-3</c:v>
                </c:pt>
                <c:pt idx="73">
                  <c:v>-2.1744186046511881E-3</c:v>
                </c:pt>
                <c:pt idx="74">
                  <c:v>-1.8764367816091979E-3</c:v>
                </c:pt>
                <c:pt idx="75">
                  <c:v>-1.8437499999999522E-3</c:v>
                </c:pt>
                <c:pt idx="76">
                  <c:v>-1.811797752809005E-3</c:v>
                </c:pt>
                <c:pt idx="77">
                  <c:v>-1.7805555555556346E-3</c:v>
                </c:pt>
                <c:pt idx="78">
                  <c:v>-1.4999999999999458E-3</c:v>
                </c:pt>
                <c:pt idx="79">
                  <c:v>-1.4728260869564199E-3</c:v>
                </c:pt>
                <c:pt idx="80">
                  <c:v>-1.4462365591397452E-3</c:v>
                </c:pt>
                <c:pt idx="81">
                  <c:v>-1.5412234042554876E-3</c:v>
                </c:pt>
                <c:pt idx="82">
                  <c:v>-1.6342105263159495E-3</c:v>
                </c:pt>
                <c:pt idx="83">
                  <c:v>-1.6067708333333403E-3</c:v>
                </c:pt>
                <c:pt idx="84">
                  <c:v>-1.9317010309279135E-3</c:v>
                </c:pt>
                <c:pt idx="85">
                  <c:v>-2.017857142857008E-3</c:v>
                </c:pt>
                <c:pt idx="86">
                  <c:v>-2.1022727272725873E-3</c:v>
                </c:pt>
                <c:pt idx="87">
                  <c:v>-1.7300000000001069E-3</c:v>
                </c:pt>
                <c:pt idx="88">
                  <c:v>-1.3650990099009393E-3</c:v>
                </c:pt>
                <c:pt idx="89">
                  <c:v>-1.3419117647058875E-3</c:v>
                </c:pt>
                <c:pt idx="90">
                  <c:v>-9.8786407766995052E-4</c:v>
                </c:pt>
                <c:pt idx="91">
                  <c:v>-1.1874999999999802E-3</c:v>
                </c:pt>
                <c:pt idx="92">
                  <c:v>-1.2749999999999745E-3</c:v>
                </c:pt>
                <c:pt idx="93">
                  <c:v>-1.2535377358490845E-3</c:v>
                </c:pt>
                <c:pt idx="94">
                  <c:v>-1.3387850467289936E-3</c:v>
                </c:pt>
                <c:pt idx="95">
                  <c:v>-1.3171296296297036E-3</c:v>
                </c:pt>
                <c:pt idx="96">
                  <c:v>-1.4002293577980471E-3</c:v>
                </c:pt>
                <c:pt idx="97">
                  <c:v>-1.4818181818180591E-3</c:v>
                </c:pt>
                <c:pt idx="98">
                  <c:v>-1.4594594594595706E-3</c:v>
                </c:pt>
                <c:pt idx="99">
                  <c:v>-1.6406250000000483E-3</c:v>
                </c:pt>
                <c:pt idx="100">
                  <c:v>-1.8185840707964464E-3</c:v>
                </c:pt>
                <c:pt idx="101">
                  <c:v>-2.2927631578946736E-3</c:v>
                </c:pt>
                <c:pt idx="102">
                  <c:v>-2.3630434782608016E-3</c:v>
                </c:pt>
                <c:pt idx="103">
                  <c:v>-2.0398706896551425E-3</c:v>
                </c:pt>
                <c:pt idx="104">
                  <c:v>-2.0138888888889075E-3</c:v>
                </c:pt>
                <c:pt idx="105">
                  <c:v>-1.988347457627185E-3</c:v>
                </c:pt>
                <c:pt idx="106">
                  <c:v>-1.9632352941175908E-3</c:v>
                </c:pt>
                <c:pt idx="107">
                  <c:v>-1.8437500000000439E-3</c:v>
                </c:pt>
                <c:pt idx="108">
                  <c:v>-2.0082644628099037E-3</c:v>
                </c:pt>
                <c:pt idx="109">
                  <c:v>-2.0768442622950633E-3</c:v>
                </c:pt>
                <c:pt idx="110">
                  <c:v>-2.144308943089571E-3</c:v>
                </c:pt>
                <c:pt idx="111">
                  <c:v>-2.1189516129032477E-3</c:v>
                </c:pt>
                <c:pt idx="112">
                  <c:v>-2.0940000000000667E-3</c:v>
                </c:pt>
                <c:pt idx="113">
                  <c:v>-2.1597222222221233E-3</c:v>
                </c:pt>
                <c:pt idx="114">
                  <c:v>-2.1348425196849857E-3</c:v>
                </c:pt>
                <c:pt idx="115">
                  <c:v>-2.1992187500000995E-3</c:v>
                </c:pt>
                <c:pt idx="116">
                  <c:v>-2.5271317829458403E-3</c:v>
                </c:pt>
                <c:pt idx="117">
                  <c:v>-2.6750000000000493E-3</c:v>
                </c:pt>
                <c:pt idx="118">
                  <c:v>-3.1679389312976678E-3</c:v>
                </c:pt>
                <c:pt idx="119">
                  <c:v>-2.8778409090909006E-3</c:v>
                </c:pt>
                <c:pt idx="120">
                  <c:v>-2.8486842105261978E-3</c:v>
                </c:pt>
                <c:pt idx="121">
                  <c:v>-2.6501865671641981E-3</c:v>
                </c:pt>
                <c:pt idx="122">
                  <c:v>-2.623148148148209E-3</c:v>
                </c:pt>
                <c:pt idx="123">
                  <c:v>-2.5965073529411299E-3</c:v>
                </c:pt>
                <c:pt idx="124">
                  <c:v>-2.7363138686131894E-3</c:v>
                </c:pt>
                <c:pt idx="125">
                  <c:v>-2.7092391304347277E-3</c:v>
                </c:pt>
                <c:pt idx="126">
                  <c:v>-2.6825539568345186E-3</c:v>
                </c:pt>
                <c:pt idx="127">
                  <c:v>-2.8187500000000807E-3</c:v>
                </c:pt>
                <c:pt idx="128">
                  <c:v>-2.7109929078014401E-3</c:v>
                </c:pt>
                <c:pt idx="129">
                  <c:v>-2.6848591549296389E-3</c:v>
                </c:pt>
                <c:pt idx="130">
                  <c:v>-2.7386363636362791E-3</c:v>
                </c:pt>
                <c:pt idx="131">
                  <c:v>-2.7916666666665782E-3</c:v>
                </c:pt>
                <c:pt idx="132">
                  <c:v>-2.7655172413792615E-3</c:v>
                </c:pt>
                <c:pt idx="133">
                  <c:v>-3.0513698630137928E-3</c:v>
                </c:pt>
                <c:pt idx="134">
                  <c:v>-3.1011904761905655E-3</c:v>
                </c:pt>
                <c:pt idx="135">
                  <c:v>-3.1503378378377857E-3</c:v>
                </c:pt>
                <c:pt idx="136">
                  <c:v>-3.0461409395973441E-3</c:v>
                </c:pt>
                <c:pt idx="137">
                  <c:v>-3.019166666666598E-3</c:v>
                </c:pt>
                <c:pt idx="138">
                  <c:v>-2.8418874172185956E-3</c:v>
                </c:pt>
                <c:pt idx="139">
                  <c:v>-2.8914473684211006E-3</c:v>
                </c:pt>
                <c:pt idx="140">
                  <c:v>-2.7916666666666606E-3</c:v>
                </c:pt>
                <c:pt idx="141">
                  <c:v>-2.7670454545454855E-3</c:v>
                </c:pt>
                <c:pt idx="142">
                  <c:v>-2.8161290322580913E-3</c:v>
                </c:pt>
                <c:pt idx="143">
                  <c:v>-2.864583333333226E-3</c:v>
                </c:pt>
                <c:pt idx="144">
                  <c:v>-3.0573248407643975E-3</c:v>
                </c:pt>
                <c:pt idx="145">
                  <c:v>-3.1036392405063909E-3</c:v>
                </c:pt>
                <c:pt idx="146">
                  <c:v>-3.0778301886792152E-3</c:v>
                </c:pt>
                <c:pt idx="147">
                  <c:v>-3.1234374999999661E-3</c:v>
                </c:pt>
                <c:pt idx="148">
                  <c:v>-3.3804347826086661E-3</c:v>
                </c:pt>
                <c:pt idx="149">
                  <c:v>-3.4236111111110778E-3</c:v>
                </c:pt>
                <c:pt idx="150">
                  <c:v>-3.5360429447853243E-3</c:v>
                </c:pt>
                <c:pt idx="151">
                  <c:v>-3.5083841463414227E-3</c:v>
                </c:pt>
                <c:pt idx="152">
                  <c:v>-3.4810606060605999E-3</c:v>
                </c:pt>
                <c:pt idx="153">
                  <c:v>-3.6596385542169031E-3</c:v>
                </c:pt>
                <c:pt idx="154">
                  <c:v>-3.5636227544910042E-3</c:v>
                </c:pt>
                <c:pt idx="155">
                  <c:v>-3.5364583333333532E-3</c:v>
                </c:pt>
                <c:pt idx="156">
                  <c:v>-3.7115384615385221E-3</c:v>
                </c:pt>
                <c:pt idx="157">
                  <c:v>-3.6838235294117398E-3</c:v>
                </c:pt>
                <c:pt idx="158">
                  <c:v>-3.65643274853802E-3</c:v>
                </c:pt>
                <c:pt idx="159">
                  <c:v>-3.6954941860465164E-3</c:v>
                </c:pt>
                <c:pt idx="160">
                  <c:v>-3.7998554913294441E-3</c:v>
                </c:pt>
                <c:pt idx="161">
                  <c:v>-3.9683908045977058E-3</c:v>
                </c:pt>
                <c:pt idx="162">
                  <c:v>-3.9400000000000364E-3</c:v>
                </c:pt>
                <c:pt idx="163">
                  <c:v>-4.0411931818181788E-3</c:v>
                </c:pt>
                <c:pt idx="164">
                  <c:v>-4.0769774011299373E-3</c:v>
                </c:pt>
                <c:pt idx="165">
                  <c:v>-4.3040730337078623E-3</c:v>
                </c:pt>
                <c:pt idx="166">
                  <c:v>-4.337988826815636E-3</c:v>
                </c:pt>
                <c:pt idx="167">
                  <c:v>-4.4347222222222895E-3</c:v>
                </c:pt>
                <c:pt idx="168">
                  <c:v>-4.4675414364641515E-3</c:v>
                </c:pt>
                <c:pt idx="169">
                  <c:v>-4.5625000000000249E-3</c:v>
                </c:pt>
                <c:pt idx="170">
                  <c:v>-4.4699453551913472E-3</c:v>
                </c:pt>
                <c:pt idx="171">
                  <c:v>-4.5638586956521163E-3</c:v>
                </c:pt>
                <c:pt idx="172">
                  <c:v>-4.5337837837836478E-3</c:v>
                </c:pt>
                <c:pt idx="173">
                  <c:v>-4.5651881720428725E-3</c:v>
                </c:pt>
                <c:pt idx="174">
                  <c:v>-4.6570855614972593E-3</c:v>
                </c:pt>
                <c:pt idx="175">
                  <c:v>-4.8690159574469594E-3</c:v>
                </c:pt>
                <c:pt idx="176">
                  <c:v>-4.7777777777777775E-3</c:v>
                </c:pt>
                <c:pt idx="177">
                  <c:v>-4.8671052631579642E-3</c:v>
                </c:pt>
                <c:pt idx="178">
                  <c:v>-4.7768324607331165E-3</c:v>
                </c:pt>
                <c:pt idx="179">
                  <c:v>-4.8652343749999898E-3</c:v>
                </c:pt>
                <c:pt idx="180">
                  <c:v>-4.8937823834196755E-3</c:v>
                </c:pt>
                <c:pt idx="181">
                  <c:v>-4.9806701030928385E-3</c:v>
                </c:pt>
                <c:pt idx="182">
                  <c:v>-4.9499999999999805E-3</c:v>
                </c:pt>
                <c:pt idx="183">
                  <c:v>-4.919642857142764E-3</c:v>
                </c:pt>
                <c:pt idx="184">
                  <c:v>-4.8895939086292745E-3</c:v>
                </c:pt>
                <c:pt idx="185">
                  <c:v>-4.9172979797978108E-3</c:v>
                </c:pt>
                <c:pt idx="186">
                  <c:v>-4.944723618090281E-3</c:v>
                </c:pt>
                <c:pt idx="187">
                  <c:v>-4.9150000000001597E-3</c:v>
                </c:pt>
                <c:pt idx="188">
                  <c:v>-4.9421641791046337E-3</c:v>
                </c:pt>
                <c:pt idx="189">
                  <c:v>-4.8564356435643712E-3</c:v>
                </c:pt>
                <c:pt idx="190">
                  <c:v>-4.8275862068964948E-3</c:v>
                </c:pt>
                <c:pt idx="191">
                  <c:v>-4.8547794117646459E-3</c:v>
                </c:pt>
                <c:pt idx="192">
                  <c:v>-4.8262195121951887E-3</c:v>
                </c:pt>
                <c:pt idx="193">
                  <c:v>-4.8531553398058888E-3</c:v>
                </c:pt>
                <c:pt idx="194">
                  <c:v>-4.824879227053133E-3</c:v>
                </c:pt>
                <c:pt idx="195">
                  <c:v>-4.9062499999998621E-3</c:v>
                </c:pt>
                <c:pt idx="196">
                  <c:v>-4.8779904306219968E-3</c:v>
                </c:pt>
                <c:pt idx="197">
                  <c:v>-5.0124999999999241E-3</c:v>
                </c:pt>
                <c:pt idx="198">
                  <c:v>-4.9300947867300295E-3</c:v>
                </c:pt>
                <c:pt idx="199">
                  <c:v>-4.8484669811321122E-3</c:v>
                </c:pt>
                <c:pt idx="200">
                  <c:v>-4.8210093896713302E-3</c:v>
                </c:pt>
                <c:pt idx="201">
                  <c:v>-4.793808411215043E-3</c:v>
                </c:pt>
                <c:pt idx="202">
                  <c:v>-4.7139534883720502E-3</c:v>
                </c:pt>
                <c:pt idx="203">
                  <c:v>-4.7928240740740926E-3</c:v>
                </c:pt>
                <c:pt idx="204">
                  <c:v>-4.8185483870967901E-3</c:v>
                </c:pt>
                <c:pt idx="205">
                  <c:v>-4.7918577981650862E-3</c:v>
                </c:pt>
                <c:pt idx="206">
                  <c:v>-4.6615296803652374E-3</c:v>
                </c:pt>
                <c:pt idx="207">
                  <c:v>-4.6874999999999374E-3</c:v>
                </c:pt>
                <c:pt idx="208">
                  <c:v>-4.7132352941175824E-3</c:v>
                </c:pt>
                <c:pt idx="209">
                  <c:v>-4.6362612612614318E-3</c:v>
                </c:pt>
                <c:pt idx="210">
                  <c:v>-4.6109865470853068E-3</c:v>
                </c:pt>
                <c:pt idx="211">
                  <c:v>-4.6367187500001017E-3</c:v>
                </c:pt>
                <c:pt idx="212">
                  <c:v>-4.6622222222223201E-3</c:v>
                </c:pt>
                <c:pt idx="213">
                  <c:v>-4.7881637168141981E-3</c:v>
                </c:pt>
                <c:pt idx="214">
                  <c:v>-4.8127753303965123E-3</c:v>
                </c:pt>
                <c:pt idx="215">
                  <c:v>-4.6875000000000276E-3</c:v>
                </c:pt>
                <c:pt idx="216">
                  <c:v>-4.6626637554584797E-3</c:v>
                </c:pt>
                <c:pt idx="217">
                  <c:v>-4.5885869565217554E-3</c:v>
                </c:pt>
                <c:pt idx="218">
                  <c:v>-4.5643939393938925E-3</c:v>
                </c:pt>
                <c:pt idx="219">
                  <c:v>-4.589439655172365E-3</c:v>
                </c:pt>
                <c:pt idx="220">
                  <c:v>-4.6142703862660428E-3</c:v>
                </c:pt>
                <c:pt idx="221">
                  <c:v>-4.6388888888890065E-3</c:v>
                </c:pt>
                <c:pt idx="222">
                  <c:v>-4.6148936170213326E-3</c:v>
                </c:pt>
                <c:pt idx="223">
                  <c:v>-4.591101694915248E-3</c:v>
                </c:pt>
                <c:pt idx="224">
                  <c:v>-4.4715189873417577E-3</c:v>
                </c:pt>
                <c:pt idx="225">
                  <c:v>-4.4963235294117479E-3</c:v>
                </c:pt>
                <c:pt idx="226">
                  <c:v>-4.5685146443515028E-3</c:v>
                </c:pt>
                <c:pt idx="227">
                  <c:v>-4.5927083333333696E-3</c:v>
                </c:pt>
                <c:pt idx="228">
                  <c:v>-4.4751037344398616E-3</c:v>
                </c:pt>
                <c:pt idx="229">
                  <c:v>-4.7345041322313835E-3</c:v>
                </c:pt>
                <c:pt idx="230">
                  <c:v>-4.6640946502056226E-3</c:v>
                </c:pt>
                <c:pt idx="231">
                  <c:v>-4.5942622950818782E-3</c:v>
                </c:pt>
                <c:pt idx="232">
                  <c:v>-4.4785714285714966E-3</c:v>
                </c:pt>
                <c:pt idx="233">
                  <c:v>-4.5487804878049992E-3</c:v>
                </c:pt>
                <c:pt idx="234">
                  <c:v>-4.4802631578947424E-3</c:v>
                </c:pt>
                <c:pt idx="235">
                  <c:v>-4.5498991935484468E-3</c:v>
                </c:pt>
                <c:pt idx="236">
                  <c:v>-4.4819277108433184E-3</c:v>
                </c:pt>
                <c:pt idx="237">
                  <c:v>-4.5509999999999986E-3</c:v>
                </c:pt>
                <c:pt idx="238">
                  <c:v>-4.6195219123506487E-3</c:v>
                </c:pt>
                <c:pt idx="239">
                  <c:v>-4.5972222222222152E-3</c:v>
                </c:pt>
                <c:pt idx="240">
                  <c:v>-4.4851778656126344E-3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51-4335-814D-53B8B9178B55}"/>
            </c:ext>
          </c:extLst>
        </c:ser>
        <c:ser>
          <c:idx val="1"/>
          <c:order val="1"/>
          <c:tx>
            <c:strRef>
              <c:f>'전류편차_24mA(절대값기준)'!$BQ$7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'전류편차_24mA(절대값기준)'!$BQ$22:$BQ$262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-6.3124999999999848E-3</c:v>
                </c:pt>
                <c:pt idx="2">
                  <c:v>-6.5833333333332762E-3</c:v>
                </c:pt>
                <c:pt idx="3">
                  <c:v>-3.9765625000000616E-3</c:v>
                </c:pt>
                <c:pt idx="4">
                  <c:v>-3.6838235294117099E-3</c:v>
                </c:pt>
                <c:pt idx="5">
                  <c:v>-2.1597222222222035E-3</c:v>
                </c:pt>
                <c:pt idx="6">
                  <c:v>-1.3947368421053433E-3</c:v>
                </c:pt>
                <c:pt idx="7">
                  <c:v>-7.06250000000043E-4</c:v>
                </c:pt>
                <c:pt idx="8">
                  <c:v>-8.3333333333342655E-5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1.5740740740745175E-4</c:v>
                </c:pt>
                <c:pt idx="15">
                  <c:v>1.8750000000002098E-4</c:v>
                </c:pt>
                <c:pt idx="16">
                  <c:v>-1.7672413793099205E-4</c:v>
                </c:pt>
                <c:pt idx="17">
                  <c:v>-1.2750000000000224E-3</c:v>
                </c:pt>
                <c:pt idx="18">
                  <c:v>-1.2016129032258478E-3</c:v>
                </c:pt>
                <c:pt idx="19">
                  <c:v>-4.2187500000013736E-4</c:v>
                </c:pt>
                <c:pt idx="20">
                  <c:v>-3.4090909090945711E-5</c:v>
                </c:pt>
                <c:pt idx="21">
                  <c:v>-3.382352941176637E-4</c:v>
                </c:pt>
                <c:pt idx="22">
                  <c:v>-6.2499999999999774E-4</c:v>
                </c:pt>
                <c:pt idx="23">
                  <c:v>3.6805555555557669E-4</c:v>
                </c:pt>
                <c:pt idx="24">
                  <c:v>3.8513513513513924E-4</c:v>
                </c:pt>
                <c:pt idx="25">
                  <c:v>7.0065789473679706E-4</c:v>
                </c:pt>
                <c:pt idx="26">
                  <c:v>1.000000000000038E-3</c:v>
                </c:pt>
                <c:pt idx="27">
                  <c:v>1.0000000000000217E-3</c:v>
                </c:pt>
                <c:pt idx="28">
                  <c:v>1.0000000000000063E-3</c:v>
                </c:pt>
                <c:pt idx="29">
                  <c:v>9.9999999999999156E-4</c:v>
                </c:pt>
                <c:pt idx="30">
                  <c:v>9.9999999999997769E-4</c:v>
                </c:pt>
                <c:pt idx="31">
                  <c:v>9.9999999999996424E-4</c:v>
                </c:pt>
                <c:pt idx="32">
                  <c:v>1.2527777777777015E-3</c:v>
                </c:pt>
                <c:pt idx="33">
                  <c:v>7.5271739130431444E-4</c:v>
                </c:pt>
                <c:pt idx="34">
                  <c:v>9.999999999999276E-4</c:v>
                </c:pt>
                <c:pt idx="35">
                  <c:v>1.2369791666665571E-3</c:v>
                </c:pt>
                <c:pt idx="36">
                  <c:v>1.2321428571428405E-3</c:v>
                </c:pt>
                <c:pt idx="37">
                  <c:v>1.6824999999998202E-3</c:v>
                </c:pt>
                <c:pt idx="38">
                  <c:v>1.6691176470587344E-3</c:v>
                </c:pt>
                <c:pt idx="39">
                  <c:v>1.656249999999998E-3</c:v>
                </c:pt>
                <c:pt idx="40">
                  <c:v>1.643867924528193E-3</c:v>
                </c:pt>
                <c:pt idx="41">
                  <c:v>2.0532407407406698E-3</c:v>
                </c:pt>
                <c:pt idx="42">
                  <c:v>2.0340909090909203E-3</c:v>
                </c:pt>
                <c:pt idx="43">
                  <c:v>1.8125000000000224E-3</c:v>
                </c:pt>
                <c:pt idx="44">
                  <c:v>1.5986842105263491E-3</c:v>
                </c:pt>
                <c:pt idx="45">
                  <c:v>1.5883620689656267E-3</c:v>
                </c:pt>
                <c:pt idx="46">
                  <c:v>1.3855932203389301E-3</c:v>
                </c:pt>
                <c:pt idx="47">
                  <c:v>1.3791666666666887E-3</c:v>
                </c:pt>
                <c:pt idx="48">
                  <c:v>1.186475409836098E-3</c:v>
                </c:pt>
                <c:pt idx="49">
                  <c:v>8.1653225806449688E-4</c:v>
                </c:pt>
                <c:pt idx="50">
                  <c:v>6.3888888888888025E-4</c:v>
                </c:pt>
                <c:pt idx="51">
                  <c:v>9.9999999999986385E-4</c:v>
                </c:pt>
                <c:pt idx="52">
                  <c:v>9.9999999999993432E-4</c:v>
                </c:pt>
                <c:pt idx="53">
                  <c:v>1.0000000000000026E-3</c:v>
                </c:pt>
                <c:pt idx="54">
                  <c:v>9.9999999999991806E-4</c:v>
                </c:pt>
                <c:pt idx="55">
                  <c:v>8.327205882352228E-4</c:v>
                </c:pt>
                <c:pt idx="56">
                  <c:v>6.7028985507254924E-4</c:v>
                </c:pt>
                <c:pt idx="57">
                  <c:v>6.7500000000000329E-4</c:v>
                </c:pt>
                <c:pt idx="58">
                  <c:v>8.3978873239434326E-4</c:v>
                </c:pt>
                <c:pt idx="59">
                  <c:v>6.8402777777776421E-4</c:v>
                </c:pt>
                <c:pt idx="60">
                  <c:v>6.8835616438347059E-4</c:v>
                </c:pt>
                <c:pt idx="61">
                  <c:v>5.3885135135140676E-4</c:v>
                </c:pt>
                <c:pt idx="62">
                  <c:v>3.9333333333339663E-4</c:v>
                </c:pt>
                <c:pt idx="63">
                  <c:v>4.0131578947367216E-4</c:v>
                </c:pt>
                <c:pt idx="64">
                  <c:v>2.6136363636363282E-4</c:v>
                </c:pt>
                <c:pt idx="65">
                  <c:v>1.2500000000000475E-4</c:v>
                </c:pt>
                <c:pt idx="66">
                  <c:v>1.3607594936702162E-4</c:v>
                </c:pt>
                <c:pt idx="67">
                  <c:v>1.4687499999998938E-4</c:v>
                </c:pt>
                <c:pt idx="68">
                  <c:v>4.3827160493828502E-4</c:v>
                </c:pt>
                <c:pt idx="69">
                  <c:v>4.4512195121945637E-4</c:v>
                </c:pt>
                <c:pt idx="70">
                  <c:v>4.5180722891566104E-4</c:v>
                </c:pt>
                <c:pt idx="71">
                  <c:v>4.5833333333326432E-4</c:v>
                </c:pt>
                <c:pt idx="72">
                  <c:v>3.3088235294111585E-4</c:v>
                </c:pt>
                <c:pt idx="73">
                  <c:v>2.0639534883727437E-4</c:v>
                </c:pt>
                <c:pt idx="74">
                  <c:v>2.1551724137930956E-4</c:v>
                </c:pt>
                <c:pt idx="75">
                  <c:v>2.2443181818186788E-4</c:v>
                </c:pt>
                <c:pt idx="76">
                  <c:v>4.887640449438912E-4</c:v>
                </c:pt>
                <c:pt idx="77">
                  <c:v>2.4166666666658947E-4</c:v>
                </c:pt>
                <c:pt idx="78">
                  <c:v>3.7500000000001421E-4</c:v>
                </c:pt>
                <c:pt idx="79">
                  <c:v>1.3451086956530698E-4</c:v>
                </c:pt>
                <c:pt idx="80">
                  <c:v>2.1505376344181545E-5</c:v>
                </c:pt>
                <c:pt idx="81">
                  <c:v>3.1914893616840593E-5</c:v>
                </c:pt>
                <c:pt idx="82">
                  <c:v>1.6184210526306586E-4</c:v>
                </c:pt>
                <c:pt idx="83">
                  <c:v>2.8906249999999478E-4</c:v>
                </c:pt>
                <c:pt idx="84">
                  <c:v>5.3092783505156115E-4</c:v>
                </c:pt>
                <c:pt idx="85">
                  <c:v>6.51785714285813E-4</c:v>
                </c:pt>
                <c:pt idx="86">
                  <c:v>6.5530303030307091E-4</c:v>
                </c:pt>
                <c:pt idx="87">
                  <c:v>6.5874999999998346E-4</c:v>
                </c:pt>
                <c:pt idx="88">
                  <c:v>7.7475247524738992E-4</c:v>
                </c:pt>
                <c:pt idx="89">
                  <c:v>7.7696078431373455E-4</c:v>
                </c:pt>
                <c:pt idx="90">
                  <c:v>7.7912621359218712E-4</c:v>
                </c:pt>
                <c:pt idx="91">
                  <c:v>6.718749999999607E-4</c:v>
                </c:pt>
                <c:pt idx="92">
                  <c:v>6.7500000000009967E-4</c:v>
                </c:pt>
                <c:pt idx="93">
                  <c:v>6.7806603773570362E-4</c:v>
                </c:pt>
                <c:pt idx="94">
                  <c:v>5.7476635514023774E-4</c:v>
                </c:pt>
                <c:pt idx="95">
                  <c:v>4.7337962962968596E-4</c:v>
                </c:pt>
                <c:pt idx="96">
                  <c:v>3.7385321100923602E-4</c:v>
                </c:pt>
                <c:pt idx="97">
                  <c:v>6.9318181818179737E-5</c:v>
                </c:pt>
                <c:pt idx="98">
                  <c:v>7.7702702702649632E-5</c:v>
                </c:pt>
                <c:pt idx="99">
                  <c:v>2.8906249999996469E-4</c:v>
                </c:pt>
                <c:pt idx="100">
                  <c:v>3.9601769911508215E-4</c:v>
                </c:pt>
                <c:pt idx="101">
                  <c:v>4.0131578947367216E-4</c:v>
                </c:pt>
                <c:pt idx="102">
                  <c:v>6.043478260869614E-4</c:v>
                </c:pt>
                <c:pt idx="103">
                  <c:v>5.0969827586207943E-4</c:v>
                </c:pt>
                <c:pt idx="104">
                  <c:v>5.1388888888885076E-4</c:v>
                </c:pt>
                <c:pt idx="105">
                  <c:v>4.216101694914931E-4</c:v>
                </c:pt>
                <c:pt idx="106">
                  <c:v>4.2647058823521447E-4</c:v>
                </c:pt>
                <c:pt idx="107">
                  <c:v>3.3645833333342812E-4</c:v>
                </c:pt>
                <c:pt idx="108">
                  <c:v>1.5392561983469517E-4</c:v>
                </c:pt>
                <c:pt idx="109">
                  <c:v>2.5409836065578981E-4</c:v>
                </c:pt>
                <c:pt idx="110">
                  <c:v>7.5203252032464199E-5</c:v>
                </c:pt>
                <c:pt idx="111">
                  <c:v>1.7439516129033337E-4</c:v>
                </c:pt>
                <c:pt idx="112">
                  <c:v>-9.200000000004494E-5</c:v>
                </c:pt>
                <c:pt idx="113">
                  <c:v>-1.7361111111115058E-4</c:v>
                </c:pt>
                <c:pt idx="114">
                  <c:v>-2.5393700787389075E-4</c:v>
                </c:pt>
                <c:pt idx="115">
                  <c:v>-1.5527343750012731E-4</c:v>
                </c:pt>
                <c:pt idx="116">
                  <c:v>3.0038759689811159E-5</c:v>
                </c:pt>
                <c:pt idx="117">
                  <c:v>3.750000000000142E-5</c:v>
                </c:pt>
                <c:pt idx="118">
                  <c:v>4.4847328244233002E-5</c:v>
                </c:pt>
                <c:pt idx="119">
                  <c:v>5.2083333333402034E-5</c:v>
                </c:pt>
                <c:pt idx="120">
                  <c:v>5.9210526315815092E-5</c:v>
                </c:pt>
                <c:pt idx="121">
                  <c:v>-1.035447761194765E-4</c:v>
                </c:pt>
                <c:pt idx="122">
                  <c:v>-1.1111111111123045E-5</c:v>
                </c:pt>
                <c:pt idx="123">
                  <c:v>-8.7316176470595355E-5</c:v>
                </c:pt>
                <c:pt idx="124">
                  <c:v>-2.4543795620433591E-4</c:v>
                </c:pt>
                <c:pt idx="125">
                  <c:v>-2.3641304347825858E-4</c:v>
                </c:pt>
                <c:pt idx="126">
                  <c:v>-2.2751798561140388E-4</c:v>
                </c:pt>
                <c:pt idx="127">
                  <c:v>-2.1875000000007858E-4</c:v>
                </c:pt>
                <c:pt idx="128">
                  <c:v>-2.9078014184404511E-4</c:v>
                </c:pt>
                <c:pt idx="129">
                  <c:v>-5.2200704225350072E-4</c:v>
                </c:pt>
                <c:pt idx="130">
                  <c:v>-5.113636363636557E-4</c:v>
                </c:pt>
                <c:pt idx="131">
                  <c:v>-3.4288194444445028E-4</c:v>
                </c:pt>
                <c:pt idx="132">
                  <c:v>-1.7672413793102691E-4</c:v>
                </c:pt>
                <c:pt idx="133">
                  <c:v>-9.0753424657608655E-5</c:v>
                </c:pt>
                <c:pt idx="134">
                  <c:v>-8.3333333333308299E-5</c:v>
                </c:pt>
                <c:pt idx="135">
                  <c:v>-7.6013513513526899E-5</c:v>
                </c:pt>
                <c:pt idx="136">
                  <c:v>8.389261744966414E-5</c:v>
                </c:pt>
                <c:pt idx="137">
                  <c:v>9.0000000000096676E-5</c:v>
                </c:pt>
                <c:pt idx="138">
                  <c:v>9.6026490066149884E-5</c:v>
                </c:pt>
                <c:pt idx="139">
                  <c:v>-4.7697368421081709E-5</c:v>
                </c:pt>
                <c:pt idx="140">
                  <c:v>3.3496732026168766E-5</c:v>
                </c:pt>
                <c:pt idx="141">
                  <c:v>-3.4090909090880103E-5</c:v>
                </c:pt>
                <c:pt idx="142">
                  <c:v>-2.7419354838717402E-5</c:v>
                </c:pt>
                <c:pt idx="143">
                  <c:v>-9.3750000000003553E-5</c:v>
                </c:pt>
                <c:pt idx="144">
                  <c:v>-1.5923566878980834E-4</c:v>
                </c:pt>
                <c:pt idx="145">
                  <c:v>-2.2389240506328649E-4</c:v>
                </c:pt>
                <c:pt idx="146">
                  <c:v>-4.308176100629322E-4</c:v>
                </c:pt>
                <c:pt idx="147">
                  <c:v>-2.0859374999993992E-4</c:v>
                </c:pt>
                <c:pt idx="148">
                  <c:v>-2.0108695652171457E-4</c:v>
                </c:pt>
                <c:pt idx="149">
                  <c:v>-5.3240740740704382E-5</c:v>
                </c:pt>
                <c:pt idx="150">
                  <c:v>-4.6779141104293072E-5</c:v>
                </c:pt>
                <c:pt idx="151">
                  <c:v>-4.0396341463447759E-5</c:v>
                </c:pt>
                <c:pt idx="152">
                  <c:v>3.4848484848501872E-5</c:v>
                </c:pt>
                <c:pt idx="153">
                  <c:v>1.0918674698801836E-4</c:v>
                </c:pt>
                <c:pt idx="154">
                  <c:v>-2.1706586826360537E-5</c:v>
                </c:pt>
                <c:pt idx="155">
                  <c:v>-8.3333333333342655E-5</c:v>
                </c:pt>
                <c:pt idx="156">
                  <c:v>-7.6923076923119684E-5</c:v>
                </c:pt>
                <c:pt idx="157">
                  <c:v>-1.3750000000003874E-4</c:v>
                </c:pt>
                <c:pt idx="158">
                  <c:v>-1.9736842105266632E-4</c:v>
                </c:pt>
                <c:pt idx="159">
                  <c:v>-2.5654069767433197E-4</c:v>
                </c:pt>
                <c:pt idx="160">
                  <c:v>-2.4927745664734543E-4</c:v>
                </c:pt>
                <c:pt idx="161">
                  <c:v>-4.3821839080470065E-4</c:v>
                </c:pt>
                <c:pt idx="162">
                  <c:v>-4.9499999999998319E-4</c:v>
                </c:pt>
                <c:pt idx="163">
                  <c:v>-3.5724431818179048E-4</c:v>
                </c:pt>
                <c:pt idx="164">
                  <c:v>-3.4957627118644514E-4</c:v>
                </c:pt>
                <c:pt idx="165">
                  <c:v>-3.4199438202239465E-4</c:v>
                </c:pt>
                <c:pt idx="166">
                  <c:v>-3.344972067038654E-4</c:v>
                </c:pt>
                <c:pt idx="167">
                  <c:v>-3.2708333333331981E-4</c:v>
                </c:pt>
                <c:pt idx="168">
                  <c:v>-1.9406077348063885E-4</c:v>
                </c:pt>
                <c:pt idx="169">
                  <c:v>-1.8750000000000711E-4</c:v>
                </c:pt>
                <c:pt idx="170">
                  <c:v>-1.8101092896167622E-4</c:v>
                </c:pt>
                <c:pt idx="171">
                  <c:v>-2.3641304347818537E-4</c:v>
                </c:pt>
                <c:pt idx="172">
                  <c:v>-2.2972972972957602E-4</c:v>
                </c:pt>
                <c:pt idx="173">
                  <c:v>-2.8427419354823077E-4</c:v>
                </c:pt>
                <c:pt idx="174">
                  <c:v>-2.7740641711228227E-4</c:v>
                </c:pt>
                <c:pt idx="175">
                  <c:v>-3.9162234042558529E-4</c:v>
                </c:pt>
                <c:pt idx="176">
                  <c:v>-5.0462962962975289E-4</c:v>
                </c:pt>
                <c:pt idx="177">
                  <c:v>-6.1644736842103229E-4</c:v>
                </c:pt>
                <c:pt idx="178">
                  <c:v>-6.0798429319383249E-4</c:v>
                </c:pt>
                <c:pt idx="179">
                  <c:v>-5.9960937500003891E-4</c:v>
                </c:pt>
                <c:pt idx="180">
                  <c:v>-5.9132124352327946E-4</c:v>
                </c:pt>
                <c:pt idx="181">
                  <c:v>-5.2448453608249944E-4</c:v>
                </c:pt>
                <c:pt idx="182">
                  <c:v>-5.1666666666661714E-4</c:v>
                </c:pt>
                <c:pt idx="183">
                  <c:v>-5.0892857142844803E-4</c:v>
                </c:pt>
                <c:pt idx="184">
                  <c:v>-5.0126903553300345E-4</c:v>
                </c:pt>
                <c:pt idx="185">
                  <c:v>-4.9368686868680371E-4</c:v>
                </c:pt>
                <c:pt idx="186">
                  <c:v>-4.8618090452247532E-4</c:v>
                </c:pt>
                <c:pt idx="187">
                  <c:v>-5.3562500000006166E-4</c:v>
                </c:pt>
                <c:pt idx="188">
                  <c:v>-5.2798507462685474E-4</c:v>
                </c:pt>
                <c:pt idx="189">
                  <c:v>-6.3304455445550032E-4</c:v>
                </c:pt>
                <c:pt idx="190">
                  <c:v>-6.2499999999998288E-4</c:v>
                </c:pt>
                <c:pt idx="191">
                  <c:v>-7.8431372549011408E-4</c:v>
                </c:pt>
                <c:pt idx="192">
                  <c:v>-8.8658536585364161E-4</c:v>
                </c:pt>
                <c:pt idx="193">
                  <c:v>-1.0430825242717635E-3</c:v>
                </c:pt>
                <c:pt idx="194">
                  <c:v>-9.7826086956519448E-4</c:v>
                </c:pt>
                <c:pt idx="195">
                  <c:v>-9.1406250000003464E-4</c:v>
                </c:pt>
                <c:pt idx="196">
                  <c:v>-7.9605263157877929E-4</c:v>
                </c:pt>
                <c:pt idx="197">
                  <c:v>-8.9583333333322925E-4</c:v>
                </c:pt>
                <c:pt idx="198">
                  <c:v>-7.7902843601903595E-4</c:v>
                </c:pt>
                <c:pt idx="199">
                  <c:v>-8.2429245283026386E-4</c:v>
                </c:pt>
                <c:pt idx="200">
                  <c:v>-7.6232394366210286E-4</c:v>
                </c:pt>
                <c:pt idx="201">
                  <c:v>-8.0724299065433299E-4</c:v>
                </c:pt>
                <c:pt idx="202">
                  <c:v>-7.9883720930238472E-4</c:v>
                </c:pt>
                <c:pt idx="203">
                  <c:v>-7.9050925925925079E-4</c:v>
                </c:pt>
                <c:pt idx="204">
                  <c:v>-6.7741935483869235E-4</c:v>
                </c:pt>
                <c:pt idx="205">
                  <c:v>-8.262614678898303E-4</c:v>
                </c:pt>
                <c:pt idx="206">
                  <c:v>-8.6986301369854958E-4</c:v>
                </c:pt>
                <c:pt idx="207">
                  <c:v>-9.1306818181809872E-4</c:v>
                </c:pt>
                <c:pt idx="208">
                  <c:v>-9.0441176470573389E-4</c:v>
                </c:pt>
                <c:pt idx="209">
                  <c:v>-1.1520270270271265E-3</c:v>
                </c:pt>
                <c:pt idx="210">
                  <c:v>-1.1933856502243114E-3</c:v>
                </c:pt>
                <c:pt idx="211">
                  <c:v>-9.8046875000014355E-4</c:v>
                </c:pt>
                <c:pt idx="212">
                  <c:v>-9.7166666666674486E-4</c:v>
                </c:pt>
                <c:pt idx="213">
                  <c:v>-9.6294247787611969E-4</c:v>
                </c:pt>
                <c:pt idx="214">
                  <c:v>-1.004405286343623E-3</c:v>
                </c:pt>
                <c:pt idx="215">
                  <c:v>-1.04550438596492E-3</c:v>
                </c:pt>
                <c:pt idx="216">
                  <c:v>-1.036572052401691E-3</c:v>
                </c:pt>
                <c:pt idx="217">
                  <c:v>-1.0277173913042291E-3</c:v>
                </c:pt>
                <c:pt idx="218">
                  <c:v>-1.0681818181816972E-3</c:v>
                </c:pt>
                <c:pt idx="219">
                  <c:v>-1.0592672413793013E-3</c:v>
                </c:pt>
                <c:pt idx="220">
                  <c:v>-1.0992489270386151E-3</c:v>
                </c:pt>
                <c:pt idx="221">
                  <c:v>-1.0902777777778766E-3</c:v>
                </c:pt>
                <c:pt idx="222">
                  <c:v>-1.0813829787234407E-3</c:v>
                </c:pt>
                <c:pt idx="223">
                  <c:v>-1.2653601694915645E-3</c:v>
                </c:pt>
                <c:pt idx="224">
                  <c:v>-1.2078059071730853E-3</c:v>
                </c:pt>
                <c:pt idx="225">
                  <c:v>-1.3419117647059159E-3</c:v>
                </c:pt>
                <c:pt idx="226">
                  <c:v>-1.52248953974899E-3</c:v>
                </c:pt>
                <c:pt idx="227">
                  <c:v>-1.4171875000000278E-3</c:v>
                </c:pt>
                <c:pt idx="228">
                  <c:v>-1.4071576763485152E-3</c:v>
                </c:pt>
                <c:pt idx="229">
                  <c:v>-1.3972107438015603E-3</c:v>
                </c:pt>
                <c:pt idx="230">
                  <c:v>-1.3873456790123599E-3</c:v>
                </c:pt>
                <c:pt idx="231">
                  <c:v>-1.3775614754097908E-3</c:v>
                </c:pt>
                <c:pt idx="232">
                  <c:v>-1.4142857142858312E-3</c:v>
                </c:pt>
                <c:pt idx="233">
                  <c:v>-1.4044715447155045E-3</c:v>
                </c:pt>
                <c:pt idx="234">
                  <c:v>-1.440789473684265E-3</c:v>
                </c:pt>
                <c:pt idx="235">
                  <c:v>-1.4309475806451571E-3</c:v>
                </c:pt>
                <c:pt idx="236">
                  <c:v>-1.4211847389557605E-3</c:v>
                </c:pt>
                <c:pt idx="237">
                  <c:v>-1.4569999999999349E-3</c:v>
                </c:pt>
                <c:pt idx="238">
                  <c:v>-1.4472111553785244E-3</c:v>
                </c:pt>
                <c:pt idx="239">
                  <c:v>-1.4826388888889246E-3</c:v>
                </c:pt>
                <c:pt idx="240">
                  <c:v>-1.5627470355730508E-3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51-4335-814D-53B8B9178B55}"/>
            </c:ext>
          </c:extLst>
        </c:ser>
        <c:ser>
          <c:idx val="2"/>
          <c:order val="2"/>
          <c:tx>
            <c:strRef>
              <c:f>'전류편차_24mA(절대값기준)'!$BR$7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'전류편차_24mA(절대값기준)'!$BR$22:$BR$262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1.8125000000000224E-3</c:v>
                </c:pt>
                <c:pt idx="2">
                  <c:v>2.5166666666667317E-3</c:v>
                </c:pt>
                <c:pt idx="3">
                  <c:v>1.7109374999999432E-3</c:v>
                </c:pt>
                <c:pt idx="4">
                  <c:v>9.9999999999998463E-4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1.5687499999999591E-3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1.086956521732977E-5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-3.1249999999988232E-4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-1.7672413793099205E-4</c:v>
                </c:pt>
                <c:pt idx="17">
                  <c:v>2.4166666666664561E-4</c:v>
                </c:pt>
                <c:pt idx="18">
                  <c:v>1.0000000000000421E-3</c:v>
                </c:pt>
                <c:pt idx="19">
                  <c:v>1.3554687499999826E-3</c:v>
                </c:pt>
                <c:pt idx="20">
                  <c:v>1.0000000000000026E-3</c:v>
                </c:pt>
                <c:pt idx="21">
                  <c:v>6.6544117647060962E-4</c:v>
                </c:pt>
                <c:pt idx="22">
                  <c:v>3.4999999999989483E-4</c:v>
                </c:pt>
                <c:pt idx="23">
                  <c:v>3.6805555555557669E-4</c:v>
                </c:pt>
                <c:pt idx="24">
                  <c:v>6.9256756756753783E-4</c:v>
                </c:pt>
                <c:pt idx="25">
                  <c:v>4.0131578947367216E-4</c:v>
                </c:pt>
                <c:pt idx="26">
                  <c:v>-1.6666666666662983E-4</c:v>
                </c:pt>
                <c:pt idx="27">
                  <c:v>4.3124999999995809E-4</c:v>
                </c:pt>
                <c:pt idx="28">
                  <c:v>1.6768292682924304E-4</c:v>
                </c:pt>
                <c:pt idx="29">
                  <c:v>-8.3333333333342655E-5</c:v>
                </c:pt>
                <c:pt idx="30">
                  <c:v>-3.2267441860464531E-4</c:v>
                </c:pt>
                <c:pt idx="31">
                  <c:v>-1.0681818181818557E-3</c:v>
                </c:pt>
                <c:pt idx="32">
                  <c:v>-5.1666666666666029E-4</c:v>
                </c:pt>
                <c:pt idx="33">
                  <c:v>-2.3641304347818537E-4</c:v>
                </c:pt>
                <c:pt idx="34">
                  <c:v>3.1914893616840593E-5</c:v>
                </c:pt>
                <c:pt idx="35">
                  <c:v>2.8906249999999478E-4</c:v>
                </c:pt>
                <c:pt idx="36">
                  <c:v>3.0357142857151409E-4</c:v>
                </c:pt>
                <c:pt idx="37">
                  <c:v>3.1749999999997058E-4</c:v>
                </c:pt>
                <c:pt idx="38">
                  <c:v>-1.1519607843146327E-4</c:v>
                </c:pt>
                <c:pt idx="39">
                  <c:v>-3.1249999999988232E-4</c:v>
                </c:pt>
                <c:pt idx="40">
                  <c:v>-2.8773584905659511E-4</c:v>
                </c:pt>
                <c:pt idx="41">
                  <c:v>-2.6388888888879817E-4</c:v>
                </c:pt>
                <c:pt idx="42">
                  <c:v>-4.4772727272717199E-4</c:v>
                </c:pt>
                <c:pt idx="43">
                  <c:v>-4.2187500000000211E-4</c:v>
                </c:pt>
                <c:pt idx="44">
                  <c:v>-3.9692982456132766E-4</c:v>
                </c:pt>
                <c:pt idx="45">
                  <c:v>-3.7284482758605578E-4</c:v>
                </c:pt>
                <c:pt idx="46">
                  <c:v>-5.4237288135594391E-4</c:v>
                </c:pt>
                <c:pt idx="47">
                  <c:v>-7.0625000000000082E-4</c:v>
                </c:pt>
                <c:pt idx="48">
                  <c:v>-6.7827868852451826E-4</c:v>
                </c:pt>
                <c:pt idx="49">
                  <c:v>-1.0080645161290286E-4</c:v>
                </c:pt>
                <c:pt idx="50">
                  <c:v>-8.3333333333262478E-5</c:v>
                </c:pt>
                <c:pt idx="51">
                  <c:v>2.8906249999994214E-4</c:v>
                </c:pt>
                <c:pt idx="52">
                  <c:v>3.0000000000001136E-4</c:v>
                </c:pt>
                <c:pt idx="53">
                  <c:v>1.3825757575759671E-4</c:v>
                </c:pt>
                <c:pt idx="54">
                  <c:v>1.5111940298501075E-4</c:v>
                </c:pt>
                <c:pt idx="55">
                  <c:v>1.6360294117647299E-4</c:v>
                </c:pt>
                <c:pt idx="56">
                  <c:v>-3.1884057971009696E-4</c:v>
                </c:pt>
                <c:pt idx="57">
                  <c:v>2.4999999999930633E-5</c:v>
                </c:pt>
                <c:pt idx="58">
                  <c:v>3.8732394366191356E-5</c:v>
                </c:pt>
                <c:pt idx="59">
                  <c:v>-2.6388888888879817E-4</c:v>
                </c:pt>
                <c:pt idx="60">
                  <c:v>-2.4657534246574149E-4</c:v>
                </c:pt>
                <c:pt idx="61">
                  <c:v>-5.3716216216219306E-4</c:v>
                </c:pt>
                <c:pt idx="62">
                  <c:v>-3.6499999999992062E-4</c:v>
                </c:pt>
                <c:pt idx="63">
                  <c:v>-6.4638157894746442E-4</c:v>
                </c:pt>
                <c:pt idx="64">
                  <c:v>-1.8181818181820216E-4</c:v>
                </c:pt>
                <c:pt idx="65">
                  <c:v>-1.6666666666662983E-4</c:v>
                </c:pt>
                <c:pt idx="66">
                  <c:v>1.3607594936702162E-4</c:v>
                </c:pt>
                <c:pt idx="67">
                  <c:v>1.4687499999998938E-4</c:v>
                </c:pt>
                <c:pt idx="68">
                  <c:v>1.5740740740745175E-4</c:v>
                </c:pt>
                <c:pt idx="69">
                  <c:v>3.0640243902441133E-4</c:v>
                </c:pt>
                <c:pt idx="70">
                  <c:v>3.1475903614465266E-4</c:v>
                </c:pt>
                <c:pt idx="71">
                  <c:v>4.5833333333326432E-4</c:v>
                </c:pt>
                <c:pt idx="72">
                  <c:v>3.3088235294111585E-4</c:v>
                </c:pt>
                <c:pt idx="73">
                  <c:v>2.0639534883727437E-4</c:v>
                </c:pt>
                <c:pt idx="74">
                  <c:v>2.1551724137930956E-4</c:v>
                </c:pt>
                <c:pt idx="75">
                  <c:v>9.5170454545461097E-5</c:v>
                </c:pt>
                <c:pt idx="76">
                  <c:v>-2.2471910112345851E-5</c:v>
                </c:pt>
                <c:pt idx="77">
                  <c:v>-2.6388888888891039E-4</c:v>
                </c:pt>
                <c:pt idx="78">
                  <c:v>-4.9999999999994493E-4</c:v>
                </c:pt>
                <c:pt idx="79">
                  <c:v>-4.8369565217392014E-4</c:v>
                </c:pt>
                <c:pt idx="80">
                  <c:v>-2.2311827956987865E-4</c:v>
                </c:pt>
                <c:pt idx="81">
                  <c:v>-8.9095744680964666E-5</c:v>
                </c:pt>
                <c:pt idx="82">
                  <c:v>-1.973684210527372E-4</c:v>
                </c:pt>
                <c:pt idx="83">
                  <c:v>-6.6406250000018707E-5</c:v>
                </c:pt>
                <c:pt idx="84">
                  <c:v>-1.7268041237114592E-4</c:v>
                </c:pt>
                <c:pt idx="85">
                  <c:v>-1.6071428571414907E-4</c:v>
                </c:pt>
                <c:pt idx="86">
                  <c:v>-2.6388888888874716E-4</c:v>
                </c:pt>
                <c:pt idx="87">
                  <c:v>-2.5125000000011829E-4</c:v>
                </c:pt>
                <c:pt idx="88">
                  <c:v>-2.38861386138587E-4</c:v>
                </c:pt>
                <c:pt idx="89">
                  <c:v>-3.3823529411761415E-4</c:v>
                </c:pt>
                <c:pt idx="90">
                  <c:v>-7.6699029126210965E-4</c:v>
                </c:pt>
                <c:pt idx="91">
                  <c:v>-5.3124999999995537E-4</c:v>
                </c:pt>
                <c:pt idx="92">
                  <c:v>-6.2499999999994971E-4</c:v>
                </c:pt>
                <c:pt idx="93">
                  <c:v>-7.1698113207560631E-4</c:v>
                </c:pt>
                <c:pt idx="94">
                  <c:v>-1.0198598130841216E-3</c:v>
                </c:pt>
                <c:pt idx="95">
                  <c:v>-7.9050925925925079E-4</c:v>
                </c:pt>
                <c:pt idx="96">
                  <c:v>-6.6972477064211795E-4</c:v>
                </c:pt>
                <c:pt idx="97">
                  <c:v>-4.4772727272717199E-4</c:v>
                </c:pt>
                <c:pt idx="98">
                  <c:v>-3.3220720720721509E-4</c:v>
                </c:pt>
                <c:pt idx="99">
                  <c:v>-1.1718749999999056E-4</c:v>
                </c:pt>
                <c:pt idx="100">
                  <c:v>-3.0862831858417876E-4</c:v>
                </c:pt>
                <c:pt idx="101">
                  <c:v>-9.7587719298158416E-5</c:v>
                </c:pt>
                <c:pt idx="102">
                  <c:v>-1.8695652173903842E-4</c:v>
                </c:pt>
                <c:pt idx="103">
                  <c:v>-7.86637931034602E-5</c:v>
                </c:pt>
                <c:pt idx="104">
                  <c:v>-1.6666666666667298E-4</c:v>
                </c:pt>
                <c:pt idx="105">
                  <c:v>-1.5677966101700338E-4</c:v>
                </c:pt>
                <c:pt idx="106">
                  <c:v>-1.4705882352934331E-4</c:v>
                </c:pt>
                <c:pt idx="107">
                  <c:v>-5.1666666666660423E-4</c:v>
                </c:pt>
                <c:pt idx="108">
                  <c:v>-4.1012396694218575E-4</c:v>
                </c:pt>
                <c:pt idx="109">
                  <c:v>-3.9856557377040925E-4</c:v>
                </c:pt>
                <c:pt idx="110">
                  <c:v>-6.6463414634160224E-4</c:v>
                </c:pt>
                <c:pt idx="111">
                  <c:v>-6.5120967741937529E-4</c:v>
                </c:pt>
                <c:pt idx="112">
                  <c:v>-1.829999999999945E-4</c:v>
                </c:pt>
                <c:pt idx="113">
                  <c:v>-8.3333333333262478E-5</c:v>
                </c:pt>
                <c:pt idx="114">
                  <c:v>1.938976377953115E-4</c:v>
                </c:pt>
                <c:pt idx="115">
                  <c:v>3.7792968749989284E-4</c:v>
                </c:pt>
                <c:pt idx="116">
                  <c:v>2.0639534883715687E-4</c:v>
                </c:pt>
                <c:pt idx="117">
                  <c:v>3.8749999999996285E-4</c:v>
                </c:pt>
                <c:pt idx="118">
                  <c:v>3.0534351145034976E-4</c:v>
                </c:pt>
                <c:pt idx="119">
                  <c:v>3.967803030303338E-4</c:v>
                </c:pt>
                <c:pt idx="120">
                  <c:v>4.0131578947367216E-4</c:v>
                </c:pt>
                <c:pt idx="121">
                  <c:v>4.9067164179094345E-4</c:v>
                </c:pt>
                <c:pt idx="122">
                  <c:v>4.9444444444445164E-4</c:v>
                </c:pt>
                <c:pt idx="123">
                  <c:v>4.1452205882354132E-4</c:v>
                </c:pt>
                <c:pt idx="124">
                  <c:v>2.5273722627743478E-4</c:v>
                </c:pt>
                <c:pt idx="125">
                  <c:v>3.4057971014490293E-4</c:v>
                </c:pt>
                <c:pt idx="126">
                  <c:v>9.9820143884962962E-5</c:v>
                </c:pt>
                <c:pt idx="127">
                  <c:v>1.062499999998856E-4</c:v>
                </c:pt>
                <c:pt idx="128">
                  <c:v>2.7393617021266608E-4</c:v>
                </c:pt>
                <c:pt idx="129">
                  <c:v>5.1936619718311093E-4</c:v>
                </c:pt>
                <c:pt idx="130">
                  <c:v>5.2272727272724548E-4</c:v>
                </c:pt>
                <c:pt idx="131">
                  <c:v>7.6302083333341627E-4</c:v>
                </c:pt>
                <c:pt idx="132">
                  <c:v>8.4310344827586195E-4</c:v>
                </c:pt>
                <c:pt idx="133">
                  <c:v>8.4417808219174181E-4</c:v>
                </c:pt>
                <c:pt idx="134">
                  <c:v>8.4523809523801799E-4</c:v>
                </c:pt>
                <c:pt idx="135">
                  <c:v>9.2314189189187084E-4</c:v>
                </c:pt>
                <c:pt idx="136">
                  <c:v>7.7097315436244188E-4</c:v>
                </c:pt>
                <c:pt idx="137">
                  <c:v>9.2416666666670516E-4</c:v>
                </c:pt>
                <c:pt idx="138">
                  <c:v>9.2466887417218615E-4</c:v>
                </c:pt>
                <c:pt idx="139">
                  <c:v>9.2516447368417394E-4</c:v>
                </c:pt>
                <c:pt idx="140">
                  <c:v>8.5130718954245154E-4</c:v>
                </c:pt>
                <c:pt idx="141">
                  <c:v>7.0454545454546778E-4</c:v>
                </c:pt>
                <c:pt idx="142">
                  <c:v>5.5967741935489669E-4</c:v>
                </c:pt>
                <c:pt idx="143">
                  <c:v>4.895833333333951E-4</c:v>
                </c:pt>
                <c:pt idx="144">
                  <c:v>7.1019108280245249E-4</c:v>
                </c:pt>
                <c:pt idx="145">
                  <c:v>6.4003164556952969E-4</c:v>
                </c:pt>
                <c:pt idx="146">
                  <c:v>7.1383647798738321E-4</c:v>
                </c:pt>
                <c:pt idx="147">
                  <c:v>8.5781249999997426E-4</c:v>
                </c:pt>
                <c:pt idx="148">
                  <c:v>7.8804347826084802E-4</c:v>
                </c:pt>
                <c:pt idx="149">
                  <c:v>8.5956790123459736E-4</c:v>
                </c:pt>
                <c:pt idx="150">
                  <c:v>7.9064417177905025E-4</c:v>
                </c:pt>
                <c:pt idx="151">
                  <c:v>7.919207317073155E-4</c:v>
                </c:pt>
                <c:pt idx="152">
                  <c:v>7.2424242424242661E-4</c:v>
                </c:pt>
                <c:pt idx="153">
                  <c:v>7.9442771084342547E-4</c:v>
                </c:pt>
                <c:pt idx="154">
                  <c:v>7.2754491017969626E-4</c:v>
                </c:pt>
                <c:pt idx="155">
                  <c:v>5.9374999999997624E-4</c:v>
                </c:pt>
                <c:pt idx="156">
                  <c:v>5.9615384615378905E-4</c:v>
                </c:pt>
                <c:pt idx="157">
                  <c:v>3.9779411764707999E-4</c:v>
                </c:pt>
                <c:pt idx="158">
                  <c:v>2.1929824561131652E-6</c:v>
                </c:pt>
                <c:pt idx="159">
                  <c:v>7.4127906976765071E-5</c:v>
                </c:pt>
                <c:pt idx="160">
                  <c:v>2.7673410404623831E-4</c:v>
                </c:pt>
                <c:pt idx="161">
                  <c:v>4.1163793103448943E-4</c:v>
                </c:pt>
                <c:pt idx="162">
                  <c:v>2.8499999999993087E-4</c:v>
                </c:pt>
                <c:pt idx="163">
                  <c:v>4.1832386363630587E-4</c:v>
                </c:pt>
                <c:pt idx="164">
                  <c:v>4.2161016949155019E-4</c:v>
                </c:pt>
                <c:pt idx="165">
                  <c:v>5.526685393258782E-4</c:v>
                </c:pt>
                <c:pt idx="166">
                  <c:v>5.5516759776536679E-4</c:v>
                </c:pt>
                <c:pt idx="167">
                  <c:v>4.9444444444445164E-4</c:v>
                </c:pt>
                <c:pt idx="168">
                  <c:v>3.7154696132590077E-4</c:v>
                </c:pt>
                <c:pt idx="169">
                  <c:v>4.3750000000009059E-4</c:v>
                </c:pt>
                <c:pt idx="170">
                  <c:v>3.1625683060111057E-4</c:v>
                </c:pt>
                <c:pt idx="171">
                  <c:v>2.5815217391306455E-4</c:v>
                </c:pt>
                <c:pt idx="172">
                  <c:v>2.6216216216226173E-4</c:v>
                </c:pt>
                <c:pt idx="173">
                  <c:v>2.0497311827967238E-4</c:v>
                </c:pt>
                <c:pt idx="174">
                  <c:v>8.756684491981713E-5</c:v>
                </c:pt>
                <c:pt idx="175">
                  <c:v>-1.4960106382997477E-4</c:v>
                </c:pt>
                <c:pt idx="176">
                  <c:v>-8.333333333336938E-5</c:v>
                </c:pt>
                <c:pt idx="177">
                  <c:v>2.2171052631577061E-4</c:v>
                </c:pt>
                <c:pt idx="178">
                  <c:v>1.0667539267006888E-4</c:v>
                </c:pt>
                <c:pt idx="179">
                  <c:v>2.2981770833325568E-4</c:v>
                </c:pt>
                <c:pt idx="180">
                  <c:v>2.3380829015543853E-4</c:v>
                </c:pt>
                <c:pt idx="181">
                  <c:v>4.1365979381451274E-4</c:v>
                </c:pt>
                <c:pt idx="182">
                  <c:v>4.166666666666134E-4</c:v>
                </c:pt>
                <c:pt idx="183">
                  <c:v>4.1964285714287834E-4</c:v>
                </c:pt>
                <c:pt idx="184">
                  <c:v>5.380710659898787E-4</c:v>
                </c:pt>
                <c:pt idx="185">
                  <c:v>4.8295454545457952E-4</c:v>
                </c:pt>
                <c:pt idx="186">
                  <c:v>4.8555276381920243E-4</c:v>
                </c:pt>
                <c:pt idx="187">
                  <c:v>5.4499999999984444E-4</c:v>
                </c:pt>
                <c:pt idx="188">
                  <c:v>4.3407960199003007E-4</c:v>
                </c:pt>
                <c:pt idx="189">
                  <c:v>4.3688118811866428E-4</c:v>
                </c:pt>
                <c:pt idx="190">
                  <c:v>3.8362068965522777E-4</c:v>
                </c:pt>
                <c:pt idx="191">
                  <c:v>2.7512254901959794E-4</c:v>
                </c:pt>
                <c:pt idx="192">
                  <c:v>3.3414634146334643E-4</c:v>
                </c:pt>
                <c:pt idx="193">
                  <c:v>5.5825242718454248E-4</c:v>
                </c:pt>
                <c:pt idx="194">
                  <c:v>5.6038647342990288E-4</c:v>
                </c:pt>
                <c:pt idx="195">
                  <c:v>5.6250000000002132E-4</c:v>
                </c:pt>
                <c:pt idx="196">
                  <c:v>5.645933014354975E-4</c:v>
                </c:pt>
                <c:pt idx="197">
                  <c:v>5.125000000000935E-4</c:v>
                </c:pt>
                <c:pt idx="198">
                  <c:v>6.2263033175346508E-4</c:v>
                </c:pt>
                <c:pt idx="199">
                  <c:v>6.7806603773570362E-4</c:v>
                </c:pt>
                <c:pt idx="200">
                  <c:v>6.7957746478865592E-4</c:v>
                </c:pt>
                <c:pt idx="201">
                  <c:v>6.2792056074759052E-4</c:v>
                </c:pt>
                <c:pt idx="202">
                  <c:v>5.2383720930237912E-4</c:v>
                </c:pt>
                <c:pt idx="203">
                  <c:v>5.7870370370370161E-4</c:v>
                </c:pt>
                <c:pt idx="204">
                  <c:v>5.2822580645161383E-4</c:v>
                </c:pt>
                <c:pt idx="205">
                  <c:v>3.7385321100923602E-4</c:v>
                </c:pt>
                <c:pt idx="206">
                  <c:v>4.2865296803653647E-4</c:v>
                </c:pt>
                <c:pt idx="207">
                  <c:v>2.7613636363643066E-4</c:v>
                </c:pt>
                <c:pt idx="208">
                  <c:v>3.8235294117654607E-4</c:v>
                </c:pt>
                <c:pt idx="209">
                  <c:v>4.3637387387371302E-4</c:v>
                </c:pt>
                <c:pt idx="210">
                  <c:v>5.4091928251105931E-4</c:v>
                </c:pt>
                <c:pt idx="211">
                  <c:v>5.4296874999991418E-4</c:v>
                </c:pt>
                <c:pt idx="212">
                  <c:v>3.9333333333330675E-4</c:v>
                </c:pt>
                <c:pt idx="213">
                  <c:v>3.4568584070794102E-4</c:v>
                </c:pt>
                <c:pt idx="214">
                  <c:v>3.4856828193836659E-4</c:v>
                </c:pt>
                <c:pt idx="215">
                  <c:v>3.5142543859641818E-4</c:v>
                </c:pt>
                <c:pt idx="216">
                  <c:v>3.0458515283853454E-4</c:v>
                </c:pt>
                <c:pt idx="217">
                  <c:v>4.5597826086956451E-4</c:v>
                </c:pt>
                <c:pt idx="218">
                  <c:v>3.1060606060611724E-4</c:v>
                </c:pt>
                <c:pt idx="219">
                  <c:v>2.1551724137930958E-4</c:v>
                </c:pt>
                <c:pt idx="220">
                  <c:v>1.7006437768240544E-4</c:v>
                </c:pt>
                <c:pt idx="221">
                  <c:v>1.2500000000000472E-4</c:v>
                </c:pt>
                <c:pt idx="222">
                  <c:v>-1.6489361702238518E-5</c:v>
                </c:pt>
                <c:pt idx="223">
                  <c:v>-6.0381355932311053E-5</c:v>
                </c:pt>
                <c:pt idx="224">
                  <c:v>-5.590717299582643E-5</c:v>
                </c:pt>
                <c:pt idx="225">
                  <c:v>-3.6764705883312173E-6</c:v>
                </c:pt>
                <c:pt idx="226">
                  <c:v>-4.7071129707036714E-5</c:v>
                </c:pt>
                <c:pt idx="227">
                  <c:v>-9.0104166666588045E-5</c:v>
                </c:pt>
                <c:pt idx="228">
                  <c:v>-8.5580912863099582E-5</c:v>
                </c:pt>
                <c:pt idx="229">
                  <c:v>-8.1095041322282871E-5</c:v>
                </c:pt>
                <c:pt idx="230">
                  <c:v>-2.9835390946520248E-5</c:v>
                </c:pt>
                <c:pt idx="231">
                  <c:v>-2.5614754098319161E-5</c:v>
                </c:pt>
                <c:pt idx="232">
                  <c:v>-2.1428571428635681E-5</c:v>
                </c:pt>
                <c:pt idx="233">
                  <c:v>2.8963414634033708E-5</c:v>
                </c:pt>
                <c:pt idx="234">
                  <c:v>1.710526315788993E-4</c:v>
                </c:pt>
                <c:pt idx="235">
                  <c:v>1.2852822580640633E-4</c:v>
                </c:pt>
                <c:pt idx="236">
                  <c:v>4.0662650602311301E-5</c:v>
                </c:pt>
                <c:pt idx="237">
                  <c:v>9.0000000000015849E-5</c:v>
                </c:pt>
                <c:pt idx="238">
                  <c:v>2.9880478087278988E-6</c:v>
                </c:pt>
                <c:pt idx="239">
                  <c:v>6.9444444444652674E-6</c:v>
                </c:pt>
                <c:pt idx="240">
                  <c:v>1.4575098814237583E-4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51-4335-814D-53B8B9178B55}"/>
            </c:ext>
          </c:extLst>
        </c:ser>
        <c:ser>
          <c:idx val="3"/>
          <c:order val="3"/>
          <c:tx>
            <c:strRef>
              <c:f>'전류편차_24mA(절대값기준)'!$BS$7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'전류편차_24mA(절대값기준)'!$BS$22:$BS$262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-3.8750000000000728E-3</c:v>
                </c:pt>
                <c:pt idx="2">
                  <c:v>-3.5499999999999404E-3</c:v>
                </c:pt>
                <c:pt idx="3">
                  <c:v>-1.8437500000001385E-3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-1.8437500000000439E-3</c:v>
                </c:pt>
                <c:pt idx="8">
                  <c:v>-1.7083333333334041E-3</c:v>
                </c:pt>
                <c:pt idx="9">
                  <c:v>-2.1022727272727655E-3</c:v>
                </c:pt>
                <c:pt idx="10">
                  <c:v>-1.9673913043478895E-3</c:v>
                </c:pt>
                <c:pt idx="11">
                  <c:v>-2.3177083333333673E-3</c:v>
                </c:pt>
                <c:pt idx="12">
                  <c:v>-3.0950000000001584E-3</c:v>
                </c:pt>
                <c:pt idx="13">
                  <c:v>-3.8124999999998854E-3</c:v>
                </c:pt>
                <c:pt idx="14">
                  <c:v>-4.4768518518518586E-3</c:v>
                </c:pt>
                <c:pt idx="15">
                  <c:v>-5.9062500000000295E-3</c:v>
                </c:pt>
                <c:pt idx="16">
                  <c:v>-7.2370689655171187E-3</c:v>
                </c:pt>
                <c:pt idx="17">
                  <c:v>-7.3416666666666942E-3</c:v>
                </c:pt>
                <c:pt idx="18">
                  <c:v>-6.7056451612904095E-3</c:v>
                </c:pt>
                <c:pt idx="19">
                  <c:v>-6.4648437500001025E-3</c:v>
                </c:pt>
                <c:pt idx="20">
                  <c:v>-6.5833333333332614E-3</c:v>
                </c:pt>
                <c:pt idx="21">
                  <c:v>-6.6948529411765302E-3</c:v>
                </c:pt>
                <c:pt idx="22">
                  <c:v>-6.8000000000000387E-3</c:v>
                </c:pt>
                <c:pt idx="23">
                  <c:v>-6.5833333333332484E-3</c:v>
                </c:pt>
                <c:pt idx="24">
                  <c:v>-6.3783783783783118E-3</c:v>
                </c:pt>
                <c:pt idx="25">
                  <c:v>-5.5855263157894913E-3</c:v>
                </c:pt>
                <c:pt idx="26">
                  <c:v>-5.4166666666665697E-3</c:v>
                </c:pt>
                <c:pt idx="27">
                  <c:v>-5.2562499999999207E-3</c:v>
                </c:pt>
                <c:pt idx="28">
                  <c:v>-5.3810975609756397E-3</c:v>
                </c:pt>
                <c:pt idx="29">
                  <c:v>-5.2291666666667101E-3</c:v>
                </c:pt>
                <c:pt idx="30">
                  <c:v>-5.6133720930232551E-3</c:v>
                </c:pt>
                <c:pt idx="31">
                  <c:v>-5.9801136363635925E-3</c:v>
                </c:pt>
                <c:pt idx="32">
                  <c:v>-6.3305555555555823E-3</c:v>
                </c:pt>
                <c:pt idx="33">
                  <c:v>-6.4184782608695777E-3</c:v>
                </c:pt>
                <c:pt idx="34">
                  <c:v>-6.0186170212766467E-3</c:v>
                </c:pt>
                <c:pt idx="35">
                  <c:v>-5.8723958333332911E-3</c:v>
                </c:pt>
                <c:pt idx="36">
                  <c:v>-5.2678571428570629E-3</c:v>
                </c:pt>
                <c:pt idx="37">
                  <c:v>-5.3700000000001099E-3</c:v>
                </c:pt>
                <c:pt idx="38">
                  <c:v>-5.2450980392157072E-3</c:v>
                </c:pt>
                <c:pt idx="39">
                  <c:v>-5.1249999999999352E-3</c:v>
                </c:pt>
                <c:pt idx="40">
                  <c:v>-4.7948113207548788E-3</c:v>
                </c:pt>
                <c:pt idx="41">
                  <c:v>-4.4768518518518586E-3</c:v>
                </c:pt>
                <c:pt idx="42">
                  <c:v>-4.3772727272726533E-3</c:v>
                </c:pt>
                <c:pt idx="43">
                  <c:v>-4.0781250000001407E-3</c:v>
                </c:pt>
                <c:pt idx="44">
                  <c:v>-3.9890350877193588E-3</c:v>
                </c:pt>
                <c:pt idx="45">
                  <c:v>-4.0991379310343573E-3</c:v>
                </c:pt>
                <c:pt idx="46">
                  <c:v>-4.0127118644067514E-3</c:v>
                </c:pt>
                <c:pt idx="47">
                  <c:v>-4.3083333333333584E-3</c:v>
                </c:pt>
                <c:pt idx="48">
                  <c:v>-4.9672131147539683E-3</c:v>
                </c:pt>
                <c:pt idx="49">
                  <c:v>-5.0544354838709922E-3</c:v>
                </c:pt>
                <c:pt idx="50">
                  <c:v>-4.7777777777778313E-3</c:v>
                </c:pt>
                <c:pt idx="51">
                  <c:v>-4.6875000000001412E-3</c:v>
                </c:pt>
                <c:pt idx="52">
                  <c:v>-4.2499999999999535E-3</c:v>
                </c:pt>
                <c:pt idx="53">
                  <c:v>-4.1704545454545857E-3</c:v>
                </c:pt>
                <c:pt idx="54">
                  <c:v>-4.0932835820896765E-3</c:v>
                </c:pt>
                <c:pt idx="55">
                  <c:v>-3.8511029411764717E-3</c:v>
                </c:pt>
                <c:pt idx="56">
                  <c:v>-3.7807971014492121E-3</c:v>
                </c:pt>
                <c:pt idx="57">
                  <c:v>-3.7125000000000183E-3</c:v>
                </c:pt>
                <c:pt idx="58">
                  <c:v>-3.6461267605633358E-3</c:v>
                </c:pt>
                <c:pt idx="59">
                  <c:v>-3.2656249999999296E-3</c:v>
                </c:pt>
                <c:pt idx="60">
                  <c:v>-3.2071917808219256E-3</c:v>
                </c:pt>
                <c:pt idx="61">
                  <c:v>-2.9966216216216549E-3</c:v>
                </c:pt>
                <c:pt idx="62">
                  <c:v>-3.2466666666666069E-3</c:v>
                </c:pt>
                <c:pt idx="63">
                  <c:v>-3.1907894736842258E-3</c:v>
                </c:pt>
                <c:pt idx="64">
                  <c:v>-3.5795454545454286E-3</c:v>
                </c:pt>
                <c:pt idx="65">
                  <c:v>-3.6666666666666332E-3</c:v>
                </c:pt>
                <c:pt idx="66">
                  <c:v>-3.6075949367088988E-3</c:v>
                </c:pt>
                <c:pt idx="67">
                  <c:v>-3.5499999999999824E-3</c:v>
                </c:pt>
                <c:pt idx="68">
                  <c:v>-3.2129629629629218E-3</c:v>
                </c:pt>
                <c:pt idx="69">
                  <c:v>-3.1615853658536865E-3</c:v>
                </c:pt>
                <c:pt idx="70">
                  <c:v>-3.1114457831325046E-3</c:v>
                </c:pt>
                <c:pt idx="71">
                  <c:v>-3.0625000000000418E-3</c:v>
                </c:pt>
                <c:pt idx="72">
                  <c:v>-2.88088235294124E-3</c:v>
                </c:pt>
                <c:pt idx="73">
                  <c:v>-2.7034883720929901E-3</c:v>
                </c:pt>
                <c:pt idx="74">
                  <c:v>-2.7916666666667426E-3</c:v>
                </c:pt>
                <c:pt idx="75">
                  <c:v>-2.7485795454545701E-3</c:v>
                </c:pt>
                <c:pt idx="76">
                  <c:v>-2.8342696629213657E-3</c:v>
                </c:pt>
                <c:pt idx="77">
                  <c:v>-2.6652777777778154E-3</c:v>
                </c:pt>
                <c:pt idx="78">
                  <c:v>-2.8749999999999609E-3</c:v>
                </c:pt>
                <c:pt idx="79">
                  <c:v>-2.9565217391303894E-3</c:v>
                </c:pt>
                <c:pt idx="80">
                  <c:v>-3.2809139784946537E-3</c:v>
                </c:pt>
                <c:pt idx="81">
                  <c:v>-3.3563829787234263E-3</c:v>
                </c:pt>
                <c:pt idx="82">
                  <c:v>-3.3105263157895554E-3</c:v>
                </c:pt>
                <c:pt idx="83">
                  <c:v>-3.3841145833334073E-3</c:v>
                </c:pt>
                <c:pt idx="84">
                  <c:v>-3.3389175257731193E-3</c:v>
                </c:pt>
                <c:pt idx="85">
                  <c:v>-3.4107142857142036E-3</c:v>
                </c:pt>
                <c:pt idx="86">
                  <c:v>-3.3661616161615921E-3</c:v>
                </c:pt>
                <c:pt idx="87">
                  <c:v>-3.4362500000001714E-3</c:v>
                </c:pt>
                <c:pt idx="88">
                  <c:v>-3.3923267326732933E-3</c:v>
                </c:pt>
                <c:pt idx="89">
                  <c:v>-3.4607843137255097E-3</c:v>
                </c:pt>
                <c:pt idx="90">
                  <c:v>-3.4174757281554141E-3</c:v>
                </c:pt>
                <c:pt idx="91">
                  <c:v>-3.484374999999873E-3</c:v>
                </c:pt>
                <c:pt idx="92">
                  <c:v>-3.5499999999998684E-3</c:v>
                </c:pt>
                <c:pt idx="93">
                  <c:v>-3.7216981132075413E-3</c:v>
                </c:pt>
                <c:pt idx="94">
                  <c:v>-3.5712616822430967E-3</c:v>
                </c:pt>
                <c:pt idx="95">
                  <c:v>-3.7395833333333742E-3</c:v>
                </c:pt>
                <c:pt idx="96">
                  <c:v>-4.1135321100917895E-3</c:v>
                </c:pt>
                <c:pt idx="97">
                  <c:v>-3.963636363636335E-3</c:v>
                </c:pt>
                <c:pt idx="98">
                  <c:v>-3.9189189189189413E-3</c:v>
                </c:pt>
                <c:pt idx="99">
                  <c:v>-3.9765625000000165E-3</c:v>
                </c:pt>
                <c:pt idx="100">
                  <c:v>-4.1338495575220791E-3</c:v>
                </c:pt>
                <c:pt idx="101">
                  <c:v>-4.2883771929825279E-3</c:v>
                </c:pt>
                <c:pt idx="102">
                  <c:v>-4.341304347825977E-3</c:v>
                </c:pt>
                <c:pt idx="103">
                  <c:v>-4.2952586206895949E-3</c:v>
                </c:pt>
                <c:pt idx="104">
                  <c:v>-4.3472222222223295E-3</c:v>
                </c:pt>
                <c:pt idx="105">
                  <c:v>-4.4947033898305559E-3</c:v>
                </c:pt>
                <c:pt idx="106">
                  <c:v>-4.5441176470588651E-3</c:v>
                </c:pt>
                <c:pt idx="107">
                  <c:v>-4.4979166666665868E-3</c:v>
                </c:pt>
                <c:pt idx="108">
                  <c:v>-4.6404958677686257E-3</c:v>
                </c:pt>
                <c:pt idx="109">
                  <c:v>-4.5942622950818782E-3</c:v>
                </c:pt>
                <c:pt idx="110">
                  <c:v>-4.6412601626016963E-3</c:v>
                </c:pt>
                <c:pt idx="111">
                  <c:v>-4.6875000000000649E-3</c:v>
                </c:pt>
                <c:pt idx="112">
                  <c:v>-4.8240000000000088E-3</c:v>
                </c:pt>
                <c:pt idx="113">
                  <c:v>-4.9583333333332869E-3</c:v>
                </c:pt>
                <c:pt idx="114">
                  <c:v>-4.821850393700677E-3</c:v>
                </c:pt>
                <c:pt idx="115">
                  <c:v>-4.6875000000001412E-3</c:v>
                </c:pt>
                <c:pt idx="116">
                  <c:v>-4.8197674418605507E-3</c:v>
                </c:pt>
                <c:pt idx="117">
                  <c:v>-4.9500000000000316E-3</c:v>
                </c:pt>
                <c:pt idx="118">
                  <c:v>-4.9914122137404851E-3</c:v>
                </c:pt>
                <c:pt idx="119">
                  <c:v>-5.1183712121211861E-3</c:v>
                </c:pt>
                <c:pt idx="120">
                  <c:v>-5.1578947368420749E-3</c:v>
                </c:pt>
                <c:pt idx="121">
                  <c:v>-5.1119402985074745E-3</c:v>
                </c:pt>
                <c:pt idx="122">
                  <c:v>-5.2351851851852949E-3</c:v>
                </c:pt>
                <c:pt idx="123">
                  <c:v>-5.1893382352941201E-3</c:v>
                </c:pt>
                <c:pt idx="124">
                  <c:v>-5.2271897810218957E-3</c:v>
                </c:pt>
                <c:pt idx="125">
                  <c:v>-5.264492753623182E-3</c:v>
                </c:pt>
                <c:pt idx="126">
                  <c:v>-5.4649280575538549E-3</c:v>
                </c:pt>
                <c:pt idx="127">
                  <c:v>-5.5000000000000378E-3</c:v>
                </c:pt>
                <c:pt idx="128">
                  <c:v>-5.69592198581569E-3</c:v>
                </c:pt>
                <c:pt idx="129">
                  <c:v>-5.5686619718310149E-3</c:v>
                </c:pt>
                <c:pt idx="130">
                  <c:v>-5.5227272727271992E-3</c:v>
                </c:pt>
                <c:pt idx="131">
                  <c:v>-5.4774305555555227E-3</c:v>
                </c:pt>
                <c:pt idx="132">
                  <c:v>-5.5112068965516865E-3</c:v>
                </c:pt>
                <c:pt idx="133">
                  <c:v>-5.5445205479453018E-3</c:v>
                </c:pt>
                <c:pt idx="134">
                  <c:v>-5.6547619047619532E-3</c:v>
                </c:pt>
                <c:pt idx="135">
                  <c:v>-5.6866554054054493E-3</c:v>
                </c:pt>
                <c:pt idx="136">
                  <c:v>-5.7181208053691673E-3</c:v>
                </c:pt>
                <c:pt idx="137">
                  <c:v>-5.900833333333284E-3</c:v>
                </c:pt>
                <c:pt idx="138">
                  <c:v>-5.7798013245033411E-3</c:v>
                </c:pt>
                <c:pt idx="139">
                  <c:v>-5.8848684210526161E-3</c:v>
                </c:pt>
                <c:pt idx="140">
                  <c:v>-5.9142156862744899E-3</c:v>
                </c:pt>
                <c:pt idx="141">
                  <c:v>-6.0170454545453896E-3</c:v>
                </c:pt>
                <c:pt idx="142">
                  <c:v>-6.1185483870967953E-3</c:v>
                </c:pt>
                <c:pt idx="143">
                  <c:v>-6.1458333333332211E-3</c:v>
                </c:pt>
                <c:pt idx="144">
                  <c:v>-6.2452229299364065E-3</c:v>
                </c:pt>
                <c:pt idx="145">
                  <c:v>-6.1993670886076038E-3</c:v>
                </c:pt>
                <c:pt idx="146">
                  <c:v>-6.0825471698112777E-3</c:v>
                </c:pt>
                <c:pt idx="147">
                  <c:v>-5.9671875000000324E-3</c:v>
                </c:pt>
                <c:pt idx="148">
                  <c:v>-5.9239130434782022E-3</c:v>
                </c:pt>
                <c:pt idx="149">
                  <c:v>-5.88117283950615E-3</c:v>
                </c:pt>
                <c:pt idx="150">
                  <c:v>-5.9087423312884401E-3</c:v>
                </c:pt>
                <c:pt idx="151">
                  <c:v>-6.0053353658537124E-3</c:v>
                </c:pt>
                <c:pt idx="152">
                  <c:v>-6.031818181818231E-3</c:v>
                </c:pt>
                <c:pt idx="153">
                  <c:v>-6.1265060240963927E-3</c:v>
                </c:pt>
                <c:pt idx="154">
                  <c:v>-6.1519461077844352E-3</c:v>
                </c:pt>
                <c:pt idx="155">
                  <c:v>-6.1093750000000367E-3</c:v>
                </c:pt>
                <c:pt idx="156">
                  <c:v>-6.0673076923077624E-3</c:v>
                </c:pt>
                <c:pt idx="157">
                  <c:v>-6.2264705882352864E-3</c:v>
                </c:pt>
                <c:pt idx="158">
                  <c:v>-6.2507309941520353E-3</c:v>
                </c:pt>
                <c:pt idx="159">
                  <c:v>-6.2747093023255663E-3</c:v>
                </c:pt>
                <c:pt idx="160">
                  <c:v>-6.2984104046242585E-3</c:v>
                </c:pt>
                <c:pt idx="161">
                  <c:v>-6.3218390804598637E-3</c:v>
                </c:pt>
                <c:pt idx="162">
                  <c:v>-6.1500000000000816E-3</c:v>
                </c:pt>
                <c:pt idx="163">
                  <c:v>-5.9154829545454458E-3</c:v>
                </c:pt>
                <c:pt idx="164">
                  <c:v>-5.9406779661016831E-3</c:v>
                </c:pt>
                <c:pt idx="165">
                  <c:v>-5.7738764044943597E-3</c:v>
                </c:pt>
                <c:pt idx="166">
                  <c:v>-5.8631284916200507E-3</c:v>
                </c:pt>
                <c:pt idx="167">
                  <c:v>-5.7618055555555608E-3</c:v>
                </c:pt>
                <c:pt idx="168">
                  <c:v>-5.8501381215469283E-3</c:v>
                </c:pt>
                <c:pt idx="169">
                  <c:v>-5.7500000000000329E-3</c:v>
                </c:pt>
                <c:pt idx="170">
                  <c:v>-5.8374316939890656E-3</c:v>
                </c:pt>
                <c:pt idx="171">
                  <c:v>-5.8620923913043389E-3</c:v>
                </c:pt>
                <c:pt idx="172">
                  <c:v>-5.8249999999999127E-3</c:v>
                </c:pt>
                <c:pt idx="173">
                  <c:v>-5.7271505376343861E-3</c:v>
                </c:pt>
                <c:pt idx="174">
                  <c:v>-5.8128342245987634E-3</c:v>
                </c:pt>
                <c:pt idx="175">
                  <c:v>-5.7160904255320263E-3</c:v>
                </c:pt>
                <c:pt idx="176">
                  <c:v>-5.861111111111152E-3</c:v>
                </c:pt>
                <c:pt idx="177">
                  <c:v>-5.8249999999999639E-3</c:v>
                </c:pt>
                <c:pt idx="178">
                  <c:v>-5.7892670157069061E-3</c:v>
                </c:pt>
                <c:pt idx="179">
                  <c:v>-5.4576822916667491E-3</c:v>
                </c:pt>
                <c:pt idx="180">
                  <c:v>-5.4242227979274683E-3</c:v>
                </c:pt>
                <c:pt idx="181">
                  <c:v>-5.4497422680412407E-3</c:v>
                </c:pt>
                <c:pt idx="182">
                  <c:v>-5.4166666666665957E-3</c:v>
                </c:pt>
                <c:pt idx="183">
                  <c:v>-5.3258928571428476E-3</c:v>
                </c:pt>
                <c:pt idx="184">
                  <c:v>-5.4092639593907163E-3</c:v>
                </c:pt>
                <c:pt idx="185">
                  <c:v>-5.3768939393939235E-3</c:v>
                </c:pt>
                <c:pt idx="186">
                  <c:v>-5.5163316582913756E-3</c:v>
                </c:pt>
                <c:pt idx="187">
                  <c:v>-5.4837500000000467E-3</c:v>
                </c:pt>
                <c:pt idx="188">
                  <c:v>-5.5080845771144716E-3</c:v>
                </c:pt>
                <c:pt idx="189">
                  <c:v>-5.4758663366336344E-3</c:v>
                </c:pt>
                <c:pt idx="190">
                  <c:v>-5.5560344827586573E-3</c:v>
                </c:pt>
                <c:pt idx="191">
                  <c:v>-5.5238970588234945E-3</c:v>
                </c:pt>
                <c:pt idx="192">
                  <c:v>-5.7140243902438709E-3</c:v>
                </c:pt>
                <c:pt idx="193">
                  <c:v>-5.5709951456310277E-3</c:v>
                </c:pt>
                <c:pt idx="194">
                  <c:v>-5.4842995169082304E-3</c:v>
                </c:pt>
                <c:pt idx="195">
                  <c:v>-5.4531249999999476E-3</c:v>
                </c:pt>
                <c:pt idx="196">
                  <c:v>-5.4222488038276296E-3</c:v>
                </c:pt>
                <c:pt idx="197">
                  <c:v>-5.2833333333332034E-3</c:v>
                </c:pt>
                <c:pt idx="198">
                  <c:v>-5.3074644549763617E-3</c:v>
                </c:pt>
                <c:pt idx="199">
                  <c:v>-5.2777122641509333E-3</c:v>
                </c:pt>
                <c:pt idx="200">
                  <c:v>-5.4084507042254691E-3</c:v>
                </c:pt>
                <c:pt idx="201">
                  <c:v>-5.4316588785047869E-3</c:v>
                </c:pt>
                <c:pt idx="202">
                  <c:v>-5.5075581395348707E-3</c:v>
                </c:pt>
                <c:pt idx="203">
                  <c:v>-5.5827546296296779E-3</c:v>
                </c:pt>
                <c:pt idx="204">
                  <c:v>-5.6572580645160523E-3</c:v>
                </c:pt>
                <c:pt idx="205">
                  <c:v>-5.6267201834862808E-3</c:v>
                </c:pt>
                <c:pt idx="206">
                  <c:v>-5.6484018264840574E-3</c:v>
                </c:pt>
                <c:pt idx="207">
                  <c:v>-5.6698863636362165E-3</c:v>
                </c:pt>
                <c:pt idx="208">
                  <c:v>-5.8455882352939741E-3</c:v>
                </c:pt>
                <c:pt idx="209">
                  <c:v>-5.865990990991026E-3</c:v>
                </c:pt>
                <c:pt idx="210">
                  <c:v>-5.7841928251121961E-3</c:v>
                </c:pt>
                <c:pt idx="211">
                  <c:v>-5.65234375000008E-3</c:v>
                </c:pt>
                <c:pt idx="212">
                  <c:v>-5.7238888888888478E-3</c:v>
                </c:pt>
                <c:pt idx="213">
                  <c:v>-5.6438053097345254E-3</c:v>
                </c:pt>
                <c:pt idx="214">
                  <c:v>-5.7147577092511717E-3</c:v>
                </c:pt>
                <c:pt idx="215">
                  <c:v>-5.6354166666666124E-3</c:v>
                </c:pt>
                <c:pt idx="216">
                  <c:v>-5.7057860262008774E-3</c:v>
                </c:pt>
                <c:pt idx="217">
                  <c:v>-5.627173913043358E-3</c:v>
                </c:pt>
                <c:pt idx="218">
                  <c:v>-5.7462121212121199E-3</c:v>
                </c:pt>
                <c:pt idx="219">
                  <c:v>-5.864224137930976E-3</c:v>
                </c:pt>
                <c:pt idx="220">
                  <c:v>-5.932403433476393E-3</c:v>
                </c:pt>
                <c:pt idx="221">
                  <c:v>-5.9513888888888837E-3</c:v>
                </c:pt>
                <c:pt idx="222">
                  <c:v>-6.0670212765958553E-3</c:v>
                </c:pt>
                <c:pt idx="223">
                  <c:v>-6.0852754237289211E-3</c:v>
                </c:pt>
                <c:pt idx="224">
                  <c:v>-6.2473628691984218E-3</c:v>
                </c:pt>
                <c:pt idx="225">
                  <c:v>-6.3124999999999952E-3</c:v>
                </c:pt>
                <c:pt idx="226">
                  <c:v>-6.2343096234310077E-3</c:v>
                </c:pt>
                <c:pt idx="227">
                  <c:v>-6.2041666666666512E-3</c:v>
                </c:pt>
                <c:pt idx="228">
                  <c:v>-6.1742738589210863E-3</c:v>
                </c:pt>
                <c:pt idx="229">
                  <c:v>-6.1916322314048812E-3</c:v>
                </c:pt>
                <c:pt idx="230">
                  <c:v>-6.1620370370369E-3</c:v>
                </c:pt>
                <c:pt idx="231">
                  <c:v>-6.0394467213113314E-3</c:v>
                </c:pt>
                <c:pt idx="232">
                  <c:v>-6.0571428571428746E-3</c:v>
                </c:pt>
                <c:pt idx="233">
                  <c:v>-6.0284552845529683E-3</c:v>
                </c:pt>
                <c:pt idx="234">
                  <c:v>-6.0460526315790674E-3</c:v>
                </c:pt>
                <c:pt idx="235">
                  <c:v>-6.063508064516083E-3</c:v>
                </c:pt>
                <c:pt idx="236">
                  <c:v>-6.1721887550201431E-3</c:v>
                </c:pt>
                <c:pt idx="237">
                  <c:v>-6.1890000000000608E-3</c:v>
                </c:pt>
                <c:pt idx="238">
                  <c:v>-6.2963147410358637E-3</c:v>
                </c:pt>
                <c:pt idx="239">
                  <c:v>-6.3125000000000047E-3</c:v>
                </c:pt>
                <c:pt idx="240">
                  <c:v>-6.4634387351778736E-3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51-4335-814D-53B8B9178B55}"/>
            </c:ext>
          </c:extLst>
        </c:ser>
        <c:ser>
          <c:idx val="4"/>
          <c:order val="4"/>
          <c:tx>
            <c:strRef>
              <c:f>'전류편차_24mA(절대값기준)'!$BT$7</c:f>
              <c:strCache>
                <c:ptCount val="1"/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'전류편차_24mA(절대값기준)'!$BT$22:$BT$262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1.8125000000000224E-3</c:v>
                </c:pt>
                <c:pt idx="2">
                  <c:v>1.0000000000000638E-3</c:v>
                </c:pt>
                <c:pt idx="3">
                  <c:v>1.7109374999999432E-3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-3.4090909090945711E-5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-3.6500000000005528E-4</c:v>
                </c:pt>
                <c:pt idx="13">
                  <c:v>-7.5000000000002842E-4</c:v>
                </c:pt>
                <c:pt idx="14">
                  <c:v>-6.8518518518523514E-4</c:v>
                </c:pt>
                <c:pt idx="15">
                  <c:v>1.8750000000002098E-4</c:v>
                </c:pt>
                <c:pt idx="16">
                  <c:v>-1.7672413793099205E-4</c:v>
                </c:pt>
                <c:pt idx="17">
                  <c:v>-1.374999999999793E-4</c:v>
                </c:pt>
                <c:pt idx="18">
                  <c:v>-1.0080645161290286E-4</c:v>
                </c:pt>
                <c:pt idx="19">
                  <c:v>-1.1328125000000591E-3</c:v>
                </c:pt>
                <c:pt idx="20">
                  <c:v>-7.2348484848480915E-4</c:v>
                </c:pt>
                <c:pt idx="21">
                  <c:v>-6.7279411764703859E-4</c:v>
                </c:pt>
                <c:pt idx="22">
                  <c:v>-6.2499999999999774E-4</c:v>
                </c:pt>
                <c:pt idx="23">
                  <c:v>-8.9583333333331338E-4</c:v>
                </c:pt>
                <c:pt idx="24">
                  <c:v>-1.1520270270269902E-3</c:v>
                </c:pt>
                <c:pt idx="25">
                  <c:v>-7.9605263157896046E-4</c:v>
                </c:pt>
                <c:pt idx="26">
                  <c:v>-7.4999999999989897E-4</c:v>
                </c:pt>
                <c:pt idx="27">
                  <c:v>-9.9062500000001168E-4</c:v>
                </c:pt>
                <c:pt idx="28">
                  <c:v>-9.4207317073173352E-4</c:v>
                </c:pt>
                <c:pt idx="29">
                  <c:v>-8.9583333333337345E-4</c:v>
                </c:pt>
                <c:pt idx="30">
                  <c:v>-5.8720930232554643E-4</c:v>
                </c:pt>
                <c:pt idx="31">
                  <c:v>-5.5113636363634329E-4</c:v>
                </c:pt>
                <c:pt idx="32">
                  <c:v>-5.1666666666666029E-4</c:v>
                </c:pt>
                <c:pt idx="33">
                  <c:v>-4.8369565217392014E-4</c:v>
                </c:pt>
                <c:pt idx="34">
                  <c:v>-4.5212765957459538E-4</c:v>
                </c:pt>
                <c:pt idx="35">
                  <c:v>-4.2187500000003214E-4</c:v>
                </c:pt>
                <c:pt idx="36">
                  <c:v>-8.5714285714274694E-4</c:v>
                </c:pt>
                <c:pt idx="37">
                  <c:v>-5.9250000000013122E-4</c:v>
                </c:pt>
                <c:pt idx="38">
                  <c:v>-5.612745098039631E-4</c:v>
                </c:pt>
                <c:pt idx="39">
                  <c:v>-7.5000000000002842E-4</c:v>
                </c:pt>
                <c:pt idx="40">
                  <c:v>-9.316037735849213E-4</c:v>
                </c:pt>
                <c:pt idx="41">
                  <c:v>-4.7453703703701666E-4</c:v>
                </c:pt>
                <c:pt idx="42">
                  <c:v>-4.4772727272717199E-4</c:v>
                </c:pt>
                <c:pt idx="43">
                  <c:v>-6.2500000000006994E-4</c:v>
                </c:pt>
                <c:pt idx="44">
                  <c:v>-5.9649122807016626E-4</c:v>
                </c:pt>
                <c:pt idx="45">
                  <c:v>-7.6508620689653159E-4</c:v>
                </c:pt>
                <c:pt idx="46">
                  <c:v>-7.3516949152549981E-4</c:v>
                </c:pt>
                <c:pt idx="47">
                  <c:v>-8.9583333333339752E-4</c:v>
                </c:pt>
                <c:pt idx="48">
                  <c:v>-8.6475409836064615E-4</c:v>
                </c:pt>
                <c:pt idx="49">
                  <c:v>-6.5120967741937529E-4</c:v>
                </c:pt>
                <c:pt idx="50">
                  <c:v>-8.0555555555556553E-4</c:v>
                </c:pt>
                <c:pt idx="51">
                  <c:v>-7.7734375000009816E-4</c:v>
                </c:pt>
                <c:pt idx="52">
                  <c:v>-9.2500000000008689E-4</c:v>
                </c:pt>
                <c:pt idx="53">
                  <c:v>-1.068181818181741E-3</c:v>
                </c:pt>
                <c:pt idx="54">
                  <c:v>-1.0373134328358292E-3</c:v>
                </c:pt>
                <c:pt idx="55">
                  <c:v>-1.5091911764705502E-3</c:v>
                </c:pt>
                <c:pt idx="56">
                  <c:v>-1.14311594202892E-3</c:v>
                </c:pt>
                <c:pt idx="57">
                  <c:v>-9.5000000000010625E-4</c:v>
                </c:pt>
                <c:pt idx="58">
                  <c:v>-6.0211267605627327E-4</c:v>
                </c:pt>
                <c:pt idx="59">
                  <c:v>-7.3784722222214945E-4</c:v>
                </c:pt>
                <c:pt idx="60">
                  <c:v>-5.5821917808228393E-4</c:v>
                </c:pt>
                <c:pt idx="61">
                  <c:v>-6.9087837837832403E-4</c:v>
                </c:pt>
                <c:pt idx="62">
                  <c:v>-3.6499999999992062E-4</c:v>
                </c:pt>
                <c:pt idx="63">
                  <c:v>-3.470394736842066E-4</c:v>
                </c:pt>
                <c:pt idx="64">
                  <c:v>-3.2954545454539301E-4</c:v>
                </c:pt>
                <c:pt idx="65">
                  <c:v>-3.1249999999988232E-4</c:v>
                </c:pt>
                <c:pt idx="66">
                  <c:v>-7.9113924050504743E-6</c:v>
                </c:pt>
                <c:pt idx="67">
                  <c:v>4.687500000068179E-6</c:v>
                </c:pt>
                <c:pt idx="68">
                  <c:v>1.6975308642097485E-5</c:v>
                </c:pt>
                <c:pt idx="69">
                  <c:v>2.8963414634074776E-5</c:v>
                </c:pt>
                <c:pt idx="70">
                  <c:v>-9.6385542168615931E-5</c:v>
                </c:pt>
                <c:pt idx="71">
                  <c:v>-8.3333333333342655E-5</c:v>
                </c:pt>
                <c:pt idx="72">
                  <c:v>-7.0588235294074612E-5</c:v>
                </c:pt>
                <c:pt idx="73">
                  <c:v>2.0639534883727437E-4</c:v>
                </c:pt>
                <c:pt idx="74">
                  <c:v>3.4626436781601874E-4</c:v>
                </c:pt>
                <c:pt idx="75">
                  <c:v>2.2443181818186788E-4</c:v>
                </c:pt>
                <c:pt idx="76">
                  <c:v>2.3314606741571591E-4</c:v>
                </c:pt>
                <c:pt idx="77">
                  <c:v>2.4166666666658947E-4</c:v>
                </c:pt>
                <c:pt idx="78">
                  <c:v>1.2499999999993072E-4</c:v>
                </c:pt>
                <c:pt idx="79">
                  <c:v>1.3451086956530698E-4</c:v>
                </c:pt>
                <c:pt idx="80">
                  <c:v>2.6612903225824175E-4</c:v>
                </c:pt>
                <c:pt idx="81">
                  <c:v>3.1914893616840593E-5</c:v>
                </c:pt>
                <c:pt idx="82">
                  <c:v>2.8157894736826266E-4</c:v>
                </c:pt>
                <c:pt idx="83">
                  <c:v>1.7057291666672711E-4</c:v>
                </c:pt>
                <c:pt idx="84">
                  <c:v>1.7912371134020763E-4</c:v>
                </c:pt>
                <c:pt idx="85">
                  <c:v>1.8750000000014987E-4</c:v>
                </c:pt>
                <c:pt idx="86">
                  <c:v>1.9570707070716187E-4</c:v>
                </c:pt>
                <c:pt idx="87">
                  <c:v>-2.3750000000042346E-5</c:v>
                </c:pt>
                <c:pt idx="88">
                  <c:v>-3.5148514851496228E-4</c:v>
                </c:pt>
                <c:pt idx="89">
                  <c:v>-3.6764705881897183E-6</c:v>
                </c:pt>
                <c:pt idx="90">
                  <c:v>2.2694174757287948E-4</c:v>
                </c:pt>
                <c:pt idx="91">
                  <c:v>2.3437500000000888E-4</c:v>
                </c:pt>
                <c:pt idx="92">
                  <c:v>2.4166666666681401E-4</c:v>
                </c:pt>
                <c:pt idx="93">
                  <c:v>1.4150943396222551E-4</c:v>
                </c:pt>
                <c:pt idx="94">
                  <c:v>-6.3084112149506053E-5</c:v>
                </c:pt>
                <c:pt idx="95">
                  <c:v>-1.5856481481478244E-4</c:v>
                </c:pt>
                <c:pt idx="96">
                  <c:v>-1.4793577981653364E-4</c:v>
                </c:pt>
                <c:pt idx="97">
                  <c:v>-2.4090909090910477E-4</c:v>
                </c:pt>
                <c:pt idx="98">
                  <c:v>-2.2972972972979444E-4</c:v>
                </c:pt>
                <c:pt idx="99">
                  <c:v>-3.203125000000584E-4</c:v>
                </c:pt>
                <c:pt idx="100">
                  <c:v>-3.0862831858417876E-4</c:v>
                </c:pt>
                <c:pt idx="101">
                  <c:v>-1.9736842105266632E-4</c:v>
                </c:pt>
                <c:pt idx="102">
                  <c:v>-3.847826086956262E-4</c:v>
                </c:pt>
                <c:pt idx="103">
                  <c:v>-4.7090517241376185E-4</c:v>
                </c:pt>
                <c:pt idx="104">
                  <c:v>-6.5277777777786002E-4</c:v>
                </c:pt>
                <c:pt idx="105">
                  <c:v>-6.3877118644063626E-4</c:v>
                </c:pt>
                <c:pt idx="106">
                  <c:v>-5.2941176470594161E-4</c:v>
                </c:pt>
                <c:pt idx="107">
                  <c:v>-5.1666666666660423E-4</c:v>
                </c:pt>
                <c:pt idx="108">
                  <c:v>-4.1012396694218575E-4</c:v>
                </c:pt>
                <c:pt idx="109">
                  <c:v>-6.7827868852451826E-4</c:v>
                </c:pt>
                <c:pt idx="110">
                  <c:v>-6.6463414634160224E-4</c:v>
                </c:pt>
                <c:pt idx="111">
                  <c:v>-6.5120967741937529E-4</c:v>
                </c:pt>
                <c:pt idx="112">
                  <c:v>-7.2900000000001523E-4</c:v>
                </c:pt>
                <c:pt idx="113">
                  <c:v>-8.0555555555556553E-4</c:v>
                </c:pt>
                <c:pt idx="114">
                  <c:v>-7.9133858267706073E-4</c:v>
                </c:pt>
                <c:pt idx="115">
                  <c:v>-8.6621093750004891E-4</c:v>
                </c:pt>
                <c:pt idx="116">
                  <c:v>-9.3992248062019863E-4</c:v>
                </c:pt>
                <c:pt idx="117">
                  <c:v>-9.2500000000008689E-4</c:v>
                </c:pt>
                <c:pt idx="118">
                  <c:v>-9.9713740458007966E-4</c:v>
                </c:pt>
                <c:pt idx="119">
                  <c:v>-1.068181818181741E-3</c:v>
                </c:pt>
                <c:pt idx="120">
                  <c:v>-1.223684210526187E-3</c:v>
                </c:pt>
                <c:pt idx="121">
                  <c:v>-1.1222014925374255E-3</c:v>
                </c:pt>
                <c:pt idx="122">
                  <c:v>-1.2750000000000597E-3</c:v>
                </c:pt>
                <c:pt idx="123">
                  <c:v>-1.0909926470588688E-3</c:v>
                </c:pt>
                <c:pt idx="124">
                  <c:v>-1.075729927007238E-3</c:v>
                </c:pt>
                <c:pt idx="125">
                  <c:v>-1.0606884057970817E-3</c:v>
                </c:pt>
                <c:pt idx="126">
                  <c:v>-1.2095323741006497E-3</c:v>
                </c:pt>
                <c:pt idx="127">
                  <c:v>-1.2750000000000703E-3</c:v>
                </c:pt>
                <c:pt idx="128">
                  <c:v>-1.2588652482269172E-3</c:v>
                </c:pt>
                <c:pt idx="129">
                  <c:v>-1.2429577464788803E-3</c:v>
                </c:pt>
                <c:pt idx="130">
                  <c:v>-1.3068181818181842E-3</c:v>
                </c:pt>
                <c:pt idx="131">
                  <c:v>-1.4487847222221764E-3</c:v>
                </c:pt>
                <c:pt idx="132">
                  <c:v>-1.510344827586157E-3</c:v>
                </c:pt>
                <c:pt idx="133">
                  <c:v>-1.5710616438357008E-3</c:v>
                </c:pt>
                <c:pt idx="134">
                  <c:v>-1.5535714285714135E-3</c:v>
                </c:pt>
                <c:pt idx="135">
                  <c:v>-1.6131756756756564E-3</c:v>
                </c:pt>
                <c:pt idx="136">
                  <c:v>-1.6719798657717885E-3</c:v>
                </c:pt>
                <c:pt idx="137">
                  <c:v>-1.6541666666666812E-3</c:v>
                </c:pt>
                <c:pt idx="138">
                  <c:v>-1.7119205298013343E-3</c:v>
                </c:pt>
                <c:pt idx="139">
                  <c:v>-1.7689144736842161E-3</c:v>
                </c:pt>
                <c:pt idx="140">
                  <c:v>-1.6764705882352459E-3</c:v>
                </c:pt>
                <c:pt idx="141">
                  <c:v>-1.659090909090898E-3</c:v>
                </c:pt>
                <c:pt idx="142">
                  <c:v>-1.6419354838709932E-3</c:v>
                </c:pt>
                <c:pt idx="143">
                  <c:v>-1.7708333333333142E-3</c:v>
                </c:pt>
                <c:pt idx="144">
                  <c:v>-1.7531847133758129E-3</c:v>
                </c:pt>
                <c:pt idx="145">
                  <c:v>-1.8077531645569747E-3</c:v>
                </c:pt>
                <c:pt idx="146">
                  <c:v>-1.7900943396226899E-3</c:v>
                </c:pt>
                <c:pt idx="147">
                  <c:v>-1.7726562499999572E-3</c:v>
                </c:pt>
                <c:pt idx="148">
                  <c:v>-1.8260869565216926E-3</c:v>
                </c:pt>
                <c:pt idx="149">
                  <c:v>-1.8788580246913078E-3</c:v>
                </c:pt>
                <c:pt idx="150">
                  <c:v>-1.8611963190183895E-3</c:v>
                </c:pt>
                <c:pt idx="151">
                  <c:v>-1.9131097560975419E-3</c:v>
                </c:pt>
                <c:pt idx="152">
                  <c:v>-1.9643939393939164E-3</c:v>
                </c:pt>
                <c:pt idx="153">
                  <c:v>-1.9465361445783246E-3</c:v>
                </c:pt>
                <c:pt idx="154">
                  <c:v>-1.9288922155687865E-3</c:v>
                </c:pt>
                <c:pt idx="155">
                  <c:v>-1.9791666666667076E-3</c:v>
                </c:pt>
                <c:pt idx="156">
                  <c:v>-2.0288461538461909E-3</c:v>
                </c:pt>
                <c:pt idx="157">
                  <c:v>-1.9441176470588119E-3</c:v>
                </c:pt>
                <c:pt idx="158">
                  <c:v>-1.9269005847953431E-3</c:v>
                </c:pt>
                <c:pt idx="159">
                  <c:v>-1.9760174418604827E-3</c:v>
                </c:pt>
                <c:pt idx="160">
                  <c:v>-1.9588150289016676E-3</c:v>
                </c:pt>
                <c:pt idx="161">
                  <c:v>-2.0725574712643778E-3</c:v>
                </c:pt>
                <c:pt idx="162">
                  <c:v>-2.1849999999999704E-3</c:v>
                </c:pt>
                <c:pt idx="163">
                  <c:v>-2.1022727272727655E-3</c:v>
                </c:pt>
                <c:pt idx="164">
                  <c:v>-2.213276836158191E-3</c:v>
                </c:pt>
                <c:pt idx="165">
                  <c:v>-2.131320224719054E-3</c:v>
                </c:pt>
                <c:pt idx="166">
                  <c:v>-2.2409217877094115E-3</c:v>
                </c:pt>
                <c:pt idx="167">
                  <c:v>-2.3493055555555437E-3</c:v>
                </c:pt>
                <c:pt idx="168">
                  <c:v>-2.3936464088397638E-3</c:v>
                </c:pt>
                <c:pt idx="169">
                  <c:v>-2.3125000000000506E-3</c:v>
                </c:pt>
                <c:pt idx="170">
                  <c:v>-2.3565573770491168E-3</c:v>
                </c:pt>
                <c:pt idx="171">
                  <c:v>-2.338315217391162E-3</c:v>
                </c:pt>
                <c:pt idx="172">
                  <c:v>-2.3817567567566119E-3</c:v>
                </c:pt>
                <c:pt idx="173">
                  <c:v>-2.3635752688171995E-3</c:v>
                </c:pt>
                <c:pt idx="174">
                  <c:v>-2.4672459893046628E-3</c:v>
                </c:pt>
                <c:pt idx="175">
                  <c:v>-2.3882978723405546E-3</c:v>
                </c:pt>
                <c:pt idx="176">
                  <c:v>-2.3703703703704215E-3</c:v>
                </c:pt>
                <c:pt idx="177">
                  <c:v>-2.3526315789473428E-3</c:v>
                </c:pt>
                <c:pt idx="178">
                  <c:v>-2.2755235602094615E-3</c:v>
                </c:pt>
                <c:pt idx="179">
                  <c:v>-2.2584635416666283E-3</c:v>
                </c:pt>
                <c:pt idx="180">
                  <c:v>-2.2415803108809247E-3</c:v>
                </c:pt>
                <c:pt idx="181">
                  <c:v>-2.224871134020639E-3</c:v>
                </c:pt>
                <c:pt idx="182">
                  <c:v>-2.091666666666677E-3</c:v>
                </c:pt>
                <c:pt idx="183">
                  <c:v>-2.1919642857141574E-3</c:v>
                </c:pt>
                <c:pt idx="184">
                  <c:v>-2.2335025380709351E-3</c:v>
                </c:pt>
                <c:pt idx="185">
                  <c:v>-2.1022727272725873E-3</c:v>
                </c:pt>
                <c:pt idx="186">
                  <c:v>-2.0295226130652476E-3</c:v>
                </c:pt>
                <c:pt idx="187">
                  <c:v>-2.0143750000000504E-3</c:v>
                </c:pt>
                <c:pt idx="188">
                  <c:v>-1.8861940298507867E-3</c:v>
                </c:pt>
                <c:pt idx="189">
                  <c:v>-1.9282178217822153E-3</c:v>
                </c:pt>
                <c:pt idx="190">
                  <c:v>-1.8577586206897511E-3</c:v>
                </c:pt>
                <c:pt idx="191">
                  <c:v>-1.7322303921569486E-3</c:v>
                </c:pt>
                <c:pt idx="192">
                  <c:v>-1.6634146341462882E-3</c:v>
                </c:pt>
                <c:pt idx="193">
                  <c:v>-1.7057038834950896E-3</c:v>
                </c:pt>
                <c:pt idx="194">
                  <c:v>-1.6926328502414199E-3</c:v>
                </c:pt>
                <c:pt idx="195">
                  <c:v>-1.7343749999998714E-3</c:v>
                </c:pt>
                <c:pt idx="196">
                  <c:v>-1.7212918660287041E-3</c:v>
                </c:pt>
                <c:pt idx="197">
                  <c:v>-1.762499999999993E-3</c:v>
                </c:pt>
                <c:pt idx="198">
                  <c:v>-1.8033175355452048E-3</c:v>
                </c:pt>
                <c:pt idx="199">
                  <c:v>-1.8437499999999867E-3</c:v>
                </c:pt>
                <c:pt idx="200">
                  <c:v>-1.830399061032972E-3</c:v>
                </c:pt>
                <c:pt idx="201">
                  <c:v>-1.8703271028038431E-3</c:v>
                </c:pt>
                <c:pt idx="202">
                  <c:v>-1.8040697674418325E-3</c:v>
                </c:pt>
                <c:pt idx="203">
                  <c:v>-1.8437499999999691E-3</c:v>
                </c:pt>
                <c:pt idx="204">
                  <c:v>-1.8306451612902248E-3</c:v>
                </c:pt>
                <c:pt idx="205">
                  <c:v>-1.817660550458737E-3</c:v>
                </c:pt>
                <c:pt idx="206">
                  <c:v>-1.7528538812784302E-3</c:v>
                </c:pt>
                <c:pt idx="207">
                  <c:v>-1.8954545454545608E-3</c:v>
                </c:pt>
                <c:pt idx="208">
                  <c:v>-1.8308823529410631E-3</c:v>
                </c:pt>
                <c:pt idx="209">
                  <c:v>-1.7668918918920147E-3</c:v>
                </c:pt>
                <c:pt idx="210">
                  <c:v>-1.7034753363228646E-3</c:v>
                </c:pt>
                <c:pt idx="211">
                  <c:v>-1.6914062500001104E-3</c:v>
                </c:pt>
                <c:pt idx="212">
                  <c:v>-1.6288888888888722E-3</c:v>
                </c:pt>
                <c:pt idx="213">
                  <c:v>-1.6172566371682395E-3</c:v>
                </c:pt>
                <c:pt idx="214">
                  <c:v>-1.6057268722467295E-3</c:v>
                </c:pt>
                <c:pt idx="215">
                  <c:v>-1.7439692982455892E-3</c:v>
                </c:pt>
                <c:pt idx="216">
                  <c:v>-1.7319868995632306E-3</c:v>
                </c:pt>
                <c:pt idx="217">
                  <c:v>-1.6211956521738169E-3</c:v>
                </c:pt>
                <c:pt idx="218">
                  <c:v>-1.6098484848485011E-3</c:v>
                </c:pt>
                <c:pt idx="219">
                  <c:v>-1.5005387931034562E-3</c:v>
                </c:pt>
                <c:pt idx="220">
                  <c:v>-1.4898068669527351E-3</c:v>
                </c:pt>
                <c:pt idx="221">
                  <c:v>-1.4791666666667226E-3</c:v>
                </c:pt>
                <c:pt idx="222">
                  <c:v>-1.4686170212765896E-3</c:v>
                </c:pt>
                <c:pt idx="223">
                  <c:v>-1.4581567796611203E-3</c:v>
                </c:pt>
                <c:pt idx="224">
                  <c:v>-1.4477848101266239E-3</c:v>
                </c:pt>
                <c:pt idx="225">
                  <c:v>-1.2941176470587985E-3</c:v>
                </c:pt>
                <c:pt idx="226">
                  <c:v>-1.2369246861924938E-3</c:v>
                </c:pt>
                <c:pt idx="227">
                  <c:v>-1.2276041666666312E-3</c:v>
                </c:pt>
                <c:pt idx="228">
                  <c:v>-1.2183609958505268E-3</c:v>
                </c:pt>
                <c:pt idx="229">
                  <c:v>-1.2091942148760447E-3</c:v>
                </c:pt>
                <c:pt idx="230">
                  <c:v>-1.2469135802469224E-3</c:v>
                </c:pt>
                <c:pt idx="231">
                  <c:v>-1.2843237704918097E-3</c:v>
                </c:pt>
                <c:pt idx="232">
                  <c:v>-1.2750000000001118E-3</c:v>
                </c:pt>
                <c:pt idx="233">
                  <c:v>-1.2657520325203772E-3</c:v>
                </c:pt>
                <c:pt idx="234">
                  <c:v>-1.2105263157895741E-3</c:v>
                </c:pt>
                <c:pt idx="235">
                  <c:v>-1.2474798387097747E-3</c:v>
                </c:pt>
                <c:pt idx="236">
                  <c:v>-1.1470883534137439E-3</c:v>
                </c:pt>
                <c:pt idx="237">
                  <c:v>-1.1385000000000308E-3</c:v>
                </c:pt>
                <c:pt idx="238">
                  <c:v>-1.0393426294820947E-3</c:v>
                </c:pt>
                <c:pt idx="239">
                  <c:v>-1.1215277777776929E-3</c:v>
                </c:pt>
                <c:pt idx="240">
                  <c:v>-1.0232213438734256E-3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51-4335-814D-53B8B9178B55}"/>
            </c:ext>
          </c:extLst>
        </c:ser>
        <c:ser>
          <c:idx val="5"/>
          <c:order val="5"/>
          <c:tx>
            <c:strRef>
              <c:f>'전류편차_24mA(절대값기준)'!$BU$7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'전류편차_24mA(절대값기준)'!$BU$22:$BU$262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-6.2500000000006994E-4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-1.0073529411764135E-3</c:v>
                </c:pt>
                <c:pt idx="5">
                  <c:v>-2.6388888888879817E-4</c:v>
                </c:pt>
                <c:pt idx="6">
                  <c:v>-1.3947368421053433E-3</c:v>
                </c:pt>
                <c:pt idx="7">
                  <c:v>-7.06250000000043E-4</c:v>
                </c:pt>
                <c:pt idx="8">
                  <c:v>-1.7083333333334041E-3</c:v>
                </c:pt>
                <c:pt idx="9">
                  <c:v>9.9999999999996424E-4</c:v>
                </c:pt>
                <c:pt idx="10">
                  <c:v>1.4945652173912992E-3</c:v>
                </c:pt>
                <c:pt idx="11">
                  <c:v>2.4218750000000754E-3</c:v>
                </c:pt>
                <c:pt idx="12">
                  <c:v>2.8199999999999979E-3</c:v>
                </c:pt>
                <c:pt idx="13">
                  <c:v>2.7499999999999747E-3</c:v>
                </c:pt>
                <c:pt idx="14">
                  <c:v>3.527777777777825E-3</c:v>
                </c:pt>
                <c:pt idx="15">
                  <c:v>3.4375000000000239E-3</c:v>
                </c:pt>
                <c:pt idx="16">
                  <c:v>2.9612068965517695E-3</c:v>
                </c:pt>
                <c:pt idx="17">
                  <c:v>2.8958333333333566E-3</c:v>
                </c:pt>
                <c:pt idx="18">
                  <c:v>2.8346774193548415E-3</c:v>
                </c:pt>
                <c:pt idx="19">
                  <c:v>2.0664062499999043E-3</c:v>
                </c:pt>
                <c:pt idx="20">
                  <c:v>2.0340909090909511E-3</c:v>
                </c:pt>
                <c:pt idx="21">
                  <c:v>1.6691176470588829E-3</c:v>
                </c:pt>
                <c:pt idx="22">
                  <c:v>1.9750000000000045E-3</c:v>
                </c:pt>
                <c:pt idx="23">
                  <c:v>1.000000000000092E-3</c:v>
                </c:pt>
                <c:pt idx="24">
                  <c:v>1.3074324324324714E-3</c:v>
                </c:pt>
                <c:pt idx="25">
                  <c:v>2.1973684210525547E-3</c:v>
                </c:pt>
                <c:pt idx="26">
                  <c:v>2.4583333333333401E-3</c:v>
                </c:pt>
                <c:pt idx="27">
                  <c:v>2.4218749999999913E-3</c:v>
                </c:pt>
                <c:pt idx="28">
                  <c:v>2.9420731707317459E-3</c:v>
                </c:pt>
                <c:pt idx="29">
                  <c:v>2.6249999999999329E-3</c:v>
                </c:pt>
                <c:pt idx="30">
                  <c:v>2.5872093023256194E-3</c:v>
                </c:pt>
                <c:pt idx="31">
                  <c:v>2.5511363636363869E-3</c:v>
                </c:pt>
                <c:pt idx="32">
                  <c:v>2.2638888888888136E-3</c:v>
                </c:pt>
                <c:pt idx="33">
                  <c:v>1.9891304347825489E-3</c:v>
                </c:pt>
                <c:pt idx="34">
                  <c:v>1.4840425531913635E-3</c:v>
                </c:pt>
                <c:pt idx="35">
                  <c:v>1.2369791666665571E-3</c:v>
                </c:pt>
                <c:pt idx="36">
                  <c:v>1.0000000000001119E-3</c:v>
                </c:pt>
                <c:pt idx="37">
                  <c:v>3.1749999999997058E-4</c:v>
                </c:pt>
                <c:pt idx="38">
                  <c:v>1.0784313725488572E-4</c:v>
                </c:pt>
                <c:pt idx="39">
                  <c:v>-9.6874999999990719E-4</c:v>
                </c:pt>
                <c:pt idx="40">
                  <c:v>-7.1698113207560631E-4</c:v>
                </c:pt>
                <c:pt idx="41">
                  <c:v>-5.3240740740766744E-5</c:v>
                </c:pt>
                <c:pt idx="42">
                  <c:v>5.863636363637151E-4</c:v>
                </c:pt>
                <c:pt idx="43">
                  <c:v>9.999999999999315E-4</c:v>
                </c:pt>
                <c:pt idx="44">
                  <c:v>1.1995614035088492E-3</c:v>
                </c:pt>
                <c:pt idx="45">
                  <c:v>1.196120689655325E-3</c:v>
                </c:pt>
                <c:pt idx="46">
                  <c:v>1.3855932203389301E-3</c:v>
                </c:pt>
                <c:pt idx="47">
                  <c:v>1.3791666666666887E-3</c:v>
                </c:pt>
                <c:pt idx="48">
                  <c:v>1.3729508196722257E-3</c:v>
                </c:pt>
                <c:pt idx="49">
                  <c:v>1.3669354838709694E-3</c:v>
                </c:pt>
                <c:pt idx="50">
                  <c:v>1.1805555555555675E-3</c:v>
                </c:pt>
                <c:pt idx="51">
                  <c:v>9.9999999999986385E-4</c:v>
                </c:pt>
                <c:pt idx="52">
                  <c:v>9.9999999999993432E-4</c:v>
                </c:pt>
                <c:pt idx="53">
                  <c:v>4.8295454545452845E-4</c:v>
                </c:pt>
                <c:pt idx="54">
                  <c:v>3.2089552238805249E-4</c:v>
                </c:pt>
                <c:pt idx="55">
                  <c:v>-3.6764705882887678E-6</c:v>
                </c:pt>
                <c:pt idx="56">
                  <c:v>1.0869565217402981E-5</c:v>
                </c:pt>
                <c:pt idx="57">
                  <c:v>5.1249999999994909E-4</c:v>
                </c:pt>
                <c:pt idx="58">
                  <c:v>6.7957746478879827E-4</c:v>
                </c:pt>
                <c:pt idx="59">
                  <c:v>1.000000000000092E-3</c:v>
                </c:pt>
                <c:pt idx="60">
                  <c:v>1.1558219178081459E-3</c:v>
                </c:pt>
                <c:pt idx="61">
                  <c:v>9.9999999999993649E-4</c:v>
                </c:pt>
                <c:pt idx="62">
                  <c:v>1.1516666666667138E-3</c:v>
                </c:pt>
                <c:pt idx="63">
                  <c:v>9.9999999999992196E-4</c:v>
                </c:pt>
                <c:pt idx="64">
                  <c:v>9.9999999999998072E-4</c:v>
                </c:pt>
                <c:pt idx="65">
                  <c:v>1.1458333333334201E-3</c:v>
                </c:pt>
                <c:pt idx="66">
                  <c:v>8.5601265822776577E-4</c:v>
                </c:pt>
                <c:pt idx="67">
                  <c:v>7.1562500000005302E-4</c:v>
                </c:pt>
                <c:pt idx="68">
                  <c:v>4.3827160493828502E-4</c:v>
                </c:pt>
                <c:pt idx="69">
                  <c:v>3.0640243902441133E-4</c:v>
                </c:pt>
                <c:pt idx="70">
                  <c:v>-9.6385542168615931E-5</c:v>
                </c:pt>
                <c:pt idx="71">
                  <c:v>-4.8958333333335802E-4</c:v>
                </c:pt>
                <c:pt idx="72">
                  <c:v>-6.0588235294119328E-4</c:v>
                </c:pt>
                <c:pt idx="73">
                  <c:v>-3.2267441860464531E-4</c:v>
                </c:pt>
                <c:pt idx="74">
                  <c:v>-1.7672413793105011E-4</c:v>
                </c:pt>
                <c:pt idx="75">
                  <c:v>9.5170454545461097E-5</c:v>
                </c:pt>
                <c:pt idx="76">
                  <c:v>2.3314606741571591E-4</c:v>
                </c:pt>
                <c:pt idx="77">
                  <c:v>2.4166666666658947E-4</c:v>
                </c:pt>
                <c:pt idx="78">
                  <c:v>3.7500000000001421E-4</c:v>
                </c:pt>
                <c:pt idx="79">
                  <c:v>5.054347826087993E-4</c:v>
                </c:pt>
                <c:pt idx="80">
                  <c:v>3.8844086021516319E-4</c:v>
                </c:pt>
                <c:pt idx="81">
                  <c:v>2.7393617021266608E-4</c:v>
                </c:pt>
                <c:pt idx="82">
                  <c:v>2.8157894736826266E-4</c:v>
                </c:pt>
                <c:pt idx="83">
                  <c:v>2.8906249999999478E-4</c:v>
                </c:pt>
                <c:pt idx="84">
                  <c:v>6.1855670103159224E-5</c:v>
                </c:pt>
                <c:pt idx="85">
                  <c:v>-1.6071428571414907E-4</c:v>
                </c:pt>
                <c:pt idx="86">
                  <c:v>-2.6388888888874716E-4</c:v>
                </c:pt>
                <c:pt idx="87">
                  <c:v>-7.0625000000006815E-4</c:v>
                </c:pt>
                <c:pt idx="88">
                  <c:v>-8.0198019801986308E-4</c:v>
                </c:pt>
                <c:pt idx="89">
                  <c:v>-5.612745098039631E-4</c:v>
                </c:pt>
                <c:pt idx="90">
                  <c:v>-4.3567961165044661E-4</c:v>
                </c:pt>
                <c:pt idx="91">
                  <c:v>-4.2187500000001599E-4</c:v>
                </c:pt>
                <c:pt idx="92">
                  <c:v>-1.9166666666666407E-4</c:v>
                </c:pt>
                <c:pt idx="93">
                  <c:v>-7.3113207547280106E-5</c:v>
                </c:pt>
                <c:pt idx="94">
                  <c:v>1.4953271028028266E-4</c:v>
                </c:pt>
                <c:pt idx="95">
                  <c:v>1.5740740740745175E-4</c:v>
                </c:pt>
                <c:pt idx="96">
                  <c:v>1.6513761467889108E-4</c:v>
                </c:pt>
                <c:pt idx="97">
                  <c:v>1.7272727272739702E-4</c:v>
                </c:pt>
                <c:pt idx="98">
                  <c:v>1.801801801800703E-4</c:v>
                </c:pt>
                <c:pt idx="99">
                  <c:v>8.593749999989686E-5</c:v>
                </c:pt>
                <c:pt idx="100">
                  <c:v>9.4026548672592857E-5</c:v>
                </c:pt>
                <c:pt idx="101">
                  <c:v>2.1929824561722474E-6</c:v>
                </c:pt>
                <c:pt idx="102">
                  <c:v>-8.8043478260832356E-5</c:v>
                </c:pt>
                <c:pt idx="103">
                  <c:v>-2.7478448275852394E-4</c:v>
                </c:pt>
                <c:pt idx="104">
                  <c:v>-4.5833333333335067E-4</c:v>
                </c:pt>
                <c:pt idx="105">
                  <c:v>-2.5317796610169571E-4</c:v>
                </c:pt>
                <c:pt idx="106">
                  <c:v>-1.4705882352934331E-4</c:v>
                </c:pt>
                <c:pt idx="107">
                  <c:v>5.2083333333417342E-5</c:v>
                </c:pt>
                <c:pt idx="108">
                  <c:v>1.5392561983469517E-4</c:v>
                </c:pt>
                <c:pt idx="109">
                  <c:v>2.5409836065578981E-4</c:v>
                </c:pt>
                <c:pt idx="110">
                  <c:v>3.5264227642271861E-4</c:v>
                </c:pt>
                <c:pt idx="111">
                  <c:v>3.5786290322571554E-4</c:v>
                </c:pt>
                <c:pt idx="112">
                  <c:v>3.6300000000002617E-4</c:v>
                </c:pt>
                <c:pt idx="113">
                  <c:v>2.7777777777780889E-4</c:v>
                </c:pt>
                <c:pt idx="114">
                  <c:v>2.8346456692912011E-4</c:v>
                </c:pt>
                <c:pt idx="115">
                  <c:v>1.1132812499988277E-4</c:v>
                </c:pt>
                <c:pt idx="116">
                  <c:v>3.0038759689811159E-5</c:v>
                </c:pt>
                <c:pt idx="117">
                  <c:v>-1.3750000000005701E-4</c:v>
                </c:pt>
                <c:pt idx="118">
                  <c:v>-2.1564885496188374E-4</c:v>
                </c:pt>
                <c:pt idx="119">
                  <c:v>-5.5113636363626674E-4</c:v>
                </c:pt>
                <c:pt idx="120">
                  <c:v>-6.2499999999989907E-4</c:v>
                </c:pt>
                <c:pt idx="121">
                  <c:v>-4.4309701492540921E-4</c:v>
                </c:pt>
                <c:pt idx="122">
                  <c:v>-5.1666666666669769E-4</c:v>
                </c:pt>
                <c:pt idx="123">
                  <c:v>-5.0551470588242541E-4</c:v>
                </c:pt>
                <c:pt idx="124">
                  <c:v>-4.9452554744522132E-4</c:v>
                </c:pt>
                <c:pt idx="125">
                  <c:v>-4.0126811594193534E-4</c:v>
                </c:pt>
                <c:pt idx="126">
                  <c:v>-2.2751798561140388E-4</c:v>
                </c:pt>
                <c:pt idx="127">
                  <c:v>-3.0000000000003353E-4</c:v>
                </c:pt>
                <c:pt idx="128">
                  <c:v>-2.9078014184404511E-4</c:v>
                </c:pt>
                <c:pt idx="129">
                  <c:v>-3.6179577464795574E-4</c:v>
                </c:pt>
                <c:pt idx="130">
                  <c:v>-3.522727272726935E-4</c:v>
                </c:pt>
                <c:pt idx="131">
                  <c:v>-5.7986111111112593E-4</c:v>
                </c:pt>
                <c:pt idx="132">
                  <c:v>-7.2586206896548401E-4</c:v>
                </c:pt>
                <c:pt idx="133">
                  <c:v>-7.9195205479462149E-4</c:v>
                </c:pt>
                <c:pt idx="134">
                  <c:v>-9.3452380952386259E-4</c:v>
                </c:pt>
                <c:pt idx="135">
                  <c:v>-1.2288851351351922E-3</c:v>
                </c:pt>
                <c:pt idx="136">
                  <c:v>-1.442953020134196E-3</c:v>
                </c:pt>
                <c:pt idx="137">
                  <c:v>-1.3508333333332465E-3</c:v>
                </c:pt>
                <c:pt idx="138">
                  <c:v>-1.4105960264901092E-3</c:v>
                </c:pt>
                <c:pt idx="139">
                  <c:v>-1.4695723684210913E-3</c:v>
                </c:pt>
                <c:pt idx="140">
                  <c:v>-1.4534313725490949E-3</c:v>
                </c:pt>
                <c:pt idx="141">
                  <c:v>-1.4374999999999805E-3</c:v>
                </c:pt>
                <c:pt idx="142">
                  <c:v>-1.4951612903225571E-3</c:v>
                </c:pt>
                <c:pt idx="143">
                  <c:v>-1.4791666666665502E-3</c:v>
                </c:pt>
                <c:pt idx="144">
                  <c:v>-1.4633757961783928E-3</c:v>
                </c:pt>
                <c:pt idx="145">
                  <c:v>-1.5197784810127026E-3</c:v>
                </c:pt>
                <c:pt idx="146">
                  <c:v>-1.5039308176100156E-3</c:v>
                </c:pt>
                <c:pt idx="147">
                  <c:v>-1.559374999999949E-3</c:v>
                </c:pt>
                <c:pt idx="148">
                  <c:v>-1.5434782608695497E-3</c:v>
                </c:pt>
                <c:pt idx="149">
                  <c:v>-1.6682098765431516E-3</c:v>
                </c:pt>
                <c:pt idx="150">
                  <c:v>-1.8611963190183895E-3</c:v>
                </c:pt>
                <c:pt idx="151">
                  <c:v>-2.0518292682927099E-3</c:v>
                </c:pt>
                <c:pt idx="152">
                  <c:v>-2.1022727272727504E-3</c:v>
                </c:pt>
                <c:pt idx="153">
                  <c:v>-2.0835843373493332E-3</c:v>
                </c:pt>
                <c:pt idx="154">
                  <c:v>-1.9970059880239596E-3</c:v>
                </c:pt>
                <c:pt idx="155">
                  <c:v>-2.1145833333334196E-3</c:v>
                </c:pt>
                <c:pt idx="156">
                  <c:v>-2.0288461538461909E-3</c:v>
                </c:pt>
                <c:pt idx="157">
                  <c:v>-2.1448529411764667E-3</c:v>
                </c:pt>
                <c:pt idx="158">
                  <c:v>-1.9934210526315636E-3</c:v>
                </c:pt>
                <c:pt idx="159">
                  <c:v>-2.0421511627906788E-3</c:v>
                </c:pt>
                <c:pt idx="160">
                  <c:v>-2.0245664739883366E-3</c:v>
                </c:pt>
                <c:pt idx="161">
                  <c:v>-2.0725574712643778E-3</c:v>
                </c:pt>
                <c:pt idx="162">
                  <c:v>-2.0550000000000425E-3</c:v>
                </c:pt>
                <c:pt idx="163">
                  <c:v>-2.0376420454545048E-3</c:v>
                </c:pt>
                <c:pt idx="164">
                  <c:v>-2.0847457627118206E-3</c:v>
                </c:pt>
                <c:pt idx="165">
                  <c:v>-2.131320224719054E-3</c:v>
                </c:pt>
                <c:pt idx="166">
                  <c:v>-2.3044692737430087E-3</c:v>
                </c:pt>
                <c:pt idx="167">
                  <c:v>-2.4125000000000656E-3</c:v>
                </c:pt>
                <c:pt idx="168">
                  <c:v>-2.5193370165746123E-3</c:v>
                </c:pt>
                <c:pt idx="169">
                  <c:v>-2.375000000000016E-3</c:v>
                </c:pt>
                <c:pt idx="170">
                  <c:v>-2.418715846994548E-3</c:v>
                </c:pt>
                <c:pt idx="171">
                  <c:v>-2.4001358695651506E-3</c:v>
                </c:pt>
                <c:pt idx="172">
                  <c:v>-2.3817567567566119E-3</c:v>
                </c:pt>
                <c:pt idx="173">
                  <c:v>-2.4247311827955515E-3</c:v>
                </c:pt>
                <c:pt idx="174">
                  <c:v>-2.4064171122994567E-3</c:v>
                </c:pt>
                <c:pt idx="175">
                  <c:v>-2.4488031914895645E-3</c:v>
                </c:pt>
                <c:pt idx="176">
                  <c:v>-2.4305555555556805E-3</c:v>
                </c:pt>
                <c:pt idx="177">
                  <c:v>-2.4125000000000479E-3</c:v>
                </c:pt>
                <c:pt idx="178">
                  <c:v>-2.3946335078533745E-3</c:v>
                </c:pt>
                <c:pt idx="179">
                  <c:v>-2.3769531250001064E-3</c:v>
                </c:pt>
                <c:pt idx="180">
                  <c:v>-2.3005181347149841E-3</c:v>
                </c:pt>
                <c:pt idx="181">
                  <c:v>-2.4007731958763157E-3</c:v>
                </c:pt>
                <c:pt idx="182">
                  <c:v>-2.324999999999881E-3</c:v>
                </c:pt>
                <c:pt idx="183">
                  <c:v>-2.4821428571428772E-3</c:v>
                </c:pt>
                <c:pt idx="184">
                  <c:v>-2.5222081218274281E-3</c:v>
                </c:pt>
                <c:pt idx="185">
                  <c:v>-2.44696969696957E-3</c:v>
                </c:pt>
                <c:pt idx="186">
                  <c:v>-2.2581658291457259E-3</c:v>
                </c:pt>
                <c:pt idx="187">
                  <c:v>-2.2987499999999935E-3</c:v>
                </c:pt>
                <c:pt idx="188">
                  <c:v>-2.282338308457834E-3</c:v>
                </c:pt>
                <c:pt idx="189">
                  <c:v>-2.2660891089109408E-3</c:v>
                </c:pt>
                <c:pt idx="190">
                  <c:v>-2.1939655172414879E-3</c:v>
                </c:pt>
                <c:pt idx="191">
                  <c:v>-2.1783088235294485E-3</c:v>
                </c:pt>
                <c:pt idx="192">
                  <c:v>-2.1628048780487461E-3</c:v>
                </c:pt>
                <c:pt idx="193">
                  <c:v>-2.0922330097087618E-3</c:v>
                </c:pt>
                <c:pt idx="194">
                  <c:v>-2.0223429951689688E-3</c:v>
                </c:pt>
                <c:pt idx="195">
                  <c:v>-2.0078125000000113E-3</c:v>
                </c:pt>
                <c:pt idx="196">
                  <c:v>-2.0478468899521613E-3</c:v>
                </c:pt>
                <c:pt idx="197">
                  <c:v>-2.1416666666665457E-3</c:v>
                </c:pt>
                <c:pt idx="198">
                  <c:v>-2.1806872037915368E-3</c:v>
                </c:pt>
                <c:pt idx="199">
                  <c:v>-2.2729952830189979E-3</c:v>
                </c:pt>
                <c:pt idx="200">
                  <c:v>-2.4178403755869215E-3</c:v>
                </c:pt>
                <c:pt idx="201">
                  <c:v>-2.2955607476636093E-3</c:v>
                </c:pt>
                <c:pt idx="202">
                  <c:v>-2.227325581395274E-3</c:v>
                </c:pt>
                <c:pt idx="203">
                  <c:v>-2.2650462962962191E-3</c:v>
                </c:pt>
                <c:pt idx="204">
                  <c:v>-2.2500000000000423E-3</c:v>
                </c:pt>
                <c:pt idx="205">
                  <c:v>-2.2350917431192413E-3</c:v>
                </c:pt>
                <c:pt idx="206">
                  <c:v>-2.2722602739725754E-3</c:v>
                </c:pt>
                <c:pt idx="207">
                  <c:v>-2.3090909090908792E-3</c:v>
                </c:pt>
                <c:pt idx="208">
                  <c:v>-2.345588235294085E-3</c:v>
                </c:pt>
                <c:pt idx="209">
                  <c:v>-2.3305180180181015E-3</c:v>
                </c:pt>
                <c:pt idx="210">
                  <c:v>-2.3155829596412736E-3</c:v>
                </c:pt>
                <c:pt idx="211">
                  <c:v>-2.3515625000000151E-3</c:v>
                </c:pt>
                <c:pt idx="212">
                  <c:v>-2.2861111111111792E-3</c:v>
                </c:pt>
                <c:pt idx="213">
                  <c:v>-2.3219026548673216E-3</c:v>
                </c:pt>
                <c:pt idx="214">
                  <c:v>-2.3072687224669612E-3</c:v>
                </c:pt>
                <c:pt idx="215">
                  <c:v>-2.4923245614035124E-3</c:v>
                </c:pt>
                <c:pt idx="216">
                  <c:v>-2.4274017467249467E-3</c:v>
                </c:pt>
                <c:pt idx="217">
                  <c:v>-2.3630434782608016E-3</c:v>
                </c:pt>
                <c:pt idx="218">
                  <c:v>-2.3484848484847179E-3</c:v>
                </c:pt>
                <c:pt idx="219">
                  <c:v>-2.2359913793102062E-3</c:v>
                </c:pt>
                <c:pt idx="220">
                  <c:v>-2.2221030042918186E-3</c:v>
                </c:pt>
                <c:pt idx="221">
                  <c:v>-2.2083333333334167E-3</c:v>
                </c:pt>
                <c:pt idx="222">
                  <c:v>-2.2430851063830592E-3</c:v>
                </c:pt>
                <c:pt idx="223">
                  <c:v>-2.2775423728814332E-3</c:v>
                </c:pt>
                <c:pt idx="224">
                  <c:v>-2.2637130801687923E-3</c:v>
                </c:pt>
                <c:pt idx="225">
                  <c:v>-2.2977941176470719E-3</c:v>
                </c:pt>
                <c:pt idx="226">
                  <c:v>-2.2839958158995337E-3</c:v>
                </c:pt>
                <c:pt idx="227">
                  <c:v>-2.27031250000006E-3</c:v>
                </c:pt>
                <c:pt idx="228">
                  <c:v>-2.256742738589211E-3</c:v>
                </c:pt>
                <c:pt idx="229">
                  <c:v>-2.2432851239668817E-3</c:v>
                </c:pt>
                <c:pt idx="230">
                  <c:v>-2.2767489711933526E-3</c:v>
                </c:pt>
                <c:pt idx="231">
                  <c:v>-2.3099385245900989E-3</c:v>
                </c:pt>
                <c:pt idx="232">
                  <c:v>-2.3428571428572398E-3</c:v>
                </c:pt>
                <c:pt idx="233">
                  <c:v>-2.1905487804878372E-3</c:v>
                </c:pt>
                <c:pt idx="234">
                  <c:v>-2.1315789473685016E-3</c:v>
                </c:pt>
                <c:pt idx="235">
                  <c:v>-2.1189516129032477E-3</c:v>
                </c:pt>
                <c:pt idx="236">
                  <c:v>-2.1064257028112084E-3</c:v>
                </c:pt>
                <c:pt idx="237">
                  <c:v>-2.0485000000000112E-3</c:v>
                </c:pt>
                <c:pt idx="238">
                  <c:v>-2.0363545816732601E-3</c:v>
                </c:pt>
                <c:pt idx="239">
                  <c:v>-2.0694444444443955E-3</c:v>
                </c:pt>
                <c:pt idx="240">
                  <c:v>-2.0573122529643204E-3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51-4335-814D-53B8B9178B55}"/>
            </c:ext>
          </c:extLst>
        </c:ser>
        <c:ser>
          <c:idx val="6"/>
          <c:order val="6"/>
          <c:tx>
            <c:strRef>
              <c:f>'전류편차_24mA(절대값기준)'!$BV$7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'전류편차_24mA(절대값기준)'!$BV$22:$BV$262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9.999999999999315E-4</c:v>
                </c:pt>
                <c:pt idx="2">
                  <c:v>1.7583333333333136E-3</c:v>
                </c:pt>
                <c:pt idx="3">
                  <c:v>3.1328124999999442E-3</c:v>
                </c:pt>
                <c:pt idx="4">
                  <c:v>5.0147058823529289E-3</c:v>
                </c:pt>
                <c:pt idx="5">
                  <c:v>4.7916666666667617E-3</c:v>
                </c:pt>
                <c:pt idx="6">
                  <c:v>3.394736842105187E-3</c:v>
                </c:pt>
                <c:pt idx="7">
                  <c:v>2.70624999999996E-3</c:v>
                </c:pt>
                <c:pt idx="8">
                  <c:v>3.7083333333332671E-3</c:v>
                </c:pt>
                <c:pt idx="9">
                  <c:v>4.102272727272694E-3</c:v>
                </c:pt>
                <c:pt idx="10">
                  <c:v>5.4510869565217376E-3</c:v>
                </c:pt>
                <c:pt idx="11">
                  <c:v>4.7916666666666915E-3</c:v>
                </c:pt>
                <c:pt idx="12">
                  <c:v>5.5499999999998988E-3</c:v>
                </c:pt>
                <c:pt idx="13">
                  <c:v>5.3750000000000742E-3</c:v>
                </c:pt>
                <c:pt idx="14">
                  <c:v>5.6342592592592616E-3</c:v>
                </c:pt>
                <c:pt idx="15">
                  <c:v>5.0625000000000253E-3</c:v>
                </c:pt>
                <c:pt idx="16">
                  <c:v>4.9224137931034523E-3</c:v>
                </c:pt>
                <c:pt idx="17">
                  <c:v>4.7916666666666498E-3</c:v>
                </c:pt>
                <c:pt idx="18">
                  <c:v>5.0362903225805687E-3</c:v>
                </c:pt>
                <c:pt idx="19">
                  <c:v>4.9101562499999068E-3</c:v>
                </c:pt>
                <c:pt idx="20">
                  <c:v>4.446969696969779E-3</c:v>
                </c:pt>
                <c:pt idx="21">
                  <c:v>4.6801470588235545E-3</c:v>
                </c:pt>
                <c:pt idx="22">
                  <c:v>4.249999999999898E-3</c:v>
                </c:pt>
                <c:pt idx="23">
                  <c:v>3.8437500000000594E-3</c:v>
                </c:pt>
                <c:pt idx="24">
                  <c:v>3.7668918918919332E-3</c:v>
                </c:pt>
                <c:pt idx="25">
                  <c:v>3.9934210526315697E-3</c:v>
                </c:pt>
                <c:pt idx="26">
                  <c:v>4.5000000000000413E-3</c:v>
                </c:pt>
                <c:pt idx="27">
                  <c:v>4.6968749999999936E-3</c:v>
                </c:pt>
                <c:pt idx="28">
                  <c:v>4.8841463414633626E-3</c:v>
                </c:pt>
                <c:pt idx="29">
                  <c:v>4.7916666666666012E-3</c:v>
                </c:pt>
                <c:pt idx="30">
                  <c:v>4.7034883720930634E-3</c:v>
                </c:pt>
                <c:pt idx="31">
                  <c:v>4.6193181818182071E-3</c:v>
                </c:pt>
                <c:pt idx="32">
                  <c:v>4.5388888888888996E-3</c:v>
                </c:pt>
                <c:pt idx="33">
                  <c:v>4.2146739130435032E-3</c:v>
                </c:pt>
                <c:pt idx="34">
                  <c:v>4.1462765957445838E-3</c:v>
                </c:pt>
                <c:pt idx="35">
                  <c:v>4.0807291666666648E-3</c:v>
                </c:pt>
                <c:pt idx="36">
                  <c:v>4.0178571428572318E-3</c:v>
                </c:pt>
                <c:pt idx="37">
                  <c:v>4.1849999999998477E-3</c:v>
                </c:pt>
                <c:pt idx="38">
                  <c:v>3.4534313725489321E-3</c:v>
                </c:pt>
                <c:pt idx="39">
                  <c:v>3.1875000000001208E-3</c:v>
                </c:pt>
                <c:pt idx="40">
                  <c:v>3.146226415094351E-3</c:v>
                </c:pt>
                <c:pt idx="41">
                  <c:v>3.7384259259258565E-3</c:v>
                </c:pt>
                <c:pt idx="42">
                  <c:v>3.8954545454546272E-3</c:v>
                </c:pt>
                <c:pt idx="43">
                  <c:v>4.0468749999998666E-3</c:v>
                </c:pt>
                <c:pt idx="44">
                  <c:v>4.1929824561403647E-3</c:v>
                </c:pt>
                <c:pt idx="45">
                  <c:v>4.1379310344828489E-3</c:v>
                </c:pt>
                <c:pt idx="46">
                  <c:v>4.0847457627118562E-3</c:v>
                </c:pt>
                <c:pt idx="47">
                  <c:v>4.2229166666666283E-3</c:v>
                </c:pt>
                <c:pt idx="48">
                  <c:v>4.1700819672131498E-3</c:v>
                </c:pt>
                <c:pt idx="49">
                  <c:v>4.1189516129031684E-3</c:v>
                </c:pt>
                <c:pt idx="50">
                  <c:v>4.0694444444444589E-3</c:v>
                </c:pt>
                <c:pt idx="51">
                  <c:v>3.8437499999998659E-3</c:v>
                </c:pt>
                <c:pt idx="52">
                  <c:v>3.7999999999999367E-3</c:v>
                </c:pt>
                <c:pt idx="53">
                  <c:v>3.7575757575757625E-3</c:v>
                </c:pt>
                <c:pt idx="54">
                  <c:v>3.5466417910446396E-3</c:v>
                </c:pt>
                <c:pt idx="55">
                  <c:v>3.1746323529411443E-3</c:v>
                </c:pt>
                <c:pt idx="56">
                  <c:v>3.3079710144928417E-3</c:v>
                </c:pt>
                <c:pt idx="57">
                  <c:v>3.5999999999999695E-3</c:v>
                </c:pt>
                <c:pt idx="58">
                  <c:v>3.7235915492957188E-3</c:v>
                </c:pt>
                <c:pt idx="59">
                  <c:v>3.6857638888888955E-3</c:v>
                </c:pt>
                <c:pt idx="60">
                  <c:v>3.648972602739655E-3</c:v>
                </c:pt>
                <c:pt idx="61">
                  <c:v>3.7668918918919332E-3</c:v>
                </c:pt>
                <c:pt idx="62">
                  <c:v>3.8816666666666826E-3</c:v>
                </c:pt>
                <c:pt idx="63">
                  <c:v>3.6940789473684449E-3</c:v>
                </c:pt>
                <c:pt idx="64">
                  <c:v>3.6590909090908593E-3</c:v>
                </c:pt>
                <c:pt idx="65">
                  <c:v>3.4791666666667553E-3</c:v>
                </c:pt>
                <c:pt idx="66">
                  <c:v>3.4477848101265979E-3</c:v>
                </c:pt>
                <c:pt idx="67">
                  <c:v>3.275000000000024E-3</c:v>
                </c:pt>
                <c:pt idx="68">
                  <c:v>3.2469135802469921E-3</c:v>
                </c:pt>
                <c:pt idx="69">
                  <c:v>2.6646341463414094E-3</c:v>
                </c:pt>
                <c:pt idx="70">
                  <c:v>2.6445783132530124E-3</c:v>
                </c:pt>
                <c:pt idx="71">
                  <c:v>2.3541666666666294E-3</c:v>
                </c:pt>
                <c:pt idx="72">
                  <c:v>2.2044117647058532E-3</c:v>
                </c:pt>
                <c:pt idx="73">
                  <c:v>2.322674418604718E-3</c:v>
                </c:pt>
                <c:pt idx="74">
                  <c:v>2.6997126436780605E-3</c:v>
                </c:pt>
                <c:pt idx="75">
                  <c:v>2.8096590909090853E-3</c:v>
                </c:pt>
                <c:pt idx="76">
                  <c:v>3.0449438202247358E-3</c:v>
                </c:pt>
                <c:pt idx="77">
                  <c:v>3.2749999999999255E-3</c:v>
                </c:pt>
                <c:pt idx="78">
                  <c:v>3.3749999999999059E-3</c:v>
                </c:pt>
                <c:pt idx="79">
                  <c:v>3.5964673913044956E-3</c:v>
                </c:pt>
                <c:pt idx="80">
                  <c:v>3.690860215053781E-3</c:v>
                </c:pt>
                <c:pt idx="81">
                  <c:v>3.9042553191487583E-3</c:v>
                </c:pt>
                <c:pt idx="82">
                  <c:v>3.8736842105262931E-3</c:v>
                </c:pt>
                <c:pt idx="83">
                  <c:v>3.8437499999999188E-3</c:v>
                </c:pt>
                <c:pt idx="84">
                  <c:v>3.9317010309278403E-3</c:v>
                </c:pt>
                <c:pt idx="85">
                  <c:v>4.0178571428572318E-3</c:v>
                </c:pt>
                <c:pt idx="86">
                  <c:v>3.9873737373737686E-3</c:v>
                </c:pt>
                <c:pt idx="87">
                  <c:v>3.8437499999998343E-3</c:v>
                </c:pt>
                <c:pt idx="88">
                  <c:v>3.815594059405921E-3</c:v>
                </c:pt>
                <c:pt idx="89">
                  <c:v>4.1225490196077812E-3</c:v>
                </c:pt>
                <c:pt idx="90">
                  <c:v>4.5339805825243031E-3</c:v>
                </c:pt>
                <c:pt idx="91">
                  <c:v>4.6093750000001099E-3</c:v>
                </c:pt>
                <c:pt idx="92">
                  <c:v>4.6833333333333284E-3</c:v>
                </c:pt>
                <c:pt idx="93">
                  <c:v>4.7558962264149761E-3</c:v>
                </c:pt>
                <c:pt idx="94">
                  <c:v>4.7207943925233831E-3</c:v>
                </c:pt>
                <c:pt idx="95">
                  <c:v>4.6863425925925588E-3</c:v>
                </c:pt>
                <c:pt idx="96">
                  <c:v>4.7568807339449966E-3</c:v>
                </c:pt>
                <c:pt idx="97">
                  <c:v>4.7227272727272639E-3</c:v>
                </c:pt>
                <c:pt idx="98">
                  <c:v>4.6891891891891286E-3</c:v>
                </c:pt>
                <c:pt idx="99">
                  <c:v>4.6562499999998896E-3</c:v>
                </c:pt>
                <c:pt idx="100">
                  <c:v>4.6238938053097534E-3</c:v>
                </c:pt>
                <c:pt idx="101">
                  <c:v>4.4923245614035337E-3</c:v>
                </c:pt>
                <c:pt idx="102">
                  <c:v>4.3630434782609001E-3</c:v>
                </c:pt>
                <c:pt idx="103">
                  <c:v>4.0398706896553165E-3</c:v>
                </c:pt>
                <c:pt idx="104">
                  <c:v>4.0138888888888108E-3</c:v>
                </c:pt>
                <c:pt idx="105">
                  <c:v>4.1811440677965491E-3</c:v>
                </c:pt>
                <c:pt idx="106">
                  <c:v>4.3455882352940733E-3</c:v>
                </c:pt>
                <c:pt idx="107">
                  <c:v>4.4125000000000249E-3</c:v>
                </c:pt>
                <c:pt idx="108">
                  <c:v>4.5723140495868174E-3</c:v>
                </c:pt>
                <c:pt idx="109">
                  <c:v>4.5430327868852399E-3</c:v>
                </c:pt>
                <c:pt idx="110">
                  <c:v>4.6067073170730673E-3</c:v>
                </c:pt>
                <c:pt idx="111">
                  <c:v>4.5776209677419501E-3</c:v>
                </c:pt>
                <c:pt idx="112">
                  <c:v>4.7310000000000303E-3</c:v>
                </c:pt>
                <c:pt idx="113">
                  <c:v>4.7013888888888739E-3</c:v>
                </c:pt>
                <c:pt idx="114">
                  <c:v>4.8513779527559059E-3</c:v>
                </c:pt>
                <c:pt idx="115">
                  <c:v>4.821289062499956E-3</c:v>
                </c:pt>
                <c:pt idx="116">
                  <c:v>4.7034883720929845E-3</c:v>
                </c:pt>
                <c:pt idx="117">
                  <c:v>4.6749999999999179E-3</c:v>
                </c:pt>
                <c:pt idx="118">
                  <c:v>4.6469465648855263E-3</c:v>
                </c:pt>
                <c:pt idx="119">
                  <c:v>4.533143939393974E-3</c:v>
                </c:pt>
                <c:pt idx="120">
                  <c:v>4.2500000000001339E-3</c:v>
                </c:pt>
                <c:pt idx="121">
                  <c:v>4.480410447761143E-3</c:v>
                </c:pt>
                <c:pt idx="122">
                  <c:v>4.6231481481481124E-3</c:v>
                </c:pt>
                <c:pt idx="123">
                  <c:v>4.5965073529410988E-3</c:v>
                </c:pt>
                <c:pt idx="124">
                  <c:v>4.81934306569347E-3</c:v>
                </c:pt>
                <c:pt idx="125">
                  <c:v>4.7916666666666646E-3</c:v>
                </c:pt>
                <c:pt idx="126">
                  <c:v>5.0098920863310475E-3</c:v>
                </c:pt>
                <c:pt idx="127">
                  <c:v>4.8187500000000157E-3</c:v>
                </c:pt>
                <c:pt idx="128">
                  <c:v>5.0336879432623964E-3</c:v>
                </c:pt>
                <c:pt idx="129">
                  <c:v>5.1654929577464774E-3</c:v>
                </c:pt>
                <c:pt idx="130">
                  <c:v>5.2159090909091477E-3</c:v>
                </c:pt>
                <c:pt idx="131">
                  <c:v>5.2656250000001131E-3</c:v>
                </c:pt>
                <c:pt idx="132">
                  <c:v>5.3146551724138234E-3</c:v>
                </c:pt>
                <c:pt idx="133">
                  <c:v>5.2071917808218134E-3</c:v>
                </c:pt>
                <c:pt idx="134">
                  <c:v>5.2559523809523334E-3</c:v>
                </c:pt>
                <c:pt idx="135">
                  <c:v>5.0734797297297294E-3</c:v>
                </c:pt>
                <c:pt idx="136">
                  <c:v>5.0461409395972769E-3</c:v>
                </c:pt>
                <c:pt idx="137">
                  <c:v>5.170833333333443E-3</c:v>
                </c:pt>
                <c:pt idx="138">
                  <c:v>5.4445364238409639E-3</c:v>
                </c:pt>
                <c:pt idx="139">
                  <c:v>5.3404605263156985E-3</c:v>
                </c:pt>
                <c:pt idx="140">
                  <c:v>5.4607843137254126E-3</c:v>
                </c:pt>
                <c:pt idx="141">
                  <c:v>5.579545454545521E-3</c:v>
                </c:pt>
                <c:pt idx="142">
                  <c:v>5.6233870967741829E-3</c:v>
                </c:pt>
                <c:pt idx="143">
                  <c:v>5.6666666666667087E-3</c:v>
                </c:pt>
                <c:pt idx="144">
                  <c:v>5.6369426751592408E-3</c:v>
                </c:pt>
                <c:pt idx="145">
                  <c:v>5.6075949367088308E-3</c:v>
                </c:pt>
                <c:pt idx="146">
                  <c:v>5.7216981132075292E-3</c:v>
                </c:pt>
                <c:pt idx="147">
                  <c:v>5.763281250000034E-3</c:v>
                </c:pt>
                <c:pt idx="148">
                  <c:v>5.663043478260907E-3</c:v>
                </c:pt>
                <c:pt idx="149">
                  <c:v>5.6342592592592625E-3</c:v>
                </c:pt>
                <c:pt idx="150">
                  <c:v>5.6058282208588635E-3</c:v>
                </c:pt>
                <c:pt idx="151">
                  <c:v>5.5083841463414353E-3</c:v>
                </c:pt>
                <c:pt idx="152">
                  <c:v>5.4121212121211876E-3</c:v>
                </c:pt>
                <c:pt idx="153">
                  <c:v>5.4540662650602667E-3</c:v>
                </c:pt>
                <c:pt idx="154">
                  <c:v>5.5636227544910554E-3</c:v>
                </c:pt>
                <c:pt idx="155">
                  <c:v>5.5364583333333359E-3</c:v>
                </c:pt>
                <c:pt idx="156">
                  <c:v>5.5096153846153541E-3</c:v>
                </c:pt>
                <c:pt idx="157">
                  <c:v>5.6169117647058633E-3</c:v>
                </c:pt>
                <c:pt idx="158">
                  <c:v>5.6564327485380409E-3</c:v>
                </c:pt>
                <c:pt idx="159">
                  <c:v>5.6293604651162753E-3</c:v>
                </c:pt>
                <c:pt idx="160">
                  <c:v>5.6683526011561134E-3</c:v>
                </c:pt>
                <c:pt idx="161">
                  <c:v>5.6415229885056423E-3</c:v>
                </c:pt>
                <c:pt idx="162">
                  <c:v>5.6799999999999429E-3</c:v>
                </c:pt>
                <c:pt idx="163">
                  <c:v>5.5887784090908558E-3</c:v>
                </c:pt>
                <c:pt idx="164">
                  <c:v>5.5628531073446622E-3</c:v>
                </c:pt>
                <c:pt idx="165">
                  <c:v>5.5372191011235933E-3</c:v>
                </c:pt>
                <c:pt idx="166">
                  <c:v>5.4483240223463696E-3</c:v>
                </c:pt>
                <c:pt idx="167">
                  <c:v>5.2972222222221494E-3</c:v>
                </c:pt>
                <c:pt idx="168">
                  <c:v>5.2734806629834334E-3</c:v>
                </c:pt>
                <c:pt idx="169">
                  <c:v>5.2499999999999769E-3</c:v>
                </c:pt>
                <c:pt idx="170">
                  <c:v>5.2889344262294202E-3</c:v>
                </c:pt>
                <c:pt idx="171">
                  <c:v>5.3274456521739798E-3</c:v>
                </c:pt>
                <c:pt idx="172">
                  <c:v>5.3040540540541994E-3</c:v>
                </c:pt>
                <c:pt idx="173">
                  <c:v>5.280913978494629E-3</c:v>
                </c:pt>
                <c:pt idx="174">
                  <c:v>5.318850267379837E-3</c:v>
                </c:pt>
                <c:pt idx="175">
                  <c:v>5.2353723404254763E-3</c:v>
                </c:pt>
                <c:pt idx="176">
                  <c:v>5.3333333333332881E-3</c:v>
                </c:pt>
                <c:pt idx="177">
                  <c:v>5.3105263157895051E-3</c:v>
                </c:pt>
                <c:pt idx="178">
                  <c:v>5.347513089005205E-3</c:v>
                </c:pt>
                <c:pt idx="179">
                  <c:v>5.2656249999999726E-3</c:v>
                </c:pt>
                <c:pt idx="180">
                  <c:v>5.2435233160622249E-3</c:v>
                </c:pt>
                <c:pt idx="181">
                  <c:v>5.3389175257732542E-3</c:v>
                </c:pt>
                <c:pt idx="182">
                  <c:v>5.3166666666667993E-3</c:v>
                </c:pt>
                <c:pt idx="183">
                  <c:v>5.236607142857278E-3</c:v>
                </c:pt>
                <c:pt idx="184">
                  <c:v>5.1573604060915082E-3</c:v>
                </c:pt>
                <c:pt idx="185">
                  <c:v>5.3087121212121342E-3</c:v>
                </c:pt>
                <c:pt idx="186">
                  <c:v>5.3442211055277945E-3</c:v>
                </c:pt>
                <c:pt idx="187">
                  <c:v>5.322499999999823E-3</c:v>
                </c:pt>
                <c:pt idx="188">
                  <c:v>5.3009950248755185E-3</c:v>
                </c:pt>
                <c:pt idx="189">
                  <c:v>5.3923267326731741E-3</c:v>
                </c:pt>
                <c:pt idx="190">
                  <c:v>5.3706896551723926E-3</c:v>
                </c:pt>
                <c:pt idx="191">
                  <c:v>5.3492647058824032E-3</c:v>
                </c:pt>
                <c:pt idx="192">
                  <c:v>5.4945121951218813E-3</c:v>
                </c:pt>
                <c:pt idx="193">
                  <c:v>5.4726941747572826E-3</c:v>
                </c:pt>
                <c:pt idx="194">
                  <c:v>5.5609903381642622E-3</c:v>
                </c:pt>
                <c:pt idx="195">
                  <c:v>5.4843750000000135E-3</c:v>
                </c:pt>
                <c:pt idx="196">
                  <c:v>5.4084928229665239E-3</c:v>
                </c:pt>
                <c:pt idx="197">
                  <c:v>5.279166666666813E-3</c:v>
                </c:pt>
                <c:pt idx="198">
                  <c:v>5.3667061611374026E-3</c:v>
                </c:pt>
                <c:pt idx="199">
                  <c:v>5.1851415094339871E-3</c:v>
                </c:pt>
                <c:pt idx="200">
                  <c:v>5.1120892018779625E-3</c:v>
                </c:pt>
                <c:pt idx="201">
                  <c:v>5.092873831775608E-3</c:v>
                </c:pt>
                <c:pt idx="202">
                  <c:v>5.1796511627906147E-3</c:v>
                </c:pt>
                <c:pt idx="203">
                  <c:v>5.1076388888888092E-3</c:v>
                </c:pt>
                <c:pt idx="204">
                  <c:v>5.0887096774193423E-3</c:v>
                </c:pt>
                <c:pt idx="205">
                  <c:v>5.0699541284404213E-3</c:v>
                </c:pt>
                <c:pt idx="206">
                  <c:v>5.0513698630138193E-3</c:v>
                </c:pt>
                <c:pt idx="207">
                  <c:v>4.9812500000001227E-3</c:v>
                </c:pt>
                <c:pt idx="208">
                  <c:v>4.9632352941176528E-3</c:v>
                </c:pt>
                <c:pt idx="209">
                  <c:v>4.8941441441439698E-3</c:v>
                </c:pt>
                <c:pt idx="210">
                  <c:v>4.9276905829595957E-3</c:v>
                </c:pt>
                <c:pt idx="211">
                  <c:v>4.9609374999999012E-3</c:v>
                </c:pt>
                <c:pt idx="212">
                  <c:v>4.9433333333332996E-3</c:v>
                </c:pt>
                <c:pt idx="213">
                  <c:v>4.9258849557522431E-3</c:v>
                </c:pt>
                <c:pt idx="214">
                  <c:v>4.9085903083699606E-3</c:v>
                </c:pt>
                <c:pt idx="215">
                  <c:v>4.8914473684210334E-3</c:v>
                </c:pt>
                <c:pt idx="216">
                  <c:v>4.8744541484716606E-3</c:v>
                </c:pt>
                <c:pt idx="217">
                  <c:v>4.9565217391304879E-3</c:v>
                </c:pt>
                <c:pt idx="218">
                  <c:v>4.9886363636363644E-3</c:v>
                </c:pt>
                <c:pt idx="219">
                  <c:v>5.0204741379311583E-3</c:v>
                </c:pt>
                <c:pt idx="220">
                  <c:v>5.0032188841201836E-3</c:v>
                </c:pt>
                <c:pt idx="221">
                  <c:v>5.0347222222221827E-3</c:v>
                </c:pt>
                <c:pt idx="222">
                  <c:v>5.0175531914893844E-3</c:v>
                </c:pt>
                <c:pt idx="223">
                  <c:v>4.9523305084746014E-3</c:v>
                </c:pt>
                <c:pt idx="224">
                  <c:v>5.0796413502108917E-3</c:v>
                </c:pt>
                <c:pt idx="225">
                  <c:v>5.0624999999999828E-3</c:v>
                </c:pt>
                <c:pt idx="226">
                  <c:v>5.2834728033472767E-3</c:v>
                </c:pt>
                <c:pt idx="227">
                  <c:v>5.1708333333332747E-3</c:v>
                </c:pt>
                <c:pt idx="228">
                  <c:v>5.1535269709543589E-3</c:v>
                </c:pt>
                <c:pt idx="229">
                  <c:v>5.0423553719009407E-3</c:v>
                </c:pt>
                <c:pt idx="230">
                  <c:v>5.0257201646090608E-3</c:v>
                </c:pt>
                <c:pt idx="231">
                  <c:v>4.8227459016393489E-3</c:v>
                </c:pt>
                <c:pt idx="232">
                  <c:v>4.8071428571427556E-3</c:v>
                </c:pt>
                <c:pt idx="233">
                  <c:v>4.8379065040650548E-3</c:v>
                </c:pt>
                <c:pt idx="234">
                  <c:v>4.8223684210525414E-3</c:v>
                </c:pt>
                <c:pt idx="235">
                  <c:v>4.7610887096773327E-3</c:v>
                </c:pt>
                <c:pt idx="236">
                  <c:v>4.7459839357429437E-3</c:v>
                </c:pt>
                <c:pt idx="237">
                  <c:v>4.7310000000000303E-3</c:v>
                </c:pt>
                <c:pt idx="238">
                  <c:v>4.6708167330677614E-3</c:v>
                </c:pt>
                <c:pt idx="239">
                  <c:v>4.5659722222222022E-3</c:v>
                </c:pt>
                <c:pt idx="240">
                  <c:v>4.5069169960474135E-3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51-4335-814D-53B8B9178B55}"/>
            </c:ext>
          </c:extLst>
        </c:ser>
        <c:ser>
          <c:idx val="7"/>
          <c:order val="7"/>
          <c:tx>
            <c:strRef>
              <c:f>'전류편차_24mA(절대값기준)'!$BW$7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'전류편차_24mA(절대값기준)'!$BW$22:$BW$262</c:f>
              <c:numCache>
                <c:formatCode>0.0%</c:formatCode>
                <c:ptCount val="241"/>
                <c:pt idx="0">
                  <c:v>-1.037499999999994E-2</c:v>
                </c:pt>
                <c:pt idx="1">
                  <c:v>-6.3124999999999848E-3</c:v>
                </c:pt>
                <c:pt idx="2">
                  <c:v>-2.0333333333332725E-3</c:v>
                </c:pt>
                <c:pt idx="3">
                  <c:v>-6.8203125000000633E-3</c:v>
                </c:pt>
                <c:pt idx="4">
                  <c:v>-1.0073529411764135E-3</c:v>
                </c:pt>
                <c:pt idx="5">
                  <c:v>-4.6874999999999833E-3</c:v>
                </c:pt>
                <c:pt idx="6">
                  <c:v>2.7960526315789374E-3</c:v>
                </c:pt>
                <c:pt idx="7">
                  <c:v>-7.06250000000043E-4</c:v>
                </c:pt>
                <c:pt idx="8">
                  <c:v>1.5416666666665986E-3</c:v>
                </c:pt>
                <c:pt idx="9">
                  <c:v>1.5170454545454766E-3</c:v>
                </c:pt>
                <c:pt idx="10">
                  <c:v>4.9565217391304879E-3</c:v>
                </c:pt>
                <c:pt idx="11">
                  <c:v>3.3697916666666377E-3</c:v>
                </c:pt>
                <c:pt idx="12">
                  <c:v>5.5499999999998988E-3</c:v>
                </c:pt>
                <c:pt idx="13">
                  <c:v>6.2499999999999778E-3</c:v>
                </c:pt>
                <c:pt idx="14">
                  <c:v>6.8981481481481983E-3</c:v>
                </c:pt>
                <c:pt idx="15">
                  <c:v>9.1249999999999387E-3</c:v>
                </c:pt>
                <c:pt idx="16">
                  <c:v>6.0991379310345309E-3</c:v>
                </c:pt>
                <c:pt idx="17">
                  <c:v>6.3083333333333177E-3</c:v>
                </c:pt>
                <c:pt idx="18">
                  <c:v>7.9717741935483137E-3</c:v>
                </c:pt>
                <c:pt idx="19">
                  <c:v>9.5312499999998714E-3</c:v>
                </c:pt>
                <c:pt idx="20">
                  <c:v>8.9280303030303508E-3</c:v>
                </c:pt>
                <c:pt idx="21">
                  <c:v>7.3566176470588511E-3</c:v>
                </c:pt>
                <c:pt idx="22">
                  <c:v>7.8249999999999379E-3</c:v>
                </c:pt>
                <c:pt idx="23">
                  <c:v>7.0034722222222148E-3</c:v>
                </c:pt>
                <c:pt idx="24">
                  <c:v>8.3783783783783206E-3</c:v>
                </c:pt>
                <c:pt idx="25">
                  <c:v>6.9868421052630848E-3</c:v>
                </c:pt>
                <c:pt idx="26">
                  <c:v>5.9583333333333433E-3</c:v>
                </c:pt>
                <c:pt idx="27">
                  <c:v>8.3937499999999655E-3</c:v>
                </c:pt>
                <c:pt idx="28">
                  <c:v>6.5487804878048891E-3</c:v>
                </c:pt>
                <c:pt idx="29">
                  <c:v>6.9583333333332695E-3</c:v>
                </c:pt>
                <c:pt idx="30">
                  <c:v>7.084302325581408E-3</c:v>
                </c:pt>
                <c:pt idx="31">
                  <c:v>7.7215909090909366E-3</c:v>
                </c:pt>
                <c:pt idx="32">
                  <c:v>8.3305555555554852E-3</c:v>
                </c:pt>
                <c:pt idx="33">
                  <c:v>6.9347826086957071E-3</c:v>
                </c:pt>
                <c:pt idx="34">
                  <c:v>6.8085106382978046E-3</c:v>
                </c:pt>
                <c:pt idx="35">
                  <c:v>6.4505208333332804E-3</c:v>
                </c:pt>
                <c:pt idx="36">
                  <c:v>7.2678571428572867E-3</c:v>
                </c:pt>
                <c:pt idx="37">
                  <c:v>6.2324999999999247E-3</c:v>
                </c:pt>
                <c:pt idx="38">
                  <c:v>5.9068627450979787E-3</c:v>
                </c:pt>
                <c:pt idx="39">
                  <c:v>5.1562500000000011E-3</c:v>
                </c:pt>
                <c:pt idx="40">
                  <c:v>5.7216981132074659E-3</c:v>
                </c:pt>
                <c:pt idx="41">
                  <c:v>5.4236111111110432E-3</c:v>
                </c:pt>
                <c:pt idx="42">
                  <c:v>5.1363636363637652E-3</c:v>
                </c:pt>
                <c:pt idx="43">
                  <c:v>5.0625000000000253E-3</c:v>
                </c:pt>
                <c:pt idx="44">
                  <c:v>5.3903508771930416E-3</c:v>
                </c:pt>
                <c:pt idx="45">
                  <c:v>4.9224137931034523E-3</c:v>
                </c:pt>
                <c:pt idx="46">
                  <c:v>4.6631355932203527E-3</c:v>
                </c:pt>
                <c:pt idx="47">
                  <c:v>4.9812500000000464E-3</c:v>
                </c:pt>
                <c:pt idx="48">
                  <c:v>4.3565573770492777E-3</c:v>
                </c:pt>
                <c:pt idx="49">
                  <c:v>4.6693548387096414E-3</c:v>
                </c:pt>
                <c:pt idx="50">
                  <c:v>4.0694444444444589E-3</c:v>
                </c:pt>
                <c:pt idx="51">
                  <c:v>3.8437499999998659E-3</c:v>
                </c:pt>
                <c:pt idx="52">
                  <c:v>3.1000000000000138E-3</c:v>
                </c:pt>
                <c:pt idx="53">
                  <c:v>3.412878787878831E-3</c:v>
                </c:pt>
                <c:pt idx="54">
                  <c:v>2.8675373134327744E-3</c:v>
                </c:pt>
                <c:pt idx="55">
                  <c:v>2.1709558823528709E-3</c:v>
                </c:pt>
                <c:pt idx="56">
                  <c:v>2.8134057971015186E-3</c:v>
                </c:pt>
                <c:pt idx="57">
                  <c:v>3.1124999999999512E-3</c:v>
                </c:pt>
                <c:pt idx="58">
                  <c:v>2.4419014084506472E-3</c:v>
                </c:pt>
                <c:pt idx="59">
                  <c:v>1.9479166666666542E-3</c:v>
                </c:pt>
                <c:pt idx="60">
                  <c:v>2.2465753424657673E-3</c:v>
                </c:pt>
                <c:pt idx="61">
                  <c:v>2.2297297297296671E-3</c:v>
                </c:pt>
                <c:pt idx="62">
                  <c:v>2.5166666666667655E-3</c:v>
                </c:pt>
                <c:pt idx="63">
                  <c:v>2.1973684210525547E-3</c:v>
                </c:pt>
                <c:pt idx="64">
                  <c:v>2.0340909090909728E-3</c:v>
                </c:pt>
                <c:pt idx="65">
                  <c:v>2.6041666666667225E-3</c:v>
                </c:pt>
                <c:pt idx="66">
                  <c:v>2.2958860759493818E-3</c:v>
                </c:pt>
                <c:pt idx="67">
                  <c:v>2.4218749999999913E-3</c:v>
                </c:pt>
                <c:pt idx="68">
                  <c:v>1.7021604938272218E-3</c:v>
                </c:pt>
                <c:pt idx="69">
                  <c:v>1.6935975609756013E-3</c:v>
                </c:pt>
                <c:pt idx="70">
                  <c:v>1.5481927710843367E-3</c:v>
                </c:pt>
                <c:pt idx="71">
                  <c:v>1.4062499999998868E-3</c:v>
                </c:pt>
                <c:pt idx="72">
                  <c:v>1.000000000000044E-3</c:v>
                </c:pt>
                <c:pt idx="73">
                  <c:v>1.132267441860487E-3</c:v>
                </c:pt>
                <c:pt idx="74">
                  <c:v>2.0459770114941663E-3</c:v>
                </c:pt>
                <c:pt idx="75">
                  <c:v>9.9999999999996424E-4</c:v>
                </c:pt>
                <c:pt idx="76">
                  <c:v>1.0000000000000145E-3</c:v>
                </c:pt>
                <c:pt idx="77">
                  <c:v>9.9999999999995145E-4</c:v>
                </c:pt>
                <c:pt idx="78">
                  <c:v>1.8750000000000711E-3</c:v>
                </c:pt>
                <c:pt idx="79">
                  <c:v>1.247282608695784E-3</c:v>
                </c:pt>
                <c:pt idx="80">
                  <c:v>7.5537634408614487E-4</c:v>
                </c:pt>
                <c:pt idx="81">
                  <c:v>8.789893617021223E-4</c:v>
                </c:pt>
                <c:pt idx="82">
                  <c:v>6.4078947368406572E-4</c:v>
                </c:pt>
                <c:pt idx="83">
                  <c:v>2.8906249999999478E-4</c:v>
                </c:pt>
                <c:pt idx="84">
                  <c:v>2.9639175257725606E-4</c:v>
                </c:pt>
                <c:pt idx="85">
                  <c:v>1.8750000000014987E-4</c:v>
                </c:pt>
                <c:pt idx="86">
                  <c:v>1.9570707070716187E-4</c:v>
                </c:pt>
                <c:pt idx="87">
                  <c:v>-2.3750000000042346E-5</c:v>
                </c:pt>
                <c:pt idx="88">
                  <c:v>-1.3613861386236594E-5</c:v>
                </c:pt>
                <c:pt idx="89">
                  <c:v>-8.9583333333338754E-4</c:v>
                </c:pt>
                <c:pt idx="90">
                  <c:v>-1.2087378640775949E-3</c:v>
                </c:pt>
                <c:pt idx="91">
                  <c:v>-6.4062499999989475E-4</c:v>
                </c:pt>
                <c:pt idx="92">
                  <c:v>-8.4166666666649634E-4</c:v>
                </c:pt>
                <c:pt idx="93">
                  <c:v>-5.0235849056610071E-4</c:v>
                </c:pt>
                <c:pt idx="94">
                  <c:v>1.4953271028028266E-4</c:v>
                </c:pt>
                <c:pt idx="95">
                  <c:v>-2.6388888888879817E-4</c:v>
                </c:pt>
                <c:pt idx="96">
                  <c:v>-3.566513761466932E-4</c:v>
                </c:pt>
                <c:pt idx="97">
                  <c:v>-3.4431818181813838E-4</c:v>
                </c:pt>
                <c:pt idx="98">
                  <c:v>-4.3468468468481781E-4</c:v>
                </c:pt>
                <c:pt idx="99">
                  <c:v>-1.1718749999999056E-4</c:v>
                </c:pt>
                <c:pt idx="100">
                  <c:v>-8.1194690265487513E-4</c:v>
                </c:pt>
                <c:pt idx="101">
                  <c:v>-6.9627192982449685E-4</c:v>
                </c:pt>
                <c:pt idx="102">
                  <c:v>-8.7934782608683224E-4</c:v>
                </c:pt>
                <c:pt idx="103">
                  <c:v>-8.6314655172406354E-4</c:v>
                </c:pt>
                <c:pt idx="104">
                  <c:v>-8.4722222222236943E-4</c:v>
                </c:pt>
                <c:pt idx="105">
                  <c:v>-1.4099576271186887E-3</c:v>
                </c:pt>
                <c:pt idx="106">
                  <c:v>-1.3897058823530331E-3</c:v>
                </c:pt>
                <c:pt idx="107">
                  <c:v>-1.4645833333332507E-3</c:v>
                </c:pt>
                <c:pt idx="108">
                  <c:v>-1.1621900826445824E-3</c:v>
                </c:pt>
                <c:pt idx="109">
                  <c:v>-1.0512295081966084E-3</c:v>
                </c:pt>
                <c:pt idx="110">
                  <c:v>-1.4969512195122012E-3</c:v>
                </c:pt>
                <c:pt idx="111">
                  <c:v>-1.2016129032258478E-3</c:v>
                </c:pt>
                <c:pt idx="112">
                  <c:v>-1.0929999999999751E-3</c:v>
                </c:pt>
                <c:pt idx="113">
                  <c:v>-8.9583333333329333E-4</c:v>
                </c:pt>
                <c:pt idx="114">
                  <c:v>-8.8090551181102853E-4</c:v>
                </c:pt>
                <c:pt idx="115">
                  <c:v>-1.1328125000000591E-3</c:v>
                </c:pt>
                <c:pt idx="116">
                  <c:v>-1.2044573643411388E-3</c:v>
                </c:pt>
                <c:pt idx="117">
                  <c:v>-1.3624999999999998E-3</c:v>
                </c:pt>
                <c:pt idx="118">
                  <c:v>-1.2576335877861964E-3</c:v>
                </c:pt>
                <c:pt idx="119">
                  <c:v>-1.326704545454478E-3</c:v>
                </c:pt>
                <c:pt idx="120">
                  <c:v>-1.3092105263157652E-3</c:v>
                </c:pt>
                <c:pt idx="121">
                  <c:v>-1.7164179104478454E-3</c:v>
                </c:pt>
                <c:pt idx="122">
                  <c:v>-1.7805555555556346E-3</c:v>
                </c:pt>
                <c:pt idx="123">
                  <c:v>-1.9273897058823802E-3</c:v>
                </c:pt>
                <c:pt idx="124">
                  <c:v>-1.9890510948905333E-3</c:v>
                </c:pt>
                <c:pt idx="125">
                  <c:v>-1.7201086956520814E-3</c:v>
                </c:pt>
                <c:pt idx="126">
                  <c:v>-1.8642086330935288E-3</c:v>
                </c:pt>
                <c:pt idx="127">
                  <c:v>-1.7625000000000889E-3</c:v>
                </c:pt>
                <c:pt idx="128">
                  <c:v>-1.7429078014184248E-3</c:v>
                </c:pt>
                <c:pt idx="129">
                  <c:v>-1.5633802816901125E-3</c:v>
                </c:pt>
                <c:pt idx="130">
                  <c:v>-1.7840909090909296E-3</c:v>
                </c:pt>
                <c:pt idx="131">
                  <c:v>-1.9227430555555278E-3</c:v>
                </c:pt>
                <c:pt idx="132">
                  <c:v>-2.2163793103448046E-3</c:v>
                </c:pt>
                <c:pt idx="133">
                  <c:v>-2.1164383561644426E-3</c:v>
                </c:pt>
                <c:pt idx="134">
                  <c:v>-2.4047619047619677E-3</c:v>
                </c:pt>
                <c:pt idx="135">
                  <c:v>-2.2280405405405899E-3</c:v>
                </c:pt>
                <c:pt idx="136">
                  <c:v>-2.588087248322159E-3</c:v>
                </c:pt>
                <c:pt idx="137">
                  <c:v>-2.8675000000000154E-3</c:v>
                </c:pt>
                <c:pt idx="138">
                  <c:v>-2.9172185430463684E-3</c:v>
                </c:pt>
                <c:pt idx="139">
                  <c:v>-3.1907894736842258E-3</c:v>
                </c:pt>
                <c:pt idx="140">
                  <c:v>-3.3864379084967925E-3</c:v>
                </c:pt>
                <c:pt idx="141">
                  <c:v>-3.2102272727273203E-3</c:v>
                </c:pt>
                <c:pt idx="142">
                  <c:v>-2.8161290322580913E-3</c:v>
                </c:pt>
                <c:pt idx="143">
                  <c:v>-2.9374999999999818E-3</c:v>
                </c:pt>
                <c:pt idx="144">
                  <c:v>-2.9124203821656227E-3</c:v>
                </c:pt>
                <c:pt idx="145">
                  <c:v>-2.8876582278481548E-3</c:v>
                </c:pt>
                <c:pt idx="146">
                  <c:v>-2.791666666666668E-3</c:v>
                </c:pt>
                <c:pt idx="147">
                  <c:v>-2.8390624999999974E-3</c:v>
                </c:pt>
                <c:pt idx="148">
                  <c:v>-2.8858695652173847E-3</c:v>
                </c:pt>
                <c:pt idx="149">
                  <c:v>-2.7214506172839326E-3</c:v>
                </c:pt>
                <c:pt idx="150">
                  <c:v>-2.9079754601227235E-3</c:v>
                </c:pt>
                <c:pt idx="151">
                  <c:v>-3.2309451219512094E-3</c:v>
                </c:pt>
                <c:pt idx="152">
                  <c:v>-3.1363636363635761E-3</c:v>
                </c:pt>
                <c:pt idx="153">
                  <c:v>-3.3855421686746429E-3</c:v>
                </c:pt>
                <c:pt idx="154">
                  <c:v>-3.2911676646706751E-3</c:v>
                </c:pt>
                <c:pt idx="155">
                  <c:v>-3.4687500000000573E-3</c:v>
                </c:pt>
                <c:pt idx="156">
                  <c:v>-3.7115384615385221E-3</c:v>
                </c:pt>
                <c:pt idx="157">
                  <c:v>-3.6838235294117398E-3</c:v>
                </c:pt>
                <c:pt idx="158">
                  <c:v>-3.65643274853802E-3</c:v>
                </c:pt>
                <c:pt idx="159">
                  <c:v>-3.4970930232558111E-3</c:v>
                </c:pt>
                <c:pt idx="160">
                  <c:v>-3.6683526011559897E-3</c:v>
                </c:pt>
                <c:pt idx="161">
                  <c:v>-3.576149425287346E-3</c:v>
                </c:pt>
                <c:pt idx="162">
                  <c:v>-3.3550000000000147E-3</c:v>
                </c:pt>
                <c:pt idx="163">
                  <c:v>-3.4595170454545204E-3</c:v>
                </c:pt>
                <c:pt idx="164">
                  <c:v>-3.4985875706214408E-3</c:v>
                </c:pt>
                <c:pt idx="165">
                  <c:v>-3.601123595505551E-3</c:v>
                </c:pt>
                <c:pt idx="166">
                  <c:v>-3.7660614525139384E-3</c:v>
                </c:pt>
                <c:pt idx="167">
                  <c:v>-3.9291666666666772E-3</c:v>
                </c:pt>
                <c:pt idx="168">
                  <c:v>-4.0904696132597175E-3</c:v>
                </c:pt>
                <c:pt idx="169">
                  <c:v>-4.249999999999976E-3</c:v>
                </c:pt>
                <c:pt idx="170">
                  <c:v>-4.6564207650271992E-3</c:v>
                </c:pt>
                <c:pt idx="171">
                  <c:v>-4.5638586956521163E-3</c:v>
                </c:pt>
                <c:pt idx="172">
                  <c:v>-4.7797297297296759E-3</c:v>
                </c:pt>
                <c:pt idx="173">
                  <c:v>-4.8709677419355021E-3</c:v>
                </c:pt>
                <c:pt idx="174">
                  <c:v>-4.9004010695185146E-3</c:v>
                </c:pt>
                <c:pt idx="175">
                  <c:v>-4.8690159574469594E-3</c:v>
                </c:pt>
                <c:pt idx="176">
                  <c:v>-4.416666666666653E-3</c:v>
                </c:pt>
                <c:pt idx="177">
                  <c:v>-4.7473684210527674E-3</c:v>
                </c:pt>
                <c:pt idx="178">
                  <c:v>-4.7172774869110538E-3</c:v>
                </c:pt>
                <c:pt idx="179">
                  <c:v>-4.9244791666667289E-3</c:v>
                </c:pt>
                <c:pt idx="180">
                  <c:v>-4.8937823834196755E-3</c:v>
                </c:pt>
                <c:pt idx="181">
                  <c:v>-4.9806701030928385E-3</c:v>
                </c:pt>
                <c:pt idx="182">
                  <c:v>-5.1833333333333922E-3</c:v>
                </c:pt>
                <c:pt idx="183">
                  <c:v>-5.0937499999999135E-3</c:v>
                </c:pt>
                <c:pt idx="184">
                  <c:v>-5.2937817258882419E-3</c:v>
                </c:pt>
                <c:pt idx="185">
                  <c:v>-5.3768939393939235E-3</c:v>
                </c:pt>
                <c:pt idx="186">
                  <c:v>-5.573492462311546E-3</c:v>
                </c:pt>
                <c:pt idx="187">
                  <c:v>-5.7681249999999903E-3</c:v>
                </c:pt>
                <c:pt idx="188">
                  <c:v>-5.6212686567163987E-3</c:v>
                </c:pt>
                <c:pt idx="189">
                  <c:v>-5.7574257425743727E-3</c:v>
                </c:pt>
                <c:pt idx="190">
                  <c:v>-5.8922413793103942E-3</c:v>
                </c:pt>
                <c:pt idx="191">
                  <c:v>-5.7469362745098439E-3</c:v>
                </c:pt>
                <c:pt idx="192">
                  <c:v>-5.935975609756141E-3</c:v>
                </c:pt>
                <c:pt idx="193">
                  <c:v>-5.9575242718447E-3</c:v>
                </c:pt>
                <c:pt idx="194">
                  <c:v>-5.92391304347823E-3</c:v>
                </c:pt>
                <c:pt idx="195">
                  <c:v>-5.8906249999998994E-3</c:v>
                </c:pt>
                <c:pt idx="196">
                  <c:v>-5.8576555023923688E-3</c:v>
                </c:pt>
                <c:pt idx="197">
                  <c:v>-6.0416666666665017E-3</c:v>
                </c:pt>
                <c:pt idx="198">
                  <c:v>-5.9543838862560067E-3</c:v>
                </c:pt>
                <c:pt idx="199">
                  <c:v>-6.0288915094341075E-3</c:v>
                </c:pt>
                <c:pt idx="200">
                  <c:v>-6.102699530516449E-3</c:v>
                </c:pt>
                <c:pt idx="201">
                  <c:v>-6.3352803738318609E-3</c:v>
                </c:pt>
                <c:pt idx="202">
                  <c:v>-6.5127906976745059E-3</c:v>
                </c:pt>
                <c:pt idx="203">
                  <c:v>-6.6886574074074981E-3</c:v>
                </c:pt>
                <c:pt idx="204">
                  <c:v>-6.4435483870967274E-3</c:v>
                </c:pt>
                <c:pt idx="205">
                  <c:v>-6.6702981651376343E-3</c:v>
                </c:pt>
                <c:pt idx="206">
                  <c:v>-6.5833333333332232E-3</c:v>
                </c:pt>
                <c:pt idx="207">
                  <c:v>-6.755681818181712E-3</c:v>
                </c:pt>
                <c:pt idx="208">
                  <c:v>-6.9779411764705488E-3</c:v>
                </c:pt>
                <c:pt idx="209">
                  <c:v>-6.8395270270271598E-3</c:v>
                </c:pt>
                <c:pt idx="210">
                  <c:v>-6.9573991031390862E-3</c:v>
                </c:pt>
                <c:pt idx="211">
                  <c:v>-6.8203125000000642E-3</c:v>
                </c:pt>
                <c:pt idx="212">
                  <c:v>-6.7350000000001168E-3</c:v>
                </c:pt>
                <c:pt idx="213">
                  <c:v>-6.6001106194691342E-3</c:v>
                </c:pt>
                <c:pt idx="214">
                  <c:v>-6.56662995594718E-3</c:v>
                </c:pt>
                <c:pt idx="215">
                  <c:v>-6.5833333333333742E-3</c:v>
                </c:pt>
                <c:pt idx="216">
                  <c:v>-6.8979257641921888E-3</c:v>
                </c:pt>
                <c:pt idx="217">
                  <c:v>-6.9130434782609159E-3</c:v>
                </c:pt>
                <c:pt idx="218">
                  <c:v>-7.0757575757574498E-3</c:v>
                </c:pt>
                <c:pt idx="219">
                  <c:v>-7.1880387931034396E-3</c:v>
                </c:pt>
                <c:pt idx="220">
                  <c:v>-6.8599785407724503E-3</c:v>
                </c:pt>
                <c:pt idx="221">
                  <c:v>-6.8750000000000876E-3</c:v>
                </c:pt>
                <c:pt idx="222">
                  <c:v>-6.8414893617021527E-3</c:v>
                </c:pt>
                <c:pt idx="223">
                  <c:v>-7.0492584745763583E-3</c:v>
                </c:pt>
                <c:pt idx="224">
                  <c:v>-7.0152953586498142E-3</c:v>
                </c:pt>
                <c:pt idx="225">
                  <c:v>-6.9338235294118403E-3</c:v>
                </c:pt>
                <c:pt idx="226">
                  <c:v>-7.0910041841004967E-3</c:v>
                </c:pt>
                <c:pt idx="227">
                  <c:v>-6.8203125000000642E-3</c:v>
                </c:pt>
                <c:pt idx="228">
                  <c:v>-6.8822614107883328E-3</c:v>
                </c:pt>
                <c:pt idx="229">
                  <c:v>-6.9436983471074442E-3</c:v>
                </c:pt>
                <c:pt idx="230">
                  <c:v>-6.911008230452622E-3</c:v>
                </c:pt>
                <c:pt idx="231">
                  <c:v>-6.9252049180327313E-3</c:v>
                </c:pt>
                <c:pt idx="232">
                  <c:v>-6.8928571428571919E-3</c:v>
                </c:pt>
                <c:pt idx="233">
                  <c:v>-7.1844512195122518E-3</c:v>
                </c:pt>
                <c:pt idx="234">
                  <c:v>-7.1052631578948418E-3</c:v>
                </c:pt>
                <c:pt idx="235">
                  <c:v>-7.2101814516129549E-3</c:v>
                </c:pt>
                <c:pt idx="236">
                  <c:v>-7.0858433734940192E-3</c:v>
                </c:pt>
                <c:pt idx="237">
                  <c:v>-7.1899999999999907E-3</c:v>
                </c:pt>
                <c:pt idx="238">
                  <c:v>-7.15737051792822E-3</c:v>
                </c:pt>
                <c:pt idx="239">
                  <c:v>-7.034722222222148E-3</c:v>
                </c:pt>
                <c:pt idx="240">
                  <c:v>-7.137845849802405E-3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51-4335-814D-53B8B9178B55}"/>
            </c:ext>
          </c:extLst>
        </c:ser>
        <c:ser>
          <c:idx val="8"/>
          <c:order val="8"/>
          <c:tx>
            <c:strRef>
              <c:f>'전류편차_24mA(절대값기준)'!$BX$7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'전류편차_24mA(절대값기준)'!$BX$22:$BX$262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-1.8437500000001385E-3</c:v>
                </c:pt>
                <c:pt idx="4">
                  <c:v>-3.6838235294117099E-3</c:v>
                </c:pt>
                <c:pt idx="5">
                  <c:v>-2.1597222222222035E-3</c:v>
                </c:pt>
                <c:pt idx="6">
                  <c:v>-1.9934210526315931E-3</c:v>
                </c:pt>
                <c:pt idx="7">
                  <c:v>-7.06250000000043E-4</c:v>
                </c:pt>
                <c:pt idx="8">
                  <c:v>-6.2500000000006994E-4</c:v>
                </c:pt>
                <c:pt idx="9">
                  <c:v>-3.4090909090945711E-5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9.9999999999995145E-4</c:v>
                </c:pt>
                <c:pt idx="15">
                  <c:v>5.9374999999997624E-4</c:v>
                </c:pt>
                <c:pt idx="16">
                  <c:v>1.3922413793103887E-3</c:v>
                </c:pt>
                <c:pt idx="17">
                  <c:v>1.3791666666666887E-3</c:v>
                </c:pt>
                <c:pt idx="18">
                  <c:v>1.3669354838709694E-3</c:v>
                </c:pt>
                <c:pt idx="19">
                  <c:v>1.3554687499999826E-3</c:v>
                </c:pt>
                <c:pt idx="20">
                  <c:v>1.3446969696969343E-3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2.5798611111111694E-3</c:v>
                </c:pt>
                <c:pt idx="24">
                  <c:v>1.9222972972972687E-3</c:v>
                </c:pt>
                <c:pt idx="25">
                  <c:v>2.4967105263158126E-3</c:v>
                </c:pt>
                <c:pt idx="26">
                  <c:v>2.1666666666667056E-3</c:v>
                </c:pt>
                <c:pt idx="27">
                  <c:v>2.1375000000000226E-3</c:v>
                </c:pt>
                <c:pt idx="28">
                  <c:v>2.1097560975609827E-3</c:v>
                </c:pt>
                <c:pt idx="29">
                  <c:v>1.8124999999999021E-3</c:v>
                </c:pt>
                <c:pt idx="30">
                  <c:v>2.0581395348836995E-3</c:v>
                </c:pt>
                <c:pt idx="31">
                  <c:v>2.8096590909090853E-3</c:v>
                </c:pt>
                <c:pt idx="32">
                  <c:v>2.5166666666666757E-3</c:v>
                </c:pt>
                <c:pt idx="33">
                  <c:v>2.4836956521740185E-3</c:v>
                </c:pt>
                <c:pt idx="34">
                  <c:v>2.4521276595744507E-3</c:v>
                </c:pt>
                <c:pt idx="35">
                  <c:v>2.6588541666666111E-3</c:v>
                </c:pt>
                <c:pt idx="36">
                  <c:v>2.1607142857143729E-3</c:v>
                </c:pt>
                <c:pt idx="37">
                  <c:v>2.5924999999999217E-3</c:v>
                </c:pt>
                <c:pt idx="38">
                  <c:v>2.5612745098039322E-3</c:v>
                </c:pt>
                <c:pt idx="39">
                  <c:v>2.3125000000000229E-3</c:v>
                </c:pt>
                <c:pt idx="40">
                  <c:v>2.287735849056519E-3</c:v>
                </c:pt>
                <c:pt idx="41">
                  <c:v>2.2638888888888882E-3</c:v>
                </c:pt>
                <c:pt idx="42">
                  <c:v>2.2409090909091714E-3</c:v>
                </c:pt>
                <c:pt idx="43">
                  <c:v>2.4218749999998651E-3</c:v>
                </c:pt>
                <c:pt idx="44">
                  <c:v>1.9978070175438491E-3</c:v>
                </c:pt>
                <c:pt idx="45">
                  <c:v>1.9806034482759281E-3</c:v>
                </c:pt>
                <c:pt idx="46">
                  <c:v>2.3495762711863671E-3</c:v>
                </c:pt>
                <c:pt idx="47">
                  <c:v>2.3270833333333351E-3</c:v>
                </c:pt>
                <c:pt idx="48">
                  <c:v>2.305327868852534E-3</c:v>
                </c:pt>
                <c:pt idx="49">
                  <c:v>2.6512096774192963E-3</c:v>
                </c:pt>
                <c:pt idx="50">
                  <c:v>2.4444444444443971E-3</c:v>
                </c:pt>
                <c:pt idx="51">
                  <c:v>2.4218749999998651E-3</c:v>
                </c:pt>
                <c:pt idx="52">
                  <c:v>2.2250000000000325E-3</c:v>
                </c:pt>
                <c:pt idx="53">
                  <c:v>2.2064393939394931E-3</c:v>
                </c:pt>
                <c:pt idx="54">
                  <c:v>2.1884328358207578E-3</c:v>
                </c:pt>
                <c:pt idx="55">
                  <c:v>2.1709558823528709E-3</c:v>
                </c:pt>
                <c:pt idx="56">
                  <c:v>2.1539855072463723E-3</c:v>
                </c:pt>
                <c:pt idx="57">
                  <c:v>2.1374999999999142E-3</c:v>
                </c:pt>
                <c:pt idx="58">
                  <c:v>2.2816901408451024E-3</c:v>
                </c:pt>
                <c:pt idx="59">
                  <c:v>1.9479166666666542E-3</c:v>
                </c:pt>
                <c:pt idx="60">
                  <c:v>1.623287671232821E-3</c:v>
                </c:pt>
                <c:pt idx="61">
                  <c:v>1.61486486486487E-3</c:v>
                </c:pt>
                <c:pt idx="62">
                  <c:v>2.0616666666667485E-3</c:v>
                </c:pt>
                <c:pt idx="63">
                  <c:v>1.8980263157894297E-3</c:v>
                </c:pt>
                <c:pt idx="64">
                  <c:v>1.8863636363636506E-3</c:v>
                </c:pt>
                <c:pt idx="65">
                  <c:v>2.0208333333334534E-3</c:v>
                </c:pt>
                <c:pt idx="66">
                  <c:v>1.8639240506329099E-3</c:v>
                </c:pt>
                <c:pt idx="67">
                  <c:v>1.7109375000000065E-3</c:v>
                </c:pt>
                <c:pt idx="68">
                  <c:v>1.7021604938272218E-3</c:v>
                </c:pt>
                <c:pt idx="69">
                  <c:v>1.554878048780433E-3</c:v>
                </c:pt>
                <c:pt idx="70">
                  <c:v>1.4111445783133285E-3</c:v>
                </c:pt>
                <c:pt idx="71">
                  <c:v>1.2708333333332951E-3</c:v>
                </c:pt>
                <c:pt idx="72">
                  <c:v>1.2676470588235439E-3</c:v>
                </c:pt>
                <c:pt idx="73">
                  <c:v>1.2645348837209962E-3</c:v>
                </c:pt>
                <c:pt idx="74">
                  <c:v>1.2614942528735634E-3</c:v>
                </c:pt>
                <c:pt idx="75">
                  <c:v>1.258522727272778E-3</c:v>
                </c:pt>
                <c:pt idx="76">
                  <c:v>1.0000000000000145E-3</c:v>
                </c:pt>
                <c:pt idx="77">
                  <c:v>1.1263888888888825E-3</c:v>
                </c:pt>
                <c:pt idx="78">
                  <c:v>1.1250000000000426E-3</c:v>
                </c:pt>
                <c:pt idx="79">
                  <c:v>1.3709239130435416E-3</c:v>
                </c:pt>
                <c:pt idx="80">
                  <c:v>1.3669354838709694E-3</c:v>
                </c:pt>
                <c:pt idx="81">
                  <c:v>1.242021276595538E-3</c:v>
                </c:pt>
                <c:pt idx="82">
                  <c:v>1.598684210526278E-3</c:v>
                </c:pt>
                <c:pt idx="83">
                  <c:v>1.4739583333333028E-3</c:v>
                </c:pt>
                <c:pt idx="84">
                  <c:v>1.2345360824742684E-3</c:v>
                </c:pt>
                <c:pt idx="85">
                  <c:v>1.4642857142857751E-3</c:v>
                </c:pt>
                <c:pt idx="86">
                  <c:v>1.3446969696970365E-3</c:v>
                </c:pt>
                <c:pt idx="87">
                  <c:v>1.2274999999998702E-3</c:v>
                </c:pt>
                <c:pt idx="88">
                  <c:v>9.9999999999994039E-4</c:v>
                </c:pt>
                <c:pt idx="89">
                  <c:v>1.1115196078431591E-3</c:v>
                </c:pt>
                <c:pt idx="90">
                  <c:v>1.1104368932038501E-3</c:v>
                </c:pt>
                <c:pt idx="91">
                  <c:v>1.2187500000000462E-3</c:v>
                </c:pt>
                <c:pt idx="92">
                  <c:v>1.0000000000001119E-3</c:v>
                </c:pt>
                <c:pt idx="93">
                  <c:v>1.1073113207547148E-3</c:v>
                </c:pt>
                <c:pt idx="94">
                  <c:v>1.3189252336448759E-3</c:v>
                </c:pt>
                <c:pt idx="95">
                  <c:v>1.4212962962962014E-3</c:v>
                </c:pt>
                <c:pt idx="96">
                  <c:v>1.6261467889909348E-3</c:v>
                </c:pt>
                <c:pt idx="97">
                  <c:v>1.7238636363636358E-3</c:v>
                </c:pt>
                <c:pt idx="98">
                  <c:v>1.9222972972971319E-3</c:v>
                </c:pt>
                <c:pt idx="99">
                  <c:v>1.9140624999999661E-3</c:v>
                </c:pt>
                <c:pt idx="100">
                  <c:v>1.9059734513273499E-3</c:v>
                </c:pt>
                <c:pt idx="101">
                  <c:v>1.8980263157895184E-3</c:v>
                </c:pt>
                <c:pt idx="102">
                  <c:v>1.8902173913043429E-3</c:v>
                </c:pt>
                <c:pt idx="103">
                  <c:v>2.0786637931034602E-3</c:v>
                </c:pt>
                <c:pt idx="104">
                  <c:v>1.9722222222220667E-3</c:v>
                </c:pt>
                <c:pt idx="105">
                  <c:v>1.9639830508474264E-3</c:v>
                </c:pt>
                <c:pt idx="106">
                  <c:v>2.2426470588234621E-3</c:v>
                </c:pt>
                <c:pt idx="107">
                  <c:v>2.2322916666667209E-3</c:v>
                </c:pt>
                <c:pt idx="108">
                  <c:v>1.9400826446280958E-3</c:v>
                </c:pt>
                <c:pt idx="109">
                  <c:v>1.8391393442622969E-3</c:v>
                </c:pt>
                <c:pt idx="110">
                  <c:v>2.1097560975609415E-3</c:v>
                </c:pt>
                <c:pt idx="111">
                  <c:v>2.2842741935483689E-3</c:v>
                </c:pt>
                <c:pt idx="112">
                  <c:v>2.0920000000000378E-3</c:v>
                </c:pt>
                <c:pt idx="113">
                  <c:v>2.263888888888942E-3</c:v>
                </c:pt>
                <c:pt idx="114">
                  <c:v>2.164370078740215E-3</c:v>
                </c:pt>
                <c:pt idx="115">
                  <c:v>2.2441406249999636E-3</c:v>
                </c:pt>
                <c:pt idx="116">
                  <c:v>2.2344961240309278E-3</c:v>
                </c:pt>
                <c:pt idx="117">
                  <c:v>2.3124999999999838E-3</c:v>
                </c:pt>
                <c:pt idx="118">
                  <c:v>2.1288167938931669E-3</c:v>
                </c:pt>
                <c:pt idx="119">
                  <c:v>2.2064393939394931E-3</c:v>
                </c:pt>
                <c:pt idx="120">
                  <c:v>2.0263157894736834E-3</c:v>
                </c:pt>
                <c:pt idx="121">
                  <c:v>2.1035447761193126E-3</c:v>
                </c:pt>
                <c:pt idx="122">
                  <c:v>1.9268518518518135E-3</c:v>
                </c:pt>
                <c:pt idx="123">
                  <c:v>2.0036764705882578E-3</c:v>
                </c:pt>
                <c:pt idx="124">
                  <c:v>1.8302919708029928E-3</c:v>
                </c:pt>
                <c:pt idx="125">
                  <c:v>1.9067028985507105E-3</c:v>
                </c:pt>
                <c:pt idx="126">
                  <c:v>1.982014388489254E-3</c:v>
                </c:pt>
                <c:pt idx="127">
                  <c:v>1.9750000000000045E-3</c:v>
                </c:pt>
                <c:pt idx="128">
                  <c:v>2.1294326241134932E-3</c:v>
                </c:pt>
                <c:pt idx="129">
                  <c:v>2.1214788732394148E-3</c:v>
                </c:pt>
                <c:pt idx="130">
                  <c:v>2.1136363636364438E-3</c:v>
                </c:pt>
                <c:pt idx="131">
                  <c:v>2.1059027777778181E-3</c:v>
                </c:pt>
                <c:pt idx="132">
                  <c:v>2.0982758620689667E-3</c:v>
                </c:pt>
                <c:pt idx="133">
                  <c:v>2.2465753424657673E-3</c:v>
                </c:pt>
                <c:pt idx="134">
                  <c:v>2.160714285714304E-3</c:v>
                </c:pt>
                <c:pt idx="135">
                  <c:v>2.1528716216216016E-3</c:v>
                </c:pt>
                <c:pt idx="136">
                  <c:v>2.1451342281879975E-3</c:v>
                </c:pt>
                <c:pt idx="137">
                  <c:v>2.1375000000000395E-3</c:v>
                </c:pt>
                <c:pt idx="138">
                  <c:v>2.0546357615893137E-3</c:v>
                </c:pt>
                <c:pt idx="139">
                  <c:v>1.8231907894736817E-3</c:v>
                </c:pt>
                <c:pt idx="140">
                  <c:v>1.6691176470588665E-3</c:v>
                </c:pt>
                <c:pt idx="141">
                  <c:v>1.7386363636363285E-3</c:v>
                </c:pt>
                <c:pt idx="142">
                  <c:v>1.9540322580645837E-3</c:v>
                </c:pt>
                <c:pt idx="143">
                  <c:v>1.9479166666666974E-3</c:v>
                </c:pt>
                <c:pt idx="144">
                  <c:v>2.0867834394903599E-3</c:v>
                </c:pt>
                <c:pt idx="145">
                  <c:v>2.0799050632911457E-3</c:v>
                </c:pt>
                <c:pt idx="146">
                  <c:v>2.2161949685534778E-3</c:v>
                </c:pt>
                <c:pt idx="147">
                  <c:v>2.2085937499999831E-3</c:v>
                </c:pt>
                <c:pt idx="148">
                  <c:v>2.2010869565218128E-3</c:v>
                </c:pt>
                <c:pt idx="149">
                  <c:v>2.3341049382716904E-3</c:v>
                </c:pt>
                <c:pt idx="150">
                  <c:v>2.3259202453986987E-3</c:v>
                </c:pt>
                <c:pt idx="151">
                  <c:v>2.3178353658536736E-3</c:v>
                </c:pt>
                <c:pt idx="152">
                  <c:v>2.3098484848484658E-3</c:v>
                </c:pt>
                <c:pt idx="153">
                  <c:v>2.233433734939744E-3</c:v>
                </c:pt>
                <c:pt idx="154">
                  <c:v>2.2260479041916886E-3</c:v>
                </c:pt>
                <c:pt idx="155">
                  <c:v>2.1510416666666215E-3</c:v>
                </c:pt>
                <c:pt idx="156">
                  <c:v>1.9423076923076065E-3</c:v>
                </c:pt>
                <c:pt idx="157">
                  <c:v>2.0705882352941626E-3</c:v>
                </c:pt>
                <c:pt idx="158">
                  <c:v>2.2638888888889082E-3</c:v>
                </c:pt>
                <c:pt idx="159">
                  <c:v>2.2565406976744048E-3</c:v>
                </c:pt>
                <c:pt idx="160">
                  <c:v>2.1835260115608004E-3</c:v>
                </c:pt>
                <c:pt idx="161">
                  <c:v>2.2420977011493462E-3</c:v>
                </c:pt>
                <c:pt idx="162">
                  <c:v>2.1699999999999255E-3</c:v>
                </c:pt>
                <c:pt idx="163">
                  <c:v>2.1633522727272812E-3</c:v>
                </c:pt>
                <c:pt idx="164">
                  <c:v>2.0925141242937972E-3</c:v>
                </c:pt>
                <c:pt idx="165">
                  <c:v>2.0863764044943621E-3</c:v>
                </c:pt>
                <c:pt idx="166">
                  <c:v>2.0803072625698938E-3</c:v>
                </c:pt>
                <c:pt idx="167">
                  <c:v>2.074305555555473E-3</c:v>
                </c:pt>
                <c:pt idx="168">
                  <c:v>2.005524861878486E-3</c:v>
                </c:pt>
                <c:pt idx="169">
                  <c:v>1.9374999999999254E-3</c:v>
                </c:pt>
                <c:pt idx="170">
                  <c:v>1.8702185792349021E-3</c:v>
                </c:pt>
                <c:pt idx="171">
                  <c:v>1.8654891304347913E-3</c:v>
                </c:pt>
                <c:pt idx="172">
                  <c:v>1.6148648648648702E-3</c:v>
                </c:pt>
                <c:pt idx="173">
                  <c:v>1.4892473118281082E-3</c:v>
                </c:pt>
                <c:pt idx="174">
                  <c:v>1.6082887700536368E-3</c:v>
                </c:pt>
                <c:pt idx="175">
                  <c:v>1.665558510638179E-3</c:v>
                </c:pt>
                <c:pt idx="176">
                  <c:v>1.6620370370369958E-3</c:v>
                </c:pt>
                <c:pt idx="177">
                  <c:v>1.7184210526314748E-3</c:v>
                </c:pt>
                <c:pt idx="178">
                  <c:v>1.7146596858638469E-3</c:v>
                </c:pt>
                <c:pt idx="179">
                  <c:v>1.7701822916665771E-3</c:v>
                </c:pt>
                <c:pt idx="180">
                  <c:v>1.7661917098445461E-3</c:v>
                </c:pt>
                <c:pt idx="181">
                  <c:v>1.8208762886597187E-3</c:v>
                </c:pt>
                <c:pt idx="182">
                  <c:v>1.8166666666666665E-3</c:v>
                </c:pt>
                <c:pt idx="183">
                  <c:v>1.8705357142858592E-3</c:v>
                </c:pt>
                <c:pt idx="184">
                  <c:v>1.8661167512690486E-3</c:v>
                </c:pt>
                <c:pt idx="185">
                  <c:v>1.8617424242425107E-3</c:v>
                </c:pt>
                <c:pt idx="186">
                  <c:v>1.8002512562814963E-3</c:v>
                </c:pt>
                <c:pt idx="187">
                  <c:v>1.7393749999998897E-3</c:v>
                </c:pt>
                <c:pt idx="188">
                  <c:v>1.6225124378109706E-3</c:v>
                </c:pt>
                <c:pt idx="189">
                  <c:v>1.5631188118812164E-3</c:v>
                </c:pt>
                <c:pt idx="190">
                  <c:v>1.6724137931034861E-3</c:v>
                </c:pt>
                <c:pt idx="191">
                  <c:v>1.7248774509803712E-3</c:v>
                </c:pt>
                <c:pt idx="192">
                  <c:v>1.8323170731707203E-3</c:v>
                </c:pt>
                <c:pt idx="193">
                  <c:v>1.8282766990291854E-3</c:v>
                </c:pt>
                <c:pt idx="194">
                  <c:v>1.82427536231897E-3</c:v>
                </c:pt>
                <c:pt idx="195">
                  <c:v>1.9296875000001379E-3</c:v>
                </c:pt>
                <c:pt idx="196">
                  <c:v>1.9252392344497743E-3</c:v>
                </c:pt>
                <c:pt idx="197">
                  <c:v>1.9208333333334163E-3</c:v>
                </c:pt>
                <c:pt idx="198">
                  <c:v>1.9164691943127556E-3</c:v>
                </c:pt>
                <c:pt idx="199">
                  <c:v>2.0194575471697801E-3</c:v>
                </c:pt>
                <c:pt idx="200">
                  <c:v>1.907863849765165E-3</c:v>
                </c:pt>
                <c:pt idx="201">
                  <c:v>1.9567757009346198E-3</c:v>
                </c:pt>
                <c:pt idx="202">
                  <c:v>2.0052325581395194E-3</c:v>
                </c:pt>
                <c:pt idx="203">
                  <c:v>1.9479166666666542E-3</c:v>
                </c:pt>
                <c:pt idx="204">
                  <c:v>1.7862903225806938E-3</c:v>
                </c:pt>
                <c:pt idx="205">
                  <c:v>1.7305045871560147E-3</c:v>
                </c:pt>
                <c:pt idx="206">
                  <c:v>1.8829908675800321E-3</c:v>
                </c:pt>
                <c:pt idx="207">
                  <c:v>1.878977272727278E-3</c:v>
                </c:pt>
                <c:pt idx="208">
                  <c:v>1.8750000000000713E-3</c:v>
                </c:pt>
                <c:pt idx="209">
                  <c:v>2.0247747747747348E-3</c:v>
                </c:pt>
                <c:pt idx="210">
                  <c:v>1.9691704035874071E-3</c:v>
                </c:pt>
                <c:pt idx="211">
                  <c:v>2.0664062499999719E-3</c:v>
                </c:pt>
                <c:pt idx="212">
                  <c:v>2.0616666666667034E-3</c:v>
                </c:pt>
                <c:pt idx="213">
                  <c:v>2.0569690265485946E-3</c:v>
                </c:pt>
                <c:pt idx="214">
                  <c:v>2.0523127753303829E-3</c:v>
                </c:pt>
                <c:pt idx="215">
                  <c:v>2.1474780701754336E-3</c:v>
                </c:pt>
                <c:pt idx="216">
                  <c:v>2.1921397379912094E-3</c:v>
                </c:pt>
                <c:pt idx="217">
                  <c:v>2.1375000000001215E-3</c:v>
                </c:pt>
                <c:pt idx="218">
                  <c:v>2.1325757575757667E-3</c:v>
                </c:pt>
                <c:pt idx="219">
                  <c:v>2.1276939655173132E-3</c:v>
                </c:pt>
                <c:pt idx="220">
                  <c:v>2.0252145922746928E-3</c:v>
                </c:pt>
                <c:pt idx="221">
                  <c:v>2.020833333333237E-3</c:v>
                </c:pt>
                <c:pt idx="222">
                  <c:v>2.0648936170213016E-3</c:v>
                </c:pt>
                <c:pt idx="223">
                  <c:v>2.1567796610169826E-3</c:v>
                </c:pt>
                <c:pt idx="224">
                  <c:v>2.007911392404982E-3</c:v>
                </c:pt>
                <c:pt idx="225">
                  <c:v>2.1470588235293973E-3</c:v>
                </c:pt>
                <c:pt idx="226">
                  <c:v>2.1422594142259878E-3</c:v>
                </c:pt>
                <c:pt idx="227">
                  <c:v>2.1848958333333299E-3</c:v>
                </c:pt>
                <c:pt idx="228">
                  <c:v>2.1799792531120902E-3</c:v>
                </c:pt>
                <c:pt idx="229">
                  <c:v>2.2221074380165363E-3</c:v>
                </c:pt>
                <c:pt idx="230">
                  <c:v>2.2170781893004784E-3</c:v>
                </c:pt>
                <c:pt idx="231">
                  <c:v>2.2587090163934606E-3</c:v>
                </c:pt>
                <c:pt idx="232">
                  <c:v>2.1607142857142489E-3</c:v>
                </c:pt>
                <c:pt idx="233">
                  <c:v>2.2947154471543349E-3</c:v>
                </c:pt>
                <c:pt idx="234">
                  <c:v>2.1973684210526059E-3</c:v>
                </c:pt>
                <c:pt idx="235">
                  <c:v>2.2384072580644422E-3</c:v>
                </c:pt>
                <c:pt idx="236">
                  <c:v>2.142068273092405E-3</c:v>
                </c:pt>
                <c:pt idx="237">
                  <c:v>2.0920000000000378E-3</c:v>
                </c:pt>
                <c:pt idx="238">
                  <c:v>2.178286852589687E-3</c:v>
                </c:pt>
                <c:pt idx="239">
                  <c:v>2.2187499999999976E-3</c:v>
                </c:pt>
                <c:pt idx="240">
                  <c:v>2.2139328063241659E-3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B51-4335-814D-53B8B9178B55}"/>
            </c:ext>
          </c:extLst>
        </c:ser>
        <c:ser>
          <c:idx val="9"/>
          <c:order val="9"/>
          <c:tx>
            <c:strRef>
              <c:f>'전류편차_24mA(절대값기준)'!$BY$7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'전류편차_24mA(절대값기준)'!$BY$22:$BY$262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-1.4374999999999805E-3</c:v>
                </c:pt>
                <c:pt idx="2">
                  <c:v>-5.1666666666660423E-4</c:v>
                </c:pt>
                <c:pt idx="3">
                  <c:v>2.8906249999994214E-4</c:v>
                </c:pt>
                <c:pt idx="4">
                  <c:v>9.9999999999998463E-4</c:v>
                </c:pt>
                <c:pt idx="5">
                  <c:v>2.2638888888889819E-3</c:v>
                </c:pt>
                <c:pt idx="6">
                  <c:v>2.1973684210525547E-3</c:v>
                </c:pt>
                <c:pt idx="7">
                  <c:v>2.70624999999996E-3</c:v>
                </c:pt>
                <c:pt idx="8">
                  <c:v>2.0833333333333259E-3</c:v>
                </c:pt>
                <c:pt idx="9">
                  <c:v>2.0340909090908743E-3</c:v>
                </c:pt>
                <c:pt idx="10">
                  <c:v>2.9782608695652683E-3</c:v>
                </c:pt>
                <c:pt idx="11">
                  <c:v>2.4218750000000754E-3</c:v>
                </c:pt>
                <c:pt idx="12">
                  <c:v>2.364999999999846E-3</c:v>
                </c:pt>
                <c:pt idx="13">
                  <c:v>1.8750000000000711E-3</c:v>
                </c:pt>
                <c:pt idx="14">
                  <c:v>9.9999999999995145E-4</c:v>
                </c:pt>
                <c:pt idx="15">
                  <c:v>2.2187499999999777E-3</c:v>
                </c:pt>
                <c:pt idx="16">
                  <c:v>2.1767241379311662E-3</c:v>
                </c:pt>
                <c:pt idx="17">
                  <c:v>2.8958333333333566E-3</c:v>
                </c:pt>
                <c:pt idx="18">
                  <c:v>2.8346774193548415E-3</c:v>
                </c:pt>
                <c:pt idx="19">
                  <c:v>3.4882812499999051E-3</c:v>
                </c:pt>
                <c:pt idx="20">
                  <c:v>2.7234848484848145E-3</c:v>
                </c:pt>
                <c:pt idx="21">
                  <c:v>3.0073529411765313E-3</c:v>
                </c:pt>
                <c:pt idx="22">
                  <c:v>2.2999999999999687E-3</c:v>
                </c:pt>
                <c:pt idx="23">
                  <c:v>2.5798611111111694E-3</c:v>
                </c:pt>
                <c:pt idx="24">
                  <c:v>3.1520270270269995E-3</c:v>
                </c:pt>
                <c:pt idx="25">
                  <c:v>3.6940789473684449E-3</c:v>
                </c:pt>
                <c:pt idx="26">
                  <c:v>3.3333333333333734E-3</c:v>
                </c:pt>
                <c:pt idx="27">
                  <c:v>2.9906250000000553E-3</c:v>
                </c:pt>
                <c:pt idx="28">
                  <c:v>2.9420731707317459E-3</c:v>
                </c:pt>
                <c:pt idx="29">
                  <c:v>2.8958333333332364E-3</c:v>
                </c:pt>
                <c:pt idx="30">
                  <c:v>2.8517441860465204E-3</c:v>
                </c:pt>
                <c:pt idx="31">
                  <c:v>3.326704545454483E-3</c:v>
                </c:pt>
                <c:pt idx="32">
                  <c:v>3.5277777777777877E-3</c:v>
                </c:pt>
                <c:pt idx="33">
                  <c:v>3.4728260869565184E-3</c:v>
                </c:pt>
                <c:pt idx="34">
                  <c:v>3.9042553191487583E-3</c:v>
                </c:pt>
                <c:pt idx="35">
                  <c:v>3.6067708333333837E-3</c:v>
                </c:pt>
                <c:pt idx="36">
                  <c:v>3.7857142857142972E-3</c:v>
                </c:pt>
                <c:pt idx="37">
                  <c:v>4.1849999999998477E-3</c:v>
                </c:pt>
                <c:pt idx="38">
                  <c:v>3.6764705882352811E-3</c:v>
                </c:pt>
                <c:pt idx="39">
                  <c:v>4.0625000000000244E-3</c:v>
                </c:pt>
                <c:pt idx="40">
                  <c:v>4.0047169811319927E-3</c:v>
                </c:pt>
                <c:pt idx="41">
                  <c:v>3.9490740740740753E-3</c:v>
                </c:pt>
                <c:pt idx="42">
                  <c:v>3.6886363636363766E-3</c:v>
                </c:pt>
                <c:pt idx="43">
                  <c:v>3.6406249999999113E-3</c:v>
                </c:pt>
                <c:pt idx="44">
                  <c:v>2.7960526315790259E-3</c:v>
                </c:pt>
                <c:pt idx="45">
                  <c:v>2.3728448275862298E-3</c:v>
                </c:pt>
                <c:pt idx="46">
                  <c:v>2.3495762711863671E-3</c:v>
                </c:pt>
                <c:pt idx="47">
                  <c:v>2.70624999999996E-3</c:v>
                </c:pt>
                <c:pt idx="48">
                  <c:v>2.1188524590164061E-3</c:v>
                </c:pt>
                <c:pt idx="49">
                  <c:v>2.2842741935483689E-3</c:v>
                </c:pt>
                <c:pt idx="50">
                  <c:v>2.0833333333333259E-3</c:v>
                </c:pt>
                <c:pt idx="51">
                  <c:v>2.4218749999998651E-3</c:v>
                </c:pt>
                <c:pt idx="52">
                  <c:v>2.2250000000000325E-3</c:v>
                </c:pt>
                <c:pt idx="53">
                  <c:v>1.8617424242424086E-3</c:v>
                </c:pt>
                <c:pt idx="54">
                  <c:v>1.6791044776119342E-3</c:v>
                </c:pt>
                <c:pt idx="55">
                  <c:v>1.5018382352941211E-3</c:v>
                </c:pt>
                <c:pt idx="56">
                  <c:v>1.1648550724638724E-3</c:v>
                </c:pt>
                <c:pt idx="57">
                  <c:v>1.1624999999998774E-3</c:v>
                </c:pt>
                <c:pt idx="58">
                  <c:v>8.3978873239434326E-4</c:v>
                </c:pt>
                <c:pt idx="59">
                  <c:v>1.000000000000092E-3</c:v>
                </c:pt>
                <c:pt idx="60">
                  <c:v>5.3253424657533782E-4</c:v>
                </c:pt>
                <c:pt idx="61">
                  <c:v>3.8513513513513924E-4</c:v>
                </c:pt>
                <c:pt idx="62">
                  <c:v>2.416666666666793E-4</c:v>
                </c:pt>
                <c:pt idx="63">
                  <c:v>4.0131578947367216E-4</c:v>
                </c:pt>
                <c:pt idx="64">
                  <c:v>4.0909090909095489E-4</c:v>
                </c:pt>
                <c:pt idx="65">
                  <c:v>2.7083333333338677E-4</c:v>
                </c:pt>
                <c:pt idx="66">
                  <c:v>2.8006329113922161E-4</c:v>
                </c:pt>
                <c:pt idx="67">
                  <c:v>4.3124999999995809E-4</c:v>
                </c:pt>
                <c:pt idx="68">
                  <c:v>4.3827160493828502E-4</c:v>
                </c:pt>
                <c:pt idx="69">
                  <c:v>3.0640243902441133E-4</c:v>
                </c:pt>
                <c:pt idx="70">
                  <c:v>4.0662650602392454E-5</c:v>
                </c:pt>
                <c:pt idx="71">
                  <c:v>5.2083333333248952E-5</c:v>
                </c:pt>
                <c:pt idx="72">
                  <c:v>-7.0588235294074612E-5</c:v>
                </c:pt>
                <c:pt idx="73">
                  <c:v>-3.2267441860464531E-4</c:v>
                </c:pt>
                <c:pt idx="74">
                  <c:v>-4.3821839080470065E-4</c:v>
                </c:pt>
                <c:pt idx="75">
                  <c:v>-4.2187500000005133E-4</c:v>
                </c:pt>
                <c:pt idx="76">
                  <c:v>-5.3370786516846933E-4</c:v>
                </c:pt>
                <c:pt idx="77">
                  <c:v>-5.1666666666666029E-4</c:v>
                </c:pt>
                <c:pt idx="78">
                  <c:v>-7.5000000000002842E-4</c:v>
                </c:pt>
                <c:pt idx="79">
                  <c:v>-4.8369565217392014E-4</c:v>
                </c:pt>
                <c:pt idx="80">
                  <c:v>-2.2311827956987865E-4</c:v>
                </c:pt>
                <c:pt idx="81">
                  <c:v>-4.5212765957459538E-4</c:v>
                </c:pt>
                <c:pt idx="82">
                  <c:v>-3.1710526315793401E-4</c:v>
                </c:pt>
                <c:pt idx="83">
                  <c:v>-3.033854166667645E-4</c:v>
                </c:pt>
                <c:pt idx="84">
                  <c:v>-1.7268041237114592E-4</c:v>
                </c:pt>
                <c:pt idx="85">
                  <c:v>-1.6071428571414907E-4</c:v>
                </c:pt>
                <c:pt idx="86">
                  <c:v>-2.6388888888874716E-4</c:v>
                </c:pt>
                <c:pt idx="87">
                  <c:v>-2.5125000000011829E-4</c:v>
                </c:pt>
                <c:pt idx="88">
                  <c:v>-2.38861386138587E-4</c:v>
                </c:pt>
                <c:pt idx="89">
                  <c:v>-3.3823529411761415E-4</c:v>
                </c:pt>
                <c:pt idx="90">
                  <c:v>-5.4611650485426888E-4</c:v>
                </c:pt>
                <c:pt idx="91">
                  <c:v>-5.3124999999995537E-4</c:v>
                </c:pt>
                <c:pt idx="92">
                  <c:v>-5.16666666666484E-4</c:v>
                </c:pt>
                <c:pt idx="93">
                  <c:v>-6.0966981132075826E-4</c:v>
                </c:pt>
                <c:pt idx="94">
                  <c:v>-4.8831775700946113E-4</c:v>
                </c:pt>
                <c:pt idx="95">
                  <c:v>-3.6921296296300095E-4</c:v>
                </c:pt>
                <c:pt idx="96">
                  <c:v>-1.4793577981653364E-4</c:v>
                </c:pt>
                <c:pt idx="97">
                  <c:v>-3.4090909090853866E-5</c:v>
                </c:pt>
                <c:pt idx="98">
                  <c:v>7.7702702702649632E-5</c:v>
                </c:pt>
                <c:pt idx="99">
                  <c:v>8.593749999989686E-5</c:v>
                </c:pt>
                <c:pt idx="100">
                  <c:v>9.4026548672592857E-5</c:v>
                </c:pt>
                <c:pt idx="101">
                  <c:v>2.0175438596483359E-4</c:v>
                </c:pt>
                <c:pt idx="102">
                  <c:v>1.0869565217373695E-5</c:v>
                </c:pt>
                <c:pt idx="103">
                  <c:v>2.1551724137930958E-4</c:v>
                </c:pt>
                <c:pt idx="104">
                  <c:v>2.2222222222217306E-4</c:v>
                </c:pt>
                <c:pt idx="105">
                  <c:v>2.2881355932193717E-4</c:v>
                </c:pt>
                <c:pt idx="106">
                  <c:v>4.4117647058786019E-5</c:v>
                </c:pt>
                <c:pt idx="107">
                  <c:v>1.4687500000003147E-4</c:v>
                </c:pt>
                <c:pt idx="108">
                  <c:v>5.9917355371937358E-5</c:v>
                </c:pt>
                <c:pt idx="109">
                  <c:v>-3.0532786885242814E-4</c:v>
                </c:pt>
                <c:pt idx="110">
                  <c:v>-1.0975609756109349E-4</c:v>
                </c:pt>
                <c:pt idx="111">
                  <c:v>-1.0080645161290286E-4</c:v>
                </c:pt>
                <c:pt idx="112">
                  <c:v>-9.9999999993372047E-7</c:v>
                </c:pt>
                <c:pt idx="113">
                  <c:v>9.7222222222193011E-5</c:v>
                </c:pt>
                <c:pt idx="114">
                  <c:v>1.938976377953115E-4</c:v>
                </c:pt>
                <c:pt idx="115">
                  <c:v>2.0019531249999137E-4</c:v>
                </c:pt>
                <c:pt idx="116">
                  <c:v>1.1821705426356234E-4</c:v>
                </c:pt>
                <c:pt idx="117">
                  <c:v>1.2499999999995292E-4</c:v>
                </c:pt>
                <c:pt idx="118">
                  <c:v>4.4847328244233002E-5</c:v>
                </c:pt>
                <c:pt idx="119">
                  <c:v>5.2083333333402034E-5</c:v>
                </c:pt>
                <c:pt idx="120">
                  <c:v>-2.6315789473611194E-5</c:v>
                </c:pt>
                <c:pt idx="121">
                  <c:v>-2.7332089552251825E-4</c:v>
                </c:pt>
                <c:pt idx="122">
                  <c:v>-9.53703703703356E-5</c:v>
                </c:pt>
                <c:pt idx="123">
                  <c:v>-1.7095588235290193E-4</c:v>
                </c:pt>
                <c:pt idx="124">
                  <c:v>-5.7755474452546719E-4</c:v>
                </c:pt>
                <c:pt idx="125">
                  <c:v>-7.3097826086958165E-4</c:v>
                </c:pt>
                <c:pt idx="126">
                  <c:v>-5.5485611510791609E-4</c:v>
                </c:pt>
                <c:pt idx="127">
                  <c:v>-3.0000000000003353E-4</c:v>
                </c:pt>
                <c:pt idx="128">
                  <c:v>-2.1010638297869829E-4</c:v>
                </c:pt>
                <c:pt idx="129">
                  <c:v>-4.1373239436581149E-5</c:v>
                </c:pt>
                <c:pt idx="130">
                  <c:v>-3.4090909090910387E-5</c:v>
                </c:pt>
                <c:pt idx="131">
                  <c:v>5.2083333333389282E-5</c:v>
                </c:pt>
                <c:pt idx="132">
                  <c:v>2.1551724137937927E-4</c:v>
                </c:pt>
                <c:pt idx="133">
                  <c:v>2.2089041095879538E-4</c:v>
                </c:pt>
                <c:pt idx="134">
                  <c:v>2.2619047619046713E-4</c:v>
                </c:pt>
                <c:pt idx="135">
                  <c:v>3.8513513513513924E-4</c:v>
                </c:pt>
                <c:pt idx="136">
                  <c:v>3.1291946308725674E-4</c:v>
                </c:pt>
                <c:pt idx="137">
                  <c:v>3.9333333333339663E-4</c:v>
                </c:pt>
                <c:pt idx="138">
                  <c:v>3.2201986754960214E-4</c:v>
                </c:pt>
                <c:pt idx="139">
                  <c:v>3.2648026315792414E-4</c:v>
                </c:pt>
                <c:pt idx="140">
                  <c:v>2.5653594771245171E-4</c:v>
                </c:pt>
                <c:pt idx="141">
                  <c:v>3.9772727272715322E-5</c:v>
                </c:pt>
                <c:pt idx="142">
                  <c:v>1.1935483870971871E-4</c:v>
                </c:pt>
                <c:pt idx="143">
                  <c:v>4.1666666666676883E-4</c:v>
                </c:pt>
                <c:pt idx="144">
                  <c:v>6.3773885350312961E-4</c:v>
                </c:pt>
                <c:pt idx="145">
                  <c:v>7.120253164556936E-4</c:v>
                </c:pt>
                <c:pt idx="146">
                  <c:v>7.1383647798738321E-4</c:v>
                </c:pt>
                <c:pt idx="147">
                  <c:v>8.5781249999997426E-4</c:v>
                </c:pt>
                <c:pt idx="148">
                  <c:v>9.293478260869821E-4</c:v>
                </c:pt>
                <c:pt idx="149">
                  <c:v>1.0000000000000763E-3</c:v>
                </c:pt>
                <c:pt idx="150">
                  <c:v>1.1395705521472029E-3</c:v>
                </c:pt>
                <c:pt idx="151">
                  <c:v>1.0000000000000063E-3</c:v>
                </c:pt>
                <c:pt idx="152">
                  <c:v>1.2068181818181616E-3</c:v>
                </c:pt>
                <c:pt idx="153">
                  <c:v>1.2055722891566941E-3</c:v>
                </c:pt>
                <c:pt idx="154">
                  <c:v>1.2724550898203547E-3</c:v>
                </c:pt>
                <c:pt idx="155">
                  <c:v>1.3385416666665908E-3</c:v>
                </c:pt>
                <c:pt idx="156">
                  <c:v>1.3365384615384723E-3</c:v>
                </c:pt>
                <c:pt idx="157">
                  <c:v>1.1338235294117345E-3</c:v>
                </c:pt>
                <c:pt idx="158">
                  <c:v>1.1330409356725697E-3</c:v>
                </c:pt>
                <c:pt idx="159">
                  <c:v>1.2645348837209962E-3</c:v>
                </c:pt>
                <c:pt idx="160">
                  <c:v>1.5260115606936457E-3</c:v>
                </c:pt>
                <c:pt idx="161">
                  <c:v>1.5229885057470977E-3</c:v>
                </c:pt>
                <c:pt idx="162">
                  <c:v>1.7149999999999466E-3</c:v>
                </c:pt>
                <c:pt idx="163">
                  <c:v>1.6463068181817686E-3</c:v>
                </c:pt>
                <c:pt idx="164">
                  <c:v>1.7069209039547997E-3</c:v>
                </c:pt>
                <c:pt idx="165">
                  <c:v>1.7668539325843135E-3</c:v>
                </c:pt>
                <c:pt idx="166">
                  <c:v>1.8261173184358438E-3</c:v>
                </c:pt>
                <c:pt idx="167">
                  <c:v>1.821527777777723E-3</c:v>
                </c:pt>
                <c:pt idx="168">
                  <c:v>1.8798342541436375E-3</c:v>
                </c:pt>
                <c:pt idx="169">
                  <c:v>1.8750000000000711E-3</c:v>
                </c:pt>
                <c:pt idx="170">
                  <c:v>1.8702185792349021E-3</c:v>
                </c:pt>
                <c:pt idx="171">
                  <c:v>1.8654891304347913E-3</c:v>
                </c:pt>
                <c:pt idx="172">
                  <c:v>1.8608108108108983E-3</c:v>
                </c:pt>
                <c:pt idx="173">
                  <c:v>1.7338709677419512E-3</c:v>
                </c:pt>
                <c:pt idx="174">
                  <c:v>1.6082887700536368E-3</c:v>
                </c:pt>
                <c:pt idx="175">
                  <c:v>1.7865691489359842E-3</c:v>
                </c:pt>
                <c:pt idx="176">
                  <c:v>1.7824074074072993E-3</c:v>
                </c:pt>
                <c:pt idx="177">
                  <c:v>1.9578947368420812E-3</c:v>
                </c:pt>
                <c:pt idx="178">
                  <c:v>2.0719895287957977E-3</c:v>
                </c:pt>
                <c:pt idx="179">
                  <c:v>2.1256510416665909E-3</c:v>
                </c:pt>
                <c:pt idx="180">
                  <c:v>2.0608808290154719E-3</c:v>
                </c:pt>
                <c:pt idx="181">
                  <c:v>2.0554123711340236E-3</c:v>
                </c:pt>
                <c:pt idx="182">
                  <c:v>2.2250000000000845E-3</c:v>
                </c:pt>
                <c:pt idx="183">
                  <c:v>2.2187499999999521E-3</c:v>
                </c:pt>
                <c:pt idx="184">
                  <c:v>2.3280456852793549E-3</c:v>
                </c:pt>
                <c:pt idx="185">
                  <c:v>2.1489898989899281E-3</c:v>
                </c:pt>
                <c:pt idx="186">
                  <c:v>2.3146984924624203E-3</c:v>
                </c:pt>
                <c:pt idx="187">
                  <c:v>2.2512499999999091E-3</c:v>
                </c:pt>
                <c:pt idx="188">
                  <c:v>2.3582089552237999E-3</c:v>
                </c:pt>
                <c:pt idx="189">
                  <c:v>2.1825495049504801E-3</c:v>
                </c:pt>
                <c:pt idx="190">
                  <c:v>2.1206896551724023E-3</c:v>
                </c:pt>
                <c:pt idx="191">
                  <c:v>2.3382352941175833E-3</c:v>
                </c:pt>
                <c:pt idx="192">
                  <c:v>2.2762195121950614E-3</c:v>
                </c:pt>
                <c:pt idx="193">
                  <c:v>2.3252427184466801E-3</c:v>
                </c:pt>
                <c:pt idx="194">
                  <c:v>2.4836956521738719E-3</c:v>
                </c:pt>
                <c:pt idx="195">
                  <c:v>2.4218749999999623E-3</c:v>
                </c:pt>
                <c:pt idx="196">
                  <c:v>2.5239234449762416E-3</c:v>
                </c:pt>
                <c:pt idx="197">
                  <c:v>2.5166666666667078E-3</c:v>
                </c:pt>
                <c:pt idx="198">
                  <c:v>2.563388625592401E-3</c:v>
                </c:pt>
                <c:pt idx="199">
                  <c:v>2.502358490566025E-3</c:v>
                </c:pt>
                <c:pt idx="200">
                  <c:v>2.6021126760563344E-3</c:v>
                </c:pt>
                <c:pt idx="201">
                  <c:v>2.4883177570092802E-3</c:v>
                </c:pt>
                <c:pt idx="202">
                  <c:v>2.5343023255814624E-3</c:v>
                </c:pt>
                <c:pt idx="203">
                  <c:v>2.4218750000000056E-3</c:v>
                </c:pt>
                <c:pt idx="204">
                  <c:v>2.3629032258064599E-3</c:v>
                </c:pt>
                <c:pt idx="205">
                  <c:v>2.3044724770642316E-3</c:v>
                </c:pt>
                <c:pt idx="206">
                  <c:v>2.2465753424657678E-3</c:v>
                </c:pt>
                <c:pt idx="207">
                  <c:v>2.29261363636378E-3</c:v>
                </c:pt>
                <c:pt idx="208">
                  <c:v>2.3382352941177359E-3</c:v>
                </c:pt>
                <c:pt idx="209">
                  <c:v>2.3834459459457979E-3</c:v>
                </c:pt>
                <c:pt idx="210">
                  <c:v>2.3262331838563577E-3</c:v>
                </c:pt>
                <c:pt idx="211">
                  <c:v>2.3710937499999835E-3</c:v>
                </c:pt>
                <c:pt idx="212">
                  <c:v>2.4155555555554859E-3</c:v>
                </c:pt>
                <c:pt idx="213">
                  <c:v>2.3086283185841214E-3</c:v>
                </c:pt>
                <c:pt idx="214">
                  <c:v>2.4030837004405878E-3</c:v>
                </c:pt>
                <c:pt idx="215">
                  <c:v>2.3470394736842723E-3</c:v>
                </c:pt>
                <c:pt idx="216">
                  <c:v>2.3908296943231534E-3</c:v>
                </c:pt>
                <c:pt idx="217">
                  <c:v>2.3847826086957247E-3</c:v>
                </c:pt>
                <c:pt idx="218">
                  <c:v>2.4280303030303233E-3</c:v>
                </c:pt>
                <c:pt idx="219">
                  <c:v>2.2747844827586982E-3</c:v>
                </c:pt>
                <c:pt idx="220">
                  <c:v>2.2693133047211695E-3</c:v>
                </c:pt>
                <c:pt idx="221">
                  <c:v>2.020833333333237E-3</c:v>
                </c:pt>
                <c:pt idx="222">
                  <c:v>2.0648936170213016E-3</c:v>
                </c:pt>
                <c:pt idx="223">
                  <c:v>2.1567796610169826E-3</c:v>
                </c:pt>
                <c:pt idx="224">
                  <c:v>2.1518987341771394E-3</c:v>
                </c:pt>
                <c:pt idx="225">
                  <c:v>2.1470588235293973E-3</c:v>
                </c:pt>
                <c:pt idx="226">
                  <c:v>2.1422594142259878E-3</c:v>
                </c:pt>
                <c:pt idx="227">
                  <c:v>2.0901041666667158E-3</c:v>
                </c:pt>
                <c:pt idx="228">
                  <c:v>2.1799792531120902E-3</c:v>
                </c:pt>
                <c:pt idx="229">
                  <c:v>2.2221074380165363E-3</c:v>
                </c:pt>
                <c:pt idx="230">
                  <c:v>2.2170781893004784E-3</c:v>
                </c:pt>
                <c:pt idx="231">
                  <c:v>2.1654713114754795E-3</c:v>
                </c:pt>
                <c:pt idx="232">
                  <c:v>2.2535714285713405E-3</c:v>
                </c:pt>
                <c:pt idx="233">
                  <c:v>2.1097560975609415E-3</c:v>
                </c:pt>
                <c:pt idx="234">
                  <c:v>2.1973684210526059E-3</c:v>
                </c:pt>
                <c:pt idx="235">
                  <c:v>2.1466733870967509E-3</c:v>
                </c:pt>
                <c:pt idx="236">
                  <c:v>2.0507028112449035E-3</c:v>
                </c:pt>
                <c:pt idx="237">
                  <c:v>1.9555000000000327E-3</c:v>
                </c:pt>
                <c:pt idx="238">
                  <c:v>1.906374501992067E-3</c:v>
                </c:pt>
                <c:pt idx="239">
                  <c:v>1.9930555555555981E-3</c:v>
                </c:pt>
                <c:pt idx="240">
                  <c:v>2.0340909090909042E-3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B51-4335-814D-53B8B9178B55}"/>
            </c:ext>
          </c:extLst>
        </c:ser>
        <c:ser>
          <c:idx val="10"/>
          <c:order val="10"/>
          <c:tx>
            <c:strRef>
              <c:f>'전류편차_24mA(절대값기준)'!$BZ$7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'전류편차_24mA(절대값기준)'!$BZ$22:$BZ$262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2.8906249999994214E-4</c:v>
                </c:pt>
                <c:pt idx="4">
                  <c:v>-1.0073529411764135E-3</c:v>
                </c:pt>
                <c:pt idx="5">
                  <c:v>-2.1597222222222035E-3</c:v>
                </c:pt>
                <c:pt idx="6">
                  <c:v>-1.9934210526315931E-3</c:v>
                </c:pt>
                <c:pt idx="7">
                  <c:v>-2.4124999999999815E-3</c:v>
                </c:pt>
                <c:pt idx="8">
                  <c:v>-2.2500000000000111E-3</c:v>
                </c:pt>
                <c:pt idx="9">
                  <c:v>-2.1022727272727655E-3</c:v>
                </c:pt>
                <c:pt idx="10">
                  <c:v>-4.8369565217392014E-4</c:v>
                </c:pt>
                <c:pt idx="11">
                  <c:v>5.2604166666674057E-4</c:v>
                </c:pt>
                <c:pt idx="12">
                  <c:v>9.9999999999999633E-4</c:v>
                </c:pt>
                <c:pt idx="13">
                  <c:v>2.3125000000000229E-3</c:v>
                </c:pt>
                <c:pt idx="14">
                  <c:v>2.2638888888888882E-3</c:v>
                </c:pt>
                <c:pt idx="15">
                  <c:v>2.2187499999999777E-3</c:v>
                </c:pt>
                <c:pt idx="16">
                  <c:v>2.1767241379311662E-3</c:v>
                </c:pt>
                <c:pt idx="17">
                  <c:v>2.5166666666667317E-3</c:v>
                </c:pt>
                <c:pt idx="18">
                  <c:v>2.4677419354839141E-3</c:v>
                </c:pt>
                <c:pt idx="19">
                  <c:v>2.0664062499999043E-3</c:v>
                </c:pt>
                <c:pt idx="20">
                  <c:v>2.0340909090909511E-3</c:v>
                </c:pt>
                <c:pt idx="21">
                  <c:v>9.9999999999998463E-4</c:v>
                </c:pt>
                <c:pt idx="22">
                  <c:v>9.9999999999996749E-4</c:v>
                </c:pt>
                <c:pt idx="23">
                  <c:v>6.8402777777776421E-4</c:v>
                </c:pt>
                <c:pt idx="24">
                  <c:v>7.770270270274065E-5</c:v>
                </c:pt>
                <c:pt idx="25">
                  <c:v>1.0197368421054722E-4</c:v>
                </c:pt>
                <c:pt idx="26">
                  <c:v>1.000000000000038E-3</c:v>
                </c:pt>
                <c:pt idx="27">
                  <c:v>1.2843749999999904E-3</c:v>
                </c:pt>
                <c:pt idx="28">
                  <c:v>1.2774390243902197E-3</c:v>
                </c:pt>
                <c:pt idx="29">
                  <c:v>1.2708333333332951E-3</c:v>
                </c:pt>
                <c:pt idx="30">
                  <c:v>1.7936046511627985E-3</c:v>
                </c:pt>
                <c:pt idx="31">
                  <c:v>1.5170454545454766E-3</c:v>
                </c:pt>
                <c:pt idx="32">
                  <c:v>1.5055555555555636E-3</c:v>
                </c:pt>
                <c:pt idx="33">
                  <c:v>1.247282608695784E-3</c:v>
                </c:pt>
                <c:pt idx="34">
                  <c:v>9.999999999999276E-4</c:v>
                </c:pt>
                <c:pt idx="35">
                  <c:v>5.2604166666674057E-4</c:v>
                </c:pt>
                <c:pt idx="36">
                  <c:v>3.0357142857151409E-4</c:v>
                </c:pt>
                <c:pt idx="37">
                  <c:v>8.9999999999894608E-5</c:v>
                </c:pt>
                <c:pt idx="38">
                  <c:v>-5.612745098039631E-4</c:v>
                </c:pt>
                <c:pt idx="39">
                  <c:v>-1.1874999999999802E-3</c:v>
                </c:pt>
                <c:pt idx="40">
                  <c:v>-1.7900943396227532E-3</c:v>
                </c:pt>
                <c:pt idx="41">
                  <c:v>-1.9490740740739849E-3</c:v>
                </c:pt>
                <c:pt idx="42">
                  <c:v>-1.068181818181741E-3</c:v>
                </c:pt>
                <c:pt idx="43">
                  <c:v>-6.2500000000006994E-4</c:v>
                </c:pt>
                <c:pt idx="44">
                  <c:v>-5.9649122807016626E-4</c:v>
                </c:pt>
                <c:pt idx="45">
                  <c:v>1.9396551724245861E-5</c:v>
                </c:pt>
                <c:pt idx="46">
                  <c:v>3.6016949152552516E-5</c:v>
                </c:pt>
                <c:pt idx="47">
                  <c:v>5.2083333333417342E-5</c:v>
                </c:pt>
                <c:pt idx="48">
                  <c:v>2.5409836065578981E-4</c:v>
                </c:pt>
                <c:pt idx="49">
                  <c:v>8.2661290322479314E-5</c:v>
                </c:pt>
                <c:pt idx="50">
                  <c:v>-2.6388888888887835E-4</c:v>
                </c:pt>
                <c:pt idx="51">
                  <c:v>-2.4414062500007806E-4</c:v>
                </c:pt>
                <c:pt idx="52">
                  <c:v>-2.2500000000000853E-4</c:v>
                </c:pt>
                <c:pt idx="53">
                  <c:v>-3.7878787878787743E-4</c:v>
                </c:pt>
                <c:pt idx="54">
                  <c:v>-5.2798507462700555E-4</c:v>
                </c:pt>
                <c:pt idx="55">
                  <c:v>-1.1746323529411753E-3</c:v>
                </c:pt>
                <c:pt idx="56">
                  <c:v>-2.2971014492753892E-3</c:v>
                </c:pt>
                <c:pt idx="57">
                  <c:v>-1.6000000000000346E-3</c:v>
                </c:pt>
                <c:pt idx="58">
                  <c:v>-1.2429577464788803E-3</c:v>
                </c:pt>
                <c:pt idx="59">
                  <c:v>-7.3784722222214945E-4</c:v>
                </c:pt>
                <c:pt idx="60">
                  <c:v>-7.140410958904167E-4</c:v>
                </c:pt>
                <c:pt idx="61">
                  <c:v>-5.3716216216219306E-4</c:v>
                </c:pt>
                <c:pt idx="62">
                  <c:v>-6.6833333333322052E-4</c:v>
                </c:pt>
                <c:pt idx="63">
                  <c:v>-1.9736842105271064E-4</c:v>
                </c:pt>
                <c:pt idx="64">
                  <c:v>-1.8181818181820216E-4</c:v>
                </c:pt>
                <c:pt idx="65">
                  <c:v>-1.6666666666662983E-4</c:v>
                </c:pt>
                <c:pt idx="66">
                  <c:v>-2.9588607594945043E-4</c:v>
                </c:pt>
                <c:pt idx="67">
                  <c:v>-4.2187499999994801E-4</c:v>
                </c:pt>
                <c:pt idx="68">
                  <c:v>-5.4475308641969381E-4</c:v>
                </c:pt>
                <c:pt idx="69">
                  <c:v>-5.2591463414635191E-4</c:v>
                </c:pt>
                <c:pt idx="70">
                  <c:v>-6.445783132530146E-4</c:v>
                </c:pt>
                <c:pt idx="71">
                  <c:v>-1.0312500000000853E-3</c:v>
                </c:pt>
                <c:pt idx="72">
                  <c:v>-1.5426470588235026E-3</c:v>
                </c:pt>
                <c:pt idx="73">
                  <c:v>-1.7776162790697776E-3</c:v>
                </c:pt>
                <c:pt idx="74">
                  <c:v>-1.3534482758621291E-3</c:v>
                </c:pt>
                <c:pt idx="75">
                  <c:v>-1.1974431818181476E-3</c:v>
                </c:pt>
                <c:pt idx="76">
                  <c:v>-9.1713483146061868E-4</c:v>
                </c:pt>
                <c:pt idx="77">
                  <c:v>-7.6944444444452251E-4</c:v>
                </c:pt>
                <c:pt idx="78">
                  <c:v>-7.5000000000002842E-4</c:v>
                </c:pt>
                <c:pt idx="79">
                  <c:v>-4.8369565217392014E-4</c:v>
                </c:pt>
                <c:pt idx="80">
                  <c:v>-4.6774193548372161E-4</c:v>
                </c:pt>
                <c:pt idx="81">
                  <c:v>-4.5212765957459538E-4</c:v>
                </c:pt>
                <c:pt idx="82">
                  <c:v>-3.1710526315793401E-4</c:v>
                </c:pt>
                <c:pt idx="83">
                  <c:v>-5.4036458333329984E-4</c:v>
                </c:pt>
                <c:pt idx="84">
                  <c:v>-6.4175257731954784E-4</c:v>
                </c:pt>
                <c:pt idx="85">
                  <c:v>-7.4107142857138264E-4</c:v>
                </c:pt>
                <c:pt idx="86">
                  <c:v>-8.3838383838378649E-4</c:v>
                </c:pt>
                <c:pt idx="87">
                  <c:v>-9.337500000001441E-4</c:v>
                </c:pt>
                <c:pt idx="88">
                  <c:v>-1.3650990099009393E-3</c:v>
                </c:pt>
                <c:pt idx="89">
                  <c:v>-1.5649509803922364E-3</c:v>
                </c:pt>
                <c:pt idx="90">
                  <c:v>-1.3191747572816135E-3</c:v>
                </c:pt>
                <c:pt idx="91">
                  <c:v>-1.2968749999999196E-3</c:v>
                </c:pt>
                <c:pt idx="92">
                  <c:v>-1.2749999999999745E-3</c:v>
                </c:pt>
                <c:pt idx="93">
                  <c:v>-1.0389150943397696E-3</c:v>
                </c:pt>
                <c:pt idx="94">
                  <c:v>-1.0198598130841216E-3</c:v>
                </c:pt>
                <c:pt idx="95">
                  <c:v>-7.9050925925925079E-4</c:v>
                </c:pt>
                <c:pt idx="96">
                  <c:v>-7.7408256880738308E-4</c:v>
                </c:pt>
                <c:pt idx="97">
                  <c:v>-7.5795454545445648E-4</c:v>
                </c:pt>
                <c:pt idx="98">
                  <c:v>-7.4211711711726189E-4</c:v>
                </c:pt>
                <c:pt idx="99">
                  <c:v>-7.2656250000001366E-4</c:v>
                </c:pt>
                <c:pt idx="100">
                  <c:v>-9.1261061946897861E-4</c:v>
                </c:pt>
                <c:pt idx="101">
                  <c:v>-1.0953947368421741E-3</c:v>
                </c:pt>
                <c:pt idx="102">
                  <c:v>-1.176086956521626E-3</c:v>
                </c:pt>
                <c:pt idx="103">
                  <c:v>-1.2553879310343652E-3</c:v>
                </c:pt>
                <c:pt idx="104">
                  <c:v>-1.6250000000000615E-3</c:v>
                </c:pt>
                <c:pt idx="105">
                  <c:v>-1.6991525423729369E-3</c:v>
                </c:pt>
                <c:pt idx="106">
                  <c:v>-1.676470588235227E-3</c:v>
                </c:pt>
                <c:pt idx="107">
                  <c:v>-1.6541666666666473E-3</c:v>
                </c:pt>
                <c:pt idx="108">
                  <c:v>-1.6322314049587053E-3</c:v>
                </c:pt>
                <c:pt idx="109">
                  <c:v>-1.7038934426228075E-3</c:v>
                </c:pt>
                <c:pt idx="110">
                  <c:v>-1.4969512195122012E-3</c:v>
                </c:pt>
                <c:pt idx="111">
                  <c:v>-1.476814516129084E-3</c:v>
                </c:pt>
                <c:pt idx="112">
                  <c:v>-1.4569999999999349E-3</c:v>
                </c:pt>
                <c:pt idx="113">
                  <c:v>-1.4374999999999805E-3</c:v>
                </c:pt>
                <c:pt idx="114">
                  <c:v>-1.4183070866141984E-3</c:v>
                </c:pt>
                <c:pt idx="115">
                  <c:v>-1.3105468750001185E-3</c:v>
                </c:pt>
                <c:pt idx="116">
                  <c:v>-1.468992248062079E-3</c:v>
                </c:pt>
                <c:pt idx="117">
                  <c:v>-1.5375000000000581E-3</c:v>
                </c:pt>
                <c:pt idx="118">
                  <c:v>-1.6917938931297759E-3</c:v>
                </c:pt>
                <c:pt idx="119">
                  <c:v>-1.9299242424241469E-3</c:v>
                </c:pt>
                <c:pt idx="120">
                  <c:v>-2.0789473684210574E-3</c:v>
                </c:pt>
                <c:pt idx="121">
                  <c:v>-2.3106343283582653E-3</c:v>
                </c:pt>
                <c:pt idx="122">
                  <c:v>-2.1175925925926344E-3</c:v>
                </c:pt>
                <c:pt idx="123">
                  <c:v>-2.2619485294117551E-3</c:v>
                </c:pt>
                <c:pt idx="124">
                  <c:v>-2.1551094890510255E-3</c:v>
                </c:pt>
                <c:pt idx="125">
                  <c:v>-2.2971014492753892E-3</c:v>
                </c:pt>
                <c:pt idx="126">
                  <c:v>-2.2733812949639509E-3</c:v>
                </c:pt>
                <c:pt idx="127">
                  <c:v>-2.1687500000000079E-3</c:v>
                </c:pt>
                <c:pt idx="128">
                  <c:v>-2.0656028368795255E-3</c:v>
                </c:pt>
                <c:pt idx="129">
                  <c:v>-1.8838028169013449E-3</c:v>
                </c:pt>
                <c:pt idx="130">
                  <c:v>-1.8636363636363401E-3</c:v>
                </c:pt>
                <c:pt idx="131">
                  <c:v>-1.8437500000000159E-3</c:v>
                </c:pt>
                <c:pt idx="132">
                  <c:v>-1.8241379310343984E-3</c:v>
                </c:pt>
                <c:pt idx="133">
                  <c:v>-1.8827054794521047E-3</c:v>
                </c:pt>
                <c:pt idx="134">
                  <c:v>-1.9404761904762357E-3</c:v>
                </c:pt>
                <c:pt idx="135">
                  <c:v>-1.997466216216257E-3</c:v>
                </c:pt>
                <c:pt idx="136">
                  <c:v>-2.2063758389261261E-3</c:v>
                </c:pt>
                <c:pt idx="137">
                  <c:v>-2.1849999999999895E-3</c:v>
                </c:pt>
                <c:pt idx="138">
                  <c:v>-2.163907284768239E-3</c:v>
                </c:pt>
                <c:pt idx="139">
                  <c:v>-2.0682565789473411E-3</c:v>
                </c:pt>
                <c:pt idx="140">
                  <c:v>-2.0482026143790947E-3</c:v>
                </c:pt>
                <c:pt idx="141">
                  <c:v>-1.9545454545454111E-3</c:v>
                </c:pt>
                <c:pt idx="142">
                  <c:v>-2.0088709677418882E-3</c:v>
                </c:pt>
                <c:pt idx="143">
                  <c:v>-1.9895833333333224E-3</c:v>
                </c:pt>
                <c:pt idx="144">
                  <c:v>-1.9705414012739105E-3</c:v>
                </c:pt>
                <c:pt idx="145">
                  <c:v>-1.7357594936709387E-3</c:v>
                </c:pt>
                <c:pt idx="146">
                  <c:v>-1.7900943396226899E-3</c:v>
                </c:pt>
                <c:pt idx="147">
                  <c:v>-1.7726562499999572E-3</c:v>
                </c:pt>
                <c:pt idx="148">
                  <c:v>-1.614130434782554E-3</c:v>
                </c:pt>
                <c:pt idx="149">
                  <c:v>-1.5979938271604745E-3</c:v>
                </c:pt>
                <c:pt idx="150">
                  <c:v>-1.5820552147239417E-3</c:v>
                </c:pt>
                <c:pt idx="151">
                  <c:v>-1.6356707317073285E-3</c:v>
                </c:pt>
                <c:pt idx="152">
                  <c:v>-1.8954545454545608E-3</c:v>
                </c:pt>
                <c:pt idx="153">
                  <c:v>-1.9465361445783246E-3</c:v>
                </c:pt>
                <c:pt idx="154">
                  <c:v>-1.8607784431137345E-3</c:v>
                </c:pt>
                <c:pt idx="155">
                  <c:v>-1.7083333333334041E-3</c:v>
                </c:pt>
                <c:pt idx="156">
                  <c:v>-1.6923076923076768E-3</c:v>
                </c:pt>
                <c:pt idx="157">
                  <c:v>-1.6764705882353118E-3</c:v>
                </c:pt>
                <c:pt idx="158">
                  <c:v>-1.6608187134503432E-3</c:v>
                </c:pt>
                <c:pt idx="159">
                  <c:v>-1.7114825581394642E-3</c:v>
                </c:pt>
                <c:pt idx="160">
                  <c:v>-1.6958092485548758E-3</c:v>
                </c:pt>
                <c:pt idx="161">
                  <c:v>-1.680316091954018E-3</c:v>
                </c:pt>
                <c:pt idx="162">
                  <c:v>-1.6000000000000636E-3</c:v>
                </c:pt>
                <c:pt idx="163">
                  <c:v>-1.5205965909091074E-3</c:v>
                </c:pt>
                <c:pt idx="164">
                  <c:v>-1.5706214689265663E-3</c:v>
                </c:pt>
                <c:pt idx="165">
                  <c:v>-1.5561797752808298E-3</c:v>
                </c:pt>
                <c:pt idx="166">
                  <c:v>-1.5418994413407452E-3</c:v>
                </c:pt>
                <c:pt idx="167">
                  <c:v>-1.5909722222222939E-3</c:v>
                </c:pt>
                <c:pt idx="168">
                  <c:v>-1.6395027624310071E-3</c:v>
                </c:pt>
                <c:pt idx="169">
                  <c:v>-1.8124999999999947E-3</c:v>
                </c:pt>
                <c:pt idx="170">
                  <c:v>-1.6728142076502573E-3</c:v>
                </c:pt>
                <c:pt idx="171">
                  <c:v>-1.5964673913043972E-3</c:v>
                </c:pt>
                <c:pt idx="172">
                  <c:v>-1.6439189189189644E-3</c:v>
                </c:pt>
                <c:pt idx="173">
                  <c:v>-1.5073924731180972E-3</c:v>
                </c:pt>
                <c:pt idx="174">
                  <c:v>-1.5548128342244142E-3</c:v>
                </c:pt>
                <c:pt idx="175">
                  <c:v>-1.662234042553293E-3</c:v>
                </c:pt>
                <c:pt idx="176">
                  <c:v>-1.5879629629631273E-3</c:v>
                </c:pt>
                <c:pt idx="177">
                  <c:v>-1.5743421052632448E-3</c:v>
                </c:pt>
                <c:pt idx="178">
                  <c:v>-1.5608638743455599E-3</c:v>
                </c:pt>
                <c:pt idx="179">
                  <c:v>-1.5475260416666012E-3</c:v>
                </c:pt>
                <c:pt idx="180">
                  <c:v>-1.5343264248705352E-3</c:v>
                </c:pt>
                <c:pt idx="181">
                  <c:v>-1.5212628865979318E-3</c:v>
                </c:pt>
                <c:pt idx="182">
                  <c:v>-1.3916666666666504E-3</c:v>
                </c:pt>
                <c:pt idx="183">
                  <c:v>-1.4374999999999805E-3</c:v>
                </c:pt>
                <c:pt idx="184">
                  <c:v>-1.59835025380702E-3</c:v>
                </c:pt>
                <c:pt idx="185">
                  <c:v>-1.5852272727271131E-3</c:v>
                </c:pt>
                <c:pt idx="186">
                  <c:v>-1.5722361809044939E-3</c:v>
                </c:pt>
                <c:pt idx="187">
                  <c:v>-1.4456250000001634E-3</c:v>
                </c:pt>
                <c:pt idx="188">
                  <c:v>-1.4334577114428764E-3</c:v>
                </c:pt>
                <c:pt idx="189">
                  <c:v>-1.4214108910891269E-3</c:v>
                </c:pt>
                <c:pt idx="190">
                  <c:v>-1.4094827586206358E-3</c:v>
                </c:pt>
                <c:pt idx="191">
                  <c:v>-1.4534313725489629E-3</c:v>
                </c:pt>
                <c:pt idx="192">
                  <c:v>-1.4414634146342161E-3</c:v>
                </c:pt>
                <c:pt idx="193">
                  <c:v>-1.484830097087445E-3</c:v>
                </c:pt>
                <c:pt idx="194">
                  <c:v>-1.4728260869565175E-3</c:v>
                </c:pt>
                <c:pt idx="195">
                  <c:v>-1.406249999999859E-3</c:v>
                </c:pt>
                <c:pt idx="196">
                  <c:v>-1.3947368421052468E-3</c:v>
                </c:pt>
                <c:pt idx="197">
                  <c:v>-1.3291666666665149E-3</c:v>
                </c:pt>
                <c:pt idx="198">
                  <c:v>-1.3720379146919804E-3</c:v>
                </c:pt>
                <c:pt idx="199">
                  <c:v>-1.3608490566039326E-3</c:v>
                </c:pt>
                <c:pt idx="200">
                  <c:v>-1.4565727699530824E-3</c:v>
                </c:pt>
                <c:pt idx="201">
                  <c:v>-1.445093457943888E-3</c:v>
                </c:pt>
                <c:pt idx="202">
                  <c:v>-1.3808139534883907E-3</c:v>
                </c:pt>
                <c:pt idx="203">
                  <c:v>-1.3171296296297036E-3</c:v>
                </c:pt>
                <c:pt idx="204">
                  <c:v>-1.4112903225805937E-3</c:v>
                </c:pt>
                <c:pt idx="205">
                  <c:v>-1.2958715596329674E-3</c:v>
                </c:pt>
                <c:pt idx="206">
                  <c:v>-1.2853881278537551E-3</c:v>
                </c:pt>
                <c:pt idx="207">
                  <c:v>-1.2749999999999919E-3</c:v>
                </c:pt>
                <c:pt idx="208">
                  <c:v>-1.3161764705882243E-3</c:v>
                </c:pt>
                <c:pt idx="209">
                  <c:v>-1.3569819819821501E-3</c:v>
                </c:pt>
                <c:pt idx="210">
                  <c:v>-1.3974215246636602E-3</c:v>
                </c:pt>
                <c:pt idx="211">
                  <c:v>-1.3359375000000367E-3</c:v>
                </c:pt>
                <c:pt idx="212">
                  <c:v>-1.3761111111111448E-3</c:v>
                </c:pt>
                <c:pt idx="213">
                  <c:v>-1.3655973451327126E-3</c:v>
                </c:pt>
                <c:pt idx="214">
                  <c:v>-1.3551762114538278E-3</c:v>
                </c:pt>
                <c:pt idx="215">
                  <c:v>-1.3448464912280893E-3</c:v>
                </c:pt>
                <c:pt idx="216">
                  <c:v>-1.4339519650654027E-3</c:v>
                </c:pt>
                <c:pt idx="217">
                  <c:v>-1.4233695652174048E-3</c:v>
                </c:pt>
                <c:pt idx="218">
                  <c:v>-1.2651515151514601E-3</c:v>
                </c:pt>
                <c:pt idx="219">
                  <c:v>-1.2063577586206864E-3</c:v>
                </c:pt>
                <c:pt idx="220">
                  <c:v>-1.2457081545064316E-3</c:v>
                </c:pt>
                <c:pt idx="221">
                  <c:v>-1.2361111111112155E-3</c:v>
                </c:pt>
                <c:pt idx="222">
                  <c:v>-1.1297872340426489E-3</c:v>
                </c:pt>
                <c:pt idx="223">
                  <c:v>-1.1207627118644404E-3</c:v>
                </c:pt>
                <c:pt idx="224">
                  <c:v>-1.1598101265823094E-3</c:v>
                </c:pt>
                <c:pt idx="225">
                  <c:v>-1.1507352941176167E-3</c:v>
                </c:pt>
                <c:pt idx="226">
                  <c:v>-1.2369246861924938E-3</c:v>
                </c:pt>
                <c:pt idx="227">
                  <c:v>-1.2276041666666312E-3</c:v>
                </c:pt>
                <c:pt idx="228">
                  <c:v>-1.2655601659750657E-3</c:v>
                </c:pt>
                <c:pt idx="229">
                  <c:v>-1.2561983471073401E-3</c:v>
                </c:pt>
                <c:pt idx="230">
                  <c:v>-1.2469135802469224E-3</c:v>
                </c:pt>
                <c:pt idx="231">
                  <c:v>-1.2843237704918097E-3</c:v>
                </c:pt>
                <c:pt idx="232">
                  <c:v>-1.4142857142858312E-3</c:v>
                </c:pt>
                <c:pt idx="233">
                  <c:v>-1.4044715447155045E-3</c:v>
                </c:pt>
                <c:pt idx="234">
                  <c:v>-1.2565789473684141E-3</c:v>
                </c:pt>
                <c:pt idx="235">
                  <c:v>-1.2474798387097747E-3</c:v>
                </c:pt>
                <c:pt idx="236">
                  <c:v>-1.2384538152610829E-3</c:v>
                </c:pt>
                <c:pt idx="237">
                  <c:v>-1.1839999999999247E-3</c:v>
                </c:pt>
                <c:pt idx="238">
                  <c:v>-1.2659362549800575E-3</c:v>
                </c:pt>
                <c:pt idx="239">
                  <c:v>-1.211805555555581E-3</c:v>
                </c:pt>
                <c:pt idx="240">
                  <c:v>-1.292984189723238E-3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B51-4335-814D-53B8B9178B55}"/>
            </c:ext>
          </c:extLst>
        </c:ser>
        <c:ser>
          <c:idx val="11"/>
          <c:order val="11"/>
          <c:tx>
            <c:strRef>
              <c:f>'전류편차_24mA(절대값기준)'!$CA$7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'전류편차_24mA(절대값기준)'!$CA$22:$CA$262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-3.2656250000001395E-3</c:v>
                </c:pt>
                <c:pt idx="4">
                  <c:v>-3.6838235294117099E-3</c:v>
                </c:pt>
                <c:pt idx="5">
                  <c:v>-3.4236111111110934E-3</c:v>
                </c:pt>
                <c:pt idx="6">
                  <c:v>-2.5921052631579758E-3</c:v>
                </c:pt>
                <c:pt idx="7">
                  <c:v>-2.4124999999999815E-3</c:v>
                </c:pt>
                <c:pt idx="8">
                  <c:v>-2.7916666666667382E-3</c:v>
                </c:pt>
                <c:pt idx="9">
                  <c:v>-3.6534090909090735E-3</c:v>
                </c:pt>
                <c:pt idx="10">
                  <c:v>-2.9565217391303894E-3</c:v>
                </c:pt>
                <c:pt idx="11">
                  <c:v>-3.7395833333334211E-3</c:v>
                </c:pt>
                <c:pt idx="12">
                  <c:v>-3.0950000000001584E-3</c:v>
                </c:pt>
                <c:pt idx="13">
                  <c:v>-3.8124999999998854E-3</c:v>
                </c:pt>
                <c:pt idx="14">
                  <c:v>-4.0555555555556082E-3</c:v>
                </c:pt>
                <c:pt idx="15">
                  <c:v>-4.6874999999999833E-3</c:v>
                </c:pt>
                <c:pt idx="16">
                  <c:v>-4.0991379310343573E-3</c:v>
                </c:pt>
                <c:pt idx="17">
                  <c:v>-5.4458333333332332E-3</c:v>
                </c:pt>
                <c:pt idx="18">
                  <c:v>-5.237903225806537E-3</c:v>
                </c:pt>
                <c:pt idx="19">
                  <c:v>-4.3320312500000225E-3</c:v>
                </c:pt>
                <c:pt idx="20">
                  <c:v>-4.1704545454545857E-3</c:v>
                </c:pt>
                <c:pt idx="21">
                  <c:v>-4.352941176470608E-3</c:v>
                </c:pt>
                <c:pt idx="22">
                  <c:v>-3.8750000000000728E-3</c:v>
                </c:pt>
                <c:pt idx="23">
                  <c:v>-3.4236111111110934E-3</c:v>
                </c:pt>
                <c:pt idx="24">
                  <c:v>-3.3040540540540532E-3</c:v>
                </c:pt>
                <c:pt idx="25">
                  <c:v>-2.8914473684211006E-3</c:v>
                </c:pt>
                <c:pt idx="26">
                  <c:v>-2.7916666666665999E-3</c:v>
                </c:pt>
                <c:pt idx="27">
                  <c:v>-2.4124999999999815E-3</c:v>
                </c:pt>
                <c:pt idx="28">
                  <c:v>-2.3292682926829233E-3</c:v>
                </c:pt>
                <c:pt idx="29">
                  <c:v>-2.2500000000000111E-3</c:v>
                </c:pt>
                <c:pt idx="30">
                  <c:v>-2.4389534883720891E-3</c:v>
                </c:pt>
                <c:pt idx="31">
                  <c:v>-2.6193181818181632E-3</c:v>
                </c:pt>
                <c:pt idx="32">
                  <c:v>-2.5388888888888844E-3</c:v>
                </c:pt>
                <c:pt idx="33">
                  <c:v>-2.7092391304346544E-3</c:v>
                </c:pt>
                <c:pt idx="34">
                  <c:v>-2.6303191489361649E-3</c:v>
                </c:pt>
                <c:pt idx="35">
                  <c:v>-2.3177083333333673E-3</c:v>
                </c:pt>
                <c:pt idx="36">
                  <c:v>-1.7857142857142794E-3</c:v>
                </c:pt>
                <c:pt idx="37">
                  <c:v>-1.5025000000000309E-3</c:v>
                </c:pt>
                <c:pt idx="38">
                  <c:v>-1.0073529411764631E-3</c:v>
                </c:pt>
                <c:pt idx="39">
                  <c:v>-9.6874999999990719E-4</c:v>
                </c:pt>
                <c:pt idx="40">
                  <c:v>-9.316037735849213E-4</c:v>
                </c:pt>
                <c:pt idx="41">
                  <c:v>-8.9583333333326655E-4</c:v>
                </c:pt>
                <c:pt idx="42">
                  <c:v>-1.068181818181741E-3</c:v>
                </c:pt>
                <c:pt idx="43">
                  <c:v>-1.0312500000000252E-3</c:v>
                </c:pt>
                <c:pt idx="44">
                  <c:v>-9.956140350876662E-4</c:v>
                </c:pt>
                <c:pt idx="45">
                  <c:v>-7.6508620689653159E-4</c:v>
                </c:pt>
                <c:pt idx="46">
                  <c:v>-1.1207627118644404E-3</c:v>
                </c:pt>
                <c:pt idx="47">
                  <c:v>-1.2750000000000224E-3</c:v>
                </c:pt>
                <c:pt idx="48">
                  <c:v>-1.4241803278686985E-3</c:v>
                </c:pt>
                <c:pt idx="49">
                  <c:v>-1.9354838709677025E-3</c:v>
                </c:pt>
                <c:pt idx="50">
                  <c:v>-1.7083333333333241E-3</c:v>
                </c:pt>
                <c:pt idx="51">
                  <c:v>-1.4882812500000198E-3</c:v>
                </c:pt>
                <c:pt idx="52">
                  <c:v>-1.0999999999999899E-3</c:v>
                </c:pt>
                <c:pt idx="53">
                  <c:v>-1.068181818181741E-3</c:v>
                </c:pt>
                <c:pt idx="54">
                  <c:v>-1.0373134328358292E-3</c:v>
                </c:pt>
                <c:pt idx="55">
                  <c:v>-1.0073529411764135E-3</c:v>
                </c:pt>
                <c:pt idx="56">
                  <c:v>-1.14311594202892E-3</c:v>
                </c:pt>
                <c:pt idx="57">
                  <c:v>-1.1125000000000163E-3</c:v>
                </c:pt>
                <c:pt idx="58">
                  <c:v>-1.0827464788731929E-3</c:v>
                </c:pt>
                <c:pt idx="59">
                  <c:v>-1.0538194444443369E-3</c:v>
                </c:pt>
                <c:pt idx="60">
                  <c:v>-1.1815068493150919E-3</c:v>
                </c:pt>
                <c:pt idx="61">
                  <c:v>-1.1520270270269902E-3</c:v>
                </c:pt>
                <c:pt idx="62">
                  <c:v>-9.7166666666665519E-4</c:v>
                </c:pt>
                <c:pt idx="63">
                  <c:v>-1.2450657894737143E-3</c:v>
                </c:pt>
                <c:pt idx="64">
                  <c:v>-1.5113636363635759E-3</c:v>
                </c:pt>
                <c:pt idx="65">
                  <c:v>-1.9166666666665666E-3</c:v>
                </c:pt>
                <c:pt idx="66">
                  <c:v>-2.0237341772152109E-3</c:v>
                </c:pt>
                <c:pt idx="67">
                  <c:v>-1.7015624999999965E-3</c:v>
                </c:pt>
                <c:pt idx="68">
                  <c:v>-1.5277777777776727E-3</c:v>
                </c:pt>
                <c:pt idx="69">
                  <c:v>-1.6356707317073285E-3</c:v>
                </c:pt>
                <c:pt idx="70">
                  <c:v>-1.6039156626505603E-3</c:v>
                </c:pt>
                <c:pt idx="71">
                  <c:v>-1.3020833333333888E-3</c:v>
                </c:pt>
                <c:pt idx="72">
                  <c:v>-1.2750000000000025E-3</c:v>
                </c:pt>
                <c:pt idx="73">
                  <c:v>-1.3808139534883673E-3</c:v>
                </c:pt>
                <c:pt idx="74">
                  <c:v>-1.3534482758621291E-3</c:v>
                </c:pt>
                <c:pt idx="75">
                  <c:v>-1.4559659090909614E-3</c:v>
                </c:pt>
                <c:pt idx="76">
                  <c:v>-1.4283707865168558E-3</c:v>
                </c:pt>
                <c:pt idx="77">
                  <c:v>-1.4013888888889535E-3</c:v>
                </c:pt>
                <c:pt idx="78">
                  <c:v>-1.3750000000000151E-3</c:v>
                </c:pt>
                <c:pt idx="79">
                  <c:v>-1.3491847826086624E-3</c:v>
                </c:pt>
                <c:pt idx="80">
                  <c:v>-1.4462365591397452E-3</c:v>
                </c:pt>
                <c:pt idx="81">
                  <c:v>-1.7832446808510982E-3</c:v>
                </c:pt>
                <c:pt idx="82">
                  <c:v>-1.8736842105263431E-3</c:v>
                </c:pt>
                <c:pt idx="83">
                  <c:v>-1.6067708333333403E-3</c:v>
                </c:pt>
                <c:pt idx="84">
                  <c:v>-1.4626288659793033E-3</c:v>
                </c:pt>
                <c:pt idx="85">
                  <c:v>-1.3214285714286164E-3</c:v>
                </c:pt>
                <c:pt idx="86">
                  <c:v>-1.5277777777777521E-3</c:v>
                </c:pt>
                <c:pt idx="87">
                  <c:v>-1.2750000000001571E-3</c:v>
                </c:pt>
                <c:pt idx="88">
                  <c:v>-1.1398514851485887E-3</c:v>
                </c:pt>
                <c:pt idx="89">
                  <c:v>-1.0073529411764631E-3</c:v>
                </c:pt>
                <c:pt idx="90">
                  <c:v>-9.8786407766995052E-4</c:v>
                </c:pt>
                <c:pt idx="91">
                  <c:v>-1.2968749999999196E-3</c:v>
                </c:pt>
                <c:pt idx="92">
                  <c:v>-1.2749999999999745E-3</c:v>
                </c:pt>
                <c:pt idx="93">
                  <c:v>-1.2535377358490845E-3</c:v>
                </c:pt>
                <c:pt idx="94">
                  <c:v>-1.3387850467289936E-3</c:v>
                </c:pt>
                <c:pt idx="95">
                  <c:v>-1.4224537037037192E-3</c:v>
                </c:pt>
                <c:pt idx="96">
                  <c:v>-1.5045871559633123E-3</c:v>
                </c:pt>
                <c:pt idx="97">
                  <c:v>-1.7920454545453436E-3</c:v>
                </c:pt>
                <c:pt idx="98">
                  <c:v>-1.9718468468468558E-3</c:v>
                </c:pt>
                <c:pt idx="99">
                  <c:v>-1.9453125000000598E-3</c:v>
                </c:pt>
                <c:pt idx="100">
                  <c:v>-1.9192477876107288E-3</c:v>
                </c:pt>
                <c:pt idx="101">
                  <c:v>-1.9934210526315046E-3</c:v>
                </c:pt>
                <c:pt idx="102">
                  <c:v>-1.9673913043478015E-3</c:v>
                </c:pt>
                <c:pt idx="103">
                  <c:v>-2.0398706896551425E-3</c:v>
                </c:pt>
                <c:pt idx="104">
                  <c:v>-2.0138888888889075E-3</c:v>
                </c:pt>
                <c:pt idx="105">
                  <c:v>-1.988347457627185E-3</c:v>
                </c:pt>
                <c:pt idx="106">
                  <c:v>-2.0588235294118251E-3</c:v>
                </c:pt>
                <c:pt idx="107">
                  <c:v>-2.0333333333332725E-3</c:v>
                </c:pt>
                <c:pt idx="108">
                  <c:v>-2.1022727272726614E-3</c:v>
                </c:pt>
                <c:pt idx="109">
                  <c:v>-2.1700819672130444E-3</c:v>
                </c:pt>
                <c:pt idx="110">
                  <c:v>-2.2367886178862677E-3</c:v>
                </c:pt>
                <c:pt idx="111">
                  <c:v>-2.3941532258064837E-3</c:v>
                </c:pt>
                <c:pt idx="112">
                  <c:v>-2.458000000000027E-3</c:v>
                </c:pt>
                <c:pt idx="113">
                  <c:v>-2.6111111111110827E-3</c:v>
                </c:pt>
                <c:pt idx="114">
                  <c:v>-2.5826771653543472E-3</c:v>
                </c:pt>
                <c:pt idx="115">
                  <c:v>-2.6435546875000111E-3</c:v>
                </c:pt>
                <c:pt idx="116">
                  <c:v>-2.6153100775194345E-3</c:v>
                </c:pt>
                <c:pt idx="117">
                  <c:v>-2.6750000000000493E-3</c:v>
                </c:pt>
                <c:pt idx="118">
                  <c:v>-2.6469465648854343E-3</c:v>
                </c:pt>
                <c:pt idx="119">
                  <c:v>-2.6193181818181632E-3</c:v>
                </c:pt>
                <c:pt idx="120">
                  <c:v>-2.6776315789473456E-3</c:v>
                </c:pt>
                <c:pt idx="121">
                  <c:v>-2.6501865671641981E-3</c:v>
                </c:pt>
                <c:pt idx="122">
                  <c:v>-2.7074074074074218E-3</c:v>
                </c:pt>
                <c:pt idx="123">
                  <c:v>-2.7637867647058918E-3</c:v>
                </c:pt>
                <c:pt idx="124">
                  <c:v>-2.7363138686131894E-3</c:v>
                </c:pt>
                <c:pt idx="125">
                  <c:v>-2.7092391304347277E-3</c:v>
                </c:pt>
                <c:pt idx="126">
                  <c:v>-2.6825539568345186E-3</c:v>
                </c:pt>
                <c:pt idx="127">
                  <c:v>-2.7375000000001257E-3</c:v>
                </c:pt>
                <c:pt idx="128">
                  <c:v>-2.7109929078014401E-3</c:v>
                </c:pt>
                <c:pt idx="129">
                  <c:v>-2.7649647887324114E-3</c:v>
                </c:pt>
                <c:pt idx="130">
                  <c:v>-2.7386363636362791E-3</c:v>
                </c:pt>
                <c:pt idx="131">
                  <c:v>-2.5546874999999025E-3</c:v>
                </c:pt>
                <c:pt idx="132">
                  <c:v>-2.5301724137930461E-3</c:v>
                </c:pt>
                <c:pt idx="133">
                  <c:v>-2.5059931506849127E-3</c:v>
                </c:pt>
                <c:pt idx="134">
                  <c:v>-2.4821428571428772E-3</c:v>
                </c:pt>
                <c:pt idx="135">
                  <c:v>-2.5354729729729886E-3</c:v>
                </c:pt>
                <c:pt idx="136">
                  <c:v>-2.4354026845637188E-3</c:v>
                </c:pt>
                <c:pt idx="137">
                  <c:v>-2.3366666666665725E-3</c:v>
                </c:pt>
                <c:pt idx="138">
                  <c:v>-2.3145695364239181E-3</c:v>
                </c:pt>
                <c:pt idx="139">
                  <c:v>-2.2927631578947179E-3</c:v>
                </c:pt>
                <c:pt idx="140">
                  <c:v>-2.196895424836661E-3</c:v>
                </c:pt>
                <c:pt idx="141">
                  <c:v>-2.102272727272733E-3</c:v>
                </c:pt>
                <c:pt idx="142">
                  <c:v>-2.082258064516041E-3</c:v>
                </c:pt>
                <c:pt idx="143">
                  <c:v>-2.135416666666575E-3</c:v>
                </c:pt>
                <c:pt idx="144">
                  <c:v>-2.2603503184713309E-3</c:v>
                </c:pt>
                <c:pt idx="145">
                  <c:v>-2.3117088607594828E-3</c:v>
                </c:pt>
                <c:pt idx="146">
                  <c:v>-2.3624213836477841E-3</c:v>
                </c:pt>
                <c:pt idx="147">
                  <c:v>-2.2703124999999338E-3</c:v>
                </c:pt>
                <c:pt idx="148">
                  <c:v>-2.1793478260869652E-3</c:v>
                </c:pt>
                <c:pt idx="149">
                  <c:v>-2.1597222222221411E-3</c:v>
                </c:pt>
                <c:pt idx="150">
                  <c:v>-2.2101226993865423E-3</c:v>
                </c:pt>
                <c:pt idx="151">
                  <c:v>-2.3292682926829233E-3</c:v>
                </c:pt>
                <c:pt idx="152">
                  <c:v>-2.1712121212121059E-3</c:v>
                </c:pt>
                <c:pt idx="153">
                  <c:v>-2.2206325301204633E-3</c:v>
                </c:pt>
                <c:pt idx="154">
                  <c:v>-2.2013473053892367E-3</c:v>
                </c:pt>
                <c:pt idx="155">
                  <c:v>-2.1822916666667152E-3</c:v>
                </c:pt>
                <c:pt idx="156">
                  <c:v>-2.2307692307692753E-3</c:v>
                </c:pt>
                <c:pt idx="157">
                  <c:v>-2.011029411764776E-3</c:v>
                </c:pt>
                <c:pt idx="158">
                  <c:v>-2.0599415204677839E-3</c:v>
                </c:pt>
                <c:pt idx="159">
                  <c:v>-2.2405523255813837E-3</c:v>
                </c:pt>
                <c:pt idx="160">
                  <c:v>-2.287572254335245E-3</c:v>
                </c:pt>
                <c:pt idx="161">
                  <c:v>-2.5301724137932083E-3</c:v>
                </c:pt>
                <c:pt idx="162">
                  <c:v>-2.5749999999999849E-3</c:v>
                </c:pt>
                <c:pt idx="163">
                  <c:v>-2.4900568181818713E-3</c:v>
                </c:pt>
                <c:pt idx="164">
                  <c:v>-2.4703389830508181E-3</c:v>
                </c:pt>
                <c:pt idx="165">
                  <c:v>-2.5147471910112033E-3</c:v>
                </c:pt>
                <c:pt idx="166">
                  <c:v>-2.5586592178770589E-3</c:v>
                </c:pt>
                <c:pt idx="167">
                  <c:v>-2.6020833333334058E-3</c:v>
                </c:pt>
                <c:pt idx="168">
                  <c:v>-2.6450276243094608E-3</c:v>
                </c:pt>
                <c:pt idx="169">
                  <c:v>-2.7500000000000302E-3</c:v>
                </c:pt>
                <c:pt idx="170">
                  <c:v>-2.6673497267758308E-3</c:v>
                </c:pt>
                <c:pt idx="171">
                  <c:v>-2.771059782608643E-3</c:v>
                </c:pt>
                <c:pt idx="172">
                  <c:v>-2.8121621621621067E-3</c:v>
                </c:pt>
                <c:pt idx="173">
                  <c:v>-2.8528225806451024E-3</c:v>
                </c:pt>
                <c:pt idx="174">
                  <c:v>-2.8930481283421842E-3</c:v>
                </c:pt>
                <c:pt idx="175">
                  <c:v>-2.8723404255319904E-3</c:v>
                </c:pt>
                <c:pt idx="176">
                  <c:v>-3.0324074074074125E-3</c:v>
                </c:pt>
                <c:pt idx="177">
                  <c:v>-3.0710526315789492E-3</c:v>
                </c:pt>
                <c:pt idx="178">
                  <c:v>-3.1092931937172757E-3</c:v>
                </c:pt>
                <c:pt idx="179">
                  <c:v>-3.0878906249999227E-3</c:v>
                </c:pt>
                <c:pt idx="180">
                  <c:v>-2.948834196891105E-3</c:v>
                </c:pt>
                <c:pt idx="181">
                  <c:v>-2.928479381443346E-3</c:v>
                </c:pt>
                <c:pt idx="182">
                  <c:v>-2.9083333333333053E-3</c:v>
                </c:pt>
                <c:pt idx="183">
                  <c:v>-2.9464285714285404E-3</c:v>
                </c:pt>
                <c:pt idx="184">
                  <c:v>-2.9841370558375295E-3</c:v>
                </c:pt>
                <c:pt idx="185">
                  <c:v>-3.0214646464646095E-3</c:v>
                </c:pt>
                <c:pt idx="186">
                  <c:v>-3.0012562814069254E-3</c:v>
                </c:pt>
                <c:pt idx="187">
                  <c:v>-3.0950000000001584E-3</c:v>
                </c:pt>
                <c:pt idx="188">
                  <c:v>-3.0180348258706628E-3</c:v>
                </c:pt>
                <c:pt idx="189">
                  <c:v>-2.9981435643565797E-3</c:v>
                </c:pt>
                <c:pt idx="190">
                  <c:v>-3.034482758620631E-3</c:v>
                </c:pt>
                <c:pt idx="191">
                  <c:v>-2.958946078431373E-3</c:v>
                </c:pt>
                <c:pt idx="192">
                  <c:v>-2.9951219512195093E-3</c:v>
                </c:pt>
                <c:pt idx="193">
                  <c:v>-3.1966019417475735E-3</c:v>
                </c:pt>
                <c:pt idx="194">
                  <c:v>-3.2312801932367122E-3</c:v>
                </c:pt>
                <c:pt idx="195">
                  <c:v>-3.2109374999999274E-3</c:v>
                </c:pt>
                <c:pt idx="196">
                  <c:v>-3.1907894736840688E-3</c:v>
                </c:pt>
                <c:pt idx="197">
                  <c:v>-3.1708333333333154E-3</c:v>
                </c:pt>
                <c:pt idx="198">
                  <c:v>-3.204976303317706E-3</c:v>
                </c:pt>
                <c:pt idx="199">
                  <c:v>-3.1851415094340634E-3</c:v>
                </c:pt>
                <c:pt idx="200">
                  <c:v>-3.2188967136151212E-3</c:v>
                </c:pt>
                <c:pt idx="201">
                  <c:v>-3.3054906542055776E-3</c:v>
                </c:pt>
                <c:pt idx="202">
                  <c:v>-3.391279069767474E-3</c:v>
                </c:pt>
                <c:pt idx="203">
                  <c:v>-3.4236111111111403E-3</c:v>
                </c:pt>
                <c:pt idx="204">
                  <c:v>-3.403225806451575E-3</c:v>
                </c:pt>
                <c:pt idx="205">
                  <c:v>-3.435206422018308E-3</c:v>
                </c:pt>
                <c:pt idx="206">
                  <c:v>-3.4149543378994363E-3</c:v>
                </c:pt>
                <c:pt idx="207">
                  <c:v>-3.4982954545454085E-3</c:v>
                </c:pt>
                <c:pt idx="208">
                  <c:v>-3.5294117647058335E-3</c:v>
                </c:pt>
                <c:pt idx="209">
                  <c:v>-3.6627252252252984E-3</c:v>
                </c:pt>
                <c:pt idx="210">
                  <c:v>-3.6418161434977653E-3</c:v>
                </c:pt>
                <c:pt idx="211">
                  <c:v>-3.6210937500001233E-3</c:v>
                </c:pt>
                <c:pt idx="212">
                  <c:v>-3.4994444444445584E-3</c:v>
                </c:pt>
                <c:pt idx="213">
                  <c:v>-3.529867256637279E-3</c:v>
                </c:pt>
                <c:pt idx="214">
                  <c:v>-3.5099118942731738E-3</c:v>
                </c:pt>
                <c:pt idx="215">
                  <c:v>-3.5400219298246049E-3</c:v>
                </c:pt>
                <c:pt idx="216">
                  <c:v>-3.5201965065501978E-3</c:v>
                </c:pt>
                <c:pt idx="217">
                  <c:v>-3.5499999999999768E-3</c:v>
                </c:pt>
                <c:pt idx="218">
                  <c:v>-3.6287878787877384E-3</c:v>
                </c:pt>
                <c:pt idx="219">
                  <c:v>-3.6578663793102022E-3</c:v>
                </c:pt>
                <c:pt idx="220">
                  <c:v>-3.637875536480656E-3</c:v>
                </c:pt>
                <c:pt idx="221">
                  <c:v>-3.6666666666668054E-3</c:v>
                </c:pt>
                <c:pt idx="222">
                  <c:v>-3.6468085106383741E-3</c:v>
                </c:pt>
                <c:pt idx="223">
                  <c:v>-3.6753177966102426E-3</c:v>
                </c:pt>
                <c:pt idx="224">
                  <c:v>-3.7035864978903657E-3</c:v>
                </c:pt>
                <c:pt idx="225">
                  <c:v>-3.8272058823529556E-3</c:v>
                </c:pt>
                <c:pt idx="226">
                  <c:v>-3.7118200836820147E-3</c:v>
                </c:pt>
                <c:pt idx="227">
                  <c:v>-3.6921874999999455E-3</c:v>
                </c:pt>
                <c:pt idx="228">
                  <c:v>-3.5783195020746266E-3</c:v>
                </c:pt>
                <c:pt idx="229">
                  <c:v>-3.5594008264461592E-3</c:v>
                </c:pt>
                <c:pt idx="230">
                  <c:v>-3.5874485596706579E-3</c:v>
                </c:pt>
                <c:pt idx="231">
                  <c:v>-3.568647540983589E-3</c:v>
                </c:pt>
                <c:pt idx="232">
                  <c:v>-3.5500000000000878E-3</c:v>
                </c:pt>
                <c:pt idx="233">
                  <c:v>-3.5315040650406786E-3</c:v>
                </c:pt>
                <c:pt idx="234">
                  <c:v>-3.5131578947368114E-3</c:v>
                </c:pt>
                <c:pt idx="235">
                  <c:v>-3.5866935483871197E-3</c:v>
                </c:pt>
                <c:pt idx="236">
                  <c:v>-3.5682730923694422E-3</c:v>
                </c:pt>
                <c:pt idx="237">
                  <c:v>-3.595499999999962E-3</c:v>
                </c:pt>
                <c:pt idx="238">
                  <c:v>-3.5771912350598262E-3</c:v>
                </c:pt>
                <c:pt idx="239">
                  <c:v>-3.604166666666569E-3</c:v>
                </c:pt>
                <c:pt idx="240">
                  <c:v>-3.5410079051382899E-3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B51-4335-814D-53B8B9178B55}"/>
            </c:ext>
          </c:extLst>
        </c:ser>
        <c:ser>
          <c:idx val="12"/>
          <c:order val="12"/>
          <c:tx>
            <c:strRef>
              <c:f>'전류편차_24mA(절대값기준)'!$CB$7</c:f>
              <c:strCache>
                <c:ptCount val="1"/>
                <c:pt idx="0">
                  <c:v>IC #2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'전류편차_24mA(절대값기준)'!$CB$22:$CB$262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-2.2500000000000714E-3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1.5687499999999591E-3</c:v>
                </c:pt>
                <c:pt idx="8">
                  <c:v>4.5833333333326432E-4</c:v>
                </c:pt>
                <c:pt idx="9">
                  <c:v>1.5170454545454766E-3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5.4499999999984444E-4</c:v>
                </c:pt>
                <c:pt idx="13">
                  <c:v>-3.1249999999988232E-4</c:v>
                </c:pt>
                <c:pt idx="14">
                  <c:v>-6.8518518518523514E-4</c:v>
                </c:pt>
                <c:pt idx="15">
                  <c:v>-2.6562500000000266E-3</c:v>
                </c:pt>
                <c:pt idx="16">
                  <c:v>-2.9224137931034518E-3</c:v>
                </c:pt>
                <c:pt idx="17">
                  <c:v>-1.6541666666666473E-3</c:v>
                </c:pt>
                <c:pt idx="18">
                  <c:v>-1.5685483870967751E-3</c:v>
                </c:pt>
                <c:pt idx="19">
                  <c:v>-1.1328125000000591E-3</c:v>
                </c:pt>
                <c:pt idx="20">
                  <c:v>-7.2348484848480915E-4</c:v>
                </c:pt>
                <c:pt idx="21">
                  <c:v>-6.7279411764703859E-4</c:v>
                </c:pt>
                <c:pt idx="22">
                  <c:v>-6.2499999999999774E-4</c:v>
                </c:pt>
                <c:pt idx="23">
                  <c:v>-5.7986111111112593E-4</c:v>
                </c:pt>
                <c:pt idx="24">
                  <c:v>-8.4459459459459161E-4</c:v>
                </c:pt>
                <c:pt idx="25">
                  <c:v>-7.9605263157896046E-4</c:v>
                </c:pt>
                <c:pt idx="26">
                  <c:v>-7.4999999999989897E-4</c:v>
                </c:pt>
                <c:pt idx="27">
                  <c:v>-9.9062500000001168E-4</c:v>
                </c:pt>
                <c:pt idx="28">
                  <c:v>-9.4207317073173352E-4</c:v>
                </c:pt>
                <c:pt idx="29">
                  <c:v>-8.9583333333337345E-4</c:v>
                </c:pt>
                <c:pt idx="30">
                  <c:v>-1.3808139534883673E-3</c:v>
                </c:pt>
                <c:pt idx="31">
                  <c:v>-2.1022727272727655E-3</c:v>
                </c:pt>
                <c:pt idx="32">
                  <c:v>-2.2861111111111341E-3</c:v>
                </c:pt>
                <c:pt idx="33">
                  <c:v>-1.7201086956521547E-3</c:v>
                </c:pt>
                <c:pt idx="34">
                  <c:v>-1.1781914893618569E-3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-7.5000000000002842E-4</c:v>
                </c:pt>
                <c:pt idx="40">
                  <c:v>-7.1698113207560631E-4</c:v>
                </c:pt>
                <c:pt idx="41">
                  <c:v>-4.7453703703701666E-4</c:v>
                </c:pt>
                <c:pt idx="42">
                  <c:v>-1.068181818181741E-3</c:v>
                </c:pt>
                <c:pt idx="43">
                  <c:v>-1.0312500000000252E-3</c:v>
                </c:pt>
                <c:pt idx="44">
                  <c:v>-5.9649122807016626E-4</c:v>
                </c:pt>
                <c:pt idx="45">
                  <c:v>-1.1573275862068334E-3</c:v>
                </c:pt>
                <c:pt idx="46">
                  <c:v>-7.3516949152549981E-4</c:v>
                </c:pt>
                <c:pt idx="47">
                  <c:v>-1.4645833333332507E-3</c:v>
                </c:pt>
                <c:pt idx="48">
                  <c:v>-1.4241803278686985E-3</c:v>
                </c:pt>
                <c:pt idx="49">
                  <c:v>-1.5685483870967751E-3</c:v>
                </c:pt>
                <c:pt idx="50">
                  <c:v>-9.8611111111102101E-4</c:v>
                </c:pt>
                <c:pt idx="51">
                  <c:v>-9.5507812499999966E-4</c:v>
                </c:pt>
                <c:pt idx="52">
                  <c:v>-9.2500000000008689E-4</c:v>
                </c:pt>
                <c:pt idx="53">
                  <c:v>-8.9583333333335166E-4</c:v>
                </c:pt>
                <c:pt idx="54">
                  <c:v>-5.2798507462700555E-4</c:v>
                </c:pt>
                <c:pt idx="55">
                  <c:v>-8.4007352941180031E-4</c:v>
                </c:pt>
                <c:pt idx="56">
                  <c:v>-6.4855072463759691E-4</c:v>
                </c:pt>
                <c:pt idx="57">
                  <c:v>-6.2499999999999774E-4</c:v>
                </c:pt>
                <c:pt idx="58">
                  <c:v>-6.0211267605627327E-4</c:v>
                </c:pt>
                <c:pt idx="59">
                  <c:v>-5.7986111111112593E-4</c:v>
                </c:pt>
                <c:pt idx="60">
                  <c:v>-8.6986301369868793E-4</c:v>
                </c:pt>
                <c:pt idx="61">
                  <c:v>-8.4459459459459161E-4</c:v>
                </c:pt>
                <c:pt idx="62">
                  <c:v>-8.1999999999993786E-4</c:v>
                </c:pt>
                <c:pt idx="63">
                  <c:v>-9.4572368421058943E-4</c:v>
                </c:pt>
                <c:pt idx="64">
                  <c:v>-9.2045454545455004E-4</c:v>
                </c:pt>
                <c:pt idx="65">
                  <c:v>-8.9583333333328097E-4</c:v>
                </c:pt>
                <c:pt idx="66">
                  <c:v>-5.8386075949372254E-4</c:v>
                </c:pt>
                <c:pt idx="67">
                  <c:v>-5.6406249999999545E-4</c:v>
                </c:pt>
                <c:pt idx="68">
                  <c:v>-4.0432098765421482E-4</c:v>
                </c:pt>
                <c:pt idx="69">
                  <c:v>-3.8719512195118364E-4</c:v>
                </c:pt>
                <c:pt idx="70">
                  <c:v>-2.3343373493974604E-4</c:v>
                </c:pt>
                <c:pt idx="71">
                  <c:v>-2.1875000000005454E-4</c:v>
                </c:pt>
                <c:pt idx="72">
                  <c:v>-7.0588235294074612E-5</c:v>
                </c:pt>
                <c:pt idx="73">
                  <c:v>-1.9040697674413604E-4</c:v>
                </c:pt>
                <c:pt idx="74">
                  <c:v>-1.7672413793105011E-4</c:v>
                </c:pt>
                <c:pt idx="75">
                  <c:v>-2.926136363636445E-4</c:v>
                </c:pt>
                <c:pt idx="76">
                  <c:v>-2.2471910112345851E-5</c:v>
                </c:pt>
                <c:pt idx="77">
                  <c:v>-2.6388888888891039E-4</c:v>
                </c:pt>
                <c:pt idx="78">
                  <c:v>-1.2500000000004174E-4</c:v>
                </c:pt>
                <c:pt idx="79">
                  <c:v>-1.127717391304278E-4</c:v>
                </c:pt>
                <c:pt idx="80">
                  <c:v>2.6612903225824175E-4</c:v>
                </c:pt>
                <c:pt idx="81">
                  <c:v>2.7393617021266608E-4</c:v>
                </c:pt>
                <c:pt idx="82">
                  <c:v>4.0131578947367211E-4</c:v>
                </c:pt>
                <c:pt idx="83">
                  <c:v>6.4453125000000827E-4</c:v>
                </c:pt>
                <c:pt idx="84">
                  <c:v>6.4819587628860956E-4</c:v>
                </c:pt>
                <c:pt idx="85">
                  <c:v>7.678571428571773E-4</c:v>
                </c:pt>
                <c:pt idx="86">
                  <c:v>1.0000000000000536E-3</c:v>
                </c:pt>
                <c:pt idx="87">
                  <c:v>9.9999999999999633E-4</c:v>
                </c:pt>
                <c:pt idx="88">
                  <c:v>8.8737623762376522E-4</c:v>
                </c:pt>
                <c:pt idx="89">
                  <c:v>1.1115196078431591E-3</c:v>
                </c:pt>
                <c:pt idx="90">
                  <c:v>1.331310679611691E-3</c:v>
                </c:pt>
                <c:pt idx="91">
                  <c:v>1.2187500000000462E-3</c:v>
                </c:pt>
                <c:pt idx="92">
                  <c:v>1.216666666666851E-3</c:v>
                </c:pt>
                <c:pt idx="93">
                  <c:v>6.7806603773570362E-4</c:v>
                </c:pt>
                <c:pt idx="94">
                  <c:v>6.8107476635513207E-4</c:v>
                </c:pt>
                <c:pt idx="95">
                  <c:v>2.6273148148146748E-4</c:v>
                </c:pt>
                <c:pt idx="96">
                  <c:v>4.782110091743158E-4</c:v>
                </c:pt>
                <c:pt idx="97">
                  <c:v>4.8295454545468154E-4</c:v>
                </c:pt>
                <c:pt idx="98">
                  <c:v>6.9256756756753773E-4</c:v>
                </c:pt>
                <c:pt idx="99">
                  <c:v>4.9218750000003253E-4</c:v>
                </c:pt>
                <c:pt idx="100">
                  <c:v>3.9601769911508215E-4</c:v>
                </c:pt>
                <c:pt idx="101">
                  <c:v>6.0087719298251071E-4</c:v>
                </c:pt>
                <c:pt idx="102">
                  <c:v>6.043478260869614E-4</c:v>
                </c:pt>
                <c:pt idx="103">
                  <c:v>6.0775862068978539E-4</c:v>
                </c:pt>
                <c:pt idx="104">
                  <c:v>6.1111111111101905E-4</c:v>
                </c:pt>
                <c:pt idx="105">
                  <c:v>4.216101694914931E-4</c:v>
                </c:pt>
                <c:pt idx="106">
                  <c:v>5.22058823529449E-4</c:v>
                </c:pt>
                <c:pt idx="107">
                  <c:v>3.3645833333342812E-4</c:v>
                </c:pt>
                <c:pt idx="108">
                  <c:v>4.3595041322313561E-4</c:v>
                </c:pt>
                <c:pt idx="109">
                  <c:v>6.2704918032787987E-4</c:v>
                </c:pt>
                <c:pt idx="110">
                  <c:v>4.4512195121941528E-4</c:v>
                </c:pt>
                <c:pt idx="111">
                  <c:v>3.5786290322571554E-4</c:v>
                </c:pt>
                <c:pt idx="112">
                  <c:v>2.7200000000007665E-4</c:v>
                </c:pt>
                <c:pt idx="113">
                  <c:v>6.3888888888888025E-4</c:v>
                </c:pt>
                <c:pt idx="114">
                  <c:v>8.2086614173229014E-4</c:v>
                </c:pt>
                <c:pt idx="115">
                  <c:v>8.2226562499996224E-4</c:v>
                </c:pt>
                <c:pt idx="116">
                  <c:v>8.2364341085263185E-4</c:v>
                </c:pt>
                <c:pt idx="117">
                  <c:v>7.3749999999992431E-4</c:v>
                </c:pt>
                <c:pt idx="118">
                  <c:v>1.0000000000000458E-3</c:v>
                </c:pt>
                <c:pt idx="119">
                  <c:v>1.0000000000000026E-3</c:v>
                </c:pt>
                <c:pt idx="120">
                  <c:v>1.1710526315789646E-3</c:v>
                </c:pt>
                <c:pt idx="121">
                  <c:v>9.9999999999991806E-4</c:v>
                </c:pt>
                <c:pt idx="122">
                  <c:v>1.0842592592592388E-3</c:v>
                </c:pt>
                <c:pt idx="123">
                  <c:v>9.1636029411767798E-4</c:v>
                </c:pt>
                <c:pt idx="124">
                  <c:v>1.0830291970803368E-3</c:v>
                </c:pt>
                <c:pt idx="125">
                  <c:v>1.0000000000000492E-3</c:v>
                </c:pt>
                <c:pt idx="126">
                  <c:v>1.000000000000008E-3</c:v>
                </c:pt>
                <c:pt idx="127">
                  <c:v>7.5624999999995834E-4</c:v>
                </c:pt>
                <c:pt idx="128">
                  <c:v>6.7730496453897028E-4</c:v>
                </c:pt>
                <c:pt idx="129">
                  <c:v>9.198943661971158E-4</c:v>
                </c:pt>
                <c:pt idx="130">
                  <c:v>9.9999999999999091E-4</c:v>
                </c:pt>
                <c:pt idx="131">
                  <c:v>1.0789930555556036E-3</c:v>
                </c:pt>
                <c:pt idx="132">
                  <c:v>1.1568965517242426E-3</c:v>
                </c:pt>
                <c:pt idx="133">
                  <c:v>1.0779109589040795E-3</c:v>
                </c:pt>
                <c:pt idx="134">
                  <c:v>1.077380952380884E-3</c:v>
                </c:pt>
                <c:pt idx="135">
                  <c:v>1.0768581081081385E-3</c:v>
                </c:pt>
                <c:pt idx="136">
                  <c:v>1.229026845637627E-3</c:v>
                </c:pt>
                <c:pt idx="137">
                  <c:v>1.1516666666667138E-3</c:v>
                </c:pt>
                <c:pt idx="138">
                  <c:v>1.1506622516555046E-3</c:v>
                </c:pt>
                <c:pt idx="139">
                  <c:v>1.0748355263158029E-3</c:v>
                </c:pt>
                <c:pt idx="140">
                  <c:v>9.2565359477116854E-4</c:v>
                </c:pt>
                <c:pt idx="141">
                  <c:v>9.9999999999998072E-4</c:v>
                </c:pt>
                <c:pt idx="142">
                  <c:v>8.5322580645163853E-4</c:v>
                </c:pt>
                <c:pt idx="143">
                  <c:v>7.0833333333340342E-4</c:v>
                </c:pt>
                <c:pt idx="144">
                  <c:v>6.3773885350312961E-4</c:v>
                </c:pt>
                <c:pt idx="145">
                  <c:v>7.120253164556936E-4</c:v>
                </c:pt>
                <c:pt idx="146">
                  <c:v>7.1383647798738321E-4</c:v>
                </c:pt>
                <c:pt idx="147">
                  <c:v>8.5781249999997426E-4</c:v>
                </c:pt>
                <c:pt idx="148">
                  <c:v>9.293478260869821E-4</c:v>
                </c:pt>
                <c:pt idx="149">
                  <c:v>1.0000000000000763E-3</c:v>
                </c:pt>
                <c:pt idx="150">
                  <c:v>8.6042944785275511E-4</c:v>
                </c:pt>
                <c:pt idx="151">
                  <c:v>9.306402439023606E-4</c:v>
                </c:pt>
                <c:pt idx="152">
                  <c:v>7.9318181818178232E-4</c:v>
                </c:pt>
                <c:pt idx="153">
                  <c:v>1.0000000000000599E-3</c:v>
                </c:pt>
                <c:pt idx="154">
                  <c:v>1.0000000000000256E-3</c:v>
                </c:pt>
                <c:pt idx="155">
                  <c:v>9.3229166666657548E-4</c:v>
                </c:pt>
                <c:pt idx="156">
                  <c:v>9.3269230769230311E-4</c:v>
                </c:pt>
                <c:pt idx="157">
                  <c:v>8.6617647058823458E-4</c:v>
                </c:pt>
                <c:pt idx="158">
                  <c:v>1.0000000000000106E-3</c:v>
                </c:pt>
                <c:pt idx="159">
                  <c:v>7.3546511627907657E-4</c:v>
                </c:pt>
                <c:pt idx="160">
                  <c:v>7.3699421965327E-4</c:v>
                </c:pt>
                <c:pt idx="161">
                  <c:v>8.0387931034473295E-4</c:v>
                </c:pt>
                <c:pt idx="162">
                  <c:v>9.3499999999991702E-4</c:v>
                </c:pt>
                <c:pt idx="163">
                  <c:v>9.3536931818181826E-4</c:v>
                </c:pt>
                <c:pt idx="164">
                  <c:v>9.3573446327680431E-4</c:v>
                </c:pt>
                <c:pt idx="165">
                  <c:v>9.3609550561802755E-4</c:v>
                </c:pt>
                <c:pt idx="166">
                  <c:v>1.0635474860335801E-3</c:v>
                </c:pt>
                <c:pt idx="167">
                  <c:v>9.9999999999995145E-4</c:v>
                </c:pt>
                <c:pt idx="168">
                  <c:v>9.3715469613255204E-4</c:v>
                </c:pt>
                <c:pt idx="169">
                  <c:v>9.3750000000003553E-4</c:v>
                </c:pt>
                <c:pt idx="170">
                  <c:v>9.3784153005475965E-4</c:v>
                </c:pt>
                <c:pt idx="171">
                  <c:v>9.3817934782606063E-4</c:v>
                </c:pt>
                <c:pt idx="172">
                  <c:v>8.7702702702700428E-4</c:v>
                </c:pt>
                <c:pt idx="173">
                  <c:v>8.1653225806449699E-4</c:v>
                </c:pt>
                <c:pt idx="174">
                  <c:v>7.566844919788101E-4</c:v>
                </c:pt>
                <c:pt idx="175">
                  <c:v>5.7646276595728666E-4</c:v>
                </c:pt>
                <c:pt idx="176">
                  <c:v>5.1851851851836273E-4</c:v>
                </c:pt>
                <c:pt idx="177">
                  <c:v>7.006578947367705E-4</c:v>
                </c:pt>
                <c:pt idx="178">
                  <c:v>7.0222513089005726E-4</c:v>
                </c:pt>
                <c:pt idx="179">
                  <c:v>7.0377604166653679E-4</c:v>
                </c:pt>
                <c:pt idx="180">
                  <c:v>7.0531088082896175E-4</c:v>
                </c:pt>
                <c:pt idx="181">
                  <c:v>8.2409793814428641E-4</c:v>
                </c:pt>
                <c:pt idx="182">
                  <c:v>8.2500000000003133E-4</c:v>
                </c:pt>
                <c:pt idx="183">
                  <c:v>8.839285714285415E-4</c:v>
                </c:pt>
                <c:pt idx="184">
                  <c:v>8.2677664974616647E-4</c:v>
                </c:pt>
                <c:pt idx="185">
                  <c:v>7.1275252525263607E-4</c:v>
                </c:pt>
                <c:pt idx="186">
                  <c:v>5.9987437185934011E-4</c:v>
                </c:pt>
                <c:pt idx="187">
                  <c:v>6.5874999999998346E-4</c:v>
                </c:pt>
                <c:pt idx="188">
                  <c:v>6.6044776119388471E-4</c:v>
                </c:pt>
                <c:pt idx="189">
                  <c:v>4.9319306930685188E-4</c:v>
                </c:pt>
                <c:pt idx="190">
                  <c:v>4.95689655172407E-4</c:v>
                </c:pt>
                <c:pt idx="191">
                  <c:v>2.7512254901959794E-4</c:v>
                </c:pt>
                <c:pt idx="192">
                  <c:v>3.3414634146334643E-4</c:v>
                </c:pt>
                <c:pt idx="193">
                  <c:v>5.0303398058253331E-4</c:v>
                </c:pt>
                <c:pt idx="194">
                  <c:v>5.054347826087749E-4</c:v>
                </c:pt>
                <c:pt idx="195">
                  <c:v>5.0781250000014877E-4</c:v>
                </c:pt>
                <c:pt idx="196">
                  <c:v>4.5574162679440952E-4</c:v>
                </c:pt>
                <c:pt idx="197">
                  <c:v>3.5000000000008733E-4</c:v>
                </c:pt>
                <c:pt idx="198">
                  <c:v>4.6090047393355379E-4</c:v>
                </c:pt>
                <c:pt idx="199">
                  <c:v>4.0978773584896455E-4</c:v>
                </c:pt>
                <c:pt idx="200">
                  <c:v>4.1255868544598609E-4</c:v>
                </c:pt>
                <c:pt idx="201">
                  <c:v>2.5584112149536583E-4</c:v>
                </c:pt>
                <c:pt idx="202">
                  <c:v>2.0639534883725087E-4</c:v>
                </c:pt>
                <c:pt idx="203">
                  <c:v>2.1006944444436606E-4</c:v>
                </c:pt>
                <c:pt idx="204">
                  <c:v>1.0887096774198258E-4</c:v>
                </c:pt>
                <c:pt idx="205">
                  <c:v>6.0779816513811305E-5</c:v>
                </c:pt>
                <c:pt idx="206">
                  <c:v>-9.0753424657424137E-5</c:v>
                </c:pt>
                <c:pt idx="207">
                  <c:v>-1.892045454544961E-4</c:v>
                </c:pt>
                <c:pt idx="208">
                  <c:v>-2.8676470588236385E-4</c:v>
                </c:pt>
                <c:pt idx="209">
                  <c:v>-1.7849099099099308E-4</c:v>
                </c:pt>
                <c:pt idx="210">
                  <c:v>-1.732062780270239E-4</c:v>
                </c:pt>
                <c:pt idx="211">
                  <c:v>-2.1875000000011469E-4</c:v>
                </c:pt>
                <c:pt idx="212">
                  <c:v>-1.6277777777776552E-4</c:v>
                </c:pt>
                <c:pt idx="213">
                  <c:v>-2.5829646017703762E-4</c:v>
                </c:pt>
                <c:pt idx="214">
                  <c:v>-2.0264317180608834E-4</c:v>
                </c:pt>
                <c:pt idx="215">
                  <c:v>-2.4725877192974304E-4</c:v>
                </c:pt>
                <c:pt idx="216">
                  <c:v>-2.4181222707426761E-4</c:v>
                </c:pt>
                <c:pt idx="217">
                  <c:v>-2.3641304347822928E-4</c:v>
                </c:pt>
                <c:pt idx="218">
                  <c:v>-3.2954545454548051E-4</c:v>
                </c:pt>
                <c:pt idx="219">
                  <c:v>-4.7090517241376185E-4</c:v>
                </c:pt>
                <c:pt idx="220">
                  <c:v>-3.6695278969953139E-4</c:v>
                </c:pt>
                <c:pt idx="221">
                  <c:v>-5.5555555555569173E-4</c:v>
                </c:pt>
                <c:pt idx="222">
                  <c:v>-5.4893617021283968E-4</c:v>
                </c:pt>
                <c:pt idx="223">
                  <c:v>-6.3877118644063626E-4</c:v>
                </c:pt>
                <c:pt idx="224">
                  <c:v>-7.7584388185661314E-4</c:v>
                </c:pt>
                <c:pt idx="225">
                  <c:v>-6.250000000000063E-4</c:v>
                </c:pt>
                <c:pt idx="226">
                  <c:v>-6.1820083682002903E-4</c:v>
                </c:pt>
                <c:pt idx="227">
                  <c:v>-6.1145833333338677E-4</c:v>
                </c:pt>
                <c:pt idx="228">
                  <c:v>-5.1037344398344761E-4</c:v>
                </c:pt>
                <c:pt idx="229">
                  <c:v>-5.0413223140494351E-4</c:v>
                </c:pt>
                <c:pt idx="230">
                  <c:v>-4.9794238683120078E-4</c:v>
                </c:pt>
                <c:pt idx="231">
                  <c:v>-5.3842213114746375E-4</c:v>
                </c:pt>
                <c:pt idx="232">
                  <c:v>-4.8571428571442249E-4</c:v>
                </c:pt>
                <c:pt idx="233">
                  <c:v>-4.3343495934961408E-4</c:v>
                </c:pt>
                <c:pt idx="234">
                  <c:v>-4.2763157894749366E-4</c:v>
                </c:pt>
                <c:pt idx="235">
                  <c:v>-4.6774193548383019E-4</c:v>
                </c:pt>
                <c:pt idx="236">
                  <c:v>-5.532128514056351E-4</c:v>
                </c:pt>
                <c:pt idx="237">
                  <c:v>-6.380000000000656E-4</c:v>
                </c:pt>
                <c:pt idx="238">
                  <c:v>-6.3147410358566482E-4</c:v>
                </c:pt>
                <c:pt idx="239">
                  <c:v>-6.2499999999994971E-4</c:v>
                </c:pt>
                <c:pt idx="240">
                  <c:v>-7.0849802371541733E-4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B51-4335-814D-53B8B9178B55}"/>
            </c:ext>
          </c:extLst>
        </c:ser>
        <c:ser>
          <c:idx val="13"/>
          <c:order val="13"/>
          <c:tx>
            <c:strRef>
              <c:f>'전류편차_24mA(절대값기준)'!$CC$7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'전류편차_24mA(절대값기준)'!$CC$22:$CC$262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4.2499999999999344E-3</c:v>
                </c:pt>
                <c:pt idx="2">
                  <c:v>2.5166666666667317E-3</c:v>
                </c:pt>
                <c:pt idx="3">
                  <c:v>3.1328124999999442E-3</c:v>
                </c:pt>
                <c:pt idx="4">
                  <c:v>3.0073529411765313E-3</c:v>
                </c:pt>
                <c:pt idx="5">
                  <c:v>2.895833333333357E-3</c:v>
                </c:pt>
                <c:pt idx="6">
                  <c:v>2.7960526315789374E-3</c:v>
                </c:pt>
                <c:pt idx="7">
                  <c:v>2.70624999999996E-3</c:v>
                </c:pt>
                <c:pt idx="8">
                  <c:v>3.7083333333332671E-3</c:v>
                </c:pt>
                <c:pt idx="9">
                  <c:v>3.5852272727272968E-3</c:v>
                </c:pt>
                <c:pt idx="10">
                  <c:v>3.4728260869565184E-3</c:v>
                </c:pt>
                <c:pt idx="11">
                  <c:v>2.8958333333333566E-3</c:v>
                </c:pt>
                <c:pt idx="12">
                  <c:v>2.8199999999999979E-3</c:v>
                </c:pt>
                <c:pt idx="13">
                  <c:v>4.0625000000000244E-3</c:v>
                </c:pt>
                <c:pt idx="14">
                  <c:v>3.9490740740740753E-3</c:v>
                </c:pt>
                <c:pt idx="15">
                  <c:v>3.8437499999999791E-3</c:v>
                </c:pt>
                <c:pt idx="16">
                  <c:v>3.7456896551725473E-3</c:v>
                </c:pt>
                <c:pt idx="17">
                  <c:v>3.2749999999999815E-3</c:v>
                </c:pt>
                <c:pt idx="18">
                  <c:v>3.2016129032257689E-3</c:v>
                </c:pt>
                <c:pt idx="19">
                  <c:v>2.7773437499999838E-3</c:v>
                </c:pt>
                <c:pt idx="20">
                  <c:v>2.3787878787878826E-3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2.5798611111111694E-3</c:v>
                </c:pt>
                <c:pt idx="24">
                  <c:v>2.8445945945946008E-3</c:v>
                </c:pt>
                <c:pt idx="25">
                  <c:v>2.7960526315789374E-3</c:v>
                </c:pt>
                <c:pt idx="26">
                  <c:v>2.7500000000001044E-3</c:v>
                </c:pt>
                <c:pt idx="27">
                  <c:v>2.4218749999999913E-3</c:v>
                </c:pt>
                <c:pt idx="28">
                  <c:v>2.387195121951196E-3</c:v>
                </c:pt>
                <c:pt idx="29">
                  <c:v>3.1666666666666601E-3</c:v>
                </c:pt>
                <c:pt idx="30">
                  <c:v>3.645348837209341E-3</c:v>
                </c:pt>
                <c:pt idx="31">
                  <c:v>3.5852272727272968E-3</c:v>
                </c:pt>
                <c:pt idx="32">
                  <c:v>3.2749999999999255E-3</c:v>
                </c:pt>
                <c:pt idx="33">
                  <c:v>3.2255434782610033E-3</c:v>
                </c:pt>
                <c:pt idx="34">
                  <c:v>2.9361702127658866E-3</c:v>
                </c:pt>
                <c:pt idx="35">
                  <c:v>2.8958333333333566E-3</c:v>
                </c:pt>
                <c:pt idx="36">
                  <c:v>2.8571428571429708E-3</c:v>
                </c:pt>
                <c:pt idx="37">
                  <c:v>2.5924999999999217E-3</c:v>
                </c:pt>
                <c:pt idx="38">
                  <c:v>2.5612745098039322E-3</c:v>
                </c:pt>
                <c:pt idx="39">
                  <c:v>2.5312500000000959E-3</c:v>
                </c:pt>
                <c:pt idx="40">
                  <c:v>2.502358490566025E-3</c:v>
                </c:pt>
                <c:pt idx="41">
                  <c:v>2.2638888888888882E-3</c:v>
                </c:pt>
                <c:pt idx="42">
                  <c:v>2.2409090909091714E-3</c:v>
                </c:pt>
                <c:pt idx="43">
                  <c:v>2.0156249999999098E-3</c:v>
                </c:pt>
                <c:pt idx="44">
                  <c:v>1.9978070175438491E-3</c:v>
                </c:pt>
                <c:pt idx="45">
                  <c:v>2.9612068965517695E-3</c:v>
                </c:pt>
                <c:pt idx="46">
                  <c:v>2.9279661016948636E-3</c:v>
                </c:pt>
                <c:pt idx="47">
                  <c:v>3.0854166666667536E-3</c:v>
                </c:pt>
                <c:pt idx="48">
                  <c:v>2.8647540983607516E-3</c:v>
                </c:pt>
                <c:pt idx="49">
                  <c:v>2.8346774193548415E-3</c:v>
                </c:pt>
                <c:pt idx="50">
                  <c:v>2.6250000000000132E-3</c:v>
                </c:pt>
                <c:pt idx="51">
                  <c:v>2.5996093749999245E-3</c:v>
                </c:pt>
                <c:pt idx="52">
                  <c:v>2.3999999999999356E-3</c:v>
                </c:pt>
                <c:pt idx="53">
                  <c:v>2.2064393939394931E-3</c:v>
                </c:pt>
                <c:pt idx="54">
                  <c:v>2.1884328358207578E-3</c:v>
                </c:pt>
                <c:pt idx="55">
                  <c:v>2.0036764705882578E-3</c:v>
                </c:pt>
                <c:pt idx="56">
                  <c:v>1.8242753623188722E-3</c:v>
                </c:pt>
                <c:pt idx="57">
                  <c:v>1.8124999999999502E-3</c:v>
                </c:pt>
                <c:pt idx="58">
                  <c:v>1.8010563380281826E-3</c:v>
                </c:pt>
                <c:pt idx="59">
                  <c:v>1.3159722222222793E-3</c:v>
                </c:pt>
                <c:pt idx="60">
                  <c:v>1.623287671232821E-3</c:v>
                </c:pt>
                <c:pt idx="61">
                  <c:v>1.7685810810811377E-3</c:v>
                </c:pt>
                <c:pt idx="62">
                  <c:v>2.213333333333331E-3</c:v>
                </c:pt>
                <c:pt idx="63">
                  <c:v>2.4967105263158126E-3</c:v>
                </c:pt>
                <c:pt idx="64">
                  <c:v>2.4772727272726765E-3</c:v>
                </c:pt>
                <c:pt idx="65">
                  <c:v>2.4583333333333401E-3</c:v>
                </c:pt>
                <c:pt idx="66">
                  <c:v>2.2958860759493818E-3</c:v>
                </c:pt>
                <c:pt idx="67">
                  <c:v>1.8531250000000542E-3</c:v>
                </c:pt>
                <c:pt idx="68">
                  <c:v>1.9830246913580553E-3</c:v>
                </c:pt>
                <c:pt idx="69">
                  <c:v>1.6935975609756013E-3</c:v>
                </c:pt>
                <c:pt idx="70">
                  <c:v>1.9593373493976053E-3</c:v>
                </c:pt>
                <c:pt idx="71">
                  <c:v>1.5416666666665986E-3</c:v>
                </c:pt>
                <c:pt idx="72">
                  <c:v>1.5352941176470438E-3</c:v>
                </c:pt>
                <c:pt idx="73">
                  <c:v>1.3968023255813882E-3</c:v>
                </c:pt>
                <c:pt idx="74">
                  <c:v>1.2614942528735634E-3</c:v>
                </c:pt>
                <c:pt idx="75">
                  <c:v>1.1292613636363711E-3</c:v>
                </c:pt>
                <c:pt idx="76">
                  <c:v>1.1278089887641022E-3</c:v>
                </c:pt>
                <c:pt idx="77">
                  <c:v>1.3791666666666325E-3</c:v>
                </c:pt>
                <c:pt idx="78">
                  <c:v>1.5000000000000568E-3</c:v>
                </c:pt>
                <c:pt idx="79">
                  <c:v>1.4945652173912992E-3</c:v>
                </c:pt>
                <c:pt idx="80">
                  <c:v>1.7338709677419512E-3</c:v>
                </c:pt>
                <c:pt idx="81">
                  <c:v>1.726063829787189E-3</c:v>
                </c:pt>
                <c:pt idx="82">
                  <c:v>1.598684210526278E-3</c:v>
                </c:pt>
                <c:pt idx="83">
                  <c:v>1.4739583333333028E-3</c:v>
                </c:pt>
                <c:pt idx="84">
                  <c:v>1.1172680412372198E-3</c:v>
                </c:pt>
                <c:pt idx="85">
                  <c:v>7.678571428571773E-4</c:v>
                </c:pt>
                <c:pt idx="86">
                  <c:v>6.5530303030307091E-4</c:v>
                </c:pt>
                <c:pt idx="87">
                  <c:v>5.4499999999984444E-4</c:v>
                </c:pt>
                <c:pt idx="88">
                  <c:v>4.3688118811866428E-4</c:v>
                </c:pt>
                <c:pt idx="89">
                  <c:v>3.3088235294123473E-4</c:v>
                </c:pt>
                <c:pt idx="90">
                  <c:v>-1.0436893203878358E-4</c:v>
                </c:pt>
                <c:pt idx="91">
                  <c:v>-4.2187500000001599E-4</c:v>
                </c:pt>
                <c:pt idx="92">
                  <c:v>-4.0833333333321068E-4</c:v>
                </c:pt>
                <c:pt idx="93">
                  <c:v>-7.3113207547280106E-5</c:v>
                </c:pt>
                <c:pt idx="94">
                  <c:v>2.5584112149536583E-4</c:v>
                </c:pt>
                <c:pt idx="95">
                  <c:v>2.6273148148146748E-4</c:v>
                </c:pt>
                <c:pt idx="96">
                  <c:v>4.782110091743158E-4</c:v>
                </c:pt>
                <c:pt idx="97">
                  <c:v>4.8295454545468154E-4</c:v>
                </c:pt>
                <c:pt idx="98">
                  <c:v>4.8761261261251438E-4</c:v>
                </c:pt>
                <c:pt idx="99">
                  <c:v>3.9062499999990841E-4</c:v>
                </c:pt>
                <c:pt idx="100">
                  <c:v>2.9535398230079988E-4</c:v>
                </c:pt>
                <c:pt idx="101">
                  <c:v>2.0175438596483359E-4</c:v>
                </c:pt>
                <c:pt idx="102">
                  <c:v>1.0869565217373695E-5</c:v>
                </c:pt>
                <c:pt idx="103">
                  <c:v>-7.86637931034602E-5</c:v>
                </c:pt>
                <c:pt idx="104">
                  <c:v>-1.6666666666667298E-4</c:v>
                </c:pt>
                <c:pt idx="105">
                  <c:v>-2.5317796610169571E-4</c:v>
                </c:pt>
                <c:pt idx="106">
                  <c:v>-3.3823529411764245E-4</c:v>
                </c:pt>
                <c:pt idx="107">
                  <c:v>-8.9583333333339752E-4</c:v>
                </c:pt>
                <c:pt idx="108">
                  <c:v>-6.9214876033045914E-4</c:v>
                </c:pt>
                <c:pt idx="109">
                  <c:v>-3.9856557377040925E-4</c:v>
                </c:pt>
                <c:pt idx="110">
                  <c:v>-2.9471544715448691E-4</c:v>
                </c:pt>
                <c:pt idx="111">
                  <c:v>-1.0080645161290286E-4</c:v>
                </c:pt>
                <c:pt idx="112">
                  <c:v>-9.9999999993372047E-7</c:v>
                </c:pt>
                <c:pt idx="113">
                  <c:v>1.8750000000008113E-4</c:v>
                </c:pt>
                <c:pt idx="114">
                  <c:v>2.8346456692912011E-4</c:v>
                </c:pt>
                <c:pt idx="115">
                  <c:v>3.7792968749989284E-4</c:v>
                </c:pt>
                <c:pt idx="116">
                  <c:v>2.0639534883715687E-4</c:v>
                </c:pt>
                <c:pt idx="117">
                  <c:v>1.2499999999995292E-4</c:v>
                </c:pt>
                <c:pt idx="118">
                  <c:v>4.4847328244233002E-5</c:v>
                </c:pt>
                <c:pt idx="119">
                  <c:v>-3.4090909090945711E-5</c:v>
                </c:pt>
                <c:pt idx="120">
                  <c:v>-2.8289473684204198E-4</c:v>
                </c:pt>
                <c:pt idx="121">
                  <c:v>-2.7332089552251825E-4</c:v>
                </c:pt>
                <c:pt idx="122">
                  <c:v>-4.3240740740748518E-4</c:v>
                </c:pt>
                <c:pt idx="123">
                  <c:v>-6.7279411764703859E-4</c:v>
                </c:pt>
                <c:pt idx="124">
                  <c:v>-5.7755474452546719E-4</c:v>
                </c:pt>
                <c:pt idx="125">
                  <c:v>-4.0126811594193534E-4</c:v>
                </c:pt>
                <c:pt idx="126">
                  <c:v>-3.0935251798560459E-4</c:v>
                </c:pt>
                <c:pt idx="127">
                  <c:v>-2.1875000000007858E-4</c:v>
                </c:pt>
                <c:pt idx="128">
                  <c:v>-4.8758865248291265E-5</c:v>
                </c:pt>
                <c:pt idx="129">
                  <c:v>-4.1373239436581149E-5</c:v>
                </c:pt>
                <c:pt idx="130">
                  <c:v>-3.4090909090910387E-5</c:v>
                </c:pt>
                <c:pt idx="131">
                  <c:v>-2.6909722222122499E-5</c:v>
                </c:pt>
                <c:pt idx="132">
                  <c:v>-9.8275862068862059E-5</c:v>
                </c:pt>
                <c:pt idx="133">
                  <c:v>-1.6866438356167505E-4</c:v>
                </c:pt>
                <c:pt idx="134">
                  <c:v>-2.3809523809526474E-4</c:v>
                </c:pt>
                <c:pt idx="135">
                  <c:v>-4.6030405405399097E-4</c:v>
                </c:pt>
                <c:pt idx="136">
                  <c:v>-5.2684563758382565E-4</c:v>
                </c:pt>
                <c:pt idx="137">
                  <c:v>-7.4416666666664657E-4</c:v>
                </c:pt>
                <c:pt idx="138">
                  <c:v>-8.8327814569543199E-4</c:v>
                </c:pt>
                <c:pt idx="139">
                  <c:v>-1.0953947368420854E-3</c:v>
                </c:pt>
                <c:pt idx="140">
                  <c:v>-1.156045751633963E-3</c:v>
                </c:pt>
                <c:pt idx="141">
                  <c:v>-1.0681818181818722E-3</c:v>
                </c:pt>
                <c:pt idx="142">
                  <c:v>-1.1282258064515319E-3</c:v>
                </c:pt>
                <c:pt idx="143">
                  <c:v>-9.6874999999990719E-4</c:v>
                </c:pt>
                <c:pt idx="144">
                  <c:v>-8.8375796178355209E-4</c:v>
                </c:pt>
                <c:pt idx="145">
                  <c:v>-8.7183544303799459E-4</c:v>
                </c:pt>
                <c:pt idx="146">
                  <c:v>-7.1698113207547935E-4</c:v>
                </c:pt>
                <c:pt idx="147">
                  <c:v>-5.6406249999999545E-4</c:v>
                </c:pt>
                <c:pt idx="148">
                  <c:v>-5.5434782608686174E-4</c:v>
                </c:pt>
                <c:pt idx="149">
                  <c:v>-5.4475308641969381E-4</c:v>
                </c:pt>
                <c:pt idx="150">
                  <c:v>-6.0506134969331255E-4</c:v>
                </c:pt>
                <c:pt idx="151">
                  <c:v>-7.3399390243904271E-4</c:v>
                </c:pt>
                <c:pt idx="152">
                  <c:v>-8.6136363636361249E-4</c:v>
                </c:pt>
                <c:pt idx="153">
                  <c:v>-9.1867469879515311E-4</c:v>
                </c:pt>
                <c:pt idx="154">
                  <c:v>-1.1115269461077987E-3</c:v>
                </c:pt>
                <c:pt idx="155">
                  <c:v>-1.234375000000093E-3</c:v>
                </c:pt>
                <c:pt idx="156">
                  <c:v>-1.3557692307692821E-3</c:v>
                </c:pt>
                <c:pt idx="157">
                  <c:v>-1.2080882352941574E-3</c:v>
                </c:pt>
                <c:pt idx="158">
                  <c:v>-1.1286549707602252E-3</c:v>
                </c:pt>
                <c:pt idx="159">
                  <c:v>-1.0501453488371527E-3</c:v>
                </c:pt>
                <c:pt idx="160">
                  <c:v>-9.7254335260105217E-4</c:v>
                </c:pt>
                <c:pt idx="161">
                  <c:v>-1.0265804597701241E-3</c:v>
                </c:pt>
                <c:pt idx="162">
                  <c:v>-9.5000000000007741E-4</c:v>
                </c:pt>
                <c:pt idx="163">
                  <c:v>-8.7428977272730293E-4</c:v>
                </c:pt>
                <c:pt idx="164">
                  <c:v>-7.9943502824857105E-4</c:v>
                </c:pt>
                <c:pt idx="165">
                  <c:v>-8.5323033707863168E-4</c:v>
                </c:pt>
                <c:pt idx="166">
                  <c:v>-9.0642458100556307E-4</c:v>
                </c:pt>
                <c:pt idx="167">
                  <c:v>-9.5902777777786305E-4</c:v>
                </c:pt>
                <c:pt idx="168">
                  <c:v>-1.1367403314917243E-3</c:v>
                </c:pt>
                <c:pt idx="169">
                  <c:v>-1.3125000000000497E-3</c:v>
                </c:pt>
                <c:pt idx="170">
                  <c:v>-1.4241803278687536E-3</c:v>
                </c:pt>
                <c:pt idx="171">
                  <c:v>-1.6582880434781661E-3</c:v>
                </c:pt>
                <c:pt idx="172">
                  <c:v>-1.7054054054053077E-3</c:v>
                </c:pt>
                <c:pt idx="173">
                  <c:v>-1.629704301075236E-3</c:v>
                </c:pt>
                <c:pt idx="174">
                  <c:v>-1.5548128342244142E-3</c:v>
                </c:pt>
                <c:pt idx="175">
                  <c:v>-1.5412234042554876E-3</c:v>
                </c:pt>
                <c:pt idx="176">
                  <c:v>-1.5879629629631273E-3</c:v>
                </c:pt>
                <c:pt idx="177">
                  <c:v>-1.5743421052632448E-3</c:v>
                </c:pt>
                <c:pt idx="178">
                  <c:v>-1.5013089005237092E-3</c:v>
                </c:pt>
                <c:pt idx="179">
                  <c:v>-1.3697916666665945E-3</c:v>
                </c:pt>
                <c:pt idx="180">
                  <c:v>-1.3575129533679377E-3</c:v>
                </c:pt>
                <c:pt idx="181">
                  <c:v>-1.2867268041236266E-3</c:v>
                </c:pt>
                <c:pt idx="182">
                  <c:v>-1.2166666666666437E-3</c:v>
                </c:pt>
                <c:pt idx="183">
                  <c:v>-1.2053571428570459E-3</c:v>
                </c:pt>
                <c:pt idx="184">
                  <c:v>-1.2519035532993926E-3</c:v>
                </c:pt>
                <c:pt idx="185">
                  <c:v>-1.4128787878786217E-3</c:v>
                </c:pt>
                <c:pt idx="186">
                  <c:v>-1.5722361809044939E-3</c:v>
                </c:pt>
                <c:pt idx="187">
                  <c:v>-1.7300000000001069E-3</c:v>
                </c:pt>
                <c:pt idx="188">
                  <c:v>-1.8296019900497225E-3</c:v>
                </c:pt>
                <c:pt idx="189">
                  <c:v>-1.7029702970296648E-3</c:v>
                </c:pt>
                <c:pt idx="190">
                  <c:v>-1.6896551724138826E-3</c:v>
                </c:pt>
                <c:pt idx="191">
                  <c:v>-1.6764705882353118E-3</c:v>
                </c:pt>
                <c:pt idx="192">
                  <c:v>-1.6634146341462882E-3</c:v>
                </c:pt>
                <c:pt idx="193">
                  <c:v>-1.5952669902912673E-3</c:v>
                </c:pt>
                <c:pt idx="194">
                  <c:v>-1.5277777777776456E-3</c:v>
                </c:pt>
                <c:pt idx="195">
                  <c:v>-1.406249999999859E-3</c:v>
                </c:pt>
                <c:pt idx="196">
                  <c:v>-1.3947368421052468E-3</c:v>
                </c:pt>
                <c:pt idx="197">
                  <c:v>-1.3833333333332478E-3</c:v>
                </c:pt>
                <c:pt idx="198">
                  <c:v>-1.3720379146919804E-3</c:v>
                </c:pt>
                <c:pt idx="199">
                  <c:v>-1.3608490566039326E-3</c:v>
                </c:pt>
                <c:pt idx="200">
                  <c:v>-1.3497652582160524E-3</c:v>
                </c:pt>
                <c:pt idx="201">
                  <c:v>-1.3919392523365352E-3</c:v>
                </c:pt>
                <c:pt idx="202">
                  <c:v>-1.5924418604652056E-3</c:v>
                </c:pt>
                <c:pt idx="203">
                  <c:v>-1.7910879629630548E-3</c:v>
                </c:pt>
                <c:pt idx="204">
                  <c:v>-1.8830645161289985E-3</c:v>
                </c:pt>
                <c:pt idx="205">
                  <c:v>-1.8698394495411841E-3</c:v>
                </c:pt>
                <c:pt idx="206">
                  <c:v>-1.700913242009145E-3</c:v>
                </c:pt>
                <c:pt idx="207">
                  <c:v>-1.7403409090909186E-3</c:v>
                </c:pt>
                <c:pt idx="208">
                  <c:v>-1.727941176470532E-3</c:v>
                </c:pt>
                <c:pt idx="209">
                  <c:v>-1.7156531531532133E-3</c:v>
                </c:pt>
                <c:pt idx="210">
                  <c:v>-1.6014573991031903E-3</c:v>
                </c:pt>
                <c:pt idx="211">
                  <c:v>-1.5898437499999862E-3</c:v>
                </c:pt>
                <c:pt idx="212">
                  <c:v>-1.5277777777778171E-3</c:v>
                </c:pt>
                <c:pt idx="213">
                  <c:v>-1.5669247787610983E-3</c:v>
                </c:pt>
                <c:pt idx="214">
                  <c:v>-1.4553964757709529E-3</c:v>
                </c:pt>
                <c:pt idx="215">
                  <c:v>-1.5444078947367506E-3</c:v>
                </c:pt>
                <c:pt idx="216">
                  <c:v>-1.4339519650654027E-3</c:v>
                </c:pt>
                <c:pt idx="217">
                  <c:v>-1.4233695652174048E-3</c:v>
                </c:pt>
                <c:pt idx="218">
                  <c:v>-1.4621212121212228E-3</c:v>
                </c:pt>
                <c:pt idx="219">
                  <c:v>-1.6966594827585199E-3</c:v>
                </c:pt>
                <c:pt idx="220">
                  <c:v>-1.7827253218883686E-3</c:v>
                </c:pt>
                <c:pt idx="221">
                  <c:v>-1.7222222222222298E-3</c:v>
                </c:pt>
                <c:pt idx="222">
                  <c:v>-1.710638297872458E-3</c:v>
                </c:pt>
                <c:pt idx="223">
                  <c:v>-1.650953389830505E-3</c:v>
                </c:pt>
                <c:pt idx="224">
                  <c:v>-1.6877637130801627E-3</c:v>
                </c:pt>
                <c:pt idx="225">
                  <c:v>-1.7242647058823442E-3</c:v>
                </c:pt>
                <c:pt idx="226">
                  <c:v>-1.7128661087865414E-3</c:v>
                </c:pt>
                <c:pt idx="227">
                  <c:v>-1.7015625000000385E-3</c:v>
                </c:pt>
                <c:pt idx="228">
                  <c:v>-1.5959543568465034E-3</c:v>
                </c:pt>
                <c:pt idx="229">
                  <c:v>-1.5382231404957806E-3</c:v>
                </c:pt>
                <c:pt idx="230">
                  <c:v>-1.5277777777777974E-3</c:v>
                </c:pt>
                <c:pt idx="231">
                  <c:v>-1.4707991803277719E-3</c:v>
                </c:pt>
                <c:pt idx="232">
                  <c:v>-1.4607142857142943E-3</c:v>
                </c:pt>
                <c:pt idx="233">
                  <c:v>-1.450711382113935E-3</c:v>
                </c:pt>
                <c:pt idx="234">
                  <c:v>-1.4868421052632687E-3</c:v>
                </c:pt>
                <c:pt idx="235">
                  <c:v>-1.6144153225807021E-3</c:v>
                </c:pt>
                <c:pt idx="236">
                  <c:v>-1.6952811244979396E-3</c:v>
                </c:pt>
                <c:pt idx="237">
                  <c:v>-1.6845000000000514E-3</c:v>
                </c:pt>
                <c:pt idx="238">
                  <c:v>-1.6738047808764873E-3</c:v>
                </c:pt>
                <c:pt idx="239">
                  <c:v>-1.66319444444438E-3</c:v>
                </c:pt>
                <c:pt idx="240">
                  <c:v>-1.5627470355730508E-3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B51-4335-814D-53B8B9178B55}"/>
            </c:ext>
          </c:extLst>
        </c:ser>
        <c:ser>
          <c:idx val="14"/>
          <c:order val="14"/>
          <c:tx>
            <c:strRef>
              <c:f>'전류편차_24mA(절대값기준)'!$CD$7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'전류편차_24mA(절대값기준)'!$CD$22:$CD$262</c:f>
              <c:numCache>
                <c:formatCode>0.0%</c:formatCode>
                <c:ptCount val="241"/>
                <c:pt idx="0">
                  <c:v>-5.1249999999999352E-3</c:v>
                </c:pt>
                <c:pt idx="1">
                  <c:v>-3.8750000000000728E-3</c:v>
                </c:pt>
                <c:pt idx="2">
                  <c:v>-3.5499999999999404E-3</c:v>
                </c:pt>
                <c:pt idx="3">
                  <c:v>-3.2656250000001395E-3</c:v>
                </c:pt>
                <c:pt idx="4">
                  <c:v>-2.3455882352940616E-3</c:v>
                </c:pt>
                <c:pt idx="5">
                  <c:v>-1.5277777777776883E-3</c:v>
                </c:pt>
                <c:pt idx="6">
                  <c:v>-1.9736842105271064E-4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-1.2750000000001571E-3</c:v>
                </c:pt>
                <c:pt idx="13">
                  <c:v>-2.0624999999998839E-3</c:v>
                </c:pt>
                <c:pt idx="14">
                  <c:v>-2.7916666666666719E-3</c:v>
                </c:pt>
                <c:pt idx="15">
                  <c:v>-2.6562500000000266E-3</c:v>
                </c:pt>
                <c:pt idx="16">
                  <c:v>-1.7456896551723729E-3</c:v>
                </c:pt>
                <c:pt idx="17">
                  <c:v>-1.2750000000000224E-3</c:v>
                </c:pt>
                <c:pt idx="18">
                  <c:v>-1.2016129032258478E-3</c:v>
                </c:pt>
                <c:pt idx="19">
                  <c:v>-1.1328125000000591E-3</c:v>
                </c:pt>
                <c:pt idx="20">
                  <c:v>-1.4128787878788258E-3</c:v>
                </c:pt>
                <c:pt idx="21">
                  <c:v>-1.6764705882353118E-3</c:v>
                </c:pt>
                <c:pt idx="22">
                  <c:v>-1.9249999999999988E-3</c:v>
                </c:pt>
                <c:pt idx="23">
                  <c:v>-1.8437500000000159E-3</c:v>
                </c:pt>
                <c:pt idx="24">
                  <c:v>-1.1520270270269902E-3</c:v>
                </c:pt>
                <c:pt idx="25">
                  <c:v>-1.0953947368420854E-3</c:v>
                </c:pt>
                <c:pt idx="26">
                  <c:v>-1.6249999999999321E-3</c:v>
                </c:pt>
                <c:pt idx="27">
                  <c:v>-9.9062500000001168E-4</c:v>
                </c:pt>
                <c:pt idx="28">
                  <c:v>-1.2195121951219469E-3</c:v>
                </c:pt>
                <c:pt idx="29">
                  <c:v>-1.4375000000001006E-3</c:v>
                </c:pt>
                <c:pt idx="30">
                  <c:v>-2.4389534883720891E-3</c:v>
                </c:pt>
                <c:pt idx="31">
                  <c:v>-2.3607954545454644E-3</c:v>
                </c:pt>
                <c:pt idx="32">
                  <c:v>-1.5277777777777722E-3</c:v>
                </c:pt>
                <c:pt idx="33">
                  <c:v>-1.4728260869564199E-3</c:v>
                </c:pt>
                <c:pt idx="34">
                  <c:v>-1.1781914893618569E-3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-1.0475000000000811E-3</c:v>
                </c:pt>
                <c:pt idx="38">
                  <c:v>-1.0073529411764631E-3</c:v>
                </c:pt>
                <c:pt idx="39">
                  <c:v>-1.1874999999999802E-3</c:v>
                </c:pt>
                <c:pt idx="40">
                  <c:v>-1.1462264150944269E-3</c:v>
                </c:pt>
                <c:pt idx="41">
                  <c:v>-8.9583333333326655E-4</c:v>
                </c:pt>
                <c:pt idx="42">
                  <c:v>-8.6136363636349009E-4</c:v>
                </c:pt>
                <c:pt idx="43">
                  <c:v>-6.2500000000006994E-4</c:v>
                </c:pt>
                <c:pt idx="44">
                  <c:v>-3.9692982456132766E-4</c:v>
                </c:pt>
                <c:pt idx="45">
                  <c:v>-7.6508620689653159E-4</c:v>
                </c:pt>
                <c:pt idx="46">
                  <c:v>-1.3135593220339964E-3</c:v>
                </c:pt>
                <c:pt idx="47">
                  <c:v>-1.2750000000000224E-3</c:v>
                </c:pt>
                <c:pt idx="48">
                  <c:v>-8.6475409836064615E-4</c:v>
                </c:pt>
                <c:pt idx="49">
                  <c:v>-2.8427419354844799E-4</c:v>
                </c:pt>
                <c:pt idx="50">
                  <c:v>-2.6388888888887835E-4</c:v>
                </c:pt>
                <c:pt idx="51">
                  <c:v>-6.6406250000018707E-5</c:v>
                </c:pt>
                <c:pt idx="52">
                  <c:v>-4.9999999999950082E-5</c:v>
                </c:pt>
                <c:pt idx="53">
                  <c:v>1.3825757575759671E-4</c:v>
                </c:pt>
                <c:pt idx="54">
                  <c:v>-1.8843283582092198E-4</c:v>
                </c:pt>
                <c:pt idx="55">
                  <c:v>1.6360294117647299E-4</c:v>
                </c:pt>
                <c:pt idx="56">
                  <c:v>1.0869565217402981E-5</c:v>
                </c:pt>
                <c:pt idx="57">
                  <c:v>2.4999999999930633E-5</c:v>
                </c:pt>
                <c:pt idx="58">
                  <c:v>3.8732394366191356E-5</c:v>
                </c:pt>
                <c:pt idx="59">
                  <c:v>3.6805555555557669E-4</c:v>
                </c:pt>
                <c:pt idx="60">
                  <c:v>6.5068493150662553E-5</c:v>
                </c:pt>
                <c:pt idx="61">
                  <c:v>2.3141891891887169E-4</c:v>
                </c:pt>
                <c:pt idx="62">
                  <c:v>-2.1333333333333797E-4</c:v>
                </c:pt>
                <c:pt idx="63">
                  <c:v>-3.470394736842066E-4</c:v>
                </c:pt>
                <c:pt idx="64">
                  <c:v>-1.8181818181820216E-4</c:v>
                </c:pt>
                <c:pt idx="65">
                  <c:v>-3.1249999999988232E-4</c:v>
                </c:pt>
                <c:pt idx="66">
                  <c:v>1.3607594936702162E-4</c:v>
                </c:pt>
                <c:pt idx="67">
                  <c:v>4.687500000068179E-6</c:v>
                </c:pt>
                <c:pt idx="68">
                  <c:v>1.5740740740745175E-4</c:v>
                </c:pt>
                <c:pt idx="69">
                  <c:v>4.4512195121945637E-4</c:v>
                </c:pt>
                <c:pt idx="70">
                  <c:v>3.1475903614465266E-4</c:v>
                </c:pt>
                <c:pt idx="71">
                  <c:v>3.2291666666655244E-4</c:v>
                </c:pt>
                <c:pt idx="72">
                  <c:v>-7.0588235294074612E-5</c:v>
                </c:pt>
                <c:pt idx="73">
                  <c:v>-5.8139534883744224E-5</c:v>
                </c:pt>
                <c:pt idx="74">
                  <c:v>-1.7672413793105011E-4</c:v>
                </c:pt>
                <c:pt idx="75">
                  <c:v>9.5170454545461097E-5</c:v>
                </c:pt>
                <c:pt idx="76">
                  <c:v>1.0533707865174179E-4</c:v>
                </c:pt>
                <c:pt idx="77">
                  <c:v>-1.1111111111160463E-5</c:v>
                </c:pt>
                <c:pt idx="78">
                  <c:v>-1.2500000000004174E-4</c:v>
                </c:pt>
                <c:pt idx="79">
                  <c:v>-1.127717391304278E-4</c:v>
                </c:pt>
                <c:pt idx="80">
                  <c:v>2.1505376344181545E-5</c:v>
                </c:pt>
                <c:pt idx="81">
                  <c:v>3.1914893616840593E-5</c:v>
                </c:pt>
                <c:pt idx="82">
                  <c:v>1.6184210526306586E-4</c:v>
                </c:pt>
                <c:pt idx="83">
                  <c:v>2.8906249999999478E-4</c:v>
                </c:pt>
                <c:pt idx="84">
                  <c:v>2.9639175257725606E-4</c:v>
                </c:pt>
                <c:pt idx="85">
                  <c:v>5.3571428571424259E-4</c:v>
                </c:pt>
                <c:pt idx="86">
                  <c:v>6.5530303030307091E-4</c:v>
                </c:pt>
                <c:pt idx="87">
                  <c:v>5.4499999999984444E-4</c:v>
                </c:pt>
                <c:pt idx="88">
                  <c:v>4.3688118811866428E-4</c:v>
                </c:pt>
                <c:pt idx="89">
                  <c:v>3.3088235294123473E-4</c:v>
                </c:pt>
                <c:pt idx="90">
                  <c:v>3.3737864077670177E-4</c:v>
                </c:pt>
                <c:pt idx="91">
                  <c:v>3.4375000000014255E-4</c:v>
                </c:pt>
                <c:pt idx="92">
                  <c:v>2.4166666666681401E-4</c:v>
                </c:pt>
                <c:pt idx="93">
                  <c:v>2.4882075471688303E-4</c:v>
                </c:pt>
                <c:pt idx="94">
                  <c:v>-6.3084112149506053E-5</c:v>
                </c:pt>
                <c:pt idx="95">
                  <c:v>5.2083333333248959E-5</c:v>
                </c:pt>
                <c:pt idx="96">
                  <c:v>1.6513761467889108E-4</c:v>
                </c:pt>
                <c:pt idx="97">
                  <c:v>1.7272727272739702E-4</c:v>
                </c:pt>
                <c:pt idx="98">
                  <c:v>1.801801801800703E-4</c:v>
                </c:pt>
                <c:pt idx="99">
                  <c:v>2.8906249999996469E-4</c:v>
                </c:pt>
                <c:pt idx="100">
                  <c:v>2.9535398230079988E-4</c:v>
                </c:pt>
                <c:pt idx="101">
                  <c:v>4.0131578947367216E-4</c:v>
                </c:pt>
                <c:pt idx="102">
                  <c:v>3.0760869565216756E-4</c:v>
                </c:pt>
                <c:pt idx="103">
                  <c:v>5.0969827586207943E-4</c:v>
                </c:pt>
                <c:pt idx="104">
                  <c:v>3.1944444444434141E-4</c:v>
                </c:pt>
                <c:pt idx="105">
                  <c:v>1.3241525423724485E-4</c:v>
                </c:pt>
                <c:pt idx="106">
                  <c:v>1.3970588235285067E-4</c:v>
                </c:pt>
                <c:pt idx="107">
                  <c:v>5.2083333333417342E-5</c:v>
                </c:pt>
                <c:pt idx="108">
                  <c:v>-3.4090909090820465E-5</c:v>
                </c:pt>
                <c:pt idx="109">
                  <c:v>-2.5614754098319161E-5</c:v>
                </c:pt>
                <c:pt idx="110">
                  <c:v>-2.9471544715448691E-4</c:v>
                </c:pt>
                <c:pt idx="111">
                  <c:v>-3.7600806451613912E-4</c:v>
                </c:pt>
                <c:pt idx="112">
                  <c:v>-1.829999999999945E-4</c:v>
                </c:pt>
                <c:pt idx="113">
                  <c:v>-1.7361111111115058E-4</c:v>
                </c:pt>
                <c:pt idx="114">
                  <c:v>-1.6437007874008214E-4</c:v>
                </c:pt>
                <c:pt idx="115">
                  <c:v>-2.4414062500007806E-4</c:v>
                </c:pt>
                <c:pt idx="116">
                  <c:v>-4.9903100775191265E-4</c:v>
                </c:pt>
                <c:pt idx="117">
                  <c:v>-3.1249999999996E-4</c:v>
                </c:pt>
                <c:pt idx="118">
                  <c:v>-3.8931297709919209E-4</c:v>
                </c:pt>
                <c:pt idx="119">
                  <c:v>-5.5113636363626674E-4</c:v>
                </c:pt>
                <c:pt idx="120">
                  <c:v>-4.539473684210465E-4</c:v>
                </c:pt>
                <c:pt idx="121">
                  <c:v>-6.9776119402989651E-4</c:v>
                </c:pt>
                <c:pt idx="122">
                  <c:v>-7.6944444444448511E-4</c:v>
                </c:pt>
                <c:pt idx="123">
                  <c:v>-8.4007352941180031E-4</c:v>
                </c:pt>
                <c:pt idx="124">
                  <c:v>-1.3248175182481233E-3</c:v>
                </c:pt>
                <c:pt idx="125">
                  <c:v>-1.2255434782607584E-3</c:v>
                </c:pt>
                <c:pt idx="126">
                  <c:v>-1.3732014388489059E-3</c:v>
                </c:pt>
                <c:pt idx="127">
                  <c:v>-1.2750000000000703E-3</c:v>
                </c:pt>
                <c:pt idx="128">
                  <c:v>-1.1781914893617136E-3</c:v>
                </c:pt>
                <c:pt idx="129">
                  <c:v>-9.2253521126764784E-4</c:v>
                </c:pt>
                <c:pt idx="130">
                  <c:v>-9.0909090909084935E-4</c:v>
                </c:pt>
                <c:pt idx="131">
                  <c:v>-8.9583333333331338E-4</c:v>
                </c:pt>
                <c:pt idx="132">
                  <c:v>-8.8275862068953501E-4</c:v>
                </c:pt>
                <c:pt idx="133">
                  <c:v>-9.4777397260275426E-4</c:v>
                </c:pt>
                <c:pt idx="134">
                  <c:v>-9.3452380952386259E-4</c:v>
                </c:pt>
                <c:pt idx="135">
                  <c:v>-8.4459459459459161E-4</c:v>
                </c:pt>
                <c:pt idx="136">
                  <c:v>-8.3221476510070616E-4</c:v>
                </c:pt>
                <c:pt idx="137">
                  <c:v>-8.1999999999993786E-4</c:v>
                </c:pt>
                <c:pt idx="138">
                  <c:v>-8.0794701986765911E-4</c:v>
                </c:pt>
                <c:pt idx="139">
                  <c:v>-8.7088815789470848E-4</c:v>
                </c:pt>
                <c:pt idx="140">
                  <c:v>-1.0816993464052461E-3</c:v>
                </c:pt>
                <c:pt idx="141">
                  <c:v>-1.0681818181818722E-3</c:v>
                </c:pt>
                <c:pt idx="142">
                  <c:v>-1.2016129032258152E-3</c:v>
                </c:pt>
                <c:pt idx="143">
                  <c:v>-1.1874999999999156E-3</c:v>
                </c:pt>
                <c:pt idx="144">
                  <c:v>-1.0286624203821979E-3</c:v>
                </c:pt>
                <c:pt idx="145">
                  <c:v>-9.4382911392403067E-4</c:v>
                </c:pt>
                <c:pt idx="146">
                  <c:v>-9.3160377358492141E-4</c:v>
                </c:pt>
                <c:pt idx="147">
                  <c:v>-9.9062500000001168E-4</c:v>
                </c:pt>
                <c:pt idx="148">
                  <c:v>-9.7826086956513876E-4</c:v>
                </c:pt>
                <c:pt idx="149">
                  <c:v>-1.0362654320986832E-3</c:v>
                </c:pt>
                <c:pt idx="150">
                  <c:v>-1.0935582822086272E-3</c:v>
                </c:pt>
                <c:pt idx="151">
                  <c:v>-1.0807926829269018E-3</c:v>
                </c:pt>
                <c:pt idx="152">
                  <c:v>-1.0681818181818021E-3</c:v>
                </c:pt>
                <c:pt idx="153">
                  <c:v>-1.1242469879517874E-3</c:v>
                </c:pt>
                <c:pt idx="154">
                  <c:v>-1.1796407185628507E-3</c:v>
                </c:pt>
                <c:pt idx="155">
                  <c:v>-1.166666666666677E-3</c:v>
                </c:pt>
                <c:pt idx="156">
                  <c:v>-1.4230769230769371E-3</c:v>
                </c:pt>
                <c:pt idx="157">
                  <c:v>-1.4757352941176572E-3</c:v>
                </c:pt>
                <c:pt idx="158">
                  <c:v>-1.9269005847953431E-3</c:v>
                </c:pt>
                <c:pt idx="159">
                  <c:v>-1.7776162790697776E-3</c:v>
                </c:pt>
                <c:pt idx="160">
                  <c:v>-1.5643063583814214E-3</c:v>
                </c:pt>
                <c:pt idx="161">
                  <c:v>-1.4841954022989544E-3</c:v>
                </c:pt>
                <c:pt idx="162">
                  <c:v>-1.4700000000000201E-3</c:v>
                </c:pt>
                <c:pt idx="163">
                  <c:v>-1.3267045454545545E-3</c:v>
                </c:pt>
                <c:pt idx="164">
                  <c:v>-1.3135593220339394E-3</c:v>
                </c:pt>
                <c:pt idx="165">
                  <c:v>-1.3005617977527681E-3</c:v>
                </c:pt>
                <c:pt idx="166">
                  <c:v>-1.3512569832401793E-3</c:v>
                </c:pt>
                <c:pt idx="167">
                  <c:v>-1.4013888888889535E-3</c:v>
                </c:pt>
                <c:pt idx="168">
                  <c:v>-1.3881215469613098E-3</c:v>
                </c:pt>
                <c:pt idx="169">
                  <c:v>-1.3125000000000497E-3</c:v>
                </c:pt>
                <c:pt idx="170">
                  <c:v>-1.237704918032681E-3</c:v>
                </c:pt>
                <c:pt idx="171">
                  <c:v>-1.3491847826086624E-3</c:v>
                </c:pt>
                <c:pt idx="172">
                  <c:v>-1.3979729729729363E-3</c:v>
                </c:pt>
                <c:pt idx="173">
                  <c:v>-1.4462365591397452E-3</c:v>
                </c:pt>
                <c:pt idx="174">
                  <c:v>-1.5548128342244142E-3</c:v>
                </c:pt>
                <c:pt idx="175">
                  <c:v>-1.7227393617023029E-3</c:v>
                </c:pt>
                <c:pt idx="176">
                  <c:v>-1.5879629629631273E-3</c:v>
                </c:pt>
                <c:pt idx="177">
                  <c:v>-1.5144736842105399E-3</c:v>
                </c:pt>
                <c:pt idx="178">
                  <c:v>-1.3821989528795845E-3</c:v>
                </c:pt>
                <c:pt idx="179">
                  <c:v>-1.3697916666665945E-3</c:v>
                </c:pt>
                <c:pt idx="180">
                  <c:v>-1.3575129533679377E-3</c:v>
                </c:pt>
                <c:pt idx="181">
                  <c:v>-1.4039948453608833E-3</c:v>
                </c:pt>
                <c:pt idx="182">
                  <c:v>-1.3916666666666504E-3</c:v>
                </c:pt>
                <c:pt idx="183">
                  <c:v>-1.4374999999999805E-3</c:v>
                </c:pt>
                <c:pt idx="184">
                  <c:v>-1.5406091370556805E-3</c:v>
                </c:pt>
                <c:pt idx="185">
                  <c:v>-1.4128787878786217E-3</c:v>
                </c:pt>
                <c:pt idx="186">
                  <c:v>-1.4579145728641531E-3</c:v>
                </c:pt>
                <c:pt idx="187">
                  <c:v>-1.5025000000000309E-3</c:v>
                </c:pt>
                <c:pt idx="188">
                  <c:v>-1.6032338308458679E-3</c:v>
                </c:pt>
                <c:pt idx="189">
                  <c:v>-1.5340346534653019E-3</c:v>
                </c:pt>
                <c:pt idx="190">
                  <c:v>-1.8577586206897511E-3</c:v>
                </c:pt>
                <c:pt idx="191">
                  <c:v>-1.9552696078430996E-3</c:v>
                </c:pt>
                <c:pt idx="192">
                  <c:v>-1.8853658536585574E-3</c:v>
                </c:pt>
                <c:pt idx="193">
                  <c:v>-1.8713592233009211E-3</c:v>
                </c:pt>
                <c:pt idx="194">
                  <c:v>-1.7475845410627432E-3</c:v>
                </c:pt>
                <c:pt idx="195">
                  <c:v>-1.6796874999999989E-3</c:v>
                </c:pt>
                <c:pt idx="196">
                  <c:v>-1.5580143540669753E-3</c:v>
                </c:pt>
                <c:pt idx="197">
                  <c:v>-1.5999999999999868E-3</c:v>
                </c:pt>
                <c:pt idx="198">
                  <c:v>-1.5876777251185926E-3</c:v>
                </c:pt>
                <c:pt idx="199">
                  <c:v>-1.5754716981132475E-3</c:v>
                </c:pt>
                <c:pt idx="200">
                  <c:v>-1.6701877934273321E-3</c:v>
                </c:pt>
                <c:pt idx="201">
                  <c:v>-1.6577102803738656E-3</c:v>
                </c:pt>
                <c:pt idx="202">
                  <c:v>-1.698255813953519E-3</c:v>
                </c:pt>
                <c:pt idx="203">
                  <c:v>-1.6857638888888521E-3</c:v>
                </c:pt>
                <c:pt idx="204">
                  <c:v>-1.7258064516128635E-3</c:v>
                </c:pt>
                <c:pt idx="205">
                  <c:v>-1.7133027522934718E-3</c:v>
                </c:pt>
                <c:pt idx="206">
                  <c:v>-1.85673515981737E-3</c:v>
                </c:pt>
                <c:pt idx="207">
                  <c:v>-1.9471590909089858E-3</c:v>
                </c:pt>
                <c:pt idx="208">
                  <c:v>-1.9338235294117771E-3</c:v>
                </c:pt>
                <c:pt idx="209">
                  <c:v>-1.7668918918920147E-3</c:v>
                </c:pt>
                <c:pt idx="210">
                  <c:v>-1.7544843049327925E-3</c:v>
                </c:pt>
                <c:pt idx="211">
                  <c:v>-1.6914062500001104E-3</c:v>
                </c:pt>
                <c:pt idx="212">
                  <c:v>-1.7300000000001069E-3</c:v>
                </c:pt>
                <c:pt idx="213">
                  <c:v>-1.6172566371682395E-3</c:v>
                </c:pt>
                <c:pt idx="214">
                  <c:v>-1.7059471365638546E-3</c:v>
                </c:pt>
                <c:pt idx="215">
                  <c:v>-1.5942982456140047E-3</c:v>
                </c:pt>
                <c:pt idx="216">
                  <c:v>-1.6326419213973469E-3</c:v>
                </c:pt>
                <c:pt idx="217">
                  <c:v>-1.6706521739130078E-3</c:v>
                </c:pt>
                <c:pt idx="218">
                  <c:v>-1.7575757575757794E-3</c:v>
                </c:pt>
                <c:pt idx="219">
                  <c:v>-1.7947198275860517E-3</c:v>
                </c:pt>
                <c:pt idx="220">
                  <c:v>-1.6850858369097084E-3</c:v>
                </c:pt>
                <c:pt idx="221">
                  <c:v>-1.8194444444445709E-3</c:v>
                </c:pt>
                <c:pt idx="222">
                  <c:v>-1.8558510638299103E-3</c:v>
                </c:pt>
                <c:pt idx="223">
                  <c:v>-1.8919491525424927E-3</c:v>
                </c:pt>
                <c:pt idx="224">
                  <c:v>-1.8797468354430961E-3</c:v>
                </c:pt>
                <c:pt idx="225">
                  <c:v>-1.8676470588235262E-3</c:v>
                </c:pt>
                <c:pt idx="226">
                  <c:v>-1.7604602510460138E-3</c:v>
                </c:pt>
                <c:pt idx="227">
                  <c:v>-1.8911458333332669E-3</c:v>
                </c:pt>
                <c:pt idx="228">
                  <c:v>-1.7847510373443242E-3</c:v>
                </c:pt>
                <c:pt idx="229">
                  <c:v>-1.6322314049587053E-3</c:v>
                </c:pt>
                <c:pt idx="230">
                  <c:v>-1.6213991769547002E-3</c:v>
                </c:pt>
                <c:pt idx="231">
                  <c:v>-1.564036885245753E-3</c:v>
                </c:pt>
                <c:pt idx="232">
                  <c:v>-1.4607142857142943E-3</c:v>
                </c:pt>
                <c:pt idx="233">
                  <c:v>-1.450711382113935E-3</c:v>
                </c:pt>
                <c:pt idx="234">
                  <c:v>-1.4868421052632687E-3</c:v>
                </c:pt>
                <c:pt idx="235">
                  <c:v>-1.476814516129084E-3</c:v>
                </c:pt>
                <c:pt idx="236">
                  <c:v>-1.4668674698795111E-3</c:v>
                </c:pt>
                <c:pt idx="237">
                  <c:v>-1.4569999999999349E-3</c:v>
                </c:pt>
                <c:pt idx="238">
                  <c:v>-1.4472111553785244E-3</c:v>
                </c:pt>
                <c:pt idx="239">
                  <c:v>-1.3923611111110363E-3</c:v>
                </c:pt>
                <c:pt idx="240">
                  <c:v>-1.292984189723238E-3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B51-4335-814D-53B8B9178B55}"/>
            </c:ext>
          </c:extLst>
        </c:ser>
        <c:ser>
          <c:idx val="15"/>
          <c:order val="15"/>
          <c:tx>
            <c:strRef>
              <c:f>'전류편차_24mA(절대값기준)'!$CE$7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'전류편차_24mA(절대값기준)'!$CE$22:$CE$262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9.999999999999315E-4</c:v>
                </c:pt>
                <c:pt idx="2">
                  <c:v>-1.2750000000000224E-3</c:v>
                </c:pt>
                <c:pt idx="3">
                  <c:v>-1.8437500000001385E-3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2.1973684210525547E-3</c:v>
                </c:pt>
                <c:pt idx="7">
                  <c:v>2.70624999999996E-3</c:v>
                </c:pt>
                <c:pt idx="8">
                  <c:v>2.6249999999999329E-3</c:v>
                </c:pt>
                <c:pt idx="9">
                  <c:v>3.5852272727272968E-3</c:v>
                </c:pt>
                <c:pt idx="10">
                  <c:v>3.4728260869565184E-3</c:v>
                </c:pt>
                <c:pt idx="11">
                  <c:v>4.3177083333334103E-3</c:v>
                </c:pt>
                <c:pt idx="12">
                  <c:v>4.1849999999998477E-3</c:v>
                </c:pt>
                <c:pt idx="13">
                  <c:v>4.0625000000000244E-3</c:v>
                </c:pt>
                <c:pt idx="14">
                  <c:v>3.9490740740740753E-3</c:v>
                </c:pt>
                <c:pt idx="15">
                  <c:v>3.8437499999999791E-3</c:v>
                </c:pt>
                <c:pt idx="16">
                  <c:v>3.3534482758620712E-3</c:v>
                </c:pt>
                <c:pt idx="17">
                  <c:v>2.8958333333333566E-3</c:v>
                </c:pt>
                <c:pt idx="18">
                  <c:v>2.4677419354839141E-3</c:v>
                </c:pt>
                <c:pt idx="19">
                  <c:v>2.0664062499999043E-3</c:v>
                </c:pt>
                <c:pt idx="20">
                  <c:v>2.7234848484848145E-3</c:v>
                </c:pt>
                <c:pt idx="21">
                  <c:v>3.0073529411765313E-3</c:v>
                </c:pt>
                <c:pt idx="22">
                  <c:v>3.2750000000000053E-3</c:v>
                </c:pt>
                <c:pt idx="23">
                  <c:v>3.2118055555555441E-3</c:v>
                </c:pt>
                <c:pt idx="24">
                  <c:v>3.7668918918919332E-3</c:v>
                </c:pt>
                <c:pt idx="25">
                  <c:v>3.6940789473684449E-3</c:v>
                </c:pt>
                <c:pt idx="26">
                  <c:v>3.9166666666667722E-3</c:v>
                </c:pt>
                <c:pt idx="27">
                  <c:v>4.1281250000000562E-3</c:v>
                </c:pt>
                <c:pt idx="28">
                  <c:v>4.3292682926829359E-3</c:v>
                </c:pt>
                <c:pt idx="29">
                  <c:v>4.2499999999999942E-3</c:v>
                </c:pt>
                <c:pt idx="30">
                  <c:v>3.909883720930242E-3</c:v>
                </c:pt>
                <c:pt idx="31">
                  <c:v>3.8437499999999956E-3</c:v>
                </c:pt>
                <c:pt idx="32">
                  <c:v>3.5277777777777877E-3</c:v>
                </c:pt>
                <c:pt idx="33">
                  <c:v>3.4728260869565184E-3</c:v>
                </c:pt>
                <c:pt idx="34">
                  <c:v>2.9361702127658866E-3</c:v>
                </c:pt>
                <c:pt idx="35">
                  <c:v>2.6588541666666111E-3</c:v>
                </c:pt>
                <c:pt idx="36">
                  <c:v>2.8571428571429708E-3</c:v>
                </c:pt>
                <c:pt idx="37">
                  <c:v>3.2749999999999477E-3</c:v>
                </c:pt>
                <c:pt idx="38">
                  <c:v>3.2303921568627809E-3</c:v>
                </c:pt>
                <c:pt idx="39">
                  <c:v>3.4062499999999996E-3</c:v>
                </c:pt>
                <c:pt idx="40">
                  <c:v>3.146226415094351E-3</c:v>
                </c:pt>
                <c:pt idx="41">
                  <c:v>3.1064814814813881E-3</c:v>
                </c:pt>
                <c:pt idx="42">
                  <c:v>3.0681818181818076E-3</c:v>
                </c:pt>
                <c:pt idx="43">
                  <c:v>3.234374999999956E-3</c:v>
                </c:pt>
                <c:pt idx="44">
                  <c:v>3.195175438596526E-3</c:v>
                </c:pt>
                <c:pt idx="45">
                  <c:v>2.9612068965517695E-3</c:v>
                </c:pt>
                <c:pt idx="46">
                  <c:v>2.5423728813559229E-3</c:v>
                </c:pt>
                <c:pt idx="47">
                  <c:v>2.3270833333333351E-3</c:v>
                </c:pt>
                <c:pt idx="48">
                  <c:v>2.1188524590164061E-3</c:v>
                </c:pt>
                <c:pt idx="49">
                  <c:v>1.9173387096774418E-3</c:v>
                </c:pt>
                <c:pt idx="50">
                  <c:v>1.7222222222222547E-3</c:v>
                </c:pt>
                <c:pt idx="51">
                  <c:v>9.9999999999986385E-4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1.3395522388058507E-3</c:v>
                </c:pt>
                <c:pt idx="55">
                  <c:v>9.9999999999998463E-4</c:v>
                </c:pt>
                <c:pt idx="56">
                  <c:v>8.3514492753622601E-4</c:v>
                </c:pt>
                <c:pt idx="57">
                  <c:v>8.3749999999991329E-4</c:v>
                </c:pt>
                <c:pt idx="58">
                  <c:v>1.1602112676055757E-3</c:v>
                </c:pt>
                <c:pt idx="59">
                  <c:v>1.1579861111111155E-3</c:v>
                </c:pt>
                <c:pt idx="60">
                  <c:v>1.4674657534245498E-3</c:v>
                </c:pt>
                <c:pt idx="61">
                  <c:v>1.4611486486486025E-3</c:v>
                </c:pt>
                <c:pt idx="62">
                  <c:v>1.1516666666667138E-3</c:v>
                </c:pt>
                <c:pt idx="63">
                  <c:v>1.4490131578946757E-3</c:v>
                </c:pt>
                <c:pt idx="64">
                  <c:v>1.4431818181818157E-3</c:v>
                </c:pt>
                <c:pt idx="65">
                  <c:v>1.1458333333334201E-3</c:v>
                </c:pt>
                <c:pt idx="66">
                  <c:v>1.2879746835442378E-3</c:v>
                </c:pt>
                <c:pt idx="67">
                  <c:v>1.1421875000000691E-3</c:v>
                </c:pt>
                <c:pt idx="68">
                  <c:v>1.1404320987654305E-3</c:v>
                </c:pt>
                <c:pt idx="69">
                  <c:v>1.4161585365853879E-3</c:v>
                </c:pt>
                <c:pt idx="70">
                  <c:v>1.4111445783133285E-3</c:v>
                </c:pt>
                <c:pt idx="71">
                  <c:v>1.4062499999998868E-3</c:v>
                </c:pt>
                <c:pt idx="72">
                  <c:v>1.5352941176470438E-3</c:v>
                </c:pt>
                <c:pt idx="73">
                  <c:v>1.6613372093024067E-3</c:v>
                </c:pt>
                <c:pt idx="74">
                  <c:v>1.653735632183807E-3</c:v>
                </c:pt>
                <c:pt idx="75">
                  <c:v>1.6463068181817686E-3</c:v>
                </c:pt>
                <c:pt idx="76">
                  <c:v>1.8946629213484011E-3</c:v>
                </c:pt>
                <c:pt idx="77">
                  <c:v>2.0111111111110634E-3</c:v>
                </c:pt>
                <c:pt idx="78">
                  <c:v>2.0000000000000018E-3</c:v>
                </c:pt>
                <c:pt idx="79">
                  <c:v>2.2364130434782839E-3</c:v>
                </c:pt>
                <c:pt idx="80">
                  <c:v>2.2231182795700716E-3</c:v>
                </c:pt>
                <c:pt idx="81">
                  <c:v>2.0890957446808196E-3</c:v>
                </c:pt>
                <c:pt idx="82">
                  <c:v>1.7184210526314748E-3</c:v>
                </c:pt>
                <c:pt idx="83">
                  <c:v>1.947916666666584E-3</c:v>
                </c:pt>
                <c:pt idx="84">
                  <c:v>2.0554123711340236E-3</c:v>
                </c:pt>
                <c:pt idx="85">
                  <c:v>2.0446428571428026E-3</c:v>
                </c:pt>
                <c:pt idx="86">
                  <c:v>2.1489898989899281E-3</c:v>
                </c:pt>
                <c:pt idx="87">
                  <c:v>2.1374999999999719E-3</c:v>
                </c:pt>
                <c:pt idx="88">
                  <c:v>2.1262376237622927E-3</c:v>
                </c:pt>
                <c:pt idx="89">
                  <c:v>2.2267156862745079E-3</c:v>
                </c:pt>
                <c:pt idx="90">
                  <c:v>2.4356796116505024E-3</c:v>
                </c:pt>
                <c:pt idx="91">
                  <c:v>2.3125000000000229E-3</c:v>
                </c:pt>
                <c:pt idx="92">
                  <c:v>2.3000000000001613E-3</c:v>
                </c:pt>
                <c:pt idx="93">
                  <c:v>2.287735849056519E-3</c:v>
                </c:pt>
                <c:pt idx="94">
                  <c:v>2.2757009345794913E-3</c:v>
                </c:pt>
                <c:pt idx="95">
                  <c:v>2.2638888888888882E-3</c:v>
                </c:pt>
                <c:pt idx="96">
                  <c:v>2.3566513761468641E-3</c:v>
                </c:pt>
                <c:pt idx="97">
                  <c:v>2.1375000000001376E-3</c:v>
                </c:pt>
                <c:pt idx="98">
                  <c:v>1.7173423423422905E-3</c:v>
                </c:pt>
                <c:pt idx="99">
                  <c:v>1.6093749999999546E-3</c:v>
                </c:pt>
                <c:pt idx="100">
                  <c:v>1.9059734513273499E-3</c:v>
                </c:pt>
                <c:pt idx="101">
                  <c:v>1.7982456140350105E-3</c:v>
                </c:pt>
                <c:pt idx="102">
                  <c:v>1.7913043478261369E-3</c:v>
                </c:pt>
                <c:pt idx="103">
                  <c:v>1.7844827586206904E-3</c:v>
                </c:pt>
                <c:pt idx="104">
                  <c:v>1.6805555555555617E-3</c:v>
                </c:pt>
                <c:pt idx="105">
                  <c:v>1.6747881355931784E-3</c:v>
                </c:pt>
                <c:pt idx="106">
                  <c:v>1.5735294117646696E-3</c:v>
                </c:pt>
                <c:pt idx="107">
                  <c:v>1.5687500000000855E-3</c:v>
                </c:pt>
                <c:pt idx="108">
                  <c:v>1.4700413223141396E-3</c:v>
                </c:pt>
                <c:pt idx="109">
                  <c:v>1.4661885245902068E-3</c:v>
                </c:pt>
                <c:pt idx="110">
                  <c:v>1.4623983739837363E-3</c:v>
                </c:pt>
                <c:pt idx="111">
                  <c:v>1.6421370967742055E-3</c:v>
                </c:pt>
                <c:pt idx="112">
                  <c:v>1.5460000000000172E-3</c:v>
                </c:pt>
                <c:pt idx="113">
                  <c:v>1.5416666666666387E-3</c:v>
                </c:pt>
                <c:pt idx="114">
                  <c:v>1.4478346456692688E-3</c:v>
                </c:pt>
                <c:pt idx="115">
                  <c:v>1.2666015624998739E-3</c:v>
                </c:pt>
                <c:pt idx="116">
                  <c:v>1.3527131782945124E-3</c:v>
                </c:pt>
                <c:pt idx="117">
                  <c:v>1.5249999999999541E-3</c:v>
                </c:pt>
                <c:pt idx="118">
                  <c:v>1.4341603053434709E-3</c:v>
                </c:pt>
                <c:pt idx="119">
                  <c:v>1.4308712121212821E-3</c:v>
                </c:pt>
                <c:pt idx="120">
                  <c:v>1.5131578947369735E-3</c:v>
                </c:pt>
                <c:pt idx="121">
                  <c:v>1.5093283582088926E-3</c:v>
                </c:pt>
                <c:pt idx="122">
                  <c:v>1.4212962962962389E-3</c:v>
                </c:pt>
                <c:pt idx="123">
                  <c:v>1.4181985294118146E-3</c:v>
                </c:pt>
                <c:pt idx="124">
                  <c:v>1.3321167883212223E-3</c:v>
                </c:pt>
                <c:pt idx="125">
                  <c:v>1.3297101449275491E-3</c:v>
                </c:pt>
                <c:pt idx="126">
                  <c:v>1.3273381294965205E-3</c:v>
                </c:pt>
                <c:pt idx="127">
                  <c:v>1.3249999999999317E-3</c:v>
                </c:pt>
                <c:pt idx="128">
                  <c:v>1.3226950354610282E-3</c:v>
                </c:pt>
                <c:pt idx="129">
                  <c:v>1.3204225352112628E-3</c:v>
                </c:pt>
                <c:pt idx="130">
                  <c:v>1.2386363636363634E-3</c:v>
                </c:pt>
                <c:pt idx="131">
                  <c:v>1.2369791666667677E-3</c:v>
                </c:pt>
                <c:pt idx="132">
                  <c:v>1.3922413793104585E-3</c:v>
                </c:pt>
                <c:pt idx="133">
                  <c:v>1.3895547945204834E-3</c:v>
                </c:pt>
                <c:pt idx="134">
                  <c:v>1.5416666666666157E-3</c:v>
                </c:pt>
                <c:pt idx="135">
                  <c:v>1.5380067567568045E-3</c:v>
                </c:pt>
                <c:pt idx="136">
                  <c:v>1.4580536912752195E-3</c:v>
                </c:pt>
                <c:pt idx="137">
                  <c:v>1.5308333333334397E-3</c:v>
                </c:pt>
                <c:pt idx="138">
                  <c:v>1.4519867549668635E-3</c:v>
                </c:pt>
                <c:pt idx="139">
                  <c:v>1.4490131578946757E-3</c:v>
                </c:pt>
                <c:pt idx="140">
                  <c:v>1.4460784313725834E-3</c:v>
                </c:pt>
                <c:pt idx="141">
                  <c:v>1.4431818181818157E-3</c:v>
                </c:pt>
                <c:pt idx="142">
                  <c:v>1.5137096774194055E-3</c:v>
                </c:pt>
                <c:pt idx="143">
                  <c:v>1.5104166666666807E-3</c:v>
                </c:pt>
                <c:pt idx="144">
                  <c:v>1.5071656050955192E-3</c:v>
                </c:pt>
                <c:pt idx="145">
                  <c:v>1.4319620253164377E-3</c:v>
                </c:pt>
                <c:pt idx="146">
                  <c:v>1.2861635220126045E-3</c:v>
                </c:pt>
                <c:pt idx="147">
                  <c:v>1.3554687500000773E-3</c:v>
                </c:pt>
                <c:pt idx="148">
                  <c:v>1.5652173913043976E-3</c:v>
                </c:pt>
                <c:pt idx="149">
                  <c:v>1.5617283950617429E-3</c:v>
                </c:pt>
                <c:pt idx="150">
                  <c:v>1.5582822085889365E-3</c:v>
                </c:pt>
                <c:pt idx="151">
                  <c:v>1.7629573170731237E-3</c:v>
                </c:pt>
                <c:pt idx="152">
                  <c:v>1.6893939393938966E-3</c:v>
                </c:pt>
                <c:pt idx="153">
                  <c:v>1.685240963855467E-3</c:v>
                </c:pt>
                <c:pt idx="154">
                  <c:v>1.5449101796408051E-3</c:v>
                </c:pt>
                <c:pt idx="155">
                  <c:v>1.6770833333333104E-3</c:v>
                </c:pt>
                <c:pt idx="156">
                  <c:v>1.4711538461537822E-3</c:v>
                </c:pt>
                <c:pt idx="157">
                  <c:v>1.6022058823528891E-3</c:v>
                </c:pt>
                <c:pt idx="158">
                  <c:v>1.5321637426900104E-3</c:v>
                </c:pt>
                <c:pt idx="159">
                  <c:v>1.5952034883720933E-3</c:v>
                </c:pt>
                <c:pt idx="160">
                  <c:v>1.5260115606936457E-3</c:v>
                </c:pt>
                <c:pt idx="161">
                  <c:v>1.5229885057470977E-3</c:v>
                </c:pt>
                <c:pt idx="162">
                  <c:v>1.4549999999999752E-3</c:v>
                </c:pt>
                <c:pt idx="163">
                  <c:v>1.5816761363636226E-3</c:v>
                </c:pt>
                <c:pt idx="164">
                  <c:v>1.7069209039547997E-3</c:v>
                </c:pt>
                <c:pt idx="165">
                  <c:v>1.8307584269663005E-3</c:v>
                </c:pt>
                <c:pt idx="166">
                  <c:v>1.7625698324022466E-3</c:v>
                </c:pt>
                <c:pt idx="167">
                  <c:v>1.821527777777723E-3</c:v>
                </c:pt>
                <c:pt idx="168">
                  <c:v>1.8798342541436375E-3</c:v>
                </c:pt>
                <c:pt idx="169">
                  <c:v>1.9374999999999254E-3</c:v>
                </c:pt>
                <c:pt idx="170">
                  <c:v>1.8702185792349021E-3</c:v>
                </c:pt>
                <c:pt idx="171">
                  <c:v>1.8654891304347913E-3</c:v>
                </c:pt>
                <c:pt idx="172">
                  <c:v>1.8608108108108983E-3</c:v>
                </c:pt>
                <c:pt idx="173">
                  <c:v>1.9784946236560113E-3</c:v>
                </c:pt>
                <c:pt idx="174">
                  <c:v>1.9124331550803143E-3</c:v>
                </c:pt>
                <c:pt idx="175">
                  <c:v>1.9680851063827998E-3</c:v>
                </c:pt>
                <c:pt idx="176">
                  <c:v>1.902777777777603E-3</c:v>
                </c:pt>
                <c:pt idx="177">
                  <c:v>1.8381578947368844E-3</c:v>
                </c:pt>
                <c:pt idx="178">
                  <c:v>1.7146596858638469E-3</c:v>
                </c:pt>
                <c:pt idx="179">
                  <c:v>1.7701822916665771E-3</c:v>
                </c:pt>
                <c:pt idx="180">
                  <c:v>1.8251295336788149E-3</c:v>
                </c:pt>
                <c:pt idx="181">
                  <c:v>1.9381443298969753E-3</c:v>
                </c:pt>
                <c:pt idx="182">
                  <c:v>1.9916666666666733E-3</c:v>
                </c:pt>
                <c:pt idx="183">
                  <c:v>1.9866071428572235E-3</c:v>
                </c:pt>
                <c:pt idx="184">
                  <c:v>2.0393401015228623E-3</c:v>
                </c:pt>
                <c:pt idx="185">
                  <c:v>2.0340909090910022E-3</c:v>
                </c:pt>
                <c:pt idx="186">
                  <c:v>1.9145728643216338E-3</c:v>
                </c:pt>
                <c:pt idx="187">
                  <c:v>1.8531249999998265E-3</c:v>
                </c:pt>
                <c:pt idx="188">
                  <c:v>1.792288557213962E-3</c:v>
                </c:pt>
                <c:pt idx="189">
                  <c:v>1.7883663366335669E-3</c:v>
                </c:pt>
                <c:pt idx="190">
                  <c:v>1.7844827586206654E-3</c:v>
                </c:pt>
                <c:pt idx="191">
                  <c:v>1.7248774509803712E-3</c:v>
                </c:pt>
                <c:pt idx="192">
                  <c:v>1.6103658536584511E-3</c:v>
                </c:pt>
                <c:pt idx="193">
                  <c:v>1.6626213592233539E-3</c:v>
                </c:pt>
                <c:pt idx="194">
                  <c:v>1.6044685990338724E-3</c:v>
                </c:pt>
                <c:pt idx="195">
                  <c:v>1.6015625000001255E-3</c:v>
                </c:pt>
                <c:pt idx="196">
                  <c:v>1.7075358851675983E-3</c:v>
                </c:pt>
                <c:pt idx="197">
                  <c:v>1.7041666666666772E-3</c:v>
                </c:pt>
                <c:pt idx="198">
                  <c:v>1.8625592417060549E-3</c:v>
                </c:pt>
                <c:pt idx="199">
                  <c:v>1.8584905660376987E-3</c:v>
                </c:pt>
                <c:pt idx="200">
                  <c:v>1.8544600938967448E-3</c:v>
                </c:pt>
                <c:pt idx="201">
                  <c:v>1.8504672897195365E-3</c:v>
                </c:pt>
                <c:pt idx="202">
                  <c:v>1.7936046511627043E-3</c:v>
                </c:pt>
                <c:pt idx="203">
                  <c:v>1.8952546296295528E-3</c:v>
                </c:pt>
                <c:pt idx="204">
                  <c:v>1.73387096774192E-3</c:v>
                </c:pt>
                <c:pt idx="205">
                  <c:v>1.8348623853210945E-3</c:v>
                </c:pt>
                <c:pt idx="206">
                  <c:v>1.7271689497718071E-3</c:v>
                </c:pt>
                <c:pt idx="207">
                  <c:v>1.7755681818182444E-3</c:v>
                </c:pt>
                <c:pt idx="208">
                  <c:v>1.6691176470588259E-3</c:v>
                </c:pt>
                <c:pt idx="209">
                  <c:v>1.76858108108091E-3</c:v>
                </c:pt>
                <c:pt idx="210">
                  <c:v>1.5610986547085282E-3</c:v>
                </c:pt>
                <c:pt idx="211">
                  <c:v>1.5585937499998925E-3</c:v>
                </c:pt>
                <c:pt idx="212">
                  <c:v>1.5561111111110687E-3</c:v>
                </c:pt>
                <c:pt idx="213">
                  <c:v>1.7046460176991429E-3</c:v>
                </c:pt>
                <c:pt idx="214">
                  <c:v>1.7015418502201781E-3</c:v>
                </c:pt>
                <c:pt idx="215">
                  <c:v>1.6984649122806798E-3</c:v>
                </c:pt>
                <c:pt idx="216">
                  <c:v>1.7450873362446439E-3</c:v>
                </c:pt>
                <c:pt idx="217">
                  <c:v>1.741847826086946E-3</c:v>
                </c:pt>
                <c:pt idx="218">
                  <c:v>1.6893939393939318E-3</c:v>
                </c:pt>
                <c:pt idx="219">
                  <c:v>1.5883620689656267E-3</c:v>
                </c:pt>
                <c:pt idx="220">
                  <c:v>1.6346566523605726E-3</c:v>
                </c:pt>
                <c:pt idx="221">
                  <c:v>1.631944444444391E-3</c:v>
                </c:pt>
                <c:pt idx="222">
                  <c:v>1.4840425531914927E-3</c:v>
                </c:pt>
                <c:pt idx="223">
                  <c:v>1.5783898305084861E-3</c:v>
                </c:pt>
                <c:pt idx="224">
                  <c:v>1.5279535864979044E-3</c:v>
                </c:pt>
                <c:pt idx="225">
                  <c:v>1.3823529411765405E-3</c:v>
                </c:pt>
                <c:pt idx="226">
                  <c:v>1.1903765690377238E-3</c:v>
                </c:pt>
                <c:pt idx="227">
                  <c:v>1.2843750000000745E-3</c:v>
                </c:pt>
                <c:pt idx="228">
                  <c:v>1.3303941908713939E-3</c:v>
                </c:pt>
                <c:pt idx="229">
                  <c:v>1.4230371900826773E-3</c:v>
                </c:pt>
                <c:pt idx="230">
                  <c:v>1.3276748971193194E-3</c:v>
                </c:pt>
                <c:pt idx="231">
                  <c:v>1.4195696721312991E-3</c:v>
                </c:pt>
                <c:pt idx="232">
                  <c:v>1.4178571428570231E-3</c:v>
                </c:pt>
                <c:pt idx="233">
                  <c:v>1.4161585365853057E-3</c:v>
                </c:pt>
                <c:pt idx="234">
                  <c:v>1.3684210526315216E-3</c:v>
                </c:pt>
                <c:pt idx="235">
                  <c:v>1.3210685483870423E-3</c:v>
                </c:pt>
                <c:pt idx="236">
                  <c:v>1.3654618473896182E-3</c:v>
                </c:pt>
                <c:pt idx="237">
                  <c:v>1.3185000000000625E-3</c:v>
                </c:pt>
                <c:pt idx="238">
                  <c:v>1.2719123505976742E-3</c:v>
                </c:pt>
                <c:pt idx="239">
                  <c:v>1.1354166666666234E-3</c:v>
                </c:pt>
                <c:pt idx="240">
                  <c:v>1.2248023715414665E-3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B51-4335-814D-53B8B9178B55}"/>
            </c:ext>
          </c:extLst>
        </c:ser>
        <c:ser>
          <c:idx val="16"/>
          <c:order val="16"/>
          <c:tx>
            <c:strRef>
              <c:f>'전류편차_24mA(절대값기준)'!$CF$7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'전류편차_24mA(절대값기준)'!$CF$22:$CF$262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-5.1666666666660423E-4</c:v>
                </c:pt>
                <c:pt idx="3">
                  <c:v>2.8906249999994214E-4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1.5687499999999591E-3</c:v>
                </c:pt>
                <c:pt idx="8">
                  <c:v>4.5833333333326432E-4</c:v>
                </c:pt>
                <c:pt idx="9">
                  <c:v>-3.4090909090945711E-5</c:v>
                </c:pt>
                <c:pt idx="10">
                  <c:v>-4.8369565217392014E-4</c:v>
                </c:pt>
                <c:pt idx="11">
                  <c:v>-1.843750000000086E-3</c:v>
                </c:pt>
                <c:pt idx="12">
                  <c:v>-1.2750000000001571E-3</c:v>
                </c:pt>
                <c:pt idx="13">
                  <c:v>-3.1249999999988232E-4</c:v>
                </c:pt>
                <c:pt idx="14">
                  <c:v>1.5740740740745175E-4</c:v>
                </c:pt>
                <c:pt idx="15">
                  <c:v>1.8750000000002098E-4</c:v>
                </c:pt>
                <c:pt idx="16">
                  <c:v>2.1551724137930958E-4</c:v>
                </c:pt>
                <c:pt idx="17">
                  <c:v>-1.374999999999793E-4</c:v>
                </c:pt>
                <c:pt idx="18">
                  <c:v>-1.0080645161290286E-4</c:v>
                </c:pt>
                <c:pt idx="19">
                  <c:v>-6.6406250000018707E-5</c:v>
                </c:pt>
                <c:pt idx="20">
                  <c:v>-3.4090909090945711E-5</c:v>
                </c:pt>
                <c:pt idx="21">
                  <c:v>-3.382352941176637E-4</c:v>
                </c:pt>
                <c:pt idx="22">
                  <c:v>-6.2499999999999774E-4</c:v>
                </c:pt>
                <c:pt idx="23">
                  <c:v>-5.7986111111112593E-4</c:v>
                </c:pt>
                <c:pt idx="24">
                  <c:v>7.770270270274065E-5</c:v>
                </c:pt>
                <c:pt idx="25">
                  <c:v>-7.9605263157896046E-4</c:v>
                </c:pt>
                <c:pt idx="26">
                  <c:v>-1.6666666666662983E-4</c:v>
                </c:pt>
                <c:pt idx="27">
                  <c:v>-9.9062500000001168E-4</c:v>
                </c:pt>
                <c:pt idx="28">
                  <c:v>-1.2195121951219469E-3</c:v>
                </c:pt>
                <c:pt idx="29">
                  <c:v>-3.5416666666676644E-4</c:v>
                </c:pt>
                <c:pt idx="30">
                  <c:v>4.7093023255817545E-4</c:v>
                </c:pt>
                <c:pt idx="31">
                  <c:v>7.4147727272726551E-4</c:v>
                </c:pt>
                <c:pt idx="32">
                  <c:v>7.4722222222220155E-4</c:v>
                </c:pt>
                <c:pt idx="33">
                  <c:v>7.5271739130431444E-4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1.2321428571428405E-3</c:v>
                </c:pt>
                <c:pt idx="37">
                  <c:v>9.9999999999999633E-4</c:v>
                </c:pt>
                <c:pt idx="38">
                  <c:v>1.0000000000000835E-3</c:v>
                </c:pt>
                <c:pt idx="39">
                  <c:v>9.9999999999997313E-4</c:v>
                </c:pt>
                <c:pt idx="40">
                  <c:v>1.2146226415093724E-3</c:v>
                </c:pt>
                <c:pt idx="41">
                  <c:v>1.2106481481481701E-3</c:v>
                </c:pt>
                <c:pt idx="42">
                  <c:v>1.0000000000000332E-3</c:v>
                </c:pt>
                <c:pt idx="43">
                  <c:v>5.9374999999997624E-4</c:v>
                </c:pt>
                <c:pt idx="44">
                  <c:v>8.004385964911721E-4</c:v>
                </c:pt>
                <c:pt idx="45">
                  <c:v>1.0000000000000872E-3</c:v>
                </c:pt>
                <c:pt idx="46">
                  <c:v>1.5783898305084861E-3</c:v>
                </c:pt>
                <c:pt idx="47">
                  <c:v>1.5687500000000855E-3</c:v>
                </c:pt>
                <c:pt idx="48">
                  <c:v>2.1188524590164061E-3</c:v>
                </c:pt>
                <c:pt idx="49">
                  <c:v>1.9173387096774418E-3</c:v>
                </c:pt>
                <c:pt idx="50">
                  <c:v>1.9027777777778706E-3</c:v>
                </c:pt>
                <c:pt idx="51">
                  <c:v>1.8886718749998447E-3</c:v>
                </c:pt>
                <c:pt idx="52">
                  <c:v>1.8749999999999156E-3</c:v>
                </c:pt>
                <c:pt idx="53">
                  <c:v>1.8617424242424086E-3</c:v>
                </c:pt>
                <c:pt idx="54">
                  <c:v>2.0186567164178671E-3</c:v>
                </c:pt>
                <c:pt idx="55">
                  <c:v>1.6691176470588829E-3</c:v>
                </c:pt>
                <c:pt idx="56">
                  <c:v>1.8242753623188722E-3</c:v>
                </c:pt>
                <c:pt idx="57">
                  <c:v>1.9750000000000045E-3</c:v>
                </c:pt>
                <c:pt idx="58">
                  <c:v>1.8010563380281826E-3</c:v>
                </c:pt>
                <c:pt idx="59">
                  <c:v>1.3159722222222793E-3</c:v>
                </c:pt>
                <c:pt idx="60">
                  <c:v>1.4674657534245498E-3</c:v>
                </c:pt>
                <c:pt idx="61">
                  <c:v>1.7685810810811377E-3</c:v>
                </c:pt>
                <c:pt idx="62">
                  <c:v>1.910000000000031E-3</c:v>
                </c:pt>
                <c:pt idx="63">
                  <c:v>2.0476973684210587E-3</c:v>
                </c:pt>
                <c:pt idx="64">
                  <c:v>2.0340909090909728E-3</c:v>
                </c:pt>
                <c:pt idx="65">
                  <c:v>2.3125000000000879E-3</c:v>
                </c:pt>
                <c:pt idx="66">
                  <c:v>2.1518987341771819E-3</c:v>
                </c:pt>
                <c:pt idx="67">
                  <c:v>2.2796875000000703E-3</c:v>
                </c:pt>
                <c:pt idx="68">
                  <c:v>2.123456790123534E-3</c:v>
                </c:pt>
                <c:pt idx="69">
                  <c:v>2.1097560975609827E-3</c:v>
                </c:pt>
                <c:pt idx="70">
                  <c:v>1.9593373493976053E-3</c:v>
                </c:pt>
                <c:pt idx="71">
                  <c:v>1.9479166666666139E-3</c:v>
                </c:pt>
                <c:pt idx="72">
                  <c:v>1.8029411764705439E-3</c:v>
                </c:pt>
                <c:pt idx="73">
                  <c:v>1.7936046511627985E-3</c:v>
                </c:pt>
                <c:pt idx="74">
                  <c:v>1.653735632183807E-3</c:v>
                </c:pt>
                <c:pt idx="75">
                  <c:v>1.5170454545454766E-3</c:v>
                </c:pt>
                <c:pt idx="76">
                  <c:v>1.2556179775280764E-3</c:v>
                </c:pt>
                <c:pt idx="77">
                  <c:v>1.6319444444443825E-3</c:v>
                </c:pt>
                <c:pt idx="78">
                  <c:v>1.6249999999999876E-3</c:v>
                </c:pt>
                <c:pt idx="79">
                  <c:v>1.7418478260870338E-3</c:v>
                </c:pt>
                <c:pt idx="80">
                  <c:v>1.7338709677419512E-3</c:v>
                </c:pt>
                <c:pt idx="81">
                  <c:v>1.8470744680849944E-3</c:v>
                </c:pt>
                <c:pt idx="82">
                  <c:v>1.8381578947368844E-3</c:v>
                </c:pt>
                <c:pt idx="83">
                  <c:v>1.947916666666584E-3</c:v>
                </c:pt>
                <c:pt idx="84">
                  <c:v>1.7036082474226701E-3</c:v>
                </c:pt>
                <c:pt idx="85">
                  <c:v>1.5803571428571394E-3</c:v>
                </c:pt>
                <c:pt idx="86">
                  <c:v>1.8042929292929454E-3</c:v>
                </c:pt>
                <c:pt idx="87">
                  <c:v>1.6824999999998202E-3</c:v>
                </c:pt>
                <c:pt idx="88">
                  <c:v>1.6757425742573917E-3</c:v>
                </c:pt>
                <c:pt idx="89">
                  <c:v>1.3345588235293099E-3</c:v>
                </c:pt>
                <c:pt idx="90">
                  <c:v>1.2208737864078687E-3</c:v>
                </c:pt>
                <c:pt idx="91">
                  <c:v>8.9062500000003375E-4</c:v>
                </c:pt>
                <c:pt idx="92">
                  <c:v>1.1083333333333854E-3</c:v>
                </c:pt>
                <c:pt idx="93">
                  <c:v>1.1073113207547148E-3</c:v>
                </c:pt>
                <c:pt idx="94">
                  <c:v>1.4252336448597701E-3</c:v>
                </c:pt>
                <c:pt idx="95">
                  <c:v>1.4212962962962014E-3</c:v>
                </c:pt>
                <c:pt idx="96">
                  <c:v>1.41743119266059E-3</c:v>
                </c:pt>
                <c:pt idx="97">
                  <c:v>1.5170454545455686E-3</c:v>
                </c:pt>
                <c:pt idx="98">
                  <c:v>1.5123873873872672E-3</c:v>
                </c:pt>
                <c:pt idx="99">
                  <c:v>1.6093749999999546E-3</c:v>
                </c:pt>
                <c:pt idx="100">
                  <c:v>1.5033185840707571E-3</c:v>
                </c:pt>
                <c:pt idx="101">
                  <c:v>1.3991228070175106E-3</c:v>
                </c:pt>
                <c:pt idx="102">
                  <c:v>1.395652173913137E-3</c:v>
                </c:pt>
                <c:pt idx="103">
                  <c:v>1.2941810344828568E-3</c:v>
                </c:pt>
                <c:pt idx="104">
                  <c:v>1.2916666666665428E-3</c:v>
                </c:pt>
                <c:pt idx="105">
                  <c:v>1.1927966101693743E-3</c:v>
                </c:pt>
                <c:pt idx="106">
                  <c:v>1.0955882352941765E-3</c:v>
                </c:pt>
                <c:pt idx="107">
                  <c:v>5.2604166666665644E-4</c:v>
                </c:pt>
                <c:pt idx="108">
                  <c:v>7.1797520661157608E-4</c:v>
                </c:pt>
                <c:pt idx="109">
                  <c:v>1.0000000000001355E-3</c:v>
                </c:pt>
                <c:pt idx="110">
                  <c:v>9.9999999999992413E-4</c:v>
                </c:pt>
                <c:pt idx="111">
                  <c:v>1.0917338709677332E-3</c:v>
                </c:pt>
                <c:pt idx="112">
                  <c:v>1.1820000000000571E-3</c:v>
                </c:pt>
                <c:pt idx="113">
                  <c:v>1.1805555555555675E-3</c:v>
                </c:pt>
                <c:pt idx="114">
                  <c:v>1.1791338582678428E-3</c:v>
                </c:pt>
                <c:pt idx="115">
                  <c:v>1.0888671874999725E-3</c:v>
                </c:pt>
                <c:pt idx="116">
                  <c:v>1.0881782945735721E-3</c:v>
                </c:pt>
                <c:pt idx="117">
                  <c:v>1.0875000000000411E-3</c:v>
                </c:pt>
                <c:pt idx="118">
                  <c:v>1.0000000000000458E-3</c:v>
                </c:pt>
                <c:pt idx="119">
                  <c:v>7.4147727272726551E-4</c:v>
                </c:pt>
                <c:pt idx="120">
                  <c:v>7.4342105263168121E-4</c:v>
                </c:pt>
                <c:pt idx="121">
                  <c:v>8.3022388059687618E-4</c:v>
                </c:pt>
                <c:pt idx="122">
                  <c:v>6.6296296296287677E-4</c:v>
                </c:pt>
                <c:pt idx="123">
                  <c:v>4.1452205882354132E-4</c:v>
                </c:pt>
                <c:pt idx="124">
                  <c:v>1.6970802919704135E-4</c:v>
                </c:pt>
                <c:pt idx="125">
                  <c:v>5.0543478260872611E-4</c:v>
                </c:pt>
                <c:pt idx="126">
                  <c:v>5.0899280575553054E-4</c:v>
                </c:pt>
                <c:pt idx="127">
                  <c:v>6.7500000000000329E-4</c:v>
                </c:pt>
                <c:pt idx="128">
                  <c:v>6.7730496453897028E-4</c:v>
                </c:pt>
                <c:pt idx="129">
                  <c:v>6.7957746478879827E-4</c:v>
                </c:pt>
                <c:pt idx="130">
                  <c:v>8.4090909090916988E-4</c:v>
                </c:pt>
                <c:pt idx="131">
                  <c:v>8.4201388888892803E-4</c:v>
                </c:pt>
                <c:pt idx="132">
                  <c:v>8.4310344827586195E-4</c:v>
                </c:pt>
                <c:pt idx="133">
                  <c:v>8.4417808219174181E-4</c:v>
                </c:pt>
                <c:pt idx="134">
                  <c:v>8.4523809523801799E-4</c:v>
                </c:pt>
                <c:pt idx="135">
                  <c:v>7.6942567567573987E-4</c:v>
                </c:pt>
                <c:pt idx="136">
                  <c:v>7.7097315436244188E-4</c:v>
                </c:pt>
                <c:pt idx="137">
                  <c:v>6.9666666666669654E-4</c:v>
                </c:pt>
                <c:pt idx="138">
                  <c:v>6.2334437086082725E-4</c:v>
                </c:pt>
                <c:pt idx="139">
                  <c:v>5.5098684210516809E-4</c:v>
                </c:pt>
                <c:pt idx="140">
                  <c:v>4.7957516339873469E-4</c:v>
                </c:pt>
                <c:pt idx="141">
                  <c:v>5.5681818181814577E-4</c:v>
                </c:pt>
                <c:pt idx="142">
                  <c:v>7.7983870967748565E-4</c:v>
                </c:pt>
                <c:pt idx="143">
                  <c:v>9.2708333333341164E-4</c:v>
                </c:pt>
                <c:pt idx="144">
                  <c:v>9.2754777070054996E-4</c:v>
                </c:pt>
                <c:pt idx="145">
                  <c:v>9.2800632911392968E-4</c:v>
                </c:pt>
                <c:pt idx="146">
                  <c:v>9.2845911949682538E-4</c:v>
                </c:pt>
                <c:pt idx="147">
                  <c:v>8.5781249999997426E-4</c:v>
                </c:pt>
                <c:pt idx="148">
                  <c:v>8.5869565217397783E-4</c:v>
                </c:pt>
                <c:pt idx="149">
                  <c:v>8.5956790123459736E-4</c:v>
                </c:pt>
                <c:pt idx="150">
                  <c:v>8.6042944785275511E-4</c:v>
                </c:pt>
                <c:pt idx="151">
                  <c:v>9.306402439023606E-4</c:v>
                </c:pt>
                <c:pt idx="152">
                  <c:v>7.2424242424242661E-4</c:v>
                </c:pt>
                <c:pt idx="153">
                  <c:v>6.5737951807229539E-4</c:v>
                </c:pt>
                <c:pt idx="154">
                  <c:v>5.9131736526947109E-4</c:v>
                </c:pt>
                <c:pt idx="155">
                  <c:v>3.9062499999996853E-4</c:v>
                </c:pt>
                <c:pt idx="156">
                  <c:v>3.2692307692304943E-4</c:v>
                </c:pt>
                <c:pt idx="157">
                  <c:v>3.9779411764707999E-4</c:v>
                </c:pt>
                <c:pt idx="158">
                  <c:v>4.6783625730989259E-4</c:v>
                </c:pt>
                <c:pt idx="159">
                  <c:v>6.0319767441868472E-4</c:v>
                </c:pt>
                <c:pt idx="160">
                  <c:v>6.7124277456648447E-4</c:v>
                </c:pt>
                <c:pt idx="161">
                  <c:v>5.4238505747119853E-4</c:v>
                </c:pt>
                <c:pt idx="162">
                  <c:v>6.7499999999994561E-4</c:v>
                </c:pt>
                <c:pt idx="163">
                  <c:v>6.7684659090911953E-4</c:v>
                </c:pt>
                <c:pt idx="164">
                  <c:v>6.14406779661049E-4</c:v>
                </c:pt>
                <c:pt idx="165">
                  <c:v>5.526685393258782E-4</c:v>
                </c:pt>
                <c:pt idx="166">
                  <c:v>4.2807262569839814E-4</c:v>
                </c:pt>
                <c:pt idx="167">
                  <c:v>4.9444444444445164E-4</c:v>
                </c:pt>
                <c:pt idx="168">
                  <c:v>3.7154696132590077E-4</c:v>
                </c:pt>
                <c:pt idx="169">
                  <c:v>3.1249999999993783E-4</c:v>
                </c:pt>
                <c:pt idx="170">
                  <c:v>1.9193989071046905E-4</c:v>
                </c:pt>
                <c:pt idx="171">
                  <c:v>1.086956521732977E-5</c:v>
                </c:pt>
                <c:pt idx="172">
                  <c:v>-4.5270270270109554E-5</c:v>
                </c:pt>
                <c:pt idx="173">
                  <c:v>2.1505376344181545E-5</c:v>
                </c:pt>
                <c:pt idx="174">
                  <c:v>8.756684491981713E-5</c:v>
                </c:pt>
                <c:pt idx="175">
                  <c:v>9.24202127658507E-5</c:v>
                </c:pt>
                <c:pt idx="176">
                  <c:v>9.7222222222192997E-5</c:v>
                </c:pt>
                <c:pt idx="177">
                  <c:v>1.0197368421036111E-4</c:v>
                </c:pt>
                <c:pt idx="178">
                  <c:v>1.0667539267006888E-4</c:v>
                </c:pt>
                <c:pt idx="179">
                  <c:v>5.2083333333248952E-5</c:v>
                </c:pt>
                <c:pt idx="180">
                  <c:v>5.6994818652841165E-5</c:v>
                </c:pt>
                <c:pt idx="181">
                  <c:v>6.1855670103159224E-5</c:v>
                </c:pt>
                <c:pt idx="182">
                  <c:v>8.3333333334027294E-6</c:v>
                </c:pt>
                <c:pt idx="183">
                  <c:v>-4.464285714278482E-5</c:v>
                </c:pt>
                <c:pt idx="184">
                  <c:v>7.6142131979777222E-5</c:v>
                </c:pt>
                <c:pt idx="185">
                  <c:v>-1.4898989898982091E-4</c:v>
                </c:pt>
                <c:pt idx="186">
                  <c:v>-2.5753768844220001E-4</c:v>
                </c:pt>
                <c:pt idx="187">
                  <c:v>-4.2187500000012473E-4</c:v>
                </c:pt>
                <c:pt idx="188">
                  <c:v>-5.2798507462685474E-4</c:v>
                </c:pt>
                <c:pt idx="189">
                  <c:v>-4.0779702970294984E-4</c:v>
                </c:pt>
                <c:pt idx="190">
                  <c:v>-3.4482758620693512E-4</c:v>
                </c:pt>
                <c:pt idx="191">
                  <c:v>-3.9399509803925094E-4</c:v>
                </c:pt>
                <c:pt idx="192">
                  <c:v>-4.4268292682930023E-4</c:v>
                </c:pt>
                <c:pt idx="193">
                  <c:v>-3.2524271844662435E-4</c:v>
                </c:pt>
                <c:pt idx="194">
                  <c:v>-3.1884057971009696E-4</c:v>
                </c:pt>
                <c:pt idx="195">
                  <c:v>-3.6718749999994915E-4</c:v>
                </c:pt>
                <c:pt idx="196">
                  <c:v>-3.6064593301423389E-4</c:v>
                </c:pt>
                <c:pt idx="197">
                  <c:v>-3.5416666666667027E-4</c:v>
                </c:pt>
                <c:pt idx="198">
                  <c:v>-4.0165876777251228E-4</c:v>
                </c:pt>
                <c:pt idx="199">
                  <c:v>-3.9504716981144321E-4</c:v>
                </c:pt>
                <c:pt idx="200">
                  <c:v>-4.419014084508231E-4</c:v>
                </c:pt>
                <c:pt idx="201">
                  <c:v>-4.3516355140191953E-4</c:v>
                </c:pt>
                <c:pt idx="202">
                  <c:v>-4.8139534883725647E-4</c:v>
                </c:pt>
                <c:pt idx="203">
                  <c:v>-6.325231481481337E-4</c:v>
                </c:pt>
                <c:pt idx="204">
                  <c:v>-7.2983870967746611E-4</c:v>
                </c:pt>
                <c:pt idx="205">
                  <c:v>-6.6972477064211795E-4</c:v>
                </c:pt>
                <c:pt idx="206">
                  <c:v>-5.582191780820994E-4</c:v>
                </c:pt>
                <c:pt idx="207">
                  <c:v>-4.9943181818178062E-4</c:v>
                </c:pt>
                <c:pt idx="208">
                  <c:v>-5.4411764705878328E-4</c:v>
                </c:pt>
                <c:pt idx="209">
                  <c:v>-5.8840090090103985E-4</c:v>
                </c:pt>
                <c:pt idx="210">
                  <c:v>-4.2825112107630051E-4</c:v>
                </c:pt>
                <c:pt idx="211">
                  <c:v>-4.2187500000000211E-4</c:v>
                </c:pt>
                <c:pt idx="212">
                  <c:v>-4.1555555555567261E-4</c:v>
                </c:pt>
                <c:pt idx="213">
                  <c:v>-4.5962389380524459E-4</c:v>
                </c:pt>
                <c:pt idx="214">
                  <c:v>-4.5319383259916806E-4</c:v>
                </c:pt>
                <c:pt idx="215">
                  <c:v>-4.4682017543858164E-4</c:v>
                </c:pt>
                <c:pt idx="216">
                  <c:v>-4.4050218340603521E-4</c:v>
                </c:pt>
                <c:pt idx="217">
                  <c:v>-5.3315217391302315E-4</c:v>
                </c:pt>
                <c:pt idx="218">
                  <c:v>-5.2651515151506836E-4</c:v>
                </c:pt>
                <c:pt idx="219">
                  <c:v>-6.6702586206882563E-4</c:v>
                </c:pt>
                <c:pt idx="220">
                  <c:v>-6.598712446351648E-4</c:v>
                </c:pt>
                <c:pt idx="221">
                  <c:v>-6.0416666666668947E-4</c:v>
                </c:pt>
                <c:pt idx="222">
                  <c:v>-5.9734042553204777E-4</c:v>
                </c:pt>
                <c:pt idx="223">
                  <c:v>-5.9057203389837579E-4</c:v>
                </c:pt>
                <c:pt idx="224">
                  <c:v>-4.3987341772152254E-4</c:v>
                </c:pt>
                <c:pt idx="225">
                  <c:v>-4.8161764705882437E-4</c:v>
                </c:pt>
                <c:pt idx="226">
                  <c:v>-5.7060669456072575E-4</c:v>
                </c:pt>
                <c:pt idx="227">
                  <c:v>-4.2187499999999007E-4</c:v>
                </c:pt>
                <c:pt idx="228">
                  <c:v>-4.6317427385890865E-4</c:v>
                </c:pt>
                <c:pt idx="229">
                  <c:v>-4.5712809917348112E-4</c:v>
                </c:pt>
                <c:pt idx="230">
                  <c:v>-4.9794238683120078E-4</c:v>
                </c:pt>
                <c:pt idx="231">
                  <c:v>-4.9180327868839037E-4</c:v>
                </c:pt>
                <c:pt idx="232">
                  <c:v>-4.8571428571442249E-4</c:v>
                </c:pt>
                <c:pt idx="233">
                  <c:v>-5.7215447154474125E-4</c:v>
                </c:pt>
                <c:pt idx="234">
                  <c:v>-6.1184210526318101E-4</c:v>
                </c:pt>
                <c:pt idx="235">
                  <c:v>-7.4294354838706637E-4</c:v>
                </c:pt>
                <c:pt idx="236">
                  <c:v>-7.3594377510047531E-4</c:v>
                </c:pt>
                <c:pt idx="237">
                  <c:v>-7.2900000000001523E-4</c:v>
                </c:pt>
                <c:pt idx="238">
                  <c:v>-6.7679282868532181E-4</c:v>
                </c:pt>
                <c:pt idx="239">
                  <c:v>-6.7013888888889372E-4</c:v>
                </c:pt>
                <c:pt idx="240">
                  <c:v>-6.6353754940706201E-4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B51-4335-814D-53B8B9178B55}"/>
            </c:ext>
          </c:extLst>
        </c:ser>
        <c:ser>
          <c:idx val="17"/>
          <c:order val="17"/>
          <c:tx>
            <c:strRef>
              <c:f>'전류편차_24mA(절대값기준)'!$CG$7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'전류편차_24mA(절대값기준)'!$CG$22:$CG$262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-3.8750000000000728E-3</c:v>
                </c:pt>
                <c:pt idx="2">
                  <c:v>-4.3083333333333584E-3</c:v>
                </c:pt>
                <c:pt idx="3">
                  <c:v>-4.6875000000001412E-3</c:v>
                </c:pt>
                <c:pt idx="4">
                  <c:v>-3.6838235294117099E-3</c:v>
                </c:pt>
                <c:pt idx="5">
                  <c:v>-2.1597222222222035E-3</c:v>
                </c:pt>
                <c:pt idx="6">
                  <c:v>-1.9934210526315931E-3</c:v>
                </c:pt>
                <c:pt idx="7">
                  <c:v>-7.06250000000043E-4</c:v>
                </c:pt>
                <c:pt idx="8">
                  <c:v>-6.2500000000006994E-4</c:v>
                </c:pt>
                <c:pt idx="9">
                  <c:v>9.9999999999996424E-4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9.9999999999999633E-4</c:v>
                </c:pt>
                <c:pt idx="13">
                  <c:v>5.6250000000002132E-4</c:v>
                </c:pt>
                <c:pt idx="14">
                  <c:v>1.5740740740745175E-4</c:v>
                </c:pt>
                <c:pt idx="15">
                  <c:v>1.8750000000002098E-4</c:v>
                </c:pt>
                <c:pt idx="16">
                  <c:v>-9.6120689655159537E-4</c:v>
                </c:pt>
                <c:pt idx="17">
                  <c:v>-1.2750000000000224E-3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-1.4128787878788258E-3</c:v>
                </c:pt>
                <c:pt idx="21">
                  <c:v>-6.7279411764703859E-4</c:v>
                </c:pt>
                <c:pt idx="22">
                  <c:v>-3.0000000000003353E-4</c:v>
                </c:pt>
                <c:pt idx="23">
                  <c:v>-2.6388888888879817E-4</c:v>
                </c:pt>
                <c:pt idx="24">
                  <c:v>7.770270270274065E-5</c:v>
                </c:pt>
                <c:pt idx="25">
                  <c:v>1.0197368421054722E-4</c:v>
                </c:pt>
                <c:pt idx="26">
                  <c:v>4.1666666666676883E-4</c:v>
                </c:pt>
                <c:pt idx="27">
                  <c:v>1.4687499999998938E-4</c:v>
                </c:pt>
                <c:pt idx="28">
                  <c:v>1.6768292682924304E-4</c:v>
                </c:pt>
                <c:pt idx="29">
                  <c:v>1.8749999999996084E-4</c:v>
                </c:pt>
                <c:pt idx="30">
                  <c:v>-5.8139534883744224E-5</c:v>
                </c:pt>
                <c:pt idx="31">
                  <c:v>-2.926136363636445E-4</c:v>
                </c:pt>
                <c:pt idx="32">
                  <c:v>-1.0222222222222724E-3</c:v>
                </c:pt>
                <c:pt idx="33">
                  <c:v>-1.2255434782609048E-3</c:v>
                </c:pt>
                <c:pt idx="34">
                  <c:v>-2.1462765957447291E-3</c:v>
                </c:pt>
                <c:pt idx="35">
                  <c:v>-1.843750000000086E-3</c:v>
                </c:pt>
                <c:pt idx="36">
                  <c:v>-1.7857142857142794E-3</c:v>
                </c:pt>
                <c:pt idx="37">
                  <c:v>-1.0475000000000811E-3</c:v>
                </c:pt>
                <c:pt idx="38">
                  <c:v>-1.4534313725489629E-3</c:v>
                </c:pt>
                <c:pt idx="39">
                  <c:v>-1.1874999999999802E-3</c:v>
                </c:pt>
                <c:pt idx="40">
                  <c:v>-9.316037735849213E-4</c:v>
                </c:pt>
                <c:pt idx="41">
                  <c:v>-1.106481481481485E-3</c:v>
                </c:pt>
                <c:pt idx="42">
                  <c:v>-1.068181818181741E-3</c:v>
                </c:pt>
                <c:pt idx="43">
                  <c:v>-1.0312500000000252E-3</c:v>
                </c:pt>
                <c:pt idx="44">
                  <c:v>-9.956140350876662E-4</c:v>
                </c:pt>
                <c:pt idx="45">
                  <c:v>-1.1573275862068334E-3</c:v>
                </c:pt>
                <c:pt idx="46">
                  <c:v>-1.1207627118644404E-3</c:v>
                </c:pt>
                <c:pt idx="47">
                  <c:v>-1.2750000000000224E-3</c:v>
                </c:pt>
                <c:pt idx="48">
                  <c:v>-1.6106557377048264E-3</c:v>
                </c:pt>
                <c:pt idx="49">
                  <c:v>-1.9354838709677025E-3</c:v>
                </c:pt>
                <c:pt idx="50">
                  <c:v>-2.4305555555554667E-3</c:v>
                </c:pt>
                <c:pt idx="51">
                  <c:v>-2.7324218750001197E-3</c:v>
                </c:pt>
                <c:pt idx="52">
                  <c:v>-2.4999999999999909E-3</c:v>
                </c:pt>
                <c:pt idx="53">
                  <c:v>-2.4469696969696211E-3</c:v>
                </c:pt>
                <c:pt idx="54">
                  <c:v>-2.3955223880597109E-3</c:v>
                </c:pt>
                <c:pt idx="55">
                  <c:v>-2.3455882352940616E-3</c:v>
                </c:pt>
                <c:pt idx="56">
                  <c:v>-2.2971014492753892E-3</c:v>
                </c:pt>
                <c:pt idx="57">
                  <c:v>-1.9249999999999988E-3</c:v>
                </c:pt>
                <c:pt idx="58">
                  <c:v>-2.2042253521127194E-3</c:v>
                </c:pt>
                <c:pt idx="59">
                  <c:v>-1.8437500000000159E-3</c:v>
                </c:pt>
                <c:pt idx="60">
                  <c:v>-1.8047945205480385E-3</c:v>
                </c:pt>
                <c:pt idx="61">
                  <c:v>-1.4594594594593887E-3</c:v>
                </c:pt>
                <c:pt idx="62">
                  <c:v>-1.578333333333255E-3</c:v>
                </c:pt>
                <c:pt idx="63">
                  <c:v>-1.5444078947368391E-3</c:v>
                </c:pt>
                <c:pt idx="64">
                  <c:v>-1.5113636363635759E-3</c:v>
                </c:pt>
                <c:pt idx="65">
                  <c:v>-1.6249999999999321E-3</c:v>
                </c:pt>
                <c:pt idx="66">
                  <c:v>-2.1677215189874108E-3</c:v>
                </c:pt>
                <c:pt idx="67">
                  <c:v>-2.1281250000000128E-3</c:v>
                </c:pt>
                <c:pt idx="68">
                  <c:v>-2.0895061728394638E-3</c:v>
                </c:pt>
                <c:pt idx="69">
                  <c:v>-1.7743902439024968E-3</c:v>
                </c:pt>
                <c:pt idx="70">
                  <c:v>-1.7409638554216904E-3</c:v>
                </c:pt>
                <c:pt idx="71">
                  <c:v>-1.3020833333333888E-3</c:v>
                </c:pt>
                <c:pt idx="72">
                  <c:v>-1.5426470588235026E-3</c:v>
                </c:pt>
                <c:pt idx="73">
                  <c:v>-1.248546511627858E-3</c:v>
                </c:pt>
                <c:pt idx="74">
                  <c:v>-1.2227011494253038E-3</c:v>
                </c:pt>
                <c:pt idx="75">
                  <c:v>-1.1974431818181476E-3</c:v>
                </c:pt>
                <c:pt idx="76">
                  <c:v>-1.1727528089886805E-3</c:v>
                </c:pt>
                <c:pt idx="77">
                  <c:v>-1.0222222222222724E-3</c:v>
                </c:pt>
                <c:pt idx="78">
                  <c:v>-1.0000000000000009E-3</c:v>
                </c:pt>
                <c:pt idx="79">
                  <c:v>-9.7826086956516998E-4</c:v>
                </c:pt>
                <c:pt idx="80">
                  <c:v>-1.0793010752687634E-3</c:v>
                </c:pt>
                <c:pt idx="81">
                  <c:v>-1.0571808510638366E-3</c:v>
                </c:pt>
                <c:pt idx="82">
                  <c:v>-1.5144736842105399E-3</c:v>
                </c:pt>
                <c:pt idx="83">
                  <c:v>-1.4882812500000724E-3</c:v>
                </c:pt>
                <c:pt idx="84">
                  <c:v>-1.2280927835052065E-3</c:v>
                </c:pt>
                <c:pt idx="85">
                  <c:v>-1.3214285714286164E-3</c:v>
                </c:pt>
                <c:pt idx="86">
                  <c:v>-1.2979797979796954E-3</c:v>
                </c:pt>
                <c:pt idx="87">
                  <c:v>-1.2750000000001571E-3</c:v>
                </c:pt>
                <c:pt idx="88">
                  <c:v>-1.252475247524764E-3</c:v>
                </c:pt>
                <c:pt idx="89">
                  <c:v>-1.0073529411764631E-3</c:v>
                </c:pt>
                <c:pt idx="90">
                  <c:v>-9.8786407766995052E-4</c:v>
                </c:pt>
                <c:pt idx="91">
                  <c:v>-1.1874999999999802E-3</c:v>
                </c:pt>
                <c:pt idx="92">
                  <c:v>-1.0583333333332354E-3</c:v>
                </c:pt>
                <c:pt idx="93">
                  <c:v>-1.2535377358490845E-3</c:v>
                </c:pt>
                <c:pt idx="94">
                  <c:v>-1.1261682242990161E-3</c:v>
                </c:pt>
                <c:pt idx="95">
                  <c:v>-1.3171296296297036E-3</c:v>
                </c:pt>
                <c:pt idx="96">
                  <c:v>-1.1915137614678876E-3</c:v>
                </c:pt>
                <c:pt idx="97">
                  <c:v>-1.4818181818180591E-3</c:v>
                </c:pt>
                <c:pt idx="98">
                  <c:v>-1.664414414414412E-3</c:v>
                </c:pt>
                <c:pt idx="99">
                  <c:v>-1.9453125000000598E-3</c:v>
                </c:pt>
                <c:pt idx="100">
                  <c:v>-1.9192477876107288E-3</c:v>
                </c:pt>
                <c:pt idx="101">
                  <c:v>-1.8936403508771739E-3</c:v>
                </c:pt>
                <c:pt idx="102">
                  <c:v>-1.9673913043478015E-3</c:v>
                </c:pt>
                <c:pt idx="103">
                  <c:v>-1.9418103448274365E-3</c:v>
                </c:pt>
                <c:pt idx="104">
                  <c:v>-2.0138888888889075E-3</c:v>
                </c:pt>
                <c:pt idx="105">
                  <c:v>-1.988347457627185E-3</c:v>
                </c:pt>
                <c:pt idx="106">
                  <c:v>-2.0588235294118251E-3</c:v>
                </c:pt>
                <c:pt idx="107">
                  <c:v>-2.1281250000000549E-3</c:v>
                </c:pt>
                <c:pt idx="108">
                  <c:v>-2.1022727272726614E-3</c:v>
                </c:pt>
                <c:pt idx="109">
                  <c:v>-2.1700819672130444E-3</c:v>
                </c:pt>
                <c:pt idx="110">
                  <c:v>-2.2367886178862677E-3</c:v>
                </c:pt>
                <c:pt idx="111">
                  <c:v>-2.2106854838709385E-3</c:v>
                </c:pt>
                <c:pt idx="112">
                  <c:v>-2.275999999999966E-3</c:v>
                </c:pt>
                <c:pt idx="113">
                  <c:v>-2.4305555555554667E-3</c:v>
                </c:pt>
                <c:pt idx="114">
                  <c:v>-2.4931102362203794E-3</c:v>
                </c:pt>
                <c:pt idx="115">
                  <c:v>-2.6435546875000111E-3</c:v>
                </c:pt>
                <c:pt idx="116">
                  <c:v>-2.6153100775194345E-3</c:v>
                </c:pt>
                <c:pt idx="117">
                  <c:v>-2.587500000000098E-3</c:v>
                </c:pt>
                <c:pt idx="118">
                  <c:v>-2.6469465648854343E-3</c:v>
                </c:pt>
                <c:pt idx="119">
                  <c:v>-2.6193181818181632E-3</c:v>
                </c:pt>
                <c:pt idx="120">
                  <c:v>-2.6776315789473456E-3</c:v>
                </c:pt>
                <c:pt idx="121">
                  <c:v>-2.7350746268657946E-3</c:v>
                </c:pt>
                <c:pt idx="122">
                  <c:v>-2.7074074074074218E-3</c:v>
                </c:pt>
                <c:pt idx="123">
                  <c:v>-2.7637867647058918E-3</c:v>
                </c:pt>
                <c:pt idx="124">
                  <c:v>-2.9854014598540749E-3</c:v>
                </c:pt>
                <c:pt idx="125">
                  <c:v>-2.7916666666665661E-3</c:v>
                </c:pt>
                <c:pt idx="126">
                  <c:v>-2.7643884892085738E-3</c:v>
                </c:pt>
                <c:pt idx="127">
                  <c:v>-2.8187500000000807E-3</c:v>
                </c:pt>
                <c:pt idx="128">
                  <c:v>-2.7916666666666437E-3</c:v>
                </c:pt>
                <c:pt idx="129">
                  <c:v>-2.9251760563380989E-3</c:v>
                </c:pt>
                <c:pt idx="130">
                  <c:v>-2.9772727272726518E-3</c:v>
                </c:pt>
                <c:pt idx="131">
                  <c:v>-2.949652777777742E-3</c:v>
                </c:pt>
                <c:pt idx="132">
                  <c:v>-2.8439655172412871E-3</c:v>
                </c:pt>
                <c:pt idx="133">
                  <c:v>-2.8176369863014551E-3</c:v>
                </c:pt>
                <c:pt idx="134">
                  <c:v>-2.7916666666666524E-3</c:v>
                </c:pt>
                <c:pt idx="135">
                  <c:v>-2.8429054054053869E-3</c:v>
                </c:pt>
                <c:pt idx="136">
                  <c:v>-2.8934563758389038E-3</c:v>
                </c:pt>
                <c:pt idx="137">
                  <c:v>-2.8675000000000154E-3</c:v>
                </c:pt>
                <c:pt idx="138">
                  <c:v>-2.8418874172185956E-3</c:v>
                </c:pt>
                <c:pt idx="139">
                  <c:v>-2.8166118421053526E-3</c:v>
                </c:pt>
                <c:pt idx="140">
                  <c:v>-2.8660130718953778E-3</c:v>
                </c:pt>
                <c:pt idx="141">
                  <c:v>-2.9147727272726765E-3</c:v>
                </c:pt>
                <c:pt idx="142">
                  <c:v>-2.8895161290322441E-3</c:v>
                </c:pt>
                <c:pt idx="143">
                  <c:v>-2.864583333333226E-3</c:v>
                </c:pt>
                <c:pt idx="144">
                  <c:v>-2.9124203821656227E-3</c:v>
                </c:pt>
                <c:pt idx="145">
                  <c:v>-2.8156645569619911E-3</c:v>
                </c:pt>
                <c:pt idx="146">
                  <c:v>-3.0778301886792152E-3</c:v>
                </c:pt>
                <c:pt idx="147">
                  <c:v>-2.9812500000000451E-3</c:v>
                </c:pt>
                <c:pt idx="148">
                  <c:v>-2.8152173913042551E-3</c:v>
                </c:pt>
                <c:pt idx="149">
                  <c:v>-2.7214506172839326E-3</c:v>
                </c:pt>
                <c:pt idx="150">
                  <c:v>-2.698619631901857E-3</c:v>
                </c:pt>
                <c:pt idx="151">
                  <c:v>-2.6760670731707827E-3</c:v>
                </c:pt>
                <c:pt idx="152">
                  <c:v>-2.7227272727273193E-3</c:v>
                </c:pt>
                <c:pt idx="153">
                  <c:v>-2.7003012048192358E-3</c:v>
                </c:pt>
                <c:pt idx="154">
                  <c:v>-2.6781437125748433E-3</c:v>
                </c:pt>
                <c:pt idx="155">
                  <c:v>-2.6562500000000266E-3</c:v>
                </c:pt>
                <c:pt idx="156">
                  <c:v>-2.6346153846154444E-3</c:v>
                </c:pt>
                <c:pt idx="157">
                  <c:v>-2.6801470588235852E-3</c:v>
                </c:pt>
                <c:pt idx="158">
                  <c:v>-2.6586257309941224E-3</c:v>
                </c:pt>
                <c:pt idx="159">
                  <c:v>-2.5712209302324808E-3</c:v>
                </c:pt>
                <c:pt idx="160">
                  <c:v>-2.7478323699421602E-3</c:v>
                </c:pt>
                <c:pt idx="161">
                  <c:v>-2.7262931034482719E-3</c:v>
                </c:pt>
                <c:pt idx="162">
                  <c:v>-2.7699999999999925E-3</c:v>
                </c:pt>
                <c:pt idx="163">
                  <c:v>-2.8132102272727163E-3</c:v>
                </c:pt>
                <c:pt idx="164">
                  <c:v>-2.7274011299434453E-3</c:v>
                </c:pt>
                <c:pt idx="165">
                  <c:v>-2.5786516853931905E-3</c:v>
                </c:pt>
                <c:pt idx="166">
                  <c:v>-2.5586592178770589E-3</c:v>
                </c:pt>
                <c:pt idx="167">
                  <c:v>-2.5388888888888844E-3</c:v>
                </c:pt>
                <c:pt idx="168">
                  <c:v>-2.5821823204419808E-3</c:v>
                </c:pt>
                <c:pt idx="169">
                  <c:v>-2.5625000000000231E-3</c:v>
                </c:pt>
                <c:pt idx="170">
                  <c:v>-2.6673497267758308E-3</c:v>
                </c:pt>
                <c:pt idx="171">
                  <c:v>-2.6474184782608857E-3</c:v>
                </c:pt>
                <c:pt idx="172">
                  <c:v>-2.6891891891892014E-3</c:v>
                </c:pt>
                <c:pt idx="173">
                  <c:v>-2.6693548387096118E-3</c:v>
                </c:pt>
                <c:pt idx="174">
                  <c:v>-2.7105614973261345E-3</c:v>
                </c:pt>
                <c:pt idx="175">
                  <c:v>-2.8723404255319904E-3</c:v>
                </c:pt>
                <c:pt idx="176">
                  <c:v>-2.8518518518518502E-3</c:v>
                </c:pt>
                <c:pt idx="177">
                  <c:v>-2.8315789473685555E-3</c:v>
                </c:pt>
                <c:pt idx="178">
                  <c:v>-2.8710732984294496E-3</c:v>
                </c:pt>
                <c:pt idx="179">
                  <c:v>-2.7324218750001197E-3</c:v>
                </c:pt>
                <c:pt idx="180">
                  <c:v>-2.6541450777201789E-3</c:v>
                </c:pt>
                <c:pt idx="181">
                  <c:v>-2.4594072164947356E-3</c:v>
                </c:pt>
                <c:pt idx="182">
                  <c:v>-2.324999999999881E-3</c:v>
                </c:pt>
                <c:pt idx="183">
                  <c:v>-2.2499999999999426E-3</c:v>
                </c:pt>
                <c:pt idx="184">
                  <c:v>-2.2335025380709351E-3</c:v>
                </c:pt>
                <c:pt idx="185">
                  <c:v>-2.2171717171717178E-3</c:v>
                </c:pt>
                <c:pt idx="186">
                  <c:v>-2.1438442211053851E-3</c:v>
                </c:pt>
                <c:pt idx="187">
                  <c:v>-2.2418750000001261E-3</c:v>
                </c:pt>
                <c:pt idx="188">
                  <c:v>-2.1691542288557056E-3</c:v>
                </c:pt>
                <c:pt idx="189">
                  <c:v>-2.1534653465347655E-3</c:v>
                </c:pt>
                <c:pt idx="190">
                  <c:v>-2.0818965517241097E-3</c:v>
                </c:pt>
                <c:pt idx="191">
                  <c:v>-2.122549019607812E-3</c:v>
                </c:pt>
                <c:pt idx="192">
                  <c:v>-1.9408536585366742E-3</c:v>
                </c:pt>
                <c:pt idx="193">
                  <c:v>-2.0922330097087618E-3</c:v>
                </c:pt>
                <c:pt idx="194">
                  <c:v>-2.1871980676327432E-3</c:v>
                </c:pt>
                <c:pt idx="195">
                  <c:v>-2.2265624999998901E-3</c:v>
                </c:pt>
                <c:pt idx="196">
                  <c:v>-2.1566985645932496E-3</c:v>
                </c:pt>
                <c:pt idx="197">
                  <c:v>-2.0333333333332725E-3</c:v>
                </c:pt>
                <c:pt idx="198">
                  <c:v>-2.1267772511848358E-3</c:v>
                </c:pt>
                <c:pt idx="199">
                  <c:v>-2.0583726415094924E-3</c:v>
                </c:pt>
                <c:pt idx="200">
                  <c:v>-2.1508215962442517E-3</c:v>
                </c:pt>
                <c:pt idx="201">
                  <c:v>-2.1892523364487148E-3</c:v>
                </c:pt>
                <c:pt idx="202">
                  <c:v>-2.227325581395274E-3</c:v>
                </c:pt>
                <c:pt idx="203">
                  <c:v>-2.2650462962962191E-3</c:v>
                </c:pt>
                <c:pt idx="204">
                  <c:v>-2.4596774193547648E-3</c:v>
                </c:pt>
                <c:pt idx="205">
                  <c:v>-2.4438073394495866E-3</c:v>
                </c:pt>
                <c:pt idx="206">
                  <c:v>-2.5319634703195558E-3</c:v>
                </c:pt>
                <c:pt idx="207">
                  <c:v>-2.5159090909089464E-3</c:v>
                </c:pt>
                <c:pt idx="208">
                  <c:v>-2.5514705882351474E-3</c:v>
                </c:pt>
                <c:pt idx="209">
                  <c:v>-2.6891891891893467E-3</c:v>
                </c:pt>
                <c:pt idx="210">
                  <c:v>-2.8256726457400079E-3</c:v>
                </c:pt>
                <c:pt idx="211">
                  <c:v>-2.8593750000000945E-3</c:v>
                </c:pt>
                <c:pt idx="212">
                  <c:v>-2.7411111111111963E-3</c:v>
                </c:pt>
                <c:pt idx="213">
                  <c:v>-2.6742256637167735E-3</c:v>
                </c:pt>
                <c:pt idx="214">
                  <c:v>-2.658039647577166E-3</c:v>
                </c:pt>
                <c:pt idx="215">
                  <c:v>-2.6918859649123507E-3</c:v>
                </c:pt>
                <c:pt idx="216">
                  <c:v>-2.7254366812225982E-3</c:v>
                </c:pt>
                <c:pt idx="217">
                  <c:v>-2.6103260869564044E-3</c:v>
                </c:pt>
                <c:pt idx="218">
                  <c:v>-2.7424242424242433E-3</c:v>
                </c:pt>
                <c:pt idx="219">
                  <c:v>-2.7753232758620672E-3</c:v>
                </c:pt>
                <c:pt idx="220">
                  <c:v>-2.9055793991415724E-3</c:v>
                </c:pt>
                <c:pt idx="221">
                  <c:v>-2.937500000000111E-3</c:v>
                </c:pt>
                <c:pt idx="222">
                  <c:v>-3.017553191489357E-3</c:v>
                </c:pt>
                <c:pt idx="223">
                  <c:v>-3.0005296610170541E-3</c:v>
                </c:pt>
                <c:pt idx="224">
                  <c:v>-3.0316455696203547E-3</c:v>
                </c:pt>
                <c:pt idx="225">
                  <c:v>-3.1580882352941634E-3</c:v>
                </c:pt>
                <c:pt idx="226">
                  <c:v>-3.3786610878660459E-3</c:v>
                </c:pt>
                <c:pt idx="227">
                  <c:v>-3.360416666666712E-3</c:v>
                </c:pt>
                <c:pt idx="228">
                  <c:v>-3.2951244813277281E-3</c:v>
                </c:pt>
                <c:pt idx="229">
                  <c:v>-3.1363636363636654E-3</c:v>
                </c:pt>
                <c:pt idx="230">
                  <c:v>-3.1193415637859774E-3</c:v>
                </c:pt>
                <c:pt idx="231">
                  <c:v>-3.0092213114753714E-3</c:v>
                </c:pt>
                <c:pt idx="232">
                  <c:v>-2.9928571428572094E-3</c:v>
                </c:pt>
                <c:pt idx="233">
                  <c:v>-2.8841463414634731E-3</c:v>
                </c:pt>
                <c:pt idx="234">
                  <c:v>-2.9144736842105822E-3</c:v>
                </c:pt>
                <c:pt idx="235">
                  <c:v>-2.8986895161290291E-3</c:v>
                </c:pt>
                <c:pt idx="236">
                  <c:v>-2.974397590361496E-3</c:v>
                </c:pt>
                <c:pt idx="237">
                  <c:v>-2.9129999999999365E-3</c:v>
                </c:pt>
                <c:pt idx="238">
                  <c:v>-2.9880478087649298E-3</c:v>
                </c:pt>
                <c:pt idx="239">
                  <c:v>-2.9270833333333705E-3</c:v>
                </c:pt>
                <c:pt idx="240">
                  <c:v>-3.0014822134386649E-3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B51-4335-814D-53B8B9178B55}"/>
            </c:ext>
          </c:extLst>
        </c:ser>
        <c:ser>
          <c:idx val="18"/>
          <c:order val="18"/>
          <c:tx>
            <c:strRef>
              <c:f>'전류편차_24mA(절대값기준)'!$CH$7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'전류편차_24mA(절대값기준)'!$CH$22:$CH$262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3.6805555555557669E-4</c:v>
                </c:pt>
                <c:pt idx="6">
                  <c:v>4.0131578947367216E-4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-9.7826086956516998E-4</c:v>
                </c:pt>
                <c:pt idx="11">
                  <c:v>-8.9583333333331328E-4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-6.8518518518523514E-4</c:v>
                </c:pt>
                <c:pt idx="15">
                  <c:v>1.8750000000002098E-4</c:v>
                </c:pt>
                <c:pt idx="16">
                  <c:v>2.1551724137930958E-4</c:v>
                </c:pt>
                <c:pt idx="17">
                  <c:v>2.4166666666664561E-4</c:v>
                </c:pt>
                <c:pt idx="18">
                  <c:v>2.6612903225802447E-4</c:v>
                </c:pt>
                <c:pt idx="19">
                  <c:v>2.8906249999994214E-4</c:v>
                </c:pt>
                <c:pt idx="20">
                  <c:v>6.5530303030307091E-4</c:v>
                </c:pt>
                <c:pt idx="21">
                  <c:v>6.6544117647060962E-4</c:v>
                </c:pt>
                <c:pt idx="22">
                  <c:v>3.4999999999989483E-4</c:v>
                </c:pt>
                <c:pt idx="23">
                  <c:v>3.6805555555557669E-4</c:v>
                </c:pt>
                <c:pt idx="24">
                  <c:v>7.770270270274065E-5</c:v>
                </c:pt>
                <c:pt idx="25">
                  <c:v>1.0197368421054722E-4</c:v>
                </c:pt>
                <c:pt idx="26">
                  <c:v>-7.4999999999989897E-4</c:v>
                </c:pt>
                <c:pt idx="27">
                  <c:v>-7.06250000000043E-4</c:v>
                </c:pt>
                <c:pt idx="28">
                  <c:v>-1.0975609756097029E-4</c:v>
                </c:pt>
                <c:pt idx="29">
                  <c:v>1.8749999999996084E-4</c:v>
                </c:pt>
                <c:pt idx="30">
                  <c:v>4.7093023255817545E-4</c:v>
                </c:pt>
                <c:pt idx="31">
                  <c:v>4.8295454545456667E-4</c:v>
                </c:pt>
                <c:pt idx="32">
                  <c:v>2.4166666666658947E-4</c:v>
                </c:pt>
                <c:pt idx="33">
                  <c:v>2.5815217391306455E-4</c:v>
                </c:pt>
                <c:pt idx="34">
                  <c:v>5.1595744680849151E-4</c:v>
                </c:pt>
                <c:pt idx="35">
                  <c:v>5.2604166666674057E-4</c:v>
                </c:pt>
                <c:pt idx="36">
                  <c:v>7.678571428571773E-4</c:v>
                </c:pt>
                <c:pt idx="37">
                  <c:v>7.7249999999992039E-4</c:v>
                </c:pt>
                <c:pt idx="38">
                  <c:v>1.0000000000000835E-3</c:v>
                </c:pt>
                <c:pt idx="39">
                  <c:v>7.8125000000009437E-4</c:v>
                </c:pt>
                <c:pt idx="40">
                  <c:v>5.7075471698104618E-4</c:v>
                </c:pt>
                <c:pt idx="41">
                  <c:v>3.6805555555548313E-4</c:v>
                </c:pt>
                <c:pt idx="42">
                  <c:v>-3.4090909090853866E-5</c:v>
                </c:pt>
                <c:pt idx="43">
                  <c:v>-2.1875000000011469E-4</c:v>
                </c:pt>
                <c:pt idx="44">
                  <c:v>2.0175438596483359E-4</c:v>
                </c:pt>
                <c:pt idx="45">
                  <c:v>2.1551724137930958E-4</c:v>
                </c:pt>
                <c:pt idx="46">
                  <c:v>2.2881355932193717E-4</c:v>
                </c:pt>
                <c:pt idx="47">
                  <c:v>5.2083333333417342E-5</c:v>
                </c:pt>
                <c:pt idx="48">
                  <c:v>6.7622950819827587E-5</c:v>
                </c:pt>
                <c:pt idx="49">
                  <c:v>-1.0080645161290286E-4</c:v>
                </c:pt>
                <c:pt idx="50">
                  <c:v>-8.3333333333262478E-5</c:v>
                </c:pt>
                <c:pt idx="51">
                  <c:v>-6.6406250000018707E-5</c:v>
                </c:pt>
                <c:pt idx="52">
                  <c:v>-4.9999999999950082E-5</c:v>
                </c:pt>
                <c:pt idx="53">
                  <c:v>1.3825757575759671E-4</c:v>
                </c:pt>
                <c:pt idx="54">
                  <c:v>-1.8843283582092198E-4</c:v>
                </c:pt>
                <c:pt idx="55">
                  <c:v>-3.6764705882887678E-6</c:v>
                </c:pt>
                <c:pt idx="56">
                  <c:v>-3.1884057971009696E-4</c:v>
                </c:pt>
                <c:pt idx="57">
                  <c:v>-4.6250000000008784E-4</c:v>
                </c:pt>
                <c:pt idx="58">
                  <c:v>-7.6232394366196061E-4</c:v>
                </c:pt>
                <c:pt idx="59">
                  <c:v>-1.0538194444443369E-3</c:v>
                </c:pt>
                <c:pt idx="60">
                  <c:v>-7.140410958904167E-4</c:v>
                </c:pt>
                <c:pt idx="61">
                  <c:v>-5.3716216216219306E-4</c:v>
                </c:pt>
                <c:pt idx="62">
                  <c:v>-2.1333333333333797E-4</c:v>
                </c:pt>
                <c:pt idx="63">
                  <c:v>-6.4638157894746442E-4</c:v>
                </c:pt>
                <c:pt idx="64">
                  <c:v>-4.7727272727271508E-4</c:v>
                </c:pt>
                <c:pt idx="65">
                  <c:v>-8.9583333333328097E-4</c:v>
                </c:pt>
                <c:pt idx="66">
                  <c:v>-8.7183544303799459E-4</c:v>
                </c:pt>
                <c:pt idx="67">
                  <c:v>-5.6406249999999545E-4</c:v>
                </c:pt>
                <c:pt idx="68">
                  <c:v>-9.660493827160061E-4</c:v>
                </c:pt>
                <c:pt idx="69">
                  <c:v>-9.4207317073173352E-4</c:v>
                </c:pt>
                <c:pt idx="70">
                  <c:v>-7.8162650602402303E-4</c:v>
                </c:pt>
                <c:pt idx="71">
                  <c:v>-7.6041666666678176E-4</c:v>
                </c:pt>
                <c:pt idx="72">
                  <c:v>-8.7352941176469326E-4</c:v>
                </c:pt>
                <c:pt idx="73">
                  <c:v>-1.1162790697674661E-3</c:v>
                </c:pt>
                <c:pt idx="74">
                  <c:v>-1.3534482758621291E-3</c:v>
                </c:pt>
                <c:pt idx="75">
                  <c:v>-1.3267045454545545E-3</c:v>
                </c:pt>
                <c:pt idx="76">
                  <c:v>-1.3005617977527681E-3</c:v>
                </c:pt>
                <c:pt idx="77">
                  <c:v>-1.0222222222222724E-3</c:v>
                </c:pt>
                <c:pt idx="78">
                  <c:v>-1.2499999999999734E-3</c:v>
                </c:pt>
                <c:pt idx="79">
                  <c:v>-1.1019021739129276E-3</c:v>
                </c:pt>
                <c:pt idx="80">
                  <c:v>-1.3239247311828237E-3</c:v>
                </c:pt>
                <c:pt idx="81">
                  <c:v>-1.4202127659574675E-3</c:v>
                </c:pt>
                <c:pt idx="82">
                  <c:v>-1.5144736842105399E-3</c:v>
                </c:pt>
                <c:pt idx="83">
                  <c:v>-1.6067708333333403E-3</c:v>
                </c:pt>
                <c:pt idx="84">
                  <c:v>-1.6971649484536085E-3</c:v>
                </c:pt>
                <c:pt idx="85">
                  <c:v>-1.6696428571427091E-3</c:v>
                </c:pt>
                <c:pt idx="86">
                  <c:v>-1.7575757575756046E-3</c:v>
                </c:pt>
                <c:pt idx="87">
                  <c:v>-1.7300000000001069E-3</c:v>
                </c:pt>
                <c:pt idx="88">
                  <c:v>-1.81559405940604E-3</c:v>
                </c:pt>
                <c:pt idx="89">
                  <c:v>-2.122549019607812E-3</c:v>
                </c:pt>
                <c:pt idx="90">
                  <c:v>-2.5339805825242471E-3</c:v>
                </c:pt>
                <c:pt idx="91">
                  <c:v>-2.50000000000003E-3</c:v>
                </c:pt>
                <c:pt idx="92">
                  <c:v>-2.249999999999819E-3</c:v>
                </c:pt>
                <c:pt idx="93">
                  <c:v>-2.219339622641574E-3</c:v>
                </c:pt>
                <c:pt idx="94">
                  <c:v>-2.1892523364487148E-3</c:v>
                </c:pt>
                <c:pt idx="95">
                  <c:v>-2.1597222222222035E-3</c:v>
                </c:pt>
                <c:pt idx="96">
                  <c:v>-2.2350917431192413E-3</c:v>
                </c:pt>
                <c:pt idx="97">
                  <c:v>-2.3090909090908792E-3</c:v>
                </c:pt>
                <c:pt idx="98">
                  <c:v>-2.2792792792793001E-3</c:v>
                </c:pt>
                <c:pt idx="99">
                  <c:v>-2.3515625000000151E-3</c:v>
                </c:pt>
                <c:pt idx="100">
                  <c:v>-2.3219026548673216E-3</c:v>
                </c:pt>
                <c:pt idx="101">
                  <c:v>-2.2927631578946736E-3</c:v>
                </c:pt>
                <c:pt idx="102">
                  <c:v>-2.3630434782608016E-3</c:v>
                </c:pt>
                <c:pt idx="103">
                  <c:v>-2.3340517241379126E-3</c:v>
                </c:pt>
                <c:pt idx="104">
                  <c:v>-2.4027777777779263E-3</c:v>
                </c:pt>
                <c:pt idx="105">
                  <c:v>-2.4703389830508181E-3</c:v>
                </c:pt>
                <c:pt idx="106">
                  <c:v>-2.7279411764706174E-3</c:v>
                </c:pt>
                <c:pt idx="107">
                  <c:v>-2.7916666666666905E-3</c:v>
                </c:pt>
                <c:pt idx="108">
                  <c:v>-2.5723140495867844E-3</c:v>
                </c:pt>
                <c:pt idx="109">
                  <c:v>-2.5430327868851345E-3</c:v>
                </c:pt>
                <c:pt idx="110">
                  <c:v>-2.5142276422765223E-3</c:v>
                </c:pt>
                <c:pt idx="111">
                  <c:v>-2.485887096774175E-3</c:v>
                </c:pt>
                <c:pt idx="112">
                  <c:v>-2.5489999999999762E-3</c:v>
                </c:pt>
                <c:pt idx="113">
                  <c:v>-2.5208333333333549E-3</c:v>
                </c:pt>
                <c:pt idx="114">
                  <c:v>-2.4931102362203794E-3</c:v>
                </c:pt>
                <c:pt idx="115">
                  <c:v>-2.5546875000000604E-3</c:v>
                </c:pt>
                <c:pt idx="116">
                  <c:v>-2.6153100775194345E-3</c:v>
                </c:pt>
                <c:pt idx="117">
                  <c:v>-2.587500000000098E-3</c:v>
                </c:pt>
                <c:pt idx="118">
                  <c:v>-2.6469465648854343E-3</c:v>
                </c:pt>
                <c:pt idx="119">
                  <c:v>-2.7054924242423581E-3</c:v>
                </c:pt>
                <c:pt idx="120">
                  <c:v>-2.6776315789473456E-3</c:v>
                </c:pt>
                <c:pt idx="121">
                  <c:v>-2.7350746268657946E-3</c:v>
                </c:pt>
                <c:pt idx="122">
                  <c:v>-2.8759259259259966E-3</c:v>
                </c:pt>
                <c:pt idx="123">
                  <c:v>-3.0147058823529601E-3</c:v>
                </c:pt>
                <c:pt idx="124">
                  <c:v>-2.9023722627736816E-3</c:v>
                </c:pt>
                <c:pt idx="125">
                  <c:v>-2.7092391304347277E-3</c:v>
                </c:pt>
                <c:pt idx="126">
                  <c:v>-2.6825539568345186E-3</c:v>
                </c:pt>
                <c:pt idx="127">
                  <c:v>-2.6562500000000266E-3</c:v>
                </c:pt>
                <c:pt idx="128">
                  <c:v>-2.7109929078014401E-3</c:v>
                </c:pt>
                <c:pt idx="129">
                  <c:v>-2.6848591549296389E-3</c:v>
                </c:pt>
                <c:pt idx="130">
                  <c:v>-2.6590909090908688E-3</c:v>
                </c:pt>
                <c:pt idx="131">
                  <c:v>-2.5546874999999025E-3</c:v>
                </c:pt>
                <c:pt idx="132">
                  <c:v>-2.6870689655172364E-3</c:v>
                </c:pt>
                <c:pt idx="133">
                  <c:v>-2.6618150684931839E-3</c:v>
                </c:pt>
                <c:pt idx="134">
                  <c:v>-2.7142857142857433E-3</c:v>
                </c:pt>
                <c:pt idx="135">
                  <c:v>-2.6891891891891195E-3</c:v>
                </c:pt>
                <c:pt idx="136">
                  <c:v>-2.588087248322159E-3</c:v>
                </c:pt>
                <c:pt idx="137">
                  <c:v>-2.7916666666665895E-3</c:v>
                </c:pt>
                <c:pt idx="138">
                  <c:v>-2.8418874172185956E-3</c:v>
                </c:pt>
                <c:pt idx="139">
                  <c:v>-2.8914473684211006E-3</c:v>
                </c:pt>
                <c:pt idx="140">
                  <c:v>-2.7916666666666606E-3</c:v>
                </c:pt>
                <c:pt idx="141">
                  <c:v>-2.7670454545454855E-3</c:v>
                </c:pt>
                <c:pt idx="142">
                  <c:v>-2.6693548387096552E-3</c:v>
                </c:pt>
                <c:pt idx="143">
                  <c:v>-2.5729166666665915E-3</c:v>
                </c:pt>
                <c:pt idx="144">
                  <c:v>-2.5501592356688796E-3</c:v>
                </c:pt>
                <c:pt idx="145">
                  <c:v>-2.3837025316456469E-3</c:v>
                </c:pt>
                <c:pt idx="146">
                  <c:v>-2.4339622641508891E-3</c:v>
                </c:pt>
                <c:pt idx="147">
                  <c:v>-2.3414062500000206E-3</c:v>
                </c:pt>
                <c:pt idx="148">
                  <c:v>-2.3206521739129737E-3</c:v>
                </c:pt>
                <c:pt idx="149">
                  <c:v>-2.3001543209876202E-3</c:v>
                </c:pt>
                <c:pt idx="150">
                  <c:v>-2.349693251533828E-3</c:v>
                </c:pt>
                <c:pt idx="151">
                  <c:v>-2.1905487804878784E-3</c:v>
                </c:pt>
                <c:pt idx="152">
                  <c:v>-2.240151515151462E-3</c:v>
                </c:pt>
                <c:pt idx="153">
                  <c:v>-2.1521084337349588E-3</c:v>
                </c:pt>
                <c:pt idx="154">
                  <c:v>-2.2013473053892367E-3</c:v>
                </c:pt>
                <c:pt idx="155">
                  <c:v>-2.2500000000000111E-3</c:v>
                </c:pt>
                <c:pt idx="156">
                  <c:v>-2.0288461538461909E-3</c:v>
                </c:pt>
                <c:pt idx="157">
                  <c:v>-1.9441176470588119E-3</c:v>
                </c:pt>
                <c:pt idx="158">
                  <c:v>-1.793859649122784E-3</c:v>
                </c:pt>
                <c:pt idx="159">
                  <c:v>-1.7776162790697776E-3</c:v>
                </c:pt>
                <c:pt idx="160">
                  <c:v>-1.7615606936415445E-3</c:v>
                </c:pt>
                <c:pt idx="161">
                  <c:v>-1.680316091954018E-3</c:v>
                </c:pt>
                <c:pt idx="162">
                  <c:v>-1.7299999999999915E-3</c:v>
                </c:pt>
                <c:pt idx="163">
                  <c:v>-1.71448863636366E-3</c:v>
                </c:pt>
                <c:pt idx="164">
                  <c:v>-1.6348870056496947E-3</c:v>
                </c:pt>
                <c:pt idx="165">
                  <c:v>-1.7478932584269046E-3</c:v>
                </c:pt>
                <c:pt idx="166">
                  <c:v>-1.6689944134077137E-3</c:v>
                </c:pt>
                <c:pt idx="167">
                  <c:v>-1.7805555555556346E-3</c:v>
                </c:pt>
                <c:pt idx="168">
                  <c:v>-1.7023480662983754E-3</c:v>
                </c:pt>
                <c:pt idx="169">
                  <c:v>-1.8124999999999947E-3</c:v>
                </c:pt>
                <c:pt idx="170">
                  <c:v>-1.8592896174863299E-3</c:v>
                </c:pt>
                <c:pt idx="171">
                  <c:v>-1.9055706521739009E-3</c:v>
                </c:pt>
                <c:pt idx="172">
                  <c:v>-1.8283783783782125E-3</c:v>
                </c:pt>
                <c:pt idx="173">
                  <c:v>-1.629704301075236E-3</c:v>
                </c:pt>
                <c:pt idx="174">
                  <c:v>-1.5548128342244142E-3</c:v>
                </c:pt>
                <c:pt idx="175">
                  <c:v>-1.5412234042554876E-3</c:v>
                </c:pt>
                <c:pt idx="176">
                  <c:v>-1.5879629629631273E-3</c:v>
                </c:pt>
                <c:pt idx="177">
                  <c:v>-1.454605263158048E-3</c:v>
                </c:pt>
                <c:pt idx="178">
                  <c:v>-1.5013089005237092E-3</c:v>
                </c:pt>
                <c:pt idx="179">
                  <c:v>-1.4882812500000724E-3</c:v>
                </c:pt>
                <c:pt idx="180">
                  <c:v>-1.3575129533679377E-3</c:v>
                </c:pt>
                <c:pt idx="181">
                  <c:v>-1.4039948453608833E-3</c:v>
                </c:pt>
                <c:pt idx="182">
                  <c:v>-1.3916666666666504E-3</c:v>
                </c:pt>
                <c:pt idx="183">
                  <c:v>-1.3794642857141953E-3</c:v>
                </c:pt>
                <c:pt idx="184">
                  <c:v>-1.4251269035532063E-3</c:v>
                </c:pt>
                <c:pt idx="185">
                  <c:v>-1.4128787878786217E-3</c:v>
                </c:pt>
                <c:pt idx="186">
                  <c:v>-1.4579145728641531E-3</c:v>
                </c:pt>
                <c:pt idx="187">
                  <c:v>-1.4456250000001634E-3</c:v>
                </c:pt>
                <c:pt idx="188">
                  <c:v>-1.4334577114428764E-3</c:v>
                </c:pt>
                <c:pt idx="189">
                  <c:v>-1.252475247524764E-3</c:v>
                </c:pt>
                <c:pt idx="190">
                  <c:v>-1.2413793103447674E-3</c:v>
                </c:pt>
                <c:pt idx="191">
                  <c:v>-1.1188725490195385E-3</c:v>
                </c:pt>
                <c:pt idx="192">
                  <c:v>-1.1085365853659109E-3</c:v>
                </c:pt>
                <c:pt idx="193">
                  <c:v>-1.0983009708737726E-3</c:v>
                </c:pt>
                <c:pt idx="194">
                  <c:v>-1.0881642512076456E-3</c:v>
                </c:pt>
                <c:pt idx="195">
                  <c:v>-9.6874999999990719E-4</c:v>
                </c:pt>
                <c:pt idx="196">
                  <c:v>-9.5933014354050792E-4</c:v>
                </c:pt>
                <c:pt idx="197">
                  <c:v>-9.4999999999996205E-4</c:v>
                </c:pt>
                <c:pt idx="198">
                  <c:v>-9.4075829383894719E-4</c:v>
                </c:pt>
                <c:pt idx="199">
                  <c:v>-9.8525943396234549E-4</c:v>
                </c:pt>
                <c:pt idx="200">
                  <c:v>-1.0293427230047727E-3</c:v>
                </c:pt>
                <c:pt idx="201">
                  <c:v>-1.0198598130841216E-3</c:v>
                </c:pt>
                <c:pt idx="202">
                  <c:v>-1.1691860465115759E-3</c:v>
                </c:pt>
                <c:pt idx="203">
                  <c:v>-1.2118055555555007E-3</c:v>
                </c:pt>
                <c:pt idx="204">
                  <c:v>-1.0443548387097362E-3</c:v>
                </c:pt>
                <c:pt idx="205">
                  <c:v>-9.3061926605509542E-4</c:v>
                </c:pt>
                <c:pt idx="206">
                  <c:v>-9.2180365296801951E-4</c:v>
                </c:pt>
                <c:pt idx="207">
                  <c:v>-8.6136363636349009E-4</c:v>
                </c:pt>
                <c:pt idx="208">
                  <c:v>-8.529411764705597E-4</c:v>
                </c:pt>
                <c:pt idx="209">
                  <c:v>-7.4211711711726189E-4</c:v>
                </c:pt>
                <c:pt idx="210">
                  <c:v>-7.8531390134543269E-4</c:v>
                </c:pt>
                <c:pt idx="211">
                  <c:v>-7.2656250000001366E-4</c:v>
                </c:pt>
                <c:pt idx="212">
                  <c:v>-6.6833333333340007E-4</c:v>
                </c:pt>
                <c:pt idx="213">
                  <c:v>-7.6161504424773394E-4</c:v>
                </c:pt>
                <c:pt idx="214">
                  <c:v>-7.5385462555072134E-4</c:v>
                </c:pt>
                <c:pt idx="215">
                  <c:v>-6.4638157894742019E-4</c:v>
                </c:pt>
                <c:pt idx="216">
                  <c:v>-6.8886462882100945E-4</c:v>
                </c:pt>
                <c:pt idx="217">
                  <c:v>-6.815217391304201E-4</c:v>
                </c:pt>
                <c:pt idx="218">
                  <c:v>-8.21969696969625E-4</c:v>
                </c:pt>
                <c:pt idx="219">
                  <c:v>-7.6508620689653159E-4</c:v>
                </c:pt>
                <c:pt idx="220">
                  <c:v>-7.5751072961365148E-4</c:v>
                </c:pt>
                <c:pt idx="221">
                  <c:v>-7.0138888888903058E-4</c:v>
                </c:pt>
                <c:pt idx="222">
                  <c:v>-6.941489361702919E-4</c:v>
                </c:pt>
                <c:pt idx="223">
                  <c:v>-5.4237288135594391E-4</c:v>
                </c:pt>
                <c:pt idx="224">
                  <c:v>-4.3987341772152254E-4</c:v>
                </c:pt>
                <c:pt idx="225">
                  <c:v>-4.8161764705882437E-4</c:v>
                </c:pt>
                <c:pt idx="226">
                  <c:v>-4.2782426778247766E-4</c:v>
                </c:pt>
                <c:pt idx="227">
                  <c:v>-4.6927083333338134E-4</c:v>
                </c:pt>
                <c:pt idx="228">
                  <c:v>-4.6317427385890865E-4</c:v>
                </c:pt>
                <c:pt idx="229">
                  <c:v>-4.5712809917348112E-4</c:v>
                </c:pt>
                <c:pt idx="230">
                  <c:v>-5.4475308641973533E-4</c:v>
                </c:pt>
                <c:pt idx="231">
                  <c:v>-4.9180327868839037E-4</c:v>
                </c:pt>
                <c:pt idx="232">
                  <c:v>-5.7857142857151394E-4</c:v>
                </c:pt>
                <c:pt idx="233">
                  <c:v>-5.7215447154474125E-4</c:v>
                </c:pt>
                <c:pt idx="234">
                  <c:v>-7.0394736842102471E-4</c:v>
                </c:pt>
                <c:pt idx="235">
                  <c:v>-7.8881048387099344E-4</c:v>
                </c:pt>
                <c:pt idx="236">
                  <c:v>-7.8162650602406358E-4</c:v>
                </c:pt>
                <c:pt idx="237">
                  <c:v>-7.7450000000007081E-4</c:v>
                </c:pt>
                <c:pt idx="238">
                  <c:v>-6.7679282868532181E-4</c:v>
                </c:pt>
                <c:pt idx="239">
                  <c:v>-6.7013888888889372E-4</c:v>
                </c:pt>
                <c:pt idx="240">
                  <c:v>-7.0849802371541733E-4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B51-4335-814D-53B8B9178B55}"/>
            </c:ext>
          </c:extLst>
        </c:ser>
        <c:ser>
          <c:idx val="19"/>
          <c:order val="19"/>
          <c:tx>
            <c:strRef>
              <c:f>'전류편차_24mA(절대값기준)'!$CI$7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'전류편차_24mA(절대값기준)'!$CI$22:$CI$262</c:f>
              <c:numCache>
                <c:formatCode>0.0%</c:formatCode>
                <c:ptCount val="241"/>
                <c:pt idx="0">
                  <c:v>-1.1250000000000038E-2</c:v>
                </c:pt>
                <c:pt idx="1">
                  <c:v>-1.2812499999999991E-2</c:v>
                </c:pt>
                <c:pt idx="2">
                  <c:v>-1.037500000000003E-2</c:v>
                </c:pt>
                <c:pt idx="3">
                  <c:v>-7.5312500000001429E-3</c:v>
                </c:pt>
                <c:pt idx="4">
                  <c:v>-3.6838235294117099E-3</c:v>
                </c:pt>
                <c:pt idx="5">
                  <c:v>-2.1597222222222035E-3</c:v>
                </c:pt>
                <c:pt idx="6">
                  <c:v>4.0131578947367216E-4</c:v>
                </c:pt>
                <c:pt idx="7">
                  <c:v>3.8437499999999613E-3</c:v>
                </c:pt>
                <c:pt idx="8">
                  <c:v>3.7083333333332671E-3</c:v>
                </c:pt>
                <c:pt idx="9">
                  <c:v>4.102272727272694E-3</c:v>
                </c:pt>
                <c:pt idx="10">
                  <c:v>6.4402173913044574E-3</c:v>
                </c:pt>
                <c:pt idx="11">
                  <c:v>6.2135416666667456E-3</c:v>
                </c:pt>
                <c:pt idx="12">
                  <c:v>7.3699999999999001E-3</c:v>
                </c:pt>
                <c:pt idx="13">
                  <c:v>7.5625000000000275E-3</c:v>
                </c:pt>
                <c:pt idx="14">
                  <c:v>9.004629629629635E-3</c:v>
                </c:pt>
                <c:pt idx="15">
                  <c:v>9.531249999999894E-3</c:v>
                </c:pt>
                <c:pt idx="16">
                  <c:v>9.2370689655172922E-3</c:v>
                </c:pt>
                <c:pt idx="17">
                  <c:v>8.5833333333334046E-3</c:v>
                </c:pt>
                <c:pt idx="18">
                  <c:v>9.8064516129031127E-3</c:v>
                </c:pt>
                <c:pt idx="19">
                  <c:v>9.1757812499999106E-3</c:v>
                </c:pt>
                <c:pt idx="20">
                  <c:v>9.9621212121212988E-3</c:v>
                </c:pt>
                <c:pt idx="21">
                  <c:v>9.6985294117646233E-3</c:v>
                </c:pt>
                <c:pt idx="22">
                  <c:v>1.0749999999999904E-2</c:v>
                </c:pt>
                <c:pt idx="23">
                  <c:v>9.8472222222223231E-3</c:v>
                </c:pt>
                <c:pt idx="24">
                  <c:v>1.1145270270270319E-2</c:v>
                </c:pt>
                <c:pt idx="25">
                  <c:v>1.0578947368420983E-2</c:v>
                </c:pt>
                <c:pt idx="26">
                  <c:v>1.1500000000000048E-2</c:v>
                </c:pt>
                <c:pt idx="27">
                  <c:v>1.123750000000003E-2</c:v>
                </c:pt>
                <c:pt idx="28">
                  <c:v>1.1820121951219436E-2</c:v>
                </c:pt>
                <c:pt idx="29">
                  <c:v>1.1020833333333303E-2</c:v>
                </c:pt>
                <c:pt idx="30">
                  <c:v>1.1052325581395394E-2</c:v>
                </c:pt>
                <c:pt idx="31">
                  <c:v>1.0565340909090852E-2</c:v>
                </c:pt>
                <c:pt idx="32">
                  <c:v>1.1111111111111072E-2</c:v>
                </c:pt>
                <c:pt idx="33">
                  <c:v>1.064402173913041E-2</c:v>
                </c:pt>
                <c:pt idx="34">
                  <c:v>9.4707446808510246E-3</c:v>
                </c:pt>
                <c:pt idx="35">
                  <c:v>1.0005208333333205E-2</c:v>
                </c:pt>
                <c:pt idx="36">
                  <c:v>9.8214285714285365E-3</c:v>
                </c:pt>
                <c:pt idx="37">
                  <c:v>9.417499999999978E-3</c:v>
                </c:pt>
                <c:pt idx="38">
                  <c:v>9.0294117647058744E-3</c:v>
                </c:pt>
                <c:pt idx="39">
                  <c:v>9.3125000000000291E-3</c:v>
                </c:pt>
                <c:pt idx="40">
                  <c:v>8.7264150943395912E-3</c:v>
                </c:pt>
                <c:pt idx="41">
                  <c:v>7.9513888888889175E-3</c:v>
                </c:pt>
                <c:pt idx="42">
                  <c:v>9.0659090909090637E-3</c:v>
                </c:pt>
                <c:pt idx="43">
                  <c:v>9.1249999999999387E-3</c:v>
                </c:pt>
                <c:pt idx="44">
                  <c:v>8.5833333333333959E-3</c:v>
                </c:pt>
                <c:pt idx="45">
                  <c:v>8.2564655172414521E-3</c:v>
                </c:pt>
                <c:pt idx="46">
                  <c:v>8.3262711864407167E-3</c:v>
                </c:pt>
                <c:pt idx="47">
                  <c:v>8.0145833333333822E-3</c:v>
                </c:pt>
                <c:pt idx="48">
                  <c:v>8.2725409836066372E-3</c:v>
                </c:pt>
                <c:pt idx="49">
                  <c:v>7.4213709677418407E-3</c:v>
                </c:pt>
                <c:pt idx="50">
                  <c:v>6.5972222222222794E-3</c:v>
                </c:pt>
                <c:pt idx="51">
                  <c:v>6.5097656249999665E-3</c:v>
                </c:pt>
                <c:pt idx="52">
                  <c:v>6.5999999999999392E-3</c:v>
                </c:pt>
                <c:pt idx="53">
                  <c:v>5.8257575757576594E-3</c:v>
                </c:pt>
                <c:pt idx="54">
                  <c:v>5.5839552238805372E-3</c:v>
                </c:pt>
                <c:pt idx="55">
                  <c:v>6.5202205882353391E-3</c:v>
                </c:pt>
                <c:pt idx="56">
                  <c:v>6.6050724637681333E-3</c:v>
                </c:pt>
                <c:pt idx="57">
                  <c:v>5.7124999999999537E-3</c:v>
                </c:pt>
                <c:pt idx="58">
                  <c:v>5.3257042253521646E-3</c:v>
                </c:pt>
                <c:pt idx="59">
                  <c:v>4.9496527777777855E-3</c:v>
                </c:pt>
                <c:pt idx="60">
                  <c:v>4.7397260273972768E-3</c:v>
                </c:pt>
                <c:pt idx="61">
                  <c:v>4.074324324324332E-3</c:v>
                </c:pt>
                <c:pt idx="62">
                  <c:v>6.3083333333333515E-3</c:v>
                </c:pt>
                <c:pt idx="63">
                  <c:v>4.1430921052630658E-3</c:v>
                </c:pt>
                <c:pt idx="64">
                  <c:v>2.4772727272726765E-3</c:v>
                </c:pt>
                <c:pt idx="65">
                  <c:v>6.833333333333377E-3</c:v>
                </c:pt>
                <c:pt idx="66">
                  <c:v>6.3275316455695743E-3</c:v>
                </c:pt>
                <c:pt idx="67">
                  <c:v>3.8437499999999613E-3</c:v>
                </c:pt>
                <c:pt idx="68">
                  <c:v>5.9151234567902198E-3</c:v>
                </c:pt>
                <c:pt idx="69">
                  <c:v>1.9710365853658146E-3</c:v>
                </c:pt>
                <c:pt idx="70">
                  <c:v>1.9593373493976053E-3</c:v>
                </c:pt>
                <c:pt idx="71">
                  <c:v>4.1145833333332826E-3</c:v>
                </c:pt>
                <c:pt idx="72">
                  <c:v>5.5500000000000185E-3</c:v>
                </c:pt>
                <c:pt idx="73">
                  <c:v>4.7034883720930634E-3</c:v>
                </c:pt>
                <c:pt idx="74">
                  <c:v>2.1767241379309918E-3</c:v>
                </c:pt>
                <c:pt idx="75">
                  <c:v>3.4559659090908899E-3</c:v>
                </c:pt>
                <c:pt idx="76">
                  <c:v>4.0674157303370959E-3</c:v>
                </c:pt>
                <c:pt idx="77">
                  <c:v>2.6430555555554945E-3</c:v>
                </c:pt>
                <c:pt idx="78">
                  <c:v>2.9999999999998916E-3</c:v>
                </c:pt>
                <c:pt idx="79">
                  <c:v>3.8437500000000108E-3</c:v>
                </c:pt>
                <c:pt idx="80">
                  <c:v>2.8346774193548962E-3</c:v>
                </c:pt>
                <c:pt idx="81">
                  <c:v>2.0890957446808196E-3</c:v>
                </c:pt>
                <c:pt idx="82">
                  <c:v>2.6763157894736872E-3</c:v>
                </c:pt>
                <c:pt idx="83">
                  <c:v>2.4218750000000754E-3</c:v>
                </c:pt>
                <c:pt idx="84">
                  <c:v>2.4072164948453771E-3</c:v>
                </c:pt>
                <c:pt idx="85">
                  <c:v>2.0446428571428026E-3</c:v>
                </c:pt>
                <c:pt idx="86">
                  <c:v>2.2638888888890586E-3</c:v>
                </c:pt>
                <c:pt idx="87">
                  <c:v>2.364999999999846E-3</c:v>
                </c:pt>
                <c:pt idx="88">
                  <c:v>2.6893564356435685E-3</c:v>
                </c:pt>
                <c:pt idx="89">
                  <c:v>2.1151960784314325E-3</c:v>
                </c:pt>
                <c:pt idx="90">
                  <c:v>2.5461165048543248E-3</c:v>
                </c:pt>
                <c:pt idx="91">
                  <c:v>1.656249999999998E-3</c:v>
                </c:pt>
                <c:pt idx="92">
                  <c:v>1.8666666666666833E-3</c:v>
                </c:pt>
                <c:pt idx="93">
                  <c:v>2.1804245283018617E-3</c:v>
                </c:pt>
                <c:pt idx="94">
                  <c:v>1.1063084112148984E-3</c:v>
                </c:pt>
                <c:pt idx="95">
                  <c:v>9.9999999999995145E-4</c:v>
                </c:pt>
                <c:pt idx="96">
                  <c:v>1.41743119266059E-3</c:v>
                </c:pt>
                <c:pt idx="97">
                  <c:v>1.0000000000000332E-3</c:v>
                </c:pt>
                <c:pt idx="98">
                  <c:v>8.9752252252237909E-4</c:v>
                </c:pt>
                <c:pt idx="99">
                  <c:v>3.9062499999990841E-4</c:v>
                </c:pt>
                <c:pt idx="100">
                  <c:v>6.980088495575715E-4</c:v>
                </c:pt>
                <c:pt idx="101">
                  <c:v>6.0087719298251071E-4</c:v>
                </c:pt>
                <c:pt idx="102">
                  <c:v>2.0869565217396152E-4</c:v>
                </c:pt>
                <c:pt idx="103">
                  <c:v>6.0775862068978539E-4</c:v>
                </c:pt>
                <c:pt idx="104">
                  <c:v>2.2222222222217306E-4</c:v>
                </c:pt>
                <c:pt idx="105">
                  <c:v>-1.5677966101700338E-4</c:v>
                </c:pt>
                <c:pt idx="106">
                  <c:v>-3.3823529411764245E-4</c:v>
                </c:pt>
                <c:pt idx="107">
                  <c:v>-5.1666666666660423E-4</c:v>
                </c:pt>
                <c:pt idx="108">
                  <c:v>-3.1611570247926091E-4</c:v>
                </c:pt>
                <c:pt idx="109">
                  <c:v>-5.8504098360653714E-4</c:v>
                </c:pt>
                <c:pt idx="110">
                  <c:v>-8.495934959349957E-4</c:v>
                </c:pt>
                <c:pt idx="111">
                  <c:v>-1.1098790322581567E-3</c:v>
                </c:pt>
                <c:pt idx="112">
                  <c:v>-1.0929999999999751E-3</c:v>
                </c:pt>
                <c:pt idx="113">
                  <c:v>-1.4374999999999805E-3</c:v>
                </c:pt>
                <c:pt idx="114">
                  <c:v>-1.1496062992126135E-3</c:v>
                </c:pt>
                <c:pt idx="115">
                  <c:v>-1.6660156250000791E-3</c:v>
                </c:pt>
                <c:pt idx="116">
                  <c:v>-1.2926356589147334E-3</c:v>
                </c:pt>
                <c:pt idx="117">
                  <c:v>-1.1875000000000967E-3</c:v>
                </c:pt>
                <c:pt idx="118">
                  <c:v>-1.3444656488550049E-3</c:v>
                </c:pt>
                <c:pt idx="119">
                  <c:v>-1.5852272727272152E-3</c:v>
                </c:pt>
                <c:pt idx="120">
                  <c:v>-1.6513157894736223E-3</c:v>
                </c:pt>
                <c:pt idx="121">
                  <c:v>-2.055970149253778E-3</c:v>
                </c:pt>
                <c:pt idx="122">
                  <c:v>-1.7805555555556346E-3</c:v>
                </c:pt>
                <c:pt idx="123">
                  <c:v>-2.4292279411765169E-3</c:v>
                </c:pt>
                <c:pt idx="124">
                  <c:v>-2.1551094890510255E-3</c:v>
                </c:pt>
                <c:pt idx="125">
                  <c:v>-2.7092391304347277E-3</c:v>
                </c:pt>
                <c:pt idx="126">
                  <c:v>-2.6825539568345186E-3</c:v>
                </c:pt>
                <c:pt idx="127">
                  <c:v>-3.0625000000000899E-3</c:v>
                </c:pt>
                <c:pt idx="128">
                  <c:v>-3.3563829787234983E-3</c:v>
                </c:pt>
                <c:pt idx="129">
                  <c:v>-3.4058098591548762E-3</c:v>
                </c:pt>
                <c:pt idx="130">
                  <c:v>-3.0568181818182035E-3</c:v>
                </c:pt>
                <c:pt idx="131">
                  <c:v>-3.0286458333332539E-3</c:v>
                </c:pt>
                <c:pt idx="132">
                  <c:v>-3.079310344827503E-3</c:v>
                </c:pt>
                <c:pt idx="133">
                  <c:v>-3.0513698630137928E-3</c:v>
                </c:pt>
                <c:pt idx="134">
                  <c:v>-3.3333333333332941E-3</c:v>
                </c:pt>
                <c:pt idx="135">
                  <c:v>-2.8429054054053869E-3</c:v>
                </c:pt>
                <c:pt idx="136">
                  <c:v>-3.1224832214764965E-3</c:v>
                </c:pt>
                <c:pt idx="137">
                  <c:v>-3.398333333333324E-3</c:v>
                </c:pt>
                <c:pt idx="138">
                  <c:v>-3.4445364238411798E-3</c:v>
                </c:pt>
                <c:pt idx="139">
                  <c:v>-3.4152960526316026E-3</c:v>
                </c:pt>
                <c:pt idx="140">
                  <c:v>-3.4607843137255097E-3</c:v>
                </c:pt>
                <c:pt idx="141">
                  <c:v>-3.3579545454545112E-3</c:v>
                </c:pt>
                <c:pt idx="142">
                  <c:v>-3.403225806451575E-3</c:v>
                </c:pt>
                <c:pt idx="143">
                  <c:v>-3.8854166666666412E-3</c:v>
                </c:pt>
                <c:pt idx="144">
                  <c:v>-3.7093949044586898E-3</c:v>
                </c:pt>
                <c:pt idx="145">
                  <c:v>-3.7515822784810991E-3</c:v>
                </c:pt>
                <c:pt idx="146">
                  <c:v>-3.7216981132075417E-3</c:v>
                </c:pt>
                <c:pt idx="147">
                  <c:v>-3.7632812499999906E-3</c:v>
                </c:pt>
                <c:pt idx="148">
                  <c:v>-3.2391304347825322E-3</c:v>
                </c:pt>
                <c:pt idx="149">
                  <c:v>-3.7746913580245884E-3</c:v>
                </c:pt>
                <c:pt idx="150">
                  <c:v>-3.2569018404908765E-3</c:v>
                </c:pt>
                <c:pt idx="151">
                  <c:v>-3.5083841463414227E-3</c:v>
                </c:pt>
                <c:pt idx="152">
                  <c:v>-3.7568181818181451E-3</c:v>
                </c:pt>
                <c:pt idx="153">
                  <c:v>-3.9337349397590418E-3</c:v>
                </c:pt>
                <c:pt idx="154">
                  <c:v>-3.7679640718562813E-3</c:v>
                </c:pt>
                <c:pt idx="155">
                  <c:v>-4.0781250000000799E-3</c:v>
                </c:pt>
                <c:pt idx="156">
                  <c:v>-4.1826923076923464E-3</c:v>
                </c:pt>
                <c:pt idx="157">
                  <c:v>-4.4198529411765127E-3</c:v>
                </c:pt>
                <c:pt idx="158">
                  <c:v>-4.4546783625731383E-3</c:v>
                </c:pt>
                <c:pt idx="159">
                  <c:v>-4.7536337209302384E-3</c:v>
                </c:pt>
                <c:pt idx="160">
                  <c:v>-4.5888728323699368E-3</c:v>
                </c:pt>
                <c:pt idx="161">
                  <c:v>-4.8182471264367798E-3</c:v>
                </c:pt>
                <c:pt idx="162">
                  <c:v>-4.9150000000000738E-3</c:v>
                </c:pt>
                <c:pt idx="163">
                  <c:v>-4.6874999999999833E-3</c:v>
                </c:pt>
                <c:pt idx="164">
                  <c:v>-4.3340395480225644E-3</c:v>
                </c:pt>
                <c:pt idx="165">
                  <c:v>-4.4957865168539371E-3</c:v>
                </c:pt>
                <c:pt idx="166">
                  <c:v>-4.2744413407820392E-3</c:v>
                </c:pt>
                <c:pt idx="167">
                  <c:v>-4.4347222222222895E-3</c:v>
                </c:pt>
                <c:pt idx="168">
                  <c:v>-4.53038674033152E-3</c:v>
                </c:pt>
                <c:pt idx="169">
                  <c:v>-4.4999999999999485E-3</c:v>
                </c:pt>
                <c:pt idx="170">
                  <c:v>-4.7807377049180607E-3</c:v>
                </c:pt>
                <c:pt idx="171">
                  <c:v>-4.6874999999998741E-3</c:v>
                </c:pt>
                <c:pt idx="172">
                  <c:v>-4.7182432432431145E-3</c:v>
                </c:pt>
                <c:pt idx="173">
                  <c:v>-5.176747311827914E-3</c:v>
                </c:pt>
                <c:pt idx="174">
                  <c:v>-5.2045454545454088E-3</c:v>
                </c:pt>
                <c:pt idx="175">
                  <c:v>-5.3530585106383952E-3</c:v>
                </c:pt>
                <c:pt idx="176">
                  <c:v>-5.1990740740741614E-3</c:v>
                </c:pt>
                <c:pt idx="177">
                  <c:v>-5.4657894736843734E-3</c:v>
                </c:pt>
                <c:pt idx="178">
                  <c:v>-5.5510471204188684E-3</c:v>
                </c:pt>
                <c:pt idx="179">
                  <c:v>-5.39843750000001E-3</c:v>
                </c:pt>
                <c:pt idx="180">
                  <c:v>-5.5420984455957969E-3</c:v>
                </c:pt>
                <c:pt idx="181">
                  <c:v>-5.215206185566936E-3</c:v>
                </c:pt>
                <c:pt idx="182">
                  <c:v>-5.299999999999994E-3</c:v>
                </c:pt>
                <c:pt idx="183">
                  <c:v>-5.3839285714284268E-3</c:v>
                </c:pt>
                <c:pt idx="184">
                  <c:v>-5.4092639593907163E-3</c:v>
                </c:pt>
                <c:pt idx="185">
                  <c:v>-5.2045454545454322E-3</c:v>
                </c:pt>
                <c:pt idx="186">
                  <c:v>-5.4020100502512377E-3</c:v>
                </c:pt>
                <c:pt idx="187">
                  <c:v>-5.5974999999999836E-3</c:v>
                </c:pt>
                <c:pt idx="188">
                  <c:v>-5.6212686567163987E-3</c:v>
                </c:pt>
                <c:pt idx="189">
                  <c:v>-5.9263613861387354E-3</c:v>
                </c:pt>
                <c:pt idx="190">
                  <c:v>-6.1163793103449519E-3</c:v>
                </c:pt>
                <c:pt idx="191">
                  <c:v>-5.8026960784314805E-3</c:v>
                </c:pt>
                <c:pt idx="192">
                  <c:v>-6.102439024390293E-3</c:v>
                </c:pt>
                <c:pt idx="193">
                  <c:v>-6.2888349514563634E-3</c:v>
                </c:pt>
                <c:pt idx="194">
                  <c:v>-6.3085748792271025E-3</c:v>
                </c:pt>
                <c:pt idx="195">
                  <c:v>-6.1640625000000393E-3</c:v>
                </c:pt>
                <c:pt idx="196">
                  <c:v>-6.1297846889951857E-3</c:v>
                </c:pt>
                <c:pt idx="197">
                  <c:v>-6.0958333333332344E-3</c:v>
                </c:pt>
                <c:pt idx="198">
                  <c:v>-5.9543838862560067E-3</c:v>
                </c:pt>
                <c:pt idx="199">
                  <c:v>-5.65330188679252E-3</c:v>
                </c:pt>
                <c:pt idx="200">
                  <c:v>-5.9424882629108087E-3</c:v>
                </c:pt>
                <c:pt idx="201">
                  <c:v>-6.0695093457943418E-3</c:v>
                </c:pt>
                <c:pt idx="202">
                  <c:v>-5.7191860465116854E-3</c:v>
                </c:pt>
                <c:pt idx="203">
                  <c:v>-6.0567129629630293E-3</c:v>
                </c:pt>
                <c:pt idx="204">
                  <c:v>-6.2862903225805924E-3</c:v>
                </c:pt>
                <c:pt idx="205">
                  <c:v>-6.2006880733944973E-3</c:v>
                </c:pt>
                <c:pt idx="206">
                  <c:v>-6.4275114155249984E-3</c:v>
                </c:pt>
                <c:pt idx="207">
                  <c:v>-6.755681818181712E-3</c:v>
                </c:pt>
                <c:pt idx="208">
                  <c:v>-6.6691176470587716E-3</c:v>
                </c:pt>
                <c:pt idx="209">
                  <c:v>-6.7370495495495571E-3</c:v>
                </c:pt>
                <c:pt idx="210">
                  <c:v>-6.9063901345291579E-3</c:v>
                </c:pt>
                <c:pt idx="211">
                  <c:v>-7.023437500000132E-3</c:v>
                </c:pt>
                <c:pt idx="212">
                  <c:v>-6.8866666666667891E-3</c:v>
                </c:pt>
                <c:pt idx="213">
                  <c:v>-7.0027654867257268E-3</c:v>
                </c:pt>
                <c:pt idx="214">
                  <c:v>-6.7670704845814297E-3</c:v>
                </c:pt>
                <c:pt idx="215">
                  <c:v>-6.6831140350877049E-3</c:v>
                </c:pt>
                <c:pt idx="216">
                  <c:v>-6.5502183406113308E-3</c:v>
                </c:pt>
                <c:pt idx="217">
                  <c:v>-6.764673913043519E-3</c:v>
                </c:pt>
                <c:pt idx="218">
                  <c:v>-6.6818181818180987E-3</c:v>
                </c:pt>
                <c:pt idx="219">
                  <c:v>-6.6977370689654319E-3</c:v>
                </c:pt>
                <c:pt idx="220">
                  <c:v>-6.8599785407724503E-3</c:v>
                </c:pt>
                <c:pt idx="221">
                  <c:v>-7.0694444444445968E-3</c:v>
                </c:pt>
                <c:pt idx="222">
                  <c:v>-6.8414893617021527E-3</c:v>
                </c:pt>
                <c:pt idx="223">
                  <c:v>-7.2420550847457424E-3</c:v>
                </c:pt>
                <c:pt idx="224">
                  <c:v>-7.303270042194129E-3</c:v>
                </c:pt>
                <c:pt idx="225">
                  <c:v>-7.411764705882333E-3</c:v>
                </c:pt>
                <c:pt idx="226">
                  <c:v>-7.3765690376568233E-3</c:v>
                </c:pt>
                <c:pt idx="227">
                  <c:v>-7.3416666666666942E-3</c:v>
                </c:pt>
                <c:pt idx="228">
                  <c:v>-7.3070539419086812E-3</c:v>
                </c:pt>
                <c:pt idx="229">
                  <c:v>-7.1787190082644222E-3</c:v>
                </c:pt>
                <c:pt idx="230">
                  <c:v>-7.0982510288065933E-3</c:v>
                </c:pt>
                <c:pt idx="231">
                  <c:v>-6.9718237704918043E-3</c:v>
                </c:pt>
                <c:pt idx="232">
                  <c:v>-7.1250000000000029E-3</c:v>
                </c:pt>
                <c:pt idx="233">
                  <c:v>-7.0919715447155555E-3</c:v>
                </c:pt>
                <c:pt idx="234">
                  <c:v>-6.9210526315789909E-3</c:v>
                </c:pt>
                <c:pt idx="235">
                  <c:v>-7.0725806451613369E-3</c:v>
                </c:pt>
                <c:pt idx="236">
                  <c:v>-7.0858433734940192E-3</c:v>
                </c:pt>
                <c:pt idx="237">
                  <c:v>-7.3264999999999953E-3</c:v>
                </c:pt>
                <c:pt idx="238">
                  <c:v>-7.15737051792822E-3</c:v>
                </c:pt>
                <c:pt idx="239">
                  <c:v>-7.4861111111111074E-3</c:v>
                </c:pt>
                <c:pt idx="240">
                  <c:v>-7.7223320158102257E-3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B51-4335-814D-53B8B9178B55}"/>
            </c:ext>
          </c:extLst>
        </c:ser>
        <c:ser>
          <c:idx val="20"/>
          <c:order val="20"/>
          <c:tx>
            <c:strRef>
              <c:f>'전류편차_24mA(절대값기준)'!$CJ$7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'전류편차_24mA(절대값기준)'!$CJ$22:$CJ$262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-3.8750000000000728E-3</c:v>
                </c:pt>
                <c:pt idx="2">
                  <c:v>-4.3083333333333584E-3</c:v>
                </c:pt>
                <c:pt idx="3">
                  <c:v>-4.6875000000001412E-3</c:v>
                </c:pt>
                <c:pt idx="4">
                  <c:v>9.9999999999998463E-4</c:v>
                </c:pt>
                <c:pt idx="5">
                  <c:v>-1.5277777777776883E-3</c:v>
                </c:pt>
                <c:pt idx="6">
                  <c:v>-1.9934210526315931E-3</c:v>
                </c:pt>
                <c:pt idx="7">
                  <c:v>-1.8437500000000439E-3</c:v>
                </c:pt>
                <c:pt idx="8">
                  <c:v>-1.7083333333334041E-3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1.0000000000000217E-3</c:v>
                </c:pt>
                <c:pt idx="12">
                  <c:v>-8.2000000000000508E-4</c:v>
                </c:pt>
                <c:pt idx="13">
                  <c:v>-1.1874999999999802E-3</c:v>
                </c:pt>
                <c:pt idx="14">
                  <c:v>-1.106481481481485E-3</c:v>
                </c:pt>
                <c:pt idx="15">
                  <c:v>-6.2500000000006994E-4</c:v>
                </c:pt>
                <c:pt idx="16">
                  <c:v>-9.6120689655159537E-4</c:v>
                </c:pt>
                <c:pt idx="17">
                  <c:v>-1.2750000000000224E-3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-1.4128787878788258E-3</c:v>
                </c:pt>
                <c:pt idx="21">
                  <c:v>-1.3419117647059369E-3</c:v>
                </c:pt>
                <c:pt idx="22">
                  <c:v>-9.5000000000010625E-4</c:v>
                </c:pt>
                <c:pt idx="23">
                  <c:v>-1.8437500000000159E-3</c:v>
                </c:pt>
                <c:pt idx="24">
                  <c:v>-2.0743243243243224E-3</c:v>
                </c:pt>
                <c:pt idx="25">
                  <c:v>-4.9671052631583557E-4</c:v>
                </c:pt>
                <c:pt idx="26">
                  <c:v>-1.9166666666665666E-3</c:v>
                </c:pt>
                <c:pt idx="27">
                  <c:v>-1.8437500000000439E-3</c:v>
                </c:pt>
                <c:pt idx="28">
                  <c:v>-2.0518292682927099E-3</c:v>
                </c:pt>
                <c:pt idx="29">
                  <c:v>-2.2500000000000111E-3</c:v>
                </c:pt>
                <c:pt idx="30">
                  <c:v>-2.4389534883720891E-3</c:v>
                </c:pt>
                <c:pt idx="31">
                  <c:v>-2.6193181818181632E-3</c:v>
                </c:pt>
                <c:pt idx="32">
                  <c:v>-2.5388888888888844E-3</c:v>
                </c:pt>
                <c:pt idx="33">
                  <c:v>-3.203804347826124E-3</c:v>
                </c:pt>
                <c:pt idx="34">
                  <c:v>-3.5984042553192518E-3</c:v>
                </c:pt>
                <c:pt idx="35">
                  <c:v>-3.9765624999999567E-3</c:v>
                </c:pt>
                <c:pt idx="36">
                  <c:v>-3.6428571428571382E-3</c:v>
                </c:pt>
                <c:pt idx="37">
                  <c:v>-3.5500000000001082E-3</c:v>
                </c:pt>
                <c:pt idx="38">
                  <c:v>-4.1299019607843584E-3</c:v>
                </c:pt>
                <c:pt idx="39">
                  <c:v>-3.5937500000000067E-3</c:v>
                </c:pt>
                <c:pt idx="40">
                  <c:v>-2.4339622641510795E-3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-2.6562500000000266E-3</c:v>
                </c:pt>
                <c:pt idx="44">
                  <c:v>-3.5899122807016813E-3</c:v>
                </c:pt>
                <c:pt idx="45">
                  <c:v>-3.3146551724137535E-3</c:v>
                </c:pt>
                <c:pt idx="46">
                  <c:v>-3.4343220338984262E-3</c:v>
                </c:pt>
                <c:pt idx="47">
                  <c:v>-3.5499999999999404E-3</c:v>
                </c:pt>
                <c:pt idx="48">
                  <c:v>-3.4754098360654426E-3</c:v>
                </c:pt>
                <c:pt idx="49">
                  <c:v>-3.4032258064515745E-3</c:v>
                </c:pt>
                <c:pt idx="50">
                  <c:v>-3.6944444444444572E-3</c:v>
                </c:pt>
                <c:pt idx="51">
                  <c:v>-2.7324218750001197E-3</c:v>
                </c:pt>
                <c:pt idx="52">
                  <c:v>-3.550000000000031E-3</c:v>
                </c:pt>
                <c:pt idx="53">
                  <c:v>-3.6534090909091117E-3</c:v>
                </c:pt>
                <c:pt idx="54">
                  <c:v>-2.3955223880597109E-3</c:v>
                </c:pt>
                <c:pt idx="55">
                  <c:v>-3.5165441176470968E-3</c:v>
                </c:pt>
                <c:pt idx="56">
                  <c:v>-2.461956521739066E-3</c:v>
                </c:pt>
                <c:pt idx="57">
                  <c:v>-3.225E-3</c:v>
                </c:pt>
                <c:pt idx="58">
                  <c:v>-3.4859154929577909E-3</c:v>
                </c:pt>
                <c:pt idx="59">
                  <c:v>-2.4756944444443907E-3</c:v>
                </c:pt>
                <c:pt idx="60">
                  <c:v>-2.2722602739727138E-3</c:v>
                </c:pt>
                <c:pt idx="61">
                  <c:v>-2.9966216216216549E-3</c:v>
                </c:pt>
                <c:pt idx="62">
                  <c:v>-2.9433333333333069E-3</c:v>
                </c:pt>
                <c:pt idx="63">
                  <c:v>-2.7417763157894719E-3</c:v>
                </c:pt>
                <c:pt idx="64">
                  <c:v>-2.9886363636364029E-3</c:v>
                </c:pt>
                <c:pt idx="65">
                  <c:v>-2.645833333333218E-3</c:v>
                </c:pt>
                <c:pt idx="66">
                  <c:v>-3.0316455696202268E-3</c:v>
                </c:pt>
                <c:pt idx="67">
                  <c:v>-2.9812500000000451E-3</c:v>
                </c:pt>
                <c:pt idx="68">
                  <c:v>-2.6512345679011303E-3</c:v>
                </c:pt>
                <c:pt idx="69">
                  <c:v>-2.7454268292683051E-3</c:v>
                </c:pt>
                <c:pt idx="70">
                  <c:v>-2.7003012048192358E-3</c:v>
                </c:pt>
                <c:pt idx="71">
                  <c:v>-2.5208333333334347E-3</c:v>
                </c:pt>
                <c:pt idx="72">
                  <c:v>-2.345588235294121E-3</c:v>
                </c:pt>
                <c:pt idx="73">
                  <c:v>-2.5712209302324808E-3</c:v>
                </c:pt>
                <c:pt idx="74">
                  <c:v>-2.3994252873563828E-3</c:v>
                </c:pt>
                <c:pt idx="75">
                  <c:v>-2.3607954545454644E-3</c:v>
                </c:pt>
                <c:pt idx="76">
                  <c:v>-2.4508426966292161E-3</c:v>
                </c:pt>
                <c:pt idx="77">
                  <c:v>-2.2861111111111341E-3</c:v>
                </c:pt>
                <c:pt idx="78">
                  <c:v>-2.2499999999999742E-3</c:v>
                </c:pt>
                <c:pt idx="79">
                  <c:v>-2.338315217391162E-3</c:v>
                </c:pt>
                <c:pt idx="80">
                  <c:v>-2.3024193548386298E-3</c:v>
                </c:pt>
                <c:pt idx="81">
                  <c:v>-2.3882978723405546E-3</c:v>
                </c:pt>
                <c:pt idx="82">
                  <c:v>-2.4723684210527525E-3</c:v>
                </c:pt>
                <c:pt idx="83">
                  <c:v>-2.4361979166666347E-3</c:v>
                </c:pt>
                <c:pt idx="84">
                  <c:v>-2.1662371134020105E-3</c:v>
                </c:pt>
                <c:pt idx="85">
                  <c:v>-2.3660714285713069E-3</c:v>
                </c:pt>
                <c:pt idx="86">
                  <c:v>-1.7575757575756046E-3</c:v>
                </c:pt>
                <c:pt idx="87">
                  <c:v>-2.4125000000001329E-3</c:v>
                </c:pt>
                <c:pt idx="88">
                  <c:v>-2.1534653465347655E-3</c:v>
                </c:pt>
                <c:pt idx="89">
                  <c:v>-2.2340686274510855E-3</c:v>
                </c:pt>
                <c:pt idx="90">
                  <c:v>-2.2026699029125841E-3</c:v>
                </c:pt>
                <c:pt idx="91">
                  <c:v>-2.2812499999999569E-3</c:v>
                </c:pt>
                <c:pt idx="92">
                  <c:v>-2.4666666666665581E-3</c:v>
                </c:pt>
                <c:pt idx="93">
                  <c:v>-2.5412735849057368E-3</c:v>
                </c:pt>
                <c:pt idx="94">
                  <c:v>-2.5081775700935868E-3</c:v>
                </c:pt>
                <c:pt idx="95">
                  <c:v>-2.1597222222222035E-3</c:v>
                </c:pt>
                <c:pt idx="96">
                  <c:v>-2.3394495412843211E-3</c:v>
                </c:pt>
                <c:pt idx="97">
                  <c:v>-1.9988636363635947E-3</c:v>
                </c:pt>
                <c:pt idx="98">
                  <c:v>-2.6891891891893467E-3</c:v>
                </c:pt>
                <c:pt idx="99">
                  <c:v>-2.6562500000000266E-3</c:v>
                </c:pt>
                <c:pt idx="100">
                  <c:v>-2.4225663716814253E-3</c:v>
                </c:pt>
                <c:pt idx="101">
                  <c:v>-2.3925438596491817E-3</c:v>
                </c:pt>
                <c:pt idx="102">
                  <c:v>-2.4619565217390074E-3</c:v>
                </c:pt>
                <c:pt idx="103">
                  <c:v>-2.3340517241379126E-3</c:v>
                </c:pt>
                <c:pt idx="104">
                  <c:v>-2.4027777777779263E-3</c:v>
                </c:pt>
                <c:pt idx="105">
                  <c:v>-1.988347457627185E-3</c:v>
                </c:pt>
                <c:pt idx="106">
                  <c:v>-2.4411764705882539E-3</c:v>
                </c:pt>
                <c:pt idx="107">
                  <c:v>-2.4125000000000656E-3</c:v>
                </c:pt>
                <c:pt idx="108">
                  <c:v>-2.4783057851238597E-3</c:v>
                </c:pt>
                <c:pt idx="109">
                  <c:v>-2.4497950819671534E-3</c:v>
                </c:pt>
                <c:pt idx="110">
                  <c:v>-2.5142276422765223E-3</c:v>
                </c:pt>
                <c:pt idx="111">
                  <c:v>-2.485887096774175E-3</c:v>
                </c:pt>
                <c:pt idx="112">
                  <c:v>-2.275999999999966E-3</c:v>
                </c:pt>
                <c:pt idx="113">
                  <c:v>-2.2500000000000111E-3</c:v>
                </c:pt>
                <c:pt idx="114">
                  <c:v>-2.4931102362203794E-3</c:v>
                </c:pt>
                <c:pt idx="115">
                  <c:v>-2.5546875000000604E-3</c:v>
                </c:pt>
                <c:pt idx="116">
                  <c:v>-2.3507751937984944E-3</c:v>
                </c:pt>
                <c:pt idx="117">
                  <c:v>-2.2374999999999813E-3</c:v>
                </c:pt>
                <c:pt idx="118">
                  <c:v>-2.2996183206106633E-3</c:v>
                </c:pt>
                <c:pt idx="119">
                  <c:v>-1.8437499999999522E-3</c:v>
                </c:pt>
                <c:pt idx="120">
                  <c:v>-2.3355263157894884E-3</c:v>
                </c:pt>
                <c:pt idx="121">
                  <c:v>-2.3106343283582653E-3</c:v>
                </c:pt>
                <c:pt idx="122">
                  <c:v>-2.2861111111112092E-3</c:v>
                </c:pt>
                <c:pt idx="123">
                  <c:v>-1.9273897058823802E-3</c:v>
                </c:pt>
                <c:pt idx="124">
                  <c:v>-2.1551094890510255E-3</c:v>
                </c:pt>
                <c:pt idx="125">
                  <c:v>-2.2971014492753892E-3</c:v>
                </c:pt>
                <c:pt idx="126">
                  <c:v>-2.3552158273380066E-3</c:v>
                </c:pt>
                <c:pt idx="127">
                  <c:v>-2.1687500000000079E-3</c:v>
                </c:pt>
                <c:pt idx="128">
                  <c:v>-2.3076241134751363E-3</c:v>
                </c:pt>
                <c:pt idx="129">
                  <c:v>-2.1241197183098047E-3</c:v>
                </c:pt>
                <c:pt idx="130">
                  <c:v>-2.1818181818181234E-3</c:v>
                </c:pt>
                <c:pt idx="131">
                  <c:v>-2.1597222222222035E-3</c:v>
                </c:pt>
                <c:pt idx="132">
                  <c:v>-2.1379310344826399E-3</c:v>
                </c:pt>
                <c:pt idx="133">
                  <c:v>-1.9606164383561713E-3</c:v>
                </c:pt>
                <c:pt idx="134">
                  <c:v>-1.5535714285714135E-3</c:v>
                </c:pt>
                <c:pt idx="135">
                  <c:v>-1.8437499999999893E-3</c:v>
                </c:pt>
                <c:pt idx="136">
                  <c:v>-1.9010067114093811E-3</c:v>
                </c:pt>
                <c:pt idx="137">
                  <c:v>-1.881666666666555E-3</c:v>
                </c:pt>
                <c:pt idx="138">
                  <c:v>-1.9379139072847867E-3</c:v>
                </c:pt>
                <c:pt idx="139">
                  <c:v>-1.7689144736842161E-3</c:v>
                </c:pt>
                <c:pt idx="140">
                  <c:v>-1.6764705882352459E-3</c:v>
                </c:pt>
                <c:pt idx="141">
                  <c:v>-1.659090909090898E-3</c:v>
                </c:pt>
                <c:pt idx="142">
                  <c:v>-1.2749999999999682E-3</c:v>
                </c:pt>
                <c:pt idx="143">
                  <c:v>-1.7708333333333142E-3</c:v>
                </c:pt>
                <c:pt idx="144">
                  <c:v>-1.8256369426752647E-3</c:v>
                </c:pt>
                <c:pt idx="145">
                  <c:v>-1.8077531645569747E-3</c:v>
                </c:pt>
                <c:pt idx="146">
                  <c:v>-1.7900943396226899E-3</c:v>
                </c:pt>
                <c:pt idx="147">
                  <c:v>-1.8437500000000439E-3</c:v>
                </c:pt>
                <c:pt idx="148">
                  <c:v>-1.7554347826086883E-3</c:v>
                </c:pt>
                <c:pt idx="149">
                  <c:v>-1.3873456790123183E-3</c:v>
                </c:pt>
                <c:pt idx="150">
                  <c:v>-1.6518404907976468E-3</c:v>
                </c:pt>
                <c:pt idx="151">
                  <c:v>-1.7050304878048509E-3</c:v>
                </c:pt>
                <c:pt idx="152">
                  <c:v>-1.6886363636363711E-3</c:v>
                </c:pt>
                <c:pt idx="153">
                  <c:v>-1.3983433734939259E-3</c:v>
                </c:pt>
                <c:pt idx="154">
                  <c:v>-1.4520958083831801E-3</c:v>
                </c:pt>
                <c:pt idx="155">
                  <c:v>-1.6406250000001084E-3</c:v>
                </c:pt>
                <c:pt idx="156">
                  <c:v>-1.7596153846154512E-3</c:v>
                </c:pt>
                <c:pt idx="157">
                  <c:v>-1.7433823529411571E-3</c:v>
                </c:pt>
                <c:pt idx="158">
                  <c:v>-1.7273391812865637E-3</c:v>
                </c:pt>
                <c:pt idx="159">
                  <c:v>-1.7114825581394642E-3</c:v>
                </c:pt>
                <c:pt idx="160">
                  <c:v>-1.7615606936415445E-3</c:v>
                </c:pt>
                <c:pt idx="161">
                  <c:v>-1.7456896551724889E-3</c:v>
                </c:pt>
                <c:pt idx="162">
                  <c:v>-1.8600000000000348E-3</c:v>
                </c:pt>
                <c:pt idx="163">
                  <c:v>-1.5205965909091074E-3</c:v>
                </c:pt>
                <c:pt idx="164">
                  <c:v>-1.7634180790960653E-3</c:v>
                </c:pt>
                <c:pt idx="165">
                  <c:v>-1.6200842696629304E-3</c:v>
                </c:pt>
                <c:pt idx="166">
                  <c:v>-1.6689944134077137E-3</c:v>
                </c:pt>
                <c:pt idx="167">
                  <c:v>-1.5277777777777722E-3</c:v>
                </c:pt>
                <c:pt idx="168">
                  <c:v>-1.576657458563527E-3</c:v>
                </c:pt>
                <c:pt idx="169">
                  <c:v>-1.5625000000000222E-3</c:v>
                </c:pt>
                <c:pt idx="170">
                  <c:v>-1.4863387978141848E-3</c:v>
                </c:pt>
                <c:pt idx="171">
                  <c:v>-1.5964673913043972E-3</c:v>
                </c:pt>
                <c:pt idx="172">
                  <c:v>-1.7054054054053077E-3</c:v>
                </c:pt>
                <c:pt idx="173">
                  <c:v>-1.629704301075236E-3</c:v>
                </c:pt>
                <c:pt idx="174">
                  <c:v>-1.5548128342244142E-3</c:v>
                </c:pt>
                <c:pt idx="175">
                  <c:v>-1.5412234042554876E-3</c:v>
                </c:pt>
                <c:pt idx="176">
                  <c:v>-1.5879629629631273E-3</c:v>
                </c:pt>
                <c:pt idx="177">
                  <c:v>-1.5743421052632448E-3</c:v>
                </c:pt>
                <c:pt idx="178">
                  <c:v>-1.679973821989473E-3</c:v>
                </c:pt>
                <c:pt idx="179">
                  <c:v>-1.7252604166666078E-3</c:v>
                </c:pt>
                <c:pt idx="180">
                  <c:v>-1.5343264248705352E-3</c:v>
                </c:pt>
                <c:pt idx="181">
                  <c:v>-1.4039948453608833E-3</c:v>
                </c:pt>
                <c:pt idx="182">
                  <c:v>-1.3916666666666504E-3</c:v>
                </c:pt>
                <c:pt idx="183">
                  <c:v>-1.3794642857141953E-3</c:v>
                </c:pt>
                <c:pt idx="184">
                  <c:v>-1.2519035532993926E-3</c:v>
                </c:pt>
                <c:pt idx="185">
                  <c:v>-1.3554292929292607E-3</c:v>
                </c:pt>
                <c:pt idx="186">
                  <c:v>-1.2864321608038452E-3</c:v>
                </c:pt>
                <c:pt idx="187">
                  <c:v>-1.2750000000001571E-3</c:v>
                </c:pt>
                <c:pt idx="188">
                  <c:v>-1.2636815920398848E-3</c:v>
                </c:pt>
                <c:pt idx="189">
                  <c:v>-1.3087871287129516E-3</c:v>
                </c:pt>
                <c:pt idx="190">
                  <c:v>-1.2974137931034565E-3</c:v>
                </c:pt>
                <c:pt idx="191">
                  <c:v>-1.2303921568628121E-3</c:v>
                </c:pt>
                <c:pt idx="192">
                  <c:v>-1.2750000000000634E-3</c:v>
                </c:pt>
                <c:pt idx="193">
                  <c:v>-1.2639563106796043E-3</c:v>
                </c:pt>
                <c:pt idx="194">
                  <c:v>-1.4728260869565175E-3</c:v>
                </c:pt>
                <c:pt idx="195">
                  <c:v>-1.406249999999859E-3</c:v>
                </c:pt>
                <c:pt idx="196">
                  <c:v>-1.2858851674639653E-3</c:v>
                </c:pt>
                <c:pt idx="197">
                  <c:v>-1.2208333333332416E-3</c:v>
                </c:pt>
                <c:pt idx="198">
                  <c:v>-9.9466824644564816E-4</c:v>
                </c:pt>
                <c:pt idx="199">
                  <c:v>-1.2535377358490845E-3</c:v>
                </c:pt>
                <c:pt idx="200">
                  <c:v>-1.2429577464788328E-3</c:v>
                </c:pt>
                <c:pt idx="201">
                  <c:v>-1.2324766355140992E-3</c:v>
                </c:pt>
                <c:pt idx="202">
                  <c:v>-1.2750000000000773E-3</c:v>
                </c:pt>
                <c:pt idx="203">
                  <c:v>-1.2118055555555007E-3</c:v>
                </c:pt>
                <c:pt idx="204">
                  <c:v>-1.3064516129032324E-3</c:v>
                </c:pt>
                <c:pt idx="205">
                  <c:v>-1.2958715596329674E-3</c:v>
                </c:pt>
                <c:pt idx="206">
                  <c:v>-1.3373287671232248E-3</c:v>
                </c:pt>
                <c:pt idx="207">
                  <c:v>-1.3267045454544168E-3</c:v>
                </c:pt>
                <c:pt idx="208">
                  <c:v>-1.3161764705882243E-3</c:v>
                </c:pt>
                <c:pt idx="209">
                  <c:v>-1.3057432432433487E-3</c:v>
                </c:pt>
                <c:pt idx="210">
                  <c:v>-1.1423766816143837E-3</c:v>
                </c:pt>
                <c:pt idx="211">
                  <c:v>-1.5390625000001046E-3</c:v>
                </c:pt>
                <c:pt idx="212">
                  <c:v>-1.4266666666667622E-3</c:v>
                </c:pt>
                <c:pt idx="213">
                  <c:v>-1.5165929203539573E-3</c:v>
                </c:pt>
                <c:pt idx="214">
                  <c:v>-1.4052863436123013E-3</c:v>
                </c:pt>
                <c:pt idx="215">
                  <c:v>-1.3947368421053433E-3</c:v>
                </c:pt>
                <c:pt idx="216">
                  <c:v>-1.4339519650654027E-3</c:v>
                </c:pt>
                <c:pt idx="217">
                  <c:v>-1.4233695652174048E-3</c:v>
                </c:pt>
                <c:pt idx="218">
                  <c:v>-1.4621212121212228E-3</c:v>
                </c:pt>
                <c:pt idx="219">
                  <c:v>-1.2063577586206864E-3</c:v>
                </c:pt>
                <c:pt idx="220">
                  <c:v>-1.4898068669527351E-3</c:v>
                </c:pt>
                <c:pt idx="221">
                  <c:v>-1.5277777777778932E-3</c:v>
                </c:pt>
                <c:pt idx="222">
                  <c:v>-1.6138297872340418E-3</c:v>
                </c:pt>
                <c:pt idx="223">
                  <c:v>-1.5545550847458128E-3</c:v>
                </c:pt>
                <c:pt idx="224">
                  <c:v>-1.6397679324895572E-3</c:v>
                </c:pt>
                <c:pt idx="225">
                  <c:v>-1.3897058823530331E-3</c:v>
                </c:pt>
                <c:pt idx="226">
                  <c:v>-1.7604602510460138E-3</c:v>
                </c:pt>
                <c:pt idx="227">
                  <c:v>-1.7015625000000385E-3</c:v>
                </c:pt>
                <c:pt idx="228">
                  <c:v>-1.6903526970954137E-3</c:v>
                </c:pt>
                <c:pt idx="229">
                  <c:v>-1.5382231404957806E-3</c:v>
                </c:pt>
                <c:pt idx="230">
                  <c:v>-1.4341563786007283E-3</c:v>
                </c:pt>
                <c:pt idx="231">
                  <c:v>-1.564036885245753E-3</c:v>
                </c:pt>
                <c:pt idx="232">
                  <c:v>-1.5535714285715508E-3</c:v>
                </c:pt>
                <c:pt idx="233">
                  <c:v>-1.450711382113935E-3</c:v>
                </c:pt>
                <c:pt idx="234">
                  <c:v>-1.4868421052632687E-3</c:v>
                </c:pt>
                <c:pt idx="235">
                  <c:v>-1.4309475806451571E-3</c:v>
                </c:pt>
                <c:pt idx="236">
                  <c:v>-1.4668674698795111E-3</c:v>
                </c:pt>
                <c:pt idx="237">
                  <c:v>-1.3659999999999855E-3</c:v>
                </c:pt>
                <c:pt idx="238">
                  <c:v>-1.4472111553785244E-3</c:v>
                </c:pt>
                <c:pt idx="239">
                  <c:v>-1.3923611111110363E-3</c:v>
                </c:pt>
                <c:pt idx="240">
                  <c:v>-1.3379446640315936E-3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B51-4335-814D-53B8B9178B55}"/>
            </c:ext>
          </c:extLst>
        </c:ser>
        <c:ser>
          <c:idx val="21"/>
          <c:order val="21"/>
          <c:tx>
            <c:strRef>
              <c:f>'전류편차_24mA(절대값기준)'!$CK$7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'전류편차_24mA(절대값기준)'!$CK$22:$CK$262</c:f>
              <c:numCache>
                <c:formatCode>0.0%</c:formatCode>
                <c:ptCount val="241"/>
                <c:pt idx="0">
                  <c:v>3.6250000000000726E-3</c:v>
                </c:pt>
                <c:pt idx="1">
                  <c:v>4.2499999999999344E-3</c:v>
                </c:pt>
                <c:pt idx="2">
                  <c:v>4.0333333333334E-3</c:v>
                </c:pt>
                <c:pt idx="3">
                  <c:v>1.7109374999999432E-3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4.3124999999995809E-4</c:v>
                </c:pt>
                <c:pt idx="8">
                  <c:v>4.5833333333326432E-4</c:v>
                </c:pt>
                <c:pt idx="9">
                  <c:v>-3.4090909090945711E-5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-8.2000000000000508E-4</c:v>
                </c:pt>
                <c:pt idx="13">
                  <c:v>-2.0624999999998839E-3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-9.6120689655159537E-4</c:v>
                </c:pt>
                <c:pt idx="17">
                  <c:v>-8.9583333333339752E-4</c:v>
                </c:pt>
                <c:pt idx="18">
                  <c:v>-4.6774193548383019E-4</c:v>
                </c:pt>
                <c:pt idx="19">
                  <c:v>-1.1328125000000591E-3</c:v>
                </c:pt>
                <c:pt idx="20">
                  <c:v>-7.2348484848480915E-4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-1.1520270270269902E-3</c:v>
                </c:pt>
                <c:pt idx="25">
                  <c:v>-1.6940789473684681E-3</c:v>
                </c:pt>
                <c:pt idx="26">
                  <c:v>-1.6249999999999321E-3</c:v>
                </c:pt>
                <c:pt idx="27">
                  <c:v>-1.2749999999999804E-3</c:v>
                </c:pt>
                <c:pt idx="28">
                  <c:v>-1.7743902439024968E-3</c:v>
                </c:pt>
                <c:pt idx="29">
                  <c:v>-1.9791666666667076E-3</c:v>
                </c:pt>
                <c:pt idx="30">
                  <c:v>-1.3808139534883673E-3</c:v>
                </c:pt>
                <c:pt idx="31">
                  <c:v>-1.3267045454545545E-3</c:v>
                </c:pt>
                <c:pt idx="32">
                  <c:v>-1.0222222222222724E-3</c:v>
                </c:pt>
                <c:pt idx="33">
                  <c:v>-7.3097826086943529E-4</c:v>
                </c:pt>
                <c:pt idx="34">
                  <c:v>-1.1781914893618569E-3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-9.6874999999990719E-4</c:v>
                </c:pt>
                <c:pt idx="40">
                  <c:v>-9.316037735849213E-4</c:v>
                </c:pt>
                <c:pt idx="41">
                  <c:v>-1.106481481481485E-3</c:v>
                </c:pt>
                <c:pt idx="42">
                  <c:v>-1.2749999999999919E-3</c:v>
                </c:pt>
                <c:pt idx="43">
                  <c:v>-1.234375000000093E-3</c:v>
                </c:pt>
                <c:pt idx="44">
                  <c:v>-1.7938596491228432E-3</c:v>
                </c:pt>
                <c:pt idx="45">
                  <c:v>-1.7456896551723729E-3</c:v>
                </c:pt>
                <c:pt idx="46">
                  <c:v>-1.3135593220339964E-3</c:v>
                </c:pt>
                <c:pt idx="47">
                  <c:v>-1.2750000000000224E-3</c:v>
                </c:pt>
                <c:pt idx="48">
                  <c:v>-1.2377049180327363E-3</c:v>
                </c:pt>
                <c:pt idx="49">
                  <c:v>-1.0181451612903025E-3</c:v>
                </c:pt>
                <c:pt idx="50">
                  <c:v>-9.8611111111102101E-4</c:v>
                </c:pt>
                <c:pt idx="51">
                  <c:v>-1.3105468750001185E-3</c:v>
                </c:pt>
                <c:pt idx="52">
                  <c:v>-1.4499999999999513E-3</c:v>
                </c:pt>
                <c:pt idx="53">
                  <c:v>-1.4128787878788258E-3</c:v>
                </c:pt>
                <c:pt idx="54">
                  <c:v>-1.2070895522388709E-3</c:v>
                </c:pt>
                <c:pt idx="55">
                  <c:v>-1.5091911764705502E-3</c:v>
                </c:pt>
                <c:pt idx="56">
                  <c:v>-1.3079710144927432E-3</c:v>
                </c:pt>
                <c:pt idx="57">
                  <c:v>-1.2750000000000703E-3</c:v>
                </c:pt>
                <c:pt idx="58">
                  <c:v>-1.4031690140845676E-3</c:v>
                </c:pt>
                <c:pt idx="59">
                  <c:v>-1.3697916666666648E-3</c:v>
                </c:pt>
                <c:pt idx="60">
                  <c:v>-1.493150684931496E-3</c:v>
                </c:pt>
                <c:pt idx="61">
                  <c:v>-1.7668918918919238E-3</c:v>
                </c:pt>
                <c:pt idx="62">
                  <c:v>-1.4266666666666724E-3</c:v>
                </c:pt>
                <c:pt idx="63">
                  <c:v>-9.4572368421058943E-4</c:v>
                </c:pt>
                <c:pt idx="64">
                  <c:v>-1.5113636363635759E-3</c:v>
                </c:pt>
                <c:pt idx="65">
                  <c:v>-8.9583333333328097E-4</c:v>
                </c:pt>
                <c:pt idx="66">
                  <c:v>-8.7183544303799459E-4</c:v>
                </c:pt>
                <c:pt idx="67">
                  <c:v>-8.4843749999996413E-4</c:v>
                </c:pt>
                <c:pt idx="68">
                  <c:v>-6.851851851851728E-4</c:v>
                </c:pt>
                <c:pt idx="69">
                  <c:v>-1.2195121951219469E-3</c:v>
                </c:pt>
                <c:pt idx="70">
                  <c:v>-1.0557228915662833E-3</c:v>
                </c:pt>
                <c:pt idx="71">
                  <c:v>-1.0312500000000853E-3</c:v>
                </c:pt>
                <c:pt idx="72">
                  <c:v>-1.1411764705881932E-3</c:v>
                </c:pt>
                <c:pt idx="73">
                  <c:v>-8.5174418604644754E-4</c:v>
                </c:pt>
                <c:pt idx="74">
                  <c:v>-1.2227011494253038E-3</c:v>
                </c:pt>
                <c:pt idx="75">
                  <c:v>-1.1974431818181476E-3</c:v>
                </c:pt>
                <c:pt idx="76">
                  <c:v>-1.3005617977527681E-3</c:v>
                </c:pt>
                <c:pt idx="77">
                  <c:v>-1.4013888888889535E-3</c:v>
                </c:pt>
                <c:pt idx="78">
                  <c:v>-1.4999999999999458E-3</c:v>
                </c:pt>
                <c:pt idx="79">
                  <c:v>-1.3491847826086624E-3</c:v>
                </c:pt>
                <c:pt idx="80">
                  <c:v>-1.4462365591397452E-3</c:v>
                </c:pt>
                <c:pt idx="81">
                  <c:v>-1.0571808510638366E-3</c:v>
                </c:pt>
                <c:pt idx="82">
                  <c:v>-1.1552631578947369E-3</c:v>
                </c:pt>
                <c:pt idx="83">
                  <c:v>-1.1328125000000591E-3</c:v>
                </c:pt>
                <c:pt idx="84">
                  <c:v>-1.2280927835052065E-3</c:v>
                </c:pt>
                <c:pt idx="85">
                  <c:v>-1.2053571428570459E-3</c:v>
                </c:pt>
                <c:pt idx="86">
                  <c:v>-1.5277777777777521E-3</c:v>
                </c:pt>
                <c:pt idx="87">
                  <c:v>-1.2750000000001571E-3</c:v>
                </c:pt>
                <c:pt idx="88">
                  <c:v>-1.3650990099009393E-3</c:v>
                </c:pt>
                <c:pt idx="89">
                  <c:v>-1.6764705882353118E-3</c:v>
                </c:pt>
                <c:pt idx="90">
                  <c:v>-1.7609223300970988E-3</c:v>
                </c:pt>
                <c:pt idx="91">
                  <c:v>-1.7343749999998714E-3</c:v>
                </c:pt>
                <c:pt idx="92">
                  <c:v>-1.9249999999999992E-3</c:v>
                </c:pt>
                <c:pt idx="93">
                  <c:v>-1.8974056603774108E-3</c:v>
                </c:pt>
                <c:pt idx="94">
                  <c:v>-1.7640186915887598E-3</c:v>
                </c:pt>
                <c:pt idx="95">
                  <c:v>-1.5277777777777349E-3</c:v>
                </c:pt>
                <c:pt idx="96">
                  <c:v>-1.5045871559633123E-3</c:v>
                </c:pt>
                <c:pt idx="97">
                  <c:v>-1.4818181818180591E-3</c:v>
                </c:pt>
                <c:pt idx="98">
                  <c:v>-1.4594594594595706E-3</c:v>
                </c:pt>
                <c:pt idx="99">
                  <c:v>-1.4374999999999805E-3</c:v>
                </c:pt>
                <c:pt idx="100">
                  <c:v>-1.214601769911468E-3</c:v>
                </c:pt>
                <c:pt idx="101">
                  <c:v>-1.2949561403508354E-3</c:v>
                </c:pt>
                <c:pt idx="102">
                  <c:v>-1.176086956521626E-3</c:v>
                </c:pt>
                <c:pt idx="103">
                  <c:v>-1.2553879310343652E-3</c:v>
                </c:pt>
                <c:pt idx="104">
                  <c:v>-1.2361111111112155E-3</c:v>
                </c:pt>
                <c:pt idx="105">
                  <c:v>-1.2171610169491327E-3</c:v>
                </c:pt>
                <c:pt idx="106">
                  <c:v>-1.2941176470587985E-3</c:v>
                </c:pt>
                <c:pt idx="107">
                  <c:v>-1.3697916666666366E-3</c:v>
                </c:pt>
                <c:pt idx="108">
                  <c:v>-1.4442148760330227E-3</c:v>
                </c:pt>
                <c:pt idx="109">
                  <c:v>-1.5174180327868453E-3</c:v>
                </c:pt>
                <c:pt idx="110">
                  <c:v>-1.4969512195122012E-3</c:v>
                </c:pt>
                <c:pt idx="111">
                  <c:v>-1.385080645161393E-3</c:v>
                </c:pt>
                <c:pt idx="112">
                  <c:v>-1.4569999999999349E-3</c:v>
                </c:pt>
                <c:pt idx="113">
                  <c:v>-1.4374999999999805E-3</c:v>
                </c:pt>
                <c:pt idx="114">
                  <c:v>-1.507874015748007E-3</c:v>
                </c:pt>
                <c:pt idx="115">
                  <c:v>-1.4882812500000198E-3</c:v>
                </c:pt>
                <c:pt idx="116">
                  <c:v>-1.5571705426356737E-3</c:v>
                </c:pt>
                <c:pt idx="117">
                  <c:v>-1.5375000000000581E-3</c:v>
                </c:pt>
                <c:pt idx="118">
                  <c:v>-1.6049618320611216E-3</c:v>
                </c:pt>
                <c:pt idx="119">
                  <c:v>-1.5852272727272152E-3</c:v>
                </c:pt>
                <c:pt idx="120">
                  <c:v>-1.6513157894736223E-3</c:v>
                </c:pt>
                <c:pt idx="121">
                  <c:v>-1.7164179104478454E-3</c:v>
                </c:pt>
                <c:pt idx="122">
                  <c:v>-1.7805555555556346E-3</c:v>
                </c:pt>
                <c:pt idx="123">
                  <c:v>-2.0110294117646867E-3</c:v>
                </c:pt>
                <c:pt idx="124">
                  <c:v>-2.1551094890510255E-3</c:v>
                </c:pt>
                <c:pt idx="125">
                  <c:v>-2.1322463768115663E-3</c:v>
                </c:pt>
                <c:pt idx="126">
                  <c:v>-2.2733812949639509E-3</c:v>
                </c:pt>
                <c:pt idx="127">
                  <c:v>-2.0875000000000533E-3</c:v>
                </c:pt>
                <c:pt idx="128">
                  <c:v>-2.1462765957447291E-3</c:v>
                </c:pt>
                <c:pt idx="129">
                  <c:v>-2.2042253521127194E-3</c:v>
                </c:pt>
                <c:pt idx="130">
                  <c:v>-2.1818181818181234E-3</c:v>
                </c:pt>
                <c:pt idx="131">
                  <c:v>-2.1597222222222035E-3</c:v>
                </c:pt>
                <c:pt idx="132">
                  <c:v>-2.2163793103448046E-3</c:v>
                </c:pt>
                <c:pt idx="133">
                  <c:v>-2.2722602739727138E-3</c:v>
                </c:pt>
                <c:pt idx="134">
                  <c:v>-2.2500000000000111E-3</c:v>
                </c:pt>
                <c:pt idx="135">
                  <c:v>-2.3048986486486553E-3</c:v>
                </c:pt>
                <c:pt idx="136">
                  <c:v>-2.4354026845637188E-3</c:v>
                </c:pt>
                <c:pt idx="137">
                  <c:v>-2.4883333333332895E-3</c:v>
                </c:pt>
                <c:pt idx="138">
                  <c:v>-2.5405629139073705E-3</c:v>
                </c:pt>
                <c:pt idx="139">
                  <c:v>-2.7417763157894719E-3</c:v>
                </c:pt>
                <c:pt idx="140">
                  <c:v>-2.9403594771242269E-3</c:v>
                </c:pt>
                <c:pt idx="141">
                  <c:v>-2.9147727272726765E-3</c:v>
                </c:pt>
                <c:pt idx="142">
                  <c:v>-2.8161290322580913E-3</c:v>
                </c:pt>
                <c:pt idx="143">
                  <c:v>-2.864583333333226E-3</c:v>
                </c:pt>
                <c:pt idx="144">
                  <c:v>-2.9124203821656227E-3</c:v>
                </c:pt>
                <c:pt idx="145">
                  <c:v>-2.959651898734191E-3</c:v>
                </c:pt>
                <c:pt idx="146">
                  <c:v>-3.0778301886792152E-3</c:v>
                </c:pt>
                <c:pt idx="147">
                  <c:v>-2.9812500000000451E-3</c:v>
                </c:pt>
                <c:pt idx="148">
                  <c:v>-3.1684782608695275E-3</c:v>
                </c:pt>
                <c:pt idx="149">
                  <c:v>-3.2129629629629218E-3</c:v>
                </c:pt>
                <c:pt idx="150">
                  <c:v>-3.1871165644171712E-3</c:v>
                </c:pt>
                <c:pt idx="151">
                  <c:v>-3.2309451219512094E-3</c:v>
                </c:pt>
                <c:pt idx="152">
                  <c:v>-3.4121212121212439E-3</c:v>
                </c:pt>
                <c:pt idx="153">
                  <c:v>-3.4540662650602689E-3</c:v>
                </c:pt>
                <c:pt idx="154">
                  <c:v>-3.4955089820358312E-3</c:v>
                </c:pt>
                <c:pt idx="155">
                  <c:v>-3.5364583333333532E-3</c:v>
                </c:pt>
                <c:pt idx="156">
                  <c:v>-3.7788461538461773E-3</c:v>
                </c:pt>
                <c:pt idx="157">
                  <c:v>-3.9514705882353583E-3</c:v>
                </c:pt>
                <c:pt idx="158">
                  <c:v>-3.9225146198830201E-3</c:v>
                </c:pt>
                <c:pt idx="159">
                  <c:v>-3.8277616279069082E-3</c:v>
                </c:pt>
                <c:pt idx="160">
                  <c:v>-3.931358381502899E-3</c:v>
                </c:pt>
                <c:pt idx="161">
                  <c:v>-3.8376436781609965E-3</c:v>
                </c:pt>
                <c:pt idx="162">
                  <c:v>-3.8099999999999931E-3</c:v>
                </c:pt>
                <c:pt idx="163">
                  <c:v>-3.7826704545454799E-3</c:v>
                </c:pt>
                <c:pt idx="164">
                  <c:v>-3.7556497175140675E-3</c:v>
                </c:pt>
                <c:pt idx="165">
                  <c:v>-3.9206460674157135E-3</c:v>
                </c:pt>
                <c:pt idx="166">
                  <c:v>-3.7660614525139384E-3</c:v>
                </c:pt>
                <c:pt idx="167">
                  <c:v>-3.8027777777778584E-3</c:v>
                </c:pt>
                <c:pt idx="168">
                  <c:v>-3.7762430939226516E-3</c:v>
                </c:pt>
                <c:pt idx="169">
                  <c:v>-3.8124999999999964E-3</c:v>
                </c:pt>
                <c:pt idx="170">
                  <c:v>-3.848360655737698E-3</c:v>
                </c:pt>
                <c:pt idx="171">
                  <c:v>-3.9456521739131088E-3</c:v>
                </c:pt>
                <c:pt idx="172">
                  <c:v>-4.0418918918918101E-3</c:v>
                </c:pt>
                <c:pt idx="173">
                  <c:v>-4.0759408602149688E-3</c:v>
                </c:pt>
                <c:pt idx="174">
                  <c:v>-3.9879679144384826E-3</c:v>
                </c:pt>
                <c:pt idx="175">
                  <c:v>-3.9614361702128825E-3</c:v>
                </c:pt>
                <c:pt idx="176">
                  <c:v>-3.8750000000001795E-3</c:v>
                </c:pt>
                <c:pt idx="177">
                  <c:v>-3.9690789473684563E-3</c:v>
                </c:pt>
                <c:pt idx="178">
                  <c:v>-4.0026178010471522E-3</c:v>
                </c:pt>
                <c:pt idx="179">
                  <c:v>-3.8580729166666885E-3</c:v>
                </c:pt>
                <c:pt idx="180">
                  <c:v>-3.9507772020726294E-3</c:v>
                </c:pt>
                <c:pt idx="181">
                  <c:v>-3.9838917525774065E-3</c:v>
                </c:pt>
                <c:pt idx="182">
                  <c:v>-3.8416666666665359E-3</c:v>
                </c:pt>
                <c:pt idx="183">
                  <c:v>-3.8749999999998668E-3</c:v>
                </c:pt>
                <c:pt idx="184">
                  <c:v>-3.9657360406090717E-3</c:v>
                </c:pt>
                <c:pt idx="185">
                  <c:v>-3.8832070707070666E-3</c:v>
                </c:pt>
                <c:pt idx="186">
                  <c:v>-4.0301507537687737E-3</c:v>
                </c:pt>
                <c:pt idx="187">
                  <c:v>-4.005000000000058E-3</c:v>
                </c:pt>
                <c:pt idx="188">
                  <c:v>-4.0932835820896765E-3</c:v>
                </c:pt>
                <c:pt idx="189">
                  <c:v>-4.1806930693069197E-3</c:v>
                </c:pt>
                <c:pt idx="190">
                  <c:v>-4.0991379310345308E-3</c:v>
                </c:pt>
                <c:pt idx="191">
                  <c:v>-4.018382352941283E-3</c:v>
                </c:pt>
                <c:pt idx="192">
                  <c:v>-4.1048780487804616E-3</c:v>
                </c:pt>
                <c:pt idx="193">
                  <c:v>-4.0248786407767311E-3</c:v>
                </c:pt>
                <c:pt idx="194">
                  <c:v>-4.0555555555555839E-3</c:v>
                </c:pt>
                <c:pt idx="195">
                  <c:v>-4.0312499999999585E-3</c:v>
                </c:pt>
                <c:pt idx="196">
                  <c:v>-4.0071770334927127E-3</c:v>
                </c:pt>
                <c:pt idx="197">
                  <c:v>-3.983333333333154E-3</c:v>
                </c:pt>
                <c:pt idx="198">
                  <c:v>-4.013625592417071E-3</c:v>
                </c:pt>
                <c:pt idx="199">
                  <c:v>-3.9899764150944711E-3</c:v>
                </c:pt>
                <c:pt idx="200">
                  <c:v>-4.0199530516433204E-3</c:v>
                </c:pt>
                <c:pt idx="201">
                  <c:v>-3.9964953271028631E-3</c:v>
                </c:pt>
                <c:pt idx="202">
                  <c:v>-3.9203488372092287E-3</c:v>
                </c:pt>
                <c:pt idx="203">
                  <c:v>-3.8975694444444912E-3</c:v>
                </c:pt>
                <c:pt idx="204">
                  <c:v>-4.0846774193548886E-3</c:v>
                </c:pt>
                <c:pt idx="205">
                  <c:v>-4.1135321100917895E-3</c:v>
                </c:pt>
                <c:pt idx="206">
                  <c:v>-4.0382420091323364E-3</c:v>
                </c:pt>
                <c:pt idx="207">
                  <c:v>-4.0670454545453684E-3</c:v>
                </c:pt>
                <c:pt idx="208">
                  <c:v>-3.9926470588234984E-3</c:v>
                </c:pt>
                <c:pt idx="209">
                  <c:v>-3.8676801801803217E-3</c:v>
                </c:pt>
                <c:pt idx="210">
                  <c:v>-3.8968609865472235E-3</c:v>
                </c:pt>
                <c:pt idx="211">
                  <c:v>-3.9257812500001349E-3</c:v>
                </c:pt>
                <c:pt idx="212">
                  <c:v>-4.0050000000000138E-3</c:v>
                </c:pt>
                <c:pt idx="213">
                  <c:v>-4.0331858407079754E-3</c:v>
                </c:pt>
                <c:pt idx="214">
                  <c:v>-4.0611233480176293E-3</c:v>
                </c:pt>
                <c:pt idx="215">
                  <c:v>-4.0389254385964348E-3</c:v>
                </c:pt>
                <c:pt idx="216">
                  <c:v>-4.0665938864628236E-3</c:v>
                </c:pt>
                <c:pt idx="217">
                  <c:v>-4.0940217391303739E-3</c:v>
                </c:pt>
                <c:pt idx="218">
                  <c:v>-4.2196969696968517E-3</c:v>
                </c:pt>
                <c:pt idx="219">
                  <c:v>-4.1971982758620633E-3</c:v>
                </c:pt>
                <c:pt idx="220">
                  <c:v>-4.272532188841079E-3</c:v>
                </c:pt>
                <c:pt idx="221">
                  <c:v>-4.3958333333333271E-3</c:v>
                </c:pt>
                <c:pt idx="222">
                  <c:v>-4.3728723404256355E-3</c:v>
                </c:pt>
                <c:pt idx="223">
                  <c:v>-4.3019067796610001E-3</c:v>
                </c:pt>
                <c:pt idx="224">
                  <c:v>-4.3755274261603767E-3</c:v>
                </c:pt>
                <c:pt idx="225">
                  <c:v>-4.4007352941176836E-3</c:v>
                </c:pt>
                <c:pt idx="226">
                  <c:v>-4.3781380753137823E-3</c:v>
                </c:pt>
                <c:pt idx="227">
                  <c:v>-4.403124999999973E-3</c:v>
                </c:pt>
                <c:pt idx="228">
                  <c:v>-4.4279045643153226E-3</c:v>
                </c:pt>
                <c:pt idx="229">
                  <c:v>-4.5464876033057006E-3</c:v>
                </c:pt>
                <c:pt idx="230">
                  <c:v>-4.476851851851817E-3</c:v>
                </c:pt>
                <c:pt idx="231">
                  <c:v>-4.5476434426228052E-3</c:v>
                </c:pt>
                <c:pt idx="232">
                  <c:v>-4.617857142857216E-3</c:v>
                </c:pt>
                <c:pt idx="233">
                  <c:v>-4.5950203252032662E-3</c:v>
                </c:pt>
                <c:pt idx="234">
                  <c:v>-4.6644736842105941E-3</c:v>
                </c:pt>
                <c:pt idx="235">
                  <c:v>-4.7792338709677562E-3</c:v>
                </c:pt>
                <c:pt idx="236">
                  <c:v>-4.8930722891565867E-3</c:v>
                </c:pt>
                <c:pt idx="237">
                  <c:v>-4.9149999999999585E-3</c:v>
                </c:pt>
                <c:pt idx="238">
                  <c:v>-4.8914342629482691E-3</c:v>
                </c:pt>
                <c:pt idx="239">
                  <c:v>-4.9131944444443425E-3</c:v>
                </c:pt>
                <c:pt idx="240">
                  <c:v>-4.8898221343873531E-3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B51-4335-814D-53B8B9178B55}"/>
            </c:ext>
          </c:extLst>
        </c:ser>
        <c:ser>
          <c:idx val="22"/>
          <c:order val="22"/>
          <c:tx>
            <c:strRef>
              <c:f>'전류편차_24mA(절대값기준)'!$CL$7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'전류편차_24mA(절대값기준)'!$CL$22:$CL$262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4.0333333333334E-3</c:v>
                </c:pt>
                <c:pt idx="3">
                  <c:v>3.8437499999998659E-3</c:v>
                </c:pt>
                <c:pt idx="4">
                  <c:v>3.0073529411765313E-3</c:v>
                </c:pt>
                <c:pt idx="5">
                  <c:v>3.5277777777778722E-3</c:v>
                </c:pt>
                <c:pt idx="6">
                  <c:v>3.394736842105187E-3</c:v>
                </c:pt>
                <c:pt idx="7">
                  <c:v>2.70624999999996E-3</c:v>
                </c:pt>
                <c:pt idx="8">
                  <c:v>2.6249999999999329E-3</c:v>
                </c:pt>
                <c:pt idx="9">
                  <c:v>2.0340909090908743E-3</c:v>
                </c:pt>
                <c:pt idx="10">
                  <c:v>1.9891304347825489E-3</c:v>
                </c:pt>
                <c:pt idx="11">
                  <c:v>1.4739583333333028E-3</c:v>
                </c:pt>
                <c:pt idx="12">
                  <c:v>9.9999999999999633E-4</c:v>
                </c:pt>
                <c:pt idx="13">
                  <c:v>2.3125000000000229E-3</c:v>
                </c:pt>
                <c:pt idx="14">
                  <c:v>2.2638888888888882E-3</c:v>
                </c:pt>
                <c:pt idx="15">
                  <c:v>1.8125000000000224E-3</c:v>
                </c:pt>
                <c:pt idx="16">
                  <c:v>1.7844827586206904E-3</c:v>
                </c:pt>
                <c:pt idx="17">
                  <c:v>1.7583333333333136E-3</c:v>
                </c:pt>
                <c:pt idx="18">
                  <c:v>2.4677419354839141E-3</c:v>
                </c:pt>
                <c:pt idx="19">
                  <c:v>2.4218749999998651E-3</c:v>
                </c:pt>
                <c:pt idx="20">
                  <c:v>2.3787878787878826E-3</c:v>
                </c:pt>
                <c:pt idx="21">
                  <c:v>2.3382352941176327E-3</c:v>
                </c:pt>
                <c:pt idx="22">
                  <c:v>2.9499999999998971E-3</c:v>
                </c:pt>
                <c:pt idx="23">
                  <c:v>2.895833333333357E-3</c:v>
                </c:pt>
                <c:pt idx="24">
                  <c:v>2.8445945945946008E-3</c:v>
                </c:pt>
                <c:pt idx="25">
                  <c:v>2.7960526315789374E-3</c:v>
                </c:pt>
                <c:pt idx="26">
                  <c:v>2.7500000000001044E-3</c:v>
                </c:pt>
                <c:pt idx="27">
                  <c:v>2.4218749999999913E-3</c:v>
                </c:pt>
                <c:pt idx="28">
                  <c:v>2.387195121951196E-3</c:v>
                </c:pt>
                <c:pt idx="29">
                  <c:v>3.1666666666666601E-3</c:v>
                </c:pt>
                <c:pt idx="30">
                  <c:v>3.1162790697674215E-3</c:v>
                </c:pt>
                <c:pt idx="31">
                  <c:v>3.5852272727272968E-3</c:v>
                </c:pt>
                <c:pt idx="32">
                  <c:v>3.7805555555555375E-3</c:v>
                </c:pt>
                <c:pt idx="33">
                  <c:v>3.2255434782610033E-3</c:v>
                </c:pt>
                <c:pt idx="34">
                  <c:v>3.9042553191487583E-3</c:v>
                </c:pt>
                <c:pt idx="35">
                  <c:v>4.0807291666666648E-3</c:v>
                </c:pt>
                <c:pt idx="36">
                  <c:v>3.7857142857142972E-3</c:v>
                </c:pt>
                <c:pt idx="37">
                  <c:v>4.4124999999999234E-3</c:v>
                </c:pt>
                <c:pt idx="38">
                  <c:v>4.3455882352941297E-3</c:v>
                </c:pt>
                <c:pt idx="39">
                  <c:v>4.7187500000000493E-3</c:v>
                </c:pt>
                <c:pt idx="40">
                  <c:v>4.8632075471698238E-3</c:v>
                </c:pt>
                <c:pt idx="41">
                  <c:v>4.5810185185185433E-3</c:v>
                </c:pt>
                <c:pt idx="42">
                  <c:v>4.3090909090909455E-3</c:v>
                </c:pt>
                <c:pt idx="43">
                  <c:v>3.6406249999999113E-3</c:v>
                </c:pt>
                <c:pt idx="44">
                  <c:v>3.9934210526315255E-3</c:v>
                </c:pt>
                <c:pt idx="45">
                  <c:v>4.1379310344828489E-3</c:v>
                </c:pt>
                <c:pt idx="46">
                  <c:v>4.4703389830507969E-3</c:v>
                </c:pt>
                <c:pt idx="47">
                  <c:v>4.6020833333334215E-3</c:v>
                </c:pt>
                <c:pt idx="48">
                  <c:v>4.7295081967213678E-3</c:v>
                </c:pt>
                <c:pt idx="49">
                  <c:v>4.302419354838714E-3</c:v>
                </c:pt>
                <c:pt idx="50">
                  <c:v>4.4305555555555305E-3</c:v>
                </c:pt>
                <c:pt idx="51">
                  <c:v>4.5546874999999459E-3</c:v>
                </c:pt>
                <c:pt idx="52">
                  <c:v>4.8499999999999767E-3</c:v>
                </c:pt>
                <c:pt idx="53">
                  <c:v>4.446969696969779E-3</c:v>
                </c:pt>
                <c:pt idx="54">
                  <c:v>4.9048507462685215E-3</c:v>
                </c:pt>
                <c:pt idx="55">
                  <c:v>4.8474264705881676E-3</c:v>
                </c:pt>
                <c:pt idx="56">
                  <c:v>4.9565217391304879E-3</c:v>
                </c:pt>
                <c:pt idx="57">
                  <c:v>5.0624999999998805E-3</c:v>
                </c:pt>
                <c:pt idx="58">
                  <c:v>4.3644366197183255E-3</c:v>
                </c:pt>
                <c:pt idx="59">
                  <c:v>4.0017361111112232E-3</c:v>
                </c:pt>
                <c:pt idx="60">
                  <c:v>3.3373287671232509E-3</c:v>
                </c:pt>
                <c:pt idx="61">
                  <c:v>4.3817567567567299E-3</c:v>
                </c:pt>
                <c:pt idx="62">
                  <c:v>4.3366666666666996E-3</c:v>
                </c:pt>
                <c:pt idx="63">
                  <c:v>3.5444078947368162E-3</c:v>
                </c:pt>
                <c:pt idx="64">
                  <c:v>3.6590909090908593E-3</c:v>
                </c:pt>
                <c:pt idx="65">
                  <c:v>3.9166666666667722E-3</c:v>
                </c:pt>
                <c:pt idx="66">
                  <c:v>3.4477848101265979E-3</c:v>
                </c:pt>
                <c:pt idx="67">
                  <c:v>2.8484375000000076E-3</c:v>
                </c:pt>
                <c:pt idx="68">
                  <c:v>3.2469135802469921E-3</c:v>
                </c:pt>
                <c:pt idx="69">
                  <c:v>3.2195121951219593E-3</c:v>
                </c:pt>
                <c:pt idx="70">
                  <c:v>2.5075301204820041E-3</c:v>
                </c:pt>
                <c:pt idx="71">
                  <c:v>2.3541666666666294E-3</c:v>
                </c:pt>
                <c:pt idx="72">
                  <c:v>2.8735294117646624E-3</c:v>
                </c:pt>
                <c:pt idx="73">
                  <c:v>1.9258720930233077E-3</c:v>
                </c:pt>
                <c:pt idx="74">
                  <c:v>2.3074712643678169E-3</c:v>
                </c:pt>
                <c:pt idx="75">
                  <c:v>1.7755681818181755E-3</c:v>
                </c:pt>
                <c:pt idx="76">
                  <c:v>1.6390449438202258E-3</c:v>
                </c:pt>
                <c:pt idx="77">
                  <c:v>1.6319444444443825E-3</c:v>
                </c:pt>
                <c:pt idx="78">
                  <c:v>2.375000000000016E-3</c:v>
                </c:pt>
                <c:pt idx="79">
                  <c:v>1.9891304347825489E-3</c:v>
                </c:pt>
                <c:pt idx="80">
                  <c:v>1.85618279569909E-3</c:v>
                </c:pt>
                <c:pt idx="81">
                  <c:v>2.2101063829786253E-3</c:v>
                </c:pt>
                <c:pt idx="82">
                  <c:v>2.0776315789472781E-3</c:v>
                </c:pt>
                <c:pt idx="83">
                  <c:v>1.947916666666584E-3</c:v>
                </c:pt>
                <c:pt idx="84">
                  <c:v>1.9381443298969753E-3</c:v>
                </c:pt>
                <c:pt idx="85">
                  <c:v>1.812500000000074E-3</c:v>
                </c:pt>
                <c:pt idx="86">
                  <c:v>1.5744949494950931E-3</c:v>
                </c:pt>
                <c:pt idx="87">
                  <c:v>1.7962499999999591E-3</c:v>
                </c:pt>
                <c:pt idx="88">
                  <c:v>1.7883663366335669E-3</c:v>
                </c:pt>
                <c:pt idx="89">
                  <c:v>1.3345588235293099E-3</c:v>
                </c:pt>
                <c:pt idx="90">
                  <c:v>1.5521844660195316E-3</c:v>
                </c:pt>
                <c:pt idx="91">
                  <c:v>1.5468750000000586E-3</c:v>
                </c:pt>
                <c:pt idx="92">
                  <c:v>1.216666666666851E-3</c:v>
                </c:pt>
                <c:pt idx="93">
                  <c:v>1.5365566037735354E-3</c:v>
                </c:pt>
                <c:pt idx="94">
                  <c:v>1.5315420560746645E-3</c:v>
                </c:pt>
                <c:pt idx="95">
                  <c:v>1.4212962962962014E-3</c:v>
                </c:pt>
                <c:pt idx="96">
                  <c:v>1.6261467889909348E-3</c:v>
                </c:pt>
                <c:pt idx="97">
                  <c:v>1.6204545454546022E-3</c:v>
                </c:pt>
                <c:pt idx="98">
                  <c:v>1.6148648648646878E-3</c:v>
                </c:pt>
                <c:pt idx="99">
                  <c:v>1.6093749999999546E-3</c:v>
                </c:pt>
                <c:pt idx="100">
                  <c:v>1.4026548672566536E-3</c:v>
                </c:pt>
                <c:pt idx="101">
                  <c:v>1.3991228070175106E-3</c:v>
                </c:pt>
                <c:pt idx="102">
                  <c:v>1.2967391304347551E-3</c:v>
                </c:pt>
                <c:pt idx="103">
                  <c:v>1.098060344827619E-3</c:v>
                </c:pt>
                <c:pt idx="104">
                  <c:v>1.1944444444443746E-3</c:v>
                </c:pt>
                <c:pt idx="105">
                  <c:v>1.2891949152542379E-3</c:v>
                </c:pt>
                <c:pt idx="106">
                  <c:v>1.2867647058823059E-3</c:v>
                </c:pt>
                <c:pt idx="107">
                  <c:v>9.0520833333328134E-4</c:v>
                </c:pt>
                <c:pt idx="108">
                  <c:v>1.0940082644627744E-3</c:v>
                </c:pt>
                <c:pt idx="109">
                  <c:v>1.0932377049181167E-3</c:v>
                </c:pt>
                <c:pt idx="110">
                  <c:v>1.2774390243901785E-3</c:v>
                </c:pt>
                <c:pt idx="111">
                  <c:v>1.2752016129031153E-3</c:v>
                </c:pt>
                <c:pt idx="112">
                  <c:v>1.2730000000000068E-3</c:v>
                </c:pt>
                <c:pt idx="113">
                  <c:v>1.2708333333332951E-3</c:v>
                </c:pt>
                <c:pt idx="114">
                  <c:v>1.4478346456692688E-3</c:v>
                </c:pt>
                <c:pt idx="115">
                  <c:v>1.2666015624998739E-3</c:v>
                </c:pt>
                <c:pt idx="116">
                  <c:v>1.0881782945735721E-3</c:v>
                </c:pt>
                <c:pt idx="117">
                  <c:v>1.0875000000000411E-3</c:v>
                </c:pt>
                <c:pt idx="118">
                  <c:v>1.0000000000000458E-3</c:v>
                </c:pt>
                <c:pt idx="119">
                  <c:v>1.0000000000000026E-3</c:v>
                </c:pt>
                <c:pt idx="120">
                  <c:v>1.0000000000001119E-3</c:v>
                </c:pt>
                <c:pt idx="121">
                  <c:v>8.3022388059687618E-4</c:v>
                </c:pt>
                <c:pt idx="122">
                  <c:v>8.3148148148145151E-4</c:v>
                </c:pt>
                <c:pt idx="123">
                  <c:v>5.8180147058815444E-4</c:v>
                </c:pt>
                <c:pt idx="124">
                  <c:v>7.5091240875920548E-4</c:v>
                </c:pt>
                <c:pt idx="125">
                  <c:v>8.3514492753622601E-4</c:v>
                </c:pt>
                <c:pt idx="126">
                  <c:v>1.000000000000008E-3</c:v>
                </c:pt>
                <c:pt idx="127">
                  <c:v>9.1875000000001255E-4</c:v>
                </c:pt>
                <c:pt idx="128">
                  <c:v>9.999999999999276E-4</c:v>
                </c:pt>
                <c:pt idx="129">
                  <c:v>9.198943661971158E-4</c:v>
                </c:pt>
                <c:pt idx="130">
                  <c:v>8.4090909090916988E-4</c:v>
                </c:pt>
                <c:pt idx="131">
                  <c:v>8.4201388888892803E-4</c:v>
                </c:pt>
                <c:pt idx="132">
                  <c:v>7.646551724138364E-4</c:v>
                </c:pt>
                <c:pt idx="133">
                  <c:v>7.6626712328767537E-4</c:v>
                </c:pt>
                <c:pt idx="134">
                  <c:v>5.3571428571424259E-4</c:v>
                </c:pt>
                <c:pt idx="135">
                  <c:v>4.6199324324320472E-4</c:v>
                </c:pt>
                <c:pt idx="136">
                  <c:v>3.8926174496640905E-4</c:v>
                </c:pt>
                <c:pt idx="137">
                  <c:v>3.175000000001053E-4</c:v>
                </c:pt>
                <c:pt idx="138">
                  <c:v>2.4668874172182931E-4</c:v>
                </c:pt>
                <c:pt idx="139">
                  <c:v>1.0197368421054722E-4</c:v>
                </c:pt>
                <c:pt idx="140">
                  <c:v>-4.0849673202680269E-5</c:v>
                </c:pt>
                <c:pt idx="141">
                  <c:v>1.8750000000003738E-4</c:v>
                </c:pt>
                <c:pt idx="142">
                  <c:v>4.1290322580646061E-4</c:v>
                </c:pt>
                <c:pt idx="143">
                  <c:v>2.7083333333338677E-4</c:v>
                </c:pt>
                <c:pt idx="144">
                  <c:v>4.2038216560503225E-4</c:v>
                </c:pt>
                <c:pt idx="145">
                  <c:v>4.240506329114216E-4</c:v>
                </c:pt>
                <c:pt idx="146">
                  <c:v>4.2767295597483616E-4</c:v>
                </c:pt>
                <c:pt idx="147">
                  <c:v>4.3124999999995809E-4</c:v>
                </c:pt>
                <c:pt idx="148">
                  <c:v>5.0543478260870519E-4</c:v>
                </c:pt>
                <c:pt idx="149">
                  <c:v>3.6805555555560792E-4</c:v>
                </c:pt>
                <c:pt idx="150">
                  <c:v>3.0214723926373567E-4</c:v>
                </c:pt>
                <c:pt idx="151">
                  <c:v>3.0640243902441133E-4</c:v>
                </c:pt>
                <c:pt idx="152">
                  <c:v>2.4166666666669152E-4</c:v>
                </c:pt>
                <c:pt idx="153">
                  <c:v>2.4623493975902674E-4</c:v>
                </c:pt>
                <c:pt idx="154">
                  <c:v>3.1886227544914179E-4</c:v>
                </c:pt>
                <c:pt idx="155">
                  <c:v>1.1979166666666503E-4</c:v>
                </c:pt>
                <c:pt idx="156">
                  <c:v>1.2499999999996487E-4</c:v>
                </c:pt>
                <c:pt idx="157">
                  <c:v>2.6397058823527059E-4</c:v>
                </c:pt>
                <c:pt idx="158">
                  <c:v>3.3479532163745173E-4</c:v>
                </c:pt>
                <c:pt idx="159">
                  <c:v>4.7093023255817545E-4</c:v>
                </c:pt>
                <c:pt idx="160">
                  <c:v>4.7398843930636142E-4</c:v>
                </c:pt>
                <c:pt idx="161">
                  <c:v>4.7701149425284395E-4</c:v>
                </c:pt>
                <c:pt idx="162">
                  <c:v>6.0999999999998165E-4</c:v>
                </c:pt>
                <c:pt idx="163">
                  <c:v>4.8295454545456667E-4</c:v>
                </c:pt>
                <c:pt idx="164">
                  <c:v>6.7867231638417728E-4</c:v>
                </c:pt>
                <c:pt idx="165">
                  <c:v>6.1657303370786531E-4</c:v>
                </c:pt>
                <c:pt idx="166">
                  <c:v>5.5516759776536679E-4</c:v>
                </c:pt>
                <c:pt idx="167">
                  <c:v>4.9444444444445164E-4</c:v>
                </c:pt>
                <c:pt idx="168">
                  <c:v>5.6008287292811786E-4</c:v>
                </c:pt>
                <c:pt idx="169">
                  <c:v>4.3750000000009059E-4</c:v>
                </c:pt>
                <c:pt idx="170">
                  <c:v>3.1625683060111057E-4</c:v>
                </c:pt>
                <c:pt idx="171">
                  <c:v>2.5815217391306455E-4</c:v>
                </c:pt>
                <c:pt idx="172">
                  <c:v>2.6216216216226173E-4</c:v>
                </c:pt>
                <c:pt idx="173">
                  <c:v>4.4959677419373258E-4</c:v>
                </c:pt>
                <c:pt idx="174">
                  <c:v>5.7419786096276043E-4</c:v>
                </c:pt>
                <c:pt idx="175">
                  <c:v>6.3696808510629681E-4</c:v>
                </c:pt>
                <c:pt idx="176">
                  <c:v>7.5925925925918376E-4</c:v>
                </c:pt>
                <c:pt idx="177">
                  <c:v>7.006578947367705E-4</c:v>
                </c:pt>
                <c:pt idx="178">
                  <c:v>7.0222513089005726E-4</c:v>
                </c:pt>
                <c:pt idx="179">
                  <c:v>7.0377604166653679E-4</c:v>
                </c:pt>
                <c:pt idx="180">
                  <c:v>6.4637305699490218E-4</c:v>
                </c:pt>
                <c:pt idx="181">
                  <c:v>7.068298969072379E-4</c:v>
                </c:pt>
                <c:pt idx="182">
                  <c:v>7.0833333333342923E-4</c:v>
                </c:pt>
                <c:pt idx="183">
                  <c:v>5.9375000000002785E-4</c:v>
                </c:pt>
                <c:pt idx="184">
                  <c:v>5.9581218274121824E-4</c:v>
                </c:pt>
                <c:pt idx="185">
                  <c:v>5.4040404040414463E-4</c:v>
                </c:pt>
                <c:pt idx="186">
                  <c:v>3.1407035175889443E-4</c:v>
                </c:pt>
                <c:pt idx="187">
                  <c:v>2.6062499999990107E-4</c:v>
                </c:pt>
                <c:pt idx="188">
                  <c:v>2.643034825870386E-4</c:v>
                </c:pt>
                <c:pt idx="189">
                  <c:v>2.1163366336631386E-4</c:v>
                </c:pt>
                <c:pt idx="190">
                  <c:v>3.8362068965522777E-4</c:v>
                </c:pt>
                <c:pt idx="191">
                  <c:v>3.8664215686267338E-4</c:v>
                </c:pt>
                <c:pt idx="192">
                  <c:v>3.8963414634146301E-4</c:v>
                </c:pt>
                <c:pt idx="193">
                  <c:v>5.0303398058253331E-4</c:v>
                </c:pt>
                <c:pt idx="194">
                  <c:v>5.054347826087749E-4</c:v>
                </c:pt>
                <c:pt idx="195">
                  <c:v>3.984375000000151E-4</c:v>
                </c:pt>
                <c:pt idx="196">
                  <c:v>5.1016746411485685E-4</c:v>
                </c:pt>
                <c:pt idx="197">
                  <c:v>4.5833333333336059E-4</c:v>
                </c:pt>
                <c:pt idx="198">
                  <c:v>5.1481042654025471E-4</c:v>
                </c:pt>
                <c:pt idx="199">
                  <c:v>4.6344339622638863E-4</c:v>
                </c:pt>
                <c:pt idx="200">
                  <c:v>4.6596244131459597E-4</c:v>
                </c:pt>
                <c:pt idx="201">
                  <c:v>2.5584112149536583E-4</c:v>
                </c:pt>
                <c:pt idx="202">
                  <c:v>3.122093023255643E-4</c:v>
                </c:pt>
                <c:pt idx="203">
                  <c:v>1.5740740740745175E-4</c:v>
                </c:pt>
                <c:pt idx="204">
                  <c:v>4.0322580646213349E-6</c:v>
                </c:pt>
                <c:pt idx="205">
                  <c:v>1.1295871559644389E-4</c:v>
                </c:pt>
                <c:pt idx="206">
                  <c:v>2.7283105022831138E-4</c:v>
                </c:pt>
                <c:pt idx="207">
                  <c:v>2.7613636363643066E-4</c:v>
                </c:pt>
                <c:pt idx="208">
                  <c:v>3.8235294117654607E-4</c:v>
                </c:pt>
                <c:pt idx="209">
                  <c:v>4.3637387387371302E-4</c:v>
                </c:pt>
                <c:pt idx="210">
                  <c:v>4.389013452913849E-4</c:v>
                </c:pt>
                <c:pt idx="211">
                  <c:v>4.4140624999997047E-4</c:v>
                </c:pt>
                <c:pt idx="212">
                  <c:v>4.9444444444436187E-4</c:v>
                </c:pt>
                <c:pt idx="213">
                  <c:v>5.4701327433632682E-4</c:v>
                </c:pt>
                <c:pt idx="214">
                  <c:v>4.4878854625549167E-4</c:v>
                </c:pt>
                <c:pt idx="215">
                  <c:v>3.5142543859641818E-4</c:v>
                </c:pt>
                <c:pt idx="216">
                  <c:v>4.0393013100441835E-4</c:v>
                </c:pt>
                <c:pt idx="217">
                  <c:v>3.0760869565216756E-4</c:v>
                </c:pt>
                <c:pt idx="218">
                  <c:v>2.6136363636363282E-4</c:v>
                </c:pt>
                <c:pt idx="219">
                  <c:v>2.1551724137930958E-4</c:v>
                </c:pt>
                <c:pt idx="220">
                  <c:v>2.3605150214762167E-5</c:v>
                </c:pt>
                <c:pt idx="221">
                  <c:v>1.2500000000000472E-4</c:v>
                </c:pt>
                <c:pt idx="222">
                  <c:v>1.287234042552138E-4</c:v>
                </c:pt>
                <c:pt idx="223">
                  <c:v>1.8061440677967662E-4</c:v>
                </c:pt>
                <c:pt idx="224">
                  <c:v>2.8006329113926422E-4</c:v>
                </c:pt>
                <c:pt idx="225">
                  <c:v>3.3088235294114984E-4</c:v>
                </c:pt>
                <c:pt idx="226">
                  <c:v>3.3368200836823516E-4</c:v>
                </c:pt>
                <c:pt idx="227">
                  <c:v>2.8906250000003685E-4</c:v>
                </c:pt>
                <c:pt idx="228">
                  <c:v>3.8641078838178749E-4</c:v>
                </c:pt>
                <c:pt idx="229">
                  <c:v>3.8894628099184019E-4</c:v>
                </c:pt>
                <c:pt idx="230">
                  <c:v>3.4465020576142374E-4</c:v>
                </c:pt>
                <c:pt idx="231">
                  <c:v>3.4733606557377092E-4</c:v>
                </c:pt>
                <c:pt idx="232">
                  <c:v>3.0357142857143158E-4</c:v>
                </c:pt>
                <c:pt idx="233">
                  <c:v>1.6768292682916092E-4</c:v>
                </c:pt>
                <c:pt idx="234">
                  <c:v>1.710526315788993E-4</c:v>
                </c:pt>
                <c:pt idx="235">
                  <c:v>8.2661290322479314E-5</c:v>
                </c:pt>
                <c:pt idx="236">
                  <c:v>8.6345381526061911E-5</c:v>
                </c:pt>
                <c:pt idx="237">
                  <c:v>4.4499999999960241E-5</c:v>
                </c:pt>
                <c:pt idx="238">
                  <c:v>9.3625498008041854E-5</c:v>
                </c:pt>
                <c:pt idx="239">
                  <c:v>9.7222222222193011E-5</c:v>
                </c:pt>
                <c:pt idx="240">
                  <c:v>1.9071146245057145E-4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B51-4335-814D-53B8B9178B55}"/>
            </c:ext>
          </c:extLst>
        </c:ser>
        <c:ser>
          <c:idx val="23"/>
          <c:order val="23"/>
          <c:tx>
            <c:strRef>
              <c:f>'전류편차_24mA(절대값기준)'!$CM$7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'전류편차_24mA(절대값기준)'!$CM$22:$CM$262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-1.4374999999999805E-3</c:v>
                </c:pt>
                <c:pt idx="2">
                  <c:v>-5.1666666666660423E-4</c:v>
                </c:pt>
                <c:pt idx="3">
                  <c:v>2.8906249999994214E-4</c:v>
                </c:pt>
                <c:pt idx="4">
                  <c:v>3.3088235294123473E-4</c:v>
                </c:pt>
                <c:pt idx="5">
                  <c:v>-2.6388888888879817E-4</c:v>
                </c:pt>
                <c:pt idx="6">
                  <c:v>-1.9736842105271064E-4</c:v>
                </c:pt>
                <c:pt idx="7">
                  <c:v>-7.06250000000043E-4</c:v>
                </c:pt>
                <c:pt idx="8">
                  <c:v>-6.2500000000006994E-4</c:v>
                </c:pt>
                <c:pt idx="9">
                  <c:v>-2.1022727272727655E-3</c:v>
                </c:pt>
                <c:pt idx="10">
                  <c:v>-2.4619565217391393E-3</c:v>
                </c:pt>
                <c:pt idx="11">
                  <c:v>-1.843750000000086E-3</c:v>
                </c:pt>
                <c:pt idx="12">
                  <c:v>-8.2000000000000508E-4</c:v>
                </c:pt>
                <c:pt idx="13">
                  <c:v>-7.5000000000002842E-4</c:v>
                </c:pt>
                <c:pt idx="14">
                  <c:v>-6.8518518518523514E-4</c:v>
                </c:pt>
                <c:pt idx="15">
                  <c:v>-1.0312500000000252E-3</c:v>
                </c:pt>
                <c:pt idx="16">
                  <c:v>-9.6120689655159537E-4</c:v>
                </c:pt>
                <c:pt idx="17">
                  <c:v>-1.2750000000000224E-3</c:v>
                </c:pt>
                <c:pt idx="18">
                  <c:v>-1.2016129032258478E-3</c:v>
                </c:pt>
                <c:pt idx="19">
                  <c:v>-4.2187500000013736E-4</c:v>
                </c:pt>
                <c:pt idx="20">
                  <c:v>-7.2348484848480915E-4</c:v>
                </c:pt>
                <c:pt idx="21">
                  <c:v>-1.3419117647059369E-3</c:v>
                </c:pt>
                <c:pt idx="22">
                  <c:v>-9.5000000000010625E-4</c:v>
                </c:pt>
                <c:pt idx="23">
                  <c:v>-1.5277777777776883E-3</c:v>
                </c:pt>
                <c:pt idx="24">
                  <c:v>-1.1520270270269902E-3</c:v>
                </c:pt>
                <c:pt idx="25">
                  <c:v>-1.9934210526315931E-3</c:v>
                </c:pt>
                <c:pt idx="26">
                  <c:v>-1.9166666666665666E-3</c:v>
                </c:pt>
                <c:pt idx="27">
                  <c:v>-1.8437500000000439E-3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-1.3808139534883673E-3</c:v>
                </c:pt>
                <c:pt idx="31">
                  <c:v>-1.3267045454545545E-3</c:v>
                </c:pt>
                <c:pt idx="32">
                  <c:v>-1.2750000000000224E-3</c:v>
                </c:pt>
                <c:pt idx="33">
                  <c:v>-1.4728260869564199E-3</c:v>
                </c:pt>
                <c:pt idx="34">
                  <c:v>-1.4202127659574675E-3</c:v>
                </c:pt>
                <c:pt idx="35">
                  <c:v>-1.6067708333333403E-3</c:v>
                </c:pt>
                <c:pt idx="36">
                  <c:v>-1.3214285714286164E-3</c:v>
                </c:pt>
                <c:pt idx="37">
                  <c:v>-1.5025000000000309E-3</c:v>
                </c:pt>
                <c:pt idx="38">
                  <c:v>-1.4534313725489629E-3</c:v>
                </c:pt>
                <c:pt idx="39">
                  <c:v>-1.8437500000000051E-3</c:v>
                </c:pt>
                <c:pt idx="40">
                  <c:v>-2.0047169811320681E-3</c:v>
                </c:pt>
                <c:pt idx="41">
                  <c:v>-2.3703703703704219E-3</c:v>
                </c:pt>
                <c:pt idx="42">
                  <c:v>-2.1022727272726281E-3</c:v>
                </c:pt>
                <c:pt idx="43">
                  <c:v>-2.0468750000000036E-3</c:v>
                </c:pt>
                <c:pt idx="44">
                  <c:v>-1.7938596491228432E-3</c:v>
                </c:pt>
                <c:pt idx="45">
                  <c:v>-1.7456896551723729E-3</c:v>
                </c:pt>
                <c:pt idx="46">
                  <c:v>-1.5063559322033809E-3</c:v>
                </c:pt>
                <c:pt idx="47">
                  <c:v>-1.8437500000000439E-3</c:v>
                </c:pt>
                <c:pt idx="48">
                  <c:v>-1.6106557377048264E-3</c:v>
                </c:pt>
                <c:pt idx="49">
                  <c:v>-1.5685483870967751E-3</c:v>
                </c:pt>
                <c:pt idx="50">
                  <c:v>-1.7083333333333241E-3</c:v>
                </c:pt>
                <c:pt idx="51">
                  <c:v>-2.0214843750000402E-3</c:v>
                </c:pt>
                <c:pt idx="52">
                  <c:v>-1.8000000000000683E-3</c:v>
                </c:pt>
                <c:pt idx="53">
                  <c:v>-1.7575757575757575E-3</c:v>
                </c:pt>
                <c:pt idx="54">
                  <c:v>-1.7164179104478454E-3</c:v>
                </c:pt>
                <c:pt idx="55">
                  <c:v>-2.1783088235294485E-3</c:v>
                </c:pt>
                <c:pt idx="56">
                  <c:v>-2.2971014492753892E-3</c:v>
                </c:pt>
                <c:pt idx="57">
                  <c:v>-2.4125000000000171E-3</c:v>
                </c:pt>
                <c:pt idx="58">
                  <c:v>-2.5246478873239518E-3</c:v>
                </c:pt>
                <c:pt idx="59">
                  <c:v>-2.3177083333332268E-3</c:v>
                </c:pt>
                <c:pt idx="60">
                  <c:v>-1.8047945205480385E-3</c:v>
                </c:pt>
                <c:pt idx="61">
                  <c:v>-1.9206081081080549E-3</c:v>
                </c:pt>
                <c:pt idx="62">
                  <c:v>-1.881666666666555E-3</c:v>
                </c:pt>
                <c:pt idx="63">
                  <c:v>-1.9934210526315931E-3</c:v>
                </c:pt>
                <c:pt idx="64">
                  <c:v>-1.9545454545454111E-3</c:v>
                </c:pt>
                <c:pt idx="65">
                  <c:v>-1.6249999999999321E-3</c:v>
                </c:pt>
                <c:pt idx="66">
                  <c:v>-1.8797468354430108E-3</c:v>
                </c:pt>
                <c:pt idx="67">
                  <c:v>-1.9859374999999652E-3</c:v>
                </c:pt>
                <c:pt idx="68">
                  <c:v>-1.9490740740739849E-3</c:v>
                </c:pt>
                <c:pt idx="69">
                  <c:v>-1.7743902439024968E-3</c:v>
                </c:pt>
                <c:pt idx="70">
                  <c:v>-1.7409638554216904E-3</c:v>
                </c:pt>
                <c:pt idx="71">
                  <c:v>-2.1145833333334196E-3</c:v>
                </c:pt>
                <c:pt idx="72">
                  <c:v>-1.8102941176471213E-3</c:v>
                </c:pt>
                <c:pt idx="73">
                  <c:v>-2.5712209302324808E-3</c:v>
                </c:pt>
                <c:pt idx="74">
                  <c:v>-2.3994252873563828E-3</c:v>
                </c:pt>
                <c:pt idx="75">
                  <c:v>-1.9730113636363591E-3</c:v>
                </c:pt>
                <c:pt idx="76">
                  <c:v>-1.9396067415729792E-3</c:v>
                </c:pt>
                <c:pt idx="77">
                  <c:v>-1.9069444444444533E-3</c:v>
                </c:pt>
                <c:pt idx="78">
                  <c:v>-1.87499999999996E-3</c:v>
                </c:pt>
                <c:pt idx="79">
                  <c:v>-1.9673913043478895E-3</c:v>
                </c:pt>
                <c:pt idx="80">
                  <c:v>-1.8131720430107268E-3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-1.9622395833333536E-3</c:v>
                </c:pt>
                <c:pt idx="84">
                  <c:v>-2.0489690721649618E-3</c:v>
                </c:pt>
                <c:pt idx="85">
                  <c:v>-2.1339285714285783E-3</c:v>
                </c:pt>
                <c:pt idx="86">
                  <c:v>-2.1022727272725873E-3</c:v>
                </c:pt>
                <c:pt idx="87">
                  <c:v>-2.0712500000001199E-3</c:v>
                </c:pt>
                <c:pt idx="88">
                  <c:v>-2.1534653465347655E-3</c:v>
                </c:pt>
                <c:pt idx="89">
                  <c:v>-2.5686274509803117E-3</c:v>
                </c:pt>
                <c:pt idx="90">
                  <c:v>-2.5339805825242471E-3</c:v>
                </c:pt>
                <c:pt idx="91">
                  <c:v>-2.2812499999999569E-3</c:v>
                </c:pt>
                <c:pt idx="92">
                  <c:v>-2.249999999999819E-3</c:v>
                </c:pt>
                <c:pt idx="93">
                  <c:v>-2.1120283018869162E-3</c:v>
                </c:pt>
                <c:pt idx="94">
                  <c:v>-2.1892523364487148E-3</c:v>
                </c:pt>
                <c:pt idx="95">
                  <c:v>-2.1597222222222035E-3</c:v>
                </c:pt>
                <c:pt idx="96">
                  <c:v>-2.2350917431192413E-3</c:v>
                </c:pt>
                <c:pt idx="97">
                  <c:v>-2.3090909090908792E-3</c:v>
                </c:pt>
                <c:pt idx="98">
                  <c:v>-2.2792792792793001E-3</c:v>
                </c:pt>
                <c:pt idx="99">
                  <c:v>-2.2500000000000714E-3</c:v>
                </c:pt>
                <c:pt idx="100">
                  <c:v>-2.3219026548673216E-3</c:v>
                </c:pt>
                <c:pt idx="101">
                  <c:v>-2.4923245614035124E-3</c:v>
                </c:pt>
                <c:pt idx="102">
                  <c:v>-2.6597826086955955E-3</c:v>
                </c:pt>
                <c:pt idx="103">
                  <c:v>-2.7262931034482143E-3</c:v>
                </c:pt>
                <c:pt idx="104">
                  <c:v>-2.6944444444446038E-3</c:v>
                </c:pt>
                <c:pt idx="105">
                  <c:v>-2.8559322033899297E-3</c:v>
                </c:pt>
                <c:pt idx="106">
                  <c:v>-3.1102941176470462E-3</c:v>
                </c:pt>
                <c:pt idx="107">
                  <c:v>-3.0760416666667013E-3</c:v>
                </c:pt>
                <c:pt idx="108">
                  <c:v>-2.8543388429752249E-3</c:v>
                </c:pt>
                <c:pt idx="109">
                  <c:v>-2.8227459016392435E-3</c:v>
                </c:pt>
                <c:pt idx="110">
                  <c:v>-2.7916666666667764E-3</c:v>
                </c:pt>
                <c:pt idx="111">
                  <c:v>-2.7610887096774111E-3</c:v>
                </c:pt>
                <c:pt idx="112">
                  <c:v>-2.5489999999999762E-3</c:v>
                </c:pt>
                <c:pt idx="113">
                  <c:v>-2.7916666666666983E-3</c:v>
                </c:pt>
                <c:pt idx="114">
                  <c:v>-2.5826771653543472E-3</c:v>
                </c:pt>
                <c:pt idx="115">
                  <c:v>-2.6435546875000111E-3</c:v>
                </c:pt>
                <c:pt idx="116">
                  <c:v>-2.7916666666667803E-3</c:v>
                </c:pt>
                <c:pt idx="117">
                  <c:v>-2.6750000000000493E-3</c:v>
                </c:pt>
                <c:pt idx="118">
                  <c:v>-2.8206106870228968E-3</c:v>
                </c:pt>
                <c:pt idx="119">
                  <c:v>-2.9640151515150951E-3</c:v>
                </c:pt>
                <c:pt idx="120">
                  <c:v>-3.0197368421052023E-3</c:v>
                </c:pt>
                <c:pt idx="121">
                  <c:v>-3.074626865671727E-3</c:v>
                </c:pt>
                <c:pt idx="122">
                  <c:v>-3.0444444444444217E-3</c:v>
                </c:pt>
                <c:pt idx="123">
                  <c:v>-3.0147058823529601E-3</c:v>
                </c:pt>
                <c:pt idx="124">
                  <c:v>-2.9023722627736816E-3</c:v>
                </c:pt>
                <c:pt idx="125">
                  <c:v>-2.7916666666665661E-3</c:v>
                </c:pt>
                <c:pt idx="126">
                  <c:v>-2.92805755395683E-3</c:v>
                </c:pt>
                <c:pt idx="127">
                  <c:v>-2.9812499999999909E-3</c:v>
                </c:pt>
                <c:pt idx="128">
                  <c:v>-3.0336879432623976E-3</c:v>
                </c:pt>
                <c:pt idx="129">
                  <c:v>-3.0853873239436438E-3</c:v>
                </c:pt>
                <c:pt idx="130">
                  <c:v>-3.0568181818182035E-3</c:v>
                </c:pt>
                <c:pt idx="131">
                  <c:v>-3.1076388888889059E-3</c:v>
                </c:pt>
                <c:pt idx="132">
                  <c:v>-3.3146551724137188E-3</c:v>
                </c:pt>
                <c:pt idx="133">
                  <c:v>-3.3630136986301969E-3</c:v>
                </c:pt>
                <c:pt idx="134">
                  <c:v>-3.4107142857143411E-3</c:v>
                </c:pt>
                <c:pt idx="135">
                  <c:v>-3.6114864864864519E-3</c:v>
                </c:pt>
                <c:pt idx="136">
                  <c:v>-3.7332214765099861E-3</c:v>
                </c:pt>
                <c:pt idx="137">
                  <c:v>-4.0049999999999244E-3</c:v>
                </c:pt>
                <c:pt idx="138">
                  <c:v>-3.9718543046358568E-3</c:v>
                </c:pt>
                <c:pt idx="139">
                  <c:v>-3.8643092105263566E-3</c:v>
                </c:pt>
                <c:pt idx="140">
                  <c:v>-3.9068627450980758E-3</c:v>
                </c:pt>
                <c:pt idx="141">
                  <c:v>-4.0227272727272638E-3</c:v>
                </c:pt>
                <c:pt idx="142">
                  <c:v>-3.9169354838709059E-3</c:v>
                </c:pt>
                <c:pt idx="143">
                  <c:v>-3.9583333333332677E-3</c:v>
                </c:pt>
                <c:pt idx="144">
                  <c:v>-3.7818471337580126E-3</c:v>
                </c:pt>
                <c:pt idx="145">
                  <c:v>-3.7515822784810991E-3</c:v>
                </c:pt>
                <c:pt idx="146">
                  <c:v>-3.7216981132075417E-3</c:v>
                </c:pt>
                <c:pt idx="147">
                  <c:v>-3.6921875000000301E-3</c:v>
                </c:pt>
                <c:pt idx="148">
                  <c:v>-3.6630434782608089E-3</c:v>
                </c:pt>
                <c:pt idx="149">
                  <c:v>-3.6342592592592342E-3</c:v>
                </c:pt>
                <c:pt idx="150">
                  <c:v>-3.67561349693261E-3</c:v>
                </c:pt>
                <c:pt idx="151">
                  <c:v>-3.6471036585365908E-3</c:v>
                </c:pt>
                <c:pt idx="152">
                  <c:v>-3.5499999999999555E-3</c:v>
                </c:pt>
                <c:pt idx="153">
                  <c:v>-3.7281626506024076E-3</c:v>
                </c:pt>
                <c:pt idx="154">
                  <c:v>-3.7679640718562813E-3</c:v>
                </c:pt>
                <c:pt idx="155">
                  <c:v>-3.5364583333333532E-3</c:v>
                </c:pt>
                <c:pt idx="156">
                  <c:v>-3.4423076923077826E-3</c:v>
                </c:pt>
                <c:pt idx="157">
                  <c:v>-3.4161764705882398E-3</c:v>
                </c:pt>
                <c:pt idx="158">
                  <c:v>-3.2573099415204609E-3</c:v>
                </c:pt>
                <c:pt idx="159">
                  <c:v>-3.2325581395349101E-3</c:v>
                </c:pt>
                <c:pt idx="160">
                  <c:v>-3.208092485549075E-3</c:v>
                </c:pt>
                <c:pt idx="161">
                  <c:v>-3.2492816091954568E-3</c:v>
                </c:pt>
                <c:pt idx="162">
                  <c:v>-3.2900000000000507E-3</c:v>
                </c:pt>
                <c:pt idx="163">
                  <c:v>-3.2656249999999678E-3</c:v>
                </c:pt>
                <c:pt idx="164">
                  <c:v>-3.3057909604519418E-3</c:v>
                </c:pt>
                <c:pt idx="165">
                  <c:v>-3.345505617977489E-3</c:v>
                </c:pt>
                <c:pt idx="166">
                  <c:v>-3.4483240223462911E-3</c:v>
                </c:pt>
                <c:pt idx="167">
                  <c:v>-3.3604166666666557E-3</c:v>
                </c:pt>
                <c:pt idx="168">
                  <c:v>-3.4620165745856976E-3</c:v>
                </c:pt>
                <c:pt idx="169">
                  <c:v>-3.6249999999999893E-3</c:v>
                </c:pt>
                <c:pt idx="170">
                  <c:v>-3.7240437158470563E-3</c:v>
                </c:pt>
                <c:pt idx="171">
                  <c:v>-3.6983695652173737E-3</c:v>
                </c:pt>
                <c:pt idx="172">
                  <c:v>-3.5499999999999724E-3</c:v>
                </c:pt>
                <c:pt idx="173">
                  <c:v>-3.586693548387066E-3</c:v>
                </c:pt>
                <c:pt idx="174">
                  <c:v>-3.5013368983955392E-3</c:v>
                </c:pt>
                <c:pt idx="175">
                  <c:v>-3.5378989361702418E-3</c:v>
                </c:pt>
                <c:pt idx="176">
                  <c:v>-3.5740740740740997E-3</c:v>
                </c:pt>
                <c:pt idx="177">
                  <c:v>-3.6098684210526537E-3</c:v>
                </c:pt>
                <c:pt idx="178">
                  <c:v>-3.5261780104712888E-3</c:v>
                </c:pt>
                <c:pt idx="179">
                  <c:v>-3.6210937499999429E-3</c:v>
                </c:pt>
                <c:pt idx="180">
                  <c:v>-3.5382124352331657E-3</c:v>
                </c:pt>
                <c:pt idx="181">
                  <c:v>-3.632087628866053E-3</c:v>
                </c:pt>
                <c:pt idx="182">
                  <c:v>-3.6083333333333319E-3</c:v>
                </c:pt>
                <c:pt idx="183">
                  <c:v>-3.6428571428571382E-3</c:v>
                </c:pt>
                <c:pt idx="184">
                  <c:v>-3.7347715736039187E-3</c:v>
                </c:pt>
                <c:pt idx="185">
                  <c:v>-3.8257575757575011E-3</c:v>
                </c:pt>
                <c:pt idx="186">
                  <c:v>-3.8586683417084653E-3</c:v>
                </c:pt>
                <c:pt idx="187">
                  <c:v>-3.8343750000000517E-3</c:v>
                </c:pt>
                <c:pt idx="188">
                  <c:v>-3.8103233830845563E-3</c:v>
                </c:pt>
                <c:pt idx="189">
                  <c:v>-3.8428217821781939E-3</c:v>
                </c:pt>
                <c:pt idx="190">
                  <c:v>-3.8189655172414833E-3</c:v>
                </c:pt>
                <c:pt idx="191">
                  <c:v>-3.795343137254934E-3</c:v>
                </c:pt>
                <c:pt idx="192">
                  <c:v>-3.6609756097561201E-3</c:v>
                </c:pt>
                <c:pt idx="193">
                  <c:v>-3.80400485436889E-3</c:v>
                </c:pt>
                <c:pt idx="194">
                  <c:v>-3.7807971014491635E-3</c:v>
                </c:pt>
                <c:pt idx="195">
                  <c:v>-3.8124999999998854E-3</c:v>
                </c:pt>
                <c:pt idx="196">
                  <c:v>-3.7894736842105361E-3</c:v>
                </c:pt>
                <c:pt idx="197">
                  <c:v>-3.8749999999998807E-3</c:v>
                </c:pt>
                <c:pt idx="198">
                  <c:v>-3.8518957345971597E-3</c:v>
                </c:pt>
                <c:pt idx="199">
                  <c:v>-3.9899764150944711E-3</c:v>
                </c:pt>
                <c:pt idx="200">
                  <c:v>-4.0199530516433204E-3</c:v>
                </c:pt>
                <c:pt idx="201">
                  <c:v>-4.209112149532652E-3</c:v>
                </c:pt>
                <c:pt idx="202">
                  <c:v>-4.184883720930295E-3</c:v>
                </c:pt>
                <c:pt idx="203">
                  <c:v>-4.2135416666667256E-3</c:v>
                </c:pt>
                <c:pt idx="204">
                  <c:v>-4.2419354838710236E-3</c:v>
                </c:pt>
                <c:pt idx="205">
                  <c:v>-4.2700688073395018E-3</c:v>
                </c:pt>
                <c:pt idx="206">
                  <c:v>-4.1940639269405621E-3</c:v>
                </c:pt>
                <c:pt idx="207">
                  <c:v>-4.1187499999999775E-3</c:v>
                </c:pt>
                <c:pt idx="208">
                  <c:v>-4.1985294117645603E-3</c:v>
                </c:pt>
                <c:pt idx="209">
                  <c:v>-4.2775900900901866E-3</c:v>
                </c:pt>
                <c:pt idx="210">
                  <c:v>-4.2539237668161745E-3</c:v>
                </c:pt>
                <c:pt idx="211">
                  <c:v>-4.2812500000000281E-3</c:v>
                </c:pt>
                <c:pt idx="212">
                  <c:v>-4.2577777777777406E-3</c:v>
                </c:pt>
                <c:pt idx="213">
                  <c:v>-4.2848451327433231E-3</c:v>
                </c:pt>
                <c:pt idx="214">
                  <c:v>-4.311674008810531E-3</c:v>
                </c:pt>
                <c:pt idx="215">
                  <c:v>-4.3881578947368586E-3</c:v>
                </c:pt>
                <c:pt idx="216">
                  <c:v>-4.4143013100436815E-3</c:v>
                </c:pt>
                <c:pt idx="217">
                  <c:v>-4.489673913043374E-3</c:v>
                </c:pt>
                <c:pt idx="218">
                  <c:v>-4.5643939393938925E-3</c:v>
                </c:pt>
                <c:pt idx="219">
                  <c:v>-4.4913793103448325E-3</c:v>
                </c:pt>
                <c:pt idx="220">
                  <c:v>-4.4678111587982258E-3</c:v>
                </c:pt>
                <c:pt idx="221">
                  <c:v>-4.4930555555556676E-3</c:v>
                </c:pt>
                <c:pt idx="222">
                  <c:v>-4.5664893617021239E-3</c:v>
                </c:pt>
                <c:pt idx="223">
                  <c:v>-4.4947033898305559E-3</c:v>
                </c:pt>
                <c:pt idx="224">
                  <c:v>-4.4715189873417577E-3</c:v>
                </c:pt>
                <c:pt idx="225">
                  <c:v>-4.4963235294117479E-3</c:v>
                </c:pt>
                <c:pt idx="226">
                  <c:v>-4.4257322175732553E-3</c:v>
                </c:pt>
                <c:pt idx="227">
                  <c:v>-4.4979166666665868E-3</c:v>
                </c:pt>
                <c:pt idx="228">
                  <c:v>-4.4751037344398616E-3</c:v>
                </c:pt>
                <c:pt idx="229">
                  <c:v>-4.5464876033057006E-3</c:v>
                </c:pt>
                <c:pt idx="230">
                  <c:v>-4.5704732510287198E-3</c:v>
                </c:pt>
                <c:pt idx="231">
                  <c:v>-4.640881147540952E-3</c:v>
                </c:pt>
                <c:pt idx="232">
                  <c:v>-4.6642857142858438E-3</c:v>
                </c:pt>
                <c:pt idx="233">
                  <c:v>-4.7799796747968236E-3</c:v>
                </c:pt>
                <c:pt idx="234">
                  <c:v>-4.8026315789474411E-3</c:v>
                </c:pt>
                <c:pt idx="235">
                  <c:v>-4.8251008064516829E-3</c:v>
                </c:pt>
                <c:pt idx="236">
                  <c:v>-4.7560240963854979E-3</c:v>
                </c:pt>
                <c:pt idx="237">
                  <c:v>-4.7784999999999529E-3</c:v>
                </c:pt>
                <c:pt idx="238">
                  <c:v>-4.8007968127489545E-3</c:v>
                </c:pt>
                <c:pt idx="239">
                  <c:v>-4.8229166666666152E-3</c:v>
                </c:pt>
                <c:pt idx="240">
                  <c:v>-4.7999011857706424E-3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B51-4335-814D-53B8B9178B55}"/>
            </c:ext>
          </c:extLst>
        </c:ser>
        <c:ser>
          <c:idx val="24"/>
          <c:order val="24"/>
          <c:tx>
            <c:strRef>
              <c:f>'전류편차_24mA(절대값기준)'!$CN$7</c:f>
              <c:strCache>
                <c:ptCount val="1"/>
                <c:pt idx="0">
                  <c:v>IC #3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'전류편차_24mA(절대값기준)'!$CN$22:$CN$262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1.7583333333333136E-3</c:v>
                </c:pt>
                <c:pt idx="3">
                  <c:v>1.7109374999999432E-3</c:v>
                </c:pt>
                <c:pt idx="4">
                  <c:v>9.9999999999998463E-4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-7.06250000000043E-4</c:v>
                </c:pt>
                <c:pt idx="8">
                  <c:v>-1.7083333333334041E-3</c:v>
                </c:pt>
                <c:pt idx="9">
                  <c:v>-3.4090909090945711E-5</c:v>
                </c:pt>
                <c:pt idx="10">
                  <c:v>1.4945652173912992E-3</c:v>
                </c:pt>
                <c:pt idx="11">
                  <c:v>2.4218750000000754E-3</c:v>
                </c:pt>
                <c:pt idx="12">
                  <c:v>1.4549999999999461E-3</c:v>
                </c:pt>
                <c:pt idx="13">
                  <c:v>2.7499999999999747E-3</c:v>
                </c:pt>
                <c:pt idx="14">
                  <c:v>2.6851851851851381E-3</c:v>
                </c:pt>
                <c:pt idx="15">
                  <c:v>3.0312499999998882E-3</c:v>
                </c:pt>
                <c:pt idx="16">
                  <c:v>2.9612068965517695E-3</c:v>
                </c:pt>
                <c:pt idx="17">
                  <c:v>2.5166666666667317E-3</c:v>
                </c:pt>
                <c:pt idx="18">
                  <c:v>2.8346774193548415E-3</c:v>
                </c:pt>
                <c:pt idx="19">
                  <c:v>2.7773437499999838E-3</c:v>
                </c:pt>
                <c:pt idx="20">
                  <c:v>2.7234848484848145E-3</c:v>
                </c:pt>
                <c:pt idx="21">
                  <c:v>2.3382352941176327E-3</c:v>
                </c:pt>
                <c:pt idx="22">
                  <c:v>9.9999999999996749E-4</c:v>
                </c:pt>
                <c:pt idx="23">
                  <c:v>1.000000000000092E-3</c:v>
                </c:pt>
                <c:pt idx="24">
                  <c:v>6.9256756756753783E-4</c:v>
                </c:pt>
                <c:pt idx="25">
                  <c:v>1.2993421052631799E-3</c:v>
                </c:pt>
                <c:pt idx="26">
                  <c:v>1.5833333333334365E-3</c:v>
                </c:pt>
                <c:pt idx="27">
                  <c:v>2.1375000000000226E-3</c:v>
                </c:pt>
                <c:pt idx="28">
                  <c:v>2.1097560975609827E-3</c:v>
                </c:pt>
                <c:pt idx="29">
                  <c:v>2.0833333333333259E-3</c:v>
                </c:pt>
                <c:pt idx="30">
                  <c:v>2.0581395348836995E-3</c:v>
                </c:pt>
                <c:pt idx="31">
                  <c:v>2.2926136363635732E-3</c:v>
                </c:pt>
                <c:pt idx="32">
                  <c:v>2.2638888888888136E-3</c:v>
                </c:pt>
                <c:pt idx="33">
                  <c:v>1.9891304347825489E-3</c:v>
                </c:pt>
                <c:pt idx="34">
                  <c:v>1.9680851063827998E-3</c:v>
                </c:pt>
                <c:pt idx="35">
                  <c:v>1.4739583333333028E-3</c:v>
                </c:pt>
                <c:pt idx="36">
                  <c:v>1.2321428571428405E-3</c:v>
                </c:pt>
                <c:pt idx="37">
                  <c:v>1.2274999999998702E-3</c:v>
                </c:pt>
                <c:pt idx="38">
                  <c:v>7.7696078431373455E-4</c:v>
                </c:pt>
                <c:pt idx="39">
                  <c:v>-7.5000000000002842E-4</c:v>
                </c:pt>
                <c:pt idx="40">
                  <c:v>-2.8773584905659511E-4</c:v>
                </c:pt>
                <c:pt idx="41">
                  <c:v>3.6805555555548313E-4</c:v>
                </c:pt>
                <c:pt idx="42">
                  <c:v>3.7954545454546427E-4</c:v>
                </c:pt>
                <c:pt idx="43">
                  <c:v>3.9062499999990841E-4</c:v>
                </c:pt>
                <c:pt idx="44">
                  <c:v>8.004385964911721E-4</c:v>
                </c:pt>
                <c:pt idx="45">
                  <c:v>4.1163793103454754E-4</c:v>
                </c:pt>
                <c:pt idx="46">
                  <c:v>6.14406779661049E-4</c:v>
                </c:pt>
                <c:pt idx="47">
                  <c:v>6.2083333333327049E-4</c:v>
                </c:pt>
                <c:pt idx="48">
                  <c:v>6.2704918032787987E-4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-6.6406250000018707E-5</c:v>
                </c:pt>
                <c:pt idx="52">
                  <c:v>-2.2500000000000853E-4</c:v>
                </c:pt>
                <c:pt idx="53">
                  <c:v>-3.7878787878787743E-4</c:v>
                </c:pt>
                <c:pt idx="54">
                  <c:v>-5.2798507462700555E-4</c:v>
                </c:pt>
                <c:pt idx="55">
                  <c:v>-1.1746323529411753E-3</c:v>
                </c:pt>
                <c:pt idx="56">
                  <c:v>-1.6376811594202431E-3</c:v>
                </c:pt>
                <c:pt idx="57">
                  <c:v>-1.2750000000000703E-3</c:v>
                </c:pt>
                <c:pt idx="58">
                  <c:v>-1.0827464788731929E-3</c:v>
                </c:pt>
                <c:pt idx="59">
                  <c:v>-1.0538194444443369E-3</c:v>
                </c:pt>
                <c:pt idx="60">
                  <c:v>-8.6986301369868793E-4</c:v>
                </c:pt>
                <c:pt idx="61">
                  <c:v>-8.4459459459459161E-4</c:v>
                </c:pt>
                <c:pt idx="62">
                  <c:v>-6.6833333333322052E-4</c:v>
                </c:pt>
                <c:pt idx="63">
                  <c:v>-6.4638157894746442E-4</c:v>
                </c:pt>
                <c:pt idx="64">
                  <c:v>-7.7272727272722802E-4</c:v>
                </c:pt>
                <c:pt idx="65">
                  <c:v>-7.4999999999989897E-4</c:v>
                </c:pt>
                <c:pt idx="66">
                  <c:v>-5.8386075949372254E-4</c:v>
                </c:pt>
                <c:pt idx="67">
                  <c:v>-8.4843749999996413E-4</c:v>
                </c:pt>
                <c:pt idx="68">
                  <c:v>-1.1064814814813603E-3</c:v>
                </c:pt>
                <c:pt idx="69">
                  <c:v>-1.0807926829269018E-3</c:v>
                </c:pt>
                <c:pt idx="70">
                  <c:v>-1.1927710843372917E-3</c:v>
                </c:pt>
                <c:pt idx="71">
                  <c:v>-1.5729166666666923E-3</c:v>
                </c:pt>
                <c:pt idx="72">
                  <c:v>-1.8102941176471213E-3</c:v>
                </c:pt>
                <c:pt idx="73">
                  <c:v>-1.6453488372092683E-3</c:v>
                </c:pt>
                <c:pt idx="74">
                  <c:v>-1.3534482758621291E-3</c:v>
                </c:pt>
                <c:pt idx="75">
                  <c:v>-1.1974431818181476E-3</c:v>
                </c:pt>
                <c:pt idx="76">
                  <c:v>-1.1727528089886805E-3</c:v>
                </c:pt>
                <c:pt idx="77">
                  <c:v>-1.0222222222222724E-3</c:v>
                </c:pt>
                <c:pt idx="78">
                  <c:v>-8.7499999999995914E-4</c:v>
                </c:pt>
                <c:pt idx="79">
                  <c:v>-8.5461956521741241E-4</c:v>
                </c:pt>
                <c:pt idx="80">
                  <c:v>-8.3467741935470323E-4</c:v>
                </c:pt>
                <c:pt idx="81">
                  <c:v>-6.9414893617042092E-4</c:v>
                </c:pt>
                <c:pt idx="82">
                  <c:v>-6.7631578947373707E-4</c:v>
                </c:pt>
                <c:pt idx="83">
                  <c:v>-7.7734375000004558E-4</c:v>
                </c:pt>
                <c:pt idx="84">
                  <c:v>-7.5902061855659625E-4</c:v>
                </c:pt>
                <c:pt idx="85">
                  <c:v>-8.5714285714274694E-4</c:v>
                </c:pt>
                <c:pt idx="86">
                  <c:v>-8.3838383838378649E-4</c:v>
                </c:pt>
                <c:pt idx="87">
                  <c:v>-1.161250000000018E-3</c:v>
                </c:pt>
                <c:pt idx="88">
                  <c:v>-1.1398514851485887E-3</c:v>
                </c:pt>
                <c:pt idx="89">
                  <c:v>-8.9583333333338754E-4</c:v>
                </c:pt>
                <c:pt idx="90">
                  <c:v>-7.6699029126210965E-4</c:v>
                </c:pt>
                <c:pt idx="91">
                  <c:v>-6.4062499999989475E-4</c:v>
                </c:pt>
                <c:pt idx="92">
                  <c:v>-5.16666666666484E-4</c:v>
                </c:pt>
                <c:pt idx="93">
                  <c:v>-5.0235849056610071E-4</c:v>
                </c:pt>
                <c:pt idx="94">
                  <c:v>-5.9462616822435546E-4</c:v>
                </c:pt>
                <c:pt idx="95">
                  <c:v>-5.7986111111103236E-4</c:v>
                </c:pt>
                <c:pt idx="96">
                  <c:v>-3.566513761466932E-4</c:v>
                </c:pt>
                <c:pt idx="97">
                  <c:v>-4.4772727272717199E-4</c:v>
                </c:pt>
                <c:pt idx="98">
                  <c:v>-6.3963963963965917E-4</c:v>
                </c:pt>
                <c:pt idx="99">
                  <c:v>-5.2343750000012623E-4</c:v>
                </c:pt>
                <c:pt idx="100">
                  <c:v>-7.1128318584077154E-4</c:v>
                </c:pt>
                <c:pt idx="101">
                  <c:v>-7.9605263157900481E-4</c:v>
                </c:pt>
                <c:pt idx="102">
                  <c:v>-8.7934782608683224E-4</c:v>
                </c:pt>
                <c:pt idx="103">
                  <c:v>-1.2553879310343652E-3</c:v>
                </c:pt>
                <c:pt idx="104">
                  <c:v>-1.3333333333333838E-3</c:v>
                </c:pt>
                <c:pt idx="105">
                  <c:v>-1.0243644067797482E-3</c:v>
                </c:pt>
                <c:pt idx="106">
                  <c:v>-1.0073529411764347E-3</c:v>
                </c:pt>
                <c:pt idx="107">
                  <c:v>-1.0854166666666258E-3</c:v>
                </c:pt>
                <c:pt idx="108">
                  <c:v>-9.7417355371889967E-4</c:v>
                </c:pt>
                <c:pt idx="109">
                  <c:v>-1.0512295081966084E-3</c:v>
                </c:pt>
                <c:pt idx="110">
                  <c:v>-1.0345528455285534E-3</c:v>
                </c:pt>
                <c:pt idx="111">
                  <c:v>-1.1098790322581567E-3</c:v>
                </c:pt>
                <c:pt idx="112">
                  <c:v>-1.0929999999999751E-3</c:v>
                </c:pt>
                <c:pt idx="113">
                  <c:v>-1.076388888888909E-3</c:v>
                </c:pt>
                <c:pt idx="114">
                  <c:v>-1.0600393700786457E-3</c:v>
                </c:pt>
                <c:pt idx="115">
                  <c:v>-1.2216796875000099E-3</c:v>
                </c:pt>
                <c:pt idx="116">
                  <c:v>-1.2044573643411388E-3</c:v>
                </c:pt>
                <c:pt idx="117">
                  <c:v>-1.2750000000000482E-3</c:v>
                </c:pt>
                <c:pt idx="118">
                  <c:v>-1.5181297709923132E-3</c:v>
                </c:pt>
                <c:pt idx="119">
                  <c:v>-1.6714015151514097E-3</c:v>
                </c:pt>
                <c:pt idx="120">
                  <c:v>-1.9078947368420531E-3</c:v>
                </c:pt>
                <c:pt idx="121">
                  <c:v>-1.6315298507464E-3</c:v>
                </c:pt>
                <c:pt idx="122">
                  <c:v>-1.4435185185184848E-3</c:v>
                </c:pt>
                <c:pt idx="123">
                  <c:v>-1.5928308823530053E-3</c:v>
                </c:pt>
                <c:pt idx="124">
                  <c:v>-1.4908759124087627E-3</c:v>
                </c:pt>
                <c:pt idx="125">
                  <c:v>-1.6376811594202431E-3</c:v>
                </c:pt>
                <c:pt idx="126">
                  <c:v>-1.5368705035970166E-3</c:v>
                </c:pt>
                <c:pt idx="127">
                  <c:v>-1.6812499999999896E-3</c:v>
                </c:pt>
                <c:pt idx="128">
                  <c:v>-1.5815602836880178E-3</c:v>
                </c:pt>
                <c:pt idx="129">
                  <c:v>-1.8036971830985723E-3</c:v>
                </c:pt>
                <c:pt idx="130">
                  <c:v>-1.7840909090909296E-3</c:v>
                </c:pt>
                <c:pt idx="131">
                  <c:v>-1.8437500000000159E-3</c:v>
                </c:pt>
                <c:pt idx="132">
                  <c:v>-1.9025862068964238E-3</c:v>
                </c:pt>
                <c:pt idx="133">
                  <c:v>-1.9606164383561713E-3</c:v>
                </c:pt>
                <c:pt idx="134">
                  <c:v>-2.1726190476191016E-3</c:v>
                </c:pt>
                <c:pt idx="135">
                  <c:v>-2.4586148648649232E-3</c:v>
                </c:pt>
                <c:pt idx="136">
                  <c:v>-2.588087248322159E-3</c:v>
                </c:pt>
                <c:pt idx="137">
                  <c:v>-2.3366666666665725E-3</c:v>
                </c:pt>
                <c:pt idx="138">
                  <c:v>-2.3145695364239181E-3</c:v>
                </c:pt>
                <c:pt idx="139">
                  <c:v>-2.2927631578947179E-3</c:v>
                </c:pt>
                <c:pt idx="140">
                  <c:v>-2.3455882352940946E-3</c:v>
                </c:pt>
                <c:pt idx="141">
                  <c:v>-2.5454545454545677E-3</c:v>
                </c:pt>
                <c:pt idx="142">
                  <c:v>-2.6693548387096552E-3</c:v>
                </c:pt>
                <c:pt idx="143">
                  <c:v>-2.5729166666665915E-3</c:v>
                </c:pt>
                <c:pt idx="144">
                  <c:v>-2.4052547770701052E-3</c:v>
                </c:pt>
                <c:pt idx="145">
                  <c:v>-2.5276898734177189E-3</c:v>
                </c:pt>
                <c:pt idx="146">
                  <c:v>-2.3624213836477841E-3</c:v>
                </c:pt>
                <c:pt idx="147">
                  <c:v>-2.3414062500000206E-3</c:v>
                </c:pt>
                <c:pt idx="148">
                  <c:v>-2.3206521739129737E-3</c:v>
                </c:pt>
                <c:pt idx="149">
                  <c:v>-2.370370370370297E-3</c:v>
                </c:pt>
                <c:pt idx="150">
                  <c:v>-2.349693251533828E-3</c:v>
                </c:pt>
                <c:pt idx="151">
                  <c:v>-2.4679878048780917E-3</c:v>
                </c:pt>
                <c:pt idx="152">
                  <c:v>-2.4469696969696515E-3</c:v>
                </c:pt>
                <c:pt idx="153">
                  <c:v>-2.2206325301204633E-3</c:v>
                </c:pt>
                <c:pt idx="154">
                  <c:v>-2.2013473053892367E-3</c:v>
                </c:pt>
                <c:pt idx="155">
                  <c:v>-1.9791666666667076E-3</c:v>
                </c:pt>
                <c:pt idx="156">
                  <c:v>-1.9615384615385358E-3</c:v>
                </c:pt>
                <c:pt idx="157">
                  <c:v>-1.9441176470588119E-3</c:v>
                </c:pt>
                <c:pt idx="158">
                  <c:v>-1.793859649122784E-3</c:v>
                </c:pt>
                <c:pt idx="159">
                  <c:v>-1.7776162790697776E-3</c:v>
                </c:pt>
                <c:pt idx="160">
                  <c:v>-1.6958092485548758E-3</c:v>
                </c:pt>
                <c:pt idx="161">
                  <c:v>-1.7456896551724889E-3</c:v>
                </c:pt>
                <c:pt idx="162">
                  <c:v>-1.7950000000000708E-3</c:v>
                </c:pt>
                <c:pt idx="163">
                  <c:v>-1.8437499999999522E-3</c:v>
                </c:pt>
                <c:pt idx="164">
                  <c:v>-1.8276836158191935E-3</c:v>
                </c:pt>
                <c:pt idx="165">
                  <c:v>-1.811797752809005E-3</c:v>
                </c:pt>
                <c:pt idx="166">
                  <c:v>-1.9231843575418768E-3</c:v>
                </c:pt>
                <c:pt idx="167">
                  <c:v>-2.0965277777777939E-3</c:v>
                </c:pt>
                <c:pt idx="168">
                  <c:v>-2.1422651933701783E-3</c:v>
                </c:pt>
                <c:pt idx="169">
                  <c:v>-2.1250000000000435E-3</c:v>
                </c:pt>
                <c:pt idx="170">
                  <c:v>-2.0457650273224028E-3</c:v>
                </c:pt>
                <c:pt idx="171">
                  <c:v>-1.9673913043478895E-3</c:v>
                </c:pt>
                <c:pt idx="172">
                  <c:v>-1.8898648648647742E-3</c:v>
                </c:pt>
                <c:pt idx="173">
                  <c:v>-1.874327956989079E-3</c:v>
                </c:pt>
                <c:pt idx="174">
                  <c:v>-1.8589572192513077E-3</c:v>
                </c:pt>
                <c:pt idx="175">
                  <c:v>-1.9042553191491185E-3</c:v>
                </c:pt>
                <c:pt idx="176">
                  <c:v>-1.949074074074252E-3</c:v>
                </c:pt>
                <c:pt idx="177">
                  <c:v>-1.813815789473851E-3</c:v>
                </c:pt>
                <c:pt idx="178">
                  <c:v>-1.9181937172775107E-3</c:v>
                </c:pt>
                <c:pt idx="179">
                  <c:v>-2.0214843750000927E-3</c:v>
                </c:pt>
                <c:pt idx="180">
                  <c:v>-2.0058290155440584E-3</c:v>
                </c:pt>
                <c:pt idx="181">
                  <c:v>-1.9903350515463338E-3</c:v>
                </c:pt>
                <c:pt idx="182">
                  <c:v>-1.9749999999998675E-3</c:v>
                </c:pt>
                <c:pt idx="183">
                  <c:v>-2.1919642857141574E-3</c:v>
                </c:pt>
                <c:pt idx="184">
                  <c:v>-2.1180203045684611E-3</c:v>
                </c:pt>
                <c:pt idx="185">
                  <c:v>-2.0448232323232261E-3</c:v>
                </c:pt>
                <c:pt idx="186">
                  <c:v>-1.9152010050251099E-3</c:v>
                </c:pt>
                <c:pt idx="187">
                  <c:v>-1.9006250000001134E-3</c:v>
                </c:pt>
                <c:pt idx="188">
                  <c:v>-1.8296019900497225E-3</c:v>
                </c:pt>
                <c:pt idx="189">
                  <c:v>-1.8719059405940277E-3</c:v>
                </c:pt>
                <c:pt idx="190">
                  <c:v>-1.7456896551723727E-3</c:v>
                </c:pt>
                <c:pt idx="191">
                  <c:v>-1.7322303921569486E-3</c:v>
                </c:pt>
                <c:pt idx="192">
                  <c:v>-1.7743902439025215E-3</c:v>
                </c:pt>
                <c:pt idx="193">
                  <c:v>-1.8713592233009211E-3</c:v>
                </c:pt>
                <c:pt idx="194">
                  <c:v>-1.7475845410627432E-3</c:v>
                </c:pt>
                <c:pt idx="195">
                  <c:v>-1.7343749999998714E-3</c:v>
                </c:pt>
                <c:pt idx="196">
                  <c:v>-1.7757177033491515E-3</c:v>
                </c:pt>
                <c:pt idx="197">
                  <c:v>-1.762499999999993E-3</c:v>
                </c:pt>
                <c:pt idx="198">
                  <c:v>-1.7494075829385038E-3</c:v>
                </c:pt>
                <c:pt idx="199">
                  <c:v>-1.8437499999999867E-3</c:v>
                </c:pt>
                <c:pt idx="200">
                  <c:v>-1.8838028169013922E-3</c:v>
                </c:pt>
                <c:pt idx="201">
                  <c:v>-1.6577102803738656E-3</c:v>
                </c:pt>
                <c:pt idx="202">
                  <c:v>-1.6453488372092683E-3</c:v>
                </c:pt>
                <c:pt idx="203">
                  <c:v>-1.5804398148148364E-3</c:v>
                </c:pt>
                <c:pt idx="204">
                  <c:v>-1.4637096774193674E-3</c:v>
                </c:pt>
                <c:pt idx="205">
                  <c:v>-1.4524082568806798E-3</c:v>
                </c:pt>
                <c:pt idx="206">
                  <c:v>-1.3373287671232248E-3</c:v>
                </c:pt>
                <c:pt idx="207">
                  <c:v>-1.3267045454544168E-3</c:v>
                </c:pt>
                <c:pt idx="208">
                  <c:v>-1.3161764705882243E-3</c:v>
                </c:pt>
                <c:pt idx="209">
                  <c:v>-1.3057432432433487E-3</c:v>
                </c:pt>
                <c:pt idx="210">
                  <c:v>-1.1933856502243114E-3</c:v>
                </c:pt>
                <c:pt idx="211">
                  <c:v>-1.2851562499999747E-3</c:v>
                </c:pt>
                <c:pt idx="212">
                  <c:v>-1.173888888888855E-3</c:v>
                </c:pt>
                <c:pt idx="213">
                  <c:v>-1.3152654867257501E-3</c:v>
                </c:pt>
                <c:pt idx="214">
                  <c:v>-1.3551762114538278E-3</c:v>
                </c:pt>
                <c:pt idx="215">
                  <c:v>-1.44462719298242E-3</c:v>
                </c:pt>
                <c:pt idx="216">
                  <c:v>-1.4339519650654027E-3</c:v>
                </c:pt>
                <c:pt idx="217">
                  <c:v>-1.3739130434782139E-3</c:v>
                </c:pt>
                <c:pt idx="218">
                  <c:v>-1.2651515151514601E-3</c:v>
                </c:pt>
                <c:pt idx="219">
                  <c:v>-1.2553879310343652E-3</c:v>
                </c:pt>
                <c:pt idx="220">
                  <c:v>-1.1480686695277717E-3</c:v>
                </c:pt>
                <c:pt idx="221">
                  <c:v>-1.138888888889047E-3</c:v>
                </c:pt>
                <c:pt idx="222">
                  <c:v>-1.1297872340426489E-3</c:v>
                </c:pt>
                <c:pt idx="223">
                  <c:v>-1.1207627118644404E-3</c:v>
                </c:pt>
                <c:pt idx="224">
                  <c:v>-1.1118143459915334E-3</c:v>
                </c:pt>
                <c:pt idx="225">
                  <c:v>-1.1029411764706691E-3</c:v>
                </c:pt>
                <c:pt idx="226">
                  <c:v>-1.1417364016737181E-3</c:v>
                </c:pt>
                <c:pt idx="227">
                  <c:v>-1.2276041666666312E-3</c:v>
                </c:pt>
                <c:pt idx="228">
                  <c:v>-1.1711618257261554E-3</c:v>
                </c:pt>
                <c:pt idx="229">
                  <c:v>-1.1621900826445824E-3</c:v>
                </c:pt>
                <c:pt idx="230">
                  <c:v>-1.2469135802469224E-3</c:v>
                </c:pt>
                <c:pt idx="231">
                  <c:v>-1.4241803278686985E-3</c:v>
                </c:pt>
                <c:pt idx="232">
                  <c:v>-1.3678571428572029E-3</c:v>
                </c:pt>
                <c:pt idx="233">
                  <c:v>-1.2195121951219469E-3</c:v>
                </c:pt>
                <c:pt idx="234">
                  <c:v>-1.2105263157895741E-3</c:v>
                </c:pt>
                <c:pt idx="235">
                  <c:v>-1.1098790322581567E-3</c:v>
                </c:pt>
                <c:pt idx="236">
                  <c:v>-1.1014056224899933E-3</c:v>
                </c:pt>
                <c:pt idx="237">
                  <c:v>-1.0929999999999751E-3</c:v>
                </c:pt>
                <c:pt idx="238">
                  <c:v>-1.0393426294820947E-3</c:v>
                </c:pt>
                <c:pt idx="239">
                  <c:v>-1.0312499999999651E-3</c:v>
                </c:pt>
                <c:pt idx="240">
                  <c:v>-1.0232213438734256E-3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B51-4335-814D-53B8B9178B55}"/>
            </c:ext>
          </c:extLst>
        </c:ser>
        <c:ser>
          <c:idx val="25"/>
          <c:order val="25"/>
          <c:tx>
            <c:strRef>
              <c:f>'전류편차_24mA(절대값기준)'!$CO$7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'전류편차_24mA(절대값기준)'!$CO$22:$CO$262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-6.2500000000006994E-4</c:v>
                </c:pt>
                <c:pt idx="2">
                  <c:v>-5.1666666666660423E-4</c:v>
                </c:pt>
                <c:pt idx="3">
                  <c:v>-1.1328125000000591E-3</c:v>
                </c:pt>
                <c:pt idx="4">
                  <c:v>3.3088235294123473E-4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1.5416666666665986E-3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1.4739583333333028E-3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5.7870370370370161E-4</c:v>
                </c:pt>
                <c:pt idx="15">
                  <c:v>1.8750000000002098E-4</c:v>
                </c:pt>
                <c:pt idx="16">
                  <c:v>-1.7672413793099205E-4</c:v>
                </c:pt>
                <c:pt idx="17">
                  <c:v>2.4166666666664561E-4</c:v>
                </c:pt>
                <c:pt idx="18">
                  <c:v>2.6612903225802447E-4</c:v>
                </c:pt>
                <c:pt idx="19">
                  <c:v>2.8906249999994214E-4</c:v>
                </c:pt>
                <c:pt idx="20">
                  <c:v>6.5530303030307091E-4</c:v>
                </c:pt>
                <c:pt idx="21">
                  <c:v>6.6544117647060962E-4</c:v>
                </c:pt>
                <c:pt idx="22">
                  <c:v>3.4999999999989483E-4</c:v>
                </c:pt>
                <c:pt idx="23">
                  <c:v>6.8402777777776421E-4</c:v>
                </c:pt>
                <c:pt idx="24">
                  <c:v>6.9256756756753783E-4</c:v>
                </c:pt>
                <c:pt idx="25">
                  <c:v>7.0065789473679706E-4</c:v>
                </c:pt>
                <c:pt idx="26">
                  <c:v>1.000000000000038E-3</c:v>
                </c:pt>
                <c:pt idx="27">
                  <c:v>1.0000000000000217E-3</c:v>
                </c:pt>
                <c:pt idx="28">
                  <c:v>1.0000000000000063E-3</c:v>
                </c:pt>
                <c:pt idx="29">
                  <c:v>9.9999999999999156E-4</c:v>
                </c:pt>
                <c:pt idx="30">
                  <c:v>7.3546511627907657E-4</c:v>
                </c:pt>
                <c:pt idx="31">
                  <c:v>-3.4090909090945711E-5</c:v>
                </c:pt>
                <c:pt idx="32">
                  <c:v>4.9444444444445164E-4</c:v>
                </c:pt>
                <c:pt idx="33">
                  <c:v>5.054347826087993E-4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1.0000000000001119E-3</c:v>
                </c:pt>
                <c:pt idx="37">
                  <c:v>7.7249999999992039E-4</c:v>
                </c:pt>
                <c:pt idx="38">
                  <c:v>1.0000000000000835E-3</c:v>
                </c:pt>
                <c:pt idx="39">
                  <c:v>5.6250000000002132E-4</c:v>
                </c:pt>
                <c:pt idx="40">
                  <c:v>7.8537735849055178E-4</c:v>
                </c:pt>
                <c:pt idx="41">
                  <c:v>7.8935185185192015E-4</c:v>
                </c:pt>
                <c:pt idx="42">
                  <c:v>1.0000000000000332E-3</c:v>
                </c:pt>
                <c:pt idx="43">
                  <c:v>1.2031249999999993E-3</c:v>
                </c:pt>
                <c:pt idx="44">
                  <c:v>1.1995614035088492E-3</c:v>
                </c:pt>
                <c:pt idx="45">
                  <c:v>1.0000000000000872E-3</c:v>
                </c:pt>
                <c:pt idx="46">
                  <c:v>8.072033898304336E-4</c:v>
                </c:pt>
                <c:pt idx="47">
                  <c:v>6.2083333333327049E-4</c:v>
                </c:pt>
                <c:pt idx="48">
                  <c:v>6.2704918032787987E-4</c:v>
                </c:pt>
                <c:pt idx="49">
                  <c:v>8.1653225806449688E-4</c:v>
                </c:pt>
                <c:pt idx="50">
                  <c:v>1.1805555555555675E-3</c:v>
                </c:pt>
                <c:pt idx="51">
                  <c:v>1.1777343749999232E-3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1.3395522388058507E-3</c:v>
                </c:pt>
                <c:pt idx="55">
                  <c:v>1.3345588235293595E-3</c:v>
                </c:pt>
                <c:pt idx="56">
                  <c:v>1.1648550724638724E-3</c:v>
                </c:pt>
                <c:pt idx="57">
                  <c:v>1.3249999999999317E-3</c:v>
                </c:pt>
                <c:pt idx="58">
                  <c:v>1.3204225352112628E-3</c:v>
                </c:pt>
                <c:pt idx="59">
                  <c:v>1.3159722222222793E-3</c:v>
                </c:pt>
                <c:pt idx="60">
                  <c:v>1.4674657534245498E-3</c:v>
                </c:pt>
                <c:pt idx="61">
                  <c:v>1.153716216216204E-3</c:v>
                </c:pt>
                <c:pt idx="62">
                  <c:v>1.4550000000000138E-3</c:v>
                </c:pt>
                <c:pt idx="63">
                  <c:v>8.5032894736842602E-4</c:v>
                </c:pt>
                <c:pt idx="64">
                  <c:v>8.522727272727899E-4</c:v>
                </c:pt>
                <c:pt idx="65">
                  <c:v>1.2916666666666725E-3</c:v>
                </c:pt>
                <c:pt idx="66">
                  <c:v>1.5759493670886378E-3</c:v>
                </c:pt>
                <c:pt idx="67">
                  <c:v>1.5687499999999591E-3</c:v>
                </c:pt>
                <c:pt idx="68">
                  <c:v>1.5617283950617429E-3</c:v>
                </c:pt>
                <c:pt idx="69">
                  <c:v>1.554878048780433E-3</c:v>
                </c:pt>
                <c:pt idx="70">
                  <c:v>1.5481927710843367E-3</c:v>
                </c:pt>
                <c:pt idx="71">
                  <c:v>1.5416666666665986E-3</c:v>
                </c:pt>
                <c:pt idx="72">
                  <c:v>1.4014705882352345E-3</c:v>
                </c:pt>
                <c:pt idx="73">
                  <c:v>1.3968023255813882E-3</c:v>
                </c:pt>
                <c:pt idx="74">
                  <c:v>1.3922413793102724E-3</c:v>
                </c:pt>
                <c:pt idx="75">
                  <c:v>1.5170454545454766E-3</c:v>
                </c:pt>
                <c:pt idx="76">
                  <c:v>1.5112359550562516E-3</c:v>
                </c:pt>
                <c:pt idx="77">
                  <c:v>1.3791666666666325E-3</c:v>
                </c:pt>
                <c:pt idx="78">
                  <c:v>1.1250000000000426E-3</c:v>
                </c:pt>
                <c:pt idx="79">
                  <c:v>1.0000000000000492E-3</c:v>
                </c:pt>
                <c:pt idx="80">
                  <c:v>8.7768817204306637E-4</c:v>
                </c:pt>
                <c:pt idx="81">
                  <c:v>1.242021276595538E-3</c:v>
                </c:pt>
                <c:pt idx="82">
                  <c:v>1.3592105263156718E-3</c:v>
                </c:pt>
                <c:pt idx="83">
                  <c:v>1.4739583333333028E-3</c:v>
                </c:pt>
                <c:pt idx="84">
                  <c:v>1.4690721649483652E-3</c:v>
                </c:pt>
                <c:pt idx="85">
                  <c:v>1.4642857142857751E-3</c:v>
                </c:pt>
                <c:pt idx="86">
                  <c:v>1.4595959595959627E-3</c:v>
                </c:pt>
                <c:pt idx="87">
                  <c:v>1.2274999999998702E-3</c:v>
                </c:pt>
                <c:pt idx="88">
                  <c:v>1.3378712871286661E-3</c:v>
                </c:pt>
                <c:pt idx="89">
                  <c:v>1.1115196078431591E-3</c:v>
                </c:pt>
                <c:pt idx="90">
                  <c:v>8.8956310679620557E-4</c:v>
                </c:pt>
                <c:pt idx="91">
                  <c:v>8.9062500000003375E-4</c:v>
                </c:pt>
                <c:pt idx="92">
                  <c:v>1.0000000000001119E-3</c:v>
                </c:pt>
                <c:pt idx="93">
                  <c:v>7.8537735849055178E-4</c:v>
                </c:pt>
                <c:pt idx="94">
                  <c:v>8.9369158878492073E-4</c:v>
                </c:pt>
                <c:pt idx="95">
                  <c:v>5.7870370370370161E-4</c:v>
                </c:pt>
                <c:pt idx="96">
                  <c:v>5.8256880733939564E-4</c:v>
                </c:pt>
                <c:pt idx="97">
                  <c:v>7.9318181818196609E-4</c:v>
                </c:pt>
                <c:pt idx="98">
                  <c:v>7.9504504504495841E-4</c:v>
                </c:pt>
                <c:pt idx="99">
                  <c:v>7.9687499999986366E-4</c:v>
                </c:pt>
                <c:pt idx="100">
                  <c:v>1.0000000000000607E-3</c:v>
                </c:pt>
                <c:pt idx="101">
                  <c:v>1.0000000000000106E-3</c:v>
                </c:pt>
                <c:pt idx="102">
                  <c:v>9.010869565217553E-4</c:v>
                </c:pt>
                <c:pt idx="103">
                  <c:v>7.0581896551731734E-4</c:v>
                </c:pt>
                <c:pt idx="104">
                  <c:v>8.0555555555552846E-4</c:v>
                </c:pt>
                <c:pt idx="105">
                  <c:v>5.1800847457618546E-4</c:v>
                </c:pt>
                <c:pt idx="106">
                  <c:v>5.22058823529449E-4</c:v>
                </c:pt>
                <c:pt idx="107">
                  <c:v>3.3645833333342812E-4</c:v>
                </c:pt>
                <c:pt idx="108">
                  <c:v>3.419421487603778E-4</c:v>
                </c:pt>
                <c:pt idx="109">
                  <c:v>3.4733606557377092E-4</c:v>
                </c:pt>
                <c:pt idx="110">
                  <c:v>3.5264227642271861E-4</c:v>
                </c:pt>
                <c:pt idx="111">
                  <c:v>1.7439516129033337E-4</c:v>
                </c:pt>
                <c:pt idx="112">
                  <c:v>-9.9999999993372047E-7</c:v>
                </c:pt>
                <c:pt idx="113">
                  <c:v>2.7777777777780889E-4</c:v>
                </c:pt>
                <c:pt idx="114">
                  <c:v>4.6259842519689651E-4</c:v>
                </c:pt>
                <c:pt idx="115">
                  <c:v>4.6679687499984358E-4</c:v>
                </c:pt>
                <c:pt idx="116">
                  <c:v>4.7093023255809712E-4</c:v>
                </c:pt>
                <c:pt idx="117">
                  <c:v>4.7499999999991435E-4</c:v>
                </c:pt>
                <c:pt idx="118">
                  <c:v>4.790076335878123E-4</c:v>
                </c:pt>
                <c:pt idx="119">
                  <c:v>3.967803030303338E-4</c:v>
                </c:pt>
                <c:pt idx="120">
                  <c:v>5.7236842105267663E-4</c:v>
                </c:pt>
                <c:pt idx="121">
                  <c:v>4.9067164179094345E-4</c:v>
                </c:pt>
                <c:pt idx="122">
                  <c:v>3.2592592592587685E-4</c:v>
                </c:pt>
                <c:pt idx="123">
                  <c:v>1.6360294117647299E-4</c:v>
                </c:pt>
                <c:pt idx="124">
                  <c:v>8.6678832116795389E-5</c:v>
                </c:pt>
                <c:pt idx="125">
                  <c:v>9.3297101449241353E-5</c:v>
                </c:pt>
                <c:pt idx="126">
                  <c:v>9.9820143884962962E-5</c:v>
                </c:pt>
                <c:pt idx="127">
                  <c:v>-1.3750000000012363E-4</c:v>
                </c:pt>
                <c:pt idx="128">
                  <c:v>-2.1010638297869829E-4</c:v>
                </c:pt>
                <c:pt idx="129">
                  <c:v>3.8732394366191356E-5</c:v>
                </c:pt>
                <c:pt idx="130">
                  <c:v>2.8409090909087276E-4</c:v>
                </c:pt>
                <c:pt idx="131">
                  <c:v>2.1006944444455317E-4</c:v>
                </c:pt>
                <c:pt idx="132">
                  <c:v>2.1551724137937927E-4</c:v>
                </c:pt>
                <c:pt idx="133">
                  <c:v>2.2089041095879538E-4</c:v>
                </c:pt>
                <c:pt idx="134">
                  <c:v>3.8095238095242357E-4</c:v>
                </c:pt>
                <c:pt idx="135">
                  <c:v>2.3141891891887169E-4</c:v>
                </c:pt>
                <c:pt idx="136">
                  <c:v>3.1291946308725674E-4</c:v>
                </c:pt>
                <c:pt idx="137">
                  <c:v>1.6583333333338799E-4</c:v>
                </c:pt>
                <c:pt idx="138">
                  <c:v>9.6026490066149884E-5</c:v>
                </c:pt>
                <c:pt idx="139">
                  <c:v>2.7138157894666288E-5</c:v>
                </c:pt>
                <c:pt idx="140">
                  <c:v>-4.0849673202680269E-5</c:v>
                </c:pt>
                <c:pt idx="141">
                  <c:v>-2.556818181817976E-4</c:v>
                </c:pt>
                <c:pt idx="142">
                  <c:v>-2.4758064516130639E-4</c:v>
                </c:pt>
                <c:pt idx="143">
                  <c:v>-3.1249999999988232E-4</c:v>
                </c:pt>
                <c:pt idx="144">
                  <c:v>-3.0414012738858286E-4</c:v>
                </c:pt>
                <c:pt idx="145">
                  <c:v>-7.9905063291214407E-5</c:v>
                </c:pt>
                <c:pt idx="146">
                  <c:v>-7.3113207547153037E-5</c:v>
                </c:pt>
                <c:pt idx="147">
                  <c:v>7.5781250000028774E-5</c:v>
                </c:pt>
                <c:pt idx="148">
                  <c:v>2.2282608695656236E-4</c:v>
                </c:pt>
                <c:pt idx="149">
                  <c:v>2.276234567901289E-4</c:v>
                </c:pt>
                <c:pt idx="150">
                  <c:v>2.3236196319015469E-4</c:v>
                </c:pt>
                <c:pt idx="151">
                  <c:v>2.3704268292676559E-4</c:v>
                </c:pt>
                <c:pt idx="152">
                  <c:v>2.4166666666669152E-4</c:v>
                </c:pt>
                <c:pt idx="153">
                  <c:v>2.4623493975902674E-4</c:v>
                </c:pt>
                <c:pt idx="154">
                  <c:v>3.1886227544914179E-4</c:v>
                </c:pt>
                <c:pt idx="155">
                  <c:v>1.8749999999996084E-4</c:v>
                </c:pt>
                <c:pt idx="156">
                  <c:v>1.2499999999996487E-4</c:v>
                </c:pt>
                <c:pt idx="157">
                  <c:v>6.3235294117615937E-5</c:v>
                </c:pt>
                <c:pt idx="158">
                  <c:v>-1.3084795321632772E-4</c:v>
                </c:pt>
                <c:pt idx="159">
                  <c:v>-1.9040697674413604E-4</c:v>
                </c:pt>
                <c:pt idx="160">
                  <c:v>-5.2023121387222322E-5</c:v>
                </c:pt>
                <c:pt idx="161">
                  <c:v>1.9396551724129733E-5</c:v>
                </c:pt>
                <c:pt idx="162">
                  <c:v>1.550000000000029E-4</c:v>
                </c:pt>
                <c:pt idx="163">
                  <c:v>2.2443181818186788E-4</c:v>
                </c:pt>
                <c:pt idx="164">
                  <c:v>3.5734463276842197E-4</c:v>
                </c:pt>
                <c:pt idx="165">
                  <c:v>3.6095505617980353E-4</c:v>
                </c:pt>
                <c:pt idx="166">
                  <c:v>4.2807262569839814E-4</c:v>
                </c:pt>
                <c:pt idx="167">
                  <c:v>4.9444444444445164E-4</c:v>
                </c:pt>
                <c:pt idx="168">
                  <c:v>4.9723756906074935E-4</c:v>
                </c:pt>
                <c:pt idx="169">
                  <c:v>4.9999999999994493E-4</c:v>
                </c:pt>
                <c:pt idx="170">
                  <c:v>5.0273224043718317E-4</c:v>
                </c:pt>
                <c:pt idx="171">
                  <c:v>4.4361413043481068E-4</c:v>
                </c:pt>
                <c:pt idx="172">
                  <c:v>4.4662162162172818E-4</c:v>
                </c:pt>
                <c:pt idx="173">
                  <c:v>3.2728494623659386E-4</c:v>
                </c:pt>
                <c:pt idx="174">
                  <c:v>3.3088235294128878E-4</c:v>
                </c:pt>
                <c:pt idx="175">
                  <c:v>-2.8590425531954555E-5</c:v>
                </c:pt>
                <c:pt idx="176">
                  <c:v>1.5740740740723792E-4</c:v>
                </c:pt>
                <c:pt idx="177">
                  <c:v>2.8157894736826266E-4</c:v>
                </c:pt>
                <c:pt idx="178">
                  <c:v>4.6400523560201958E-4</c:v>
                </c:pt>
                <c:pt idx="179">
                  <c:v>4.667968750000015E-4</c:v>
                </c:pt>
                <c:pt idx="180">
                  <c:v>4.6955958549230485E-4</c:v>
                </c:pt>
                <c:pt idx="181">
                  <c:v>5.8956185567018949E-4</c:v>
                </c:pt>
                <c:pt idx="182">
                  <c:v>5.9166666666662004E-4</c:v>
                </c:pt>
                <c:pt idx="183">
                  <c:v>5.9375000000002785E-4</c:v>
                </c:pt>
                <c:pt idx="184">
                  <c:v>5.9581218274121824E-4</c:v>
                </c:pt>
                <c:pt idx="185">
                  <c:v>5.9785353535370979E-4</c:v>
                </c:pt>
                <c:pt idx="186">
                  <c:v>5.9987437185934011E-4</c:v>
                </c:pt>
                <c:pt idx="187">
                  <c:v>5.4499999999984444E-4</c:v>
                </c:pt>
                <c:pt idx="188">
                  <c:v>5.4726368159195744E-4</c:v>
                </c:pt>
                <c:pt idx="189">
                  <c:v>4.9319306930685188E-4</c:v>
                </c:pt>
                <c:pt idx="190">
                  <c:v>4.3965517241371786E-4</c:v>
                </c:pt>
                <c:pt idx="191">
                  <c:v>2.1936274509796119E-4</c:v>
                </c:pt>
                <c:pt idx="192">
                  <c:v>2.2317073170731038E-4</c:v>
                </c:pt>
                <c:pt idx="193">
                  <c:v>3.9259708737871099E-4</c:v>
                </c:pt>
                <c:pt idx="194">
                  <c:v>5.054347826087749E-4</c:v>
                </c:pt>
                <c:pt idx="195">
                  <c:v>3.984375000000151E-4</c:v>
                </c:pt>
                <c:pt idx="196">
                  <c:v>5.645933014354975E-4</c:v>
                </c:pt>
                <c:pt idx="197">
                  <c:v>5.125000000000935E-4</c:v>
                </c:pt>
                <c:pt idx="198">
                  <c:v>6.2263033175346508E-4</c:v>
                </c:pt>
                <c:pt idx="199">
                  <c:v>6.2441037735847015E-4</c:v>
                </c:pt>
                <c:pt idx="200">
                  <c:v>6.2617370892004609E-4</c:v>
                </c:pt>
                <c:pt idx="201">
                  <c:v>5.7476635514023774E-4</c:v>
                </c:pt>
                <c:pt idx="202">
                  <c:v>6.2965116279069255E-4</c:v>
                </c:pt>
                <c:pt idx="203">
                  <c:v>5.7870370370370161E-4</c:v>
                </c:pt>
                <c:pt idx="204">
                  <c:v>5.2822580645161383E-4</c:v>
                </c:pt>
                <c:pt idx="205">
                  <c:v>4.782110091743158E-4</c:v>
                </c:pt>
                <c:pt idx="206">
                  <c:v>4.2865296803653647E-4</c:v>
                </c:pt>
                <c:pt idx="207">
                  <c:v>2.7613636363643066E-4</c:v>
                </c:pt>
                <c:pt idx="208">
                  <c:v>1.2500000000012666E-4</c:v>
                </c:pt>
                <c:pt idx="209">
                  <c:v>2.3141891891887166E-4</c:v>
                </c:pt>
                <c:pt idx="210">
                  <c:v>3.3688340807171049E-4</c:v>
                </c:pt>
                <c:pt idx="211">
                  <c:v>3.9062499999990841E-4</c:v>
                </c:pt>
                <c:pt idx="212">
                  <c:v>3.9333333333330675E-4</c:v>
                </c:pt>
                <c:pt idx="213">
                  <c:v>3.9601769911508215E-4</c:v>
                </c:pt>
                <c:pt idx="214">
                  <c:v>4.4878854625549167E-4</c:v>
                </c:pt>
                <c:pt idx="215">
                  <c:v>4.5120614035092609E-4</c:v>
                </c:pt>
                <c:pt idx="216">
                  <c:v>5.0327510917030211E-4</c:v>
                </c:pt>
                <c:pt idx="217">
                  <c:v>4.5597826086956451E-4</c:v>
                </c:pt>
                <c:pt idx="218">
                  <c:v>4.5833333333339556E-4</c:v>
                </c:pt>
                <c:pt idx="219">
                  <c:v>4.1163793103454754E-4</c:v>
                </c:pt>
                <c:pt idx="220">
                  <c:v>4.1416309012888227E-4</c:v>
                </c:pt>
                <c:pt idx="221">
                  <c:v>3.6805555555551191E-4</c:v>
                </c:pt>
                <c:pt idx="222">
                  <c:v>3.2234042553187418E-4</c:v>
                </c:pt>
                <c:pt idx="223">
                  <c:v>1.3241525423724485E-4</c:v>
                </c:pt>
                <c:pt idx="224">
                  <c:v>8.8080168776330921E-5</c:v>
                </c:pt>
                <c:pt idx="225">
                  <c:v>1.3970588235285067E-4</c:v>
                </c:pt>
                <c:pt idx="226">
                  <c:v>2.3849372384929037E-4</c:v>
                </c:pt>
                <c:pt idx="227">
                  <c:v>1.9427083333342274E-4</c:v>
                </c:pt>
                <c:pt idx="228">
                  <c:v>1.9761410788379913E-4</c:v>
                </c:pt>
                <c:pt idx="229">
                  <c:v>2.4793388429761998E-4</c:v>
                </c:pt>
                <c:pt idx="230">
                  <c:v>2.5102880658435463E-4</c:v>
                </c:pt>
                <c:pt idx="231">
                  <c:v>3.007172131148632E-4</c:v>
                </c:pt>
                <c:pt idx="232">
                  <c:v>3.4999999999989483E-4</c:v>
                </c:pt>
                <c:pt idx="233">
                  <c:v>3.5264227642271861E-4</c:v>
                </c:pt>
                <c:pt idx="234">
                  <c:v>3.0921052631574666E-4</c:v>
                </c:pt>
                <c:pt idx="235">
                  <c:v>3.1199596774195149E-4</c:v>
                </c:pt>
                <c:pt idx="236">
                  <c:v>2.6907630522090203E-4</c:v>
                </c:pt>
                <c:pt idx="237">
                  <c:v>2.7200000000007665E-4</c:v>
                </c:pt>
                <c:pt idx="238">
                  <c:v>2.2958167330685178E-4</c:v>
                </c:pt>
                <c:pt idx="239">
                  <c:v>9.7222222222193011E-5</c:v>
                </c:pt>
                <c:pt idx="240">
                  <c:v>5.583003952566515E-5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B51-4335-814D-53B8B9178B55}"/>
            </c:ext>
          </c:extLst>
        </c:ser>
        <c:ser>
          <c:idx val="26"/>
          <c:order val="26"/>
          <c:tx>
            <c:strRef>
              <c:f>'전류편차_24mA(절대값기준)'!$CP$7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'전류편차_24mA(절대값기준)'!$CP$22:$CP$262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2.8906249999994214E-4</c:v>
                </c:pt>
                <c:pt idx="4">
                  <c:v>3.3088235294123473E-4</c:v>
                </c:pt>
                <c:pt idx="5">
                  <c:v>3.6805555555557669E-4</c:v>
                </c:pt>
                <c:pt idx="6">
                  <c:v>4.0131578947367216E-4</c:v>
                </c:pt>
                <c:pt idx="7">
                  <c:v>1.5687499999999591E-3</c:v>
                </c:pt>
                <c:pt idx="8">
                  <c:v>1.5416666666665986E-3</c:v>
                </c:pt>
                <c:pt idx="9">
                  <c:v>1.5170454545454766E-3</c:v>
                </c:pt>
                <c:pt idx="10">
                  <c:v>1.4945652173912992E-3</c:v>
                </c:pt>
                <c:pt idx="11">
                  <c:v>2.4218750000000754E-3</c:v>
                </c:pt>
                <c:pt idx="12">
                  <c:v>2.364999999999846E-3</c:v>
                </c:pt>
                <c:pt idx="13">
                  <c:v>2.3125000000000229E-3</c:v>
                </c:pt>
                <c:pt idx="14">
                  <c:v>2.6851851851851381E-3</c:v>
                </c:pt>
                <c:pt idx="15">
                  <c:v>2.2187499999999777E-3</c:v>
                </c:pt>
                <c:pt idx="16">
                  <c:v>2.1767241379311662E-3</c:v>
                </c:pt>
                <c:pt idx="17">
                  <c:v>1.3791666666666887E-3</c:v>
                </c:pt>
                <c:pt idx="18">
                  <c:v>1.0000000000000421E-3</c:v>
                </c:pt>
                <c:pt idx="19">
                  <c:v>2.8906249999994214E-4</c:v>
                </c:pt>
                <c:pt idx="20">
                  <c:v>2.0340909090909511E-3</c:v>
                </c:pt>
                <c:pt idx="21">
                  <c:v>1.6691176470588829E-3</c:v>
                </c:pt>
                <c:pt idx="22">
                  <c:v>1.6499999999998959E-3</c:v>
                </c:pt>
                <c:pt idx="23">
                  <c:v>1.6319444444444669E-3</c:v>
                </c:pt>
                <c:pt idx="24">
                  <c:v>1.61486486486487E-3</c:v>
                </c:pt>
                <c:pt idx="25">
                  <c:v>1.5986842105263047E-3</c:v>
                </c:pt>
                <c:pt idx="26">
                  <c:v>1.5833333333334365E-3</c:v>
                </c:pt>
                <c:pt idx="27">
                  <c:v>1.8531250000000542E-3</c:v>
                </c:pt>
                <c:pt idx="28">
                  <c:v>2.1097560975609827E-3</c:v>
                </c:pt>
                <c:pt idx="29">
                  <c:v>2.6249999999999329E-3</c:v>
                </c:pt>
                <c:pt idx="30">
                  <c:v>2.0581395348836995E-3</c:v>
                </c:pt>
                <c:pt idx="31">
                  <c:v>2.5511363636363869E-3</c:v>
                </c:pt>
                <c:pt idx="32">
                  <c:v>2.5166666666666757E-3</c:v>
                </c:pt>
                <c:pt idx="33">
                  <c:v>2.2364130434782839E-3</c:v>
                </c:pt>
                <c:pt idx="34">
                  <c:v>1.4840425531913635E-3</c:v>
                </c:pt>
                <c:pt idx="35">
                  <c:v>1.4739583333333028E-3</c:v>
                </c:pt>
                <c:pt idx="36">
                  <c:v>1.9285714285714383E-3</c:v>
                </c:pt>
                <c:pt idx="37">
                  <c:v>2.364999999999846E-3</c:v>
                </c:pt>
                <c:pt idx="38">
                  <c:v>2.3382352941175833E-3</c:v>
                </c:pt>
                <c:pt idx="39">
                  <c:v>1.8750000000000711E-3</c:v>
                </c:pt>
                <c:pt idx="40">
                  <c:v>2.0731132075470136E-3</c:v>
                </c:pt>
                <c:pt idx="41">
                  <c:v>2.0532407407406698E-3</c:v>
                </c:pt>
                <c:pt idx="42">
                  <c:v>2.0340909090909203E-3</c:v>
                </c:pt>
                <c:pt idx="43">
                  <c:v>2.0156249999999098E-3</c:v>
                </c:pt>
                <c:pt idx="44">
                  <c:v>1.7982456140350105E-3</c:v>
                </c:pt>
                <c:pt idx="45">
                  <c:v>1.7844827586206904E-3</c:v>
                </c:pt>
                <c:pt idx="46">
                  <c:v>1.7711864406778706E-3</c:v>
                </c:pt>
                <c:pt idx="47">
                  <c:v>1.7583333333333136E-3</c:v>
                </c:pt>
                <c:pt idx="48">
                  <c:v>1.5594262295083536E-3</c:v>
                </c:pt>
                <c:pt idx="49">
                  <c:v>1.3669354838709694E-3</c:v>
                </c:pt>
                <c:pt idx="50">
                  <c:v>9.9999999999995167E-4</c:v>
                </c:pt>
                <c:pt idx="51">
                  <c:v>6.4453124999990299E-4</c:v>
                </c:pt>
                <c:pt idx="52">
                  <c:v>9.9999999999993432E-4</c:v>
                </c:pt>
                <c:pt idx="53">
                  <c:v>1.0000000000000026E-3</c:v>
                </c:pt>
                <c:pt idx="54">
                  <c:v>9.9999999999991806E-4</c:v>
                </c:pt>
                <c:pt idx="55">
                  <c:v>6.6544117647060962E-4</c:v>
                </c:pt>
                <c:pt idx="56">
                  <c:v>6.7028985507254924E-4</c:v>
                </c:pt>
                <c:pt idx="57">
                  <c:v>8.3749999999991329E-4</c:v>
                </c:pt>
                <c:pt idx="58">
                  <c:v>8.3978873239434326E-4</c:v>
                </c:pt>
                <c:pt idx="59">
                  <c:v>6.8402777777776421E-4</c:v>
                </c:pt>
                <c:pt idx="60">
                  <c:v>1.000000000000013E-3</c:v>
                </c:pt>
                <c:pt idx="61">
                  <c:v>9.9999999999993649E-4</c:v>
                </c:pt>
                <c:pt idx="62">
                  <c:v>1.1516666666667138E-3</c:v>
                </c:pt>
                <c:pt idx="63">
                  <c:v>1.2993421052631799E-3</c:v>
                </c:pt>
                <c:pt idx="64">
                  <c:v>1.2954545454544936E-3</c:v>
                </c:pt>
                <c:pt idx="65">
                  <c:v>1.2916666666666725E-3</c:v>
                </c:pt>
                <c:pt idx="66">
                  <c:v>1.1439873417721656E-3</c:v>
                </c:pt>
                <c:pt idx="67">
                  <c:v>1.1421875000000691E-3</c:v>
                </c:pt>
                <c:pt idx="68">
                  <c:v>1.0000000000000763E-3</c:v>
                </c:pt>
                <c:pt idx="69">
                  <c:v>1.1387195121950514E-3</c:v>
                </c:pt>
                <c:pt idx="70">
                  <c:v>1.4111445783133285E-3</c:v>
                </c:pt>
                <c:pt idx="71">
                  <c:v>1.4062499999998868E-3</c:v>
                </c:pt>
                <c:pt idx="72">
                  <c:v>1.2676470588235439E-3</c:v>
                </c:pt>
                <c:pt idx="73">
                  <c:v>1.2645348837209962E-3</c:v>
                </c:pt>
                <c:pt idx="74">
                  <c:v>1.2614942528735634E-3</c:v>
                </c:pt>
                <c:pt idx="75">
                  <c:v>1.258522727272778E-3</c:v>
                </c:pt>
                <c:pt idx="76">
                  <c:v>1.2556179775280764E-3</c:v>
                </c:pt>
                <c:pt idx="77">
                  <c:v>1.5055555555555636E-3</c:v>
                </c:pt>
                <c:pt idx="78">
                  <c:v>1.5000000000000568E-3</c:v>
                </c:pt>
                <c:pt idx="79">
                  <c:v>1.4945652173912992E-3</c:v>
                </c:pt>
                <c:pt idx="80">
                  <c:v>1.4892473118281082E-3</c:v>
                </c:pt>
                <c:pt idx="81">
                  <c:v>1.6050531914891689E-3</c:v>
                </c:pt>
                <c:pt idx="82">
                  <c:v>1.3592105263156718E-3</c:v>
                </c:pt>
                <c:pt idx="83">
                  <c:v>1.4739583333333028E-3</c:v>
                </c:pt>
                <c:pt idx="84">
                  <c:v>1.4690721649483652E-3</c:v>
                </c:pt>
                <c:pt idx="85">
                  <c:v>1.4642857142857751E-3</c:v>
                </c:pt>
                <c:pt idx="86">
                  <c:v>1.4595959595959627E-3</c:v>
                </c:pt>
                <c:pt idx="87">
                  <c:v>1.6824999999998202E-3</c:v>
                </c:pt>
                <c:pt idx="88">
                  <c:v>1.6757425742573917E-3</c:v>
                </c:pt>
                <c:pt idx="89">
                  <c:v>1.6691176470587344E-3</c:v>
                </c:pt>
                <c:pt idx="90">
                  <c:v>1.5521844660195316E-3</c:v>
                </c:pt>
                <c:pt idx="91">
                  <c:v>1.4375000000001192E-3</c:v>
                </c:pt>
                <c:pt idx="92">
                  <c:v>1.4333333333333977E-3</c:v>
                </c:pt>
                <c:pt idx="93">
                  <c:v>1.4292452830188781E-3</c:v>
                </c:pt>
                <c:pt idx="94">
                  <c:v>1.4252336448597701E-3</c:v>
                </c:pt>
                <c:pt idx="95">
                  <c:v>1.4212962962962014E-3</c:v>
                </c:pt>
                <c:pt idx="96">
                  <c:v>1.41743119266059E-3</c:v>
                </c:pt>
                <c:pt idx="97">
                  <c:v>1.3102272727273177E-3</c:v>
                </c:pt>
                <c:pt idx="98">
                  <c:v>1.2049549549548232E-3</c:v>
                </c:pt>
                <c:pt idx="99">
                  <c:v>1.2031249999999993E-3</c:v>
                </c:pt>
                <c:pt idx="100">
                  <c:v>1.2013274336282677E-3</c:v>
                </c:pt>
                <c:pt idx="101">
                  <c:v>1.1995614035088492E-3</c:v>
                </c:pt>
                <c:pt idx="102">
                  <c:v>1.2967391304347551E-3</c:v>
                </c:pt>
                <c:pt idx="103">
                  <c:v>1.098060344827619E-3</c:v>
                </c:pt>
                <c:pt idx="104">
                  <c:v>9.9999999999986515E-4</c:v>
                </c:pt>
                <c:pt idx="105">
                  <c:v>1.1927966101693743E-3</c:v>
                </c:pt>
                <c:pt idx="106">
                  <c:v>1.0955882352941765E-3</c:v>
                </c:pt>
                <c:pt idx="107">
                  <c:v>9.0520833333328134E-4</c:v>
                </c:pt>
                <c:pt idx="108">
                  <c:v>1.0000000000000165E-3</c:v>
                </c:pt>
                <c:pt idx="109">
                  <c:v>8.1352459016400776E-4</c:v>
                </c:pt>
                <c:pt idx="110">
                  <c:v>7.2256097560966968E-4</c:v>
                </c:pt>
                <c:pt idx="111">
                  <c:v>7.247983870968058E-4</c:v>
                </c:pt>
                <c:pt idx="112">
                  <c:v>6.3600000000003649E-4</c:v>
                </c:pt>
                <c:pt idx="113">
                  <c:v>5.4861111111115246E-4</c:v>
                </c:pt>
                <c:pt idx="114">
                  <c:v>2.8346456692912011E-4</c:v>
                </c:pt>
                <c:pt idx="115">
                  <c:v>3.7792968749989284E-4</c:v>
                </c:pt>
                <c:pt idx="116">
                  <c:v>3.8275193798450259E-4</c:v>
                </c:pt>
                <c:pt idx="117">
                  <c:v>3.8749999999996285E-4</c:v>
                </c:pt>
                <c:pt idx="118">
                  <c:v>3.0534351145034976E-4</c:v>
                </c:pt>
                <c:pt idx="119">
                  <c:v>2.2443181818179137E-4</c:v>
                </c:pt>
                <c:pt idx="120">
                  <c:v>-2.6315789473611194E-5</c:v>
                </c:pt>
                <c:pt idx="121">
                  <c:v>-1.8656716418031015E-5</c:v>
                </c:pt>
                <c:pt idx="122">
                  <c:v>-1.1111111111123045E-5</c:v>
                </c:pt>
                <c:pt idx="123">
                  <c:v>-8.7316176470595355E-5</c:v>
                </c:pt>
                <c:pt idx="124">
                  <c:v>-2.4543795620433591E-4</c:v>
                </c:pt>
                <c:pt idx="125">
                  <c:v>-4.8369565217392014E-4</c:v>
                </c:pt>
                <c:pt idx="126">
                  <c:v>-5.5485611510791609E-4</c:v>
                </c:pt>
                <c:pt idx="127">
                  <c:v>-6.2499999999999774E-4</c:v>
                </c:pt>
                <c:pt idx="128">
                  <c:v>-8.5549645390075636E-4</c:v>
                </c:pt>
                <c:pt idx="129">
                  <c:v>-9.2253521126764784E-4</c:v>
                </c:pt>
                <c:pt idx="130">
                  <c:v>-1.2272727272727739E-3</c:v>
                </c:pt>
                <c:pt idx="131">
                  <c:v>-1.2907986111110126E-3</c:v>
                </c:pt>
                <c:pt idx="132">
                  <c:v>-1.2749999999999411E-3</c:v>
                </c:pt>
                <c:pt idx="133">
                  <c:v>-1.3373287671233631E-3</c:v>
                </c:pt>
                <c:pt idx="134">
                  <c:v>-1.3988095238095944E-3</c:v>
                </c:pt>
                <c:pt idx="135">
                  <c:v>-1.5363175675675907E-3</c:v>
                </c:pt>
                <c:pt idx="136">
                  <c:v>-1.6719798657717885E-3</c:v>
                </c:pt>
                <c:pt idx="137">
                  <c:v>-1.881666666666555E-3</c:v>
                </c:pt>
                <c:pt idx="138">
                  <c:v>-1.9379139072847867E-3</c:v>
                </c:pt>
                <c:pt idx="139">
                  <c:v>-1.9185855263158451E-3</c:v>
                </c:pt>
                <c:pt idx="140">
                  <c:v>-2.2712418300653778E-3</c:v>
                </c:pt>
                <c:pt idx="141">
                  <c:v>-2.3238636363636504E-3</c:v>
                </c:pt>
                <c:pt idx="142">
                  <c:v>-2.3758064516129131E-3</c:v>
                </c:pt>
                <c:pt idx="143">
                  <c:v>-2.3541666666665835E-3</c:v>
                </c:pt>
                <c:pt idx="144">
                  <c:v>-2.2603503184713309E-3</c:v>
                </c:pt>
                <c:pt idx="145">
                  <c:v>-2.3117088607594828E-3</c:v>
                </c:pt>
                <c:pt idx="146">
                  <c:v>-2.3624213836477841E-3</c:v>
                </c:pt>
                <c:pt idx="147">
                  <c:v>-2.4124999999999815E-3</c:v>
                </c:pt>
                <c:pt idx="148">
                  <c:v>-2.3206521739129737E-3</c:v>
                </c:pt>
                <c:pt idx="149">
                  <c:v>-2.1597222222221411E-3</c:v>
                </c:pt>
                <c:pt idx="150">
                  <c:v>-2.1403374233129615E-3</c:v>
                </c:pt>
                <c:pt idx="151">
                  <c:v>-2.1905487804878784E-3</c:v>
                </c:pt>
                <c:pt idx="152">
                  <c:v>-2.1022727272727504E-3</c:v>
                </c:pt>
                <c:pt idx="153">
                  <c:v>-2.2206325301204633E-3</c:v>
                </c:pt>
                <c:pt idx="154">
                  <c:v>-2.2013473053892367E-3</c:v>
                </c:pt>
                <c:pt idx="155">
                  <c:v>-2.1822916666667152E-3</c:v>
                </c:pt>
                <c:pt idx="156">
                  <c:v>-2.1634615384616205E-3</c:v>
                </c:pt>
                <c:pt idx="157">
                  <c:v>-2.1448529411764667E-3</c:v>
                </c:pt>
                <c:pt idx="158">
                  <c:v>-2.1929824561403429E-3</c:v>
                </c:pt>
                <c:pt idx="159">
                  <c:v>-2.1744186046511881E-3</c:v>
                </c:pt>
                <c:pt idx="160">
                  <c:v>-2.2218208092484597E-3</c:v>
                </c:pt>
                <c:pt idx="161">
                  <c:v>-2.2686781609195577E-3</c:v>
                </c:pt>
                <c:pt idx="162">
                  <c:v>-2.3150000000000137E-3</c:v>
                </c:pt>
                <c:pt idx="163">
                  <c:v>-2.2961647727273186E-3</c:v>
                </c:pt>
                <c:pt idx="164">
                  <c:v>-2.213276836158191E-3</c:v>
                </c:pt>
                <c:pt idx="165">
                  <c:v>-2.131320224719054E-3</c:v>
                </c:pt>
                <c:pt idx="166">
                  <c:v>-2.113826815642443E-3</c:v>
                </c:pt>
                <c:pt idx="167">
                  <c:v>-2.0965277777777939E-3</c:v>
                </c:pt>
                <c:pt idx="168">
                  <c:v>-2.0794198895028098E-3</c:v>
                </c:pt>
                <c:pt idx="169">
                  <c:v>-2.0624999999999671E-3</c:v>
                </c:pt>
                <c:pt idx="170">
                  <c:v>-2.1079234972678339E-3</c:v>
                </c:pt>
                <c:pt idx="171">
                  <c:v>-2.1528532608696355E-3</c:v>
                </c:pt>
                <c:pt idx="172">
                  <c:v>-2.1358108108108023E-3</c:v>
                </c:pt>
                <c:pt idx="173">
                  <c:v>-1.9966397849462175E-3</c:v>
                </c:pt>
                <c:pt idx="174">
                  <c:v>-2.1022727272725634E-3</c:v>
                </c:pt>
                <c:pt idx="175">
                  <c:v>-2.1462765957447291E-3</c:v>
                </c:pt>
                <c:pt idx="176">
                  <c:v>-2.1898148148148592E-3</c:v>
                </c:pt>
                <c:pt idx="177">
                  <c:v>-2.2328947368421459E-3</c:v>
                </c:pt>
                <c:pt idx="178">
                  <c:v>-2.2755235602094615E-3</c:v>
                </c:pt>
                <c:pt idx="179">
                  <c:v>-2.4361979166666347E-3</c:v>
                </c:pt>
                <c:pt idx="180">
                  <c:v>-2.3005181347149841E-3</c:v>
                </c:pt>
                <c:pt idx="181">
                  <c:v>-2.224871134020639E-3</c:v>
                </c:pt>
                <c:pt idx="182">
                  <c:v>-2.2083333333332788E-3</c:v>
                </c:pt>
                <c:pt idx="183">
                  <c:v>-2.2499999999999426E-3</c:v>
                </c:pt>
                <c:pt idx="184">
                  <c:v>-2.2335025380709351E-3</c:v>
                </c:pt>
                <c:pt idx="185">
                  <c:v>-2.2171717171717178E-3</c:v>
                </c:pt>
                <c:pt idx="186">
                  <c:v>-2.2581658291457259E-3</c:v>
                </c:pt>
                <c:pt idx="187">
                  <c:v>-2.2987499999999935E-3</c:v>
                </c:pt>
                <c:pt idx="188">
                  <c:v>-2.338930348258697E-3</c:v>
                </c:pt>
                <c:pt idx="189">
                  <c:v>-2.3224009900991286E-3</c:v>
                </c:pt>
                <c:pt idx="190">
                  <c:v>-2.3620689655173563E-3</c:v>
                </c:pt>
                <c:pt idx="191">
                  <c:v>-2.3455882352941609E-3</c:v>
                </c:pt>
                <c:pt idx="192">
                  <c:v>-2.4957317073170514E-3</c:v>
                </c:pt>
                <c:pt idx="193">
                  <c:v>-2.4235436893204248E-3</c:v>
                </c:pt>
                <c:pt idx="194">
                  <c:v>-2.5718599033816149E-3</c:v>
                </c:pt>
                <c:pt idx="195">
                  <c:v>-2.5546874999999025E-3</c:v>
                </c:pt>
                <c:pt idx="196">
                  <c:v>-2.5376794258371543E-3</c:v>
                </c:pt>
                <c:pt idx="197">
                  <c:v>-2.4666666666665581E-3</c:v>
                </c:pt>
                <c:pt idx="198">
                  <c:v>-2.4502369668246587E-3</c:v>
                </c:pt>
                <c:pt idx="199">
                  <c:v>-2.3803066037736552E-3</c:v>
                </c:pt>
                <c:pt idx="200">
                  <c:v>-2.364436619718312E-3</c:v>
                </c:pt>
                <c:pt idx="201">
                  <c:v>-2.4018691588785037E-3</c:v>
                </c:pt>
                <c:pt idx="202">
                  <c:v>-2.4389534883720891E-3</c:v>
                </c:pt>
                <c:pt idx="203">
                  <c:v>-2.423032407407336E-3</c:v>
                </c:pt>
                <c:pt idx="204">
                  <c:v>-2.4596774193547648E-3</c:v>
                </c:pt>
                <c:pt idx="205">
                  <c:v>-2.4959862385320335E-3</c:v>
                </c:pt>
                <c:pt idx="206">
                  <c:v>-2.5319634703195558E-3</c:v>
                </c:pt>
                <c:pt idx="207">
                  <c:v>-2.4642045454545212E-3</c:v>
                </c:pt>
                <c:pt idx="208">
                  <c:v>-2.448529411764616E-3</c:v>
                </c:pt>
                <c:pt idx="209">
                  <c:v>-2.5354729729731248E-3</c:v>
                </c:pt>
                <c:pt idx="210">
                  <c:v>-2.6726457399104055E-3</c:v>
                </c:pt>
                <c:pt idx="211">
                  <c:v>-2.7070312500000887E-3</c:v>
                </c:pt>
                <c:pt idx="212">
                  <c:v>-2.5894444444445239E-3</c:v>
                </c:pt>
                <c:pt idx="213">
                  <c:v>-2.5735619469026698E-3</c:v>
                </c:pt>
                <c:pt idx="214">
                  <c:v>-2.5578193832598629E-3</c:v>
                </c:pt>
                <c:pt idx="215">
                  <c:v>-2.5422149122807662E-3</c:v>
                </c:pt>
                <c:pt idx="216">
                  <c:v>-2.5764192139738607E-3</c:v>
                </c:pt>
                <c:pt idx="217">
                  <c:v>-2.5608695652173893E-3</c:v>
                </c:pt>
                <c:pt idx="218">
                  <c:v>-2.5454545454544806E-3</c:v>
                </c:pt>
                <c:pt idx="219">
                  <c:v>-2.5301724137929762E-3</c:v>
                </c:pt>
                <c:pt idx="220">
                  <c:v>-2.5638412017166086E-3</c:v>
                </c:pt>
                <c:pt idx="221">
                  <c:v>-2.5486111111112653E-3</c:v>
                </c:pt>
                <c:pt idx="222">
                  <c:v>-2.6303191489362079E-3</c:v>
                </c:pt>
                <c:pt idx="223">
                  <c:v>-2.6149364406779421E-3</c:v>
                </c:pt>
                <c:pt idx="224">
                  <c:v>-2.599683544303883E-3</c:v>
                </c:pt>
                <c:pt idx="225">
                  <c:v>-2.6801470588235002E-3</c:v>
                </c:pt>
                <c:pt idx="226">
                  <c:v>-2.8075313807530539E-3</c:v>
                </c:pt>
                <c:pt idx="227">
                  <c:v>-2.8390624999999133E-3</c:v>
                </c:pt>
                <c:pt idx="228">
                  <c:v>-2.7759336099584695E-3</c:v>
                </c:pt>
                <c:pt idx="229">
                  <c:v>-2.6663223140495425E-3</c:v>
                </c:pt>
                <c:pt idx="230">
                  <c:v>-2.698045267489665E-3</c:v>
                </c:pt>
                <c:pt idx="231">
                  <c:v>-2.7761270491803358E-3</c:v>
                </c:pt>
                <c:pt idx="232">
                  <c:v>-2.6678571428571424E-3</c:v>
                </c:pt>
                <c:pt idx="233">
                  <c:v>-2.6991869918699153E-3</c:v>
                </c:pt>
                <c:pt idx="234">
                  <c:v>-2.6842105263158913E-3</c:v>
                </c:pt>
                <c:pt idx="235">
                  <c:v>-2.6693548387097198E-3</c:v>
                </c:pt>
                <c:pt idx="236">
                  <c:v>-2.6546184738955665E-3</c:v>
                </c:pt>
                <c:pt idx="237">
                  <c:v>-2.6854999999999817E-3</c:v>
                </c:pt>
                <c:pt idx="238">
                  <c:v>-2.7161354581673098E-3</c:v>
                </c:pt>
                <c:pt idx="239">
                  <c:v>-2.7465277777777544E-3</c:v>
                </c:pt>
                <c:pt idx="240">
                  <c:v>-2.7317193675888522E-3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B51-4335-814D-53B8B9178B55}"/>
            </c:ext>
          </c:extLst>
        </c:ser>
        <c:ser>
          <c:idx val="27"/>
          <c:order val="27"/>
          <c:tx>
            <c:strRef>
              <c:f>'전류편차_24mA(절대값기준)'!$CQ$7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'전류편차_24mA(절대값기준)'!$CQ$22:$CQ$262</c:f>
              <c:numCache>
                <c:formatCode>0.0%</c:formatCode>
                <c:ptCount val="241"/>
                <c:pt idx="0">
                  <c:v>3.6250000000000726E-3</c:v>
                </c:pt>
                <c:pt idx="1">
                  <c:v>2.6249999999999329E-3</c:v>
                </c:pt>
                <c:pt idx="2">
                  <c:v>1.7583333333333136E-3</c:v>
                </c:pt>
                <c:pt idx="3">
                  <c:v>1.7109374999999432E-3</c:v>
                </c:pt>
                <c:pt idx="4">
                  <c:v>1.6691176470588829E-3</c:v>
                </c:pt>
                <c:pt idx="5">
                  <c:v>2.2638888888889819E-3</c:v>
                </c:pt>
                <c:pt idx="6">
                  <c:v>9.9999999999992196E-4</c:v>
                </c:pt>
                <c:pt idx="7">
                  <c:v>4.3124999999995809E-4</c:v>
                </c:pt>
                <c:pt idx="8">
                  <c:v>-8.3333333333342655E-5</c:v>
                </c:pt>
                <c:pt idx="9">
                  <c:v>-5.5113636363634329E-4</c:v>
                </c:pt>
                <c:pt idx="10">
                  <c:v>1.4945652173912992E-3</c:v>
                </c:pt>
                <c:pt idx="11">
                  <c:v>2.4218750000000754E-3</c:v>
                </c:pt>
                <c:pt idx="12">
                  <c:v>1.4549999999999461E-3</c:v>
                </c:pt>
                <c:pt idx="13">
                  <c:v>2.3125000000000229E-3</c:v>
                </c:pt>
                <c:pt idx="14">
                  <c:v>2.2638888888888882E-3</c:v>
                </c:pt>
                <c:pt idx="15">
                  <c:v>2.2187499999999777E-3</c:v>
                </c:pt>
                <c:pt idx="16">
                  <c:v>1.7844827586206904E-3</c:v>
                </c:pt>
                <c:pt idx="17">
                  <c:v>1.0000000000000638E-3</c:v>
                </c:pt>
                <c:pt idx="18">
                  <c:v>2.6612903225802447E-4</c:v>
                </c:pt>
                <c:pt idx="19">
                  <c:v>-4.2187500000013736E-4</c:v>
                </c:pt>
                <c:pt idx="20">
                  <c:v>-3.7878787878787743E-4</c:v>
                </c:pt>
                <c:pt idx="21">
                  <c:v>-1.3419117647059369E-3</c:v>
                </c:pt>
                <c:pt idx="22">
                  <c:v>-9.5000000000010625E-4</c:v>
                </c:pt>
                <c:pt idx="23">
                  <c:v>-8.9583333333331338E-4</c:v>
                </c:pt>
                <c:pt idx="24">
                  <c:v>-1.1520270270269902E-3</c:v>
                </c:pt>
                <c:pt idx="25">
                  <c:v>-7.9605263157896046E-4</c:v>
                </c:pt>
                <c:pt idx="26">
                  <c:v>1.2500000000000475E-4</c:v>
                </c:pt>
                <c:pt idx="27">
                  <c:v>1.0000000000000217E-3</c:v>
                </c:pt>
                <c:pt idx="28">
                  <c:v>1.8323170731707695E-3</c:v>
                </c:pt>
                <c:pt idx="29">
                  <c:v>2.0833333333333259E-3</c:v>
                </c:pt>
                <c:pt idx="30">
                  <c:v>2.5872093023256194E-3</c:v>
                </c:pt>
                <c:pt idx="31">
                  <c:v>2.5511363636363869E-3</c:v>
                </c:pt>
                <c:pt idx="32">
                  <c:v>2.7694444444444255E-3</c:v>
                </c:pt>
                <c:pt idx="33">
                  <c:v>2.9782608695652683E-3</c:v>
                </c:pt>
                <c:pt idx="34">
                  <c:v>2.9361702127658866E-3</c:v>
                </c:pt>
                <c:pt idx="35">
                  <c:v>2.6588541666666111E-3</c:v>
                </c:pt>
                <c:pt idx="36">
                  <c:v>2.6250000000000362E-3</c:v>
                </c:pt>
                <c:pt idx="37">
                  <c:v>2.364999999999846E-3</c:v>
                </c:pt>
                <c:pt idx="38">
                  <c:v>2.5612745098039322E-3</c:v>
                </c:pt>
                <c:pt idx="39">
                  <c:v>2.5312500000000959E-3</c:v>
                </c:pt>
                <c:pt idx="40">
                  <c:v>2.0731132075470136E-3</c:v>
                </c:pt>
                <c:pt idx="41">
                  <c:v>1.63194444444442E-3</c:v>
                </c:pt>
                <c:pt idx="42">
                  <c:v>2.6545454545454893E-3</c:v>
                </c:pt>
                <c:pt idx="43">
                  <c:v>2.8281250000000008E-3</c:v>
                </c:pt>
                <c:pt idx="44">
                  <c:v>3.195175438596526E-3</c:v>
                </c:pt>
                <c:pt idx="45">
                  <c:v>3.3534482758620712E-3</c:v>
                </c:pt>
                <c:pt idx="46">
                  <c:v>3.3135593220338043E-3</c:v>
                </c:pt>
                <c:pt idx="47">
                  <c:v>3.4645833333333785E-3</c:v>
                </c:pt>
                <c:pt idx="48">
                  <c:v>3.4241803278689696E-3</c:v>
                </c:pt>
                <c:pt idx="49">
                  <c:v>3.3850806451613141E-3</c:v>
                </c:pt>
                <c:pt idx="50">
                  <c:v>3.3472222222223165E-3</c:v>
                </c:pt>
                <c:pt idx="51">
                  <c:v>2.9550781249998849E-3</c:v>
                </c:pt>
                <c:pt idx="52">
                  <c:v>2.574999999999994E-3</c:v>
                </c:pt>
                <c:pt idx="53">
                  <c:v>2.3787878787878826E-3</c:v>
                </c:pt>
                <c:pt idx="54">
                  <c:v>2.1884328358207578E-3</c:v>
                </c:pt>
                <c:pt idx="55">
                  <c:v>2.0036764705882578E-3</c:v>
                </c:pt>
                <c:pt idx="56">
                  <c:v>1.8242753623188722E-3</c:v>
                </c:pt>
                <c:pt idx="57">
                  <c:v>1.487499999999986E-3</c:v>
                </c:pt>
                <c:pt idx="58">
                  <c:v>1.9612676056337277E-3</c:v>
                </c:pt>
                <c:pt idx="59">
                  <c:v>2.2638888888889819E-3</c:v>
                </c:pt>
                <c:pt idx="60">
                  <c:v>2.2465753424657673E-3</c:v>
                </c:pt>
                <c:pt idx="61">
                  <c:v>2.6908783783783333E-3</c:v>
                </c:pt>
                <c:pt idx="62">
                  <c:v>2.6683333333333481E-3</c:v>
                </c:pt>
                <c:pt idx="63">
                  <c:v>2.4967105263158126E-3</c:v>
                </c:pt>
                <c:pt idx="64">
                  <c:v>2.6249999999999984E-3</c:v>
                </c:pt>
                <c:pt idx="65">
                  <c:v>2.6041666666667225E-3</c:v>
                </c:pt>
                <c:pt idx="66">
                  <c:v>2.4398734177214542E-3</c:v>
                </c:pt>
                <c:pt idx="67">
                  <c:v>2.2796875000000703E-3</c:v>
                </c:pt>
                <c:pt idx="68">
                  <c:v>2.2638888888888886E-3</c:v>
                </c:pt>
                <c:pt idx="69">
                  <c:v>1.9710365853658146E-3</c:v>
                </c:pt>
                <c:pt idx="70">
                  <c:v>1.5481927710843367E-3</c:v>
                </c:pt>
                <c:pt idx="71">
                  <c:v>1.4062499999998868E-3</c:v>
                </c:pt>
                <c:pt idx="72">
                  <c:v>8.6617647058823458E-4</c:v>
                </c:pt>
                <c:pt idx="73">
                  <c:v>1.132267441860487E-3</c:v>
                </c:pt>
                <c:pt idx="74">
                  <c:v>1.2614942528735634E-3</c:v>
                </c:pt>
                <c:pt idx="75">
                  <c:v>1.5170454545454766E-3</c:v>
                </c:pt>
                <c:pt idx="76">
                  <c:v>1.5112359550562516E-3</c:v>
                </c:pt>
                <c:pt idx="77">
                  <c:v>1.6319444444443825E-3</c:v>
                </c:pt>
                <c:pt idx="78">
                  <c:v>1.6249999999999876E-3</c:v>
                </c:pt>
                <c:pt idx="79">
                  <c:v>1.8654891304347913E-3</c:v>
                </c:pt>
                <c:pt idx="80">
                  <c:v>1.85618279569909E-3</c:v>
                </c:pt>
                <c:pt idx="81">
                  <c:v>2.0890957446808196E-3</c:v>
                </c:pt>
                <c:pt idx="82">
                  <c:v>1.8381578947368844E-3</c:v>
                </c:pt>
                <c:pt idx="83">
                  <c:v>1.947916666666584E-3</c:v>
                </c:pt>
                <c:pt idx="84">
                  <c:v>1.7036082474226701E-3</c:v>
                </c:pt>
                <c:pt idx="85">
                  <c:v>1.5803571428571394E-3</c:v>
                </c:pt>
                <c:pt idx="86">
                  <c:v>1.3446969696970365E-3</c:v>
                </c:pt>
                <c:pt idx="87">
                  <c:v>9.9999999999999633E-4</c:v>
                </c:pt>
                <c:pt idx="88">
                  <c:v>7.7475247524738992E-4</c:v>
                </c:pt>
                <c:pt idx="89">
                  <c:v>5.539215686273856E-4</c:v>
                </c:pt>
                <c:pt idx="90">
                  <c:v>8.8956310679620557E-4</c:v>
                </c:pt>
                <c:pt idx="91">
                  <c:v>1.1093750000001068E-3</c:v>
                </c:pt>
                <c:pt idx="92">
                  <c:v>1.0000000000001119E-3</c:v>
                </c:pt>
                <c:pt idx="93">
                  <c:v>1.3219339622640299E-3</c:v>
                </c:pt>
                <c:pt idx="94">
                  <c:v>1.3189252336448759E-3</c:v>
                </c:pt>
                <c:pt idx="95">
                  <c:v>1.4212962962962014E-3</c:v>
                </c:pt>
                <c:pt idx="96">
                  <c:v>1.41743119266059E-3</c:v>
                </c:pt>
                <c:pt idx="97">
                  <c:v>1.6204545454546022E-3</c:v>
                </c:pt>
                <c:pt idx="98">
                  <c:v>1.6148648648646878E-3</c:v>
                </c:pt>
                <c:pt idx="99">
                  <c:v>1.6093749999999546E-3</c:v>
                </c:pt>
                <c:pt idx="100">
                  <c:v>1.8053097345132464E-3</c:v>
                </c:pt>
                <c:pt idx="101">
                  <c:v>1.6984649122806798E-3</c:v>
                </c:pt>
                <c:pt idx="102">
                  <c:v>1.494565217391343E-3</c:v>
                </c:pt>
                <c:pt idx="103">
                  <c:v>1.098060344827619E-3</c:v>
                </c:pt>
                <c:pt idx="104">
                  <c:v>9.0277777777769675E-4</c:v>
                </c:pt>
                <c:pt idx="105">
                  <c:v>8.072033898304336E-4</c:v>
                </c:pt>
                <c:pt idx="106">
                  <c:v>8.0882352941181275E-4</c:v>
                </c:pt>
                <c:pt idx="107">
                  <c:v>1.1895833333332921E-3</c:v>
                </c:pt>
                <c:pt idx="108">
                  <c:v>1.1880165289256991E-3</c:v>
                </c:pt>
                <c:pt idx="109">
                  <c:v>1.0932377049181167E-3</c:v>
                </c:pt>
                <c:pt idx="110">
                  <c:v>1.2774390243901785E-3</c:v>
                </c:pt>
                <c:pt idx="111">
                  <c:v>1.2752016129031153E-3</c:v>
                </c:pt>
                <c:pt idx="112">
                  <c:v>1.2730000000000068E-3</c:v>
                </c:pt>
                <c:pt idx="113">
                  <c:v>1.2708333333332951E-3</c:v>
                </c:pt>
                <c:pt idx="114">
                  <c:v>1.2687007874016515E-3</c:v>
                </c:pt>
                <c:pt idx="115">
                  <c:v>1.1777343749999232E-3</c:v>
                </c:pt>
                <c:pt idx="116">
                  <c:v>1.1763565891471667E-3</c:v>
                </c:pt>
                <c:pt idx="117">
                  <c:v>1.1749999999999927E-3</c:v>
                </c:pt>
                <c:pt idx="118">
                  <c:v>1.0868320610687E-3</c:v>
                </c:pt>
                <c:pt idx="119">
                  <c:v>9.1382575757580791E-4</c:v>
                </c:pt>
                <c:pt idx="120">
                  <c:v>5.7236842105267663E-4</c:v>
                </c:pt>
                <c:pt idx="121">
                  <c:v>3.2089552238805249E-4</c:v>
                </c:pt>
                <c:pt idx="122">
                  <c:v>4.9444444444445164E-4</c:v>
                </c:pt>
                <c:pt idx="123">
                  <c:v>4.9816176470584791E-4</c:v>
                </c:pt>
                <c:pt idx="124">
                  <c:v>4.1879562043792669E-4</c:v>
                </c:pt>
                <c:pt idx="125">
                  <c:v>4.2300724637688773E-4</c:v>
                </c:pt>
                <c:pt idx="126">
                  <c:v>4.271582733813298E-4</c:v>
                </c:pt>
                <c:pt idx="127">
                  <c:v>4.3124999999999414E-4</c:v>
                </c:pt>
                <c:pt idx="128">
                  <c:v>4.352836879432164E-4</c:v>
                </c:pt>
                <c:pt idx="129">
                  <c:v>5.9947183098588348E-4</c:v>
                </c:pt>
                <c:pt idx="130">
                  <c:v>6.0227272727279716E-4</c:v>
                </c:pt>
                <c:pt idx="131">
                  <c:v>6.0503472222225233E-4</c:v>
                </c:pt>
                <c:pt idx="132">
                  <c:v>5.2931034482762063E-4</c:v>
                </c:pt>
                <c:pt idx="133">
                  <c:v>5.3253424657533782E-4</c:v>
                </c:pt>
                <c:pt idx="134">
                  <c:v>4.5833333333333305E-4</c:v>
                </c:pt>
                <c:pt idx="135">
                  <c:v>4.6199324324320472E-4</c:v>
                </c:pt>
                <c:pt idx="136">
                  <c:v>1.6023489932895206E-4</c:v>
                </c:pt>
                <c:pt idx="137">
                  <c:v>1.4166666666670659E-5</c:v>
                </c:pt>
                <c:pt idx="138">
                  <c:v>-5.4635761589529561E-5</c:v>
                </c:pt>
                <c:pt idx="139">
                  <c:v>-4.7697368421081709E-5</c:v>
                </c:pt>
                <c:pt idx="140">
                  <c:v>-4.0849673202680269E-5</c:v>
                </c:pt>
                <c:pt idx="141">
                  <c:v>-3.4090909090880103E-5</c:v>
                </c:pt>
                <c:pt idx="142">
                  <c:v>-2.7419354838717402E-5</c:v>
                </c:pt>
                <c:pt idx="143">
                  <c:v>1.2500000000000475E-4</c:v>
                </c:pt>
                <c:pt idx="144">
                  <c:v>1.3057324840761196E-4</c:v>
                </c:pt>
                <c:pt idx="145">
                  <c:v>2.0806962025318555E-4</c:v>
                </c:pt>
                <c:pt idx="146">
                  <c:v>3.5613207547173118E-4</c:v>
                </c:pt>
                <c:pt idx="147">
                  <c:v>4.3124999999995809E-4</c:v>
                </c:pt>
                <c:pt idx="148">
                  <c:v>5.0543478260870519E-4</c:v>
                </c:pt>
                <c:pt idx="149">
                  <c:v>5.7870370370376406E-4</c:v>
                </c:pt>
                <c:pt idx="150">
                  <c:v>5.8128834355818343E-4</c:v>
                </c:pt>
                <c:pt idx="151">
                  <c:v>5.8384146341462469E-4</c:v>
                </c:pt>
                <c:pt idx="152">
                  <c:v>5.1742424242423688E-4</c:v>
                </c:pt>
                <c:pt idx="153">
                  <c:v>4.5180722891566104E-4</c:v>
                </c:pt>
                <c:pt idx="154">
                  <c:v>3.8697604790419388E-4</c:v>
                </c:pt>
                <c:pt idx="155">
                  <c:v>4.5833333333326432E-4</c:v>
                </c:pt>
                <c:pt idx="156">
                  <c:v>3.9423076923070444E-4</c:v>
                </c:pt>
                <c:pt idx="157">
                  <c:v>5.3161764705877057E-4</c:v>
                </c:pt>
                <c:pt idx="158">
                  <c:v>6.0087719298245162E-4</c:v>
                </c:pt>
                <c:pt idx="159">
                  <c:v>6.0319767441868472E-4</c:v>
                </c:pt>
                <c:pt idx="160">
                  <c:v>5.3973988439314695E-4</c:v>
                </c:pt>
                <c:pt idx="161">
                  <c:v>6.731321839080238E-4</c:v>
                </c:pt>
                <c:pt idx="162">
                  <c:v>6.7499999999994561E-4</c:v>
                </c:pt>
                <c:pt idx="163">
                  <c:v>7.4147727272726551E-4</c:v>
                </c:pt>
                <c:pt idx="164">
                  <c:v>8.0720338983054788E-4</c:v>
                </c:pt>
                <c:pt idx="165">
                  <c:v>8.0828651685393993E-4</c:v>
                </c:pt>
                <c:pt idx="166">
                  <c:v>7.4581005586593272E-4</c:v>
                </c:pt>
                <c:pt idx="167">
                  <c:v>7.4722222222220155E-4</c:v>
                </c:pt>
                <c:pt idx="168">
                  <c:v>5.6008287292811786E-4</c:v>
                </c:pt>
                <c:pt idx="169">
                  <c:v>5.6250000000002132E-4</c:v>
                </c:pt>
                <c:pt idx="170">
                  <c:v>5.6489071038261435E-4</c:v>
                </c:pt>
                <c:pt idx="171">
                  <c:v>5.054347826087993E-4</c:v>
                </c:pt>
                <c:pt idx="172">
                  <c:v>4.4662162162172818E-4</c:v>
                </c:pt>
                <c:pt idx="173">
                  <c:v>4.4959677419373258E-4</c:v>
                </c:pt>
                <c:pt idx="174">
                  <c:v>4.5254010695191653E-4</c:v>
                </c:pt>
                <c:pt idx="175">
                  <c:v>3.9494680851047132E-4</c:v>
                </c:pt>
                <c:pt idx="176">
                  <c:v>3.9814814814805906E-4</c:v>
                </c:pt>
                <c:pt idx="177">
                  <c:v>4.6118421052616416E-4</c:v>
                </c:pt>
                <c:pt idx="178">
                  <c:v>4.6400523560201958E-4</c:v>
                </c:pt>
                <c:pt idx="179">
                  <c:v>5.2604166666674057E-4</c:v>
                </c:pt>
                <c:pt idx="180">
                  <c:v>6.4637305699490218E-4</c:v>
                </c:pt>
                <c:pt idx="181">
                  <c:v>7.068298969072379E-4</c:v>
                </c:pt>
                <c:pt idx="182">
                  <c:v>7.0833333333342923E-4</c:v>
                </c:pt>
                <c:pt idx="183">
                  <c:v>7.678571428571773E-4</c:v>
                </c:pt>
                <c:pt idx="184">
                  <c:v>6.5355329949235276E-4</c:v>
                </c:pt>
                <c:pt idx="185">
                  <c:v>5.9785353535370979E-4</c:v>
                </c:pt>
                <c:pt idx="186">
                  <c:v>7.7135678391964811E-4</c:v>
                </c:pt>
                <c:pt idx="187">
                  <c:v>7.7249999999992039E-4</c:v>
                </c:pt>
                <c:pt idx="188">
                  <c:v>7.736318407960131E-4</c:v>
                </c:pt>
                <c:pt idx="189">
                  <c:v>6.6212871287121475E-4</c:v>
                </c:pt>
                <c:pt idx="190">
                  <c:v>7.1982758620696462E-4</c:v>
                </c:pt>
                <c:pt idx="191">
                  <c:v>7.7696078431373455E-4</c:v>
                </c:pt>
                <c:pt idx="192">
                  <c:v>8.335365853658044E-4</c:v>
                </c:pt>
                <c:pt idx="193">
                  <c:v>7.7912621359218712E-4</c:v>
                </c:pt>
                <c:pt idx="194">
                  <c:v>8.3514492753632358E-4</c:v>
                </c:pt>
                <c:pt idx="195">
                  <c:v>8.9062500000003375E-4</c:v>
                </c:pt>
                <c:pt idx="196">
                  <c:v>8.9114832535895497E-4</c:v>
                </c:pt>
                <c:pt idx="197">
                  <c:v>8.9166666666683865E-4</c:v>
                </c:pt>
                <c:pt idx="198">
                  <c:v>9.4609004739328777E-4</c:v>
                </c:pt>
                <c:pt idx="199">
                  <c:v>9.9999999999986666E-4</c:v>
                </c:pt>
                <c:pt idx="200">
                  <c:v>8.931924882629057E-4</c:v>
                </c:pt>
                <c:pt idx="201">
                  <c:v>9.4684579439246238E-4</c:v>
                </c:pt>
                <c:pt idx="202">
                  <c:v>1.0000000000000716E-3</c:v>
                </c:pt>
                <c:pt idx="203">
                  <c:v>1.1053240740741543E-3</c:v>
                </c:pt>
                <c:pt idx="204">
                  <c:v>1.0000000000000189E-3</c:v>
                </c:pt>
                <c:pt idx="205">
                  <c:v>9.4782110091745284E-4</c:v>
                </c:pt>
                <c:pt idx="206">
                  <c:v>8.9611872146121174E-4</c:v>
                </c:pt>
                <c:pt idx="207">
                  <c:v>8.965909090909997E-4</c:v>
                </c:pt>
                <c:pt idx="208">
                  <c:v>8.9705882352956773E-4</c:v>
                </c:pt>
                <c:pt idx="209">
                  <c:v>9.9999999999998181E-4</c:v>
                </c:pt>
                <c:pt idx="210">
                  <c:v>9.4899103139011929E-4</c:v>
                </c:pt>
                <c:pt idx="211">
                  <c:v>9.4921874999986944E-4</c:v>
                </c:pt>
                <c:pt idx="212">
                  <c:v>9.4944444444437911E-4</c:v>
                </c:pt>
                <c:pt idx="213">
                  <c:v>9.4966814159291966E-4</c:v>
                </c:pt>
                <c:pt idx="214">
                  <c:v>9.4988986784147304E-4</c:v>
                </c:pt>
                <c:pt idx="215">
                  <c:v>1.0498903508772647E-3</c:v>
                </c:pt>
                <c:pt idx="216">
                  <c:v>9.0065502183401386E-4</c:v>
                </c:pt>
                <c:pt idx="217">
                  <c:v>8.5163043478256437E-4</c:v>
                </c:pt>
                <c:pt idx="218">
                  <c:v>9.5075757575771504E-4</c:v>
                </c:pt>
                <c:pt idx="219">
                  <c:v>9.509698275862341E-4</c:v>
                </c:pt>
                <c:pt idx="220">
                  <c:v>9.5118025751081913E-4</c:v>
                </c:pt>
                <c:pt idx="221">
                  <c:v>9.513888888888673E-4</c:v>
                </c:pt>
                <c:pt idx="222">
                  <c:v>9.0319148936168336E-4</c:v>
                </c:pt>
                <c:pt idx="223">
                  <c:v>7.5900423728817313E-4</c:v>
                </c:pt>
                <c:pt idx="224">
                  <c:v>8.0801687763711765E-4</c:v>
                </c:pt>
                <c:pt idx="225">
                  <c:v>8.0882352941181275E-4</c:v>
                </c:pt>
                <c:pt idx="226">
                  <c:v>7.6202928870297939E-4</c:v>
                </c:pt>
                <c:pt idx="227">
                  <c:v>7.6302083333327586E-4</c:v>
                </c:pt>
                <c:pt idx="228">
                  <c:v>7.168049792532252E-4</c:v>
                </c:pt>
                <c:pt idx="229">
                  <c:v>7.6497933884303853E-4</c:v>
                </c:pt>
                <c:pt idx="230">
                  <c:v>7.6594650205773608E-4</c:v>
                </c:pt>
                <c:pt idx="231">
                  <c:v>7.2028688524602665E-4</c:v>
                </c:pt>
                <c:pt idx="232">
                  <c:v>8.1428571428568159E-4</c:v>
                </c:pt>
                <c:pt idx="233">
                  <c:v>7.2256097560966968E-4</c:v>
                </c:pt>
                <c:pt idx="234">
                  <c:v>8.6184210526313602E-4</c:v>
                </c:pt>
                <c:pt idx="235">
                  <c:v>8.6239919354842395E-4</c:v>
                </c:pt>
                <c:pt idx="236">
                  <c:v>9.5431726907634973E-4</c:v>
                </c:pt>
                <c:pt idx="237">
                  <c:v>9.5449999999994086E-4</c:v>
                </c:pt>
                <c:pt idx="238">
                  <c:v>9.0936254980074046E-4</c:v>
                </c:pt>
                <c:pt idx="239">
                  <c:v>8.6458333333327975E-4</c:v>
                </c:pt>
                <c:pt idx="240">
                  <c:v>8.2015810276690737E-4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B51-4335-814D-53B8B9178B55}"/>
            </c:ext>
          </c:extLst>
        </c:ser>
        <c:ser>
          <c:idx val="28"/>
          <c:order val="28"/>
          <c:tx>
            <c:strRef>
              <c:f>'전류편차_24mA(절대값기준)'!$CR$7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'전류편차_24mA(절대값기준)'!$CR$22:$CR$262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-1.4374999999999805E-3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-1.0073529411764135E-3</c:v>
                </c:pt>
                <c:pt idx="5">
                  <c:v>3.6805555555557669E-4</c:v>
                </c:pt>
                <c:pt idx="6">
                  <c:v>-1.9736842105271064E-4</c:v>
                </c:pt>
                <c:pt idx="7">
                  <c:v>4.3124999999995809E-4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1.0000000000000492E-3</c:v>
                </c:pt>
                <c:pt idx="11">
                  <c:v>1.4739583333333028E-3</c:v>
                </c:pt>
                <c:pt idx="12">
                  <c:v>2.8199999999999979E-3</c:v>
                </c:pt>
                <c:pt idx="13">
                  <c:v>2.7499999999999747E-3</c:v>
                </c:pt>
                <c:pt idx="14">
                  <c:v>2.6851851851851381E-3</c:v>
                </c:pt>
                <c:pt idx="15">
                  <c:v>3.0312499999998882E-3</c:v>
                </c:pt>
                <c:pt idx="16">
                  <c:v>3.3534482758620712E-3</c:v>
                </c:pt>
                <c:pt idx="17">
                  <c:v>2.8958333333333566E-3</c:v>
                </c:pt>
                <c:pt idx="18">
                  <c:v>3.2016129032257689E-3</c:v>
                </c:pt>
                <c:pt idx="19">
                  <c:v>3.4882812499999051E-3</c:v>
                </c:pt>
                <c:pt idx="20">
                  <c:v>2.7234848484848145E-3</c:v>
                </c:pt>
                <c:pt idx="21">
                  <c:v>3.0073529411765313E-3</c:v>
                </c:pt>
                <c:pt idx="22">
                  <c:v>2.9499999999998971E-3</c:v>
                </c:pt>
                <c:pt idx="23">
                  <c:v>2.895833333333357E-3</c:v>
                </c:pt>
                <c:pt idx="24">
                  <c:v>2.5371621621622024E-3</c:v>
                </c:pt>
                <c:pt idx="25">
                  <c:v>2.4967105263158126E-3</c:v>
                </c:pt>
                <c:pt idx="26">
                  <c:v>2.7500000000001044E-3</c:v>
                </c:pt>
                <c:pt idx="27">
                  <c:v>3.275000000000024E-3</c:v>
                </c:pt>
                <c:pt idx="28">
                  <c:v>3.4969512195121726E-3</c:v>
                </c:pt>
                <c:pt idx="29">
                  <c:v>3.9791666666665702E-3</c:v>
                </c:pt>
                <c:pt idx="30">
                  <c:v>3.909883720930242E-3</c:v>
                </c:pt>
                <c:pt idx="31">
                  <c:v>3.8437499999999956E-3</c:v>
                </c:pt>
                <c:pt idx="32">
                  <c:v>3.7805555555555375E-3</c:v>
                </c:pt>
                <c:pt idx="33">
                  <c:v>3.9673913043477681E-3</c:v>
                </c:pt>
                <c:pt idx="34">
                  <c:v>3.9042553191487583E-3</c:v>
                </c:pt>
                <c:pt idx="35">
                  <c:v>3.8437499999999188E-3</c:v>
                </c:pt>
                <c:pt idx="36">
                  <c:v>3.7857142857142972E-3</c:v>
                </c:pt>
                <c:pt idx="37">
                  <c:v>3.5024999999998217E-3</c:v>
                </c:pt>
                <c:pt idx="38">
                  <c:v>3.4534313725489321E-3</c:v>
                </c:pt>
                <c:pt idx="39">
                  <c:v>3.4062499999999996E-3</c:v>
                </c:pt>
                <c:pt idx="40">
                  <c:v>2.9316037735848456E-3</c:v>
                </c:pt>
                <c:pt idx="41">
                  <c:v>2.8958333333333566E-3</c:v>
                </c:pt>
                <c:pt idx="42">
                  <c:v>2.8613636363637404E-3</c:v>
                </c:pt>
                <c:pt idx="43">
                  <c:v>3.234374999999956E-3</c:v>
                </c:pt>
                <c:pt idx="44">
                  <c:v>3.195175438596526E-3</c:v>
                </c:pt>
                <c:pt idx="45">
                  <c:v>3.3534482758620712E-3</c:v>
                </c:pt>
                <c:pt idx="46">
                  <c:v>3.6991525423729159E-3</c:v>
                </c:pt>
                <c:pt idx="47">
                  <c:v>3.6541666666666064E-3</c:v>
                </c:pt>
                <c:pt idx="48">
                  <c:v>3.4241803278689696E-3</c:v>
                </c:pt>
                <c:pt idx="49">
                  <c:v>3.2016129032257689E-3</c:v>
                </c:pt>
                <c:pt idx="50">
                  <c:v>3.1666666666667004E-3</c:v>
                </c:pt>
                <c:pt idx="51">
                  <c:v>3.3105468749998457E-3</c:v>
                </c:pt>
                <c:pt idx="52">
                  <c:v>3.1000000000000138E-3</c:v>
                </c:pt>
                <c:pt idx="53">
                  <c:v>2.895833333333357E-3</c:v>
                </c:pt>
                <c:pt idx="54">
                  <c:v>2.6977611940297323E-3</c:v>
                </c:pt>
                <c:pt idx="55">
                  <c:v>2.3382352941176327E-3</c:v>
                </c:pt>
                <c:pt idx="56">
                  <c:v>2.1539855072463723E-3</c:v>
                </c:pt>
                <c:pt idx="57">
                  <c:v>2.1374999999999142E-3</c:v>
                </c:pt>
                <c:pt idx="58">
                  <c:v>2.2816901408451024E-3</c:v>
                </c:pt>
                <c:pt idx="59">
                  <c:v>2.2638888888889819E-3</c:v>
                </c:pt>
                <c:pt idx="60">
                  <c:v>2.0907534246574961E-3</c:v>
                </c:pt>
                <c:pt idx="61">
                  <c:v>2.0760135135135362E-3</c:v>
                </c:pt>
                <c:pt idx="62">
                  <c:v>2.213333333333331E-3</c:v>
                </c:pt>
                <c:pt idx="63">
                  <c:v>2.1973684210525547E-3</c:v>
                </c:pt>
                <c:pt idx="64">
                  <c:v>2.3295454545454856E-3</c:v>
                </c:pt>
                <c:pt idx="65">
                  <c:v>2.0208333333334534E-3</c:v>
                </c:pt>
                <c:pt idx="66">
                  <c:v>1.8639240506329099E-3</c:v>
                </c:pt>
                <c:pt idx="67">
                  <c:v>1.7109375000000065E-3</c:v>
                </c:pt>
                <c:pt idx="68">
                  <c:v>1.7021604938272218E-3</c:v>
                </c:pt>
                <c:pt idx="69">
                  <c:v>1.554878048780433E-3</c:v>
                </c:pt>
                <c:pt idx="70">
                  <c:v>1.4111445783133285E-3</c:v>
                </c:pt>
                <c:pt idx="71">
                  <c:v>1.2708333333332951E-3</c:v>
                </c:pt>
                <c:pt idx="72">
                  <c:v>4.6470588235292525E-4</c:v>
                </c:pt>
                <c:pt idx="73">
                  <c:v>6.0319767441868472E-4</c:v>
                </c:pt>
                <c:pt idx="74">
                  <c:v>8.692528735632037E-4</c:v>
                </c:pt>
                <c:pt idx="75">
                  <c:v>9.9999999999996424E-4</c:v>
                </c:pt>
                <c:pt idx="76">
                  <c:v>1.0000000000000145E-3</c:v>
                </c:pt>
                <c:pt idx="77">
                  <c:v>8.7361111111102039E-4</c:v>
                </c:pt>
                <c:pt idx="78">
                  <c:v>8.7499999999995914E-4</c:v>
                </c:pt>
                <c:pt idx="79">
                  <c:v>8.7635869565229167E-4</c:v>
                </c:pt>
                <c:pt idx="80">
                  <c:v>9.9999999999998788E-4</c:v>
                </c:pt>
                <c:pt idx="81">
                  <c:v>1.1210106382977328E-3</c:v>
                </c:pt>
                <c:pt idx="82">
                  <c:v>8.80263157894672E-4</c:v>
                </c:pt>
                <c:pt idx="83">
                  <c:v>7.6302083333327586E-4</c:v>
                </c:pt>
                <c:pt idx="84">
                  <c:v>6.4819587628860956E-4</c:v>
                </c:pt>
                <c:pt idx="85">
                  <c:v>6.51785714285813E-4</c:v>
                </c:pt>
                <c:pt idx="86">
                  <c:v>5.4040404040414463E-4</c:v>
                </c:pt>
                <c:pt idx="87">
                  <c:v>4.3124999999990751E-4</c:v>
                </c:pt>
                <c:pt idx="88">
                  <c:v>9.9009900990138671E-5</c:v>
                </c:pt>
                <c:pt idx="89">
                  <c:v>-1.1519607843146327E-4</c:v>
                </c:pt>
                <c:pt idx="90">
                  <c:v>6.0679611650387134E-6</c:v>
                </c:pt>
                <c:pt idx="91">
                  <c:v>2.3437500000000888E-4</c:v>
                </c:pt>
                <c:pt idx="92">
                  <c:v>3.5000000000008733E-4</c:v>
                </c:pt>
                <c:pt idx="93">
                  <c:v>2.4882075471688303E-4</c:v>
                </c:pt>
                <c:pt idx="94">
                  <c:v>2.5584112149536583E-4</c:v>
                </c:pt>
                <c:pt idx="95">
                  <c:v>2.6273148148146748E-4</c:v>
                </c:pt>
                <c:pt idx="96">
                  <c:v>5.8256880733939564E-4</c:v>
                </c:pt>
                <c:pt idx="97">
                  <c:v>7.9318181818196609E-4</c:v>
                </c:pt>
                <c:pt idx="98">
                  <c:v>6.9256756756753773E-4</c:v>
                </c:pt>
                <c:pt idx="99">
                  <c:v>6.9531249999991995E-4</c:v>
                </c:pt>
                <c:pt idx="100">
                  <c:v>6.980088495575715E-4</c:v>
                </c:pt>
                <c:pt idx="101">
                  <c:v>7.006578947368414E-4</c:v>
                </c:pt>
                <c:pt idx="102">
                  <c:v>7.0326086956534316E-4</c:v>
                </c:pt>
                <c:pt idx="103">
                  <c:v>7.0581896551731734E-4</c:v>
                </c:pt>
                <c:pt idx="104">
                  <c:v>5.1388888888885076E-4</c:v>
                </c:pt>
                <c:pt idx="105">
                  <c:v>2.2881355932193717E-4</c:v>
                </c:pt>
                <c:pt idx="106">
                  <c:v>5.22058823529449E-4</c:v>
                </c:pt>
                <c:pt idx="107">
                  <c:v>8.1041666666666718E-4</c:v>
                </c:pt>
                <c:pt idx="108">
                  <c:v>7.1797520661157608E-4</c:v>
                </c:pt>
                <c:pt idx="109">
                  <c:v>8.1352459016400776E-4</c:v>
                </c:pt>
                <c:pt idx="110">
                  <c:v>6.3008130081297295E-4</c:v>
                </c:pt>
                <c:pt idx="111">
                  <c:v>6.3306451612895177E-4</c:v>
                </c:pt>
                <c:pt idx="112">
                  <c:v>6.3600000000003649E-4</c:v>
                </c:pt>
                <c:pt idx="113">
                  <c:v>6.3888888888888025E-4</c:v>
                </c:pt>
                <c:pt idx="114">
                  <c:v>6.4173228346467285E-4</c:v>
                </c:pt>
                <c:pt idx="115">
                  <c:v>7.3339843749985363E-4</c:v>
                </c:pt>
                <c:pt idx="116">
                  <c:v>7.3546511627903732E-4</c:v>
                </c:pt>
                <c:pt idx="117">
                  <c:v>6.4999999999997276E-4</c:v>
                </c:pt>
                <c:pt idx="118">
                  <c:v>3.9217557251915814E-4</c:v>
                </c:pt>
                <c:pt idx="119">
                  <c:v>3.967803030303338E-4</c:v>
                </c:pt>
                <c:pt idx="120">
                  <c:v>2.3026315789481959E-4</c:v>
                </c:pt>
                <c:pt idx="121">
                  <c:v>1.5111940298501075E-4</c:v>
                </c:pt>
                <c:pt idx="122">
                  <c:v>1.5740740740730207E-4</c:v>
                </c:pt>
                <c:pt idx="123">
                  <c:v>1.6360294117647299E-4</c:v>
                </c:pt>
                <c:pt idx="124">
                  <c:v>8.6678832116795389E-5</c:v>
                </c:pt>
                <c:pt idx="125">
                  <c:v>1.7572463768122617E-4</c:v>
                </c:pt>
                <c:pt idx="126">
                  <c:v>9.9820143884962962E-5</c:v>
                </c:pt>
                <c:pt idx="127">
                  <c:v>1.062499999998856E-4</c:v>
                </c:pt>
                <c:pt idx="128">
                  <c:v>1.1258865248225907E-4</c:v>
                </c:pt>
                <c:pt idx="129">
                  <c:v>3.8732394366191356E-5</c:v>
                </c:pt>
                <c:pt idx="130">
                  <c:v>-3.4090909090910387E-5</c:v>
                </c:pt>
                <c:pt idx="131">
                  <c:v>2.1006944444455317E-4</c:v>
                </c:pt>
                <c:pt idx="132">
                  <c:v>1.3706896551735377E-4</c:v>
                </c:pt>
                <c:pt idx="133">
                  <c:v>-1.2842465753403852E-5</c:v>
                </c:pt>
                <c:pt idx="134">
                  <c:v>-8.3333333333308299E-5</c:v>
                </c:pt>
                <c:pt idx="135">
                  <c:v>-1.528716216215924E-4</c:v>
                </c:pt>
                <c:pt idx="136">
                  <c:v>-2.2147651006708077E-4</c:v>
                </c:pt>
                <c:pt idx="137">
                  <c:v>-2.8916666666662928E-4</c:v>
                </c:pt>
                <c:pt idx="138">
                  <c:v>-2.8062913907284803E-4</c:v>
                </c:pt>
                <c:pt idx="139">
                  <c:v>-2.7220394736845863E-4</c:v>
                </c:pt>
                <c:pt idx="140">
                  <c:v>-2.6388888888896324E-4</c:v>
                </c:pt>
                <c:pt idx="141">
                  <c:v>-2.556818181817976E-4</c:v>
                </c:pt>
                <c:pt idx="142">
                  <c:v>-3.2096774193545927E-4</c:v>
                </c:pt>
                <c:pt idx="143">
                  <c:v>-3.1249999999988232E-4</c:v>
                </c:pt>
                <c:pt idx="144">
                  <c:v>-3.7659235668790575E-4</c:v>
                </c:pt>
                <c:pt idx="145">
                  <c:v>-3.6787974683548646E-4</c:v>
                </c:pt>
                <c:pt idx="146">
                  <c:v>-3.5927672955970015E-4</c:v>
                </c:pt>
                <c:pt idx="147">
                  <c:v>-2.7968750000002677E-4</c:v>
                </c:pt>
                <c:pt idx="148">
                  <c:v>-2.7173913043471892E-4</c:v>
                </c:pt>
                <c:pt idx="149">
                  <c:v>-2.6388888888886051E-4</c:v>
                </c:pt>
                <c:pt idx="150">
                  <c:v>-4.6549079754602672E-4</c:v>
                </c:pt>
                <c:pt idx="151">
                  <c:v>-3.8719512195118364E-4</c:v>
                </c:pt>
                <c:pt idx="152">
                  <c:v>-6.5454545454542287E-4</c:v>
                </c:pt>
                <c:pt idx="153">
                  <c:v>-6.445783132530146E-4</c:v>
                </c:pt>
                <c:pt idx="154">
                  <c:v>-5.6661676646701912E-4</c:v>
                </c:pt>
                <c:pt idx="155">
                  <c:v>-5.572916666667741E-4</c:v>
                </c:pt>
                <c:pt idx="156">
                  <c:v>-4.807692307692888E-4</c:v>
                </c:pt>
                <c:pt idx="157">
                  <c:v>-6.0588235294119328E-4</c:v>
                </c:pt>
                <c:pt idx="158">
                  <c:v>-5.2997076023388674E-4</c:v>
                </c:pt>
                <c:pt idx="159">
                  <c:v>-5.2107558139535056E-4</c:v>
                </c:pt>
                <c:pt idx="160">
                  <c:v>-5.7803468208092283E-4</c:v>
                </c:pt>
                <c:pt idx="161">
                  <c:v>-5.689655172414098E-4</c:v>
                </c:pt>
                <c:pt idx="162">
                  <c:v>-6.2500000000002658E-4</c:v>
                </c:pt>
                <c:pt idx="163">
                  <c:v>-6.1576704545460409E-4</c:v>
                </c:pt>
                <c:pt idx="164">
                  <c:v>-6.0663841807907218E-4</c:v>
                </c:pt>
                <c:pt idx="165">
                  <c:v>-4.0589887640449522E-4</c:v>
                </c:pt>
                <c:pt idx="166">
                  <c:v>-4.6159217877094697E-4</c:v>
                </c:pt>
                <c:pt idx="167">
                  <c:v>-5.7986111111118198E-4</c:v>
                </c:pt>
                <c:pt idx="168">
                  <c:v>-6.3397790055255319E-4</c:v>
                </c:pt>
                <c:pt idx="169">
                  <c:v>-6.8749999999995204E-4</c:v>
                </c:pt>
                <c:pt idx="170">
                  <c:v>-6.7827868852446296E-4</c:v>
                </c:pt>
                <c:pt idx="171">
                  <c:v>-4.8369565217392014E-4</c:v>
                </c:pt>
                <c:pt idx="172">
                  <c:v>-5.3716216216216574E-4</c:v>
                </c:pt>
                <c:pt idx="173">
                  <c:v>-5.2889784946229094E-4</c:v>
                </c:pt>
                <c:pt idx="174">
                  <c:v>-5.8155080213895976E-4</c:v>
                </c:pt>
                <c:pt idx="175">
                  <c:v>-5.1263297872360548E-4</c:v>
                </c:pt>
                <c:pt idx="176">
                  <c:v>-5.0462962962975289E-4</c:v>
                </c:pt>
                <c:pt idx="177">
                  <c:v>-4.3684210526313079E-4</c:v>
                </c:pt>
                <c:pt idx="178">
                  <c:v>-5.4842931937177026E-4</c:v>
                </c:pt>
                <c:pt idx="179">
                  <c:v>-5.9960937500003891E-4</c:v>
                </c:pt>
                <c:pt idx="180">
                  <c:v>-5.9132124352327946E-4</c:v>
                </c:pt>
                <c:pt idx="181">
                  <c:v>-4.658505154638711E-4</c:v>
                </c:pt>
                <c:pt idx="182">
                  <c:v>-4.5833333333321254E-4</c:v>
                </c:pt>
                <c:pt idx="183">
                  <c:v>-4.5089285714286899E-4</c:v>
                </c:pt>
                <c:pt idx="184">
                  <c:v>-5.5901015228413786E-4</c:v>
                </c:pt>
                <c:pt idx="185">
                  <c:v>-5.5113636363636888E-4</c:v>
                </c:pt>
                <c:pt idx="186">
                  <c:v>-5.433417085426457E-4</c:v>
                </c:pt>
                <c:pt idx="187">
                  <c:v>-4.2187500000012473E-4</c:v>
                </c:pt>
                <c:pt idx="188">
                  <c:v>-4.1480099502492742E-4</c:v>
                </c:pt>
                <c:pt idx="189">
                  <c:v>-4.0779702970294984E-4</c:v>
                </c:pt>
                <c:pt idx="190">
                  <c:v>-4.568965517241144E-4</c:v>
                </c:pt>
                <c:pt idx="191">
                  <c:v>-4.4975490196088772E-4</c:v>
                </c:pt>
                <c:pt idx="192">
                  <c:v>-4.4268292682930023E-4</c:v>
                </c:pt>
                <c:pt idx="193">
                  <c:v>-4.3567961165044661E-4</c:v>
                </c:pt>
                <c:pt idx="194">
                  <c:v>-4.836956521738713E-4</c:v>
                </c:pt>
                <c:pt idx="195">
                  <c:v>-4.7656249999988853E-4</c:v>
                </c:pt>
                <c:pt idx="196">
                  <c:v>-5.2392344497596258E-4</c:v>
                </c:pt>
                <c:pt idx="197">
                  <c:v>-5.16666666666484E-4</c:v>
                </c:pt>
                <c:pt idx="198">
                  <c:v>-5.0947867298591423E-4</c:v>
                </c:pt>
                <c:pt idx="199">
                  <c:v>-5.5601415094352479E-4</c:v>
                </c:pt>
                <c:pt idx="200">
                  <c:v>-6.0211267605646301E-4</c:v>
                </c:pt>
                <c:pt idx="201">
                  <c:v>-6.4778037383189711E-4</c:v>
                </c:pt>
                <c:pt idx="202">
                  <c:v>-5.8720930232556985E-4</c:v>
                </c:pt>
                <c:pt idx="203">
                  <c:v>-6.325231481481337E-4</c:v>
                </c:pt>
                <c:pt idx="204">
                  <c:v>-6.2499999999991859E-4</c:v>
                </c:pt>
                <c:pt idx="205">
                  <c:v>-6.1754587155967073E-4</c:v>
                </c:pt>
                <c:pt idx="206">
                  <c:v>-5.582191780820994E-4</c:v>
                </c:pt>
                <c:pt idx="207">
                  <c:v>-5.5113636363638926E-4</c:v>
                </c:pt>
                <c:pt idx="208">
                  <c:v>-6.9852941176467144E-4</c:v>
                </c:pt>
                <c:pt idx="209">
                  <c:v>-5.8840090090103985E-4</c:v>
                </c:pt>
                <c:pt idx="210">
                  <c:v>-6.3228699551583049E-4</c:v>
                </c:pt>
                <c:pt idx="211">
                  <c:v>-5.7421875000000788E-4</c:v>
                </c:pt>
                <c:pt idx="212">
                  <c:v>-6.6833333333340007E-4</c:v>
                </c:pt>
                <c:pt idx="213">
                  <c:v>-8.1194690265487513E-4</c:v>
                </c:pt>
                <c:pt idx="214">
                  <c:v>-8.5407488986784642E-4</c:v>
                </c:pt>
                <c:pt idx="215">
                  <c:v>-8.4594298245608147E-4</c:v>
                </c:pt>
                <c:pt idx="216">
                  <c:v>-9.8689956331883739E-4</c:v>
                </c:pt>
                <c:pt idx="217">
                  <c:v>-1.0277173913042291E-3</c:v>
                </c:pt>
                <c:pt idx="218">
                  <c:v>-1.0189393939393878E-3</c:v>
                </c:pt>
                <c:pt idx="219">
                  <c:v>-9.1217672413791652E-4</c:v>
                </c:pt>
                <c:pt idx="220">
                  <c:v>-1.0992489270386151E-3</c:v>
                </c:pt>
                <c:pt idx="221">
                  <c:v>-1.0902777777778766E-3</c:v>
                </c:pt>
                <c:pt idx="222">
                  <c:v>-1.0813829787234407E-3</c:v>
                </c:pt>
                <c:pt idx="223">
                  <c:v>-1.1207627118644404E-3</c:v>
                </c:pt>
                <c:pt idx="224">
                  <c:v>-1.1598101265823094E-3</c:v>
                </c:pt>
                <c:pt idx="225">
                  <c:v>-1.1985294117647339E-3</c:v>
                </c:pt>
                <c:pt idx="226">
                  <c:v>-1.2369246861924938E-3</c:v>
                </c:pt>
                <c:pt idx="227">
                  <c:v>-1.3223958333332454E-3</c:v>
                </c:pt>
                <c:pt idx="228">
                  <c:v>-1.359958506223976E-3</c:v>
                </c:pt>
                <c:pt idx="229">
                  <c:v>-1.3972107438015603E-3</c:v>
                </c:pt>
                <c:pt idx="230">
                  <c:v>-1.5277777777777974E-3</c:v>
                </c:pt>
                <c:pt idx="231">
                  <c:v>-1.564036885245753E-3</c:v>
                </c:pt>
                <c:pt idx="232">
                  <c:v>-1.600000000000014E-3</c:v>
                </c:pt>
                <c:pt idx="233">
                  <c:v>-1.6356707317073285E-3</c:v>
                </c:pt>
                <c:pt idx="234">
                  <c:v>-1.5789473684211124E-3</c:v>
                </c:pt>
                <c:pt idx="235">
                  <c:v>-1.6144153225807021E-3</c:v>
                </c:pt>
                <c:pt idx="236">
                  <c:v>-1.6039156626506007E-3</c:v>
                </c:pt>
                <c:pt idx="237">
                  <c:v>-1.6389999999999957E-3</c:v>
                </c:pt>
                <c:pt idx="238">
                  <c:v>-1.6738047808764873E-3</c:v>
                </c:pt>
                <c:pt idx="239">
                  <c:v>-1.66319444444438E-3</c:v>
                </c:pt>
                <c:pt idx="240">
                  <c:v>-1.7425889328063124E-3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B51-4335-814D-53B8B9178B55}"/>
            </c:ext>
          </c:extLst>
        </c:ser>
        <c:ser>
          <c:idx val="29"/>
          <c:order val="29"/>
          <c:tx>
            <c:strRef>
              <c:f>'전류편차_24mA(절대값기준)'!$CS$7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'전류편차_24mA(절대값기준)'!$CS$22:$CS$262</c:f>
              <c:numCache>
                <c:formatCode>0.0%</c:formatCode>
                <c:ptCount val="241"/>
                <c:pt idx="0">
                  <c:v>-5.1249999999999352E-3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-3.2656250000001395E-3</c:v>
                </c:pt>
                <c:pt idx="4">
                  <c:v>-2.3455882352940616E-3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4.5833333333326432E-4</c:v>
                </c:pt>
                <c:pt idx="9">
                  <c:v>-3.4090909090945711E-5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5.9374999999997624E-4</c:v>
                </c:pt>
                <c:pt idx="16">
                  <c:v>-1.7672413793099205E-4</c:v>
                </c:pt>
                <c:pt idx="17">
                  <c:v>1.3791666666666887E-3</c:v>
                </c:pt>
                <c:pt idx="18">
                  <c:v>1.7338709677418966E-3</c:v>
                </c:pt>
                <c:pt idx="19">
                  <c:v>1.3554687499999826E-3</c:v>
                </c:pt>
                <c:pt idx="20">
                  <c:v>1.3446969696969343E-3</c:v>
                </c:pt>
                <c:pt idx="21">
                  <c:v>1.6691176470588829E-3</c:v>
                </c:pt>
                <c:pt idx="22">
                  <c:v>1.9750000000000045E-3</c:v>
                </c:pt>
                <c:pt idx="23">
                  <c:v>1.9479166666666542E-3</c:v>
                </c:pt>
                <c:pt idx="24">
                  <c:v>2.5371621621622024E-3</c:v>
                </c:pt>
                <c:pt idx="25">
                  <c:v>2.4967105263158126E-3</c:v>
                </c:pt>
                <c:pt idx="26">
                  <c:v>2.4583333333333401E-3</c:v>
                </c:pt>
                <c:pt idx="27">
                  <c:v>2.4218749999999913E-3</c:v>
                </c:pt>
                <c:pt idx="28">
                  <c:v>2.9420731707317459E-3</c:v>
                </c:pt>
                <c:pt idx="29">
                  <c:v>2.6249999999999329E-3</c:v>
                </c:pt>
                <c:pt idx="30">
                  <c:v>2.5872093023256194E-3</c:v>
                </c:pt>
                <c:pt idx="31">
                  <c:v>1.7755681818181755E-3</c:v>
                </c:pt>
                <c:pt idx="32">
                  <c:v>1.7583333333333136E-3</c:v>
                </c:pt>
                <c:pt idx="33">
                  <c:v>2.4836956521740185E-3</c:v>
                </c:pt>
                <c:pt idx="34">
                  <c:v>2.9361702127658866E-3</c:v>
                </c:pt>
                <c:pt idx="35">
                  <c:v>2.8958333333333566E-3</c:v>
                </c:pt>
                <c:pt idx="36">
                  <c:v>2.8571428571429708E-3</c:v>
                </c:pt>
                <c:pt idx="37">
                  <c:v>2.8199999999999979E-3</c:v>
                </c:pt>
                <c:pt idx="38">
                  <c:v>2.5612745098039322E-3</c:v>
                </c:pt>
                <c:pt idx="39">
                  <c:v>2.9687500000000477E-3</c:v>
                </c:pt>
                <c:pt idx="40">
                  <c:v>3.146226415094351E-3</c:v>
                </c:pt>
                <c:pt idx="41">
                  <c:v>3.1064814814813881E-3</c:v>
                </c:pt>
                <c:pt idx="42">
                  <c:v>3.0681818181818076E-3</c:v>
                </c:pt>
                <c:pt idx="43">
                  <c:v>3.234374999999956E-3</c:v>
                </c:pt>
                <c:pt idx="44">
                  <c:v>2.7960526315790259E-3</c:v>
                </c:pt>
                <c:pt idx="45">
                  <c:v>2.9612068965517695E-3</c:v>
                </c:pt>
                <c:pt idx="46">
                  <c:v>3.1207627118644194E-3</c:v>
                </c:pt>
                <c:pt idx="47">
                  <c:v>2.70624999999996E-3</c:v>
                </c:pt>
                <c:pt idx="48">
                  <c:v>2.305327868852534E-3</c:v>
                </c:pt>
                <c:pt idx="49">
                  <c:v>2.8346774193548415E-3</c:v>
                </c:pt>
                <c:pt idx="50">
                  <c:v>3.1666666666667004E-3</c:v>
                </c:pt>
                <c:pt idx="51">
                  <c:v>2.9550781249998849E-3</c:v>
                </c:pt>
                <c:pt idx="52">
                  <c:v>3.2749999999999169E-3</c:v>
                </c:pt>
                <c:pt idx="53">
                  <c:v>3.0681818181818991E-3</c:v>
                </c:pt>
                <c:pt idx="54">
                  <c:v>2.8675373134327744E-3</c:v>
                </c:pt>
                <c:pt idx="55">
                  <c:v>3.1746323529411443E-3</c:v>
                </c:pt>
                <c:pt idx="56">
                  <c:v>3.1431159420290183E-3</c:v>
                </c:pt>
                <c:pt idx="57">
                  <c:v>2.9499999999998971E-3</c:v>
                </c:pt>
                <c:pt idx="58">
                  <c:v>2.9225352112675668E-3</c:v>
                </c:pt>
                <c:pt idx="59">
                  <c:v>2.5798611111111694E-3</c:v>
                </c:pt>
                <c:pt idx="60">
                  <c:v>2.4023972602739002E-3</c:v>
                </c:pt>
                <c:pt idx="61">
                  <c:v>2.0760135135135362E-3</c:v>
                </c:pt>
                <c:pt idx="62">
                  <c:v>2.0616666666667485E-3</c:v>
                </c:pt>
                <c:pt idx="63">
                  <c:v>1.5986842105263047E-3</c:v>
                </c:pt>
                <c:pt idx="64">
                  <c:v>1.4431818181818157E-3</c:v>
                </c:pt>
                <c:pt idx="65">
                  <c:v>1.4375000000000546E-3</c:v>
                </c:pt>
                <c:pt idx="66">
                  <c:v>1.5759493670886378E-3</c:v>
                </c:pt>
                <c:pt idx="67">
                  <c:v>1.2843749999999904E-3</c:v>
                </c:pt>
                <c:pt idx="68">
                  <c:v>1.2808641975309096E-3</c:v>
                </c:pt>
                <c:pt idx="69">
                  <c:v>1.0000000000000063E-3</c:v>
                </c:pt>
                <c:pt idx="70">
                  <c:v>1.0000000000000599E-3</c:v>
                </c:pt>
                <c:pt idx="71">
                  <c:v>7.2916666666656782E-4</c:v>
                </c:pt>
                <c:pt idx="72">
                  <c:v>3.3088235294111585E-4</c:v>
                </c:pt>
                <c:pt idx="73">
                  <c:v>3.3866279069766619E-4</c:v>
                </c:pt>
                <c:pt idx="74">
                  <c:v>3.4626436781601874E-4</c:v>
                </c:pt>
                <c:pt idx="75">
                  <c:v>3.536931818181599E-4</c:v>
                </c:pt>
                <c:pt idx="76">
                  <c:v>4.887640449438912E-4</c:v>
                </c:pt>
                <c:pt idx="77">
                  <c:v>1.1527777777777063E-4</c:v>
                </c:pt>
                <c:pt idx="78">
                  <c:v>1.2499999999993072E-4</c:v>
                </c:pt>
                <c:pt idx="79">
                  <c:v>1.086956521732977E-5</c:v>
                </c:pt>
                <c:pt idx="80">
                  <c:v>-1.0080645161273992E-4</c:v>
                </c:pt>
                <c:pt idx="81">
                  <c:v>3.1914893616840593E-5</c:v>
                </c:pt>
                <c:pt idx="82">
                  <c:v>-7.763157894732773E-5</c:v>
                </c:pt>
                <c:pt idx="83">
                  <c:v>1.7057291666672711E-4</c:v>
                </c:pt>
                <c:pt idx="84">
                  <c:v>6.1855670103159224E-5</c:v>
                </c:pt>
                <c:pt idx="85">
                  <c:v>1.8750000000014987E-4</c:v>
                </c:pt>
                <c:pt idx="86">
                  <c:v>1.9570707070716187E-4</c:v>
                </c:pt>
                <c:pt idx="87">
                  <c:v>-2.3750000000042346E-5</c:v>
                </c:pt>
                <c:pt idx="88">
                  <c:v>-1.3613861386236594E-5</c:v>
                </c:pt>
                <c:pt idx="89">
                  <c:v>-4.4975490196088772E-4</c:v>
                </c:pt>
                <c:pt idx="90">
                  <c:v>-3.2524271844662435E-4</c:v>
                </c:pt>
                <c:pt idx="91">
                  <c:v>-9.3750000000003553E-5</c:v>
                </c:pt>
                <c:pt idx="92">
                  <c:v>-8.3333333333198334E-5</c:v>
                </c:pt>
                <c:pt idx="93">
                  <c:v>-7.3113207547280106E-5</c:v>
                </c:pt>
                <c:pt idx="94">
                  <c:v>-1.6939252336458925E-4</c:v>
                </c:pt>
                <c:pt idx="95">
                  <c:v>-3.6921296296300095E-4</c:v>
                </c:pt>
                <c:pt idx="96">
                  <c:v>-3.566513761466932E-4</c:v>
                </c:pt>
                <c:pt idx="97">
                  <c:v>-2.4090909090910477E-4</c:v>
                </c:pt>
                <c:pt idx="98">
                  <c:v>-2.477477477495308E-5</c:v>
                </c:pt>
                <c:pt idx="99">
                  <c:v>-1.5625000000046851E-5</c:v>
                </c:pt>
                <c:pt idx="100">
                  <c:v>-6.6371681416894561E-6</c:v>
                </c:pt>
                <c:pt idx="101">
                  <c:v>2.1929824561722474E-6</c:v>
                </c:pt>
                <c:pt idx="102">
                  <c:v>1.0869565217373695E-5</c:v>
                </c:pt>
                <c:pt idx="103">
                  <c:v>1.1745689655177773E-4</c:v>
                </c:pt>
                <c:pt idx="104">
                  <c:v>-6.9444444444504645E-5</c:v>
                </c:pt>
                <c:pt idx="105">
                  <c:v>3.6016949152552516E-5</c:v>
                </c:pt>
                <c:pt idx="106">
                  <c:v>-1.4705882352934331E-4</c:v>
                </c:pt>
                <c:pt idx="107">
                  <c:v>-2.3229166666659343E-4</c:v>
                </c:pt>
                <c:pt idx="108">
                  <c:v>-3.4090909090820465E-5</c:v>
                </c:pt>
                <c:pt idx="109">
                  <c:v>-1.1885245901630028E-4</c:v>
                </c:pt>
                <c:pt idx="110">
                  <c:v>-1.0975609756109349E-4</c:v>
                </c:pt>
                <c:pt idx="111">
                  <c:v>-4.6774193548383019E-4</c:v>
                </c:pt>
                <c:pt idx="112">
                  <c:v>-4.5600000000000485E-4</c:v>
                </c:pt>
                <c:pt idx="113">
                  <c:v>-3.5416666666660609E-4</c:v>
                </c:pt>
                <c:pt idx="114">
                  <c:v>-2.5393700787389075E-4</c:v>
                </c:pt>
                <c:pt idx="115">
                  <c:v>-2.4414062500007806E-4</c:v>
                </c:pt>
                <c:pt idx="116">
                  <c:v>-2.3449612403112909E-4</c:v>
                </c:pt>
                <c:pt idx="117">
                  <c:v>-3.1249999999996E-4</c:v>
                </c:pt>
                <c:pt idx="118">
                  <c:v>-3.8931297709919209E-4</c:v>
                </c:pt>
                <c:pt idx="119">
                  <c:v>-3.7878787878787743E-4</c:v>
                </c:pt>
                <c:pt idx="120">
                  <c:v>-4.539473684210465E-4</c:v>
                </c:pt>
                <c:pt idx="121">
                  <c:v>-6.1287313432845103E-4</c:v>
                </c:pt>
                <c:pt idx="122">
                  <c:v>-6.8518518518527255E-4</c:v>
                </c:pt>
                <c:pt idx="123">
                  <c:v>-1.0073529411764135E-3</c:v>
                </c:pt>
                <c:pt idx="124">
                  <c:v>-8.2664233576635259E-4</c:v>
                </c:pt>
                <c:pt idx="125">
                  <c:v>-8.1340579710142003E-4</c:v>
                </c:pt>
                <c:pt idx="126">
                  <c:v>-8.8219424460428289E-4</c:v>
                </c:pt>
                <c:pt idx="127">
                  <c:v>-8.6875000000000699E-4</c:v>
                </c:pt>
                <c:pt idx="128">
                  <c:v>-1.0975177304965102E-3</c:v>
                </c:pt>
                <c:pt idx="129">
                  <c:v>-9.2253521126764784E-4</c:v>
                </c:pt>
                <c:pt idx="130">
                  <c:v>-6.7045454545447663E-4</c:v>
                </c:pt>
                <c:pt idx="131">
                  <c:v>-7.3784722222214945E-4</c:v>
                </c:pt>
                <c:pt idx="132">
                  <c:v>-6.4741379310331924E-4</c:v>
                </c:pt>
                <c:pt idx="133">
                  <c:v>-7.9195205479462149E-4</c:v>
                </c:pt>
                <c:pt idx="134">
                  <c:v>-7.7976190476190615E-4</c:v>
                </c:pt>
                <c:pt idx="135">
                  <c:v>-7.6773648648652607E-4</c:v>
                </c:pt>
                <c:pt idx="136">
                  <c:v>-7.5587248322141827E-4</c:v>
                </c:pt>
                <c:pt idx="137">
                  <c:v>-8.1999999999993786E-4</c:v>
                </c:pt>
                <c:pt idx="138">
                  <c:v>-8.0794701986765911E-4</c:v>
                </c:pt>
                <c:pt idx="139">
                  <c:v>-7.9605263157896046E-4</c:v>
                </c:pt>
                <c:pt idx="140">
                  <c:v>-1.0816993464052461E-3</c:v>
                </c:pt>
                <c:pt idx="141">
                  <c:v>-1.0681818181818722E-3</c:v>
                </c:pt>
                <c:pt idx="142">
                  <c:v>-8.3467741935479018E-4</c:v>
                </c:pt>
                <c:pt idx="143">
                  <c:v>-8.9583333333328097E-4</c:v>
                </c:pt>
                <c:pt idx="144">
                  <c:v>-9.5621019108287509E-4</c:v>
                </c:pt>
                <c:pt idx="145">
                  <c:v>-8.7183544303799459E-4</c:v>
                </c:pt>
                <c:pt idx="146">
                  <c:v>-6.4544025157237432E-4</c:v>
                </c:pt>
                <c:pt idx="147">
                  <c:v>-5.6406249999999545E-4</c:v>
                </c:pt>
                <c:pt idx="148">
                  <c:v>-5.5434782608686174E-4</c:v>
                </c:pt>
                <c:pt idx="149">
                  <c:v>-4.7453703703701666E-4</c:v>
                </c:pt>
                <c:pt idx="150">
                  <c:v>-4.6549079754602672E-4</c:v>
                </c:pt>
                <c:pt idx="151">
                  <c:v>-5.9527439024387445E-4</c:v>
                </c:pt>
                <c:pt idx="152">
                  <c:v>-3.7878787878787743E-4</c:v>
                </c:pt>
                <c:pt idx="153">
                  <c:v>-3.7048192771087614E-4</c:v>
                </c:pt>
                <c:pt idx="154">
                  <c:v>-3.6227544910174192E-4</c:v>
                </c:pt>
                <c:pt idx="155">
                  <c:v>-3.5416666666676644E-4</c:v>
                </c:pt>
                <c:pt idx="156">
                  <c:v>-3.4615384615385925E-4</c:v>
                </c:pt>
                <c:pt idx="157">
                  <c:v>-4.7205882352938393E-4</c:v>
                </c:pt>
                <c:pt idx="158">
                  <c:v>-5.2997076023388674E-4</c:v>
                </c:pt>
                <c:pt idx="159">
                  <c:v>-5.2107558139535056E-4</c:v>
                </c:pt>
                <c:pt idx="160">
                  <c:v>-5.122832369941373E-4</c:v>
                </c:pt>
                <c:pt idx="161">
                  <c:v>-3.0747126436787538E-4</c:v>
                </c:pt>
                <c:pt idx="162">
                  <c:v>-2.3500000000001186E-4</c:v>
                </c:pt>
                <c:pt idx="163">
                  <c:v>-2.279829545454985E-4</c:v>
                </c:pt>
                <c:pt idx="164">
                  <c:v>-9.2514124293818092E-5</c:v>
                </c:pt>
                <c:pt idx="165">
                  <c:v>-1.5028089887631995E-4</c:v>
                </c:pt>
                <c:pt idx="166">
                  <c:v>-8.030726256981519E-5</c:v>
                </c:pt>
                <c:pt idx="167">
                  <c:v>-1.3750000000009157E-4</c:v>
                </c:pt>
                <c:pt idx="168">
                  <c:v>-5.5248618784217608E-6</c:v>
                </c:pt>
                <c:pt idx="169">
                  <c:v>-1.2500000000004174E-4</c:v>
                </c:pt>
                <c:pt idx="170">
                  <c:v>5.4644808743964197E-6</c:v>
                </c:pt>
                <c:pt idx="171">
                  <c:v>1.086956521732977E-5</c:v>
                </c:pt>
                <c:pt idx="172">
                  <c:v>-4.5270270270109554E-5</c:v>
                </c:pt>
                <c:pt idx="173">
                  <c:v>-1.0080645161273992E-4</c:v>
                </c:pt>
                <c:pt idx="174">
                  <c:v>-1.5574866310143841E-4</c:v>
                </c:pt>
                <c:pt idx="175">
                  <c:v>-3.3111702127679014E-4</c:v>
                </c:pt>
                <c:pt idx="176">
                  <c:v>-1.435185185186281E-4</c:v>
                </c:pt>
                <c:pt idx="177">
                  <c:v>-1.3750000000003248E-4</c:v>
                </c:pt>
                <c:pt idx="178">
                  <c:v>-1.2434554973844161E-5</c:v>
                </c:pt>
                <c:pt idx="179">
                  <c:v>-1.2565104166675778E-4</c:v>
                </c:pt>
                <c:pt idx="180">
                  <c:v>-6.0880829015487287E-5</c:v>
                </c:pt>
                <c:pt idx="181">
                  <c:v>-1.7268041237114592E-4</c:v>
                </c:pt>
                <c:pt idx="182">
                  <c:v>-1.0833333333340653E-4</c:v>
                </c:pt>
                <c:pt idx="183">
                  <c:v>-4.464285714278482E-5</c:v>
                </c:pt>
                <c:pt idx="184">
                  <c:v>-1.5482233502537606E-4</c:v>
                </c:pt>
                <c:pt idx="185">
                  <c:v>-1.4898989898982091E-4</c:v>
                </c:pt>
                <c:pt idx="186">
                  <c:v>-1.4321608040185929E-4</c:v>
                </c:pt>
                <c:pt idx="187">
                  <c:v>-1.3750000000018134E-4</c:v>
                </c:pt>
                <c:pt idx="188">
                  <c:v>-3.0161691542300009E-4</c:v>
                </c:pt>
                <c:pt idx="189">
                  <c:v>-2.38861386138587E-4</c:v>
                </c:pt>
                <c:pt idx="190">
                  <c:v>-4.0086206896562432E-4</c:v>
                </c:pt>
                <c:pt idx="191">
                  <c:v>-7.8431372549011408E-4</c:v>
                </c:pt>
                <c:pt idx="192">
                  <c:v>-6.6463414634137239E-4</c:v>
                </c:pt>
                <c:pt idx="193">
                  <c:v>-2.7002427184461513E-4</c:v>
                </c:pt>
                <c:pt idx="194">
                  <c:v>-2.6388888888877378E-4</c:v>
                </c:pt>
                <c:pt idx="195">
                  <c:v>-2.5781250000000977E-4</c:v>
                </c:pt>
                <c:pt idx="196">
                  <c:v>-8.8516746411417202E-5</c:v>
                </c:pt>
                <c:pt idx="197">
                  <c:v>-8.3333333333198334E-5</c:v>
                </c:pt>
                <c:pt idx="198">
                  <c:v>8.3530805687030162E-5</c:v>
                </c:pt>
                <c:pt idx="199">
                  <c:v>8.7853773584801456E-5</c:v>
                </c:pt>
                <c:pt idx="200">
                  <c:v>1.9894366197173636E-4</c:v>
                </c:pt>
                <c:pt idx="201">
                  <c:v>2.0268691588782426E-4</c:v>
                </c:pt>
                <c:pt idx="202">
                  <c:v>3.122093023255643E-4</c:v>
                </c:pt>
                <c:pt idx="203">
                  <c:v>3.6805555555548313E-4</c:v>
                </c:pt>
                <c:pt idx="204">
                  <c:v>4.7580645161284007E-4</c:v>
                </c:pt>
                <c:pt idx="205">
                  <c:v>4.782110091743158E-4</c:v>
                </c:pt>
                <c:pt idx="206">
                  <c:v>4.2865296803653647E-4</c:v>
                </c:pt>
                <c:pt idx="207">
                  <c:v>3.278409090910393E-4</c:v>
                </c:pt>
                <c:pt idx="208">
                  <c:v>3.8235294117654607E-4</c:v>
                </c:pt>
                <c:pt idx="209">
                  <c:v>4.8761261261251438E-4</c:v>
                </c:pt>
                <c:pt idx="210">
                  <c:v>6.4293721973091489E-4</c:v>
                </c:pt>
                <c:pt idx="211">
                  <c:v>7.4609374999998201E-4</c:v>
                </c:pt>
                <c:pt idx="212">
                  <c:v>9.9999999999999633E-4</c:v>
                </c:pt>
                <c:pt idx="213">
                  <c:v>9.4966814159291966E-4</c:v>
                </c:pt>
                <c:pt idx="214">
                  <c:v>9.4988986784147304E-4</c:v>
                </c:pt>
                <c:pt idx="215">
                  <c:v>1.0498903508772647E-3</c:v>
                </c:pt>
                <c:pt idx="216">
                  <c:v>1.0993449781659579E-3</c:v>
                </c:pt>
                <c:pt idx="217">
                  <c:v>1.1978260869565491E-3</c:v>
                </c:pt>
                <c:pt idx="218">
                  <c:v>1.2462121212120968E-3</c:v>
                </c:pt>
                <c:pt idx="219">
                  <c:v>1.196120689655325E-3</c:v>
                </c:pt>
                <c:pt idx="220">
                  <c:v>1.1952789699571226E-3</c:v>
                </c:pt>
                <c:pt idx="221">
                  <c:v>1.2916666666665428E-3</c:v>
                </c:pt>
                <c:pt idx="222">
                  <c:v>1.3388297872340403E-3</c:v>
                </c:pt>
                <c:pt idx="223">
                  <c:v>1.2891949152542379E-3</c:v>
                </c:pt>
                <c:pt idx="224">
                  <c:v>1.2399789029535898E-3</c:v>
                </c:pt>
                <c:pt idx="225">
                  <c:v>1.3823529411765405E-3</c:v>
                </c:pt>
                <c:pt idx="226">
                  <c:v>1.4283472803347476E-3</c:v>
                </c:pt>
                <c:pt idx="227">
                  <c:v>1.5687500000000855E-3</c:v>
                </c:pt>
                <c:pt idx="228">
                  <c:v>1.6135892116182927E-3</c:v>
                </c:pt>
                <c:pt idx="229">
                  <c:v>1.6580578512396553E-3</c:v>
                </c:pt>
                <c:pt idx="230">
                  <c:v>1.655349794238729E-3</c:v>
                </c:pt>
                <c:pt idx="231">
                  <c:v>1.6060450819672613E-3</c:v>
                </c:pt>
                <c:pt idx="232">
                  <c:v>1.7892857142857185E-3</c:v>
                </c:pt>
                <c:pt idx="233">
                  <c:v>1.7398373983739906E-3</c:v>
                </c:pt>
                <c:pt idx="234">
                  <c:v>1.8289473684210673E-3</c:v>
                </c:pt>
                <c:pt idx="235">
                  <c:v>1.7338709677418966E-3</c:v>
                </c:pt>
                <c:pt idx="236">
                  <c:v>1.7766064257027246E-3</c:v>
                </c:pt>
                <c:pt idx="237">
                  <c:v>1.7734999999999719E-3</c:v>
                </c:pt>
                <c:pt idx="238">
                  <c:v>1.770418326693257E-3</c:v>
                </c:pt>
                <c:pt idx="239">
                  <c:v>1.7673611111111986E-3</c:v>
                </c:pt>
                <c:pt idx="240">
                  <c:v>1.719367588932896E-3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1B51-4335-814D-53B8B9178B55}"/>
            </c:ext>
          </c:extLst>
        </c:ser>
        <c:ser>
          <c:idx val="30"/>
          <c:order val="30"/>
          <c:tx>
            <c:strRef>
              <c:f>'전류편차_24mA(절대값기준)'!$CT$7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'전류편차_24mA(절대값기준)'!$CT$22:$CT$262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-1.4374999999999805E-3</c:v>
                </c:pt>
                <c:pt idx="2">
                  <c:v>-1.2750000000000224E-3</c:v>
                </c:pt>
                <c:pt idx="3">
                  <c:v>-1.8437500000001385E-3</c:v>
                </c:pt>
                <c:pt idx="4">
                  <c:v>-2.3455882352940616E-3</c:v>
                </c:pt>
                <c:pt idx="5">
                  <c:v>1.000000000000092E-3</c:v>
                </c:pt>
                <c:pt idx="6">
                  <c:v>2.1973684210525547E-3</c:v>
                </c:pt>
                <c:pt idx="7">
                  <c:v>3.8437499999999613E-3</c:v>
                </c:pt>
                <c:pt idx="8">
                  <c:v>3.7083333333332671E-3</c:v>
                </c:pt>
                <c:pt idx="9">
                  <c:v>5.1363636363636047E-3</c:v>
                </c:pt>
                <c:pt idx="10">
                  <c:v>3.9673913043477681E-3</c:v>
                </c:pt>
                <c:pt idx="11">
                  <c:v>4.7916666666666915E-3</c:v>
                </c:pt>
                <c:pt idx="12">
                  <c:v>4.1849999999998477E-3</c:v>
                </c:pt>
                <c:pt idx="13">
                  <c:v>4.0625000000000244E-3</c:v>
                </c:pt>
                <c:pt idx="14">
                  <c:v>3.9490740740740753E-3</c:v>
                </c:pt>
                <c:pt idx="15">
                  <c:v>3.8437499999999791E-3</c:v>
                </c:pt>
                <c:pt idx="16">
                  <c:v>2.9612068965517695E-3</c:v>
                </c:pt>
                <c:pt idx="17">
                  <c:v>2.5166666666667317E-3</c:v>
                </c:pt>
                <c:pt idx="18">
                  <c:v>1.7338709677418966E-3</c:v>
                </c:pt>
                <c:pt idx="19">
                  <c:v>9.9999999999986385E-4</c:v>
                </c:pt>
                <c:pt idx="20">
                  <c:v>1.0000000000000026E-3</c:v>
                </c:pt>
                <c:pt idx="21">
                  <c:v>1.6691176470588829E-3</c:v>
                </c:pt>
                <c:pt idx="22">
                  <c:v>1.9750000000000045E-3</c:v>
                </c:pt>
                <c:pt idx="23">
                  <c:v>2.5798611111111694E-3</c:v>
                </c:pt>
                <c:pt idx="24">
                  <c:v>2.8445945945946008E-3</c:v>
                </c:pt>
                <c:pt idx="25">
                  <c:v>3.394736842105187E-3</c:v>
                </c:pt>
                <c:pt idx="26">
                  <c:v>3.3333333333333734E-3</c:v>
                </c:pt>
                <c:pt idx="27">
                  <c:v>2.9906250000000553E-3</c:v>
                </c:pt>
                <c:pt idx="28">
                  <c:v>2.9420731707317459E-3</c:v>
                </c:pt>
                <c:pt idx="29">
                  <c:v>2.6249999999999329E-3</c:v>
                </c:pt>
                <c:pt idx="30">
                  <c:v>2.5872093023256194E-3</c:v>
                </c:pt>
                <c:pt idx="31">
                  <c:v>2.2926136363635732E-3</c:v>
                </c:pt>
                <c:pt idx="32">
                  <c:v>1.7583333333333136E-3</c:v>
                </c:pt>
                <c:pt idx="33">
                  <c:v>1.4945652173912992E-3</c:v>
                </c:pt>
                <c:pt idx="34">
                  <c:v>9.999999999999276E-4</c:v>
                </c:pt>
                <c:pt idx="35">
                  <c:v>5.2083333333248952E-5</c:v>
                </c:pt>
                <c:pt idx="36">
                  <c:v>-1.6071428571414907E-4</c:v>
                </c:pt>
                <c:pt idx="37">
                  <c:v>8.9999999999894608E-5</c:v>
                </c:pt>
                <c:pt idx="38">
                  <c:v>-1.1519607843146327E-4</c:v>
                </c:pt>
                <c:pt idx="39">
                  <c:v>-9.3750000000003553E-5</c:v>
                </c:pt>
                <c:pt idx="40">
                  <c:v>5.7075471698104618E-4</c:v>
                </c:pt>
                <c:pt idx="41">
                  <c:v>5.7870370370370161E-4</c:v>
                </c:pt>
                <c:pt idx="42">
                  <c:v>1.0000000000000332E-3</c:v>
                </c:pt>
                <c:pt idx="43">
                  <c:v>1.2031249999999993E-3</c:v>
                </c:pt>
                <c:pt idx="44">
                  <c:v>1.0000000000000106E-3</c:v>
                </c:pt>
                <c:pt idx="45">
                  <c:v>1.196120689655325E-3</c:v>
                </c:pt>
                <c:pt idx="46">
                  <c:v>8.072033898304336E-4</c:v>
                </c:pt>
                <c:pt idx="47">
                  <c:v>8.1041666666666718E-4</c:v>
                </c:pt>
                <c:pt idx="48">
                  <c:v>8.1352459016400776E-4</c:v>
                </c:pt>
                <c:pt idx="49">
                  <c:v>6.3306451612895177E-4</c:v>
                </c:pt>
                <c:pt idx="50">
                  <c:v>9.7222222222193011E-5</c:v>
                </c:pt>
                <c:pt idx="51">
                  <c:v>-2.4414062500007806E-4</c:v>
                </c:pt>
                <c:pt idx="52">
                  <c:v>-4.0000000000006697E-4</c:v>
                </c:pt>
                <c:pt idx="53">
                  <c:v>-3.7878787878787743E-4</c:v>
                </c:pt>
                <c:pt idx="54">
                  <c:v>-1.8843283582092198E-4</c:v>
                </c:pt>
                <c:pt idx="55">
                  <c:v>-3.6764705882887678E-6</c:v>
                </c:pt>
                <c:pt idx="56">
                  <c:v>1.0869565217402981E-5</c:v>
                </c:pt>
                <c:pt idx="57">
                  <c:v>1.8749999999998488E-4</c:v>
                </c:pt>
                <c:pt idx="58">
                  <c:v>5.1936619718311093E-4</c:v>
                </c:pt>
                <c:pt idx="59">
                  <c:v>6.8402777777776421E-4</c:v>
                </c:pt>
                <c:pt idx="60">
                  <c:v>1.000000000000013E-3</c:v>
                </c:pt>
                <c:pt idx="61">
                  <c:v>9.9999999999993649E-4</c:v>
                </c:pt>
                <c:pt idx="62">
                  <c:v>9.9999999999999655E-4</c:v>
                </c:pt>
                <c:pt idx="63">
                  <c:v>9.9999999999992196E-4</c:v>
                </c:pt>
                <c:pt idx="64">
                  <c:v>8.522727272727899E-4</c:v>
                </c:pt>
                <c:pt idx="65">
                  <c:v>1.1458333333334201E-3</c:v>
                </c:pt>
                <c:pt idx="66">
                  <c:v>8.5601265822776577E-4</c:v>
                </c:pt>
                <c:pt idx="67">
                  <c:v>5.7343750000000558E-4</c:v>
                </c:pt>
                <c:pt idx="68">
                  <c:v>5.7870370370376406E-4</c:v>
                </c:pt>
                <c:pt idx="69">
                  <c:v>4.4512195121945637E-4</c:v>
                </c:pt>
                <c:pt idx="70">
                  <c:v>5.8885542168679117E-4</c:v>
                </c:pt>
                <c:pt idx="71">
                  <c:v>7.2916666666656782E-4</c:v>
                </c:pt>
                <c:pt idx="72">
                  <c:v>8.6617647058823458E-4</c:v>
                </c:pt>
                <c:pt idx="73">
                  <c:v>8.6773255813958584E-4</c:v>
                </c:pt>
                <c:pt idx="74">
                  <c:v>1.2614942528735634E-3</c:v>
                </c:pt>
                <c:pt idx="75">
                  <c:v>1.258522727272778E-3</c:v>
                </c:pt>
                <c:pt idx="76">
                  <c:v>1.5112359550562516E-3</c:v>
                </c:pt>
                <c:pt idx="77">
                  <c:v>1.6319444444443825E-3</c:v>
                </c:pt>
                <c:pt idx="78">
                  <c:v>1.8750000000000711E-3</c:v>
                </c:pt>
                <c:pt idx="79">
                  <c:v>1.8654891304347913E-3</c:v>
                </c:pt>
                <c:pt idx="80">
                  <c:v>1.7338709677419512E-3</c:v>
                </c:pt>
                <c:pt idx="81">
                  <c:v>1.726063829787189E-3</c:v>
                </c:pt>
                <c:pt idx="82">
                  <c:v>1.7184210526314748E-3</c:v>
                </c:pt>
                <c:pt idx="83">
                  <c:v>1.5924479166665704E-3</c:v>
                </c:pt>
                <c:pt idx="84">
                  <c:v>1.2345360824742684E-3</c:v>
                </c:pt>
                <c:pt idx="85">
                  <c:v>1.5803571428571394E-3</c:v>
                </c:pt>
                <c:pt idx="86">
                  <c:v>1.5744949494950931E-3</c:v>
                </c:pt>
                <c:pt idx="87">
                  <c:v>1.6824999999998202E-3</c:v>
                </c:pt>
                <c:pt idx="88">
                  <c:v>1.7883663366335669E-3</c:v>
                </c:pt>
                <c:pt idx="89">
                  <c:v>1.6691176470587344E-3</c:v>
                </c:pt>
                <c:pt idx="90">
                  <c:v>1.6626213592233539E-3</c:v>
                </c:pt>
                <c:pt idx="91">
                  <c:v>1.9843750000000104E-3</c:v>
                </c:pt>
                <c:pt idx="92">
                  <c:v>2.3000000000001613E-3</c:v>
                </c:pt>
                <c:pt idx="93">
                  <c:v>2.287735849056519E-3</c:v>
                </c:pt>
                <c:pt idx="94">
                  <c:v>2.4883177570092802E-3</c:v>
                </c:pt>
                <c:pt idx="95">
                  <c:v>2.5798611111111226E-3</c:v>
                </c:pt>
                <c:pt idx="96">
                  <c:v>2.5653669724770237E-3</c:v>
                </c:pt>
                <c:pt idx="97">
                  <c:v>2.447727272727422E-3</c:v>
                </c:pt>
                <c:pt idx="98">
                  <c:v>2.6396396396396226E-3</c:v>
                </c:pt>
                <c:pt idx="99">
                  <c:v>2.4218749999998651E-3</c:v>
                </c:pt>
                <c:pt idx="100">
                  <c:v>2.3086283185841214E-3</c:v>
                </c:pt>
                <c:pt idx="101">
                  <c:v>2.4967105263158569E-3</c:v>
                </c:pt>
                <c:pt idx="102">
                  <c:v>2.5826086956521367E-3</c:v>
                </c:pt>
                <c:pt idx="103">
                  <c:v>2.4709051724139362E-3</c:v>
                </c:pt>
                <c:pt idx="104">
                  <c:v>2.4583333333332534E-3</c:v>
                </c:pt>
                <c:pt idx="105">
                  <c:v>2.6387711864406154E-3</c:v>
                </c:pt>
                <c:pt idx="106">
                  <c:v>2.6250000000000604E-3</c:v>
                </c:pt>
                <c:pt idx="107">
                  <c:v>2.70624999999996E-3</c:v>
                </c:pt>
                <c:pt idx="108">
                  <c:v>2.8801652892561751E-3</c:v>
                </c:pt>
                <c:pt idx="109">
                  <c:v>2.9579918032787327E-3</c:v>
                </c:pt>
                <c:pt idx="110">
                  <c:v>3.0345528455284015E-3</c:v>
                </c:pt>
                <c:pt idx="111">
                  <c:v>3.0181451612902237E-3</c:v>
                </c:pt>
                <c:pt idx="112">
                  <c:v>3.0020000000000185E-3</c:v>
                </c:pt>
                <c:pt idx="113">
                  <c:v>2.9861111111110844E-3</c:v>
                </c:pt>
                <c:pt idx="114">
                  <c:v>2.7913385826771938E-3</c:v>
                </c:pt>
                <c:pt idx="115">
                  <c:v>2.5107421874999737E-3</c:v>
                </c:pt>
                <c:pt idx="116">
                  <c:v>2.4990310077518678E-3</c:v>
                </c:pt>
                <c:pt idx="117">
                  <c:v>2.6624999999999453E-3</c:v>
                </c:pt>
                <c:pt idx="118">
                  <c:v>2.3893129770992836E-3</c:v>
                </c:pt>
                <c:pt idx="119">
                  <c:v>2.3787878787878826E-3</c:v>
                </c:pt>
                <c:pt idx="120">
                  <c:v>2.282894736842114E-3</c:v>
                </c:pt>
                <c:pt idx="121">
                  <c:v>2.1884328358207578E-3</c:v>
                </c:pt>
                <c:pt idx="122">
                  <c:v>2.2638888888888136E-3</c:v>
                </c:pt>
                <c:pt idx="123">
                  <c:v>2.1709558823528709E-3</c:v>
                </c:pt>
                <c:pt idx="124">
                  <c:v>2.0793795620438781E-3</c:v>
                </c:pt>
                <c:pt idx="125">
                  <c:v>2.2364130434783568E-3</c:v>
                </c:pt>
                <c:pt idx="126">
                  <c:v>2.2275179856115655E-3</c:v>
                </c:pt>
                <c:pt idx="127">
                  <c:v>2.2187500000000137E-3</c:v>
                </c:pt>
                <c:pt idx="128">
                  <c:v>2.2101063829786968E-3</c:v>
                </c:pt>
                <c:pt idx="129">
                  <c:v>2.1214788732394148E-3</c:v>
                </c:pt>
                <c:pt idx="130">
                  <c:v>2.1931818181818541E-3</c:v>
                </c:pt>
                <c:pt idx="131">
                  <c:v>1.8689236111111424E-3</c:v>
                </c:pt>
                <c:pt idx="132">
                  <c:v>1.7060344827586997E-3</c:v>
                </c:pt>
                <c:pt idx="133">
                  <c:v>1.9349315068492251E-3</c:v>
                </c:pt>
                <c:pt idx="134">
                  <c:v>1.9285714285714381E-3</c:v>
                </c:pt>
                <c:pt idx="135">
                  <c:v>1.8454391891892031E-3</c:v>
                </c:pt>
                <c:pt idx="136">
                  <c:v>1.7634228187919645E-3</c:v>
                </c:pt>
                <c:pt idx="137">
                  <c:v>1.606666666666731E-3</c:v>
                </c:pt>
                <c:pt idx="138">
                  <c:v>1.5273178807946363E-3</c:v>
                </c:pt>
                <c:pt idx="139">
                  <c:v>1.4490131578946757E-3</c:v>
                </c:pt>
                <c:pt idx="140">
                  <c:v>1.4460784313725834E-3</c:v>
                </c:pt>
                <c:pt idx="141">
                  <c:v>1.2954545454544936E-3</c:v>
                </c:pt>
                <c:pt idx="142">
                  <c:v>1.3669354838709694E-3</c:v>
                </c:pt>
                <c:pt idx="143">
                  <c:v>1.5104166666666807E-3</c:v>
                </c:pt>
                <c:pt idx="144">
                  <c:v>1.5796178343948422E-3</c:v>
                </c:pt>
                <c:pt idx="145">
                  <c:v>1.5039556962024739E-3</c:v>
                </c:pt>
                <c:pt idx="146">
                  <c:v>1.5007861635220466E-3</c:v>
                </c:pt>
                <c:pt idx="147">
                  <c:v>1.4265625000000378E-3</c:v>
                </c:pt>
                <c:pt idx="148">
                  <c:v>1.353260869565259E-3</c:v>
                </c:pt>
                <c:pt idx="149">
                  <c:v>1.3510802469135867E-3</c:v>
                </c:pt>
                <c:pt idx="150">
                  <c:v>1.4187116564416506E-3</c:v>
                </c:pt>
                <c:pt idx="151">
                  <c:v>1.4855182926829104E-3</c:v>
                </c:pt>
                <c:pt idx="152">
                  <c:v>1.3446969696969955E-3</c:v>
                </c:pt>
                <c:pt idx="153">
                  <c:v>1.2740963855421982E-3</c:v>
                </c:pt>
                <c:pt idx="154">
                  <c:v>1.2724550898203547E-3</c:v>
                </c:pt>
                <c:pt idx="155">
                  <c:v>1.2031249999999993E-3</c:v>
                </c:pt>
                <c:pt idx="156">
                  <c:v>1.2019230769230427E-3</c:v>
                </c:pt>
                <c:pt idx="157">
                  <c:v>1.1338235294117345E-3</c:v>
                </c:pt>
                <c:pt idx="158">
                  <c:v>1.0665204678362312E-3</c:v>
                </c:pt>
                <c:pt idx="159">
                  <c:v>1.1984011627906828E-3</c:v>
                </c:pt>
                <c:pt idx="160">
                  <c:v>1.2630057803468537E-3</c:v>
                </c:pt>
                <c:pt idx="161">
                  <c:v>1.3922413793102724E-3</c:v>
                </c:pt>
                <c:pt idx="162">
                  <c:v>1.4549999999999752E-3</c:v>
                </c:pt>
                <c:pt idx="163">
                  <c:v>1.323153409090924E-3</c:v>
                </c:pt>
                <c:pt idx="164">
                  <c:v>1.3855932203390444E-3</c:v>
                </c:pt>
                <c:pt idx="165">
                  <c:v>1.383426966292164E-3</c:v>
                </c:pt>
                <c:pt idx="166">
                  <c:v>1.5083798882681962E-3</c:v>
                </c:pt>
                <c:pt idx="167">
                  <c:v>1.5687499999999729E-3</c:v>
                </c:pt>
                <c:pt idx="168">
                  <c:v>1.5656077348065718E-3</c:v>
                </c:pt>
                <c:pt idx="169">
                  <c:v>1.5000000000000568E-3</c:v>
                </c:pt>
                <c:pt idx="170">
                  <c:v>1.6215846994536191E-3</c:v>
                </c:pt>
                <c:pt idx="171">
                  <c:v>1.4327445652175302E-3</c:v>
                </c:pt>
                <c:pt idx="172">
                  <c:v>1.4304054054054037E-3</c:v>
                </c:pt>
                <c:pt idx="173">
                  <c:v>1.4892473118281082E-3</c:v>
                </c:pt>
                <c:pt idx="174">
                  <c:v>1.4866310160427929E-3</c:v>
                </c:pt>
                <c:pt idx="175">
                  <c:v>1.4235372340423535E-3</c:v>
                </c:pt>
                <c:pt idx="176">
                  <c:v>1.5416666666664782E-3</c:v>
                </c:pt>
                <c:pt idx="177">
                  <c:v>1.6585526315789829E-3</c:v>
                </c:pt>
                <c:pt idx="178">
                  <c:v>1.6551047120417848E-3</c:v>
                </c:pt>
                <c:pt idx="179">
                  <c:v>1.6516927083333095E-3</c:v>
                </c:pt>
                <c:pt idx="180">
                  <c:v>1.7661917098445461E-3</c:v>
                </c:pt>
                <c:pt idx="181">
                  <c:v>1.8208762886597187E-3</c:v>
                </c:pt>
                <c:pt idx="182">
                  <c:v>1.8166666666666665E-3</c:v>
                </c:pt>
                <c:pt idx="183">
                  <c:v>1.8705357142858592E-3</c:v>
                </c:pt>
                <c:pt idx="184">
                  <c:v>1.9238578680203882E-3</c:v>
                </c:pt>
                <c:pt idx="185">
                  <c:v>2.0340909090910022E-3</c:v>
                </c:pt>
                <c:pt idx="186">
                  <c:v>1.9145728643216338E-3</c:v>
                </c:pt>
                <c:pt idx="187">
                  <c:v>1.9668749999999656E-3</c:v>
                </c:pt>
                <c:pt idx="188">
                  <c:v>1.9620646766167526E-3</c:v>
                </c:pt>
                <c:pt idx="189">
                  <c:v>1.9009900990099421E-3</c:v>
                </c:pt>
                <c:pt idx="190">
                  <c:v>1.8965517241378445E-3</c:v>
                </c:pt>
                <c:pt idx="191">
                  <c:v>1.8921568627450834E-3</c:v>
                </c:pt>
                <c:pt idx="192">
                  <c:v>2.0542682926829895E-3</c:v>
                </c:pt>
                <c:pt idx="193">
                  <c:v>1.9939320388350171E-3</c:v>
                </c:pt>
                <c:pt idx="194">
                  <c:v>2.0440821256038724E-3</c:v>
                </c:pt>
                <c:pt idx="195">
                  <c:v>1.9296875000001379E-3</c:v>
                </c:pt>
                <c:pt idx="196">
                  <c:v>1.9252392344497743E-3</c:v>
                </c:pt>
                <c:pt idx="197">
                  <c:v>1.9750000000001489E-3</c:v>
                </c:pt>
                <c:pt idx="198">
                  <c:v>1.9703791469192653E-3</c:v>
                </c:pt>
                <c:pt idx="199">
                  <c:v>1.9121462264149321E-3</c:v>
                </c:pt>
                <c:pt idx="200">
                  <c:v>2.0146713615023849E-3</c:v>
                </c:pt>
                <c:pt idx="201">
                  <c:v>1.8504672897195365E-3</c:v>
                </c:pt>
                <c:pt idx="202">
                  <c:v>1.9523255813952685E-3</c:v>
                </c:pt>
                <c:pt idx="203">
                  <c:v>1.789930555555537E-3</c:v>
                </c:pt>
                <c:pt idx="204">
                  <c:v>1.73387096774192E-3</c:v>
                </c:pt>
                <c:pt idx="205">
                  <c:v>1.5739678899083023E-3</c:v>
                </c:pt>
                <c:pt idx="206">
                  <c:v>1.5194063926941121E-3</c:v>
                </c:pt>
                <c:pt idx="207">
                  <c:v>1.4653409090909599E-3</c:v>
                </c:pt>
                <c:pt idx="208">
                  <c:v>1.4117647058824066E-3</c:v>
                </c:pt>
                <c:pt idx="209">
                  <c:v>1.3586711711710451E-3</c:v>
                </c:pt>
                <c:pt idx="210">
                  <c:v>1.3060538116590702E-3</c:v>
                </c:pt>
                <c:pt idx="211">
                  <c:v>1.304687499999943E-3</c:v>
                </c:pt>
                <c:pt idx="212">
                  <c:v>1.2022222222221066E-3</c:v>
                </c:pt>
                <c:pt idx="213">
                  <c:v>1.3019911504423712E-3</c:v>
                </c:pt>
                <c:pt idx="214">
                  <c:v>1.4008810572688029E-3</c:v>
                </c:pt>
                <c:pt idx="215">
                  <c:v>1.2993421052631799E-3</c:v>
                </c:pt>
                <c:pt idx="216">
                  <c:v>1.298034934497902E-3</c:v>
                </c:pt>
                <c:pt idx="217">
                  <c:v>1.1978260869565491E-3</c:v>
                </c:pt>
                <c:pt idx="218">
                  <c:v>1.2462121212120968E-3</c:v>
                </c:pt>
                <c:pt idx="219">
                  <c:v>1.196120689655325E-3</c:v>
                </c:pt>
                <c:pt idx="220">
                  <c:v>1.146459227467966E-3</c:v>
                </c:pt>
                <c:pt idx="221">
                  <c:v>1.0486111111110356E-3</c:v>
                </c:pt>
                <c:pt idx="222">
                  <c:v>9.0319148936168336E-4</c:v>
                </c:pt>
                <c:pt idx="223">
                  <c:v>8.5540254237286549E-4</c:v>
                </c:pt>
                <c:pt idx="224">
                  <c:v>8.0801687763711765E-4</c:v>
                </c:pt>
                <c:pt idx="225">
                  <c:v>7.1323529411757827E-4</c:v>
                </c:pt>
                <c:pt idx="226">
                  <c:v>5.7165271966525899E-4</c:v>
                </c:pt>
                <c:pt idx="227">
                  <c:v>4.7864583333343349E-4</c:v>
                </c:pt>
                <c:pt idx="228">
                  <c:v>5.7520746887977582E-4</c:v>
                </c:pt>
                <c:pt idx="229">
                  <c:v>6.2396694214881827E-4</c:v>
                </c:pt>
                <c:pt idx="230">
                  <c:v>7.1913580246920153E-4</c:v>
                </c:pt>
                <c:pt idx="231">
                  <c:v>7.2028688524602665E-4</c:v>
                </c:pt>
                <c:pt idx="232">
                  <c:v>8.1428571428568159E-4</c:v>
                </c:pt>
                <c:pt idx="233">
                  <c:v>7.2256097560966968E-4</c:v>
                </c:pt>
                <c:pt idx="234">
                  <c:v>7.6973684210529232E-4</c:v>
                </c:pt>
                <c:pt idx="235">
                  <c:v>6.7893145161287884E-4</c:v>
                </c:pt>
                <c:pt idx="236">
                  <c:v>7.2590361445775894E-4</c:v>
                </c:pt>
                <c:pt idx="237">
                  <c:v>5.9049999999998091E-4</c:v>
                </c:pt>
                <c:pt idx="238">
                  <c:v>5.4681274900396761E-4</c:v>
                </c:pt>
                <c:pt idx="239">
                  <c:v>5.0347222222220844E-4</c:v>
                </c:pt>
                <c:pt idx="240">
                  <c:v>4.1551383399218846E-4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1B51-4335-814D-53B8B9178B55}"/>
            </c:ext>
          </c:extLst>
        </c:ser>
        <c:ser>
          <c:idx val="31"/>
          <c:order val="31"/>
          <c:tx>
            <c:strRef>
              <c:f>'전류편차_24mA(절대값기준)'!$CU$7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'전류편차_24mA(절대값기준)'!$CU$22:$CU$262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-2.2500000000000714E-3</c:v>
                </c:pt>
                <c:pt idx="2">
                  <c:v>-1.2750000000000224E-3</c:v>
                </c:pt>
                <c:pt idx="3">
                  <c:v>2.8906249999994214E-4</c:v>
                </c:pt>
                <c:pt idx="4">
                  <c:v>9.9999999999998463E-4</c:v>
                </c:pt>
                <c:pt idx="5">
                  <c:v>2.2638888888889819E-3</c:v>
                </c:pt>
                <c:pt idx="6">
                  <c:v>4.5921052631578202E-3</c:v>
                </c:pt>
                <c:pt idx="7">
                  <c:v>2.70624999999996E-3</c:v>
                </c:pt>
                <c:pt idx="8">
                  <c:v>3.7083333333332671E-3</c:v>
                </c:pt>
                <c:pt idx="9">
                  <c:v>5.1363636363636047E-3</c:v>
                </c:pt>
                <c:pt idx="10">
                  <c:v>4.9565217391304879E-3</c:v>
                </c:pt>
                <c:pt idx="11">
                  <c:v>3.3697916666666377E-3</c:v>
                </c:pt>
                <c:pt idx="12">
                  <c:v>5.5499999999998988E-3</c:v>
                </c:pt>
                <c:pt idx="13">
                  <c:v>4.0625000000000244E-3</c:v>
                </c:pt>
                <c:pt idx="14">
                  <c:v>4.7916666666665752E-3</c:v>
                </c:pt>
                <c:pt idx="15">
                  <c:v>3.4375000000000239E-3</c:v>
                </c:pt>
                <c:pt idx="16">
                  <c:v>3.7456896551725473E-3</c:v>
                </c:pt>
                <c:pt idx="17">
                  <c:v>4.7916666666666498E-3</c:v>
                </c:pt>
                <c:pt idx="18">
                  <c:v>4.302419354838714E-3</c:v>
                </c:pt>
                <c:pt idx="19">
                  <c:v>4.9101562499999068E-3</c:v>
                </c:pt>
                <c:pt idx="20">
                  <c:v>3.7575757575757625E-3</c:v>
                </c:pt>
                <c:pt idx="21">
                  <c:v>4.3455882352940308E-3</c:v>
                </c:pt>
                <c:pt idx="22">
                  <c:v>5.2249999999999346E-3</c:v>
                </c:pt>
                <c:pt idx="23">
                  <c:v>4.1597222222222469E-3</c:v>
                </c:pt>
                <c:pt idx="24">
                  <c:v>4.074324324324332E-3</c:v>
                </c:pt>
                <c:pt idx="25">
                  <c:v>3.9934210526315697E-3</c:v>
                </c:pt>
                <c:pt idx="26">
                  <c:v>4.5000000000000413E-3</c:v>
                </c:pt>
                <c:pt idx="27">
                  <c:v>4.1281250000000562E-3</c:v>
                </c:pt>
                <c:pt idx="28">
                  <c:v>3.4969512195121726E-3</c:v>
                </c:pt>
                <c:pt idx="29">
                  <c:v>3.1666666666666601E-3</c:v>
                </c:pt>
                <c:pt idx="30">
                  <c:v>2.8517441860465204E-3</c:v>
                </c:pt>
                <c:pt idx="31">
                  <c:v>2.8096590909090853E-3</c:v>
                </c:pt>
                <c:pt idx="32">
                  <c:v>2.7694444444444255E-3</c:v>
                </c:pt>
                <c:pt idx="33">
                  <c:v>2.4836956521740185E-3</c:v>
                </c:pt>
                <c:pt idx="34">
                  <c:v>1.9680851063827998E-3</c:v>
                </c:pt>
                <c:pt idx="35">
                  <c:v>1.4739583333333028E-3</c:v>
                </c:pt>
                <c:pt idx="36">
                  <c:v>2.1607142857143729E-3</c:v>
                </c:pt>
                <c:pt idx="37">
                  <c:v>2.364999999999846E-3</c:v>
                </c:pt>
                <c:pt idx="38">
                  <c:v>2.3382352941175833E-3</c:v>
                </c:pt>
                <c:pt idx="39">
                  <c:v>1.656249999999998E-3</c:v>
                </c:pt>
                <c:pt idx="40">
                  <c:v>2.502358490566025E-3</c:v>
                </c:pt>
                <c:pt idx="41">
                  <c:v>2.2638888888888882E-3</c:v>
                </c:pt>
                <c:pt idx="42">
                  <c:v>2.6545454545454893E-3</c:v>
                </c:pt>
                <c:pt idx="43">
                  <c:v>3.234374999999956E-3</c:v>
                </c:pt>
                <c:pt idx="44">
                  <c:v>2.7960526315790259E-3</c:v>
                </c:pt>
                <c:pt idx="45">
                  <c:v>1.9806034482759281E-3</c:v>
                </c:pt>
                <c:pt idx="46">
                  <c:v>2.5423728813559229E-3</c:v>
                </c:pt>
                <c:pt idx="47">
                  <c:v>2.8958333333333566E-3</c:v>
                </c:pt>
                <c:pt idx="48">
                  <c:v>2.6782786885246241E-3</c:v>
                </c:pt>
                <c:pt idx="49">
                  <c:v>2.6512096774192963E-3</c:v>
                </c:pt>
                <c:pt idx="50">
                  <c:v>2.4444444444443971E-3</c:v>
                </c:pt>
                <c:pt idx="51">
                  <c:v>2.0664062499999043E-3</c:v>
                </c:pt>
                <c:pt idx="52">
                  <c:v>2.574999999999994E-3</c:v>
                </c:pt>
                <c:pt idx="53">
                  <c:v>2.895833333333357E-3</c:v>
                </c:pt>
                <c:pt idx="54">
                  <c:v>2.6977611940297323E-3</c:v>
                </c:pt>
                <c:pt idx="55">
                  <c:v>3.3419117647059062E-3</c:v>
                </c:pt>
                <c:pt idx="56">
                  <c:v>2.8134057971015186E-3</c:v>
                </c:pt>
                <c:pt idx="57">
                  <c:v>2.9499999999998971E-3</c:v>
                </c:pt>
                <c:pt idx="58">
                  <c:v>3.2429577464787992E-3</c:v>
                </c:pt>
                <c:pt idx="59">
                  <c:v>2.4218750000000056E-3</c:v>
                </c:pt>
                <c:pt idx="60">
                  <c:v>2.4023972602739002E-3</c:v>
                </c:pt>
                <c:pt idx="61">
                  <c:v>1.61486486486487E-3</c:v>
                </c:pt>
                <c:pt idx="62">
                  <c:v>1.4550000000000138E-3</c:v>
                </c:pt>
                <c:pt idx="63">
                  <c:v>1.2993421052631799E-3</c:v>
                </c:pt>
                <c:pt idx="64">
                  <c:v>1.4431818181818157E-3</c:v>
                </c:pt>
                <c:pt idx="65">
                  <c:v>1.1458333333334201E-3</c:v>
                </c:pt>
                <c:pt idx="66">
                  <c:v>8.5601265822776577E-4</c:v>
                </c:pt>
                <c:pt idx="67">
                  <c:v>4.3124999999995809E-4</c:v>
                </c:pt>
                <c:pt idx="68">
                  <c:v>1.6975308642097485E-5</c:v>
                </c:pt>
                <c:pt idx="69">
                  <c:v>4.4512195121945637E-4</c:v>
                </c:pt>
                <c:pt idx="70">
                  <c:v>4.5180722891566104E-4</c:v>
                </c:pt>
                <c:pt idx="71">
                  <c:v>3.2291666666655244E-4</c:v>
                </c:pt>
                <c:pt idx="72">
                  <c:v>1.9705882352942533E-4</c:v>
                </c:pt>
                <c:pt idx="73">
                  <c:v>-5.8139534883744224E-5</c:v>
                </c:pt>
                <c:pt idx="74">
                  <c:v>8.4770114942484299E-5</c:v>
                </c:pt>
                <c:pt idx="75">
                  <c:v>2.2443181818186788E-4</c:v>
                </c:pt>
                <c:pt idx="76">
                  <c:v>-2.2471910112345851E-5</c:v>
                </c:pt>
                <c:pt idx="77">
                  <c:v>-1.1111111111160463E-5</c:v>
                </c:pt>
                <c:pt idx="78">
                  <c:v>1.2499999999993072E-4</c:v>
                </c:pt>
                <c:pt idx="79">
                  <c:v>-3.6005434782594291E-4</c:v>
                </c:pt>
                <c:pt idx="80">
                  <c:v>-1.0080645161273992E-4</c:v>
                </c:pt>
                <c:pt idx="81">
                  <c:v>-4.5212765957459538E-4</c:v>
                </c:pt>
                <c:pt idx="82">
                  <c:v>-3.1710526315793401E-4</c:v>
                </c:pt>
                <c:pt idx="83">
                  <c:v>-6.5885416666677799E-4</c:v>
                </c:pt>
                <c:pt idx="84">
                  <c:v>-7.5902061855659625E-4</c:v>
                </c:pt>
                <c:pt idx="85">
                  <c:v>-6.2500000000001844E-4</c:v>
                </c:pt>
                <c:pt idx="86">
                  <c:v>-2.6388888888874716E-4</c:v>
                </c:pt>
                <c:pt idx="87">
                  <c:v>-4.787499999999922E-4</c:v>
                </c:pt>
                <c:pt idx="88">
                  <c:v>-3.5148514851496228E-4</c:v>
                </c:pt>
                <c:pt idx="89">
                  <c:v>-4.4975490196088772E-4</c:v>
                </c:pt>
                <c:pt idx="90">
                  <c:v>-1.0436893203878358E-4</c:v>
                </c:pt>
                <c:pt idx="91">
                  <c:v>-2.0312499999994293E-4</c:v>
                </c:pt>
                <c:pt idx="92">
                  <c:v>-1.9166666666666407E-4</c:v>
                </c:pt>
                <c:pt idx="93">
                  <c:v>-6.0966981132075826E-4</c:v>
                </c:pt>
                <c:pt idx="94">
                  <c:v>-9.1355140186922732E-4</c:v>
                </c:pt>
                <c:pt idx="95">
                  <c:v>-7.9050925925925079E-4</c:v>
                </c:pt>
                <c:pt idx="96">
                  <c:v>-9.8279816513754253E-4</c:v>
                </c:pt>
                <c:pt idx="97">
                  <c:v>-1.3784090909090255E-3</c:v>
                </c:pt>
                <c:pt idx="98">
                  <c:v>-1.4594594594595706E-3</c:v>
                </c:pt>
                <c:pt idx="99">
                  <c:v>-1.5390625000001046E-3</c:v>
                </c:pt>
                <c:pt idx="100">
                  <c:v>-1.9192477876107288E-3</c:v>
                </c:pt>
                <c:pt idx="101">
                  <c:v>-1.6940789473683354E-3</c:v>
                </c:pt>
                <c:pt idx="102">
                  <c:v>-1.6706521739130078E-3</c:v>
                </c:pt>
                <c:pt idx="103">
                  <c:v>-1.7456896551723729E-3</c:v>
                </c:pt>
                <c:pt idx="104">
                  <c:v>-1.7222222222222298E-3</c:v>
                </c:pt>
                <c:pt idx="105">
                  <c:v>-2.0847457627118774E-3</c:v>
                </c:pt>
                <c:pt idx="106">
                  <c:v>-2.0588235294118251E-3</c:v>
                </c:pt>
                <c:pt idx="107">
                  <c:v>-2.1281250000000549E-3</c:v>
                </c:pt>
                <c:pt idx="108">
                  <c:v>-2.1022727272726614E-3</c:v>
                </c:pt>
                <c:pt idx="109">
                  <c:v>-2.0768442622950633E-3</c:v>
                </c:pt>
                <c:pt idx="110">
                  <c:v>-2.2367886178862677E-3</c:v>
                </c:pt>
                <c:pt idx="111">
                  <c:v>-2.2106854838709385E-3</c:v>
                </c:pt>
                <c:pt idx="112">
                  <c:v>-2.458000000000027E-3</c:v>
                </c:pt>
                <c:pt idx="113">
                  <c:v>-2.6111111111110827E-3</c:v>
                </c:pt>
                <c:pt idx="114">
                  <c:v>-2.9409448818897409E-3</c:v>
                </c:pt>
                <c:pt idx="115">
                  <c:v>-3.3544921875000903E-3</c:v>
                </c:pt>
                <c:pt idx="116">
                  <c:v>-3.3207364341085043E-3</c:v>
                </c:pt>
                <c:pt idx="117">
                  <c:v>-3.550000000000031E-3</c:v>
                </c:pt>
                <c:pt idx="118">
                  <c:v>-3.5152671755724388E-3</c:v>
                </c:pt>
                <c:pt idx="119">
                  <c:v>-3.3087121212120271E-3</c:v>
                </c:pt>
                <c:pt idx="120">
                  <c:v>-3.2763157894736333E-3</c:v>
                </c:pt>
                <c:pt idx="121">
                  <c:v>-3.4990671641791054E-3</c:v>
                </c:pt>
                <c:pt idx="122">
                  <c:v>-3.718518518518571E-3</c:v>
                </c:pt>
                <c:pt idx="123">
                  <c:v>-3.6001838235294034E-3</c:v>
                </c:pt>
                <c:pt idx="124">
                  <c:v>-3.6496350364963372E-3</c:v>
                </c:pt>
                <c:pt idx="125">
                  <c:v>-3.8632246376810505E-3</c:v>
                </c:pt>
                <c:pt idx="126">
                  <c:v>-3.8282374100718753E-3</c:v>
                </c:pt>
                <c:pt idx="127">
                  <c:v>-3.9562500000000275E-3</c:v>
                </c:pt>
                <c:pt idx="128">
                  <c:v>-4.2437943262411664E-3</c:v>
                </c:pt>
                <c:pt idx="129">
                  <c:v>-4.4471830985914878E-3</c:v>
                </c:pt>
                <c:pt idx="130">
                  <c:v>-4.5681818181818497E-3</c:v>
                </c:pt>
                <c:pt idx="131">
                  <c:v>-4.9244791666666595E-3</c:v>
                </c:pt>
                <c:pt idx="132">
                  <c:v>-5.0405172413792556E-3</c:v>
                </c:pt>
                <c:pt idx="133">
                  <c:v>-4.9212328767123557E-3</c:v>
                </c:pt>
                <c:pt idx="134">
                  <c:v>-4.8035714285713993E-3</c:v>
                </c:pt>
                <c:pt idx="135">
                  <c:v>-5.1486486486485815E-3</c:v>
                </c:pt>
                <c:pt idx="136">
                  <c:v>-5.1837248322146937E-3</c:v>
                </c:pt>
                <c:pt idx="137">
                  <c:v>-5.2183333333332589E-3</c:v>
                </c:pt>
                <c:pt idx="138">
                  <c:v>-5.3278145695364364E-3</c:v>
                </c:pt>
                <c:pt idx="139">
                  <c:v>-5.4358552631579952E-3</c:v>
                </c:pt>
                <c:pt idx="140">
                  <c:v>-5.4681372549019239E-3</c:v>
                </c:pt>
                <c:pt idx="141">
                  <c:v>-5.4261363636363639E-3</c:v>
                </c:pt>
                <c:pt idx="142">
                  <c:v>-5.6782258064516176E-3</c:v>
                </c:pt>
                <c:pt idx="143">
                  <c:v>-5.6354166666665786E-3</c:v>
                </c:pt>
                <c:pt idx="144">
                  <c:v>-5.9554140127388577E-3</c:v>
                </c:pt>
                <c:pt idx="145">
                  <c:v>-5.9113924050633315E-3</c:v>
                </c:pt>
                <c:pt idx="146">
                  <c:v>-6.0825471698112777E-3</c:v>
                </c:pt>
                <c:pt idx="147">
                  <c:v>-6.4648437500000088E-3</c:v>
                </c:pt>
                <c:pt idx="148">
                  <c:v>-6.4891304347826136E-3</c:v>
                </c:pt>
                <c:pt idx="149">
                  <c:v>-6.6535493827159726E-3</c:v>
                </c:pt>
                <c:pt idx="150">
                  <c:v>-6.6065950920246213E-3</c:v>
                </c:pt>
                <c:pt idx="151">
                  <c:v>-6.8376524390243521E-3</c:v>
                </c:pt>
                <c:pt idx="152">
                  <c:v>-6.7901515151515121E-3</c:v>
                </c:pt>
                <c:pt idx="153">
                  <c:v>-6.6746987951806702E-3</c:v>
                </c:pt>
                <c:pt idx="154">
                  <c:v>-6.7649700598801455E-3</c:v>
                </c:pt>
                <c:pt idx="155">
                  <c:v>-6.9218750000000677E-3</c:v>
                </c:pt>
                <c:pt idx="156">
                  <c:v>-7.0769230769230657E-3</c:v>
                </c:pt>
                <c:pt idx="157">
                  <c:v>-7.2970588235294048E-3</c:v>
                </c:pt>
                <c:pt idx="158">
                  <c:v>-7.3150584795321529E-3</c:v>
                </c:pt>
                <c:pt idx="159">
                  <c:v>-7.2667151162790922E-3</c:v>
                </c:pt>
                <c:pt idx="160">
                  <c:v>-7.4161849710982115E-3</c:v>
                </c:pt>
                <c:pt idx="161">
                  <c:v>-7.5639367816092967E-3</c:v>
                </c:pt>
                <c:pt idx="162">
                  <c:v>-7.6450000000000615E-3</c:v>
                </c:pt>
                <c:pt idx="163">
                  <c:v>-7.8544034090908595E-3</c:v>
                </c:pt>
                <c:pt idx="164">
                  <c:v>-7.8686440677965576E-3</c:v>
                </c:pt>
                <c:pt idx="165">
                  <c:v>-7.8188202247190808E-3</c:v>
                </c:pt>
                <c:pt idx="166">
                  <c:v>-7.6424581005586278E-3</c:v>
                </c:pt>
                <c:pt idx="167">
                  <c:v>-7.7840277777777847E-3</c:v>
                </c:pt>
                <c:pt idx="168">
                  <c:v>-7.861187845303836E-3</c:v>
                </c:pt>
                <c:pt idx="169">
                  <c:v>-7.8125E-3</c:v>
                </c:pt>
                <c:pt idx="170">
                  <c:v>-7.8886612021857542E-3</c:v>
                </c:pt>
                <c:pt idx="171">
                  <c:v>-7.8403532608695582E-3</c:v>
                </c:pt>
                <c:pt idx="172">
                  <c:v>-7.9770270270269495E-3</c:v>
                </c:pt>
                <c:pt idx="173">
                  <c:v>-8.0510752688171972E-3</c:v>
                </c:pt>
                <c:pt idx="174">
                  <c:v>-8.1243315508019876E-3</c:v>
                </c:pt>
                <c:pt idx="175">
                  <c:v>-8.1363031914894208E-3</c:v>
                </c:pt>
                <c:pt idx="176">
                  <c:v>-8.1481481481482047E-3</c:v>
                </c:pt>
                <c:pt idx="177">
                  <c:v>-8.3394736842105858E-3</c:v>
                </c:pt>
                <c:pt idx="178">
                  <c:v>-8.4096858638744738E-3</c:v>
                </c:pt>
                <c:pt idx="179">
                  <c:v>-8.5976562499999205E-3</c:v>
                </c:pt>
                <c:pt idx="180">
                  <c:v>-8.6658031088082798E-3</c:v>
                </c:pt>
                <c:pt idx="181">
                  <c:v>-8.7918814432988903E-3</c:v>
                </c:pt>
                <c:pt idx="182">
                  <c:v>-8.7416666666667222E-3</c:v>
                </c:pt>
                <c:pt idx="183">
                  <c:v>-8.7500000000000511E-3</c:v>
                </c:pt>
                <c:pt idx="184">
                  <c:v>-8.642766497461837E-3</c:v>
                </c:pt>
                <c:pt idx="185">
                  <c:v>-8.651515151515056E-3</c:v>
                </c:pt>
                <c:pt idx="186">
                  <c:v>-8.8316582914571944E-3</c:v>
                </c:pt>
                <c:pt idx="187">
                  <c:v>-8.8393750000001058E-3</c:v>
                </c:pt>
                <c:pt idx="188">
                  <c:v>-8.790422885572172E-3</c:v>
                </c:pt>
                <c:pt idx="189">
                  <c:v>-9.0235148514852537E-3</c:v>
                </c:pt>
                <c:pt idx="190">
                  <c:v>-9.1982758620690747E-3</c:v>
                </c:pt>
                <c:pt idx="191">
                  <c:v>-9.2040441176471643E-3</c:v>
                </c:pt>
                <c:pt idx="192">
                  <c:v>-9.2652439024389962E-3</c:v>
                </c:pt>
                <c:pt idx="193">
                  <c:v>-9.1601941747573128E-3</c:v>
                </c:pt>
                <c:pt idx="194">
                  <c:v>-9.3309178743961694E-3</c:v>
                </c:pt>
                <c:pt idx="195">
                  <c:v>-9.6093749999999756E-3</c:v>
                </c:pt>
                <c:pt idx="196">
                  <c:v>-9.7763157894736642E-3</c:v>
                </c:pt>
                <c:pt idx="197">
                  <c:v>-9.6708333333331772E-3</c:v>
                </c:pt>
                <c:pt idx="198">
                  <c:v>-9.728080568720477E-3</c:v>
                </c:pt>
                <c:pt idx="199">
                  <c:v>-9.6238207547171342E-3</c:v>
                </c:pt>
                <c:pt idx="200">
                  <c:v>-9.7341549295775556E-3</c:v>
                </c:pt>
                <c:pt idx="201">
                  <c:v>-9.8966121495328036E-3</c:v>
                </c:pt>
                <c:pt idx="202">
                  <c:v>-9.8988372093024163E-3</c:v>
                </c:pt>
                <c:pt idx="203">
                  <c:v>-9.9010416666667541E-3</c:v>
                </c:pt>
                <c:pt idx="204">
                  <c:v>-1.0060483870967646E-2</c:v>
                </c:pt>
                <c:pt idx="205">
                  <c:v>-1.0218463302752201E-2</c:v>
                </c:pt>
                <c:pt idx="206">
                  <c:v>-1.0167237442922401E-2</c:v>
                </c:pt>
                <c:pt idx="207">
                  <c:v>-1.0374999999999909E-2</c:v>
                </c:pt>
                <c:pt idx="208">
                  <c:v>-1.0529411764705794E-2</c:v>
                </c:pt>
                <c:pt idx="209">
                  <c:v>-1.0528716216216306E-2</c:v>
                </c:pt>
                <c:pt idx="210">
                  <c:v>-1.0630044843049358E-2</c:v>
                </c:pt>
                <c:pt idx="211">
                  <c:v>-1.0578124999999966E-2</c:v>
                </c:pt>
                <c:pt idx="212">
                  <c:v>-1.0779444444444475E-2</c:v>
                </c:pt>
                <c:pt idx="213">
                  <c:v>-1.0576327433628279E-2</c:v>
                </c:pt>
                <c:pt idx="214">
                  <c:v>-1.0575440528634319E-2</c:v>
                </c:pt>
                <c:pt idx="215">
                  <c:v>-1.0674342105263235E-2</c:v>
                </c:pt>
                <c:pt idx="216">
                  <c:v>-1.062336244541486E-2</c:v>
                </c:pt>
                <c:pt idx="217">
                  <c:v>-1.0523369565217282E-2</c:v>
                </c:pt>
                <c:pt idx="218">
                  <c:v>-1.0571969696969646E-2</c:v>
                </c:pt>
                <c:pt idx="219">
                  <c:v>-1.0473060344827586E-2</c:v>
                </c:pt>
                <c:pt idx="220">
                  <c:v>-1.0374999999999877E-2</c:v>
                </c:pt>
                <c:pt idx="221">
                  <c:v>-1.0569444444444557E-2</c:v>
                </c:pt>
                <c:pt idx="222">
                  <c:v>-1.0568617021276705E-2</c:v>
                </c:pt>
                <c:pt idx="223">
                  <c:v>-1.0664194915254289E-2</c:v>
                </c:pt>
                <c:pt idx="224">
                  <c:v>-1.0662974683544353E-2</c:v>
                </c:pt>
                <c:pt idx="225">
                  <c:v>-1.0805147058823582E-2</c:v>
                </c:pt>
                <c:pt idx="226">
                  <c:v>-1.0755753138075305E-2</c:v>
                </c:pt>
                <c:pt idx="227">
                  <c:v>-1.0801562500000047E-2</c:v>
                </c:pt>
                <c:pt idx="228">
                  <c:v>-1.0894190871369287E-2</c:v>
                </c:pt>
                <c:pt idx="229">
                  <c:v>-1.0892045454545444E-2</c:v>
                </c:pt>
                <c:pt idx="230">
                  <c:v>-1.0843106995884703E-2</c:v>
                </c:pt>
                <c:pt idx="231">
                  <c:v>-1.0841188524590092E-2</c:v>
                </c:pt>
                <c:pt idx="232">
                  <c:v>-1.0792857142857175E-2</c:v>
                </c:pt>
                <c:pt idx="233">
                  <c:v>-1.0976117886178952E-2</c:v>
                </c:pt>
                <c:pt idx="234">
                  <c:v>-1.0789473684210554E-2</c:v>
                </c:pt>
                <c:pt idx="235">
                  <c:v>-1.0879536290322555E-2</c:v>
                </c:pt>
                <c:pt idx="236">
                  <c:v>-1.0923192771084365E-2</c:v>
                </c:pt>
                <c:pt idx="237">
                  <c:v>-1.1057500000000029E-2</c:v>
                </c:pt>
                <c:pt idx="238">
                  <c:v>-1.1100099601593546E-2</c:v>
                </c:pt>
                <c:pt idx="239">
                  <c:v>-1.1142361111111086E-2</c:v>
                </c:pt>
                <c:pt idx="240">
                  <c:v>-1.122924901185763E-2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1B51-4335-814D-53B8B9178B55}"/>
            </c:ext>
          </c:extLst>
        </c:ser>
        <c:ser>
          <c:idx val="32"/>
          <c:order val="32"/>
          <c:tx>
            <c:strRef>
              <c:f>'전류편차_24mA(절대값기준)'!$CV$7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'전류편차_24mA(절대값기준)'!$CV$22:$CV$262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1.7583333333333136E-3</c:v>
                </c:pt>
                <c:pt idx="3">
                  <c:v>1.7109374999999432E-3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5.4499999999984444E-4</c:v>
                </c:pt>
                <c:pt idx="13">
                  <c:v>9.9999999999997313E-4</c:v>
                </c:pt>
                <c:pt idx="14">
                  <c:v>1.8425925925926385E-3</c:v>
                </c:pt>
                <c:pt idx="15">
                  <c:v>1.4062499999998868E-3</c:v>
                </c:pt>
                <c:pt idx="16">
                  <c:v>1.3922413793103887E-3</c:v>
                </c:pt>
                <c:pt idx="17">
                  <c:v>1.0000000000000638E-3</c:v>
                </c:pt>
                <c:pt idx="18">
                  <c:v>1.0000000000000421E-3</c:v>
                </c:pt>
                <c:pt idx="19">
                  <c:v>9.9999999999986385E-4</c:v>
                </c:pt>
                <c:pt idx="20">
                  <c:v>1.0000000000000026E-3</c:v>
                </c:pt>
                <c:pt idx="21">
                  <c:v>9.9999999999998463E-4</c:v>
                </c:pt>
                <c:pt idx="22">
                  <c:v>1.6499999999998959E-3</c:v>
                </c:pt>
                <c:pt idx="23">
                  <c:v>1.000000000000092E-3</c:v>
                </c:pt>
                <c:pt idx="24">
                  <c:v>6.9256756756753783E-4</c:v>
                </c:pt>
                <c:pt idx="25">
                  <c:v>1.2993421052631799E-3</c:v>
                </c:pt>
                <c:pt idx="26">
                  <c:v>4.1666666666676883E-4</c:v>
                </c:pt>
                <c:pt idx="27">
                  <c:v>4.3124999999995809E-4</c:v>
                </c:pt>
                <c:pt idx="28">
                  <c:v>1.2774390243902197E-3</c:v>
                </c:pt>
                <c:pt idx="29">
                  <c:v>1.2708333333332951E-3</c:v>
                </c:pt>
                <c:pt idx="30">
                  <c:v>9.9999999999997769E-4</c:v>
                </c:pt>
                <c:pt idx="31">
                  <c:v>9.9999999999996424E-4</c:v>
                </c:pt>
                <c:pt idx="32">
                  <c:v>7.4722222222220155E-4</c:v>
                </c:pt>
                <c:pt idx="33">
                  <c:v>5.054347826087993E-4</c:v>
                </c:pt>
                <c:pt idx="34">
                  <c:v>5.1595744680849151E-4</c:v>
                </c:pt>
                <c:pt idx="35">
                  <c:v>2.8906249999999478E-4</c:v>
                </c:pt>
                <c:pt idx="36">
                  <c:v>3.0357142857151409E-4</c:v>
                </c:pt>
                <c:pt idx="37">
                  <c:v>8.9999999999894608E-5</c:v>
                </c:pt>
                <c:pt idx="38">
                  <c:v>5.539215686273856E-4</c:v>
                </c:pt>
                <c:pt idx="39">
                  <c:v>1.250000000000695E-4</c:v>
                </c:pt>
                <c:pt idx="40">
                  <c:v>3.5613207547154053E-4</c:v>
                </c:pt>
                <c:pt idx="41">
                  <c:v>-5.3240740740766744E-5</c:v>
                </c:pt>
                <c:pt idx="42">
                  <c:v>-2.4090909090910477E-4</c:v>
                </c:pt>
                <c:pt idx="43">
                  <c:v>-4.2187500000000211E-4</c:v>
                </c:pt>
                <c:pt idx="44">
                  <c:v>2.0175438596483359E-4</c:v>
                </c:pt>
                <c:pt idx="45">
                  <c:v>4.1163793103454754E-4</c:v>
                </c:pt>
                <c:pt idx="46">
                  <c:v>6.14406779661049E-4</c:v>
                </c:pt>
                <c:pt idx="47">
                  <c:v>-1.374999999999793E-4</c:v>
                </c:pt>
                <c:pt idx="48">
                  <c:v>6.7622950819827587E-5</c:v>
                </c:pt>
                <c:pt idx="49">
                  <c:v>-1.0080645161290286E-4</c:v>
                </c:pt>
                <c:pt idx="50">
                  <c:v>-8.3333333333262478E-5</c:v>
                </c:pt>
                <c:pt idx="51">
                  <c:v>-4.2187500000013736E-4</c:v>
                </c:pt>
                <c:pt idx="52">
                  <c:v>-7.5000000000002842E-4</c:v>
                </c:pt>
                <c:pt idx="53">
                  <c:v>-5.5113636363626674E-4</c:v>
                </c:pt>
                <c:pt idx="54">
                  <c:v>-5.2798507462700555E-4</c:v>
                </c:pt>
                <c:pt idx="55">
                  <c:v>-5.0551470588242541E-4</c:v>
                </c:pt>
                <c:pt idx="56">
                  <c:v>-6.4855072463759691E-4</c:v>
                </c:pt>
                <c:pt idx="57">
                  <c:v>-9.5000000000010625E-4</c:v>
                </c:pt>
                <c:pt idx="58">
                  <c:v>-1.2429577464788803E-3</c:v>
                </c:pt>
                <c:pt idx="59">
                  <c:v>-1.2118055555555007E-3</c:v>
                </c:pt>
                <c:pt idx="60">
                  <c:v>-1.1815068493150919E-3</c:v>
                </c:pt>
                <c:pt idx="61">
                  <c:v>-6.9087837837832403E-4</c:v>
                </c:pt>
                <c:pt idx="62">
                  <c:v>-6.6833333333322052E-4</c:v>
                </c:pt>
                <c:pt idx="63">
                  <c:v>-6.4638157894746442E-4</c:v>
                </c:pt>
                <c:pt idx="64">
                  <c:v>-9.2045454545455004E-4</c:v>
                </c:pt>
                <c:pt idx="65">
                  <c:v>-8.9583333333328097E-4</c:v>
                </c:pt>
                <c:pt idx="66">
                  <c:v>-1.1598101265822666E-3</c:v>
                </c:pt>
                <c:pt idx="67">
                  <c:v>-1.4171875000000278E-3</c:v>
                </c:pt>
                <c:pt idx="68">
                  <c:v>-1.6682098765431516E-3</c:v>
                </c:pt>
                <c:pt idx="69">
                  <c:v>-1.7743902439024968E-3</c:v>
                </c:pt>
                <c:pt idx="70">
                  <c:v>-1.7409638554216904E-3</c:v>
                </c:pt>
                <c:pt idx="71">
                  <c:v>-1.7083333333334041E-3</c:v>
                </c:pt>
                <c:pt idx="72">
                  <c:v>-1.8102941176471213E-3</c:v>
                </c:pt>
                <c:pt idx="73">
                  <c:v>-1.9098837209301695E-3</c:v>
                </c:pt>
                <c:pt idx="74">
                  <c:v>-2.3994252873563828E-3</c:v>
                </c:pt>
                <c:pt idx="75">
                  <c:v>-2.3607954545454644E-3</c:v>
                </c:pt>
                <c:pt idx="76">
                  <c:v>-1.9396067415729792E-3</c:v>
                </c:pt>
                <c:pt idx="77">
                  <c:v>-1.9069444444444533E-3</c:v>
                </c:pt>
                <c:pt idx="78">
                  <c:v>-1.7500000000000293E-3</c:v>
                </c:pt>
                <c:pt idx="79">
                  <c:v>-1.4728260869564199E-3</c:v>
                </c:pt>
                <c:pt idx="80">
                  <c:v>-1.8131720430107268E-3</c:v>
                </c:pt>
                <c:pt idx="81">
                  <c:v>-1.7832446808510982E-3</c:v>
                </c:pt>
                <c:pt idx="82">
                  <c:v>-1.9934210526315397E-3</c:v>
                </c:pt>
                <c:pt idx="83">
                  <c:v>-2.0807291666666214E-3</c:v>
                </c:pt>
                <c:pt idx="84">
                  <c:v>-2.0489690721649618E-3</c:v>
                </c:pt>
                <c:pt idx="85">
                  <c:v>-2.1339285714285783E-3</c:v>
                </c:pt>
                <c:pt idx="86">
                  <c:v>-2.2171717171717178E-3</c:v>
                </c:pt>
                <c:pt idx="87">
                  <c:v>-2.4125000000001329E-3</c:v>
                </c:pt>
                <c:pt idx="88">
                  <c:v>-2.4913366336634913E-3</c:v>
                </c:pt>
                <c:pt idx="89">
                  <c:v>-2.5686274509803117E-3</c:v>
                </c:pt>
                <c:pt idx="90">
                  <c:v>-2.86529126213591E-3</c:v>
                </c:pt>
                <c:pt idx="91">
                  <c:v>-2.6093749999999694E-3</c:v>
                </c:pt>
                <c:pt idx="92">
                  <c:v>-2.4666666666665581E-3</c:v>
                </c:pt>
                <c:pt idx="93">
                  <c:v>-2.3266509433962313E-3</c:v>
                </c:pt>
                <c:pt idx="94">
                  <c:v>-2.5081775700935868E-3</c:v>
                </c:pt>
                <c:pt idx="95">
                  <c:v>-2.3703703703704219E-3</c:v>
                </c:pt>
                <c:pt idx="96">
                  <c:v>-2.3394495412843211E-3</c:v>
                </c:pt>
                <c:pt idx="97">
                  <c:v>-2.3090909090908792E-3</c:v>
                </c:pt>
                <c:pt idx="98">
                  <c:v>-2.586711711711744E-3</c:v>
                </c:pt>
                <c:pt idx="99">
                  <c:v>-2.6562500000000266E-3</c:v>
                </c:pt>
                <c:pt idx="100">
                  <c:v>-2.825221238938018E-3</c:v>
                </c:pt>
                <c:pt idx="101">
                  <c:v>-3.0910087719298509E-3</c:v>
                </c:pt>
                <c:pt idx="102">
                  <c:v>-3.1543478260869771E-3</c:v>
                </c:pt>
                <c:pt idx="103">
                  <c:v>-3.2165948275862219E-3</c:v>
                </c:pt>
                <c:pt idx="104">
                  <c:v>-3.1805555555556183E-3</c:v>
                </c:pt>
                <c:pt idx="105">
                  <c:v>-3.4343220338984262E-3</c:v>
                </c:pt>
                <c:pt idx="106">
                  <c:v>-3.7794117647058385E-3</c:v>
                </c:pt>
                <c:pt idx="107">
                  <c:v>-3.6447916666667228E-3</c:v>
                </c:pt>
                <c:pt idx="108">
                  <c:v>-3.5123966942148636E-3</c:v>
                </c:pt>
                <c:pt idx="109">
                  <c:v>-3.568647540983589E-3</c:v>
                </c:pt>
                <c:pt idx="110">
                  <c:v>-3.5315040650406786E-3</c:v>
                </c:pt>
                <c:pt idx="111">
                  <c:v>-3.3114919354838837E-3</c:v>
                </c:pt>
                <c:pt idx="112">
                  <c:v>-3.4589999999999569E-3</c:v>
                </c:pt>
                <c:pt idx="113">
                  <c:v>-3.3333333333333856E-3</c:v>
                </c:pt>
                <c:pt idx="114">
                  <c:v>-3.4783464566929107E-3</c:v>
                </c:pt>
                <c:pt idx="115">
                  <c:v>-3.5322265625001496E-3</c:v>
                </c:pt>
                <c:pt idx="116">
                  <c:v>-3.5852713178294443E-3</c:v>
                </c:pt>
                <c:pt idx="117">
                  <c:v>-3.8999999999999924E-3</c:v>
                </c:pt>
                <c:pt idx="118">
                  <c:v>-3.9494274809160181E-3</c:v>
                </c:pt>
                <c:pt idx="119">
                  <c:v>-4.1704545454545857E-3</c:v>
                </c:pt>
                <c:pt idx="120">
                  <c:v>-4.2171052631577782E-3</c:v>
                </c:pt>
                <c:pt idx="121">
                  <c:v>-4.3479477611941637E-3</c:v>
                </c:pt>
                <c:pt idx="122">
                  <c:v>-4.561111111111146E-3</c:v>
                </c:pt>
                <c:pt idx="123">
                  <c:v>-4.6874999999999833E-3</c:v>
                </c:pt>
                <c:pt idx="124">
                  <c:v>-4.5629562043794855E-3</c:v>
                </c:pt>
                <c:pt idx="125">
                  <c:v>-4.357789855072374E-3</c:v>
                </c:pt>
                <c:pt idx="126">
                  <c:v>-4.4829136690647539E-3</c:v>
                </c:pt>
                <c:pt idx="127">
                  <c:v>-4.5250000000000012E-3</c:v>
                </c:pt>
                <c:pt idx="128">
                  <c:v>-4.5664893617021239E-3</c:v>
                </c:pt>
                <c:pt idx="129">
                  <c:v>-4.5272887323944029E-3</c:v>
                </c:pt>
                <c:pt idx="130">
                  <c:v>-4.488636363636298E-3</c:v>
                </c:pt>
                <c:pt idx="131">
                  <c:v>-4.6085069444443318E-3</c:v>
                </c:pt>
                <c:pt idx="132">
                  <c:v>-4.8051724137930397E-3</c:v>
                </c:pt>
                <c:pt idx="133">
                  <c:v>-4.8433219178082888E-3</c:v>
                </c:pt>
                <c:pt idx="134">
                  <c:v>-5.1130952380953115E-3</c:v>
                </c:pt>
                <c:pt idx="135">
                  <c:v>-5.1486486486485815E-3</c:v>
                </c:pt>
                <c:pt idx="136">
                  <c:v>-5.3364093959731339E-3</c:v>
                </c:pt>
                <c:pt idx="137">
                  <c:v>-5.445833333333267E-3</c:v>
                </c:pt>
                <c:pt idx="138">
                  <c:v>-5.7044701986755687E-3</c:v>
                </c:pt>
                <c:pt idx="139">
                  <c:v>-5.8848684210526161E-3</c:v>
                </c:pt>
                <c:pt idx="140">
                  <c:v>-5.7655228758170564E-3</c:v>
                </c:pt>
                <c:pt idx="141">
                  <c:v>-5.8693181818181995E-3</c:v>
                </c:pt>
                <c:pt idx="142">
                  <c:v>-5.6048387096773343E-3</c:v>
                </c:pt>
                <c:pt idx="143">
                  <c:v>-5.562499999999952E-3</c:v>
                </c:pt>
                <c:pt idx="144">
                  <c:v>-5.4482484076433402E-3</c:v>
                </c:pt>
                <c:pt idx="145">
                  <c:v>-5.4074367088608232E-3</c:v>
                </c:pt>
                <c:pt idx="146">
                  <c:v>-5.3671383647798466E-3</c:v>
                </c:pt>
                <c:pt idx="147">
                  <c:v>-5.3273437500000074E-3</c:v>
                </c:pt>
                <c:pt idx="148">
                  <c:v>-5.288043478260787E-3</c:v>
                </c:pt>
                <c:pt idx="149">
                  <c:v>-5.3194444444443585E-3</c:v>
                </c:pt>
                <c:pt idx="150">
                  <c:v>-5.3504601226994205E-3</c:v>
                </c:pt>
                <c:pt idx="151">
                  <c:v>-5.3810975609756397E-3</c:v>
                </c:pt>
                <c:pt idx="152">
                  <c:v>-5.5492424242423741E-3</c:v>
                </c:pt>
                <c:pt idx="153">
                  <c:v>-5.5783132530119947E-3</c:v>
                </c:pt>
                <c:pt idx="154">
                  <c:v>-5.7432634730538801E-3</c:v>
                </c:pt>
                <c:pt idx="155">
                  <c:v>-5.7708333333334376E-3</c:v>
                </c:pt>
                <c:pt idx="156">
                  <c:v>-5.5961538461539381E-3</c:v>
                </c:pt>
                <c:pt idx="157">
                  <c:v>-5.5573529411764768E-3</c:v>
                </c:pt>
                <c:pt idx="158">
                  <c:v>-5.4524853801169171E-3</c:v>
                </c:pt>
                <c:pt idx="159">
                  <c:v>-5.3488372093023536E-3</c:v>
                </c:pt>
                <c:pt idx="160">
                  <c:v>-5.3121387283236437E-3</c:v>
                </c:pt>
                <c:pt idx="161">
                  <c:v>-5.2758620689656094E-3</c:v>
                </c:pt>
                <c:pt idx="162">
                  <c:v>-5.2400000000000085E-3</c:v>
                </c:pt>
                <c:pt idx="163">
                  <c:v>-5.0752840909090886E-3</c:v>
                </c:pt>
                <c:pt idx="164">
                  <c:v>-4.9124293785310609E-3</c:v>
                </c:pt>
                <c:pt idx="165">
                  <c:v>-5.0070224719100604E-3</c:v>
                </c:pt>
                <c:pt idx="166">
                  <c:v>-5.0370111731843029E-3</c:v>
                </c:pt>
                <c:pt idx="167">
                  <c:v>-5.1930555555555393E-3</c:v>
                </c:pt>
                <c:pt idx="168">
                  <c:v>-5.1588397790055399E-3</c:v>
                </c:pt>
                <c:pt idx="169">
                  <c:v>-5.2499999999999769E-3</c:v>
                </c:pt>
                <c:pt idx="170">
                  <c:v>-5.4644808743169208E-3</c:v>
                </c:pt>
                <c:pt idx="171">
                  <c:v>-5.491168478260847E-3</c:v>
                </c:pt>
                <c:pt idx="172">
                  <c:v>-5.3945945945946365E-3</c:v>
                </c:pt>
                <c:pt idx="173">
                  <c:v>-5.2379032258064832E-3</c:v>
                </c:pt>
                <c:pt idx="174">
                  <c:v>-5.326203208556036E-3</c:v>
                </c:pt>
                <c:pt idx="175">
                  <c:v>-5.1715425531915797E-3</c:v>
                </c:pt>
                <c:pt idx="176">
                  <c:v>-5.0185185185185983E-3</c:v>
                </c:pt>
                <c:pt idx="177">
                  <c:v>-5.1065789473685704E-3</c:v>
                </c:pt>
                <c:pt idx="178">
                  <c:v>-5.1341623036650673E-3</c:v>
                </c:pt>
                <c:pt idx="179">
                  <c:v>-5.1022135416667362E-3</c:v>
                </c:pt>
                <c:pt idx="180">
                  <c:v>-5.1295336787565418E-3</c:v>
                </c:pt>
                <c:pt idx="181">
                  <c:v>-4.9806701030928385E-3</c:v>
                </c:pt>
                <c:pt idx="182">
                  <c:v>-5.0666666666665822E-3</c:v>
                </c:pt>
                <c:pt idx="183">
                  <c:v>-5.1517857142856982E-3</c:v>
                </c:pt>
                <c:pt idx="184">
                  <c:v>-5.2937817258882419E-3</c:v>
                </c:pt>
                <c:pt idx="185">
                  <c:v>-5.3768939393939235E-3</c:v>
                </c:pt>
                <c:pt idx="186">
                  <c:v>-5.573492462311546E-3</c:v>
                </c:pt>
                <c:pt idx="187">
                  <c:v>-5.5974999999999836E-3</c:v>
                </c:pt>
                <c:pt idx="188">
                  <c:v>-5.5646766169155353E-3</c:v>
                </c:pt>
                <c:pt idx="189">
                  <c:v>-5.5321782178218227E-3</c:v>
                </c:pt>
                <c:pt idx="190">
                  <c:v>-5.4999999999999685E-3</c:v>
                </c:pt>
                <c:pt idx="191">
                  <c:v>-5.5238970588234945E-3</c:v>
                </c:pt>
                <c:pt idx="192">
                  <c:v>-5.4920731707317995E-3</c:v>
                </c:pt>
                <c:pt idx="193">
                  <c:v>-5.4605582524272058E-3</c:v>
                </c:pt>
                <c:pt idx="194">
                  <c:v>-5.3743961352655844E-3</c:v>
                </c:pt>
                <c:pt idx="195">
                  <c:v>-5.4531249999999476E-3</c:v>
                </c:pt>
                <c:pt idx="196">
                  <c:v>-5.4222488038276296E-3</c:v>
                </c:pt>
                <c:pt idx="197">
                  <c:v>-5.4458333333332097E-3</c:v>
                </c:pt>
                <c:pt idx="198">
                  <c:v>-5.415284360189572E-3</c:v>
                </c:pt>
                <c:pt idx="199">
                  <c:v>-5.4386792452830145E-3</c:v>
                </c:pt>
                <c:pt idx="200">
                  <c:v>-5.5152582159624991E-3</c:v>
                </c:pt>
                <c:pt idx="201">
                  <c:v>-5.5379672897196809E-3</c:v>
                </c:pt>
                <c:pt idx="202">
                  <c:v>-5.6662790697674346E-3</c:v>
                </c:pt>
                <c:pt idx="203">
                  <c:v>-5.8460648148148109E-3</c:v>
                </c:pt>
                <c:pt idx="204">
                  <c:v>-5.8145161290321873E-3</c:v>
                </c:pt>
                <c:pt idx="205">
                  <c:v>-5.8354357798164405E-3</c:v>
                </c:pt>
                <c:pt idx="206">
                  <c:v>-5.8042237442922822E-3</c:v>
                </c:pt>
                <c:pt idx="207">
                  <c:v>-5.6698863636362165E-3</c:v>
                </c:pt>
                <c:pt idx="208">
                  <c:v>-5.6397058823529113E-3</c:v>
                </c:pt>
                <c:pt idx="209">
                  <c:v>-5.6097972972973835E-3</c:v>
                </c:pt>
                <c:pt idx="210">
                  <c:v>-5.6311659192825941E-3</c:v>
                </c:pt>
                <c:pt idx="211">
                  <c:v>-5.601562500000018E-3</c:v>
                </c:pt>
                <c:pt idx="212">
                  <c:v>-5.7238888888888478E-3</c:v>
                </c:pt>
                <c:pt idx="213">
                  <c:v>-5.7444690265486291E-3</c:v>
                </c:pt>
                <c:pt idx="214">
                  <c:v>-5.814977973568297E-3</c:v>
                </c:pt>
                <c:pt idx="215">
                  <c:v>-5.73519736842112E-3</c:v>
                </c:pt>
                <c:pt idx="216">
                  <c:v>-5.8051310043667611E-3</c:v>
                </c:pt>
                <c:pt idx="217">
                  <c:v>-5.9239130434781519E-3</c:v>
                </c:pt>
                <c:pt idx="218">
                  <c:v>-5.9924242424241915E-3</c:v>
                </c:pt>
                <c:pt idx="219">
                  <c:v>-6.1093749999998927E-3</c:v>
                </c:pt>
                <c:pt idx="220">
                  <c:v>-6.1276824034333663E-3</c:v>
                </c:pt>
                <c:pt idx="221">
                  <c:v>-6.1458333333333929E-3</c:v>
                </c:pt>
                <c:pt idx="222">
                  <c:v>-6.1154255319148913E-3</c:v>
                </c:pt>
                <c:pt idx="223">
                  <c:v>-6.1334745762711817E-3</c:v>
                </c:pt>
                <c:pt idx="224">
                  <c:v>-6.2473628691984218E-3</c:v>
                </c:pt>
                <c:pt idx="225">
                  <c:v>-6.2169117647059308E-3</c:v>
                </c:pt>
                <c:pt idx="226">
                  <c:v>-6.2343096234310077E-3</c:v>
                </c:pt>
                <c:pt idx="227">
                  <c:v>-6.2515625000000427E-3</c:v>
                </c:pt>
                <c:pt idx="228">
                  <c:v>-6.2214730290456252E-3</c:v>
                </c:pt>
                <c:pt idx="229">
                  <c:v>-6.2386363636363438E-3</c:v>
                </c:pt>
                <c:pt idx="230">
                  <c:v>-6.3492798353908721E-3</c:v>
                </c:pt>
                <c:pt idx="231">
                  <c:v>-6.3657786885245133E-3</c:v>
                </c:pt>
                <c:pt idx="232">
                  <c:v>-6.2428571428572227E-3</c:v>
                </c:pt>
                <c:pt idx="233">
                  <c:v>-6.3058943089432228E-3</c:v>
                </c:pt>
                <c:pt idx="234">
                  <c:v>-6.4144736842106052E-3</c:v>
                </c:pt>
                <c:pt idx="235">
                  <c:v>-6.5221774193548639E-3</c:v>
                </c:pt>
                <c:pt idx="236">
                  <c:v>-6.4006024096385722E-3</c:v>
                </c:pt>
                <c:pt idx="237">
                  <c:v>-6.5074999999999647E-3</c:v>
                </c:pt>
                <c:pt idx="238">
                  <c:v>-6.5229083665338267E-3</c:v>
                </c:pt>
                <c:pt idx="239">
                  <c:v>-6.5381944444444047E-3</c:v>
                </c:pt>
                <c:pt idx="240">
                  <c:v>-6.5083992094860689E-3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1B51-4335-814D-53B8B9178B55}"/>
            </c:ext>
          </c:extLst>
        </c:ser>
        <c:ser>
          <c:idx val="33"/>
          <c:order val="33"/>
          <c:tx>
            <c:strRef>
              <c:f>'전류편차_24mA(절대값기준)'!$CW$7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'전류편차_24mA(절대값기준)'!$CW$22:$CW$262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9.999999999999315E-4</c:v>
                </c:pt>
                <c:pt idx="2">
                  <c:v>-5.1666666666660423E-4</c:v>
                </c:pt>
                <c:pt idx="3">
                  <c:v>-1.1328125000000591E-3</c:v>
                </c:pt>
                <c:pt idx="4">
                  <c:v>-1.0073529411764135E-3</c:v>
                </c:pt>
                <c:pt idx="5">
                  <c:v>-2.6388888888879817E-4</c:v>
                </c:pt>
                <c:pt idx="6">
                  <c:v>-1.3947368421053433E-3</c:v>
                </c:pt>
                <c:pt idx="7">
                  <c:v>-7.06250000000043E-4</c:v>
                </c:pt>
                <c:pt idx="8">
                  <c:v>-2.2500000000000111E-3</c:v>
                </c:pt>
                <c:pt idx="9">
                  <c:v>-2.1022727272727655E-3</c:v>
                </c:pt>
                <c:pt idx="10">
                  <c:v>-9.7826086956516998E-4</c:v>
                </c:pt>
                <c:pt idx="11">
                  <c:v>-8.9583333333331328E-4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1.5740740740745175E-4</c:v>
                </c:pt>
                <c:pt idx="15">
                  <c:v>1.8750000000002098E-4</c:v>
                </c:pt>
                <c:pt idx="16">
                  <c:v>-1.7672413793099205E-4</c:v>
                </c:pt>
                <c:pt idx="17">
                  <c:v>-1.374999999999793E-4</c:v>
                </c:pt>
                <c:pt idx="18">
                  <c:v>-1.0080645161290286E-4</c:v>
                </c:pt>
                <c:pt idx="19">
                  <c:v>-4.2187500000013736E-4</c:v>
                </c:pt>
                <c:pt idx="20">
                  <c:v>-7.2348484848480915E-4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-1.8437500000000159E-3</c:v>
                </c:pt>
                <c:pt idx="24">
                  <c:v>-1.7668918918919238E-3</c:v>
                </c:pt>
                <c:pt idx="25">
                  <c:v>-1.9934210526315931E-3</c:v>
                </c:pt>
                <c:pt idx="26">
                  <c:v>-1.041666666666663E-3</c:v>
                </c:pt>
                <c:pt idx="27">
                  <c:v>-1.374999999999793E-4</c:v>
                </c:pt>
                <c:pt idx="28">
                  <c:v>-3.8719512195118364E-4</c:v>
                </c:pt>
                <c:pt idx="29">
                  <c:v>-8.3333333333342655E-5</c:v>
                </c:pt>
                <c:pt idx="30">
                  <c:v>4.7093023255817545E-4</c:v>
                </c:pt>
                <c:pt idx="31">
                  <c:v>7.4147727272726551E-4</c:v>
                </c:pt>
                <c:pt idx="32">
                  <c:v>7.4722222222220155E-4</c:v>
                </c:pt>
                <c:pt idx="33">
                  <c:v>7.5271739130431444E-4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1.0000000000001119E-3</c:v>
                </c:pt>
                <c:pt idx="37">
                  <c:v>7.7249999999992039E-4</c:v>
                </c:pt>
                <c:pt idx="38">
                  <c:v>7.7696078431373455E-4</c:v>
                </c:pt>
                <c:pt idx="39">
                  <c:v>7.8125000000009437E-4</c:v>
                </c:pt>
                <c:pt idx="40">
                  <c:v>3.5613207547154053E-4</c:v>
                </c:pt>
                <c:pt idx="41">
                  <c:v>-5.3240740740766744E-5</c:v>
                </c:pt>
                <c:pt idx="42">
                  <c:v>3.7954545454546427E-4</c:v>
                </c:pt>
                <c:pt idx="43">
                  <c:v>3.9062499999990841E-4</c:v>
                </c:pt>
                <c:pt idx="44">
                  <c:v>4.0131578947367216E-4</c:v>
                </c:pt>
                <c:pt idx="45">
                  <c:v>4.1163793103454754E-4</c:v>
                </c:pt>
                <c:pt idx="46">
                  <c:v>6.14406779661049E-4</c:v>
                </c:pt>
                <c:pt idx="47">
                  <c:v>6.2083333333327049E-4</c:v>
                </c:pt>
                <c:pt idx="48">
                  <c:v>6.2704918032787987E-4</c:v>
                </c:pt>
                <c:pt idx="49">
                  <c:v>4.4959677419356957E-4</c:v>
                </c:pt>
                <c:pt idx="50">
                  <c:v>4.5833333333342472E-4</c:v>
                </c:pt>
                <c:pt idx="51">
                  <c:v>2.8906249999994214E-4</c:v>
                </c:pt>
                <c:pt idx="52">
                  <c:v>-4.9999999999950082E-5</c:v>
                </c:pt>
                <c:pt idx="53">
                  <c:v>-2.0643939393933503E-4</c:v>
                </c:pt>
                <c:pt idx="54">
                  <c:v>-3.5820895522396373E-4</c:v>
                </c:pt>
                <c:pt idx="55">
                  <c:v>-8.4007352941180031E-4</c:v>
                </c:pt>
                <c:pt idx="56">
                  <c:v>-1.14311594202892E-3</c:v>
                </c:pt>
                <c:pt idx="57">
                  <c:v>-1.2750000000000703E-3</c:v>
                </c:pt>
                <c:pt idx="58">
                  <c:v>-1.0827464788731929E-3</c:v>
                </c:pt>
                <c:pt idx="59">
                  <c:v>-1.0538194444443369E-3</c:v>
                </c:pt>
                <c:pt idx="60">
                  <c:v>-8.6986301369868793E-4</c:v>
                </c:pt>
                <c:pt idx="61">
                  <c:v>-1.1520270270269902E-3</c:v>
                </c:pt>
                <c:pt idx="62">
                  <c:v>-9.7166666666665519E-4</c:v>
                </c:pt>
                <c:pt idx="63">
                  <c:v>-1.2450657894737143E-3</c:v>
                </c:pt>
                <c:pt idx="64">
                  <c:v>-1.0681818181818722E-3</c:v>
                </c:pt>
                <c:pt idx="65">
                  <c:v>-1.041666666666663E-3</c:v>
                </c:pt>
                <c:pt idx="66">
                  <c:v>-1.1598101265822666E-3</c:v>
                </c:pt>
                <c:pt idx="67">
                  <c:v>-1.4171875000000278E-3</c:v>
                </c:pt>
                <c:pt idx="68">
                  <c:v>-1.5277777777776727E-3</c:v>
                </c:pt>
                <c:pt idx="69">
                  <c:v>-1.6356707317073285E-3</c:v>
                </c:pt>
                <c:pt idx="70">
                  <c:v>-1.7409638554216904E-3</c:v>
                </c:pt>
                <c:pt idx="71">
                  <c:v>-2.1145833333334196E-3</c:v>
                </c:pt>
                <c:pt idx="72">
                  <c:v>-2.345588235294121E-3</c:v>
                </c:pt>
                <c:pt idx="73">
                  <c:v>-2.7034883720929901E-3</c:v>
                </c:pt>
                <c:pt idx="74">
                  <c:v>-2.3994252873563828E-3</c:v>
                </c:pt>
                <c:pt idx="75">
                  <c:v>-2.2315340909090579E-3</c:v>
                </c:pt>
                <c:pt idx="76">
                  <c:v>-2.3230337078651284E-3</c:v>
                </c:pt>
                <c:pt idx="77">
                  <c:v>-2.1597222222223154E-3</c:v>
                </c:pt>
                <c:pt idx="78">
                  <c:v>-2.0000000000000018E-3</c:v>
                </c:pt>
                <c:pt idx="79">
                  <c:v>-2.2146739130434047E-3</c:v>
                </c:pt>
                <c:pt idx="80">
                  <c:v>-2.05779569892457E-3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-1.9622395833333536E-3</c:v>
                </c:pt>
                <c:pt idx="84">
                  <c:v>-1.9317010309279135E-3</c:v>
                </c:pt>
                <c:pt idx="85">
                  <c:v>-1.9017857142856437E-3</c:v>
                </c:pt>
                <c:pt idx="86">
                  <c:v>-1.987373737373661E-3</c:v>
                </c:pt>
                <c:pt idx="87">
                  <c:v>-1.9575000000001826E-3</c:v>
                </c:pt>
                <c:pt idx="88">
                  <c:v>-2.2660891089109408E-3</c:v>
                </c:pt>
                <c:pt idx="89">
                  <c:v>-2.5686274509803117E-3</c:v>
                </c:pt>
                <c:pt idx="90">
                  <c:v>-2.4235436893204248E-3</c:v>
                </c:pt>
                <c:pt idx="91">
                  <c:v>-2.1718750000000175E-3</c:v>
                </c:pt>
                <c:pt idx="92">
                  <c:v>-2.1416666666665457E-3</c:v>
                </c:pt>
                <c:pt idx="93">
                  <c:v>-2.1120283018869162E-3</c:v>
                </c:pt>
                <c:pt idx="94">
                  <c:v>-2.0829439252336318E-3</c:v>
                </c:pt>
                <c:pt idx="95">
                  <c:v>-1.9490740740739849E-3</c:v>
                </c:pt>
                <c:pt idx="96">
                  <c:v>-2.1307339449541619E-3</c:v>
                </c:pt>
                <c:pt idx="97">
                  <c:v>-1.8954545454545608E-3</c:v>
                </c:pt>
                <c:pt idx="98">
                  <c:v>-1.8693693693694353E-3</c:v>
                </c:pt>
                <c:pt idx="99">
                  <c:v>-1.8437500000001161E-3</c:v>
                </c:pt>
                <c:pt idx="100">
                  <c:v>-1.9192477876107288E-3</c:v>
                </c:pt>
                <c:pt idx="101">
                  <c:v>-1.8936403508771739E-3</c:v>
                </c:pt>
                <c:pt idx="102">
                  <c:v>-1.8684782608695955E-3</c:v>
                </c:pt>
                <c:pt idx="103">
                  <c:v>-2.0398706896551425E-3</c:v>
                </c:pt>
                <c:pt idx="104">
                  <c:v>-2.1111111111112484E-3</c:v>
                </c:pt>
                <c:pt idx="105">
                  <c:v>-2.3739406779661257E-3</c:v>
                </c:pt>
                <c:pt idx="106">
                  <c:v>-2.1544117647058899E-3</c:v>
                </c:pt>
                <c:pt idx="107">
                  <c:v>-2.0333333333332725E-3</c:v>
                </c:pt>
                <c:pt idx="108">
                  <c:v>-2.1022727272726614E-3</c:v>
                </c:pt>
                <c:pt idx="109">
                  <c:v>-1.8903688524589354E-3</c:v>
                </c:pt>
                <c:pt idx="110">
                  <c:v>-2.0518292682927099E-3</c:v>
                </c:pt>
                <c:pt idx="111">
                  <c:v>-1.9354838709677025E-3</c:v>
                </c:pt>
                <c:pt idx="112">
                  <c:v>-1.9120000000000061E-3</c:v>
                </c:pt>
                <c:pt idx="113">
                  <c:v>-2.0694444444443955E-3</c:v>
                </c:pt>
                <c:pt idx="114">
                  <c:v>-1.8661417322834008E-3</c:v>
                </c:pt>
                <c:pt idx="115">
                  <c:v>-1.8437500000001385E-3</c:v>
                </c:pt>
                <c:pt idx="116">
                  <c:v>-1.9098837209302083E-3</c:v>
                </c:pt>
                <c:pt idx="117">
                  <c:v>-1.8875000000000196E-3</c:v>
                </c:pt>
                <c:pt idx="118">
                  <c:v>-1.9522900763358924E-3</c:v>
                </c:pt>
                <c:pt idx="119">
                  <c:v>-1.9299242424241469E-3</c:v>
                </c:pt>
                <c:pt idx="120">
                  <c:v>-1.9934210526314795E-3</c:v>
                </c:pt>
                <c:pt idx="121">
                  <c:v>-2.055970149253778E-3</c:v>
                </c:pt>
                <c:pt idx="122">
                  <c:v>-2.1175925925926344E-3</c:v>
                </c:pt>
                <c:pt idx="123">
                  <c:v>-2.0110294117646867E-3</c:v>
                </c:pt>
                <c:pt idx="124">
                  <c:v>-1.9890510948905333E-3</c:v>
                </c:pt>
                <c:pt idx="125">
                  <c:v>-2.0498188405797279E-3</c:v>
                </c:pt>
                <c:pt idx="126">
                  <c:v>-2.0278776978416395E-3</c:v>
                </c:pt>
                <c:pt idx="127">
                  <c:v>-2.0875000000000533E-3</c:v>
                </c:pt>
                <c:pt idx="128">
                  <c:v>-2.1462765957447291E-3</c:v>
                </c:pt>
                <c:pt idx="129">
                  <c:v>-2.1241197183098047E-3</c:v>
                </c:pt>
                <c:pt idx="130">
                  <c:v>-2.1818181818181234E-3</c:v>
                </c:pt>
                <c:pt idx="131">
                  <c:v>-2.1597222222222035E-3</c:v>
                </c:pt>
                <c:pt idx="132">
                  <c:v>-2.2163793103448046E-3</c:v>
                </c:pt>
                <c:pt idx="133">
                  <c:v>-2.194349315068509E-3</c:v>
                </c:pt>
                <c:pt idx="134">
                  <c:v>-2.2500000000000111E-3</c:v>
                </c:pt>
                <c:pt idx="135">
                  <c:v>-2.4586148648649232E-3</c:v>
                </c:pt>
                <c:pt idx="136">
                  <c:v>-2.5117449664428708E-3</c:v>
                </c:pt>
                <c:pt idx="137">
                  <c:v>-2.564166666666581E-3</c:v>
                </c:pt>
                <c:pt idx="138">
                  <c:v>-2.5405629139073705E-3</c:v>
                </c:pt>
                <c:pt idx="139">
                  <c:v>-2.5921052631579758E-3</c:v>
                </c:pt>
                <c:pt idx="140">
                  <c:v>-2.6429738562092266E-3</c:v>
                </c:pt>
                <c:pt idx="141">
                  <c:v>-2.7670454545454855E-3</c:v>
                </c:pt>
                <c:pt idx="142">
                  <c:v>-2.8161290322580913E-3</c:v>
                </c:pt>
                <c:pt idx="143">
                  <c:v>-2.7916666666665999E-3</c:v>
                </c:pt>
                <c:pt idx="144">
                  <c:v>-2.6226114649682028E-3</c:v>
                </c:pt>
                <c:pt idx="145">
                  <c:v>-2.6716772151899187E-3</c:v>
                </c:pt>
                <c:pt idx="146">
                  <c:v>-2.6485849056603313E-3</c:v>
                </c:pt>
                <c:pt idx="147">
                  <c:v>-2.6257812499999897E-3</c:v>
                </c:pt>
                <c:pt idx="148">
                  <c:v>-2.6739130434782466E-3</c:v>
                </c:pt>
                <c:pt idx="149">
                  <c:v>-2.6512345679011303E-3</c:v>
                </c:pt>
                <c:pt idx="150">
                  <c:v>-2.6288343558282757E-3</c:v>
                </c:pt>
                <c:pt idx="151">
                  <c:v>-2.6760670731707827E-3</c:v>
                </c:pt>
                <c:pt idx="152">
                  <c:v>-2.860606060606031E-3</c:v>
                </c:pt>
                <c:pt idx="153">
                  <c:v>-2.7688253012047403E-3</c:v>
                </c:pt>
                <c:pt idx="154">
                  <c:v>-2.6781437125748433E-3</c:v>
                </c:pt>
                <c:pt idx="155">
                  <c:v>-2.6562500000000266E-3</c:v>
                </c:pt>
                <c:pt idx="156">
                  <c:v>-2.7019230769230996E-3</c:v>
                </c:pt>
                <c:pt idx="157">
                  <c:v>-2.6801470588235852E-3</c:v>
                </c:pt>
                <c:pt idx="158">
                  <c:v>-2.7251461988303432E-3</c:v>
                </c:pt>
                <c:pt idx="159">
                  <c:v>-2.7034883720929901E-3</c:v>
                </c:pt>
                <c:pt idx="160">
                  <c:v>-2.6820809248554911E-3</c:v>
                </c:pt>
                <c:pt idx="161">
                  <c:v>-2.7262931034482719E-3</c:v>
                </c:pt>
                <c:pt idx="162">
                  <c:v>-2.7050000000000286E-3</c:v>
                </c:pt>
                <c:pt idx="163">
                  <c:v>-2.6193181818181632E-3</c:v>
                </c:pt>
                <c:pt idx="164">
                  <c:v>-2.7274011299434453E-3</c:v>
                </c:pt>
                <c:pt idx="165">
                  <c:v>-2.7703651685392649E-3</c:v>
                </c:pt>
                <c:pt idx="166">
                  <c:v>-2.749301675977625E-3</c:v>
                </c:pt>
                <c:pt idx="167">
                  <c:v>-2.7284722222222246E-3</c:v>
                </c:pt>
                <c:pt idx="168">
                  <c:v>-2.8335635359115663E-3</c:v>
                </c:pt>
                <c:pt idx="169">
                  <c:v>-2.8749999999999609E-3</c:v>
                </c:pt>
                <c:pt idx="170">
                  <c:v>-2.8538251366119036E-3</c:v>
                </c:pt>
                <c:pt idx="171">
                  <c:v>-2.771059782608643E-3</c:v>
                </c:pt>
                <c:pt idx="172">
                  <c:v>-2.6891891891892014E-3</c:v>
                </c:pt>
                <c:pt idx="173">
                  <c:v>-2.7916666666665331E-3</c:v>
                </c:pt>
                <c:pt idx="174">
                  <c:v>-2.7105614973261345E-3</c:v>
                </c:pt>
                <c:pt idx="175">
                  <c:v>-2.8118351063829801E-3</c:v>
                </c:pt>
                <c:pt idx="176">
                  <c:v>-2.8518518518518502E-3</c:v>
                </c:pt>
                <c:pt idx="177">
                  <c:v>-2.8315789473685555E-3</c:v>
                </c:pt>
                <c:pt idx="178">
                  <c:v>-2.9306282722513003E-3</c:v>
                </c:pt>
                <c:pt idx="179">
                  <c:v>-2.9101562500001262E-3</c:v>
                </c:pt>
                <c:pt idx="180">
                  <c:v>-2.948834196891105E-3</c:v>
                </c:pt>
                <c:pt idx="181">
                  <c:v>-2.928479381443346E-3</c:v>
                </c:pt>
                <c:pt idx="182">
                  <c:v>-2.9666666666667103E-3</c:v>
                </c:pt>
                <c:pt idx="183">
                  <c:v>-3.0044642857143256E-3</c:v>
                </c:pt>
                <c:pt idx="184">
                  <c:v>-3.0996192893400034E-3</c:v>
                </c:pt>
                <c:pt idx="185">
                  <c:v>-3.1363636363635357E-3</c:v>
                </c:pt>
                <c:pt idx="186">
                  <c:v>-3.1155778894470629E-3</c:v>
                </c:pt>
                <c:pt idx="187">
                  <c:v>-2.9812500000000195E-3</c:v>
                </c:pt>
                <c:pt idx="188">
                  <c:v>-3.0180348258706628E-3</c:v>
                </c:pt>
                <c:pt idx="189">
                  <c:v>-2.9981435643565797E-3</c:v>
                </c:pt>
                <c:pt idx="190">
                  <c:v>-3.034482758620631E-3</c:v>
                </c:pt>
                <c:pt idx="191">
                  <c:v>-3.181985294117722E-3</c:v>
                </c:pt>
                <c:pt idx="192">
                  <c:v>-3.1615853658536622E-3</c:v>
                </c:pt>
                <c:pt idx="193">
                  <c:v>-3.1966019417475735E-3</c:v>
                </c:pt>
                <c:pt idx="194">
                  <c:v>-3.2312801932367122E-3</c:v>
                </c:pt>
                <c:pt idx="195">
                  <c:v>-3.2109374999999274E-3</c:v>
                </c:pt>
                <c:pt idx="196">
                  <c:v>-3.1907894736840688E-3</c:v>
                </c:pt>
                <c:pt idx="197">
                  <c:v>-3.224999999999856E-3</c:v>
                </c:pt>
                <c:pt idx="198">
                  <c:v>-3.2588862559242153E-3</c:v>
                </c:pt>
                <c:pt idx="199">
                  <c:v>-3.2924528301887207E-3</c:v>
                </c:pt>
                <c:pt idx="200">
                  <c:v>-3.432511737089181E-3</c:v>
                </c:pt>
                <c:pt idx="201">
                  <c:v>-3.4117990654206607E-3</c:v>
                </c:pt>
                <c:pt idx="202">
                  <c:v>-3.391279069767474E-3</c:v>
                </c:pt>
                <c:pt idx="203">
                  <c:v>-3.3182870370371243E-3</c:v>
                </c:pt>
                <c:pt idx="204">
                  <c:v>-3.2983870967742135E-3</c:v>
                </c:pt>
                <c:pt idx="205">
                  <c:v>-3.2786697247705952E-3</c:v>
                </c:pt>
                <c:pt idx="206">
                  <c:v>-3.3110730593606812E-3</c:v>
                </c:pt>
                <c:pt idx="207">
                  <c:v>-3.3948863636363747E-3</c:v>
                </c:pt>
                <c:pt idx="208">
                  <c:v>-3.4264705882353025E-3</c:v>
                </c:pt>
                <c:pt idx="209">
                  <c:v>-3.4065315315316555E-3</c:v>
                </c:pt>
                <c:pt idx="210">
                  <c:v>-3.4887892376681633E-3</c:v>
                </c:pt>
                <c:pt idx="211">
                  <c:v>-3.4687500000001176E-3</c:v>
                </c:pt>
                <c:pt idx="212">
                  <c:v>-3.4994444444445584E-3</c:v>
                </c:pt>
                <c:pt idx="213">
                  <c:v>-3.4795353982301378E-3</c:v>
                </c:pt>
                <c:pt idx="214">
                  <c:v>-3.5099118942731738E-3</c:v>
                </c:pt>
                <c:pt idx="215">
                  <c:v>-3.5400219298246049E-3</c:v>
                </c:pt>
                <c:pt idx="216">
                  <c:v>-3.6692139737991118E-3</c:v>
                </c:pt>
                <c:pt idx="217">
                  <c:v>-3.648913043478183E-3</c:v>
                </c:pt>
                <c:pt idx="218">
                  <c:v>-3.6287878787877384E-3</c:v>
                </c:pt>
                <c:pt idx="219">
                  <c:v>-3.5598060344826706E-3</c:v>
                </c:pt>
                <c:pt idx="220">
                  <c:v>-3.5402360515019958E-3</c:v>
                </c:pt>
                <c:pt idx="221">
                  <c:v>-3.5694444444444645E-3</c:v>
                </c:pt>
                <c:pt idx="222">
                  <c:v>-3.5500000000001299E-3</c:v>
                </c:pt>
                <c:pt idx="223">
                  <c:v>-3.5307203389831187E-3</c:v>
                </c:pt>
                <c:pt idx="224">
                  <c:v>-3.6555907172995897E-3</c:v>
                </c:pt>
                <c:pt idx="225">
                  <c:v>-3.6838235294117737E-3</c:v>
                </c:pt>
                <c:pt idx="226">
                  <c:v>-3.7118200836820147E-3</c:v>
                </c:pt>
                <c:pt idx="227">
                  <c:v>-3.6921874999999455E-3</c:v>
                </c:pt>
                <c:pt idx="228">
                  <c:v>-3.7199170124480761E-3</c:v>
                </c:pt>
                <c:pt idx="229">
                  <c:v>-3.6534090909090839E-3</c:v>
                </c:pt>
                <c:pt idx="230">
                  <c:v>-3.6810699588477273E-3</c:v>
                </c:pt>
                <c:pt idx="231">
                  <c:v>-3.7085040983606435E-3</c:v>
                </c:pt>
                <c:pt idx="232">
                  <c:v>-3.7357142857144354E-3</c:v>
                </c:pt>
                <c:pt idx="233">
                  <c:v>-3.7627032520325026E-3</c:v>
                </c:pt>
                <c:pt idx="234">
                  <c:v>-3.6973684210526623E-3</c:v>
                </c:pt>
                <c:pt idx="235">
                  <c:v>-3.5866935483871197E-3</c:v>
                </c:pt>
                <c:pt idx="236">
                  <c:v>-3.5682730923694422E-3</c:v>
                </c:pt>
                <c:pt idx="237">
                  <c:v>-3.5500000000000683E-3</c:v>
                </c:pt>
                <c:pt idx="238">
                  <c:v>-3.5771912350598262E-3</c:v>
                </c:pt>
                <c:pt idx="239">
                  <c:v>-3.5138888888888412E-3</c:v>
                </c:pt>
                <c:pt idx="240">
                  <c:v>-3.5410079051382899E-3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1B51-4335-814D-53B8B9178B55}"/>
            </c:ext>
          </c:extLst>
        </c:ser>
        <c:ser>
          <c:idx val="34"/>
          <c:order val="34"/>
          <c:tx>
            <c:strRef>
              <c:f>'전류편차_24mA(절대값기준)'!$CX$7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'전류편차_24mA(절대값기준)'!$CX$22:$CX$262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-2.2500000000000714E-3</c:v>
                </c:pt>
                <c:pt idx="2">
                  <c:v>-4.3083333333333584E-3</c:v>
                </c:pt>
                <c:pt idx="3">
                  <c:v>-1.8437500000001385E-3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-3.4090909090945711E-5</c:v>
                </c:pt>
                <c:pt idx="10">
                  <c:v>1.086956521732977E-5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1.8125000000000224E-3</c:v>
                </c:pt>
                <c:pt idx="16">
                  <c:v>1.3922413793103887E-3</c:v>
                </c:pt>
                <c:pt idx="17">
                  <c:v>1.0000000000000638E-3</c:v>
                </c:pt>
                <c:pt idx="18">
                  <c:v>1.3669354838709694E-3</c:v>
                </c:pt>
                <c:pt idx="19">
                  <c:v>2.0664062499999043E-3</c:v>
                </c:pt>
                <c:pt idx="20">
                  <c:v>2.3787878787878826E-3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2.895833333333357E-3</c:v>
                </c:pt>
                <c:pt idx="24">
                  <c:v>2.5371621621622024E-3</c:v>
                </c:pt>
                <c:pt idx="25">
                  <c:v>2.4967105263158126E-3</c:v>
                </c:pt>
                <c:pt idx="26">
                  <c:v>2.4583333333333401E-3</c:v>
                </c:pt>
                <c:pt idx="27">
                  <c:v>2.4218749999999913E-3</c:v>
                </c:pt>
                <c:pt idx="28">
                  <c:v>2.387195121951196E-3</c:v>
                </c:pt>
                <c:pt idx="29">
                  <c:v>2.0833333333333259E-3</c:v>
                </c:pt>
                <c:pt idx="30">
                  <c:v>2.0581395348836995E-3</c:v>
                </c:pt>
                <c:pt idx="31">
                  <c:v>2.2926136363635732E-3</c:v>
                </c:pt>
                <c:pt idx="32">
                  <c:v>2.2638888888888136E-3</c:v>
                </c:pt>
                <c:pt idx="33">
                  <c:v>1.4945652173912992E-3</c:v>
                </c:pt>
                <c:pt idx="34">
                  <c:v>1.4840425531913635E-3</c:v>
                </c:pt>
                <c:pt idx="35">
                  <c:v>1.947916666666584E-3</c:v>
                </c:pt>
                <c:pt idx="36">
                  <c:v>2.1607142857143729E-3</c:v>
                </c:pt>
                <c:pt idx="37">
                  <c:v>1.9099999999998962E-3</c:v>
                </c:pt>
                <c:pt idx="38">
                  <c:v>1.6691176470587344E-3</c:v>
                </c:pt>
                <c:pt idx="39">
                  <c:v>1.656249999999998E-3</c:v>
                </c:pt>
                <c:pt idx="40">
                  <c:v>2.0731132075470136E-3</c:v>
                </c:pt>
                <c:pt idx="41">
                  <c:v>1.63194444444442E-3</c:v>
                </c:pt>
                <c:pt idx="42">
                  <c:v>1.8272727272728531E-3</c:v>
                </c:pt>
                <c:pt idx="43">
                  <c:v>1.8125000000000224E-3</c:v>
                </c:pt>
                <c:pt idx="44">
                  <c:v>1.7982456140350105E-3</c:v>
                </c:pt>
                <c:pt idx="45">
                  <c:v>1.7844827586206904E-3</c:v>
                </c:pt>
                <c:pt idx="46">
                  <c:v>1.5783898305084861E-3</c:v>
                </c:pt>
                <c:pt idx="47">
                  <c:v>1.3791666666666887E-3</c:v>
                </c:pt>
                <c:pt idx="48">
                  <c:v>1.3729508196722257E-3</c:v>
                </c:pt>
                <c:pt idx="49">
                  <c:v>8.1653225806449688E-4</c:v>
                </c:pt>
                <c:pt idx="50">
                  <c:v>9.9999999999995167E-4</c:v>
                </c:pt>
                <c:pt idx="51">
                  <c:v>9.9999999999986385E-4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1.3395522388058507E-3</c:v>
                </c:pt>
                <c:pt idx="55">
                  <c:v>9.9999999999998463E-4</c:v>
                </c:pt>
                <c:pt idx="56">
                  <c:v>8.3514492753622601E-4</c:v>
                </c:pt>
                <c:pt idx="57">
                  <c:v>8.3749999999991329E-4</c:v>
                </c:pt>
                <c:pt idx="58">
                  <c:v>8.3978873239434326E-4</c:v>
                </c:pt>
                <c:pt idx="59">
                  <c:v>6.8402777777776421E-4</c:v>
                </c:pt>
                <c:pt idx="60">
                  <c:v>6.8835616438347059E-4</c:v>
                </c:pt>
                <c:pt idx="61">
                  <c:v>8.462837837838053E-4</c:v>
                </c:pt>
                <c:pt idx="62">
                  <c:v>8.4833333333341387E-4</c:v>
                </c:pt>
                <c:pt idx="63">
                  <c:v>4.0131578947367216E-4</c:v>
                </c:pt>
                <c:pt idx="64">
                  <c:v>4.0909090909095489E-4</c:v>
                </c:pt>
                <c:pt idx="65">
                  <c:v>1.2500000000000475E-4</c:v>
                </c:pt>
                <c:pt idx="66">
                  <c:v>1.3607594936702162E-4</c:v>
                </c:pt>
                <c:pt idx="67">
                  <c:v>4.3124999999995809E-4</c:v>
                </c:pt>
                <c:pt idx="68">
                  <c:v>4.3827160493828502E-4</c:v>
                </c:pt>
                <c:pt idx="69">
                  <c:v>5.8384146341462469E-4</c:v>
                </c:pt>
                <c:pt idx="70">
                  <c:v>4.5180722891566104E-4</c:v>
                </c:pt>
                <c:pt idx="71">
                  <c:v>3.2291666666655244E-4</c:v>
                </c:pt>
                <c:pt idx="72">
                  <c:v>3.3088235294111585E-4</c:v>
                </c:pt>
                <c:pt idx="73">
                  <c:v>2.0639534883727437E-4</c:v>
                </c:pt>
                <c:pt idx="74">
                  <c:v>3.4626436781601874E-4</c:v>
                </c:pt>
                <c:pt idx="75">
                  <c:v>9.5170454545461097E-5</c:v>
                </c:pt>
                <c:pt idx="76">
                  <c:v>-2.2471910112345851E-5</c:v>
                </c:pt>
                <c:pt idx="77">
                  <c:v>-2.6388888888891039E-4</c:v>
                </c:pt>
                <c:pt idx="78">
                  <c:v>-1.2500000000004174E-4</c:v>
                </c:pt>
                <c:pt idx="79">
                  <c:v>-3.6005434782594291E-4</c:v>
                </c:pt>
                <c:pt idx="80">
                  <c:v>-2.2311827956987865E-4</c:v>
                </c:pt>
                <c:pt idx="81">
                  <c:v>-6.9414893617042092E-4</c:v>
                </c:pt>
                <c:pt idx="82">
                  <c:v>-9.1578947368434335E-4</c:v>
                </c:pt>
                <c:pt idx="83">
                  <c:v>-6.5885416666677799E-4</c:v>
                </c:pt>
                <c:pt idx="84">
                  <c:v>-6.4175257731954784E-4</c:v>
                </c:pt>
                <c:pt idx="85">
                  <c:v>-7.4107142857138264E-4</c:v>
                </c:pt>
                <c:pt idx="86">
                  <c:v>-7.2348484848486021E-4</c:v>
                </c:pt>
                <c:pt idx="87">
                  <c:v>-7.0625000000006815E-4</c:v>
                </c:pt>
                <c:pt idx="88">
                  <c:v>-9.1460396039603836E-4</c:v>
                </c:pt>
                <c:pt idx="89">
                  <c:v>-1.0073529411764631E-3</c:v>
                </c:pt>
                <c:pt idx="90">
                  <c:v>-9.8786407766995052E-4</c:v>
                </c:pt>
                <c:pt idx="91">
                  <c:v>-9.6874999999990719E-4</c:v>
                </c:pt>
                <c:pt idx="92">
                  <c:v>-1.0583333333332354E-3</c:v>
                </c:pt>
                <c:pt idx="93">
                  <c:v>-1.3608490566039326E-3</c:v>
                </c:pt>
                <c:pt idx="94">
                  <c:v>-1.1261682242990161E-3</c:v>
                </c:pt>
                <c:pt idx="95">
                  <c:v>-1.106481481481485E-3</c:v>
                </c:pt>
                <c:pt idx="96">
                  <c:v>-1.1915137614678876E-3</c:v>
                </c:pt>
                <c:pt idx="97">
                  <c:v>-1.4818181818180591E-3</c:v>
                </c:pt>
                <c:pt idx="98">
                  <c:v>-1.5619369369369914E-3</c:v>
                </c:pt>
                <c:pt idx="99">
                  <c:v>-1.4374999999999805E-3</c:v>
                </c:pt>
                <c:pt idx="100">
                  <c:v>-1.214601769911468E-3</c:v>
                </c:pt>
                <c:pt idx="101">
                  <c:v>-1.1951754385965047E-3</c:v>
                </c:pt>
                <c:pt idx="102">
                  <c:v>-1.2750000000000079E-3</c:v>
                </c:pt>
                <c:pt idx="103">
                  <c:v>-1.3534482758620712E-3</c:v>
                </c:pt>
                <c:pt idx="104">
                  <c:v>-1.2361111111112155E-3</c:v>
                </c:pt>
                <c:pt idx="105">
                  <c:v>-1.3135593220339964E-3</c:v>
                </c:pt>
                <c:pt idx="106">
                  <c:v>-1.2941176470587985E-3</c:v>
                </c:pt>
                <c:pt idx="107">
                  <c:v>-1.3697916666666366E-3</c:v>
                </c:pt>
                <c:pt idx="108">
                  <c:v>-1.350206611570265E-3</c:v>
                </c:pt>
                <c:pt idx="109">
                  <c:v>-1.3309426229507174E-3</c:v>
                </c:pt>
                <c:pt idx="110">
                  <c:v>-1.3119918699188078E-3</c:v>
                </c:pt>
                <c:pt idx="111">
                  <c:v>-1.385080645161393E-3</c:v>
                </c:pt>
                <c:pt idx="112">
                  <c:v>-1.1839999999999247E-3</c:v>
                </c:pt>
                <c:pt idx="113">
                  <c:v>-1.2569444444443646E-3</c:v>
                </c:pt>
                <c:pt idx="114">
                  <c:v>-1.507874015748007E-3</c:v>
                </c:pt>
                <c:pt idx="115">
                  <c:v>-1.3105468750001185E-3</c:v>
                </c:pt>
                <c:pt idx="116">
                  <c:v>-1.2044573643411388E-3</c:v>
                </c:pt>
                <c:pt idx="117">
                  <c:v>-1.0125000000000383E-3</c:v>
                </c:pt>
                <c:pt idx="118">
                  <c:v>-9.9713740458007966E-4</c:v>
                </c:pt>
                <c:pt idx="119">
                  <c:v>-9.8200757575754626E-4</c:v>
                </c:pt>
                <c:pt idx="120">
                  <c:v>-9.6710526315790812E-4</c:v>
                </c:pt>
                <c:pt idx="121">
                  <c:v>-9.5242537313438376E-4</c:v>
                </c:pt>
                <c:pt idx="122">
                  <c:v>-9.3796296296305985E-4</c:v>
                </c:pt>
                <c:pt idx="123">
                  <c:v>-1.0073529411764135E-3</c:v>
                </c:pt>
                <c:pt idx="124">
                  <c:v>-9.927007299269919E-4</c:v>
                </c:pt>
                <c:pt idx="125">
                  <c:v>-8.1340579710142003E-4</c:v>
                </c:pt>
                <c:pt idx="126">
                  <c:v>-8.0035971223008226E-4</c:v>
                </c:pt>
                <c:pt idx="127">
                  <c:v>-8.6875000000000699E-4</c:v>
                </c:pt>
                <c:pt idx="128">
                  <c:v>-9.3617021276595986E-4</c:v>
                </c:pt>
                <c:pt idx="129">
                  <c:v>-9.2253521126764784E-4</c:v>
                </c:pt>
                <c:pt idx="130">
                  <c:v>-9.0909090909084935E-4</c:v>
                </c:pt>
                <c:pt idx="131">
                  <c:v>-8.9583333333331338E-4</c:v>
                </c:pt>
                <c:pt idx="132">
                  <c:v>-7.2586206896548401E-4</c:v>
                </c:pt>
                <c:pt idx="133">
                  <c:v>-6.3613013698635027E-4</c:v>
                </c:pt>
                <c:pt idx="134">
                  <c:v>-6.2500000000008707E-4</c:v>
                </c:pt>
                <c:pt idx="135">
                  <c:v>-5.3716216216219306E-4</c:v>
                </c:pt>
                <c:pt idx="136">
                  <c:v>-4.5050335570467334E-4</c:v>
                </c:pt>
                <c:pt idx="137">
                  <c:v>-4.4083333333334661E-4</c:v>
                </c:pt>
                <c:pt idx="138">
                  <c:v>-4.3129139072852743E-4</c:v>
                </c:pt>
                <c:pt idx="139">
                  <c:v>-4.9671052631583557E-4</c:v>
                </c:pt>
                <c:pt idx="140">
                  <c:v>-3.3823529411768018E-4</c:v>
                </c:pt>
                <c:pt idx="141">
                  <c:v>-4.0340909090911967E-4</c:v>
                </c:pt>
                <c:pt idx="142">
                  <c:v>-3.2096774193545927E-4</c:v>
                </c:pt>
                <c:pt idx="143">
                  <c:v>-3.854166666666381E-4</c:v>
                </c:pt>
                <c:pt idx="144">
                  <c:v>-3.7659235668790575E-4</c:v>
                </c:pt>
                <c:pt idx="145">
                  <c:v>-5.1186708860768645E-4</c:v>
                </c:pt>
                <c:pt idx="146">
                  <c:v>-5.0235849056603718E-4</c:v>
                </c:pt>
                <c:pt idx="147">
                  <c:v>-2.7968750000002677E-4</c:v>
                </c:pt>
                <c:pt idx="148">
                  <c:v>-2.0108695652171457E-4</c:v>
                </c:pt>
                <c:pt idx="149">
                  <c:v>-2.6388888888886051E-4</c:v>
                </c:pt>
                <c:pt idx="150">
                  <c:v>-2.5613496932515989E-4</c:v>
                </c:pt>
                <c:pt idx="151">
                  <c:v>-1.0975609756097029E-4</c:v>
                </c:pt>
                <c:pt idx="152">
                  <c:v>-1.0303030303033205E-4</c:v>
                </c:pt>
                <c:pt idx="153">
                  <c:v>-9.6385542168615931E-5</c:v>
                </c:pt>
                <c:pt idx="154">
                  <c:v>-2.1706586826360537E-5</c:v>
                </c:pt>
                <c:pt idx="155">
                  <c:v>5.2083333333248952E-5</c:v>
                </c:pt>
                <c:pt idx="156">
                  <c:v>-7.6923076923119684E-5</c:v>
                </c:pt>
                <c:pt idx="157">
                  <c:v>-3.6764705882293379E-6</c:v>
                </c:pt>
                <c:pt idx="158">
                  <c:v>-1.3084795321632772E-4</c:v>
                </c:pt>
                <c:pt idx="159">
                  <c:v>7.9941860465691638E-6</c:v>
                </c:pt>
                <c:pt idx="160">
                  <c:v>-5.2023121387222322E-5</c:v>
                </c:pt>
                <c:pt idx="161">
                  <c:v>-2.420977011495208E-4</c:v>
                </c:pt>
                <c:pt idx="162">
                  <c:v>-2.9999999999997585E-4</c:v>
                </c:pt>
                <c:pt idx="163">
                  <c:v>-2.279829545454985E-4</c:v>
                </c:pt>
                <c:pt idx="164">
                  <c:v>-9.2514124293818092E-5</c:v>
                </c:pt>
                <c:pt idx="165">
                  <c:v>-8.63764044943329E-5</c:v>
                </c:pt>
                <c:pt idx="166">
                  <c:v>-8.030726256981519E-5</c:v>
                </c:pt>
                <c:pt idx="167">
                  <c:v>-1.1111111111160463E-5</c:v>
                </c:pt>
                <c:pt idx="168">
                  <c:v>5.7320441988946724E-5</c:v>
                </c:pt>
                <c:pt idx="169">
                  <c:v>6.2500000000076383E-5</c:v>
                </c:pt>
                <c:pt idx="170">
                  <c:v>5.4644808743964197E-6</c:v>
                </c:pt>
                <c:pt idx="171">
                  <c:v>1.086956521732977E-5</c:v>
                </c:pt>
                <c:pt idx="172">
                  <c:v>1.6216216216233636E-5</c:v>
                </c:pt>
                <c:pt idx="173">
                  <c:v>-3.9650537634387823E-5</c:v>
                </c:pt>
                <c:pt idx="174">
                  <c:v>-3.4090909090810647E-5</c:v>
                </c:pt>
                <c:pt idx="175">
                  <c:v>-8.9095744680964666E-5</c:v>
                </c:pt>
                <c:pt idx="176">
                  <c:v>-8.333333333336938E-5</c:v>
                </c:pt>
                <c:pt idx="177">
                  <c:v>-1.3750000000003248E-4</c:v>
                </c:pt>
                <c:pt idx="178">
                  <c:v>-2.5065445026188182E-4</c:v>
                </c:pt>
                <c:pt idx="179">
                  <c:v>-1.8489583333328635E-4</c:v>
                </c:pt>
                <c:pt idx="180">
                  <c:v>-1.9430051814277583E-6</c:v>
                </c:pt>
                <c:pt idx="181">
                  <c:v>6.1855670103159224E-5</c:v>
                </c:pt>
                <c:pt idx="182">
                  <c:v>8.3333333334027294E-6</c:v>
                </c:pt>
                <c:pt idx="183">
                  <c:v>1.2946428571436464E-4</c:v>
                </c:pt>
                <c:pt idx="184">
                  <c:v>1.3388324873111682E-4</c:v>
                </c:pt>
                <c:pt idx="185">
                  <c:v>8.0808080808235648E-5</c:v>
                </c:pt>
                <c:pt idx="186">
                  <c:v>2.5690954773872405E-4</c:v>
                </c:pt>
                <c:pt idx="187">
                  <c:v>1.4687499999996412E-4</c:v>
                </c:pt>
                <c:pt idx="188">
                  <c:v>2.643034825870386E-4</c:v>
                </c:pt>
                <c:pt idx="189">
                  <c:v>2.6794554455450149E-4</c:v>
                </c:pt>
                <c:pt idx="190">
                  <c:v>2.7155172413784943E-4</c:v>
                </c:pt>
                <c:pt idx="191">
                  <c:v>2.7512254901959794E-4</c:v>
                </c:pt>
                <c:pt idx="192">
                  <c:v>2.2317073170731038E-4</c:v>
                </c:pt>
                <c:pt idx="193">
                  <c:v>1.16504854368861E-4</c:v>
                </c:pt>
                <c:pt idx="194">
                  <c:v>1.2077294685990296E-4</c:v>
                </c:pt>
                <c:pt idx="195">
                  <c:v>1.250000000000695E-4</c:v>
                </c:pt>
                <c:pt idx="196">
                  <c:v>7.476076555031148E-5</c:v>
                </c:pt>
                <c:pt idx="197">
                  <c:v>7.9166666666807839E-5</c:v>
                </c:pt>
                <c:pt idx="198">
                  <c:v>1.9135071090043207E-4</c:v>
                </c:pt>
                <c:pt idx="199">
                  <c:v>3.4198113207568015E-5</c:v>
                </c:pt>
                <c:pt idx="200">
                  <c:v>3.8732394366096489E-5</c:v>
                </c:pt>
                <c:pt idx="201">
                  <c:v>4.3224299065388304E-5</c:v>
                </c:pt>
                <c:pt idx="202">
                  <c:v>4.7674418604686705E-5</c:v>
                </c:pt>
                <c:pt idx="203">
                  <c:v>-5.787037036653475E-7</c:v>
                </c:pt>
                <c:pt idx="204">
                  <c:v>4.0322580646213349E-6</c:v>
                </c:pt>
                <c:pt idx="205">
                  <c:v>6.0779816513811305E-5</c:v>
                </c:pt>
                <c:pt idx="206">
                  <c:v>6.5068493150800951E-5</c:v>
                </c:pt>
                <c:pt idx="207">
                  <c:v>-8.5795454545462509E-5</c:v>
                </c:pt>
                <c:pt idx="208">
                  <c:v>-1.3235294117647562E-4</c:v>
                </c:pt>
                <c:pt idx="209">
                  <c:v>-3.3220720720721509E-4</c:v>
                </c:pt>
                <c:pt idx="210">
                  <c:v>-3.262331838566261E-4</c:v>
                </c:pt>
                <c:pt idx="211">
                  <c:v>-2.1875000000011469E-4</c:v>
                </c:pt>
                <c:pt idx="212">
                  <c:v>-1.6277777777776552E-4</c:v>
                </c:pt>
                <c:pt idx="213">
                  <c:v>-2.5829646017703762E-4</c:v>
                </c:pt>
                <c:pt idx="214">
                  <c:v>-2.0264317180608834E-4</c:v>
                </c:pt>
                <c:pt idx="215">
                  <c:v>-1.9736842105266632E-4</c:v>
                </c:pt>
                <c:pt idx="216">
                  <c:v>-9.2794759825353657E-5</c:v>
                </c:pt>
                <c:pt idx="217">
                  <c:v>-1.3750000000002324E-4</c:v>
                </c:pt>
                <c:pt idx="218">
                  <c:v>-1.3257575757571774E-4</c:v>
                </c:pt>
                <c:pt idx="219">
                  <c:v>-1.2769396551713904E-4</c:v>
                </c:pt>
                <c:pt idx="220">
                  <c:v>-1.2285407725305455E-4</c:v>
                </c:pt>
                <c:pt idx="221">
                  <c:v>-1.6666666666667298E-4</c:v>
                </c:pt>
                <c:pt idx="222">
                  <c:v>-2.1010638297872694E-4</c:v>
                </c:pt>
                <c:pt idx="223">
                  <c:v>-1.5677966101700338E-4</c:v>
                </c:pt>
                <c:pt idx="224">
                  <c:v>-1.9989451476798379E-4</c:v>
                </c:pt>
                <c:pt idx="225">
                  <c:v>-2.9044117647052521E-4</c:v>
                </c:pt>
                <c:pt idx="226">
                  <c:v>-3.3263598326353289E-4</c:v>
                </c:pt>
                <c:pt idx="227">
                  <c:v>-2.796874999999847E-4</c:v>
                </c:pt>
                <c:pt idx="228">
                  <c:v>-2.7437759336092026E-4</c:v>
                </c:pt>
                <c:pt idx="229">
                  <c:v>-3.1611570247926091E-4</c:v>
                </c:pt>
                <c:pt idx="230">
                  <c:v>-3.1069958847722881E-4</c:v>
                </c:pt>
                <c:pt idx="231">
                  <c:v>-3.5194672131133586E-4</c:v>
                </c:pt>
                <c:pt idx="232">
                  <c:v>-3.4642857142870294E-4</c:v>
                </c:pt>
                <c:pt idx="233">
                  <c:v>-3.4095528455291741E-4</c:v>
                </c:pt>
                <c:pt idx="234">
                  <c:v>-3.8157894736849001E-4</c:v>
                </c:pt>
                <c:pt idx="235">
                  <c:v>-4.2187500000006613E-4</c:v>
                </c:pt>
                <c:pt idx="236">
                  <c:v>-3.7048192771079499E-4</c:v>
                </c:pt>
                <c:pt idx="237">
                  <c:v>-4.5600000000000485E-4</c:v>
                </c:pt>
                <c:pt idx="238">
                  <c:v>-4.048804780877019E-4</c:v>
                </c:pt>
                <c:pt idx="239">
                  <c:v>-4.895833333332779E-4</c:v>
                </c:pt>
                <c:pt idx="240">
                  <c:v>-4.3873517786560472E-4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1B51-4335-814D-53B8B9178B55}"/>
            </c:ext>
          </c:extLst>
        </c:ser>
        <c:ser>
          <c:idx val="35"/>
          <c:order val="35"/>
          <c:tx>
            <c:strRef>
              <c:f>'전류편차_24mA(절대값기준)'!$CY$7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'전류편차_24mA(절대값기준)'!$CY$22:$CY$262</c:f>
              <c:numCache>
                <c:formatCode>0.0%</c:formatCode>
                <c:ptCount val="241"/>
                <c:pt idx="0">
                  <c:v>-5.1249999999999352E-3</c:v>
                </c:pt>
                <c:pt idx="1">
                  <c:v>-3.8750000000000728E-3</c:v>
                </c:pt>
                <c:pt idx="2">
                  <c:v>-4.3083333333333584E-3</c:v>
                </c:pt>
                <c:pt idx="3">
                  <c:v>-3.2656250000001395E-3</c:v>
                </c:pt>
                <c:pt idx="4">
                  <c:v>-2.3455882352940616E-3</c:v>
                </c:pt>
                <c:pt idx="5">
                  <c:v>-2.1597222222222035E-3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-3.4090909090945711E-5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-2.1850000000000567E-3</c:v>
                </c:pt>
                <c:pt idx="13">
                  <c:v>-2.50000000000003E-3</c:v>
                </c:pt>
                <c:pt idx="14">
                  <c:v>-2.7916666666666719E-3</c:v>
                </c:pt>
                <c:pt idx="15">
                  <c:v>-2.2500000000000714E-3</c:v>
                </c:pt>
                <c:pt idx="16">
                  <c:v>-1.3534482758620712E-3</c:v>
                </c:pt>
                <c:pt idx="17">
                  <c:v>-8.9583333333339752E-4</c:v>
                </c:pt>
                <c:pt idx="18">
                  <c:v>-4.6774193548383019E-4</c:v>
                </c:pt>
                <c:pt idx="19">
                  <c:v>-4.2187500000013736E-4</c:v>
                </c:pt>
                <c:pt idx="20">
                  <c:v>-3.7878787878787743E-4</c:v>
                </c:pt>
                <c:pt idx="21">
                  <c:v>-3.6764705882887678E-6</c:v>
                </c:pt>
                <c:pt idx="22">
                  <c:v>3.4999999999989483E-4</c:v>
                </c:pt>
                <c:pt idx="23">
                  <c:v>3.6805555555557669E-4</c:v>
                </c:pt>
                <c:pt idx="24">
                  <c:v>1.3074324324324714E-3</c:v>
                </c:pt>
                <c:pt idx="25">
                  <c:v>7.0065789473679706E-4</c:v>
                </c:pt>
                <c:pt idx="26">
                  <c:v>1.2916666666666725E-3</c:v>
                </c:pt>
                <c:pt idx="27">
                  <c:v>4.3124999999995809E-4</c:v>
                </c:pt>
                <c:pt idx="28">
                  <c:v>1.6768292682924304E-4</c:v>
                </c:pt>
                <c:pt idx="29">
                  <c:v>-3.5416666666676644E-4</c:v>
                </c:pt>
                <c:pt idx="30">
                  <c:v>-3.2267441860464531E-4</c:v>
                </c:pt>
                <c:pt idx="31">
                  <c:v>-3.4090909090945711E-5</c:v>
                </c:pt>
                <c:pt idx="32">
                  <c:v>2.4166666666658947E-4</c:v>
                </c:pt>
                <c:pt idx="33">
                  <c:v>5.054347826087993E-4</c:v>
                </c:pt>
                <c:pt idx="34">
                  <c:v>5.1595744680849151E-4</c:v>
                </c:pt>
                <c:pt idx="35">
                  <c:v>1.0000000000000217E-3</c:v>
                </c:pt>
                <c:pt idx="36">
                  <c:v>7.678571428571773E-4</c:v>
                </c:pt>
                <c:pt idx="37">
                  <c:v>9.9999999999999633E-4</c:v>
                </c:pt>
                <c:pt idx="38">
                  <c:v>1.0000000000000835E-3</c:v>
                </c:pt>
                <c:pt idx="39">
                  <c:v>9.9999999999997313E-4</c:v>
                </c:pt>
                <c:pt idx="40">
                  <c:v>1.4292452830188781E-3</c:v>
                </c:pt>
                <c:pt idx="41">
                  <c:v>1.4212962962962014E-3</c:v>
                </c:pt>
                <c:pt idx="42">
                  <c:v>1.4136363636363513E-3</c:v>
                </c:pt>
                <c:pt idx="43">
                  <c:v>1.4062499999998868E-3</c:v>
                </c:pt>
                <c:pt idx="44">
                  <c:v>1.0000000000000106E-3</c:v>
                </c:pt>
                <c:pt idx="45">
                  <c:v>8.0387931034484918E-4</c:v>
                </c:pt>
                <c:pt idx="46">
                  <c:v>6.14406779661049E-4</c:v>
                </c:pt>
                <c:pt idx="47">
                  <c:v>8.1041666666666718E-4</c:v>
                </c:pt>
                <c:pt idx="48">
                  <c:v>8.1352459016400776E-4</c:v>
                </c:pt>
                <c:pt idx="49">
                  <c:v>8.1653225806449688E-4</c:v>
                </c:pt>
                <c:pt idx="50">
                  <c:v>1.1805555555555675E-3</c:v>
                </c:pt>
                <c:pt idx="51">
                  <c:v>1.1777343749999232E-3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1.3395522388058507E-3</c:v>
                </c:pt>
                <c:pt idx="55">
                  <c:v>1.3345588235293595E-3</c:v>
                </c:pt>
                <c:pt idx="56">
                  <c:v>1.3297101449275491E-3</c:v>
                </c:pt>
                <c:pt idx="57">
                  <c:v>1.3249999999999317E-3</c:v>
                </c:pt>
                <c:pt idx="58">
                  <c:v>1.6408450704224952E-3</c:v>
                </c:pt>
                <c:pt idx="59">
                  <c:v>1.3159722222222793E-3</c:v>
                </c:pt>
                <c:pt idx="60">
                  <c:v>1.4674657534245498E-3</c:v>
                </c:pt>
                <c:pt idx="61">
                  <c:v>8.462837837838053E-4</c:v>
                </c:pt>
                <c:pt idx="62">
                  <c:v>8.4833333333341387E-4</c:v>
                </c:pt>
                <c:pt idx="63">
                  <c:v>9.9999999999992196E-4</c:v>
                </c:pt>
                <c:pt idx="64">
                  <c:v>1.2954545454544936E-3</c:v>
                </c:pt>
                <c:pt idx="65">
                  <c:v>1.4375000000000546E-3</c:v>
                </c:pt>
                <c:pt idx="66">
                  <c:v>1.2879746835442378E-3</c:v>
                </c:pt>
                <c:pt idx="67">
                  <c:v>1.2843749999999904E-3</c:v>
                </c:pt>
                <c:pt idx="68">
                  <c:v>1.5617283950617429E-3</c:v>
                </c:pt>
                <c:pt idx="69">
                  <c:v>1.4161585365853879E-3</c:v>
                </c:pt>
                <c:pt idx="70">
                  <c:v>1.5481927710843367E-3</c:v>
                </c:pt>
                <c:pt idx="71">
                  <c:v>1.4062499999998868E-3</c:v>
                </c:pt>
                <c:pt idx="72">
                  <c:v>1.5352941176470438E-3</c:v>
                </c:pt>
                <c:pt idx="73">
                  <c:v>1.3968023255813882E-3</c:v>
                </c:pt>
                <c:pt idx="74">
                  <c:v>1.3922413793102724E-3</c:v>
                </c:pt>
                <c:pt idx="75">
                  <c:v>1.6463068181817686E-3</c:v>
                </c:pt>
                <c:pt idx="76">
                  <c:v>1.6390449438202258E-3</c:v>
                </c:pt>
                <c:pt idx="77">
                  <c:v>1.3791666666666325E-3</c:v>
                </c:pt>
                <c:pt idx="78">
                  <c:v>1.1250000000000426E-3</c:v>
                </c:pt>
                <c:pt idx="79">
                  <c:v>1.4945652173912992E-3</c:v>
                </c:pt>
                <c:pt idx="80">
                  <c:v>1.4892473118281082E-3</c:v>
                </c:pt>
                <c:pt idx="81">
                  <c:v>1.6050531914891689E-3</c:v>
                </c:pt>
                <c:pt idx="82">
                  <c:v>1.598684210526278E-3</c:v>
                </c:pt>
                <c:pt idx="83">
                  <c:v>1.5924479166665704E-3</c:v>
                </c:pt>
                <c:pt idx="84">
                  <c:v>1.5863402061856218E-3</c:v>
                </c:pt>
                <c:pt idx="85">
                  <c:v>1.812500000000074E-3</c:v>
                </c:pt>
                <c:pt idx="86">
                  <c:v>1.8042929292929454E-3</c:v>
                </c:pt>
                <c:pt idx="87">
                  <c:v>1.6824999999998202E-3</c:v>
                </c:pt>
                <c:pt idx="88">
                  <c:v>1.6757425742573917E-3</c:v>
                </c:pt>
                <c:pt idx="89">
                  <c:v>1.557598039215659E-3</c:v>
                </c:pt>
                <c:pt idx="90">
                  <c:v>1.5521844660195316E-3</c:v>
                </c:pt>
                <c:pt idx="91">
                  <c:v>1.5468750000000586E-3</c:v>
                </c:pt>
                <c:pt idx="92">
                  <c:v>1.6500000000001366E-3</c:v>
                </c:pt>
                <c:pt idx="93">
                  <c:v>1.5365566037735354E-3</c:v>
                </c:pt>
                <c:pt idx="94">
                  <c:v>1.7441588785046421E-3</c:v>
                </c:pt>
                <c:pt idx="95">
                  <c:v>1.7372685185184356E-3</c:v>
                </c:pt>
                <c:pt idx="96">
                  <c:v>2.0435779816514394E-3</c:v>
                </c:pt>
                <c:pt idx="97">
                  <c:v>2.1375000000001376E-3</c:v>
                </c:pt>
                <c:pt idx="98">
                  <c:v>2.1272522522521554E-3</c:v>
                </c:pt>
                <c:pt idx="99">
                  <c:v>2.2187499999999777E-3</c:v>
                </c:pt>
                <c:pt idx="100">
                  <c:v>2.2079646017698394E-3</c:v>
                </c:pt>
                <c:pt idx="101">
                  <c:v>2.2971491228070181E-3</c:v>
                </c:pt>
                <c:pt idx="102">
                  <c:v>2.4836956521739305E-3</c:v>
                </c:pt>
                <c:pt idx="103">
                  <c:v>2.4709051724139362E-3</c:v>
                </c:pt>
                <c:pt idx="104">
                  <c:v>2.4583333333332534E-3</c:v>
                </c:pt>
                <c:pt idx="105">
                  <c:v>2.4459745762710596E-3</c:v>
                </c:pt>
                <c:pt idx="106">
                  <c:v>2.6250000000000604E-3</c:v>
                </c:pt>
                <c:pt idx="107">
                  <c:v>2.70624999999996E-3</c:v>
                </c:pt>
                <c:pt idx="108">
                  <c:v>2.5981404958677345E-3</c:v>
                </c:pt>
                <c:pt idx="109">
                  <c:v>2.585040983606643E-3</c:v>
                </c:pt>
                <c:pt idx="110">
                  <c:v>2.6646341463414506E-3</c:v>
                </c:pt>
                <c:pt idx="111">
                  <c:v>2.7429435483869876E-3</c:v>
                </c:pt>
                <c:pt idx="112">
                  <c:v>2.9110000000000689E-3</c:v>
                </c:pt>
                <c:pt idx="113">
                  <c:v>2.8958333333333566E-3</c:v>
                </c:pt>
                <c:pt idx="114">
                  <c:v>2.8809055118110024E-3</c:v>
                </c:pt>
                <c:pt idx="115">
                  <c:v>2.8662109374999341E-3</c:v>
                </c:pt>
                <c:pt idx="116">
                  <c:v>2.8517441860464025E-3</c:v>
                </c:pt>
                <c:pt idx="117">
                  <c:v>2.7500000000000523E-3</c:v>
                </c:pt>
                <c:pt idx="118">
                  <c:v>2.7366412213740547E-3</c:v>
                </c:pt>
                <c:pt idx="119">
                  <c:v>2.6373106060606196E-3</c:v>
                </c:pt>
                <c:pt idx="120">
                  <c:v>2.8815789473685539E-3</c:v>
                </c:pt>
                <c:pt idx="121">
                  <c:v>2.7826492537313288E-3</c:v>
                </c:pt>
                <c:pt idx="122">
                  <c:v>2.6851851851851754E-3</c:v>
                </c:pt>
                <c:pt idx="123">
                  <c:v>2.6727941176470076E-3</c:v>
                </c:pt>
                <c:pt idx="124">
                  <c:v>2.660583941605895E-3</c:v>
                </c:pt>
                <c:pt idx="125">
                  <c:v>2.4012681159420336E-3</c:v>
                </c:pt>
                <c:pt idx="126">
                  <c:v>2.5548561151079322E-3</c:v>
                </c:pt>
                <c:pt idx="127">
                  <c:v>2.6249999999999329E-3</c:v>
                </c:pt>
                <c:pt idx="128">
                  <c:v>2.7748226950354083E-3</c:v>
                </c:pt>
                <c:pt idx="129">
                  <c:v>2.8424295774647943E-3</c:v>
                </c:pt>
                <c:pt idx="130">
                  <c:v>2.9090909090909722E-3</c:v>
                </c:pt>
                <c:pt idx="131">
                  <c:v>2.7378472222223333E-3</c:v>
                </c:pt>
                <c:pt idx="132">
                  <c:v>2.8043103448276139E-3</c:v>
                </c:pt>
                <c:pt idx="133">
                  <c:v>2.7919520547945091E-3</c:v>
                </c:pt>
                <c:pt idx="134">
                  <c:v>2.6250000000000362E-3</c:v>
                </c:pt>
                <c:pt idx="135">
                  <c:v>2.6908783783783333E-3</c:v>
                </c:pt>
                <c:pt idx="136">
                  <c:v>2.7558724832214871E-3</c:v>
                </c:pt>
                <c:pt idx="137">
                  <c:v>2.6683333333333481E-3</c:v>
                </c:pt>
                <c:pt idx="138">
                  <c:v>2.5819536423839907E-3</c:v>
                </c:pt>
                <c:pt idx="139">
                  <c:v>2.4967105263158126E-3</c:v>
                </c:pt>
                <c:pt idx="140">
                  <c:v>2.3382352941175833E-3</c:v>
                </c:pt>
                <c:pt idx="141">
                  <c:v>2.0340909090909728E-3</c:v>
                </c:pt>
                <c:pt idx="142">
                  <c:v>2.1741935483871725E-3</c:v>
                </c:pt>
                <c:pt idx="143">
                  <c:v>2.4583333333333401E-3</c:v>
                </c:pt>
                <c:pt idx="144">
                  <c:v>2.666401273885329E-3</c:v>
                </c:pt>
                <c:pt idx="145">
                  <c:v>2.7998417721518901E-3</c:v>
                </c:pt>
                <c:pt idx="146">
                  <c:v>2.6454402515723621E-3</c:v>
                </c:pt>
                <c:pt idx="147">
                  <c:v>2.7773437500000471E-3</c:v>
                </c:pt>
                <c:pt idx="148">
                  <c:v>2.6956521739130942E-3</c:v>
                </c:pt>
                <c:pt idx="149">
                  <c:v>2.6149691358025237E-3</c:v>
                </c:pt>
                <c:pt idx="150">
                  <c:v>2.6748466257668518E-3</c:v>
                </c:pt>
                <c:pt idx="151">
                  <c:v>2.5259146341463645E-3</c:v>
                </c:pt>
                <c:pt idx="152">
                  <c:v>2.5166666666666553E-3</c:v>
                </c:pt>
                <c:pt idx="153">
                  <c:v>2.5075301204820041E-3</c:v>
                </c:pt>
                <c:pt idx="154">
                  <c:v>2.4985029940120182E-3</c:v>
                </c:pt>
                <c:pt idx="155">
                  <c:v>2.3541666666666294E-3</c:v>
                </c:pt>
                <c:pt idx="156">
                  <c:v>2.3461538461537756E-3</c:v>
                </c:pt>
                <c:pt idx="157">
                  <c:v>2.1375000000000079E-3</c:v>
                </c:pt>
                <c:pt idx="158">
                  <c:v>1.997807017543908E-3</c:v>
                </c:pt>
                <c:pt idx="159">
                  <c:v>2.2565406976744048E-3</c:v>
                </c:pt>
                <c:pt idx="160">
                  <c:v>2.4465317919075925E-3</c:v>
                </c:pt>
                <c:pt idx="161">
                  <c:v>2.5035919540229968E-3</c:v>
                </c:pt>
                <c:pt idx="162">
                  <c:v>2.494999999999976E-3</c:v>
                </c:pt>
                <c:pt idx="163">
                  <c:v>2.42187499999998E-3</c:v>
                </c:pt>
                <c:pt idx="164">
                  <c:v>2.4138418079096666E-3</c:v>
                </c:pt>
                <c:pt idx="165">
                  <c:v>2.3419943820225373E-3</c:v>
                </c:pt>
                <c:pt idx="166">
                  <c:v>2.3344972067039444E-3</c:v>
                </c:pt>
                <c:pt idx="167">
                  <c:v>2.2638888888888136E-3</c:v>
                </c:pt>
                <c:pt idx="168">
                  <c:v>2.131215469613223E-3</c:v>
                </c:pt>
                <c:pt idx="169">
                  <c:v>2.0000000000000018E-3</c:v>
                </c:pt>
                <c:pt idx="170">
                  <c:v>2.0566939890709745E-3</c:v>
                </c:pt>
                <c:pt idx="171">
                  <c:v>1.92730978260878E-3</c:v>
                </c:pt>
                <c:pt idx="172">
                  <c:v>1.8608108108108983E-3</c:v>
                </c:pt>
                <c:pt idx="173">
                  <c:v>1.6115591397850297E-3</c:v>
                </c:pt>
                <c:pt idx="174">
                  <c:v>1.5474598930482147E-3</c:v>
                </c:pt>
                <c:pt idx="175">
                  <c:v>1.726063829787189E-3</c:v>
                </c:pt>
                <c:pt idx="176">
                  <c:v>1.7222222222220407E-3</c:v>
                </c:pt>
                <c:pt idx="177">
                  <c:v>1.8381578947368844E-3</c:v>
                </c:pt>
                <c:pt idx="178">
                  <c:v>1.8933246073298223E-3</c:v>
                </c:pt>
                <c:pt idx="179">
                  <c:v>2.007161458333323E-3</c:v>
                </c:pt>
                <c:pt idx="180">
                  <c:v>2.0019430051814121E-3</c:v>
                </c:pt>
                <c:pt idx="181">
                  <c:v>1.9967783505153952E-3</c:v>
                </c:pt>
                <c:pt idx="182">
                  <c:v>1.9916666666666733E-3</c:v>
                </c:pt>
                <c:pt idx="183">
                  <c:v>1.9285714285714383E-3</c:v>
                </c:pt>
                <c:pt idx="184">
                  <c:v>1.9238578680203882E-3</c:v>
                </c:pt>
                <c:pt idx="185">
                  <c:v>1.8617424242425107E-3</c:v>
                </c:pt>
                <c:pt idx="186">
                  <c:v>1.8002512562814963E-3</c:v>
                </c:pt>
                <c:pt idx="187">
                  <c:v>1.7393749999998897E-3</c:v>
                </c:pt>
                <c:pt idx="188">
                  <c:v>1.792288557213962E-3</c:v>
                </c:pt>
                <c:pt idx="189">
                  <c:v>1.5631188118812164E-3</c:v>
                </c:pt>
                <c:pt idx="190">
                  <c:v>1.5603448275861077E-3</c:v>
                </c:pt>
                <c:pt idx="191">
                  <c:v>1.6691176470587344E-3</c:v>
                </c:pt>
                <c:pt idx="192">
                  <c:v>1.7213414634146842E-3</c:v>
                </c:pt>
                <c:pt idx="193">
                  <c:v>1.8834951456309986E-3</c:v>
                </c:pt>
                <c:pt idx="194">
                  <c:v>1.9891304347827441E-3</c:v>
                </c:pt>
                <c:pt idx="195">
                  <c:v>1.9843750000000104E-3</c:v>
                </c:pt>
                <c:pt idx="196">
                  <c:v>1.9796650717704149E-3</c:v>
                </c:pt>
                <c:pt idx="197">
                  <c:v>1.9208333333334163E-3</c:v>
                </c:pt>
                <c:pt idx="198">
                  <c:v>1.9164691943127556E-3</c:v>
                </c:pt>
                <c:pt idx="199">
                  <c:v>1.8584905660376987E-3</c:v>
                </c:pt>
                <c:pt idx="200">
                  <c:v>1.8010563380281351E-3</c:v>
                </c:pt>
                <c:pt idx="201">
                  <c:v>1.7441588785046421E-3</c:v>
                </c:pt>
                <c:pt idx="202">
                  <c:v>1.6348837209301402E-3</c:v>
                </c:pt>
                <c:pt idx="203">
                  <c:v>1.5266203703704043E-3</c:v>
                </c:pt>
                <c:pt idx="204">
                  <c:v>1.4717741935484237E-3</c:v>
                </c:pt>
                <c:pt idx="205">
                  <c:v>1.3652522935779575E-3</c:v>
                </c:pt>
                <c:pt idx="206">
                  <c:v>1.2597031963471317E-3</c:v>
                </c:pt>
                <c:pt idx="207">
                  <c:v>1.3102272727273177E-3</c:v>
                </c:pt>
                <c:pt idx="208">
                  <c:v>1.4117647058824066E-3</c:v>
                </c:pt>
                <c:pt idx="209">
                  <c:v>1.3586711711710451E-3</c:v>
                </c:pt>
                <c:pt idx="210">
                  <c:v>1.5100896860986003E-3</c:v>
                </c:pt>
                <c:pt idx="211">
                  <c:v>1.5078125000000109E-3</c:v>
                </c:pt>
                <c:pt idx="212">
                  <c:v>1.5561111111110687E-3</c:v>
                </c:pt>
                <c:pt idx="213">
                  <c:v>1.5033185840707571E-3</c:v>
                </c:pt>
                <c:pt idx="214">
                  <c:v>1.601321585903053E-3</c:v>
                </c:pt>
                <c:pt idx="215">
                  <c:v>1.4490131578947644E-3</c:v>
                </c:pt>
                <c:pt idx="216">
                  <c:v>1.3973799126637857E-3</c:v>
                </c:pt>
                <c:pt idx="217">
                  <c:v>1.346195652173946E-3</c:v>
                </c:pt>
                <c:pt idx="218">
                  <c:v>1.2462121212120968E-3</c:v>
                </c:pt>
                <c:pt idx="219">
                  <c:v>1.147090517241472E-3</c:v>
                </c:pt>
                <c:pt idx="220">
                  <c:v>1.0976394849786359E-3</c:v>
                </c:pt>
                <c:pt idx="221">
                  <c:v>9.513888888888673E-4</c:v>
                </c:pt>
                <c:pt idx="222">
                  <c:v>9.0319148936168336E-4</c:v>
                </c:pt>
                <c:pt idx="223">
                  <c:v>9.9999999999998961E-4</c:v>
                </c:pt>
                <c:pt idx="224">
                  <c:v>1.000000000000051E-3</c:v>
                </c:pt>
                <c:pt idx="225">
                  <c:v>9.9999999999994212E-4</c:v>
                </c:pt>
                <c:pt idx="226">
                  <c:v>1.0000000000000033E-3</c:v>
                </c:pt>
                <c:pt idx="227">
                  <c:v>1.0000000000000638E-3</c:v>
                </c:pt>
                <c:pt idx="228">
                  <c:v>1.1415975103734055E-3</c:v>
                </c:pt>
                <c:pt idx="229">
                  <c:v>1.1410123966942368E-3</c:v>
                </c:pt>
                <c:pt idx="230">
                  <c:v>1.2340534979424166E-3</c:v>
                </c:pt>
                <c:pt idx="231">
                  <c:v>1.186475409836098E-3</c:v>
                </c:pt>
                <c:pt idx="232">
                  <c:v>1.1857142857142121E-3</c:v>
                </c:pt>
                <c:pt idx="233">
                  <c:v>1.1849593495934817E-3</c:v>
                </c:pt>
                <c:pt idx="234">
                  <c:v>1.1842105263156707E-3</c:v>
                </c:pt>
                <c:pt idx="235">
                  <c:v>1.0458669354838062E-3</c:v>
                </c:pt>
                <c:pt idx="236">
                  <c:v>1.0913654618474392E-3</c:v>
                </c:pt>
                <c:pt idx="237">
                  <c:v>9.0900000000004692E-4</c:v>
                </c:pt>
                <c:pt idx="238">
                  <c:v>9.0936254980074046E-4</c:v>
                </c:pt>
                <c:pt idx="239">
                  <c:v>1.0451388888888956E-3</c:v>
                </c:pt>
                <c:pt idx="240">
                  <c:v>1.0899209486165602E-3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1B51-4335-814D-53B8B9178B55}"/>
            </c:ext>
          </c:extLst>
        </c:ser>
        <c:ser>
          <c:idx val="36"/>
          <c:order val="36"/>
          <c:tx>
            <c:strRef>
              <c:f>'전류편차_24mA(절대값기준)'!$CZ$7</c:f>
              <c:strCache>
                <c:ptCount val="1"/>
                <c:pt idx="0">
                  <c:v>IC #4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'전류편차_24mA(절대값기준)'!$CZ$22:$CZ$262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-4.6875000000001412E-3</c:v>
                </c:pt>
                <c:pt idx="4">
                  <c:v>-5.0220588235293578E-3</c:v>
                </c:pt>
                <c:pt idx="5">
                  <c:v>-3.4236111111110934E-3</c:v>
                </c:pt>
                <c:pt idx="6">
                  <c:v>-1.3947368421053433E-3</c:v>
                </c:pt>
                <c:pt idx="7">
                  <c:v>-7.06250000000043E-4</c:v>
                </c:pt>
                <c:pt idx="8">
                  <c:v>-6.2500000000006994E-4</c:v>
                </c:pt>
                <c:pt idx="9">
                  <c:v>-3.4090909090945711E-5</c:v>
                </c:pt>
                <c:pt idx="10">
                  <c:v>1.0000000000000492E-3</c:v>
                </c:pt>
                <c:pt idx="11">
                  <c:v>1.4739583333333028E-3</c:v>
                </c:pt>
                <c:pt idx="12">
                  <c:v>1.4549999999999461E-3</c:v>
                </c:pt>
                <c:pt idx="13">
                  <c:v>1.8750000000000711E-3</c:v>
                </c:pt>
                <c:pt idx="14">
                  <c:v>1.8425925925926385E-3</c:v>
                </c:pt>
                <c:pt idx="15">
                  <c:v>1.8125000000000224E-3</c:v>
                </c:pt>
                <c:pt idx="16">
                  <c:v>1.3922413793103887E-3</c:v>
                </c:pt>
                <c:pt idx="17">
                  <c:v>1.3791666666666887E-3</c:v>
                </c:pt>
                <c:pt idx="18">
                  <c:v>1.0000000000000421E-3</c:v>
                </c:pt>
                <c:pt idx="19">
                  <c:v>2.8906249999994214E-4</c:v>
                </c:pt>
                <c:pt idx="20">
                  <c:v>-3.4090909090945711E-5</c:v>
                </c:pt>
                <c:pt idx="21">
                  <c:v>1.6691176470588829E-3</c:v>
                </c:pt>
                <c:pt idx="22">
                  <c:v>2.2999999999999687E-3</c:v>
                </c:pt>
                <c:pt idx="23">
                  <c:v>2.895833333333357E-3</c:v>
                </c:pt>
                <c:pt idx="24">
                  <c:v>2.8445945945946008E-3</c:v>
                </c:pt>
                <c:pt idx="25">
                  <c:v>2.4967105263158126E-3</c:v>
                </c:pt>
                <c:pt idx="26">
                  <c:v>2.7500000000001044E-3</c:v>
                </c:pt>
                <c:pt idx="27">
                  <c:v>3.275000000000024E-3</c:v>
                </c:pt>
                <c:pt idx="28">
                  <c:v>3.2195121951219593E-3</c:v>
                </c:pt>
                <c:pt idx="29">
                  <c:v>3.1666666666666601E-3</c:v>
                </c:pt>
                <c:pt idx="30">
                  <c:v>2.8517441860465204E-3</c:v>
                </c:pt>
                <c:pt idx="31">
                  <c:v>2.5511363636363869E-3</c:v>
                </c:pt>
                <c:pt idx="32">
                  <c:v>2.5166666666666757E-3</c:v>
                </c:pt>
                <c:pt idx="33">
                  <c:v>2.2364130434782839E-3</c:v>
                </c:pt>
                <c:pt idx="34">
                  <c:v>1.9680851063827998E-3</c:v>
                </c:pt>
                <c:pt idx="35">
                  <c:v>1.2369791666665571E-3</c:v>
                </c:pt>
                <c:pt idx="36">
                  <c:v>1.0000000000001119E-3</c:v>
                </c:pt>
                <c:pt idx="37">
                  <c:v>1.2274999999998702E-3</c:v>
                </c:pt>
                <c:pt idx="38">
                  <c:v>1.8921568627450834E-3</c:v>
                </c:pt>
                <c:pt idx="39">
                  <c:v>2.3125000000000229E-3</c:v>
                </c:pt>
                <c:pt idx="40">
                  <c:v>2.502358490566025E-3</c:v>
                </c:pt>
                <c:pt idx="41">
                  <c:v>2.6851851851851381E-3</c:v>
                </c:pt>
                <c:pt idx="42">
                  <c:v>2.2409090909091714E-3</c:v>
                </c:pt>
                <c:pt idx="43">
                  <c:v>2.0156249999999098E-3</c:v>
                </c:pt>
                <c:pt idx="44">
                  <c:v>2.3969298245613488E-3</c:v>
                </c:pt>
                <c:pt idx="45">
                  <c:v>2.3728448275862298E-3</c:v>
                </c:pt>
                <c:pt idx="46">
                  <c:v>2.1567796610169826E-3</c:v>
                </c:pt>
                <c:pt idx="47">
                  <c:v>1.7583333333333136E-3</c:v>
                </c:pt>
                <c:pt idx="48">
                  <c:v>1.9323770491804437E-3</c:v>
                </c:pt>
                <c:pt idx="49">
                  <c:v>1.3669354838709694E-3</c:v>
                </c:pt>
                <c:pt idx="50">
                  <c:v>1.1805555555555675E-3</c:v>
                </c:pt>
                <c:pt idx="51">
                  <c:v>6.4453124999990299E-4</c:v>
                </c:pt>
                <c:pt idx="52">
                  <c:v>3.0000000000001136E-4</c:v>
                </c:pt>
                <c:pt idx="53">
                  <c:v>8.2765151515161331E-4</c:v>
                </c:pt>
                <c:pt idx="54">
                  <c:v>8.3022388059687618E-4</c:v>
                </c:pt>
                <c:pt idx="55">
                  <c:v>9.9999999999998463E-4</c:v>
                </c:pt>
                <c:pt idx="56">
                  <c:v>1.1648550724638724E-3</c:v>
                </c:pt>
                <c:pt idx="57">
                  <c:v>1.487499999999986E-3</c:v>
                </c:pt>
                <c:pt idx="58">
                  <c:v>1.3204225352112628E-3</c:v>
                </c:pt>
                <c:pt idx="59">
                  <c:v>1.000000000000092E-3</c:v>
                </c:pt>
                <c:pt idx="60">
                  <c:v>1.1558219178081459E-3</c:v>
                </c:pt>
                <c:pt idx="61">
                  <c:v>1.4611486486486025E-3</c:v>
                </c:pt>
                <c:pt idx="62">
                  <c:v>1.4550000000000138E-3</c:v>
                </c:pt>
                <c:pt idx="63">
                  <c:v>1.5986842105263047E-3</c:v>
                </c:pt>
                <c:pt idx="64">
                  <c:v>1.4431818181818157E-3</c:v>
                </c:pt>
                <c:pt idx="65">
                  <c:v>1.2916666666666725E-3</c:v>
                </c:pt>
                <c:pt idx="66">
                  <c:v>1.1439873417721656E-3</c:v>
                </c:pt>
                <c:pt idx="67">
                  <c:v>1.0000000000000217E-3</c:v>
                </c:pt>
                <c:pt idx="68">
                  <c:v>5.7870370370376406E-4</c:v>
                </c:pt>
                <c:pt idx="69">
                  <c:v>8.6128048780483805E-4</c:v>
                </c:pt>
                <c:pt idx="70">
                  <c:v>1.4111445783133285E-3</c:v>
                </c:pt>
                <c:pt idx="71">
                  <c:v>9.9999999999999156E-4</c:v>
                </c:pt>
                <c:pt idx="72">
                  <c:v>8.6617647058823458E-4</c:v>
                </c:pt>
                <c:pt idx="73">
                  <c:v>1.7936046511627985E-3</c:v>
                </c:pt>
                <c:pt idx="74">
                  <c:v>2.0459770114941663E-3</c:v>
                </c:pt>
                <c:pt idx="75">
                  <c:v>1.258522727272778E-3</c:v>
                </c:pt>
                <c:pt idx="76">
                  <c:v>1.8946629213484011E-3</c:v>
                </c:pt>
                <c:pt idx="77">
                  <c:v>2.0111111111110634E-3</c:v>
                </c:pt>
                <c:pt idx="78">
                  <c:v>1.3749999999999041E-3</c:v>
                </c:pt>
                <c:pt idx="79">
                  <c:v>2.3600543478260413E-3</c:v>
                </c:pt>
                <c:pt idx="80">
                  <c:v>2.2231182795700716E-3</c:v>
                </c:pt>
                <c:pt idx="81">
                  <c:v>2.3311170212764304E-3</c:v>
                </c:pt>
                <c:pt idx="82">
                  <c:v>2.1973684210524749E-3</c:v>
                </c:pt>
                <c:pt idx="83">
                  <c:v>1.947916666666584E-3</c:v>
                </c:pt>
                <c:pt idx="84">
                  <c:v>1.4690721649483652E-3</c:v>
                </c:pt>
                <c:pt idx="85">
                  <c:v>1.812500000000074E-3</c:v>
                </c:pt>
                <c:pt idx="86">
                  <c:v>1.9191919191920757E-3</c:v>
                </c:pt>
                <c:pt idx="87">
                  <c:v>2.1374999999999719E-3</c:v>
                </c:pt>
                <c:pt idx="88">
                  <c:v>2.238861386138468E-3</c:v>
                </c:pt>
                <c:pt idx="89">
                  <c:v>2.5612745098039322E-3</c:v>
                </c:pt>
                <c:pt idx="90">
                  <c:v>2.7669902912621654E-3</c:v>
                </c:pt>
                <c:pt idx="91">
                  <c:v>2.7499999999999747E-3</c:v>
                </c:pt>
                <c:pt idx="92">
                  <c:v>2.6250000000001736E-3</c:v>
                </c:pt>
                <c:pt idx="93">
                  <c:v>2.3950471698111768E-3</c:v>
                </c:pt>
                <c:pt idx="94">
                  <c:v>2.5946261682241747E-3</c:v>
                </c:pt>
                <c:pt idx="95">
                  <c:v>2.4745370370371066E-3</c:v>
                </c:pt>
                <c:pt idx="96">
                  <c:v>2.4610091743119439E-3</c:v>
                </c:pt>
                <c:pt idx="97">
                  <c:v>2.447727272727422E-3</c:v>
                </c:pt>
                <c:pt idx="98">
                  <c:v>2.1272522522521554E-3</c:v>
                </c:pt>
                <c:pt idx="99">
                  <c:v>1.8125000000000224E-3</c:v>
                </c:pt>
                <c:pt idx="100">
                  <c:v>1.8053097345132464E-3</c:v>
                </c:pt>
                <c:pt idx="101">
                  <c:v>1.8980263157895184E-3</c:v>
                </c:pt>
                <c:pt idx="102">
                  <c:v>1.8902173913043429E-3</c:v>
                </c:pt>
                <c:pt idx="103">
                  <c:v>1.7844827586206904E-3</c:v>
                </c:pt>
                <c:pt idx="104">
                  <c:v>1.7777777777777299E-3</c:v>
                </c:pt>
                <c:pt idx="105">
                  <c:v>1.8675847457627342E-3</c:v>
                </c:pt>
                <c:pt idx="106">
                  <c:v>1.8602941176470336E-3</c:v>
                </c:pt>
                <c:pt idx="107">
                  <c:v>1.9479166666667104E-3</c:v>
                </c:pt>
                <c:pt idx="108">
                  <c:v>1.8460743801653379E-3</c:v>
                </c:pt>
                <c:pt idx="109">
                  <c:v>2.1188524590164061E-3</c:v>
                </c:pt>
                <c:pt idx="110">
                  <c:v>2.0172764227642452E-3</c:v>
                </c:pt>
                <c:pt idx="111">
                  <c:v>1.9173387096774418E-3</c:v>
                </c:pt>
                <c:pt idx="112">
                  <c:v>1.909999999999977E-3</c:v>
                </c:pt>
                <c:pt idx="113">
                  <c:v>1.9930555555555981E-3</c:v>
                </c:pt>
                <c:pt idx="114">
                  <c:v>1.6269685039370452E-3</c:v>
                </c:pt>
                <c:pt idx="115">
                  <c:v>1.7109374999999432E-3</c:v>
                </c:pt>
                <c:pt idx="116">
                  <c:v>1.440891472868107E-3</c:v>
                </c:pt>
                <c:pt idx="117">
                  <c:v>1.7000000000000125E-3</c:v>
                </c:pt>
                <c:pt idx="118">
                  <c:v>1.7814885496183961E-3</c:v>
                </c:pt>
                <c:pt idx="119">
                  <c:v>1.8617424242424086E-3</c:v>
                </c:pt>
                <c:pt idx="120">
                  <c:v>1.6842105263158262E-3</c:v>
                </c:pt>
                <c:pt idx="121">
                  <c:v>1.8488805970148252E-3</c:v>
                </c:pt>
                <c:pt idx="122">
                  <c:v>1.842592592592601E-3</c:v>
                </c:pt>
                <c:pt idx="123">
                  <c:v>1.7527573529411895E-3</c:v>
                </c:pt>
                <c:pt idx="124">
                  <c:v>1.9963503649634848E-3</c:v>
                </c:pt>
                <c:pt idx="125">
                  <c:v>1.9891304347826955E-3</c:v>
                </c:pt>
                <c:pt idx="126">
                  <c:v>1.982014388489254E-3</c:v>
                </c:pt>
                <c:pt idx="127">
                  <c:v>1.8937499999999051E-3</c:v>
                </c:pt>
                <c:pt idx="128">
                  <c:v>1.8067375886523928E-3</c:v>
                </c:pt>
                <c:pt idx="129">
                  <c:v>1.6408450704224952E-3</c:v>
                </c:pt>
                <c:pt idx="130">
                  <c:v>1.7159090909091089E-3</c:v>
                </c:pt>
                <c:pt idx="131">
                  <c:v>1.4739583333334431E-3</c:v>
                </c:pt>
                <c:pt idx="132">
                  <c:v>1.3922413793104585E-3</c:v>
                </c:pt>
                <c:pt idx="133">
                  <c:v>1.3895547945204834E-3</c:v>
                </c:pt>
                <c:pt idx="134">
                  <c:v>1.3869047619047969E-3</c:v>
                </c:pt>
                <c:pt idx="135">
                  <c:v>1.3842905405405371E-3</c:v>
                </c:pt>
                <c:pt idx="136">
                  <c:v>1.4580536912752195E-3</c:v>
                </c:pt>
                <c:pt idx="137">
                  <c:v>1.3033333333334312E-3</c:v>
                </c:pt>
                <c:pt idx="138">
                  <c:v>1.3766556291389567E-3</c:v>
                </c:pt>
                <c:pt idx="139">
                  <c:v>1.2245065789472989E-3</c:v>
                </c:pt>
                <c:pt idx="140">
                  <c:v>1.3717320261437344E-3</c:v>
                </c:pt>
                <c:pt idx="141">
                  <c:v>1.3693181818182202E-3</c:v>
                </c:pt>
                <c:pt idx="142">
                  <c:v>1.3669354838709694E-3</c:v>
                </c:pt>
                <c:pt idx="143">
                  <c:v>1.2916666666666725E-3</c:v>
                </c:pt>
                <c:pt idx="144">
                  <c:v>1.2173566878980989E-3</c:v>
                </c:pt>
                <c:pt idx="145">
                  <c:v>1.1439873417721656E-3</c:v>
                </c:pt>
                <c:pt idx="146">
                  <c:v>1.0000000000000575E-3</c:v>
                </c:pt>
                <c:pt idx="147">
                  <c:v>8.5781249999997426E-4</c:v>
                </c:pt>
                <c:pt idx="148">
                  <c:v>8.5869565217397783E-4</c:v>
                </c:pt>
                <c:pt idx="149">
                  <c:v>8.5956790123459736E-4</c:v>
                </c:pt>
                <c:pt idx="150">
                  <c:v>8.6042944785275511E-4</c:v>
                </c:pt>
                <c:pt idx="151">
                  <c:v>7.919207317073155E-4</c:v>
                </c:pt>
                <c:pt idx="152">
                  <c:v>7.2424242424242661E-4</c:v>
                </c:pt>
                <c:pt idx="153">
                  <c:v>7.259036144577996E-4</c:v>
                </c:pt>
                <c:pt idx="154">
                  <c:v>6.5943113772464412E-4</c:v>
                </c:pt>
                <c:pt idx="155">
                  <c:v>5.9374999999997624E-4</c:v>
                </c:pt>
                <c:pt idx="156">
                  <c:v>5.2884615384613399E-4</c:v>
                </c:pt>
                <c:pt idx="157">
                  <c:v>5.3161764705877057E-4</c:v>
                </c:pt>
                <c:pt idx="158">
                  <c:v>5.3435672514623119E-4</c:v>
                </c:pt>
                <c:pt idx="159">
                  <c:v>5.3706395348837132E-4</c:v>
                </c:pt>
                <c:pt idx="160">
                  <c:v>5.3973988439314695E-4</c:v>
                </c:pt>
                <c:pt idx="161">
                  <c:v>4.1163793103448943E-4</c:v>
                </c:pt>
                <c:pt idx="162">
                  <c:v>2.8499999999993087E-4</c:v>
                </c:pt>
                <c:pt idx="163">
                  <c:v>2.2443181818186788E-4</c:v>
                </c:pt>
                <c:pt idx="164">
                  <c:v>2.2881355932205134E-4</c:v>
                </c:pt>
                <c:pt idx="165">
                  <c:v>3.6095505617980353E-4</c:v>
                </c:pt>
                <c:pt idx="166">
                  <c:v>3.6452513966491384E-4</c:v>
                </c:pt>
                <c:pt idx="167">
                  <c:v>3.6805555555552053E-4</c:v>
                </c:pt>
                <c:pt idx="168">
                  <c:v>3.7154696132590077E-4</c:v>
                </c:pt>
                <c:pt idx="169">
                  <c:v>3.1249999999993783E-4</c:v>
                </c:pt>
                <c:pt idx="170">
                  <c:v>3.1625683060111057E-4</c:v>
                </c:pt>
                <c:pt idx="171">
                  <c:v>2.5815217391306455E-4</c:v>
                </c:pt>
                <c:pt idx="172">
                  <c:v>2.6216216216226173E-4</c:v>
                </c:pt>
                <c:pt idx="173">
                  <c:v>3.2728494623659386E-4</c:v>
                </c:pt>
                <c:pt idx="174">
                  <c:v>2.0922459893066102E-4</c:v>
                </c:pt>
                <c:pt idx="175">
                  <c:v>2.7393617021266608E-4</c:v>
                </c:pt>
                <c:pt idx="176">
                  <c:v>3.3796296296280029E-4</c:v>
                </c:pt>
                <c:pt idx="177">
                  <c:v>2.8157894736826266E-4</c:v>
                </c:pt>
                <c:pt idx="178">
                  <c:v>2.2578534031419349E-4</c:v>
                </c:pt>
                <c:pt idx="179">
                  <c:v>5.2083333333248952E-5</c:v>
                </c:pt>
                <c:pt idx="180">
                  <c:v>1.7487046632116962E-4</c:v>
                </c:pt>
                <c:pt idx="181">
                  <c:v>3.550257731958844E-4</c:v>
                </c:pt>
                <c:pt idx="182">
                  <c:v>4.166666666666134E-4</c:v>
                </c:pt>
                <c:pt idx="183">
                  <c:v>4.1964285714287834E-4</c:v>
                </c:pt>
                <c:pt idx="184">
                  <c:v>4.2258883248740459E-4</c:v>
                </c:pt>
                <c:pt idx="185">
                  <c:v>4.8295454545457952E-4</c:v>
                </c:pt>
                <c:pt idx="186">
                  <c:v>5.4271356783937286E-4</c:v>
                </c:pt>
                <c:pt idx="187">
                  <c:v>4.8812499999997702E-4</c:v>
                </c:pt>
                <c:pt idx="188">
                  <c:v>4.3407960199003007E-4</c:v>
                </c:pt>
                <c:pt idx="189">
                  <c:v>4.3688118811866428E-4</c:v>
                </c:pt>
                <c:pt idx="190">
                  <c:v>4.95689655172407E-4</c:v>
                </c:pt>
                <c:pt idx="191">
                  <c:v>5.539215686273856E-4</c:v>
                </c:pt>
                <c:pt idx="192">
                  <c:v>6.670731707316517E-4</c:v>
                </c:pt>
                <c:pt idx="193">
                  <c:v>6.1347087378635563E-4</c:v>
                </c:pt>
                <c:pt idx="194">
                  <c:v>6.1533816425122611E-4</c:v>
                </c:pt>
                <c:pt idx="195">
                  <c:v>5.0781250000014877E-4</c:v>
                </c:pt>
                <c:pt idx="196">
                  <c:v>4.5574162679440952E-4</c:v>
                </c:pt>
                <c:pt idx="197">
                  <c:v>5.125000000000935E-4</c:v>
                </c:pt>
                <c:pt idx="198">
                  <c:v>6.2263033175346508E-4</c:v>
                </c:pt>
                <c:pt idx="199">
                  <c:v>6.2441037735847015E-4</c:v>
                </c:pt>
                <c:pt idx="200">
                  <c:v>6.7957746478865592E-4</c:v>
                </c:pt>
                <c:pt idx="201">
                  <c:v>7.3422897196267372E-4</c:v>
                </c:pt>
                <c:pt idx="202">
                  <c:v>7.354651162790061E-4</c:v>
                </c:pt>
                <c:pt idx="203">
                  <c:v>5.7870370370370161E-4</c:v>
                </c:pt>
                <c:pt idx="204">
                  <c:v>5.8064516129038759E-4</c:v>
                </c:pt>
                <c:pt idx="205">
                  <c:v>5.3038990825694842E-4</c:v>
                </c:pt>
                <c:pt idx="206">
                  <c:v>5.3253424657547627E-4</c:v>
                </c:pt>
                <c:pt idx="207">
                  <c:v>4.8295454545468154E-4</c:v>
                </c:pt>
                <c:pt idx="208">
                  <c:v>5.8823529411779131E-4</c:v>
                </c:pt>
                <c:pt idx="209">
                  <c:v>5.9009009008993501E-4</c:v>
                </c:pt>
                <c:pt idx="210">
                  <c:v>5.919282511209871E-4</c:v>
                </c:pt>
                <c:pt idx="211">
                  <c:v>4.4140624999997047E-4</c:v>
                </c:pt>
                <c:pt idx="212">
                  <c:v>3.9333333333330675E-4</c:v>
                </c:pt>
                <c:pt idx="213">
                  <c:v>3.9601769911508215E-4</c:v>
                </c:pt>
                <c:pt idx="214">
                  <c:v>4.9889867841414323E-4</c:v>
                </c:pt>
                <c:pt idx="215">
                  <c:v>5.5098684210525678E-4</c:v>
                </c:pt>
                <c:pt idx="216">
                  <c:v>6.0262008733618592E-4</c:v>
                </c:pt>
                <c:pt idx="217">
                  <c:v>6.043478260869614E-4</c:v>
                </c:pt>
                <c:pt idx="218">
                  <c:v>6.0606060606067393E-4</c:v>
                </c:pt>
                <c:pt idx="219">
                  <c:v>5.5872844827593241E-4</c:v>
                </c:pt>
                <c:pt idx="220">
                  <c:v>6.0944206008585564E-4</c:v>
                </c:pt>
                <c:pt idx="221">
                  <c:v>5.1388888888885076E-4</c:v>
                </c:pt>
                <c:pt idx="222">
                  <c:v>5.1595744680853455E-4</c:v>
                </c:pt>
                <c:pt idx="223">
                  <c:v>4.6980932203392488E-4</c:v>
                </c:pt>
                <c:pt idx="224">
                  <c:v>3.7605485232064561E-4</c:v>
                </c:pt>
                <c:pt idx="225">
                  <c:v>4.2647058823521447E-4</c:v>
                </c:pt>
                <c:pt idx="226">
                  <c:v>4.2887029288701085E-4</c:v>
                </c:pt>
                <c:pt idx="227">
                  <c:v>2.8906250000003685E-4</c:v>
                </c:pt>
                <c:pt idx="228">
                  <c:v>3.8641078838178749E-4</c:v>
                </c:pt>
                <c:pt idx="229">
                  <c:v>3.8894628099184019E-4</c:v>
                </c:pt>
                <c:pt idx="230">
                  <c:v>3.9146090534979204E-4</c:v>
                </c:pt>
                <c:pt idx="231">
                  <c:v>3.9395491803284431E-4</c:v>
                </c:pt>
                <c:pt idx="232">
                  <c:v>3.9642857142852298E-4</c:v>
                </c:pt>
                <c:pt idx="233">
                  <c:v>4.4512195121941528E-4</c:v>
                </c:pt>
                <c:pt idx="234">
                  <c:v>3.5526315789475031E-4</c:v>
                </c:pt>
                <c:pt idx="235">
                  <c:v>4.0372983870964256E-4</c:v>
                </c:pt>
                <c:pt idx="236">
                  <c:v>4.0612449799199156E-4</c:v>
                </c:pt>
                <c:pt idx="237">
                  <c:v>2.2650000000002101E-4</c:v>
                </c:pt>
                <c:pt idx="238">
                  <c:v>2.2958167330685178E-4</c:v>
                </c:pt>
                <c:pt idx="239">
                  <c:v>1.8750000000008113E-4</c:v>
                </c:pt>
                <c:pt idx="240">
                  <c:v>1.4575098814237583E-4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1B51-4335-814D-53B8B9178B55}"/>
            </c:ext>
          </c:extLst>
        </c:ser>
        <c:ser>
          <c:idx val="37"/>
          <c:order val="37"/>
          <c:tx>
            <c:strRef>
              <c:f>'전류편차_24mA(절대값기준)'!$DA$7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'전류편차_24mA(절대값기준)'!$DA$22:$DA$262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-5.1666666666660423E-4</c:v>
                </c:pt>
                <c:pt idx="3">
                  <c:v>-1.1328125000000591E-3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-1.8437500000000439E-3</c:v>
                </c:pt>
                <c:pt idx="8">
                  <c:v>-2.2500000000000111E-3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5.2604166666674057E-4</c:v>
                </c:pt>
                <c:pt idx="12">
                  <c:v>5.4499999999984444E-4</c:v>
                </c:pt>
                <c:pt idx="13">
                  <c:v>5.6250000000002132E-4</c:v>
                </c:pt>
                <c:pt idx="14">
                  <c:v>5.7870370370370161E-4</c:v>
                </c:pt>
                <c:pt idx="15">
                  <c:v>5.9374999999997624E-4</c:v>
                </c:pt>
                <c:pt idx="16">
                  <c:v>2.1551724137930958E-4</c:v>
                </c:pt>
                <c:pt idx="17">
                  <c:v>2.4166666666664561E-4</c:v>
                </c:pt>
                <c:pt idx="18">
                  <c:v>2.6612903225802447E-4</c:v>
                </c:pt>
                <c:pt idx="19">
                  <c:v>2.8906249999994214E-4</c:v>
                </c:pt>
                <c:pt idx="20">
                  <c:v>-3.4090909090945711E-5</c:v>
                </c:pt>
                <c:pt idx="21">
                  <c:v>-3.6764705882887678E-6</c:v>
                </c:pt>
                <c:pt idx="22">
                  <c:v>-3.0000000000003353E-4</c:v>
                </c:pt>
                <c:pt idx="23">
                  <c:v>-5.7986111111112593E-4</c:v>
                </c:pt>
                <c:pt idx="24">
                  <c:v>-8.4459459459459161E-4</c:v>
                </c:pt>
                <c:pt idx="25">
                  <c:v>1.0197368421054722E-4</c:v>
                </c:pt>
                <c:pt idx="26">
                  <c:v>4.1666666666676883E-4</c:v>
                </c:pt>
                <c:pt idx="27">
                  <c:v>4.3124999999995809E-4</c:v>
                </c:pt>
                <c:pt idx="28">
                  <c:v>1.0000000000000063E-3</c:v>
                </c:pt>
                <c:pt idx="29">
                  <c:v>9.9999999999999156E-4</c:v>
                </c:pt>
                <c:pt idx="30">
                  <c:v>9.9999999999997769E-4</c:v>
                </c:pt>
                <c:pt idx="31">
                  <c:v>9.9999999999996424E-4</c:v>
                </c:pt>
                <c:pt idx="32">
                  <c:v>7.4722222222220155E-4</c:v>
                </c:pt>
                <c:pt idx="33">
                  <c:v>7.5271739130431444E-4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1.0000000000001119E-3</c:v>
                </c:pt>
                <c:pt idx="37">
                  <c:v>7.7249999999992039E-4</c:v>
                </c:pt>
                <c:pt idx="38">
                  <c:v>5.539215686273856E-4</c:v>
                </c:pt>
                <c:pt idx="39">
                  <c:v>-9.3750000000003553E-5</c:v>
                </c:pt>
                <c:pt idx="40">
                  <c:v>3.5613207547154053E-4</c:v>
                </c:pt>
                <c:pt idx="41">
                  <c:v>5.7870370370370161E-4</c:v>
                </c:pt>
                <c:pt idx="42">
                  <c:v>5.863636363637151E-4</c:v>
                </c:pt>
                <c:pt idx="43">
                  <c:v>9.999999999999315E-4</c:v>
                </c:pt>
                <c:pt idx="44">
                  <c:v>1.0000000000000106E-3</c:v>
                </c:pt>
                <c:pt idx="45">
                  <c:v>1.0000000000000872E-3</c:v>
                </c:pt>
                <c:pt idx="46">
                  <c:v>9.9999999999998961E-4</c:v>
                </c:pt>
                <c:pt idx="47">
                  <c:v>8.1041666666666718E-4</c:v>
                </c:pt>
                <c:pt idx="48">
                  <c:v>6.2704918032787987E-4</c:v>
                </c:pt>
                <c:pt idx="49">
                  <c:v>4.4959677419356957E-4</c:v>
                </c:pt>
                <c:pt idx="50">
                  <c:v>4.5833333333342472E-4</c:v>
                </c:pt>
                <c:pt idx="51">
                  <c:v>4.6679687499984358E-4</c:v>
                </c:pt>
                <c:pt idx="52">
                  <c:v>6.4999999999997276E-4</c:v>
                </c:pt>
                <c:pt idx="53">
                  <c:v>3.1060606060613909E-4</c:v>
                </c:pt>
                <c:pt idx="54">
                  <c:v>3.2089552238805249E-4</c:v>
                </c:pt>
                <c:pt idx="55">
                  <c:v>-5.0551470588242541E-4</c:v>
                </c:pt>
                <c:pt idx="56">
                  <c:v>-4.8369565217392014E-4</c:v>
                </c:pt>
                <c:pt idx="57">
                  <c:v>1.8749999999998488E-4</c:v>
                </c:pt>
                <c:pt idx="58">
                  <c:v>1.9894366197187866E-4</c:v>
                </c:pt>
                <c:pt idx="59">
                  <c:v>3.6805555555557669E-4</c:v>
                </c:pt>
                <c:pt idx="60">
                  <c:v>3.767123287670666E-4</c:v>
                </c:pt>
                <c:pt idx="61">
                  <c:v>3.8513513513513924E-4</c:v>
                </c:pt>
                <c:pt idx="62">
                  <c:v>5.4500000000011397E-4</c:v>
                </c:pt>
                <c:pt idx="63">
                  <c:v>2.516447368420432E-4</c:v>
                </c:pt>
                <c:pt idx="64">
                  <c:v>4.0909090909095489E-4</c:v>
                </c:pt>
                <c:pt idx="65">
                  <c:v>7.0833333333340342E-4</c:v>
                </c:pt>
                <c:pt idx="66">
                  <c:v>2.8006329113922161E-4</c:v>
                </c:pt>
                <c:pt idx="67">
                  <c:v>7.1562500000005302E-4</c:v>
                </c:pt>
                <c:pt idx="68">
                  <c:v>5.7870370370376406E-4</c:v>
                </c:pt>
                <c:pt idx="69">
                  <c:v>-1.0975609756097029E-4</c:v>
                </c:pt>
                <c:pt idx="70">
                  <c:v>3.1475903614465266E-4</c:v>
                </c:pt>
                <c:pt idx="71">
                  <c:v>-2.1875000000005454E-4</c:v>
                </c:pt>
                <c:pt idx="72">
                  <c:v>1.9705882352942533E-4</c:v>
                </c:pt>
                <c:pt idx="73">
                  <c:v>-5.8139534883744224E-5</c:v>
                </c:pt>
                <c:pt idx="74">
                  <c:v>-1.7672413793105011E-4</c:v>
                </c:pt>
                <c:pt idx="75">
                  <c:v>6.1221590909085874E-4</c:v>
                </c:pt>
                <c:pt idx="76">
                  <c:v>2.3314606741571591E-4</c:v>
                </c:pt>
                <c:pt idx="77">
                  <c:v>-1.1111111111160463E-5</c:v>
                </c:pt>
                <c:pt idx="78">
                  <c:v>9.9999999999988987E-4</c:v>
                </c:pt>
                <c:pt idx="79">
                  <c:v>5.054347826087993E-4</c:v>
                </c:pt>
                <c:pt idx="80">
                  <c:v>3.8844086021516319E-4</c:v>
                </c:pt>
                <c:pt idx="81">
                  <c:v>3.9494680851047132E-4</c:v>
                </c:pt>
                <c:pt idx="82">
                  <c:v>6.4078947368406572E-4</c:v>
                </c:pt>
                <c:pt idx="83">
                  <c:v>1.7057291666672711E-4</c:v>
                </c:pt>
                <c:pt idx="84">
                  <c:v>2.9639175257725606E-4</c:v>
                </c:pt>
                <c:pt idx="85">
                  <c:v>3.0357142857151409E-4</c:v>
                </c:pt>
                <c:pt idx="86">
                  <c:v>1.9570707070716187E-4</c:v>
                </c:pt>
                <c:pt idx="87">
                  <c:v>8.9999999999894608E-5</c:v>
                </c:pt>
                <c:pt idx="88">
                  <c:v>-1.3613861386236594E-5</c:v>
                </c:pt>
                <c:pt idx="89">
                  <c:v>1.0784313725488572E-4</c:v>
                </c:pt>
                <c:pt idx="90">
                  <c:v>3.3737864077670177E-4</c:v>
                </c:pt>
                <c:pt idx="91">
                  <c:v>4.5312500000008193E-4</c:v>
                </c:pt>
                <c:pt idx="92">
                  <c:v>5.666666666668263E-4</c:v>
                </c:pt>
                <c:pt idx="93">
                  <c:v>3.5613207547154053E-4</c:v>
                </c:pt>
                <c:pt idx="94">
                  <c:v>5.7476635514023774E-4</c:v>
                </c:pt>
                <c:pt idx="95">
                  <c:v>2.6273148148146748E-4</c:v>
                </c:pt>
                <c:pt idx="96">
                  <c:v>3.7385321100923602E-4</c:v>
                </c:pt>
                <c:pt idx="97">
                  <c:v>1.7272727272739702E-4</c:v>
                </c:pt>
                <c:pt idx="98">
                  <c:v>1.801801801800703E-4</c:v>
                </c:pt>
                <c:pt idx="99">
                  <c:v>2.8906249999996469E-4</c:v>
                </c:pt>
                <c:pt idx="100">
                  <c:v>9.4026548672592857E-5</c:v>
                </c:pt>
                <c:pt idx="101">
                  <c:v>-9.7587719298158416E-5</c:v>
                </c:pt>
                <c:pt idx="102">
                  <c:v>-8.8043478260832356E-5</c:v>
                </c:pt>
                <c:pt idx="103">
                  <c:v>-2.7478448275852394E-4</c:v>
                </c:pt>
                <c:pt idx="104">
                  <c:v>-5.5555555555569173E-4</c:v>
                </c:pt>
                <c:pt idx="105">
                  <c:v>-2.5317796610169571E-4</c:v>
                </c:pt>
                <c:pt idx="106">
                  <c:v>-3.3823529411764245E-4</c:v>
                </c:pt>
                <c:pt idx="107">
                  <c:v>-3.2708333333337597E-4</c:v>
                </c:pt>
                <c:pt idx="108">
                  <c:v>-3.1611570247926091E-4</c:v>
                </c:pt>
                <c:pt idx="109">
                  <c:v>-3.9856557377040925E-4</c:v>
                </c:pt>
                <c:pt idx="110">
                  <c:v>-2.9471544715448691E-4</c:v>
                </c:pt>
                <c:pt idx="111">
                  <c:v>-1.0080645161290286E-4</c:v>
                </c:pt>
                <c:pt idx="112">
                  <c:v>-1.829999999999945E-4</c:v>
                </c:pt>
                <c:pt idx="113">
                  <c:v>-1.7361111111115058E-4</c:v>
                </c:pt>
                <c:pt idx="114">
                  <c:v>-2.5393700787389075E-4</c:v>
                </c:pt>
                <c:pt idx="115">
                  <c:v>-4.2187500000013736E-4</c:v>
                </c:pt>
                <c:pt idx="116">
                  <c:v>-3.2267441860472365E-4</c:v>
                </c:pt>
                <c:pt idx="117">
                  <c:v>-4.8750000000001846E-4</c:v>
                </c:pt>
                <c:pt idx="118">
                  <c:v>-5.6297709923665469E-4</c:v>
                </c:pt>
                <c:pt idx="119">
                  <c:v>-7.2348484848480915E-4</c:v>
                </c:pt>
                <c:pt idx="120">
                  <c:v>-7.1052631578947731E-4</c:v>
                </c:pt>
                <c:pt idx="121">
                  <c:v>-6.1287313432845103E-4</c:v>
                </c:pt>
                <c:pt idx="122">
                  <c:v>-5.1666666666669769E-4</c:v>
                </c:pt>
                <c:pt idx="123">
                  <c:v>-6.7279411764703859E-4</c:v>
                </c:pt>
                <c:pt idx="124">
                  <c:v>-4.9452554744522132E-4</c:v>
                </c:pt>
                <c:pt idx="125">
                  <c:v>-4.8369565217392014E-4</c:v>
                </c:pt>
                <c:pt idx="126">
                  <c:v>-4.7302158273371535E-4</c:v>
                </c:pt>
                <c:pt idx="127">
                  <c:v>-4.6250000000008784E-4</c:v>
                </c:pt>
                <c:pt idx="128">
                  <c:v>-3.7145390070924861E-4</c:v>
                </c:pt>
                <c:pt idx="129">
                  <c:v>-5.2200704225350072E-4</c:v>
                </c:pt>
                <c:pt idx="130">
                  <c:v>-5.113636363636557E-4</c:v>
                </c:pt>
                <c:pt idx="131">
                  <c:v>-5.7986111111112593E-4</c:v>
                </c:pt>
                <c:pt idx="132">
                  <c:v>-6.4741379310331924E-4</c:v>
                </c:pt>
                <c:pt idx="133">
                  <c:v>-7.140410958904167E-4</c:v>
                </c:pt>
                <c:pt idx="134">
                  <c:v>-7.7976190476190615E-4</c:v>
                </c:pt>
                <c:pt idx="135">
                  <c:v>-9.9831081081085907E-4</c:v>
                </c:pt>
                <c:pt idx="136">
                  <c:v>-1.061241610738163E-3</c:v>
                </c:pt>
                <c:pt idx="137">
                  <c:v>-8.9583333333322914E-4</c:v>
                </c:pt>
                <c:pt idx="138">
                  <c:v>-8.0794701986765911E-4</c:v>
                </c:pt>
                <c:pt idx="139">
                  <c:v>-8.7088815789470848E-4</c:v>
                </c:pt>
                <c:pt idx="140">
                  <c:v>-8.5866013071896302E-4</c:v>
                </c:pt>
                <c:pt idx="141">
                  <c:v>-1.0681818181818722E-3</c:v>
                </c:pt>
                <c:pt idx="142">
                  <c:v>-8.3467741935479018E-4</c:v>
                </c:pt>
                <c:pt idx="143">
                  <c:v>-8.9583333333328097E-4</c:v>
                </c:pt>
                <c:pt idx="144">
                  <c:v>-7.3885350318477763E-4</c:v>
                </c:pt>
                <c:pt idx="145">
                  <c:v>-8.7183544303799459E-4</c:v>
                </c:pt>
                <c:pt idx="146">
                  <c:v>-7.1698113207547935E-4</c:v>
                </c:pt>
                <c:pt idx="147">
                  <c:v>-7.06250000000043E-4</c:v>
                </c:pt>
                <c:pt idx="148">
                  <c:v>-7.6630434782600019E-4</c:v>
                </c:pt>
                <c:pt idx="149">
                  <c:v>-8.2561728395052711E-4</c:v>
                </c:pt>
                <c:pt idx="150">
                  <c:v>-8.1441717791417938E-4</c:v>
                </c:pt>
                <c:pt idx="151">
                  <c:v>-8.7271341463421098E-4</c:v>
                </c:pt>
                <c:pt idx="152">
                  <c:v>-1.0681818181818021E-3</c:v>
                </c:pt>
                <c:pt idx="153">
                  <c:v>-8.5015060240964889E-4</c:v>
                </c:pt>
                <c:pt idx="154">
                  <c:v>-7.028443113772443E-4</c:v>
                </c:pt>
                <c:pt idx="155">
                  <c:v>-6.9270833333336568E-4</c:v>
                </c:pt>
                <c:pt idx="156">
                  <c:v>-6.8269230769237336E-4</c:v>
                </c:pt>
                <c:pt idx="157">
                  <c:v>-6.7279411764703859E-4</c:v>
                </c:pt>
                <c:pt idx="158">
                  <c:v>-6.6301169590644578E-4</c:v>
                </c:pt>
                <c:pt idx="159">
                  <c:v>-6.533430232557423E-4</c:v>
                </c:pt>
                <c:pt idx="160">
                  <c:v>-5.122832369941373E-4</c:v>
                </c:pt>
                <c:pt idx="161">
                  <c:v>-5.689655172414098E-4</c:v>
                </c:pt>
                <c:pt idx="162">
                  <c:v>-5.6000000000006262E-4</c:v>
                </c:pt>
                <c:pt idx="163">
                  <c:v>-6.1576704545460409E-4</c:v>
                </c:pt>
                <c:pt idx="164">
                  <c:v>-6.0663841807907218E-4</c:v>
                </c:pt>
                <c:pt idx="165">
                  <c:v>-6.6151685393255695E-4</c:v>
                </c:pt>
                <c:pt idx="166">
                  <c:v>-6.5223463687140004E-4</c:v>
                </c:pt>
                <c:pt idx="167">
                  <c:v>-8.3263888888893188E-4</c:v>
                </c:pt>
                <c:pt idx="168">
                  <c:v>-8.8535911602213868E-4</c:v>
                </c:pt>
                <c:pt idx="169">
                  <c:v>-8.7499999999995914E-4</c:v>
                </c:pt>
                <c:pt idx="170">
                  <c:v>-7.4043715846989415E-4</c:v>
                </c:pt>
                <c:pt idx="171">
                  <c:v>-7.3097826086943529E-4</c:v>
                </c:pt>
                <c:pt idx="172">
                  <c:v>-7.2162162162163219E-4</c:v>
                </c:pt>
                <c:pt idx="173">
                  <c:v>-7.1236559139778183E-4</c:v>
                </c:pt>
                <c:pt idx="174">
                  <c:v>-7.0320855614958752E-4</c:v>
                </c:pt>
                <c:pt idx="175">
                  <c:v>-8.1515957446822611E-4</c:v>
                </c:pt>
                <c:pt idx="176">
                  <c:v>-6.250000000000565E-4</c:v>
                </c:pt>
                <c:pt idx="177">
                  <c:v>-6.7631578947373707E-4</c:v>
                </c:pt>
                <c:pt idx="178">
                  <c:v>-6.675392670156832E-4</c:v>
                </c:pt>
                <c:pt idx="179">
                  <c:v>-5.9960937500003891E-4</c:v>
                </c:pt>
                <c:pt idx="180">
                  <c:v>-5.9132124352327946E-4</c:v>
                </c:pt>
                <c:pt idx="181">
                  <c:v>-5.2448453608249944E-4</c:v>
                </c:pt>
                <c:pt idx="182">
                  <c:v>-5.1666666666661714E-4</c:v>
                </c:pt>
                <c:pt idx="183">
                  <c:v>-5.6696428571423318E-4</c:v>
                </c:pt>
                <c:pt idx="184">
                  <c:v>-5.5901015228413786E-4</c:v>
                </c:pt>
                <c:pt idx="185">
                  <c:v>-5.5113636363636888E-4</c:v>
                </c:pt>
                <c:pt idx="186">
                  <c:v>-5.433417085426457E-4</c:v>
                </c:pt>
                <c:pt idx="187">
                  <c:v>-4.2187500000012473E-4</c:v>
                </c:pt>
                <c:pt idx="188">
                  <c:v>-3.5820895522386322E-4</c:v>
                </c:pt>
                <c:pt idx="189">
                  <c:v>-3.5148514851496228E-4</c:v>
                </c:pt>
                <c:pt idx="190">
                  <c:v>-3.4482758620693512E-4</c:v>
                </c:pt>
                <c:pt idx="191">
                  <c:v>-2.824754901961755E-4</c:v>
                </c:pt>
                <c:pt idx="192">
                  <c:v>-2.2073170731703098E-4</c:v>
                </c:pt>
                <c:pt idx="193">
                  <c:v>-2.1480582524260587E-4</c:v>
                </c:pt>
                <c:pt idx="194">
                  <c:v>-2.0893719806764578E-4</c:v>
                </c:pt>
                <c:pt idx="195">
                  <c:v>-1.484374999998761E-4</c:v>
                </c:pt>
                <c:pt idx="196">
                  <c:v>-1.4294258373205788E-4</c:v>
                </c:pt>
                <c:pt idx="197">
                  <c:v>-1.9166666666666407E-4</c:v>
                </c:pt>
                <c:pt idx="198">
                  <c:v>-1.8601895734609154E-4</c:v>
                </c:pt>
                <c:pt idx="199">
                  <c:v>-3.4139150943401919E-4</c:v>
                </c:pt>
                <c:pt idx="200">
                  <c:v>-3.3509389671360339E-4</c:v>
                </c:pt>
                <c:pt idx="201">
                  <c:v>-2.2254672897194198E-4</c:v>
                </c:pt>
                <c:pt idx="202">
                  <c:v>-2.1686046511637885E-4</c:v>
                </c:pt>
                <c:pt idx="203">
                  <c:v>-2.6388888888879817E-4</c:v>
                </c:pt>
                <c:pt idx="204">
                  <c:v>-1.0080645161292614E-4</c:v>
                </c:pt>
                <c:pt idx="205">
                  <c:v>-1.4793577981653364E-4</c:v>
                </c:pt>
                <c:pt idx="206">
                  <c:v>-9.0753424657424137E-5</c:v>
                </c:pt>
                <c:pt idx="207">
                  <c:v>-1.3749999999988747E-4</c:v>
                </c:pt>
                <c:pt idx="208">
                  <c:v>-1.3235294117647562E-4</c:v>
                </c:pt>
                <c:pt idx="209">
                  <c:v>-1.2725225225237375E-4</c:v>
                </c:pt>
                <c:pt idx="210">
                  <c:v>-1.2219730941709611E-4</c:v>
                </c:pt>
                <c:pt idx="211">
                  <c:v>-1.6796875000005262E-4</c:v>
                </c:pt>
                <c:pt idx="212">
                  <c:v>-1.6277777777776552E-4</c:v>
                </c:pt>
                <c:pt idx="213">
                  <c:v>-2.0796460176989646E-4</c:v>
                </c:pt>
                <c:pt idx="214">
                  <c:v>-3.0286343612339142E-4</c:v>
                </c:pt>
                <c:pt idx="215">
                  <c:v>-3.9692982456132766E-4</c:v>
                </c:pt>
                <c:pt idx="216">
                  <c:v>-4.9017467248906532E-4</c:v>
                </c:pt>
                <c:pt idx="217">
                  <c:v>-3.3532608695643532E-4</c:v>
                </c:pt>
                <c:pt idx="218">
                  <c:v>-3.2954545454548051E-4</c:v>
                </c:pt>
                <c:pt idx="219">
                  <c:v>-3.2381465517237698E-4</c:v>
                </c:pt>
                <c:pt idx="220">
                  <c:v>-3.6695278969953139E-4</c:v>
                </c:pt>
                <c:pt idx="221">
                  <c:v>-3.6111111111118233E-4</c:v>
                </c:pt>
                <c:pt idx="222">
                  <c:v>-3.5531914893617924E-4</c:v>
                </c:pt>
                <c:pt idx="223">
                  <c:v>-3.4957627118655931E-4</c:v>
                </c:pt>
                <c:pt idx="224">
                  <c:v>-3.9187763713074655E-4</c:v>
                </c:pt>
                <c:pt idx="225">
                  <c:v>-4.8161764705882437E-4</c:v>
                </c:pt>
                <c:pt idx="226">
                  <c:v>-4.2782426778247766E-4</c:v>
                </c:pt>
                <c:pt idx="227">
                  <c:v>-4.6927083333338134E-4</c:v>
                </c:pt>
                <c:pt idx="228">
                  <c:v>-4.6317427385890865E-4</c:v>
                </c:pt>
                <c:pt idx="229">
                  <c:v>-5.5113636363623899E-4</c:v>
                </c:pt>
                <c:pt idx="230">
                  <c:v>-6.3837448559663824E-4</c:v>
                </c:pt>
                <c:pt idx="231">
                  <c:v>-7.2489754098359165E-4</c:v>
                </c:pt>
                <c:pt idx="232">
                  <c:v>-7.6428571428586165E-4</c:v>
                </c:pt>
                <c:pt idx="233">
                  <c:v>-7.5711382113829897E-4</c:v>
                </c:pt>
                <c:pt idx="234">
                  <c:v>-7.0394736842102471E-4</c:v>
                </c:pt>
                <c:pt idx="235">
                  <c:v>-7.4294354838706637E-4</c:v>
                </c:pt>
                <c:pt idx="236">
                  <c:v>-7.8162650602406358E-4</c:v>
                </c:pt>
                <c:pt idx="237">
                  <c:v>-8.1999999999996475E-4</c:v>
                </c:pt>
                <c:pt idx="238">
                  <c:v>-8.1274900398413169E-4</c:v>
                </c:pt>
                <c:pt idx="239">
                  <c:v>-8.0555555555556553E-4</c:v>
                </c:pt>
                <c:pt idx="240">
                  <c:v>-7.9841897233196826E-4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1B51-4335-814D-53B8B9178B55}"/>
            </c:ext>
          </c:extLst>
        </c:ser>
        <c:ser>
          <c:idx val="38"/>
          <c:order val="38"/>
          <c:tx>
            <c:strRef>
              <c:f>'전류편차_24mA(절대값기준)'!$DB$7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'전류편차_24mA(절대값기준)'!$DB$22:$DB$262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9.999999999999315E-4</c:v>
                </c:pt>
                <c:pt idx="2">
                  <c:v>1.7583333333333136E-3</c:v>
                </c:pt>
                <c:pt idx="3">
                  <c:v>2.8906249999994214E-4</c:v>
                </c:pt>
                <c:pt idx="4">
                  <c:v>3.3088235294123473E-4</c:v>
                </c:pt>
                <c:pt idx="5">
                  <c:v>-1.5277777777776883E-3</c:v>
                </c:pt>
                <c:pt idx="6">
                  <c:v>-1.9934210526315931E-3</c:v>
                </c:pt>
                <c:pt idx="7">
                  <c:v>-1.8437500000000439E-3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1.086956521732977E-5</c:v>
                </c:pt>
                <c:pt idx="11">
                  <c:v>1.4739583333333028E-3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5.7870370370370161E-4</c:v>
                </c:pt>
                <c:pt idx="15">
                  <c:v>1.8750000000002098E-4</c:v>
                </c:pt>
                <c:pt idx="16">
                  <c:v>6.0775862068978539E-4</c:v>
                </c:pt>
                <c:pt idx="17">
                  <c:v>-1.374999999999793E-4</c:v>
                </c:pt>
                <c:pt idx="18">
                  <c:v>2.6612903225802447E-4</c:v>
                </c:pt>
                <c:pt idx="19">
                  <c:v>-6.6406250000018707E-5</c:v>
                </c:pt>
                <c:pt idx="20">
                  <c:v>-3.7878787878787743E-4</c:v>
                </c:pt>
                <c:pt idx="21">
                  <c:v>-6.7279411764703859E-4</c:v>
                </c:pt>
                <c:pt idx="22">
                  <c:v>-1.6000000000000346E-3</c:v>
                </c:pt>
                <c:pt idx="23">
                  <c:v>-5.7986111111112593E-4</c:v>
                </c:pt>
                <c:pt idx="24">
                  <c:v>7.770270270274065E-5</c:v>
                </c:pt>
                <c:pt idx="25">
                  <c:v>1.0197368421054722E-4</c:v>
                </c:pt>
                <c:pt idx="26">
                  <c:v>4.1666666666676883E-4</c:v>
                </c:pt>
                <c:pt idx="27">
                  <c:v>1.0000000000000217E-3</c:v>
                </c:pt>
                <c:pt idx="28">
                  <c:v>1.2774390243902197E-3</c:v>
                </c:pt>
                <c:pt idx="29">
                  <c:v>1.8124999999999021E-3</c:v>
                </c:pt>
                <c:pt idx="30">
                  <c:v>9.9999999999997769E-4</c:v>
                </c:pt>
                <c:pt idx="31">
                  <c:v>9.9999999999996424E-4</c:v>
                </c:pt>
                <c:pt idx="32">
                  <c:v>7.4722222222220155E-4</c:v>
                </c:pt>
                <c:pt idx="33">
                  <c:v>7.5271739130431444E-4</c:v>
                </c:pt>
                <c:pt idx="34">
                  <c:v>1.242021276595538E-3</c:v>
                </c:pt>
                <c:pt idx="35">
                  <c:v>2.8906249999999478E-4</c:v>
                </c:pt>
                <c:pt idx="36">
                  <c:v>7.142857142857943E-5</c:v>
                </c:pt>
                <c:pt idx="37">
                  <c:v>8.9999999999894608E-5</c:v>
                </c:pt>
                <c:pt idx="38">
                  <c:v>-5.612745098039631E-4</c:v>
                </c:pt>
                <c:pt idx="39">
                  <c:v>-9.3750000000003553E-5</c:v>
                </c:pt>
                <c:pt idx="40">
                  <c:v>5.7075471698104618E-4</c:v>
                </c:pt>
                <c:pt idx="41">
                  <c:v>7.8935185185192015E-4</c:v>
                </c:pt>
                <c:pt idx="42">
                  <c:v>3.7954545454546427E-4</c:v>
                </c:pt>
                <c:pt idx="43">
                  <c:v>5.9374999999997624E-4</c:v>
                </c:pt>
                <c:pt idx="44">
                  <c:v>4.0131578947367216E-4</c:v>
                </c:pt>
                <c:pt idx="45">
                  <c:v>8.0387931034484918E-4</c:v>
                </c:pt>
                <c:pt idx="46">
                  <c:v>6.14406779661049E-4</c:v>
                </c:pt>
                <c:pt idx="47">
                  <c:v>8.1041666666666718E-4</c:v>
                </c:pt>
                <c:pt idx="48">
                  <c:v>2.5409836065578981E-4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2.8906249999994214E-4</c:v>
                </c:pt>
                <c:pt idx="52">
                  <c:v>-4.9999999999950082E-5</c:v>
                </c:pt>
                <c:pt idx="53">
                  <c:v>-5.5113636363626674E-4</c:v>
                </c:pt>
                <c:pt idx="54">
                  <c:v>-8.6753731343293828E-4</c:v>
                </c:pt>
                <c:pt idx="55">
                  <c:v>-1.0073529411764135E-3</c:v>
                </c:pt>
                <c:pt idx="56">
                  <c:v>-6.4855072463759691E-4</c:v>
                </c:pt>
                <c:pt idx="57">
                  <c:v>-1.3750000000012363E-4</c:v>
                </c:pt>
                <c:pt idx="58">
                  <c:v>-4.4190140845072829E-4</c:v>
                </c:pt>
                <c:pt idx="59">
                  <c:v>-1.059027777777746E-4</c:v>
                </c:pt>
                <c:pt idx="60">
                  <c:v>-5.5821917808228393E-4</c:v>
                </c:pt>
                <c:pt idx="61">
                  <c:v>-7.6013513513526899E-5</c:v>
                </c:pt>
                <c:pt idx="62">
                  <c:v>-2.1333333333333797E-4</c:v>
                </c:pt>
                <c:pt idx="63">
                  <c:v>-1.9736842105271064E-4</c:v>
                </c:pt>
                <c:pt idx="64">
                  <c:v>-1.8181818181820216E-4</c:v>
                </c:pt>
                <c:pt idx="65">
                  <c:v>-3.1249999999988232E-4</c:v>
                </c:pt>
                <c:pt idx="66">
                  <c:v>-4.3987341772152254E-4</c:v>
                </c:pt>
                <c:pt idx="67">
                  <c:v>-4.2187499999994801E-4</c:v>
                </c:pt>
                <c:pt idx="68">
                  <c:v>-4.0432098765421482E-4</c:v>
                </c:pt>
                <c:pt idx="69">
                  <c:v>-5.2591463414635191E-4</c:v>
                </c:pt>
                <c:pt idx="70">
                  <c:v>-1.4668674698795519E-3</c:v>
                </c:pt>
                <c:pt idx="71">
                  <c:v>-1.166666666666677E-3</c:v>
                </c:pt>
                <c:pt idx="72">
                  <c:v>-6.0588235294119328E-4</c:v>
                </c:pt>
                <c:pt idx="73">
                  <c:v>-7.194767441860557E-4</c:v>
                </c:pt>
                <c:pt idx="74">
                  <c:v>-6.9971264367823507E-4</c:v>
                </c:pt>
                <c:pt idx="75">
                  <c:v>-2.926136363636445E-4</c:v>
                </c:pt>
                <c:pt idx="76">
                  <c:v>-7.8932584269664457E-4</c:v>
                </c:pt>
                <c:pt idx="77">
                  <c:v>-8.9583333333334136E-4</c:v>
                </c:pt>
                <c:pt idx="78">
                  <c:v>-4.9999999999994493E-4</c:v>
                </c:pt>
                <c:pt idx="79">
                  <c:v>-8.5461956521741241E-4</c:v>
                </c:pt>
                <c:pt idx="80">
                  <c:v>-8.3467741935470323E-4</c:v>
                </c:pt>
                <c:pt idx="81">
                  <c:v>-9.3617021276603141E-4</c:v>
                </c:pt>
                <c:pt idx="82">
                  <c:v>-9.1578947368434335E-4</c:v>
                </c:pt>
                <c:pt idx="83">
                  <c:v>-1.2513020833333267E-3</c:v>
                </c:pt>
                <c:pt idx="84">
                  <c:v>-1.2280927835052065E-3</c:v>
                </c:pt>
                <c:pt idx="85">
                  <c:v>-1.6696428571427091E-3</c:v>
                </c:pt>
                <c:pt idx="86">
                  <c:v>-1.987373737373661E-3</c:v>
                </c:pt>
                <c:pt idx="87">
                  <c:v>-2.0712500000001199E-3</c:v>
                </c:pt>
                <c:pt idx="88">
                  <c:v>-1.81559405940604E-3</c:v>
                </c:pt>
                <c:pt idx="89">
                  <c:v>-1.7879901960783874E-3</c:v>
                </c:pt>
                <c:pt idx="90">
                  <c:v>-1.7609223300970988E-3</c:v>
                </c:pt>
                <c:pt idx="91">
                  <c:v>-1.7343749999998714E-3</c:v>
                </c:pt>
                <c:pt idx="92">
                  <c:v>-1.7083333333332601E-3</c:v>
                </c:pt>
                <c:pt idx="93">
                  <c:v>-1.7900943396227532E-3</c:v>
                </c:pt>
                <c:pt idx="94">
                  <c:v>-1.8703271028038431E-3</c:v>
                </c:pt>
                <c:pt idx="95">
                  <c:v>-1.7384259259259534E-3</c:v>
                </c:pt>
                <c:pt idx="96">
                  <c:v>-1.6089449541283921E-3</c:v>
                </c:pt>
                <c:pt idx="97">
                  <c:v>-1.7920454545453436E-3</c:v>
                </c:pt>
                <c:pt idx="98">
                  <c:v>-1.5619369369369914E-3</c:v>
                </c:pt>
                <c:pt idx="99">
                  <c:v>-1.8437500000001161E-3</c:v>
                </c:pt>
                <c:pt idx="100">
                  <c:v>-1.9192477876107288E-3</c:v>
                </c:pt>
                <c:pt idx="101">
                  <c:v>-2.0932017543860123E-3</c:v>
                </c:pt>
                <c:pt idx="102">
                  <c:v>-2.3630434782608016E-3</c:v>
                </c:pt>
                <c:pt idx="103">
                  <c:v>-2.4321120689654442E-3</c:v>
                </c:pt>
                <c:pt idx="104">
                  <c:v>-2.4027777777779263E-3</c:v>
                </c:pt>
                <c:pt idx="105">
                  <c:v>-2.1811440677965699E-3</c:v>
                </c:pt>
                <c:pt idx="106">
                  <c:v>-2.1544117647058899E-3</c:v>
                </c:pt>
                <c:pt idx="107">
                  <c:v>-2.1281250000000549E-3</c:v>
                </c:pt>
                <c:pt idx="108">
                  <c:v>-2.1962809917354192E-3</c:v>
                </c:pt>
                <c:pt idx="109">
                  <c:v>-2.0768442622950633E-3</c:v>
                </c:pt>
                <c:pt idx="110">
                  <c:v>-2.144308943089571E-3</c:v>
                </c:pt>
                <c:pt idx="111">
                  <c:v>-2.2106854838709385E-3</c:v>
                </c:pt>
                <c:pt idx="112">
                  <c:v>-2.1850000000000164E-3</c:v>
                </c:pt>
                <c:pt idx="113">
                  <c:v>-1.8888888888889399E-3</c:v>
                </c:pt>
                <c:pt idx="114">
                  <c:v>-2.1348425196849857E-3</c:v>
                </c:pt>
                <c:pt idx="115">
                  <c:v>-2.1103515625001488E-3</c:v>
                </c:pt>
                <c:pt idx="116">
                  <c:v>-1.9980620155039598E-3</c:v>
                </c:pt>
                <c:pt idx="117">
                  <c:v>-2.2374999999999813E-3</c:v>
                </c:pt>
                <c:pt idx="118">
                  <c:v>-2.56011450381678E-3</c:v>
                </c:pt>
                <c:pt idx="119">
                  <c:v>-2.5331439393939687E-3</c:v>
                </c:pt>
                <c:pt idx="120">
                  <c:v>-2.3355263157894884E-3</c:v>
                </c:pt>
                <c:pt idx="121">
                  <c:v>-2.3106343283582653E-3</c:v>
                </c:pt>
                <c:pt idx="122">
                  <c:v>-2.2861111111112092E-3</c:v>
                </c:pt>
                <c:pt idx="123">
                  <c:v>-2.0110294117646867E-3</c:v>
                </c:pt>
                <c:pt idx="124">
                  <c:v>-1.9890510948905333E-3</c:v>
                </c:pt>
                <c:pt idx="125">
                  <c:v>-2.1322463768115663E-3</c:v>
                </c:pt>
                <c:pt idx="126">
                  <c:v>-2.2733812949639509E-3</c:v>
                </c:pt>
                <c:pt idx="127">
                  <c:v>-2.3312500000000624E-3</c:v>
                </c:pt>
                <c:pt idx="128">
                  <c:v>-2.3076241134751363E-3</c:v>
                </c:pt>
                <c:pt idx="129">
                  <c:v>-2.3644366197182643E-3</c:v>
                </c:pt>
                <c:pt idx="130">
                  <c:v>-2.4204545454544961E-3</c:v>
                </c:pt>
                <c:pt idx="131">
                  <c:v>-2.3967013888888792E-3</c:v>
                </c:pt>
                <c:pt idx="132">
                  <c:v>-2.5301724137930461E-3</c:v>
                </c:pt>
                <c:pt idx="133">
                  <c:v>-2.8176369863014551E-3</c:v>
                </c:pt>
                <c:pt idx="134">
                  <c:v>-3.0238095238095185E-3</c:v>
                </c:pt>
                <c:pt idx="135">
                  <c:v>-2.9966216216216549E-3</c:v>
                </c:pt>
                <c:pt idx="136">
                  <c:v>-3.0461409395973441E-3</c:v>
                </c:pt>
                <c:pt idx="137">
                  <c:v>-3.019166666666598E-3</c:v>
                </c:pt>
                <c:pt idx="138">
                  <c:v>-2.9172185430463684E-3</c:v>
                </c:pt>
                <c:pt idx="139">
                  <c:v>-2.8914473684211006E-3</c:v>
                </c:pt>
                <c:pt idx="140">
                  <c:v>-3.1633986928105095E-3</c:v>
                </c:pt>
                <c:pt idx="141">
                  <c:v>-3.0624999999999984E-3</c:v>
                </c:pt>
                <c:pt idx="142">
                  <c:v>-3.0362903225805496E-3</c:v>
                </c:pt>
                <c:pt idx="143">
                  <c:v>-3.1562499999999902E-3</c:v>
                </c:pt>
                <c:pt idx="144">
                  <c:v>-3.2022292993631719E-3</c:v>
                </c:pt>
                <c:pt idx="145">
                  <c:v>-3.3916139240506632E-3</c:v>
                </c:pt>
                <c:pt idx="146">
                  <c:v>-3.4355345911949945E-3</c:v>
                </c:pt>
                <c:pt idx="147">
                  <c:v>-3.2656250000000137E-3</c:v>
                </c:pt>
                <c:pt idx="148">
                  <c:v>-3.3804347826086661E-3</c:v>
                </c:pt>
                <c:pt idx="149">
                  <c:v>-3.6342592592592342E-3</c:v>
                </c:pt>
                <c:pt idx="150">
                  <c:v>-3.7453987730061908E-3</c:v>
                </c:pt>
                <c:pt idx="151">
                  <c:v>-3.9245426829268041E-3</c:v>
                </c:pt>
                <c:pt idx="152">
                  <c:v>-3.894696969696979E-3</c:v>
                </c:pt>
                <c:pt idx="153">
                  <c:v>-3.7281626506024076E-3</c:v>
                </c:pt>
                <c:pt idx="154">
                  <c:v>-3.9041916167663858E-3</c:v>
                </c:pt>
                <c:pt idx="155">
                  <c:v>-3.8072916666667769E-3</c:v>
                </c:pt>
                <c:pt idx="156">
                  <c:v>-3.7115384615385221E-3</c:v>
                </c:pt>
                <c:pt idx="157">
                  <c:v>-3.8176470588235489E-3</c:v>
                </c:pt>
                <c:pt idx="158">
                  <c:v>-3.9225146198830201E-3</c:v>
                </c:pt>
                <c:pt idx="159">
                  <c:v>-3.8277616279069082E-3</c:v>
                </c:pt>
                <c:pt idx="160">
                  <c:v>-3.9971098265895672E-3</c:v>
                </c:pt>
                <c:pt idx="161">
                  <c:v>-3.9683908045977058E-3</c:v>
                </c:pt>
                <c:pt idx="162">
                  <c:v>-4.0050000000000007E-3</c:v>
                </c:pt>
                <c:pt idx="163">
                  <c:v>-3.976562500000033E-3</c:v>
                </c:pt>
                <c:pt idx="164">
                  <c:v>-4.0127118644068087E-3</c:v>
                </c:pt>
                <c:pt idx="165">
                  <c:v>-4.0484550561796871E-3</c:v>
                </c:pt>
                <c:pt idx="166">
                  <c:v>-4.2108938547485543E-3</c:v>
                </c:pt>
                <c:pt idx="167">
                  <c:v>-4.3083333333333584E-3</c:v>
                </c:pt>
                <c:pt idx="168">
                  <c:v>-4.279005524861935E-3</c:v>
                </c:pt>
                <c:pt idx="169">
                  <c:v>-4.249999999999976E-3</c:v>
                </c:pt>
                <c:pt idx="170">
                  <c:v>-4.0969945355192015E-3</c:v>
                </c:pt>
                <c:pt idx="171">
                  <c:v>-4.1929347826086235E-3</c:v>
                </c:pt>
                <c:pt idx="172">
                  <c:v>-4.2263513513512768E-3</c:v>
                </c:pt>
                <c:pt idx="173">
                  <c:v>-4.1982526881718905E-3</c:v>
                </c:pt>
                <c:pt idx="174">
                  <c:v>-4.1704545454545319E-3</c:v>
                </c:pt>
                <c:pt idx="175">
                  <c:v>-4.0824468085106881E-3</c:v>
                </c:pt>
                <c:pt idx="176">
                  <c:v>-4.2962962962963492E-3</c:v>
                </c:pt>
                <c:pt idx="177">
                  <c:v>-4.268421052631555E-3</c:v>
                </c:pt>
                <c:pt idx="178">
                  <c:v>-4.3003926701570411E-3</c:v>
                </c:pt>
                <c:pt idx="179">
                  <c:v>-4.3320312499999696E-3</c:v>
                </c:pt>
                <c:pt idx="180">
                  <c:v>-4.4222797927461529E-3</c:v>
                </c:pt>
                <c:pt idx="181">
                  <c:v>-4.4529639175258087E-3</c:v>
                </c:pt>
                <c:pt idx="182">
                  <c:v>-4.4833333333333652E-3</c:v>
                </c:pt>
                <c:pt idx="183">
                  <c:v>-4.6294642857142498E-3</c:v>
                </c:pt>
                <c:pt idx="184">
                  <c:v>-4.4854060913705127E-3</c:v>
                </c:pt>
                <c:pt idx="185">
                  <c:v>-4.4002525252525406E-3</c:v>
                </c:pt>
                <c:pt idx="186">
                  <c:v>-4.5445979899496978E-3</c:v>
                </c:pt>
                <c:pt idx="187">
                  <c:v>-4.4600000000000082E-3</c:v>
                </c:pt>
                <c:pt idx="188">
                  <c:v>-4.5460199004975863E-3</c:v>
                </c:pt>
                <c:pt idx="189">
                  <c:v>-4.518564356435645E-3</c:v>
                </c:pt>
                <c:pt idx="190">
                  <c:v>-4.6034482758621357E-3</c:v>
                </c:pt>
                <c:pt idx="191">
                  <c:v>-4.4644607843137831E-3</c:v>
                </c:pt>
                <c:pt idx="192">
                  <c:v>-4.6597560975610358E-3</c:v>
                </c:pt>
                <c:pt idx="193">
                  <c:v>-4.5218446601942254E-3</c:v>
                </c:pt>
                <c:pt idx="194">
                  <c:v>-4.6600241545893583E-3</c:v>
                </c:pt>
                <c:pt idx="195">
                  <c:v>-4.6874999999999833E-3</c:v>
                </c:pt>
                <c:pt idx="196">
                  <c:v>-4.8235645933013558E-3</c:v>
                </c:pt>
                <c:pt idx="197">
                  <c:v>-4.9041666666666504E-3</c:v>
                </c:pt>
                <c:pt idx="198">
                  <c:v>-4.9300947867300295E-3</c:v>
                </c:pt>
                <c:pt idx="199">
                  <c:v>-5.0094339622641934E-3</c:v>
                </c:pt>
                <c:pt idx="200">
                  <c:v>-4.92781690140855E-3</c:v>
                </c:pt>
                <c:pt idx="201">
                  <c:v>-5.0064252336448319E-3</c:v>
                </c:pt>
                <c:pt idx="202">
                  <c:v>-5.031395348837178E-3</c:v>
                </c:pt>
                <c:pt idx="203">
                  <c:v>-5.003472222222311E-3</c:v>
                </c:pt>
                <c:pt idx="204">
                  <c:v>-5.0806451612902858E-3</c:v>
                </c:pt>
                <c:pt idx="205">
                  <c:v>-5.1049311926605109E-3</c:v>
                </c:pt>
                <c:pt idx="206">
                  <c:v>-5.180936073059382E-3</c:v>
                </c:pt>
                <c:pt idx="207">
                  <c:v>-5.1011363636362557E-3</c:v>
                </c:pt>
                <c:pt idx="208">
                  <c:v>-5.2279411764704214E-3</c:v>
                </c:pt>
                <c:pt idx="209">
                  <c:v>-5.2511261261261382E-3</c:v>
                </c:pt>
                <c:pt idx="210">
                  <c:v>-5.2741031390134618E-3</c:v>
                </c:pt>
                <c:pt idx="211">
                  <c:v>-5.2460937500001248E-3</c:v>
                </c:pt>
                <c:pt idx="212">
                  <c:v>-5.3700000000000648E-3</c:v>
                </c:pt>
                <c:pt idx="213">
                  <c:v>-5.3921460176991768E-3</c:v>
                </c:pt>
                <c:pt idx="214">
                  <c:v>-5.4642070484580921E-3</c:v>
                </c:pt>
                <c:pt idx="215">
                  <c:v>-5.435855263157951E-3</c:v>
                </c:pt>
                <c:pt idx="216">
                  <c:v>-5.3580786026200186E-3</c:v>
                </c:pt>
                <c:pt idx="217">
                  <c:v>-5.3304347826087402E-3</c:v>
                </c:pt>
                <c:pt idx="218">
                  <c:v>-5.204545454545316E-3</c:v>
                </c:pt>
                <c:pt idx="219">
                  <c:v>-5.3248922413792893E-3</c:v>
                </c:pt>
                <c:pt idx="220">
                  <c:v>-5.3953862660942832E-3</c:v>
                </c:pt>
                <c:pt idx="221">
                  <c:v>-5.3680555555557013E-3</c:v>
                </c:pt>
                <c:pt idx="222">
                  <c:v>-5.3409574468085939E-3</c:v>
                </c:pt>
                <c:pt idx="223">
                  <c:v>-5.2176906779661759E-3</c:v>
                </c:pt>
                <c:pt idx="224">
                  <c:v>-5.335443037974702E-3</c:v>
                </c:pt>
                <c:pt idx="225">
                  <c:v>-5.356617647058839E-3</c:v>
                </c:pt>
                <c:pt idx="226">
                  <c:v>-5.3776150627615196E-3</c:v>
                </c:pt>
                <c:pt idx="227">
                  <c:v>-5.3510416666666194E-3</c:v>
                </c:pt>
                <c:pt idx="228">
                  <c:v>-5.3718879668049292E-3</c:v>
                </c:pt>
                <c:pt idx="229">
                  <c:v>-5.3925619834710222E-3</c:v>
                </c:pt>
                <c:pt idx="230">
                  <c:v>-5.5066872427982473E-3</c:v>
                </c:pt>
                <c:pt idx="231">
                  <c:v>-5.5266393442621863E-3</c:v>
                </c:pt>
                <c:pt idx="232">
                  <c:v>-5.4999999999999962E-3</c:v>
                </c:pt>
                <c:pt idx="233">
                  <c:v>-5.4735772357724592E-3</c:v>
                </c:pt>
                <c:pt idx="234">
                  <c:v>-5.4473684210526738E-3</c:v>
                </c:pt>
                <c:pt idx="235">
                  <c:v>-5.4672379032258463E-3</c:v>
                </c:pt>
                <c:pt idx="236">
                  <c:v>-5.4869477911646961E-3</c:v>
                </c:pt>
                <c:pt idx="237">
                  <c:v>-5.5065000000000348E-3</c:v>
                </c:pt>
                <c:pt idx="238">
                  <c:v>-5.4805776892430042E-3</c:v>
                </c:pt>
                <c:pt idx="239">
                  <c:v>-5.4999999999999745E-3</c:v>
                </c:pt>
                <c:pt idx="240">
                  <c:v>-5.5642292490118844E-3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1B51-4335-814D-53B8B9178B55}"/>
            </c:ext>
          </c:extLst>
        </c:ser>
        <c:ser>
          <c:idx val="39"/>
          <c:order val="39"/>
          <c:tx>
            <c:strRef>
              <c:f>'전류편차_24mA(절대값기준)'!$DC$7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'전류편차_24mA(절대값기준)'!$DC$22:$DC$262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3.6805555555557669E-4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-8.3333333333342655E-5</c:v>
                </c:pt>
                <c:pt idx="9">
                  <c:v>-3.4090909090945711E-5</c:v>
                </c:pt>
                <c:pt idx="10">
                  <c:v>1.086956521732977E-5</c:v>
                </c:pt>
                <c:pt idx="11">
                  <c:v>-4.2187500000003214E-4</c:v>
                </c:pt>
                <c:pt idx="12">
                  <c:v>-3.6500000000005528E-4</c:v>
                </c:pt>
                <c:pt idx="13">
                  <c:v>-7.5000000000002842E-4</c:v>
                </c:pt>
                <c:pt idx="14">
                  <c:v>-1.5277777777777349E-3</c:v>
                </c:pt>
                <c:pt idx="15">
                  <c:v>-2.2500000000000714E-3</c:v>
                </c:pt>
                <c:pt idx="16">
                  <c:v>-2.5301724137929762E-3</c:v>
                </c:pt>
                <c:pt idx="17">
                  <c:v>-2.4125000000000656E-3</c:v>
                </c:pt>
                <c:pt idx="18">
                  <c:v>-1.9354838709677025E-3</c:v>
                </c:pt>
                <c:pt idx="19">
                  <c:v>-2.5546875000000604E-3</c:v>
                </c:pt>
                <c:pt idx="20">
                  <c:v>-2.7916666666667057E-3</c:v>
                </c:pt>
                <c:pt idx="21">
                  <c:v>-3.349264705882335E-3</c:v>
                </c:pt>
                <c:pt idx="22">
                  <c:v>-3.225E-3</c:v>
                </c:pt>
                <c:pt idx="23">
                  <c:v>-2.7916666666665782E-3</c:v>
                </c:pt>
                <c:pt idx="24">
                  <c:v>-2.0743243243243224E-3</c:v>
                </c:pt>
                <c:pt idx="25">
                  <c:v>-1.9934210526315931E-3</c:v>
                </c:pt>
                <c:pt idx="26">
                  <c:v>-1.9166666666665666E-3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-1.3808139534883673E-3</c:v>
                </c:pt>
                <c:pt idx="31">
                  <c:v>-1.3267045454545545E-3</c:v>
                </c:pt>
                <c:pt idx="32">
                  <c:v>-1.0222222222222724E-3</c:v>
                </c:pt>
                <c:pt idx="33">
                  <c:v>-7.3097826086943529E-4</c:v>
                </c:pt>
                <c:pt idx="34">
                  <c:v>-6.9414893617042092E-4</c:v>
                </c:pt>
                <c:pt idx="35">
                  <c:v>-4.2187500000003214E-4</c:v>
                </c:pt>
                <c:pt idx="36">
                  <c:v>-6.2500000000001844E-4</c:v>
                </c:pt>
                <c:pt idx="37">
                  <c:v>-5.9250000000013122E-4</c:v>
                </c:pt>
                <c:pt idx="38">
                  <c:v>-5.612745098039631E-4</c:v>
                </c:pt>
                <c:pt idx="39">
                  <c:v>-3.1249999999988232E-4</c:v>
                </c:pt>
                <c:pt idx="40">
                  <c:v>-7.3113207547280106E-5</c:v>
                </c:pt>
                <c:pt idx="41">
                  <c:v>-5.3240740740766744E-5</c:v>
                </c:pt>
                <c:pt idx="42">
                  <c:v>-3.4090909090853866E-5</c:v>
                </c:pt>
                <c:pt idx="43">
                  <c:v>1.8750000000002098E-4</c:v>
                </c:pt>
                <c:pt idx="44">
                  <c:v>2.0175438596483359E-4</c:v>
                </c:pt>
                <c:pt idx="45">
                  <c:v>2.1551724137930958E-4</c:v>
                </c:pt>
                <c:pt idx="46">
                  <c:v>3.6016949152552516E-5</c:v>
                </c:pt>
                <c:pt idx="47">
                  <c:v>5.2083333333417342E-5</c:v>
                </c:pt>
                <c:pt idx="48">
                  <c:v>2.5409836065578981E-4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2.8906249999994214E-4</c:v>
                </c:pt>
                <c:pt idx="52">
                  <c:v>-4.9999999999950082E-5</c:v>
                </c:pt>
                <c:pt idx="53">
                  <c:v>1.3825757575759671E-4</c:v>
                </c:pt>
                <c:pt idx="54">
                  <c:v>-1.8843283582092198E-4</c:v>
                </c:pt>
                <c:pt idx="55">
                  <c:v>-3.382352941176637E-4</c:v>
                </c:pt>
                <c:pt idx="56">
                  <c:v>-3.1884057971009696E-4</c:v>
                </c:pt>
                <c:pt idx="57">
                  <c:v>2.4999999999930633E-5</c:v>
                </c:pt>
                <c:pt idx="58">
                  <c:v>3.8732394366191356E-5</c:v>
                </c:pt>
                <c:pt idx="59">
                  <c:v>5.2083333333389282E-5</c:v>
                </c:pt>
                <c:pt idx="60">
                  <c:v>6.5068493150662553E-5</c:v>
                </c:pt>
                <c:pt idx="61">
                  <c:v>2.3141891891887169E-4</c:v>
                </c:pt>
                <c:pt idx="62">
                  <c:v>2.416666666666793E-4</c:v>
                </c:pt>
                <c:pt idx="63">
                  <c:v>2.516447368420432E-4</c:v>
                </c:pt>
                <c:pt idx="64">
                  <c:v>4.0909090909095489E-4</c:v>
                </c:pt>
                <c:pt idx="65">
                  <c:v>7.0833333333340342E-4</c:v>
                </c:pt>
                <c:pt idx="66">
                  <c:v>7.120253164556936E-4</c:v>
                </c:pt>
                <c:pt idx="67">
                  <c:v>4.3124999999995809E-4</c:v>
                </c:pt>
                <c:pt idx="68">
                  <c:v>4.3827160493828502E-4</c:v>
                </c:pt>
                <c:pt idx="69">
                  <c:v>4.4512195121945637E-4</c:v>
                </c:pt>
                <c:pt idx="70">
                  <c:v>4.5180722891566104E-4</c:v>
                </c:pt>
                <c:pt idx="71">
                  <c:v>7.2916666666656782E-4</c:v>
                </c:pt>
                <c:pt idx="72">
                  <c:v>3.3088235294111585E-4</c:v>
                </c:pt>
                <c:pt idx="73">
                  <c:v>3.3866279069766619E-4</c:v>
                </c:pt>
                <c:pt idx="74">
                  <c:v>6.0775862068955316E-4</c:v>
                </c:pt>
                <c:pt idx="75">
                  <c:v>6.1221590909085874E-4</c:v>
                </c:pt>
                <c:pt idx="76">
                  <c:v>4.887640449438912E-4</c:v>
                </c:pt>
                <c:pt idx="77">
                  <c:v>8.7361111111102039E-4</c:v>
                </c:pt>
                <c:pt idx="78">
                  <c:v>3.7500000000001421E-4</c:v>
                </c:pt>
                <c:pt idx="79">
                  <c:v>5.054347826087993E-4</c:v>
                </c:pt>
                <c:pt idx="80">
                  <c:v>7.5537634408614487E-4</c:v>
                </c:pt>
                <c:pt idx="81">
                  <c:v>7.5797872340410211E-4</c:v>
                </c:pt>
                <c:pt idx="82">
                  <c:v>7.6052631578947517E-4</c:v>
                </c:pt>
                <c:pt idx="83">
                  <c:v>7.6302083333327586E-4</c:v>
                </c:pt>
                <c:pt idx="84">
                  <c:v>7.6546391752586635E-4</c:v>
                </c:pt>
                <c:pt idx="85">
                  <c:v>6.51785714285813E-4</c:v>
                </c:pt>
                <c:pt idx="86">
                  <c:v>5.4040404040414463E-4</c:v>
                </c:pt>
                <c:pt idx="87">
                  <c:v>6.5874999999998346E-4</c:v>
                </c:pt>
                <c:pt idx="88">
                  <c:v>5.4950495049503948E-4</c:v>
                </c:pt>
                <c:pt idx="89">
                  <c:v>5.539215686273856E-4</c:v>
                </c:pt>
                <c:pt idx="90">
                  <c:v>4.4781553398052403E-4</c:v>
                </c:pt>
                <c:pt idx="91">
                  <c:v>6.718749999999607E-4</c:v>
                </c:pt>
                <c:pt idx="92">
                  <c:v>5.666666666668263E-4</c:v>
                </c:pt>
                <c:pt idx="93">
                  <c:v>5.7075471698104618E-4</c:v>
                </c:pt>
                <c:pt idx="94">
                  <c:v>5.7476635514023774E-4</c:v>
                </c:pt>
                <c:pt idx="95">
                  <c:v>5.7870370370370161E-4</c:v>
                </c:pt>
                <c:pt idx="96">
                  <c:v>7.9128440366974049E-4</c:v>
                </c:pt>
                <c:pt idx="97">
                  <c:v>1.0000000000000332E-3</c:v>
                </c:pt>
                <c:pt idx="98">
                  <c:v>8.9752252252237909E-4</c:v>
                </c:pt>
                <c:pt idx="99">
                  <c:v>1.1015624999998752E-3</c:v>
                </c:pt>
                <c:pt idx="100">
                  <c:v>1.1006637168141642E-3</c:v>
                </c:pt>
                <c:pt idx="101">
                  <c:v>1.0000000000000106E-3</c:v>
                </c:pt>
                <c:pt idx="102">
                  <c:v>9.9999999999996142E-4</c:v>
                </c:pt>
                <c:pt idx="103">
                  <c:v>1.0000000000000872E-3</c:v>
                </c:pt>
                <c:pt idx="104">
                  <c:v>9.0277777777769675E-4</c:v>
                </c:pt>
                <c:pt idx="105">
                  <c:v>9.0360169491512596E-4</c:v>
                </c:pt>
                <c:pt idx="106">
                  <c:v>9.0441176470587744E-4</c:v>
                </c:pt>
                <c:pt idx="107">
                  <c:v>8.1041666666666718E-4</c:v>
                </c:pt>
                <c:pt idx="108">
                  <c:v>8.1198347107450087E-4</c:v>
                </c:pt>
                <c:pt idx="109">
                  <c:v>8.1352459016400776E-4</c:v>
                </c:pt>
                <c:pt idx="110">
                  <c:v>7.2256097560966968E-4</c:v>
                </c:pt>
                <c:pt idx="111">
                  <c:v>6.3306451612895177E-4</c:v>
                </c:pt>
                <c:pt idx="112">
                  <c:v>8.1799999999993564E-4</c:v>
                </c:pt>
                <c:pt idx="113">
                  <c:v>9.0972222222222387E-4</c:v>
                </c:pt>
                <c:pt idx="114">
                  <c:v>8.2086614173229014E-4</c:v>
                </c:pt>
                <c:pt idx="115">
                  <c:v>8.2226562499996224E-4</c:v>
                </c:pt>
                <c:pt idx="116">
                  <c:v>8.2364341085263185E-4</c:v>
                </c:pt>
                <c:pt idx="117">
                  <c:v>7.3749999999992431E-4</c:v>
                </c:pt>
                <c:pt idx="118">
                  <c:v>6.5267175572512068E-4</c:v>
                </c:pt>
                <c:pt idx="119">
                  <c:v>6.5530303030307091E-4</c:v>
                </c:pt>
                <c:pt idx="120">
                  <c:v>5.7236842105267663E-4</c:v>
                </c:pt>
                <c:pt idx="121">
                  <c:v>4.9067164179094345E-4</c:v>
                </c:pt>
                <c:pt idx="122">
                  <c:v>3.2592592592587685E-4</c:v>
                </c:pt>
                <c:pt idx="123">
                  <c:v>1.6360294117647299E-4</c:v>
                </c:pt>
                <c:pt idx="124">
                  <c:v>1.6970802919704135E-4</c:v>
                </c:pt>
                <c:pt idx="125">
                  <c:v>3.4057971014490293E-4</c:v>
                </c:pt>
                <c:pt idx="126">
                  <c:v>1.8165467625901833E-4</c:v>
                </c:pt>
                <c:pt idx="127">
                  <c:v>1.8749999999998488E-4</c:v>
                </c:pt>
                <c:pt idx="128">
                  <c:v>2.7393617021266608E-4</c:v>
                </c:pt>
                <c:pt idx="129">
                  <c:v>5.1936619718311093E-4</c:v>
                </c:pt>
                <c:pt idx="130">
                  <c:v>5.2272727272724548E-4</c:v>
                </c:pt>
                <c:pt idx="131">
                  <c:v>5.2604166666674057E-4</c:v>
                </c:pt>
                <c:pt idx="132">
                  <c:v>5.2931034482762063E-4</c:v>
                </c:pt>
                <c:pt idx="133">
                  <c:v>5.3253424657533782E-4</c:v>
                </c:pt>
                <c:pt idx="134">
                  <c:v>5.3571428571424259E-4</c:v>
                </c:pt>
                <c:pt idx="135">
                  <c:v>4.6199324324320472E-4</c:v>
                </c:pt>
                <c:pt idx="136">
                  <c:v>4.6560402684569699E-4</c:v>
                </c:pt>
                <c:pt idx="137">
                  <c:v>4.6916666666668792E-4</c:v>
                </c:pt>
                <c:pt idx="138">
                  <c:v>5.4801324503305437E-4</c:v>
                </c:pt>
                <c:pt idx="139">
                  <c:v>4.0131578947367216E-4</c:v>
                </c:pt>
                <c:pt idx="140">
                  <c:v>2.5653594771245171E-4</c:v>
                </c:pt>
                <c:pt idx="141">
                  <c:v>2.6136363636363282E-4</c:v>
                </c:pt>
                <c:pt idx="142">
                  <c:v>2.6612903225815485E-4</c:v>
                </c:pt>
                <c:pt idx="143">
                  <c:v>4.1666666666676883E-4</c:v>
                </c:pt>
                <c:pt idx="144">
                  <c:v>4.9283439490435514E-4</c:v>
                </c:pt>
                <c:pt idx="145">
                  <c:v>8.5601265822776577E-4</c:v>
                </c:pt>
                <c:pt idx="146">
                  <c:v>8.5691823899372035E-4</c:v>
                </c:pt>
                <c:pt idx="147">
                  <c:v>9.2890625000006108E-4</c:v>
                </c:pt>
                <c:pt idx="148">
                  <c:v>1.0706521739131162E-3</c:v>
                </c:pt>
                <c:pt idx="149">
                  <c:v>1.0702160493827534E-3</c:v>
                </c:pt>
                <c:pt idx="150">
                  <c:v>1.1395705521472029E-3</c:v>
                </c:pt>
                <c:pt idx="151">
                  <c:v>1.2774390243902197E-3</c:v>
                </c:pt>
                <c:pt idx="152">
                  <c:v>1.2757575757575174E-3</c:v>
                </c:pt>
                <c:pt idx="153">
                  <c:v>1.2740963855421982E-3</c:v>
                </c:pt>
                <c:pt idx="154">
                  <c:v>1.2724550898203547E-3</c:v>
                </c:pt>
                <c:pt idx="155">
                  <c:v>1.4062499999998868E-3</c:v>
                </c:pt>
                <c:pt idx="156">
                  <c:v>1.3365384615384723E-3</c:v>
                </c:pt>
                <c:pt idx="157">
                  <c:v>1.5352941176470438E-3</c:v>
                </c:pt>
                <c:pt idx="158">
                  <c:v>1.2660818713450105E-3</c:v>
                </c:pt>
                <c:pt idx="159">
                  <c:v>1.3306686046511921E-3</c:v>
                </c:pt>
                <c:pt idx="160">
                  <c:v>1.2630057803468537E-3</c:v>
                </c:pt>
                <c:pt idx="161">
                  <c:v>1.3922413793102724E-3</c:v>
                </c:pt>
                <c:pt idx="162">
                  <c:v>1.2599999999999677E-3</c:v>
                </c:pt>
                <c:pt idx="163">
                  <c:v>1.38778409090907E-3</c:v>
                </c:pt>
                <c:pt idx="164">
                  <c:v>1.3213276836158019E-3</c:v>
                </c:pt>
                <c:pt idx="165">
                  <c:v>1.319522471910177E-3</c:v>
                </c:pt>
                <c:pt idx="166">
                  <c:v>1.254189944134146E-3</c:v>
                </c:pt>
                <c:pt idx="167">
                  <c:v>1.1263888888888825E-3</c:v>
                </c:pt>
                <c:pt idx="168">
                  <c:v>1.0000000000000321E-3</c:v>
                </c:pt>
                <c:pt idx="169">
                  <c:v>9.3750000000003553E-4</c:v>
                </c:pt>
                <c:pt idx="170">
                  <c:v>8.7568306010932847E-4</c:v>
                </c:pt>
                <c:pt idx="171">
                  <c:v>7.5271739130431444E-4</c:v>
                </c:pt>
                <c:pt idx="172">
                  <c:v>6.9256756756753783E-4</c:v>
                </c:pt>
                <c:pt idx="173">
                  <c:v>5.7190860215065409E-4</c:v>
                </c:pt>
                <c:pt idx="174">
                  <c:v>1.4839572192523908E-4</c:v>
                </c:pt>
                <c:pt idx="175">
                  <c:v>1.5292553191486081E-4</c:v>
                </c:pt>
                <c:pt idx="176">
                  <c:v>3.3796296296280029E-4</c:v>
                </c:pt>
                <c:pt idx="177">
                  <c:v>3.4144736842096738E-4</c:v>
                </c:pt>
                <c:pt idx="178">
                  <c:v>3.4489528795810653E-4</c:v>
                </c:pt>
                <c:pt idx="179">
                  <c:v>4.667968750000015E-4</c:v>
                </c:pt>
                <c:pt idx="180">
                  <c:v>5.2849740932636431E-4</c:v>
                </c:pt>
                <c:pt idx="181">
                  <c:v>5.8956185567018949E-4</c:v>
                </c:pt>
                <c:pt idx="182">
                  <c:v>4.75000000000018E-4</c:v>
                </c:pt>
                <c:pt idx="183">
                  <c:v>5.3571428571424259E-4</c:v>
                </c:pt>
                <c:pt idx="184">
                  <c:v>5.380710659898787E-4</c:v>
                </c:pt>
                <c:pt idx="185">
                  <c:v>5.4040404040414463E-4</c:v>
                </c:pt>
                <c:pt idx="186">
                  <c:v>4.8555276381920243E-4</c:v>
                </c:pt>
                <c:pt idx="187">
                  <c:v>4.8812499999997702E-4</c:v>
                </c:pt>
                <c:pt idx="188">
                  <c:v>4.3407960199003007E-4</c:v>
                </c:pt>
                <c:pt idx="189">
                  <c:v>3.2425742574248906E-4</c:v>
                </c:pt>
                <c:pt idx="190">
                  <c:v>2.1551724137935935E-4</c:v>
                </c:pt>
                <c:pt idx="191">
                  <c:v>1.6360294117652251E-4</c:v>
                </c:pt>
                <c:pt idx="192">
                  <c:v>1.6768292682919377E-4</c:v>
                </c:pt>
                <c:pt idx="193">
                  <c:v>2.2694174757287948E-4</c:v>
                </c:pt>
                <c:pt idx="194">
                  <c:v>3.4057971014500051E-4</c:v>
                </c:pt>
                <c:pt idx="195">
                  <c:v>3.4375000000014255E-4</c:v>
                </c:pt>
                <c:pt idx="196">
                  <c:v>3.4688995215312817E-4</c:v>
                </c:pt>
                <c:pt idx="197">
                  <c:v>4.5833333333336059E-4</c:v>
                </c:pt>
                <c:pt idx="198">
                  <c:v>4.6090047393355379E-4</c:v>
                </c:pt>
                <c:pt idx="199">
                  <c:v>4.6344339622638863E-4</c:v>
                </c:pt>
                <c:pt idx="200">
                  <c:v>4.6596244131459597E-4</c:v>
                </c:pt>
                <c:pt idx="201">
                  <c:v>4.6845794392515454E-4</c:v>
                </c:pt>
                <c:pt idx="202">
                  <c:v>5.2383720930237912E-4</c:v>
                </c:pt>
                <c:pt idx="203">
                  <c:v>4.2071759259258457E-4</c:v>
                </c:pt>
                <c:pt idx="204">
                  <c:v>4.7580645161284007E-4</c:v>
                </c:pt>
                <c:pt idx="205">
                  <c:v>3.7385321100923602E-4</c:v>
                </c:pt>
                <c:pt idx="206">
                  <c:v>2.7283105022831138E-4</c:v>
                </c:pt>
                <c:pt idx="207">
                  <c:v>2.24431818181822E-4</c:v>
                </c:pt>
                <c:pt idx="208">
                  <c:v>2.2794117647065783E-4</c:v>
                </c:pt>
                <c:pt idx="209">
                  <c:v>2.3141891891887166E-4</c:v>
                </c:pt>
                <c:pt idx="210">
                  <c:v>3.3688340807171049E-4</c:v>
                </c:pt>
                <c:pt idx="211">
                  <c:v>3.3984375000002676E-4</c:v>
                </c:pt>
                <c:pt idx="212">
                  <c:v>2.4166666666663436E-4</c:v>
                </c:pt>
                <c:pt idx="213">
                  <c:v>3.4568584070794102E-4</c:v>
                </c:pt>
                <c:pt idx="214">
                  <c:v>3.4856828193836659E-4</c:v>
                </c:pt>
                <c:pt idx="215">
                  <c:v>3.5142543859641818E-4</c:v>
                </c:pt>
                <c:pt idx="216">
                  <c:v>4.0393013100441835E-4</c:v>
                </c:pt>
                <c:pt idx="217">
                  <c:v>4.0652173913054932E-4</c:v>
                </c:pt>
                <c:pt idx="218">
                  <c:v>3.1060606060611724E-4</c:v>
                </c:pt>
                <c:pt idx="219">
                  <c:v>4.1163793103454754E-4</c:v>
                </c:pt>
                <c:pt idx="220">
                  <c:v>2.6770386266106557E-4</c:v>
                </c:pt>
                <c:pt idx="221">
                  <c:v>1.7361111111100253E-4</c:v>
                </c:pt>
                <c:pt idx="222">
                  <c:v>1.7712765957442187E-4</c:v>
                </c:pt>
                <c:pt idx="223">
                  <c:v>8.4216101694813061E-5</c:v>
                </c:pt>
                <c:pt idx="224">
                  <c:v>1.3607594936710689E-4</c:v>
                </c:pt>
                <c:pt idx="225">
                  <c:v>1.3970588235285067E-4</c:v>
                </c:pt>
                <c:pt idx="226">
                  <c:v>9.5711297071211372E-5</c:v>
                </c:pt>
                <c:pt idx="227">
                  <c:v>9.947916666664022E-5</c:v>
                </c:pt>
                <c:pt idx="228">
                  <c:v>1.0321576763488878E-4</c:v>
                </c:pt>
                <c:pt idx="229">
                  <c:v>5.9917355371937358E-5</c:v>
                </c:pt>
                <c:pt idx="230">
                  <c:v>1.697530864201433E-5</c:v>
                </c:pt>
                <c:pt idx="231">
                  <c:v>-2.5614754098319161E-5</c:v>
                </c:pt>
                <c:pt idx="232">
                  <c:v>-2.1428571428635681E-5</c:v>
                </c:pt>
                <c:pt idx="233">
                  <c:v>-1.7276422764232508E-5</c:v>
                </c:pt>
                <c:pt idx="234">
                  <c:v>-5.9210526315791714E-5</c:v>
                </c:pt>
                <c:pt idx="235">
                  <c:v>-1.0080645161290286E-4</c:v>
                </c:pt>
                <c:pt idx="236">
                  <c:v>-1.4206827309236653E-4</c:v>
                </c:pt>
                <c:pt idx="237">
                  <c:v>-2.7399999999994405E-4</c:v>
                </c:pt>
                <c:pt idx="238">
                  <c:v>-4.5019920318719789E-4</c:v>
                </c:pt>
                <c:pt idx="239">
                  <c:v>-4.895833333332779E-4</c:v>
                </c:pt>
                <c:pt idx="240">
                  <c:v>-4.8369565217380034E-4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1B51-4335-814D-53B8B9178B55}"/>
            </c:ext>
          </c:extLst>
        </c:ser>
        <c:ser>
          <c:idx val="40"/>
          <c:order val="40"/>
          <c:tx>
            <c:strRef>
              <c:f>'전류편차_24mA(절대값기준)'!$DD$7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'전류편차_24mA(절대값기준)'!$DD$22:$DD$262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-3.8750000000000728E-3</c:v>
                </c:pt>
                <c:pt idx="2">
                  <c:v>-4.3083333333333584E-3</c:v>
                </c:pt>
                <c:pt idx="3">
                  <c:v>-1.8437500000001385E-3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-1.9934210526315931E-3</c:v>
                </c:pt>
                <c:pt idx="7">
                  <c:v>-1.8437500000000439E-3</c:v>
                </c:pt>
                <c:pt idx="8">
                  <c:v>-2.2500000000000111E-3</c:v>
                </c:pt>
                <c:pt idx="9">
                  <c:v>-2.1022727272727655E-3</c:v>
                </c:pt>
                <c:pt idx="10">
                  <c:v>-2.4619565217391393E-3</c:v>
                </c:pt>
                <c:pt idx="11">
                  <c:v>-1.843750000000086E-3</c:v>
                </c:pt>
                <c:pt idx="12">
                  <c:v>-2.6400000000000065E-3</c:v>
                </c:pt>
                <c:pt idx="13">
                  <c:v>-3.8124999999998854E-3</c:v>
                </c:pt>
                <c:pt idx="14">
                  <c:v>-3.2129629629629214E-3</c:v>
                </c:pt>
                <c:pt idx="15">
                  <c:v>-3.8750000000000728E-3</c:v>
                </c:pt>
                <c:pt idx="16">
                  <c:v>-2.9224137931034518E-3</c:v>
                </c:pt>
                <c:pt idx="17">
                  <c:v>-3.9291666666667335E-3</c:v>
                </c:pt>
                <c:pt idx="18">
                  <c:v>-4.1370967741935919E-3</c:v>
                </c:pt>
                <c:pt idx="19">
                  <c:v>-2.9101562500000208E-3</c:v>
                </c:pt>
                <c:pt idx="20">
                  <c:v>-2.1022727272726892E-3</c:v>
                </c:pt>
                <c:pt idx="21">
                  <c:v>-2.6801470588235852E-3</c:v>
                </c:pt>
                <c:pt idx="22">
                  <c:v>-2.5750000000000716E-3</c:v>
                </c:pt>
                <c:pt idx="23">
                  <c:v>-2.1597222222222035E-3</c:v>
                </c:pt>
                <c:pt idx="24">
                  <c:v>-2.9966216216216549E-3</c:v>
                </c:pt>
                <c:pt idx="25">
                  <c:v>-2.8914473684211006E-3</c:v>
                </c:pt>
                <c:pt idx="26">
                  <c:v>-2.7916666666665999E-3</c:v>
                </c:pt>
                <c:pt idx="27">
                  <c:v>-2.4124999999999815E-3</c:v>
                </c:pt>
                <c:pt idx="28">
                  <c:v>-2.8841463414634731E-3</c:v>
                </c:pt>
                <c:pt idx="29">
                  <c:v>-2.5208333333334347E-3</c:v>
                </c:pt>
                <c:pt idx="30">
                  <c:v>-2.9680232558138915E-3</c:v>
                </c:pt>
                <c:pt idx="31">
                  <c:v>-3.1363636363636758E-3</c:v>
                </c:pt>
                <c:pt idx="32">
                  <c:v>-3.0444444444444963E-3</c:v>
                </c:pt>
                <c:pt idx="33">
                  <c:v>-3.9456521739131088E-3</c:v>
                </c:pt>
                <c:pt idx="34">
                  <c:v>-3.5984042553192518E-3</c:v>
                </c:pt>
                <c:pt idx="35">
                  <c:v>-3.028645833333394E-3</c:v>
                </c:pt>
                <c:pt idx="36">
                  <c:v>-2.7142857142856058E-3</c:v>
                </c:pt>
                <c:pt idx="37">
                  <c:v>-2.4125000000001329E-3</c:v>
                </c:pt>
                <c:pt idx="38">
                  <c:v>-2.3455882352941609E-3</c:v>
                </c:pt>
                <c:pt idx="39">
                  <c:v>-2.0624999999998839E-3</c:v>
                </c:pt>
                <c:pt idx="40">
                  <c:v>-2.4339622641510795E-3</c:v>
                </c:pt>
                <c:pt idx="41">
                  <c:v>-2.581018518518453E-3</c:v>
                </c:pt>
                <c:pt idx="42">
                  <c:v>-2.1022727272726281E-3</c:v>
                </c:pt>
                <c:pt idx="43">
                  <c:v>-2.6562500000000266E-3</c:v>
                </c:pt>
                <c:pt idx="44">
                  <c:v>-2.7916666666666814E-3</c:v>
                </c:pt>
                <c:pt idx="45">
                  <c:v>-2.9224137931034518E-3</c:v>
                </c:pt>
                <c:pt idx="46">
                  <c:v>-3.0487288135593146E-3</c:v>
                </c:pt>
                <c:pt idx="47">
                  <c:v>-2.9812499999999189E-3</c:v>
                </c:pt>
                <c:pt idx="48">
                  <c:v>-3.2889344262294804E-3</c:v>
                </c:pt>
                <c:pt idx="49">
                  <c:v>-3.770161290322665E-3</c:v>
                </c:pt>
                <c:pt idx="50">
                  <c:v>-4.0555555555555284E-3</c:v>
                </c:pt>
                <c:pt idx="51">
                  <c:v>-3.6210937500001004E-3</c:v>
                </c:pt>
                <c:pt idx="52">
                  <c:v>-3.3749999999999722E-3</c:v>
                </c:pt>
                <c:pt idx="53">
                  <c:v>-3.4810606060605691E-3</c:v>
                </c:pt>
                <c:pt idx="54">
                  <c:v>-3.074626865671727E-3</c:v>
                </c:pt>
                <c:pt idx="55">
                  <c:v>-3.181985294117722E-3</c:v>
                </c:pt>
                <c:pt idx="56">
                  <c:v>-3.4510869565217124E-3</c:v>
                </c:pt>
                <c:pt idx="57">
                  <c:v>-3.225E-3</c:v>
                </c:pt>
                <c:pt idx="58">
                  <c:v>-3.1654929577464162E-3</c:v>
                </c:pt>
                <c:pt idx="59">
                  <c:v>-2.949652777777742E-3</c:v>
                </c:pt>
                <c:pt idx="60">
                  <c:v>-3.2071917808219256E-3</c:v>
                </c:pt>
                <c:pt idx="61">
                  <c:v>-3.7652027027027194E-3</c:v>
                </c:pt>
                <c:pt idx="62">
                  <c:v>-2.4883333333332895E-3</c:v>
                </c:pt>
                <c:pt idx="63">
                  <c:v>-2.7417763157894719E-3</c:v>
                </c:pt>
                <c:pt idx="64">
                  <c:v>-2.9886363636364029E-3</c:v>
                </c:pt>
                <c:pt idx="65">
                  <c:v>-3.2291666666666163E-3</c:v>
                </c:pt>
                <c:pt idx="66">
                  <c:v>-3.7515822784810991E-3</c:v>
                </c:pt>
                <c:pt idx="67">
                  <c:v>-3.2656250000000137E-3</c:v>
                </c:pt>
                <c:pt idx="68">
                  <c:v>-2.2299382716048184E-3</c:v>
                </c:pt>
                <c:pt idx="69">
                  <c:v>-2.6067073170731366E-3</c:v>
                </c:pt>
                <c:pt idx="70">
                  <c:v>-2.5632530120482276E-3</c:v>
                </c:pt>
                <c:pt idx="71">
                  <c:v>-1.5729166666666923E-3</c:v>
                </c:pt>
                <c:pt idx="72">
                  <c:v>-1.5426470588235026E-3</c:v>
                </c:pt>
                <c:pt idx="73">
                  <c:v>-1.9098837209301695E-3</c:v>
                </c:pt>
                <c:pt idx="74">
                  <c:v>-2.9224137931034518E-3</c:v>
                </c:pt>
                <c:pt idx="75">
                  <c:v>-1.71448863636366E-3</c:v>
                </c:pt>
                <c:pt idx="76">
                  <c:v>-2.7064606741572781E-3</c:v>
                </c:pt>
                <c:pt idx="77">
                  <c:v>-2.9180555555555652E-3</c:v>
                </c:pt>
                <c:pt idx="78">
                  <c:v>-3.2499999999999751E-3</c:v>
                </c:pt>
                <c:pt idx="79">
                  <c:v>-2.4619565217391393E-3</c:v>
                </c:pt>
                <c:pt idx="80">
                  <c:v>-3.1586021505375147E-3</c:v>
                </c:pt>
                <c:pt idx="81">
                  <c:v>-2.7513297872341852E-3</c:v>
                </c:pt>
                <c:pt idx="82">
                  <c:v>-2.9513157894737524E-3</c:v>
                </c:pt>
                <c:pt idx="83">
                  <c:v>-2.5546875000001129E-3</c:v>
                </c:pt>
                <c:pt idx="84">
                  <c:v>-2.1662371134020105E-3</c:v>
                </c:pt>
                <c:pt idx="85">
                  <c:v>-2.1339285714285783E-3</c:v>
                </c:pt>
                <c:pt idx="86">
                  <c:v>-2.1022727272725873E-3</c:v>
                </c:pt>
                <c:pt idx="87">
                  <c:v>-2.0712500000001199E-3</c:v>
                </c:pt>
                <c:pt idx="88">
                  <c:v>-1.7029702970296648E-3</c:v>
                </c:pt>
                <c:pt idx="89">
                  <c:v>-2.122549019607812E-3</c:v>
                </c:pt>
                <c:pt idx="90">
                  <c:v>-2.0922330097087618E-3</c:v>
                </c:pt>
                <c:pt idx="91">
                  <c:v>-1.8437500000000051E-3</c:v>
                </c:pt>
                <c:pt idx="92">
                  <c:v>-1.8166666666665334E-3</c:v>
                </c:pt>
                <c:pt idx="93">
                  <c:v>-2.1120283018869162E-3</c:v>
                </c:pt>
                <c:pt idx="94">
                  <c:v>-2.1892523364487148E-3</c:v>
                </c:pt>
                <c:pt idx="95">
                  <c:v>-1.9490740740739849E-3</c:v>
                </c:pt>
                <c:pt idx="96">
                  <c:v>-2.3394495412843211E-3</c:v>
                </c:pt>
                <c:pt idx="97">
                  <c:v>-2.3090909090908792E-3</c:v>
                </c:pt>
                <c:pt idx="98">
                  <c:v>-2.3817567567569029E-3</c:v>
                </c:pt>
                <c:pt idx="99">
                  <c:v>-2.4531250000001392E-3</c:v>
                </c:pt>
                <c:pt idx="100">
                  <c:v>-2.3219026548673216E-3</c:v>
                </c:pt>
                <c:pt idx="101">
                  <c:v>-2.3925438596491817E-3</c:v>
                </c:pt>
                <c:pt idx="102">
                  <c:v>-2.2641304347825954E-3</c:v>
                </c:pt>
                <c:pt idx="103">
                  <c:v>-2.1379310344826746E-3</c:v>
                </c:pt>
                <c:pt idx="104">
                  <c:v>-2.305555555555585E-3</c:v>
                </c:pt>
                <c:pt idx="105">
                  <c:v>-2.1811440677965699E-3</c:v>
                </c:pt>
                <c:pt idx="106">
                  <c:v>-2.1544117647058899E-3</c:v>
                </c:pt>
                <c:pt idx="107">
                  <c:v>-2.1281250000000549E-3</c:v>
                </c:pt>
                <c:pt idx="108">
                  <c:v>-2.1022727272726614E-3</c:v>
                </c:pt>
                <c:pt idx="109">
                  <c:v>-2.1700819672130444E-3</c:v>
                </c:pt>
                <c:pt idx="110">
                  <c:v>-2.144308943089571E-3</c:v>
                </c:pt>
                <c:pt idx="111">
                  <c:v>-2.2106854838709385E-3</c:v>
                </c:pt>
                <c:pt idx="112">
                  <c:v>-2.1850000000000164E-3</c:v>
                </c:pt>
                <c:pt idx="113">
                  <c:v>-2.4305555555554667E-3</c:v>
                </c:pt>
                <c:pt idx="114">
                  <c:v>-2.3139763779527621E-3</c:v>
                </c:pt>
                <c:pt idx="115">
                  <c:v>-2.4658203125001096E-3</c:v>
                </c:pt>
                <c:pt idx="116">
                  <c:v>-2.2625968992248998E-3</c:v>
                </c:pt>
                <c:pt idx="117">
                  <c:v>-2.2374999999999813E-3</c:v>
                </c:pt>
                <c:pt idx="118">
                  <c:v>-2.2127862595420094E-3</c:v>
                </c:pt>
                <c:pt idx="119">
                  <c:v>-2.1884469696968841E-3</c:v>
                </c:pt>
                <c:pt idx="120">
                  <c:v>-1.9934210526314795E-3</c:v>
                </c:pt>
                <c:pt idx="121">
                  <c:v>-1.8861940298508873E-3</c:v>
                </c:pt>
                <c:pt idx="122">
                  <c:v>-1.6962962962962722E-3</c:v>
                </c:pt>
                <c:pt idx="123">
                  <c:v>-1.7601102941176186E-3</c:v>
                </c:pt>
                <c:pt idx="124">
                  <c:v>-1.9890510948905333E-3</c:v>
                </c:pt>
                <c:pt idx="125">
                  <c:v>-2.0498188405797279E-3</c:v>
                </c:pt>
                <c:pt idx="126">
                  <c:v>-2.0278776978416395E-3</c:v>
                </c:pt>
                <c:pt idx="127">
                  <c:v>-2.0875000000000533E-3</c:v>
                </c:pt>
                <c:pt idx="128">
                  <c:v>-2.1462765957447291E-3</c:v>
                </c:pt>
                <c:pt idx="129">
                  <c:v>-2.3644366197182643E-3</c:v>
                </c:pt>
                <c:pt idx="130">
                  <c:v>-2.5000000000000478E-3</c:v>
                </c:pt>
                <c:pt idx="131">
                  <c:v>-2.4756944444443907E-3</c:v>
                </c:pt>
                <c:pt idx="132">
                  <c:v>-2.4517241379310205E-3</c:v>
                </c:pt>
                <c:pt idx="133">
                  <c:v>-2.5059931506849127E-3</c:v>
                </c:pt>
                <c:pt idx="134">
                  <c:v>-2.4821428571428772E-3</c:v>
                </c:pt>
                <c:pt idx="135">
                  <c:v>-2.5354729729729886E-3</c:v>
                </c:pt>
                <c:pt idx="136">
                  <c:v>-2.588087248322159E-3</c:v>
                </c:pt>
                <c:pt idx="137">
                  <c:v>-2.7158333333332984E-3</c:v>
                </c:pt>
                <c:pt idx="138">
                  <c:v>-2.5405629139073705E-3</c:v>
                </c:pt>
                <c:pt idx="139">
                  <c:v>-2.5172697368420951E-3</c:v>
                </c:pt>
                <c:pt idx="140">
                  <c:v>-2.5686274509803776E-3</c:v>
                </c:pt>
                <c:pt idx="141">
                  <c:v>-2.5454545454545677E-3</c:v>
                </c:pt>
                <c:pt idx="142">
                  <c:v>-2.595967741935502E-3</c:v>
                </c:pt>
                <c:pt idx="143">
                  <c:v>-2.7916666666665999E-3</c:v>
                </c:pt>
                <c:pt idx="144">
                  <c:v>-2.8399681528662999E-3</c:v>
                </c:pt>
                <c:pt idx="145">
                  <c:v>-2.959651898734191E-3</c:v>
                </c:pt>
                <c:pt idx="146">
                  <c:v>-3.0778301886792152E-3</c:v>
                </c:pt>
                <c:pt idx="147">
                  <c:v>-2.9812500000000451E-3</c:v>
                </c:pt>
                <c:pt idx="148">
                  <c:v>-3.0978260869565233E-3</c:v>
                </c:pt>
                <c:pt idx="149">
                  <c:v>-3.1427469135802445E-3</c:v>
                </c:pt>
                <c:pt idx="150">
                  <c:v>-3.1871165644171712E-3</c:v>
                </c:pt>
                <c:pt idx="151">
                  <c:v>-3.2309451219512094E-3</c:v>
                </c:pt>
                <c:pt idx="152">
                  <c:v>-3.2053030303030544E-3</c:v>
                </c:pt>
                <c:pt idx="153">
                  <c:v>-3.1799698795180087E-3</c:v>
                </c:pt>
                <c:pt idx="154">
                  <c:v>-3.223053892215502E-3</c:v>
                </c:pt>
                <c:pt idx="155">
                  <c:v>-3.1979166666667538E-3</c:v>
                </c:pt>
                <c:pt idx="156">
                  <c:v>-3.1730769230769239E-3</c:v>
                </c:pt>
                <c:pt idx="157">
                  <c:v>-3.1485294117647397E-3</c:v>
                </c:pt>
                <c:pt idx="158">
                  <c:v>-3.2573099415204609E-3</c:v>
                </c:pt>
                <c:pt idx="159">
                  <c:v>-3.4309593023254975E-3</c:v>
                </c:pt>
                <c:pt idx="160">
                  <c:v>-3.5368497109826524E-3</c:v>
                </c:pt>
                <c:pt idx="161">
                  <c:v>-3.576149425287346E-3</c:v>
                </c:pt>
                <c:pt idx="162">
                  <c:v>-3.8099999999999931E-3</c:v>
                </c:pt>
                <c:pt idx="163">
                  <c:v>-3.7180397727273342E-3</c:v>
                </c:pt>
                <c:pt idx="164">
                  <c:v>-3.6913841807909393E-3</c:v>
                </c:pt>
                <c:pt idx="165">
                  <c:v>-3.7289325842696387E-3</c:v>
                </c:pt>
                <c:pt idx="166">
                  <c:v>-3.8296089385474229E-3</c:v>
                </c:pt>
                <c:pt idx="167">
                  <c:v>-3.9923611111111991E-3</c:v>
                </c:pt>
                <c:pt idx="168">
                  <c:v>-4.0276243093922371E-3</c:v>
                </c:pt>
                <c:pt idx="169">
                  <c:v>-4.0624999999999689E-3</c:v>
                </c:pt>
                <c:pt idx="170">
                  <c:v>-4.0969945355192015E-3</c:v>
                </c:pt>
                <c:pt idx="171">
                  <c:v>-4.1929347826086235E-3</c:v>
                </c:pt>
                <c:pt idx="172">
                  <c:v>-4.1033783783783716E-3</c:v>
                </c:pt>
                <c:pt idx="173">
                  <c:v>-4.0759408602149688E-3</c:v>
                </c:pt>
                <c:pt idx="174">
                  <c:v>-4.2312834224597379E-3</c:v>
                </c:pt>
                <c:pt idx="175">
                  <c:v>-4.2639627659575036E-3</c:v>
                </c:pt>
                <c:pt idx="176">
                  <c:v>-4.2361111111110907E-3</c:v>
                </c:pt>
                <c:pt idx="177">
                  <c:v>-4.3282894736842601E-3</c:v>
                </c:pt>
                <c:pt idx="178">
                  <c:v>-4.479057591623016E-3</c:v>
                </c:pt>
                <c:pt idx="179">
                  <c:v>-4.5097656249999769E-3</c:v>
                </c:pt>
                <c:pt idx="180">
                  <c:v>-4.3044041450778243E-3</c:v>
                </c:pt>
                <c:pt idx="181">
                  <c:v>-4.2770618556701315E-3</c:v>
                </c:pt>
                <c:pt idx="182">
                  <c:v>-4.3083333333333584E-3</c:v>
                </c:pt>
                <c:pt idx="183">
                  <c:v>-4.3973214285713156E-3</c:v>
                </c:pt>
                <c:pt idx="184">
                  <c:v>-4.4276649746191731E-3</c:v>
                </c:pt>
                <c:pt idx="185">
                  <c:v>-4.2853535353534105E-3</c:v>
                </c:pt>
                <c:pt idx="186">
                  <c:v>-4.315954773869219E-3</c:v>
                </c:pt>
                <c:pt idx="187">
                  <c:v>-4.2893750000000015E-3</c:v>
                </c:pt>
                <c:pt idx="188">
                  <c:v>-4.3196517412935308E-3</c:v>
                </c:pt>
                <c:pt idx="189">
                  <c:v>-4.237004950495107E-3</c:v>
                </c:pt>
                <c:pt idx="190">
                  <c:v>-4.2112068965517099E-3</c:v>
                </c:pt>
                <c:pt idx="191">
                  <c:v>-4.1856617647057972E-3</c:v>
                </c:pt>
                <c:pt idx="192">
                  <c:v>-4.2158536585364973E-3</c:v>
                </c:pt>
                <c:pt idx="193">
                  <c:v>-4.2457524271843758E-3</c:v>
                </c:pt>
                <c:pt idx="194">
                  <c:v>-4.3303140096618096E-3</c:v>
                </c:pt>
                <c:pt idx="195">
                  <c:v>-4.3046874999999041E-3</c:v>
                </c:pt>
                <c:pt idx="196">
                  <c:v>-4.38815789473681E-3</c:v>
                </c:pt>
                <c:pt idx="197">
                  <c:v>-4.2541666666666257E-3</c:v>
                </c:pt>
                <c:pt idx="198">
                  <c:v>-4.2831753554503846E-3</c:v>
                </c:pt>
                <c:pt idx="199">
                  <c:v>-4.25825471698121E-3</c:v>
                </c:pt>
                <c:pt idx="200">
                  <c:v>-4.2869718309859898E-3</c:v>
                </c:pt>
                <c:pt idx="201">
                  <c:v>-4.3154205607477351E-3</c:v>
                </c:pt>
                <c:pt idx="202">
                  <c:v>-4.2906976744186082E-3</c:v>
                </c:pt>
                <c:pt idx="203">
                  <c:v>-4.2662037037036402E-3</c:v>
                </c:pt>
                <c:pt idx="204">
                  <c:v>-4.2419354838710236E-3</c:v>
                </c:pt>
                <c:pt idx="205">
                  <c:v>-4.2700688073395018E-3</c:v>
                </c:pt>
                <c:pt idx="206">
                  <c:v>-4.2979452054793168E-3</c:v>
                </c:pt>
                <c:pt idx="207">
                  <c:v>-4.2738636363636199E-3</c:v>
                </c:pt>
                <c:pt idx="208">
                  <c:v>-4.1985294117645603E-3</c:v>
                </c:pt>
                <c:pt idx="209">
                  <c:v>-4.4313063063064085E-3</c:v>
                </c:pt>
                <c:pt idx="210">
                  <c:v>-4.304932735426102E-3</c:v>
                </c:pt>
                <c:pt idx="211">
                  <c:v>-4.3828124999999718E-3</c:v>
                </c:pt>
                <c:pt idx="212">
                  <c:v>-4.4094444444444129E-3</c:v>
                </c:pt>
                <c:pt idx="213">
                  <c:v>-4.3855088495576055E-3</c:v>
                </c:pt>
                <c:pt idx="214">
                  <c:v>-4.4118942731278341E-3</c:v>
                </c:pt>
                <c:pt idx="215">
                  <c:v>-4.3881578947368586E-3</c:v>
                </c:pt>
                <c:pt idx="216">
                  <c:v>-4.3149563318776217E-3</c:v>
                </c:pt>
                <c:pt idx="217">
                  <c:v>-4.3907608695651678E-3</c:v>
                </c:pt>
                <c:pt idx="218">
                  <c:v>-4.4659090909090985E-3</c:v>
                </c:pt>
                <c:pt idx="219">
                  <c:v>-4.4913793103448325E-3</c:v>
                </c:pt>
                <c:pt idx="220">
                  <c:v>-4.4189914163088959E-3</c:v>
                </c:pt>
                <c:pt idx="221">
                  <c:v>-4.4930555555556676E-3</c:v>
                </c:pt>
                <c:pt idx="222">
                  <c:v>-4.4696808510638801E-3</c:v>
                </c:pt>
                <c:pt idx="223">
                  <c:v>-4.4465042372881236E-3</c:v>
                </c:pt>
                <c:pt idx="224">
                  <c:v>-4.4235232067511522E-3</c:v>
                </c:pt>
                <c:pt idx="225">
                  <c:v>-4.4963235294117479E-3</c:v>
                </c:pt>
                <c:pt idx="226">
                  <c:v>-4.5685146443515028E-3</c:v>
                </c:pt>
                <c:pt idx="227">
                  <c:v>-4.4979166666665868E-3</c:v>
                </c:pt>
                <c:pt idx="228">
                  <c:v>-4.4279045643153226E-3</c:v>
                </c:pt>
                <c:pt idx="229">
                  <c:v>-4.5934917355371632E-3</c:v>
                </c:pt>
                <c:pt idx="230">
                  <c:v>-4.5704732510287198E-3</c:v>
                </c:pt>
                <c:pt idx="231">
                  <c:v>-4.5476434426228052E-3</c:v>
                </c:pt>
                <c:pt idx="232">
                  <c:v>-4.5714285714285883E-3</c:v>
                </c:pt>
                <c:pt idx="233">
                  <c:v>-4.6412601626016963E-3</c:v>
                </c:pt>
                <c:pt idx="234">
                  <c:v>-4.6644736842105941E-3</c:v>
                </c:pt>
                <c:pt idx="235">
                  <c:v>-4.7792338709677562E-3</c:v>
                </c:pt>
                <c:pt idx="236">
                  <c:v>-4.7560240963854979E-3</c:v>
                </c:pt>
                <c:pt idx="237">
                  <c:v>-4.8240000000000088E-3</c:v>
                </c:pt>
                <c:pt idx="238">
                  <c:v>-4.8914342629482691E-3</c:v>
                </c:pt>
                <c:pt idx="239">
                  <c:v>-4.8229166666666152E-3</c:v>
                </c:pt>
                <c:pt idx="240">
                  <c:v>-4.7549407114624463E-3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1B51-4335-814D-53B8B9178B55}"/>
            </c:ext>
          </c:extLst>
        </c:ser>
        <c:ser>
          <c:idx val="41"/>
          <c:order val="41"/>
          <c:tx>
            <c:strRef>
              <c:f>'전류편차_24mA(절대값기준)'!$DE$7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'전류편차_24mA(절대값기준)'!$DE$22:$DE$262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1.7583333333333136E-3</c:v>
                </c:pt>
                <c:pt idx="3">
                  <c:v>1.7109374999999432E-3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-1.9736842105271064E-4</c:v>
                </c:pt>
                <c:pt idx="7">
                  <c:v>4.3124999999995809E-4</c:v>
                </c:pt>
                <c:pt idx="8">
                  <c:v>2.0833333333333259E-3</c:v>
                </c:pt>
                <c:pt idx="9">
                  <c:v>3.0681818181817842E-3</c:v>
                </c:pt>
                <c:pt idx="10">
                  <c:v>2.9782608695652683E-3</c:v>
                </c:pt>
                <c:pt idx="11">
                  <c:v>2.8958333333333566E-3</c:v>
                </c:pt>
                <c:pt idx="12">
                  <c:v>3.2749999999999477E-3</c:v>
                </c:pt>
                <c:pt idx="13">
                  <c:v>4.0625000000000244E-3</c:v>
                </c:pt>
                <c:pt idx="14">
                  <c:v>3.9490740740740753E-3</c:v>
                </c:pt>
                <c:pt idx="15">
                  <c:v>3.8437499999999791E-3</c:v>
                </c:pt>
                <c:pt idx="16">
                  <c:v>3.7456896551725473E-3</c:v>
                </c:pt>
                <c:pt idx="17">
                  <c:v>4.4125000000000249E-3</c:v>
                </c:pt>
                <c:pt idx="18">
                  <c:v>4.302419354838714E-3</c:v>
                </c:pt>
                <c:pt idx="19">
                  <c:v>4.9101562499999068E-3</c:v>
                </c:pt>
                <c:pt idx="20">
                  <c:v>4.7916666666667114E-3</c:v>
                </c:pt>
                <c:pt idx="21">
                  <c:v>4.6801470588235545E-3</c:v>
                </c:pt>
                <c:pt idx="22">
                  <c:v>4.249999999999898E-3</c:v>
                </c:pt>
                <c:pt idx="23">
                  <c:v>4.1597222222222469E-3</c:v>
                </c:pt>
                <c:pt idx="24">
                  <c:v>4.9966216216216636E-3</c:v>
                </c:pt>
                <c:pt idx="25">
                  <c:v>4.8914473684210777E-3</c:v>
                </c:pt>
                <c:pt idx="26">
                  <c:v>5.3750000000000742E-3</c:v>
                </c:pt>
                <c:pt idx="27">
                  <c:v>5.2656250000000576E-3</c:v>
                </c:pt>
                <c:pt idx="28">
                  <c:v>5.1615853658536996E-3</c:v>
                </c:pt>
                <c:pt idx="29">
                  <c:v>5.0624999999999047E-3</c:v>
                </c:pt>
                <c:pt idx="30">
                  <c:v>4.968023255813964E-3</c:v>
                </c:pt>
                <c:pt idx="31">
                  <c:v>4.8778409090909055E-3</c:v>
                </c:pt>
                <c:pt idx="32">
                  <c:v>5.0444444444443992E-3</c:v>
                </c:pt>
                <c:pt idx="33">
                  <c:v>4.4619565217392382E-3</c:v>
                </c:pt>
                <c:pt idx="34">
                  <c:v>4.6303191489360197E-3</c:v>
                </c:pt>
                <c:pt idx="35">
                  <c:v>4.7916666666666915E-3</c:v>
                </c:pt>
                <c:pt idx="36">
                  <c:v>4.7142857142858296E-3</c:v>
                </c:pt>
                <c:pt idx="37">
                  <c:v>4.6399999999999992E-3</c:v>
                </c:pt>
                <c:pt idx="38">
                  <c:v>3.6764705882352811E-3</c:v>
                </c:pt>
                <c:pt idx="39">
                  <c:v>4.0625000000000244E-3</c:v>
                </c:pt>
                <c:pt idx="40">
                  <c:v>4.6485849056603183E-3</c:v>
                </c:pt>
                <c:pt idx="41">
                  <c:v>4.5810185185185433E-3</c:v>
                </c:pt>
                <c:pt idx="42">
                  <c:v>4.9295454545455145E-3</c:v>
                </c:pt>
                <c:pt idx="43">
                  <c:v>4.8593749999999575E-3</c:v>
                </c:pt>
                <c:pt idx="44">
                  <c:v>4.7916666666667027E-3</c:v>
                </c:pt>
                <c:pt idx="45">
                  <c:v>4.5301724137931506E-3</c:v>
                </c:pt>
                <c:pt idx="46">
                  <c:v>4.6631355932203527E-3</c:v>
                </c:pt>
                <c:pt idx="47">
                  <c:v>4.4125000000000249E-3</c:v>
                </c:pt>
                <c:pt idx="48">
                  <c:v>4.7295081967213678E-3</c:v>
                </c:pt>
                <c:pt idx="49">
                  <c:v>4.302419354838714E-3</c:v>
                </c:pt>
                <c:pt idx="50">
                  <c:v>4.0694444444444589E-3</c:v>
                </c:pt>
                <c:pt idx="51">
                  <c:v>4.3769531249998866E-3</c:v>
                </c:pt>
                <c:pt idx="52">
                  <c:v>4.3249999999999565E-3</c:v>
                </c:pt>
                <c:pt idx="53">
                  <c:v>4.1022727272726949E-3</c:v>
                </c:pt>
                <c:pt idx="54">
                  <c:v>3.5466417910446396E-3</c:v>
                </c:pt>
                <c:pt idx="55">
                  <c:v>3.8437500000000429E-3</c:v>
                </c:pt>
                <c:pt idx="56">
                  <c:v>4.1322463768116643E-3</c:v>
                </c:pt>
                <c:pt idx="57">
                  <c:v>4.4124999999999521E-3</c:v>
                </c:pt>
                <c:pt idx="58">
                  <c:v>4.2042253521126383E-3</c:v>
                </c:pt>
                <c:pt idx="59">
                  <c:v>4.3177083333334112E-3</c:v>
                </c:pt>
                <c:pt idx="60">
                  <c:v>3.9606164383560591E-3</c:v>
                </c:pt>
                <c:pt idx="61">
                  <c:v>3.4594594594593978E-3</c:v>
                </c:pt>
                <c:pt idx="62">
                  <c:v>4.0333333333334E-3</c:v>
                </c:pt>
                <c:pt idx="63">
                  <c:v>3.6940789473684449E-3</c:v>
                </c:pt>
                <c:pt idx="64">
                  <c:v>3.2159090909091555E-3</c:v>
                </c:pt>
                <c:pt idx="65">
                  <c:v>3.3333333333333734E-3</c:v>
                </c:pt>
                <c:pt idx="66">
                  <c:v>2.8718354430379259E-3</c:v>
                </c:pt>
                <c:pt idx="67">
                  <c:v>2.70624999999996E-3</c:v>
                </c:pt>
                <c:pt idx="68">
                  <c:v>2.8256172839506797E-3</c:v>
                </c:pt>
                <c:pt idx="69">
                  <c:v>2.248475609756028E-3</c:v>
                </c:pt>
                <c:pt idx="70">
                  <c:v>2.6445783132530124E-3</c:v>
                </c:pt>
                <c:pt idx="71">
                  <c:v>2.4895833333332209E-3</c:v>
                </c:pt>
                <c:pt idx="72">
                  <c:v>2.7397058823529718E-3</c:v>
                </c:pt>
                <c:pt idx="73">
                  <c:v>2.8517441860465204E-3</c:v>
                </c:pt>
                <c:pt idx="74">
                  <c:v>2.5689655172413516E-3</c:v>
                </c:pt>
                <c:pt idx="75">
                  <c:v>2.6803977272726789E-3</c:v>
                </c:pt>
                <c:pt idx="76">
                  <c:v>2.6615168539325862E-3</c:v>
                </c:pt>
                <c:pt idx="77">
                  <c:v>2.8958333333332443E-3</c:v>
                </c:pt>
                <c:pt idx="78">
                  <c:v>2.8749999999999609E-3</c:v>
                </c:pt>
                <c:pt idx="79">
                  <c:v>3.3491847826087606E-3</c:v>
                </c:pt>
                <c:pt idx="80">
                  <c:v>3.5685483870968597E-3</c:v>
                </c:pt>
                <c:pt idx="81">
                  <c:v>3.5412234042551277E-3</c:v>
                </c:pt>
                <c:pt idx="82">
                  <c:v>3.3947368421052932E-3</c:v>
                </c:pt>
                <c:pt idx="83">
                  <c:v>3.3697916666666377E-3</c:v>
                </c:pt>
                <c:pt idx="84">
                  <c:v>3.3453608247421811E-3</c:v>
                </c:pt>
                <c:pt idx="85">
                  <c:v>3.2053571428572697E-3</c:v>
                </c:pt>
                <c:pt idx="86">
                  <c:v>3.1830808080808765E-3</c:v>
                </c:pt>
                <c:pt idx="87">
                  <c:v>3.3887499999998845E-3</c:v>
                </c:pt>
                <c:pt idx="88">
                  <c:v>3.4777227722771952E-3</c:v>
                </c:pt>
                <c:pt idx="89">
                  <c:v>3.89950980392163E-3</c:v>
                </c:pt>
                <c:pt idx="90">
                  <c:v>4.0922330097088178E-3</c:v>
                </c:pt>
                <c:pt idx="91">
                  <c:v>4.1718749999999638E-3</c:v>
                </c:pt>
                <c:pt idx="92">
                  <c:v>4.14166666666677E-3</c:v>
                </c:pt>
                <c:pt idx="93">
                  <c:v>4.2193396226414982E-3</c:v>
                </c:pt>
                <c:pt idx="94">
                  <c:v>3.9766355140187452E-3</c:v>
                </c:pt>
                <c:pt idx="95">
                  <c:v>4.0543981481480909E-3</c:v>
                </c:pt>
                <c:pt idx="96">
                  <c:v>3.8176605504587225E-3</c:v>
                </c:pt>
                <c:pt idx="97">
                  <c:v>3.8954545454546272E-3</c:v>
                </c:pt>
                <c:pt idx="98">
                  <c:v>3.5619369369367729E-3</c:v>
                </c:pt>
                <c:pt idx="99">
                  <c:v>3.5390624999999676E-3</c:v>
                </c:pt>
                <c:pt idx="100">
                  <c:v>3.4159292035397964E-3</c:v>
                </c:pt>
                <c:pt idx="101">
                  <c:v>3.3947368421051874E-3</c:v>
                </c:pt>
                <c:pt idx="102">
                  <c:v>2.9782608695653125E-3</c:v>
                </c:pt>
                <c:pt idx="103">
                  <c:v>2.8631465517242375E-3</c:v>
                </c:pt>
                <c:pt idx="104">
                  <c:v>3.1388888888887775E-3</c:v>
                </c:pt>
                <c:pt idx="105">
                  <c:v>3.2171610169491119E-3</c:v>
                </c:pt>
                <c:pt idx="106">
                  <c:v>3.1029411764705536E-3</c:v>
                </c:pt>
                <c:pt idx="107">
                  <c:v>3.2749999999999815E-3</c:v>
                </c:pt>
                <c:pt idx="108">
                  <c:v>3.2561983471075403E-3</c:v>
                </c:pt>
                <c:pt idx="109">
                  <c:v>3.2377049180328417E-3</c:v>
                </c:pt>
                <c:pt idx="110">
                  <c:v>3.1270325203250982E-3</c:v>
                </c:pt>
                <c:pt idx="111">
                  <c:v>3.109879032258078E-3</c:v>
                </c:pt>
                <c:pt idx="112">
                  <c:v>2.9110000000000689E-3</c:v>
                </c:pt>
                <c:pt idx="113">
                  <c:v>2.8958333333333566E-3</c:v>
                </c:pt>
                <c:pt idx="114">
                  <c:v>2.8809055118110024E-3</c:v>
                </c:pt>
                <c:pt idx="115">
                  <c:v>2.5996093749999245E-3</c:v>
                </c:pt>
                <c:pt idx="116">
                  <c:v>2.4990310077518678E-3</c:v>
                </c:pt>
                <c:pt idx="117">
                  <c:v>2.4875000000000422E-3</c:v>
                </c:pt>
                <c:pt idx="118">
                  <c:v>2.1288167938931669E-3</c:v>
                </c:pt>
                <c:pt idx="119">
                  <c:v>2.0340909090909511E-3</c:v>
                </c:pt>
                <c:pt idx="120">
                  <c:v>2.282894736842114E-3</c:v>
                </c:pt>
                <c:pt idx="121">
                  <c:v>2.2733208955223543E-3</c:v>
                </c:pt>
                <c:pt idx="122">
                  <c:v>2.2638888888888136E-3</c:v>
                </c:pt>
                <c:pt idx="123">
                  <c:v>2.4218749999999393E-3</c:v>
                </c:pt>
                <c:pt idx="124">
                  <c:v>2.3284671532846162E-3</c:v>
                </c:pt>
                <c:pt idx="125">
                  <c:v>2.3188405797101952E-3</c:v>
                </c:pt>
                <c:pt idx="126">
                  <c:v>2.3093525179856207E-3</c:v>
                </c:pt>
                <c:pt idx="127">
                  <c:v>2.2999999999999687E-3</c:v>
                </c:pt>
                <c:pt idx="128">
                  <c:v>2.2101063829786968E-3</c:v>
                </c:pt>
                <c:pt idx="129">
                  <c:v>2.1214788732394148E-3</c:v>
                </c:pt>
                <c:pt idx="130">
                  <c:v>2.0340909090908921E-3</c:v>
                </c:pt>
                <c:pt idx="131">
                  <c:v>1.8689236111111424E-3</c:v>
                </c:pt>
                <c:pt idx="132">
                  <c:v>1.9413793103449156E-3</c:v>
                </c:pt>
                <c:pt idx="133">
                  <c:v>1.7011986301368875E-3</c:v>
                </c:pt>
                <c:pt idx="134">
                  <c:v>1.5416666666666157E-3</c:v>
                </c:pt>
                <c:pt idx="135">
                  <c:v>1.3842905405405371E-3</c:v>
                </c:pt>
                <c:pt idx="136">
                  <c:v>1.534395973154372E-3</c:v>
                </c:pt>
                <c:pt idx="137">
                  <c:v>1.5308333333334397E-3</c:v>
                </c:pt>
                <c:pt idx="138">
                  <c:v>1.6779801324503156E-3</c:v>
                </c:pt>
                <c:pt idx="139">
                  <c:v>1.6735197368420527E-3</c:v>
                </c:pt>
                <c:pt idx="140">
                  <c:v>1.6691176470588665E-3</c:v>
                </c:pt>
                <c:pt idx="141">
                  <c:v>1.5909090909091378E-3</c:v>
                </c:pt>
                <c:pt idx="142">
                  <c:v>1.6604838709677113E-3</c:v>
                </c:pt>
                <c:pt idx="143">
                  <c:v>1.6562500000000628E-3</c:v>
                </c:pt>
                <c:pt idx="144">
                  <c:v>1.5796178343948422E-3</c:v>
                </c:pt>
                <c:pt idx="145">
                  <c:v>1.5759493670886378E-3</c:v>
                </c:pt>
                <c:pt idx="146">
                  <c:v>1.5007861635220466E-3</c:v>
                </c:pt>
                <c:pt idx="147">
                  <c:v>1.4265625000000378E-3</c:v>
                </c:pt>
                <c:pt idx="148">
                  <c:v>1.4239130434782635E-3</c:v>
                </c:pt>
                <c:pt idx="149">
                  <c:v>1.4212962962963885E-3</c:v>
                </c:pt>
                <c:pt idx="150">
                  <c:v>1.1395705521472029E-3</c:v>
                </c:pt>
                <c:pt idx="151">
                  <c:v>1.208079268292697E-3</c:v>
                </c:pt>
                <c:pt idx="152">
                  <c:v>1.2757575757575174E-3</c:v>
                </c:pt>
                <c:pt idx="153">
                  <c:v>1.4111445783133285E-3</c:v>
                </c:pt>
                <c:pt idx="154">
                  <c:v>1.40868263473058E-3</c:v>
                </c:pt>
                <c:pt idx="155">
                  <c:v>1.4062499999998868E-3</c:v>
                </c:pt>
                <c:pt idx="156">
                  <c:v>1.4711538461537822E-3</c:v>
                </c:pt>
                <c:pt idx="157">
                  <c:v>1.6022058823528891E-3</c:v>
                </c:pt>
                <c:pt idx="158">
                  <c:v>1.5321637426900104E-3</c:v>
                </c:pt>
                <c:pt idx="159">
                  <c:v>1.5290697674418974E-3</c:v>
                </c:pt>
                <c:pt idx="160">
                  <c:v>1.5260115606936457E-3</c:v>
                </c:pt>
                <c:pt idx="161">
                  <c:v>1.5229885057470977E-3</c:v>
                </c:pt>
                <c:pt idx="162">
                  <c:v>1.4549999999999752E-3</c:v>
                </c:pt>
                <c:pt idx="163">
                  <c:v>1.4524147727272159E-3</c:v>
                </c:pt>
                <c:pt idx="164">
                  <c:v>1.3213276836158019E-3</c:v>
                </c:pt>
                <c:pt idx="165">
                  <c:v>1.2556179775280764E-3</c:v>
                </c:pt>
                <c:pt idx="166">
                  <c:v>1.0635474860335801E-3</c:v>
                </c:pt>
                <c:pt idx="167">
                  <c:v>9.9999999999995145E-4</c:v>
                </c:pt>
                <c:pt idx="168">
                  <c:v>1.0628453038674006E-3</c:v>
                </c:pt>
                <c:pt idx="169">
                  <c:v>1.187499999999897E-3</c:v>
                </c:pt>
                <c:pt idx="170">
                  <c:v>1.1243169398908323E-3</c:v>
                </c:pt>
                <c:pt idx="171">
                  <c:v>1.1236413043478068E-3</c:v>
                </c:pt>
                <c:pt idx="172">
                  <c:v>1.184459459459594E-3</c:v>
                </c:pt>
                <c:pt idx="173">
                  <c:v>1.1834677419354787E-3</c:v>
                </c:pt>
                <c:pt idx="174">
                  <c:v>1.2433155080215374E-3</c:v>
                </c:pt>
                <c:pt idx="175">
                  <c:v>1.3025265957445481E-3</c:v>
                </c:pt>
                <c:pt idx="176">
                  <c:v>1.2407407407406122E-3</c:v>
                </c:pt>
                <c:pt idx="177">
                  <c:v>1.1796052631577703E-3</c:v>
                </c:pt>
                <c:pt idx="178">
                  <c:v>1.1191099476438586E-3</c:v>
                </c:pt>
                <c:pt idx="179">
                  <c:v>1.0000000000000217E-3</c:v>
                </c:pt>
                <c:pt idx="180">
                  <c:v>9.4106217616582802E-4</c:v>
                </c:pt>
                <c:pt idx="181">
                  <c:v>8.2409793814428641E-4</c:v>
                </c:pt>
                <c:pt idx="182">
                  <c:v>6.5000000000002469E-4</c:v>
                </c:pt>
                <c:pt idx="183">
                  <c:v>5.3571428571424259E-4</c:v>
                </c:pt>
                <c:pt idx="184">
                  <c:v>5.9581218274121824E-4</c:v>
                </c:pt>
                <c:pt idx="185">
                  <c:v>5.4040404040414463E-4</c:v>
                </c:pt>
                <c:pt idx="186">
                  <c:v>5.4271356783937286E-4</c:v>
                </c:pt>
                <c:pt idx="187">
                  <c:v>4.8812499999997702E-4</c:v>
                </c:pt>
                <c:pt idx="188">
                  <c:v>4.3407960199003007E-4</c:v>
                </c:pt>
                <c:pt idx="189">
                  <c:v>4.9319306930685188E-4</c:v>
                </c:pt>
                <c:pt idx="190">
                  <c:v>3.8362068965522777E-4</c:v>
                </c:pt>
                <c:pt idx="191">
                  <c:v>4.4240196078431017E-4</c:v>
                </c:pt>
                <c:pt idx="192">
                  <c:v>3.8963414634146301E-4</c:v>
                </c:pt>
                <c:pt idx="193">
                  <c:v>3.3737864077670177E-4</c:v>
                </c:pt>
                <c:pt idx="194">
                  <c:v>3.4057971014500051E-4</c:v>
                </c:pt>
                <c:pt idx="195">
                  <c:v>2.8906250000007572E-4</c:v>
                </c:pt>
                <c:pt idx="196">
                  <c:v>1.2918660287095215E-4</c:v>
                </c:pt>
                <c:pt idx="197">
                  <c:v>7.9166666666807839E-5</c:v>
                </c:pt>
                <c:pt idx="198">
                  <c:v>-1.3210900473939059E-4</c:v>
                </c:pt>
                <c:pt idx="199">
                  <c:v>-2.3408018867936167E-4</c:v>
                </c:pt>
                <c:pt idx="200">
                  <c:v>-1.7488262910796352E-4</c:v>
                </c:pt>
                <c:pt idx="201">
                  <c:v>-2.2254672897194198E-4</c:v>
                </c:pt>
                <c:pt idx="202">
                  <c:v>-2.6976744186044159E-4</c:v>
                </c:pt>
                <c:pt idx="203">
                  <c:v>-2.6388888888879817E-4</c:v>
                </c:pt>
                <c:pt idx="204">
                  <c:v>-3.1048387096764866E-4</c:v>
                </c:pt>
                <c:pt idx="205">
                  <c:v>-3.0447247706424598E-4</c:v>
                </c:pt>
                <c:pt idx="206">
                  <c:v>-3.5045662100458897E-4</c:v>
                </c:pt>
                <c:pt idx="207">
                  <c:v>-3.4431818181813838E-4</c:v>
                </c:pt>
                <c:pt idx="208">
                  <c:v>-3.8970588235289502E-4</c:v>
                </c:pt>
                <c:pt idx="209">
                  <c:v>-5.3716216216223849E-4</c:v>
                </c:pt>
                <c:pt idx="210">
                  <c:v>-5.3026905829597491E-4</c:v>
                </c:pt>
                <c:pt idx="211">
                  <c:v>-5.2343750000012623E-4</c:v>
                </c:pt>
                <c:pt idx="212">
                  <c:v>-5.6722222222234506E-4</c:v>
                </c:pt>
                <c:pt idx="213">
                  <c:v>-5.6028761061952697E-4</c:v>
                </c:pt>
                <c:pt idx="214">
                  <c:v>-6.5363436123341823E-4</c:v>
                </c:pt>
                <c:pt idx="215">
                  <c:v>-6.9627192982449685E-4</c:v>
                </c:pt>
                <c:pt idx="216">
                  <c:v>-6.3919213973797934E-4</c:v>
                </c:pt>
                <c:pt idx="217">
                  <c:v>-5.3315217391302315E-4</c:v>
                </c:pt>
                <c:pt idx="218">
                  <c:v>-6.2499999999986221E-4</c:v>
                </c:pt>
                <c:pt idx="219">
                  <c:v>-4.7090517241376185E-4</c:v>
                </c:pt>
                <c:pt idx="220">
                  <c:v>-5.1341201716734815E-4</c:v>
                </c:pt>
                <c:pt idx="221">
                  <c:v>-5.0694444444452117E-4</c:v>
                </c:pt>
                <c:pt idx="222">
                  <c:v>-4.5212765957459544E-4</c:v>
                </c:pt>
                <c:pt idx="223">
                  <c:v>-3.9777542372881983E-4</c:v>
                </c:pt>
                <c:pt idx="224">
                  <c:v>-3.9187763713074655E-4</c:v>
                </c:pt>
                <c:pt idx="225">
                  <c:v>-3.8602941176475969E-4</c:v>
                </c:pt>
                <c:pt idx="226">
                  <c:v>-3.3263598326353289E-4</c:v>
                </c:pt>
                <c:pt idx="227">
                  <c:v>-2.796874999999847E-4</c:v>
                </c:pt>
                <c:pt idx="228">
                  <c:v>-3.2157676348545927E-4</c:v>
                </c:pt>
                <c:pt idx="229">
                  <c:v>-3.631198347107233E-4</c:v>
                </c:pt>
                <c:pt idx="230">
                  <c:v>-4.9794238683120078E-4</c:v>
                </c:pt>
                <c:pt idx="231">
                  <c:v>-5.3842213114746375E-4</c:v>
                </c:pt>
                <c:pt idx="232">
                  <c:v>-5.7857142857151394E-4</c:v>
                </c:pt>
                <c:pt idx="233">
                  <c:v>-5.2591463414647507E-4</c:v>
                </c:pt>
                <c:pt idx="234">
                  <c:v>-5.1973684210533742E-4</c:v>
                </c:pt>
                <c:pt idx="235">
                  <c:v>-4.6774193548383019E-4</c:v>
                </c:pt>
                <c:pt idx="236">
                  <c:v>-5.532128514056351E-4</c:v>
                </c:pt>
                <c:pt idx="237">
                  <c:v>-5.0150000000006049E-4</c:v>
                </c:pt>
                <c:pt idx="238">
                  <c:v>-6.3147410358566482E-4</c:v>
                </c:pt>
                <c:pt idx="239">
                  <c:v>-5.3472222222222191E-4</c:v>
                </c:pt>
                <c:pt idx="240">
                  <c:v>-6.1857707509870659E-4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1B51-4335-814D-53B8B9178B55}"/>
            </c:ext>
          </c:extLst>
        </c:ser>
        <c:ser>
          <c:idx val="42"/>
          <c:order val="42"/>
          <c:tx>
            <c:strRef>
              <c:f>'전류편차_24mA(절대값기준)'!$DF$7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'전류편차_24mA(절대값기준)'!$DF$22:$DF$262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-2.2500000000000714E-3</c:v>
                </c:pt>
                <c:pt idx="2">
                  <c:v>-2.0333333333332725E-3</c:v>
                </c:pt>
                <c:pt idx="3">
                  <c:v>-1.8437500000001385E-3</c:v>
                </c:pt>
                <c:pt idx="4">
                  <c:v>-4.352941176470608E-3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2.1375000000000226E-3</c:v>
                </c:pt>
                <c:pt idx="8">
                  <c:v>2.6249999999999329E-3</c:v>
                </c:pt>
                <c:pt idx="9">
                  <c:v>2.0340909090908743E-3</c:v>
                </c:pt>
                <c:pt idx="10">
                  <c:v>2.9782608695652683E-3</c:v>
                </c:pt>
                <c:pt idx="11">
                  <c:v>2.8958333333333566E-3</c:v>
                </c:pt>
                <c:pt idx="12">
                  <c:v>2.8199999999999979E-3</c:v>
                </c:pt>
                <c:pt idx="13">
                  <c:v>2.7499999999999747E-3</c:v>
                </c:pt>
                <c:pt idx="14">
                  <c:v>2.6851851851851381E-3</c:v>
                </c:pt>
                <c:pt idx="15">
                  <c:v>3.0312499999998882E-3</c:v>
                </c:pt>
                <c:pt idx="16">
                  <c:v>2.9612068965517695E-3</c:v>
                </c:pt>
                <c:pt idx="17">
                  <c:v>2.8958333333333566E-3</c:v>
                </c:pt>
                <c:pt idx="18">
                  <c:v>2.4677419354839141E-3</c:v>
                </c:pt>
                <c:pt idx="19">
                  <c:v>2.4218749999998651E-3</c:v>
                </c:pt>
                <c:pt idx="20">
                  <c:v>2.3787878787878826E-3</c:v>
                </c:pt>
                <c:pt idx="21">
                  <c:v>2.0036764705882578E-3</c:v>
                </c:pt>
                <c:pt idx="22">
                  <c:v>2.2999999999999687E-3</c:v>
                </c:pt>
                <c:pt idx="23">
                  <c:v>3.2118055555555441E-3</c:v>
                </c:pt>
                <c:pt idx="24">
                  <c:v>3.7668918918919332E-3</c:v>
                </c:pt>
                <c:pt idx="25">
                  <c:v>3.394736842105187E-3</c:v>
                </c:pt>
                <c:pt idx="26">
                  <c:v>2.7500000000001044E-3</c:v>
                </c:pt>
                <c:pt idx="27">
                  <c:v>2.9906250000000553E-3</c:v>
                </c:pt>
                <c:pt idx="28">
                  <c:v>2.387195121951196E-3</c:v>
                </c:pt>
                <c:pt idx="29">
                  <c:v>2.6249999999999329E-3</c:v>
                </c:pt>
                <c:pt idx="30">
                  <c:v>1.7936046511627985E-3</c:v>
                </c:pt>
                <c:pt idx="31">
                  <c:v>1.7755681818181755E-3</c:v>
                </c:pt>
                <c:pt idx="32">
                  <c:v>1.7583333333333136E-3</c:v>
                </c:pt>
                <c:pt idx="33">
                  <c:v>1.247282608695784E-3</c:v>
                </c:pt>
                <c:pt idx="34">
                  <c:v>1.242021276595538E-3</c:v>
                </c:pt>
                <c:pt idx="35">
                  <c:v>1.0000000000000217E-3</c:v>
                </c:pt>
                <c:pt idx="36">
                  <c:v>3.0357142857151409E-4</c:v>
                </c:pt>
                <c:pt idx="37">
                  <c:v>8.9999999999894608E-5</c:v>
                </c:pt>
                <c:pt idx="38">
                  <c:v>-5.612745098039631E-4</c:v>
                </c:pt>
                <c:pt idx="39">
                  <c:v>-9.3750000000003553E-5</c:v>
                </c:pt>
                <c:pt idx="40">
                  <c:v>5.7075471698104618E-4</c:v>
                </c:pt>
                <c:pt idx="41">
                  <c:v>1.4212962962962014E-3</c:v>
                </c:pt>
                <c:pt idx="42">
                  <c:v>1.2068181818182841E-3</c:v>
                </c:pt>
                <c:pt idx="43">
                  <c:v>1.4062499999998868E-3</c:v>
                </c:pt>
                <c:pt idx="44">
                  <c:v>1.5986842105263491E-3</c:v>
                </c:pt>
                <c:pt idx="45">
                  <c:v>1.5883620689656267E-3</c:v>
                </c:pt>
                <c:pt idx="46">
                  <c:v>1.7711864406778706E-3</c:v>
                </c:pt>
                <c:pt idx="47">
                  <c:v>1.7583333333333136E-3</c:v>
                </c:pt>
                <c:pt idx="48">
                  <c:v>1.9323770491804437E-3</c:v>
                </c:pt>
                <c:pt idx="49">
                  <c:v>1.9173387096774418E-3</c:v>
                </c:pt>
                <c:pt idx="50">
                  <c:v>1.9027777777778706E-3</c:v>
                </c:pt>
                <c:pt idx="51">
                  <c:v>2.0664062499999043E-3</c:v>
                </c:pt>
                <c:pt idx="52">
                  <c:v>2.2250000000000325E-3</c:v>
                </c:pt>
                <c:pt idx="53">
                  <c:v>1.8617424242424086E-3</c:v>
                </c:pt>
                <c:pt idx="54">
                  <c:v>2.0186567164178671E-3</c:v>
                </c:pt>
                <c:pt idx="55">
                  <c:v>2.1709558823528709E-3</c:v>
                </c:pt>
                <c:pt idx="56">
                  <c:v>2.8134057971015186E-3</c:v>
                </c:pt>
                <c:pt idx="57">
                  <c:v>3.1124999999999512E-3</c:v>
                </c:pt>
                <c:pt idx="58">
                  <c:v>3.0827464788732539E-3</c:v>
                </c:pt>
                <c:pt idx="59">
                  <c:v>3.0538194444445208E-3</c:v>
                </c:pt>
                <c:pt idx="60">
                  <c:v>3.0256849315068468E-3</c:v>
                </c:pt>
                <c:pt idx="61">
                  <c:v>2.8445945945946008E-3</c:v>
                </c:pt>
                <c:pt idx="62">
                  <c:v>2.6683333333333481E-3</c:v>
                </c:pt>
                <c:pt idx="63">
                  <c:v>2.9457236842104335E-3</c:v>
                </c:pt>
                <c:pt idx="64">
                  <c:v>2.6249999999999984E-3</c:v>
                </c:pt>
                <c:pt idx="65">
                  <c:v>2.6041666666667225E-3</c:v>
                </c:pt>
                <c:pt idx="66">
                  <c:v>2.4398734177214542E-3</c:v>
                </c:pt>
                <c:pt idx="67">
                  <c:v>1.1421875000000691E-3</c:v>
                </c:pt>
                <c:pt idx="68">
                  <c:v>2.5447530864198464E-3</c:v>
                </c:pt>
                <c:pt idx="69">
                  <c:v>1.9710365853658146E-3</c:v>
                </c:pt>
                <c:pt idx="70">
                  <c:v>1.5481927710843367E-3</c:v>
                </c:pt>
                <c:pt idx="71">
                  <c:v>1.9479166666666139E-3</c:v>
                </c:pt>
                <c:pt idx="72">
                  <c:v>1.8029411764705439E-3</c:v>
                </c:pt>
                <c:pt idx="73">
                  <c:v>2.322674418604718E-3</c:v>
                </c:pt>
                <c:pt idx="74">
                  <c:v>2.6997126436780605E-3</c:v>
                </c:pt>
                <c:pt idx="75">
                  <c:v>2.8096590909090853E-3</c:v>
                </c:pt>
                <c:pt idx="76">
                  <c:v>2.9171348314607614E-3</c:v>
                </c:pt>
                <c:pt idx="77">
                  <c:v>3.0222222222221753E-3</c:v>
                </c:pt>
                <c:pt idx="78">
                  <c:v>2.4999999999999467E-3</c:v>
                </c:pt>
                <c:pt idx="79">
                  <c:v>2.4836956521740185E-3</c:v>
                </c:pt>
                <c:pt idx="80">
                  <c:v>2.7123655913979749E-3</c:v>
                </c:pt>
                <c:pt idx="81">
                  <c:v>2.6941489361700611E-3</c:v>
                </c:pt>
                <c:pt idx="82">
                  <c:v>2.4368421052630811E-3</c:v>
                </c:pt>
                <c:pt idx="83">
                  <c:v>2.4218750000000754E-3</c:v>
                </c:pt>
                <c:pt idx="84">
                  <c:v>2.4072164948453771E-3</c:v>
                </c:pt>
                <c:pt idx="85">
                  <c:v>2.2767857142857372E-3</c:v>
                </c:pt>
                <c:pt idx="86">
                  <c:v>2.2638888888890586E-3</c:v>
                </c:pt>
                <c:pt idx="87">
                  <c:v>2.364999999999846E-3</c:v>
                </c:pt>
                <c:pt idx="88">
                  <c:v>2.5767326732671933E-3</c:v>
                </c:pt>
                <c:pt idx="89">
                  <c:v>2.6727941176470076E-3</c:v>
                </c:pt>
                <c:pt idx="90">
                  <c:v>2.8774271844659877E-3</c:v>
                </c:pt>
                <c:pt idx="91">
                  <c:v>2.9687500000000477E-3</c:v>
                </c:pt>
                <c:pt idx="92">
                  <c:v>3.2750000000000058E-3</c:v>
                </c:pt>
                <c:pt idx="93">
                  <c:v>2.1804245283018617E-3</c:v>
                </c:pt>
                <c:pt idx="94">
                  <c:v>3.0198598130841297E-3</c:v>
                </c:pt>
                <c:pt idx="95">
                  <c:v>2.8958333333333566E-3</c:v>
                </c:pt>
                <c:pt idx="96">
                  <c:v>2.9827981651377134E-3</c:v>
                </c:pt>
                <c:pt idx="97">
                  <c:v>2.9647727272727738E-3</c:v>
                </c:pt>
                <c:pt idx="98">
                  <c:v>3.0495495495494874E-3</c:v>
                </c:pt>
                <c:pt idx="99">
                  <c:v>2.8281250000000008E-3</c:v>
                </c:pt>
                <c:pt idx="100">
                  <c:v>2.7112831858407144E-3</c:v>
                </c:pt>
                <c:pt idx="101">
                  <c:v>2.5964912280701876E-3</c:v>
                </c:pt>
                <c:pt idx="102">
                  <c:v>2.4836956521739305E-3</c:v>
                </c:pt>
                <c:pt idx="103">
                  <c:v>2.5689655172414678E-3</c:v>
                </c:pt>
                <c:pt idx="104">
                  <c:v>2.652777777777763E-3</c:v>
                </c:pt>
                <c:pt idx="105">
                  <c:v>2.6387711864406154E-3</c:v>
                </c:pt>
                <c:pt idx="106">
                  <c:v>2.7205882352941248E-3</c:v>
                </c:pt>
                <c:pt idx="107">
                  <c:v>2.70624999999996E-3</c:v>
                </c:pt>
                <c:pt idx="108">
                  <c:v>2.9741735537190997E-3</c:v>
                </c:pt>
                <c:pt idx="109">
                  <c:v>2.9579918032787327E-3</c:v>
                </c:pt>
                <c:pt idx="110">
                  <c:v>3.0345528455284015E-3</c:v>
                </c:pt>
                <c:pt idx="111">
                  <c:v>2.8346774193548415E-3</c:v>
                </c:pt>
                <c:pt idx="112">
                  <c:v>2.9110000000000689E-3</c:v>
                </c:pt>
                <c:pt idx="113">
                  <c:v>2.8958333333333566E-3</c:v>
                </c:pt>
                <c:pt idx="114">
                  <c:v>2.8809055118110024E-3</c:v>
                </c:pt>
                <c:pt idx="115">
                  <c:v>2.8662109374999341E-3</c:v>
                </c:pt>
                <c:pt idx="116">
                  <c:v>2.6753875968992136E-3</c:v>
                </c:pt>
                <c:pt idx="117">
                  <c:v>2.4875000000000422E-3</c:v>
                </c:pt>
                <c:pt idx="118">
                  <c:v>2.4761450381679379E-3</c:v>
                </c:pt>
                <c:pt idx="119">
                  <c:v>2.6373106060606196E-3</c:v>
                </c:pt>
                <c:pt idx="120">
                  <c:v>2.6250000000001229E-3</c:v>
                </c:pt>
                <c:pt idx="121">
                  <c:v>2.6128731343282871E-3</c:v>
                </c:pt>
                <c:pt idx="122">
                  <c:v>2.7694444444443882E-3</c:v>
                </c:pt>
                <c:pt idx="123">
                  <c:v>2.7564338235294629E-3</c:v>
                </c:pt>
                <c:pt idx="124">
                  <c:v>2.992700729927026E-3</c:v>
                </c:pt>
                <c:pt idx="125">
                  <c:v>2.9782608695651954E-3</c:v>
                </c:pt>
                <c:pt idx="126">
                  <c:v>2.9640287769784998E-3</c:v>
                </c:pt>
                <c:pt idx="127">
                  <c:v>2.8687499999999421E-3</c:v>
                </c:pt>
                <c:pt idx="128">
                  <c:v>2.7748226950354083E-3</c:v>
                </c:pt>
                <c:pt idx="129">
                  <c:v>2.5220070422535619E-3</c:v>
                </c:pt>
                <c:pt idx="130">
                  <c:v>2.4318181818182268E-3</c:v>
                </c:pt>
                <c:pt idx="131">
                  <c:v>2.3428819444444937E-3</c:v>
                </c:pt>
                <c:pt idx="132">
                  <c:v>2.0982758620689667E-3</c:v>
                </c:pt>
                <c:pt idx="133">
                  <c:v>1.7791095890410922E-3</c:v>
                </c:pt>
                <c:pt idx="134">
                  <c:v>1.6964285714285723E-3</c:v>
                </c:pt>
                <c:pt idx="135">
                  <c:v>1.6917229729729356E-3</c:v>
                </c:pt>
                <c:pt idx="136">
                  <c:v>1.7634228187919645E-3</c:v>
                </c:pt>
                <c:pt idx="137">
                  <c:v>1.606666666666731E-3</c:v>
                </c:pt>
                <c:pt idx="138">
                  <c:v>1.5273178807946363E-3</c:v>
                </c:pt>
                <c:pt idx="139">
                  <c:v>1.4490131578946757E-3</c:v>
                </c:pt>
                <c:pt idx="140">
                  <c:v>1.4460784313725834E-3</c:v>
                </c:pt>
                <c:pt idx="141">
                  <c:v>1.3693181818182202E-3</c:v>
                </c:pt>
                <c:pt idx="142">
                  <c:v>1.3669354838709694E-3</c:v>
                </c:pt>
                <c:pt idx="143">
                  <c:v>1.5104166666666807E-3</c:v>
                </c:pt>
                <c:pt idx="144">
                  <c:v>1.5071656050955192E-3</c:v>
                </c:pt>
                <c:pt idx="145">
                  <c:v>1.4319620253164377E-3</c:v>
                </c:pt>
                <c:pt idx="146">
                  <c:v>1.4292452830188145E-3</c:v>
                </c:pt>
                <c:pt idx="147">
                  <c:v>1.1421875000000691E-3</c:v>
                </c:pt>
                <c:pt idx="148">
                  <c:v>1.1413043478261207E-3</c:v>
                </c:pt>
                <c:pt idx="149">
                  <c:v>1.0702160493827534E-3</c:v>
                </c:pt>
                <c:pt idx="150">
                  <c:v>8.6042944785275511E-4</c:v>
                </c:pt>
                <c:pt idx="151">
                  <c:v>9.306402439023606E-4</c:v>
                </c:pt>
                <c:pt idx="152">
                  <c:v>9.9999999999997205E-4</c:v>
                </c:pt>
                <c:pt idx="153">
                  <c:v>1.1370481927710681E-3</c:v>
                </c:pt>
                <c:pt idx="154">
                  <c:v>1.0000000000000256E-3</c:v>
                </c:pt>
                <c:pt idx="155">
                  <c:v>1.0677083333332873E-3</c:v>
                </c:pt>
                <c:pt idx="156">
                  <c:v>9.3269230769230311E-4</c:v>
                </c:pt>
                <c:pt idx="157">
                  <c:v>9.330882352940799E-4</c:v>
                </c:pt>
                <c:pt idx="158">
                  <c:v>1.0000000000000106E-3</c:v>
                </c:pt>
                <c:pt idx="159">
                  <c:v>1.0661337209302911E-3</c:v>
                </c:pt>
                <c:pt idx="160">
                  <c:v>1.1972543352601851E-3</c:v>
                </c:pt>
                <c:pt idx="161">
                  <c:v>1.2614942528735634E-3</c:v>
                </c:pt>
                <c:pt idx="162">
                  <c:v>1.2599999999999677E-3</c:v>
                </c:pt>
                <c:pt idx="163">
                  <c:v>1.1292613636363711E-3</c:v>
                </c:pt>
                <c:pt idx="164">
                  <c:v>1.1927966101695456E-3</c:v>
                </c:pt>
                <c:pt idx="165">
                  <c:v>1.1278089887641022E-3</c:v>
                </c:pt>
                <c:pt idx="166">
                  <c:v>1.1270949720670646E-3</c:v>
                </c:pt>
                <c:pt idx="167">
                  <c:v>1.1263888888888825E-3</c:v>
                </c:pt>
                <c:pt idx="168">
                  <c:v>1.2513812154696178E-3</c:v>
                </c:pt>
                <c:pt idx="169">
                  <c:v>1.3749999999999041E-3</c:v>
                </c:pt>
                <c:pt idx="170">
                  <c:v>1.3729508196721153E-3</c:v>
                </c:pt>
                <c:pt idx="171">
                  <c:v>1.4327445652175302E-3</c:v>
                </c:pt>
                <c:pt idx="172">
                  <c:v>1.4304054054054037E-3</c:v>
                </c:pt>
                <c:pt idx="173">
                  <c:v>1.4892473118281082E-3</c:v>
                </c:pt>
                <c:pt idx="174">
                  <c:v>1.5474598930482147E-3</c:v>
                </c:pt>
                <c:pt idx="175">
                  <c:v>1.726063829787189E-3</c:v>
                </c:pt>
                <c:pt idx="176">
                  <c:v>1.7824074074072993E-3</c:v>
                </c:pt>
                <c:pt idx="177">
                  <c:v>1.8980263157893763E-3</c:v>
                </c:pt>
                <c:pt idx="178">
                  <c:v>1.83376963350776E-3</c:v>
                </c:pt>
                <c:pt idx="179">
                  <c:v>1.8294270833333162E-3</c:v>
                </c:pt>
                <c:pt idx="180">
                  <c:v>1.7661917098445461E-3</c:v>
                </c:pt>
                <c:pt idx="181">
                  <c:v>1.5863402061856218E-3</c:v>
                </c:pt>
                <c:pt idx="182">
                  <c:v>1.7000000000000645E-3</c:v>
                </c:pt>
                <c:pt idx="183">
                  <c:v>1.6964285714287097E-3</c:v>
                </c:pt>
                <c:pt idx="184">
                  <c:v>1.6928934010152349E-3</c:v>
                </c:pt>
                <c:pt idx="185">
                  <c:v>1.6893939393940194E-3</c:v>
                </c:pt>
                <c:pt idx="186">
                  <c:v>1.6859296482413587E-3</c:v>
                </c:pt>
                <c:pt idx="187">
                  <c:v>1.7393749999998897E-3</c:v>
                </c:pt>
                <c:pt idx="188">
                  <c:v>1.792288557213962E-3</c:v>
                </c:pt>
                <c:pt idx="189">
                  <c:v>1.7320544554455793E-3</c:v>
                </c:pt>
                <c:pt idx="190">
                  <c:v>1.7844827586206654E-3</c:v>
                </c:pt>
                <c:pt idx="191">
                  <c:v>1.8363970588234466E-3</c:v>
                </c:pt>
                <c:pt idx="192">
                  <c:v>1.8878048780488369E-3</c:v>
                </c:pt>
                <c:pt idx="193">
                  <c:v>1.8834951456309986E-3</c:v>
                </c:pt>
                <c:pt idx="194">
                  <c:v>1.82427536231897E-3</c:v>
                </c:pt>
                <c:pt idx="195">
                  <c:v>2.0390625000000773E-3</c:v>
                </c:pt>
                <c:pt idx="196">
                  <c:v>1.9796650717704149E-3</c:v>
                </c:pt>
                <c:pt idx="197">
                  <c:v>1.8666666666666833E-3</c:v>
                </c:pt>
                <c:pt idx="198">
                  <c:v>1.7547393364928444E-3</c:v>
                </c:pt>
                <c:pt idx="199">
                  <c:v>1.9121462264149321E-3</c:v>
                </c:pt>
                <c:pt idx="200">
                  <c:v>2.0146713615023849E-3</c:v>
                </c:pt>
                <c:pt idx="201">
                  <c:v>1.9567757009346198E-3</c:v>
                </c:pt>
                <c:pt idx="202">
                  <c:v>1.9523255813952685E-3</c:v>
                </c:pt>
                <c:pt idx="203">
                  <c:v>1.5266203703704043E-3</c:v>
                </c:pt>
                <c:pt idx="204">
                  <c:v>1.9959677419354163E-3</c:v>
                </c:pt>
                <c:pt idx="205">
                  <c:v>2.0435779816514394E-3</c:v>
                </c:pt>
                <c:pt idx="206">
                  <c:v>1.9349315068493175E-3</c:v>
                </c:pt>
                <c:pt idx="207">
                  <c:v>2.0340909090909203E-3</c:v>
                </c:pt>
                <c:pt idx="208">
                  <c:v>2.0294117647059592E-3</c:v>
                </c:pt>
                <c:pt idx="209">
                  <c:v>2.1272522522521554E-3</c:v>
                </c:pt>
                <c:pt idx="210">
                  <c:v>2.1732062780267557E-3</c:v>
                </c:pt>
                <c:pt idx="211">
                  <c:v>2.1679687499999156E-3</c:v>
                </c:pt>
                <c:pt idx="212">
                  <c:v>2.1627777777777583E-3</c:v>
                </c:pt>
                <c:pt idx="213">
                  <c:v>2.006637168141632E-3</c:v>
                </c:pt>
                <c:pt idx="214">
                  <c:v>2.0022026431717314E-3</c:v>
                </c:pt>
                <c:pt idx="215">
                  <c:v>2.0476973684211029E-3</c:v>
                </c:pt>
                <c:pt idx="216">
                  <c:v>2.1424672489083556E-3</c:v>
                </c:pt>
                <c:pt idx="217">
                  <c:v>2.1375000000001215E-3</c:v>
                </c:pt>
                <c:pt idx="218">
                  <c:v>2.1325757575757667E-3</c:v>
                </c:pt>
                <c:pt idx="219">
                  <c:v>2.0786637931034602E-3</c:v>
                </c:pt>
                <c:pt idx="220">
                  <c:v>2.0740343347640227E-3</c:v>
                </c:pt>
                <c:pt idx="221">
                  <c:v>2.0694444444444076E-3</c:v>
                </c:pt>
                <c:pt idx="222">
                  <c:v>2.1617021276595458E-3</c:v>
                </c:pt>
                <c:pt idx="223">
                  <c:v>2.1085805084745507E-3</c:v>
                </c:pt>
                <c:pt idx="224">
                  <c:v>2.1518987341771394E-3</c:v>
                </c:pt>
                <c:pt idx="225">
                  <c:v>2.1470588235293973E-3</c:v>
                </c:pt>
                <c:pt idx="226">
                  <c:v>2.2374476987447635E-3</c:v>
                </c:pt>
                <c:pt idx="227">
                  <c:v>2.2322916666667209E-3</c:v>
                </c:pt>
                <c:pt idx="228">
                  <c:v>2.2271784232366291E-3</c:v>
                </c:pt>
                <c:pt idx="229">
                  <c:v>2.1280991735537782E-3</c:v>
                </c:pt>
                <c:pt idx="230">
                  <c:v>2.0298353909465067E-3</c:v>
                </c:pt>
                <c:pt idx="231">
                  <c:v>1.9789959016393516E-3</c:v>
                </c:pt>
                <c:pt idx="232">
                  <c:v>2.0678571428569925E-3</c:v>
                </c:pt>
                <c:pt idx="233">
                  <c:v>2.0172764227642452E-3</c:v>
                </c:pt>
                <c:pt idx="234">
                  <c:v>2.0131578947367545E-3</c:v>
                </c:pt>
                <c:pt idx="235">
                  <c:v>1.9173387096774418E-3</c:v>
                </c:pt>
                <c:pt idx="236">
                  <c:v>1.9593373493975645E-3</c:v>
                </c:pt>
                <c:pt idx="237">
                  <c:v>1.8644999999999213E-3</c:v>
                </c:pt>
                <c:pt idx="238">
                  <c:v>1.8157370517929139E-3</c:v>
                </c:pt>
                <c:pt idx="239">
                  <c:v>1.7673611111111986E-3</c:v>
                </c:pt>
                <c:pt idx="240">
                  <c:v>1.719367588932896E-3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1B51-4335-814D-53B8B9178B55}"/>
            </c:ext>
          </c:extLst>
        </c:ser>
        <c:ser>
          <c:idx val="43"/>
          <c:order val="43"/>
          <c:tx>
            <c:strRef>
              <c:f>'전류편차_24mA(절대값기준)'!$DG$7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'전류편차_24mA(절대값기준)'!$DG$22:$DG$262</c:f>
              <c:numCache>
                <c:formatCode>0.0%</c:formatCode>
                <c:ptCount val="241"/>
                <c:pt idx="0">
                  <c:v>-5.1249999999999352E-3</c:v>
                </c:pt>
                <c:pt idx="1">
                  <c:v>-2.2500000000000714E-3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4.9812499999999623E-3</c:v>
                </c:pt>
                <c:pt idx="8">
                  <c:v>3.7083333333332671E-3</c:v>
                </c:pt>
                <c:pt idx="9">
                  <c:v>3.5852272727272968E-3</c:v>
                </c:pt>
                <c:pt idx="10">
                  <c:v>6.9347826086957071E-3</c:v>
                </c:pt>
                <c:pt idx="11">
                  <c:v>6.2135416666667456E-3</c:v>
                </c:pt>
                <c:pt idx="12">
                  <c:v>6.4600000000000005E-3</c:v>
                </c:pt>
                <c:pt idx="13">
                  <c:v>6.2499999999999778E-3</c:v>
                </c:pt>
                <c:pt idx="14">
                  <c:v>5.6342592592592616E-3</c:v>
                </c:pt>
                <c:pt idx="15">
                  <c:v>6.6875000000000268E-3</c:v>
                </c:pt>
                <c:pt idx="16">
                  <c:v>7.2758620689656103E-3</c:v>
                </c:pt>
                <c:pt idx="17">
                  <c:v>5.9291666666666928E-3</c:v>
                </c:pt>
                <c:pt idx="18">
                  <c:v>6.8709677419355308E-3</c:v>
                </c:pt>
                <c:pt idx="19">
                  <c:v>5.6210937499999855E-3</c:v>
                </c:pt>
                <c:pt idx="20">
                  <c:v>7.5492424242424713E-3</c:v>
                </c:pt>
                <c:pt idx="21">
                  <c:v>8.3602941176469762E-3</c:v>
                </c:pt>
                <c:pt idx="22">
                  <c:v>7.1750000000000086E-3</c:v>
                </c:pt>
                <c:pt idx="23">
                  <c:v>7.6354166666667295E-3</c:v>
                </c:pt>
                <c:pt idx="24">
                  <c:v>8.6858108108108564E-3</c:v>
                </c:pt>
                <c:pt idx="25">
                  <c:v>7.2861842105263431E-3</c:v>
                </c:pt>
                <c:pt idx="26">
                  <c:v>7.1250000000000115E-3</c:v>
                </c:pt>
                <c:pt idx="27">
                  <c:v>7.5406250000000594E-3</c:v>
                </c:pt>
                <c:pt idx="28">
                  <c:v>7.1036585365853158E-3</c:v>
                </c:pt>
                <c:pt idx="29">
                  <c:v>6.1458333333332393E-3</c:v>
                </c:pt>
                <c:pt idx="30">
                  <c:v>5.7616279069767845E-3</c:v>
                </c:pt>
                <c:pt idx="31">
                  <c:v>6.428977272727213E-3</c:v>
                </c:pt>
                <c:pt idx="32">
                  <c:v>6.3083333333332613E-3</c:v>
                </c:pt>
                <c:pt idx="33">
                  <c:v>6.4402173913044574E-3</c:v>
                </c:pt>
                <c:pt idx="34">
                  <c:v>6.0824468085105433E-3</c:v>
                </c:pt>
                <c:pt idx="35">
                  <c:v>5.7395833333332537E-3</c:v>
                </c:pt>
                <c:pt idx="36">
                  <c:v>6.1071428571428188E-3</c:v>
                </c:pt>
                <c:pt idx="37">
                  <c:v>5.322499999999823E-3</c:v>
                </c:pt>
                <c:pt idx="38">
                  <c:v>5.0147058823529784E-3</c:v>
                </c:pt>
                <c:pt idx="39">
                  <c:v>5.1562500000000011E-3</c:v>
                </c:pt>
                <c:pt idx="40">
                  <c:v>4.8632075471698238E-3</c:v>
                </c:pt>
                <c:pt idx="41">
                  <c:v>5.4236111111110432E-3</c:v>
                </c:pt>
                <c:pt idx="42">
                  <c:v>4.9295454545455145E-3</c:v>
                </c:pt>
                <c:pt idx="43">
                  <c:v>4.2499999999999344E-3</c:v>
                </c:pt>
                <c:pt idx="44">
                  <c:v>3.9934210526315255E-3</c:v>
                </c:pt>
                <c:pt idx="45">
                  <c:v>3.7456896551725473E-3</c:v>
                </c:pt>
                <c:pt idx="46">
                  <c:v>3.8919491525423009E-3</c:v>
                </c:pt>
                <c:pt idx="47">
                  <c:v>4.6020833333334215E-3</c:v>
                </c:pt>
                <c:pt idx="48">
                  <c:v>4.1700819672131498E-3</c:v>
                </c:pt>
                <c:pt idx="49">
                  <c:v>4.1189516129031684E-3</c:v>
                </c:pt>
                <c:pt idx="50">
                  <c:v>3.5277777777777716E-3</c:v>
                </c:pt>
                <c:pt idx="51">
                  <c:v>4.0214843749999257E-3</c:v>
                </c:pt>
                <c:pt idx="52">
                  <c:v>3.974999999999995E-3</c:v>
                </c:pt>
                <c:pt idx="53">
                  <c:v>3.7575757575757625E-3</c:v>
                </c:pt>
                <c:pt idx="54">
                  <c:v>4.0559701492536137E-3</c:v>
                </c:pt>
                <c:pt idx="55">
                  <c:v>4.0110294117646555E-3</c:v>
                </c:pt>
                <c:pt idx="56">
                  <c:v>3.967391304347841E-3</c:v>
                </c:pt>
                <c:pt idx="57">
                  <c:v>3.2750000000000053E-3</c:v>
                </c:pt>
                <c:pt idx="58">
                  <c:v>1.6408450704224952E-3</c:v>
                </c:pt>
                <c:pt idx="59">
                  <c:v>2.5798611111111694E-3</c:v>
                </c:pt>
                <c:pt idx="60">
                  <c:v>2.0907534246574961E-3</c:v>
                </c:pt>
                <c:pt idx="61">
                  <c:v>1.61486486486487E-3</c:v>
                </c:pt>
                <c:pt idx="62">
                  <c:v>8.4833333333341387E-4</c:v>
                </c:pt>
                <c:pt idx="63">
                  <c:v>7.0065789473679706E-4</c:v>
                </c:pt>
                <c:pt idx="64">
                  <c:v>9.9999999999998072E-4</c:v>
                </c:pt>
                <c:pt idx="65">
                  <c:v>1.4375000000000546E-3</c:v>
                </c:pt>
                <c:pt idx="66">
                  <c:v>2.8718354430379259E-3</c:v>
                </c:pt>
                <c:pt idx="67">
                  <c:v>1.0000000000000217E-3</c:v>
                </c:pt>
                <c:pt idx="68">
                  <c:v>3.3873456790123463E-3</c:v>
                </c:pt>
                <c:pt idx="69">
                  <c:v>1.0000000000000063E-3</c:v>
                </c:pt>
                <c:pt idx="70">
                  <c:v>1.4111445783133285E-3</c:v>
                </c:pt>
                <c:pt idx="71">
                  <c:v>-7.6041666666678176E-4</c:v>
                </c:pt>
                <c:pt idx="72">
                  <c:v>1.5352941176470438E-3</c:v>
                </c:pt>
                <c:pt idx="73">
                  <c:v>-8.5174418604644754E-4</c:v>
                </c:pt>
                <c:pt idx="74">
                  <c:v>3.8764367816091399E-3</c:v>
                </c:pt>
                <c:pt idx="75">
                  <c:v>-3.7826704545454799E-3</c:v>
                </c:pt>
                <c:pt idx="76">
                  <c:v>-5.3370786516846933E-4</c:v>
                </c:pt>
                <c:pt idx="77">
                  <c:v>1.1527777777777063E-4</c:v>
                </c:pt>
                <c:pt idx="78">
                  <c:v>-1.0000000000000009E-3</c:v>
                </c:pt>
                <c:pt idx="79">
                  <c:v>1.247282608695784E-3</c:v>
                </c:pt>
                <c:pt idx="80">
                  <c:v>-4.1370967741935381E-3</c:v>
                </c:pt>
                <c:pt idx="81">
                  <c:v>1.3630319148935583E-3</c:v>
                </c:pt>
                <c:pt idx="82">
                  <c:v>-2.1131578947369495E-3</c:v>
                </c:pt>
                <c:pt idx="83">
                  <c:v>-1.1328125000000591E-3</c:v>
                </c:pt>
                <c:pt idx="84">
                  <c:v>-1.57989690721656E-3</c:v>
                </c:pt>
                <c:pt idx="85">
                  <c:v>-3.9285714285708373E-4</c:v>
                </c:pt>
                <c:pt idx="86">
                  <c:v>-1.5277777777777521E-3</c:v>
                </c:pt>
                <c:pt idx="87">
                  <c:v>-1.6162500000001699E-3</c:v>
                </c:pt>
                <c:pt idx="88">
                  <c:v>1.4504950495048412E-3</c:v>
                </c:pt>
                <c:pt idx="89">
                  <c:v>-2.0110294117647361E-3</c:v>
                </c:pt>
                <c:pt idx="90">
                  <c:v>-1.6504854368932765E-3</c:v>
                </c:pt>
                <c:pt idx="91">
                  <c:v>-1.2968749999999196E-3</c:v>
                </c:pt>
                <c:pt idx="92">
                  <c:v>-2.249999999999819E-3</c:v>
                </c:pt>
                <c:pt idx="93">
                  <c:v>-1.0389150943397696E-3</c:v>
                </c:pt>
                <c:pt idx="94">
                  <c:v>-2.6144859813084812E-3</c:v>
                </c:pt>
                <c:pt idx="95">
                  <c:v>-2.3703703703704219E-3</c:v>
                </c:pt>
                <c:pt idx="96">
                  <c:v>-2.2350917431192413E-3</c:v>
                </c:pt>
                <c:pt idx="97">
                  <c:v>-3.0329545454544815E-3</c:v>
                </c:pt>
                <c:pt idx="98">
                  <c:v>-2.6891891891893467E-3</c:v>
                </c:pt>
                <c:pt idx="99">
                  <c:v>-2.7578124999999704E-3</c:v>
                </c:pt>
                <c:pt idx="100">
                  <c:v>-2.0199115044248323E-3</c:v>
                </c:pt>
                <c:pt idx="101">
                  <c:v>-2.2927631578946736E-3</c:v>
                </c:pt>
                <c:pt idx="102">
                  <c:v>-3.1543478260869771E-3</c:v>
                </c:pt>
                <c:pt idx="103">
                  <c:v>-2.1379310344826746E-3</c:v>
                </c:pt>
                <c:pt idx="104">
                  <c:v>-3.2777777777777866E-3</c:v>
                </c:pt>
                <c:pt idx="105">
                  <c:v>-3.0487288135593146E-3</c:v>
                </c:pt>
                <c:pt idx="106">
                  <c:v>-3.3970588235294097E-3</c:v>
                </c:pt>
                <c:pt idx="107">
                  <c:v>-3.4552083333333262E-3</c:v>
                </c:pt>
                <c:pt idx="108">
                  <c:v>-3.5123966942148636E-3</c:v>
                </c:pt>
                <c:pt idx="109">
                  <c:v>-3.1956967213113336E-3</c:v>
                </c:pt>
                <c:pt idx="110">
                  <c:v>-3.6239837398375396E-3</c:v>
                </c:pt>
                <c:pt idx="111">
                  <c:v>-3.5866935483871197E-3</c:v>
                </c:pt>
                <c:pt idx="112">
                  <c:v>-3.1859999999999467E-3</c:v>
                </c:pt>
                <c:pt idx="113">
                  <c:v>-2.9722222222221539E-3</c:v>
                </c:pt>
                <c:pt idx="114">
                  <c:v>-3.2992125984251343E-3</c:v>
                </c:pt>
                <c:pt idx="115">
                  <c:v>-3.3544921875000903E-3</c:v>
                </c:pt>
                <c:pt idx="116">
                  <c:v>-3.937984496124136E-3</c:v>
                </c:pt>
                <c:pt idx="117">
                  <c:v>-3.2875000000000209E-3</c:v>
                </c:pt>
                <c:pt idx="118">
                  <c:v>-3.6020992366412471E-3</c:v>
                </c:pt>
                <c:pt idx="119">
                  <c:v>-3.5672348484847641E-3</c:v>
                </c:pt>
                <c:pt idx="120">
                  <c:v>-3.5328947368420639E-3</c:v>
                </c:pt>
                <c:pt idx="121">
                  <c:v>-4.1781716417911216E-3</c:v>
                </c:pt>
                <c:pt idx="122">
                  <c:v>-3.8870370370371458E-3</c:v>
                </c:pt>
                <c:pt idx="123">
                  <c:v>-4.1856617647058466E-3</c:v>
                </c:pt>
                <c:pt idx="124">
                  <c:v>-3.8987226277372227E-3</c:v>
                </c:pt>
                <c:pt idx="125">
                  <c:v>-4.5226449275361973E-3</c:v>
                </c:pt>
                <c:pt idx="126">
                  <c:v>-4.5647482014388096E-3</c:v>
                </c:pt>
                <c:pt idx="127">
                  <c:v>-4.9312500000000641E-3</c:v>
                </c:pt>
                <c:pt idx="128">
                  <c:v>-5.131205673758835E-3</c:v>
                </c:pt>
                <c:pt idx="129">
                  <c:v>-4.6073943661971749E-3</c:v>
                </c:pt>
                <c:pt idx="130">
                  <c:v>-4.8068181818182228E-3</c:v>
                </c:pt>
                <c:pt idx="131">
                  <c:v>-4.9244791666666595E-3</c:v>
                </c:pt>
                <c:pt idx="132">
                  <c:v>-4.6482758620688489E-3</c:v>
                </c:pt>
                <c:pt idx="133">
                  <c:v>-4.9212328767123557E-3</c:v>
                </c:pt>
                <c:pt idx="134">
                  <c:v>-4.8809523809524458E-3</c:v>
                </c:pt>
                <c:pt idx="135">
                  <c:v>-4.8412162162161827E-3</c:v>
                </c:pt>
                <c:pt idx="136">
                  <c:v>-5.1837248322146937E-3</c:v>
                </c:pt>
                <c:pt idx="137">
                  <c:v>-5.0666666666666759E-3</c:v>
                </c:pt>
                <c:pt idx="138">
                  <c:v>-5.3278145695364364E-3</c:v>
                </c:pt>
                <c:pt idx="139">
                  <c:v>-5.3610197368421141E-3</c:v>
                </c:pt>
                <c:pt idx="140">
                  <c:v>-5.6168300653594901E-3</c:v>
                </c:pt>
                <c:pt idx="141">
                  <c:v>-5.8693181818181995E-3</c:v>
                </c:pt>
                <c:pt idx="142">
                  <c:v>-5.8983870967742064E-3</c:v>
                </c:pt>
                <c:pt idx="143">
                  <c:v>-5.9999999999999689E-3</c:v>
                </c:pt>
                <c:pt idx="144">
                  <c:v>-5.8829617834395345E-3</c:v>
                </c:pt>
                <c:pt idx="145">
                  <c:v>-5.6954113924050954E-3</c:v>
                </c:pt>
                <c:pt idx="146">
                  <c:v>-6.0825471698112777E-3</c:v>
                </c:pt>
                <c:pt idx="147">
                  <c:v>-5.540625000000016E-3</c:v>
                </c:pt>
                <c:pt idx="148">
                  <c:v>-5.6413043478260594E-3</c:v>
                </c:pt>
                <c:pt idx="149">
                  <c:v>-5.6003086419751918E-3</c:v>
                </c:pt>
                <c:pt idx="150">
                  <c:v>-5.6296012269938687E-3</c:v>
                </c:pt>
                <c:pt idx="151">
                  <c:v>-6.1440548780487573E-3</c:v>
                </c:pt>
                <c:pt idx="152">
                  <c:v>-6.1696969696969431E-3</c:v>
                </c:pt>
                <c:pt idx="153">
                  <c:v>-6.3320783132530273E-3</c:v>
                </c:pt>
                <c:pt idx="154">
                  <c:v>-6.1519461077844352E-3</c:v>
                </c:pt>
                <c:pt idx="155">
                  <c:v>-6.5156250000000526E-3</c:v>
                </c:pt>
                <c:pt idx="156">
                  <c:v>-6.471153846153932E-3</c:v>
                </c:pt>
                <c:pt idx="157">
                  <c:v>-6.7617647058824046E-3</c:v>
                </c:pt>
                <c:pt idx="158">
                  <c:v>-7.1154970760233735E-3</c:v>
                </c:pt>
                <c:pt idx="159">
                  <c:v>-7.0021802325580737E-3</c:v>
                </c:pt>
                <c:pt idx="160">
                  <c:v>-6.7586705202311737E-3</c:v>
                </c:pt>
                <c:pt idx="161">
                  <c:v>-6.7794540229885779E-3</c:v>
                </c:pt>
                <c:pt idx="162">
                  <c:v>-6.9299999999999961E-3</c:v>
                </c:pt>
                <c:pt idx="163">
                  <c:v>-6.4971590909091046E-3</c:v>
                </c:pt>
                <c:pt idx="164">
                  <c:v>-6.5190677966101796E-3</c:v>
                </c:pt>
                <c:pt idx="165">
                  <c:v>-6.285112359550483E-3</c:v>
                </c:pt>
                <c:pt idx="166">
                  <c:v>-6.4986033519552327E-3</c:v>
                </c:pt>
                <c:pt idx="167">
                  <c:v>-6.4569444444445134E-3</c:v>
                </c:pt>
                <c:pt idx="168">
                  <c:v>-6.6042817679557962E-3</c:v>
                </c:pt>
                <c:pt idx="169">
                  <c:v>-6.8124999999999991E-3</c:v>
                </c:pt>
                <c:pt idx="170">
                  <c:v>-6.8941256830600704E-3</c:v>
                </c:pt>
                <c:pt idx="171">
                  <c:v>-6.9130434782608274E-3</c:v>
                </c:pt>
                <c:pt idx="172">
                  <c:v>-6.8702702702701504E-3</c:v>
                </c:pt>
                <c:pt idx="173">
                  <c:v>-7.0725806451611747E-3</c:v>
                </c:pt>
                <c:pt idx="174">
                  <c:v>-7.2118983957217388E-3</c:v>
                </c:pt>
                <c:pt idx="175">
                  <c:v>-7.1682180851065491E-3</c:v>
                </c:pt>
                <c:pt idx="176">
                  <c:v>-7.004629629629785E-3</c:v>
                </c:pt>
                <c:pt idx="177">
                  <c:v>-7.0223684210527831E-3</c:v>
                </c:pt>
                <c:pt idx="178">
                  <c:v>-7.2185863874344976E-3</c:v>
                </c:pt>
                <c:pt idx="179">
                  <c:v>-6.9980468750000706E-3</c:v>
                </c:pt>
                <c:pt idx="180">
                  <c:v>-7.0155440414508448E-3</c:v>
                </c:pt>
                <c:pt idx="181">
                  <c:v>-6.9742268041237034E-3</c:v>
                </c:pt>
                <c:pt idx="182">
                  <c:v>-7.1083333333332574E-3</c:v>
                </c:pt>
                <c:pt idx="183">
                  <c:v>-7.0669642857141366E-3</c:v>
                </c:pt>
                <c:pt idx="184">
                  <c:v>-7.2569796954313264E-3</c:v>
                </c:pt>
                <c:pt idx="185">
                  <c:v>-7.3876262626262554E-3</c:v>
                </c:pt>
                <c:pt idx="186">
                  <c:v>-7.5169597989949016E-3</c:v>
                </c:pt>
                <c:pt idx="187">
                  <c:v>-7.3606250000001179E-3</c:v>
                </c:pt>
                <c:pt idx="188">
                  <c:v>-7.5453980099503696E-3</c:v>
                </c:pt>
                <c:pt idx="189">
                  <c:v>-7.6720297029703515E-3</c:v>
                </c:pt>
                <c:pt idx="190">
                  <c:v>-7.8534482758621273E-3</c:v>
                </c:pt>
                <c:pt idx="191">
                  <c:v>-7.8100490196078296E-3</c:v>
                </c:pt>
                <c:pt idx="192">
                  <c:v>-8.044512195122009E-3</c:v>
                </c:pt>
                <c:pt idx="193">
                  <c:v>-7.6692961165048283E-3</c:v>
                </c:pt>
                <c:pt idx="194">
                  <c:v>-7.792270531400876E-3</c:v>
                </c:pt>
                <c:pt idx="195">
                  <c:v>-7.859374999999974E-3</c:v>
                </c:pt>
                <c:pt idx="196">
                  <c:v>-7.7625598086122792E-3</c:v>
                </c:pt>
                <c:pt idx="197">
                  <c:v>-7.9374999999998423E-3</c:v>
                </c:pt>
                <c:pt idx="198">
                  <c:v>-7.8951421800949433E-3</c:v>
                </c:pt>
                <c:pt idx="199">
                  <c:v>-7.906839622641661E-3</c:v>
                </c:pt>
                <c:pt idx="200">
                  <c:v>-7.9718309859155168E-3</c:v>
                </c:pt>
                <c:pt idx="201">
                  <c:v>-8.0362149532711147E-3</c:v>
                </c:pt>
                <c:pt idx="202">
                  <c:v>-8.0999999999999597E-3</c:v>
                </c:pt>
                <c:pt idx="203">
                  <c:v>-8.3211805555555834E-3</c:v>
                </c:pt>
                <c:pt idx="204">
                  <c:v>-8.3830645161289338E-3</c:v>
                </c:pt>
                <c:pt idx="205">
                  <c:v>-8.3922018348622854E-3</c:v>
                </c:pt>
                <c:pt idx="206">
                  <c:v>-8.764840182648375E-3</c:v>
                </c:pt>
                <c:pt idx="207">
                  <c:v>-8.5653409090908107E-3</c:v>
                </c:pt>
                <c:pt idx="208">
                  <c:v>-8.7279411764704922E-3</c:v>
                </c:pt>
                <c:pt idx="209">
                  <c:v>-8.581644144144222E-3</c:v>
                </c:pt>
                <c:pt idx="210">
                  <c:v>-8.6917040358744577E-3</c:v>
                </c:pt>
                <c:pt idx="211">
                  <c:v>-8.7500000000000772E-3</c:v>
                </c:pt>
                <c:pt idx="212">
                  <c:v>-8.8077777777777339E-3</c:v>
                </c:pt>
                <c:pt idx="213">
                  <c:v>-8.814712389380485E-3</c:v>
                </c:pt>
                <c:pt idx="214">
                  <c:v>-8.9719162995594275E-3</c:v>
                </c:pt>
                <c:pt idx="215">
                  <c:v>-8.7785087719298889E-3</c:v>
                </c:pt>
                <c:pt idx="216">
                  <c:v>-8.8351528384278937E-3</c:v>
                </c:pt>
                <c:pt idx="217">
                  <c:v>-8.9902173913042963E-3</c:v>
                </c:pt>
                <c:pt idx="218">
                  <c:v>-9.0946969696968621E-3</c:v>
                </c:pt>
                <c:pt idx="219">
                  <c:v>-9.1492456896551215E-3</c:v>
                </c:pt>
                <c:pt idx="220">
                  <c:v>-9.398605150214491E-3</c:v>
                </c:pt>
                <c:pt idx="221">
                  <c:v>-9.4027777777778449E-3</c:v>
                </c:pt>
                <c:pt idx="222">
                  <c:v>-9.6005319148937465E-3</c:v>
                </c:pt>
                <c:pt idx="223">
                  <c:v>-9.5556144067797284E-3</c:v>
                </c:pt>
                <c:pt idx="224">
                  <c:v>-9.5110759493670944E-3</c:v>
                </c:pt>
                <c:pt idx="225">
                  <c:v>-9.6580882352941266E-3</c:v>
                </c:pt>
                <c:pt idx="226">
                  <c:v>-9.6610878661087928E-3</c:v>
                </c:pt>
                <c:pt idx="227">
                  <c:v>-9.7114583333333948E-3</c:v>
                </c:pt>
                <c:pt idx="228">
                  <c:v>-9.6198132780082428E-3</c:v>
                </c:pt>
                <c:pt idx="229">
                  <c:v>-9.6699380165289235E-3</c:v>
                </c:pt>
                <c:pt idx="230">
                  <c:v>-9.7196502057612048E-3</c:v>
                </c:pt>
                <c:pt idx="231">
                  <c:v>-9.6290983606556746E-3</c:v>
                </c:pt>
                <c:pt idx="232">
                  <c:v>-9.7250000000000461E-3</c:v>
                </c:pt>
                <c:pt idx="233">
                  <c:v>-9.8663617886179354E-3</c:v>
                </c:pt>
                <c:pt idx="234">
                  <c:v>-9.8684210526316252E-3</c:v>
                </c:pt>
                <c:pt idx="235">
                  <c:v>-9.8245967741935353E-3</c:v>
                </c:pt>
                <c:pt idx="236">
                  <c:v>-1.0055220883534076E-2</c:v>
                </c:pt>
                <c:pt idx="237">
                  <c:v>-1.0101999999999993E-2</c:v>
                </c:pt>
                <c:pt idx="238">
                  <c:v>-1.0284362549800849E-2</c:v>
                </c:pt>
                <c:pt idx="239">
                  <c:v>-1.0465277777777726E-2</c:v>
                </c:pt>
                <c:pt idx="240">
                  <c:v>-1.0419960474308192E-2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1B51-4335-814D-53B8B9178B55}"/>
            </c:ext>
          </c:extLst>
        </c:ser>
        <c:ser>
          <c:idx val="44"/>
          <c:order val="44"/>
          <c:tx>
            <c:strRef>
              <c:f>'전류편차_24mA(절대값기준)'!$DH$7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'전류편차_24mA(절대값기준)'!$DH$22:$DH$262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1.8125000000000224E-3</c:v>
                </c:pt>
                <c:pt idx="2">
                  <c:v>1.7583333333333136E-3</c:v>
                </c:pt>
                <c:pt idx="3">
                  <c:v>9.9999999999986385E-4</c:v>
                </c:pt>
                <c:pt idx="4">
                  <c:v>3.3088235294123473E-4</c:v>
                </c:pt>
                <c:pt idx="5">
                  <c:v>3.6805555555557669E-4</c:v>
                </c:pt>
                <c:pt idx="6">
                  <c:v>4.0131578947367216E-4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9.9999999999996424E-4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1.5740740740745175E-4</c:v>
                </c:pt>
                <c:pt idx="15">
                  <c:v>5.9374999999997624E-4</c:v>
                </c:pt>
                <c:pt idx="16">
                  <c:v>6.0775862068978539E-4</c:v>
                </c:pt>
                <c:pt idx="17">
                  <c:v>1.3791666666666887E-3</c:v>
                </c:pt>
                <c:pt idx="18">
                  <c:v>1.3669354838709694E-3</c:v>
                </c:pt>
                <c:pt idx="19">
                  <c:v>1.3554687499999826E-3</c:v>
                </c:pt>
                <c:pt idx="20">
                  <c:v>1.3446969696969343E-3</c:v>
                </c:pt>
                <c:pt idx="21">
                  <c:v>1.6691176470588829E-3</c:v>
                </c:pt>
                <c:pt idx="22">
                  <c:v>1.6499999999998959E-3</c:v>
                </c:pt>
                <c:pt idx="23">
                  <c:v>1.9479166666666542E-3</c:v>
                </c:pt>
                <c:pt idx="24">
                  <c:v>1.61486486486487E-3</c:v>
                </c:pt>
                <c:pt idx="25">
                  <c:v>1.2993421052631799E-3</c:v>
                </c:pt>
                <c:pt idx="26">
                  <c:v>1.000000000000038E-3</c:v>
                </c:pt>
                <c:pt idx="27">
                  <c:v>4.3124999999995809E-4</c:v>
                </c:pt>
                <c:pt idx="28">
                  <c:v>7.2256097560979295E-4</c:v>
                </c:pt>
                <c:pt idx="29">
                  <c:v>1.8749999999996084E-4</c:v>
                </c:pt>
                <c:pt idx="30">
                  <c:v>4.7093023255817545E-4</c:v>
                </c:pt>
                <c:pt idx="31">
                  <c:v>7.4147727272726551E-4</c:v>
                </c:pt>
                <c:pt idx="32">
                  <c:v>7.4722222222220155E-4</c:v>
                </c:pt>
                <c:pt idx="33">
                  <c:v>5.054347826087993E-4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7.678571428571773E-4</c:v>
                </c:pt>
                <c:pt idx="37">
                  <c:v>7.7249999999992039E-4</c:v>
                </c:pt>
                <c:pt idx="38">
                  <c:v>7.7696078431373455E-4</c:v>
                </c:pt>
                <c:pt idx="39">
                  <c:v>7.8125000000009437E-4</c:v>
                </c:pt>
                <c:pt idx="40">
                  <c:v>7.8537735849055178E-4</c:v>
                </c:pt>
                <c:pt idx="41">
                  <c:v>7.8935185185192015E-4</c:v>
                </c:pt>
                <c:pt idx="42">
                  <c:v>5.863636363637151E-4</c:v>
                </c:pt>
                <c:pt idx="43">
                  <c:v>5.9374999999997624E-4</c:v>
                </c:pt>
                <c:pt idx="44">
                  <c:v>8.004385964911721E-4</c:v>
                </c:pt>
                <c:pt idx="45">
                  <c:v>2.1551724137930958E-4</c:v>
                </c:pt>
                <c:pt idx="46">
                  <c:v>6.14406779661049E-4</c:v>
                </c:pt>
                <c:pt idx="47">
                  <c:v>1.0000000000000638E-3</c:v>
                </c:pt>
                <c:pt idx="48">
                  <c:v>1.3729508196722257E-3</c:v>
                </c:pt>
                <c:pt idx="49">
                  <c:v>1.3669354838709694E-3</c:v>
                </c:pt>
                <c:pt idx="50">
                  <c:v>1.7222222222222547E-3</c:v>
                </c:pt>
                <c:pt idx="51">
                  <c:v>1.7109374999999432E-3</c:v>
                </c:pt>
                <c:pt idx="52">
                  <c:v>1.7000000000000125E-3</c:v>
                </c:pt>
                <c:pt idx="53">
                  <c:v>1.5170454545454768E-3</c:v>
                </c:pt>
                <c:pt idx="54">
                  <c:v>1.6791044776119342E-3</c:v>
                </c:pt>
                <c:pt idx="55">
                  <c:v>2.0036764705882578E-3</c:v>
                </c:pt>
                <c:pt idx="56">
                  <c:v>1.9891304347826955E-3</c:v>
                </c:pt>
                <c:pt idx="57">
                  <c:v>1.8124999999999502E-3</c:v>
                </c:pt>
                <c:pt idx="58">
                  <c:v>1.9612676056337277E-3</c:v>
                </c:pt>
                <c:pt idx="59">
                  <c:v>1.7899305555556307E-3</c:v>
                </c:pt>
                <c:pt idx="60">
                  <c:v>1.623287671232821E-3</c:v>
                </c:pt>
                <c:pt idx="61">
                  <c:v>1.4611486486486025E-3</c:v>
                </c:pt>
                <c:pt idx="62">
                  <c:v>1.4550000000000138E-3</c:v>
                </c:pt>
                <c:pt idx="63">
                  <c:v>1.5986842105263047E-3</c:v>
                </c:pt>
                <c:pt idx="64">
                  <c:v>2.0340909090909728E-3</c:v>
                </c:pt>
                <c:pt idx="65">
                  <c:v>2.0208333333334534E-3</c:v>
                </c:pt>
                <c:pt idx="66">
                  <c:v>2.2958860759493818E-3</c:v>
                </c:pt>
                <c:pt idx="67">
                  <c:v>2.1375000000000226E-3</c:v>
                </c:pt>
                <c:pt idx="68">
                  <c:v>2.123456790123534E-3</c:v>
                </c:pt>
                <c:pt idx="69">
                  <c:v>2.1097560975609827E-3</c:v>
                </c:pt>
                <c:pt idx="70">
                  <c:v>2.0963855421687353E-3</c:v>
                </c:pt>
                <c:pt idx="71">
                  <c:v>1.9479166666666139E-3</c:v>
                </c:pt>
                <c:pt idx="72">
                  <c:v>2.3382352941176627E-3</c:v>
                </c:pt>
                <c:pt idx="73">
                  <c:v>2.322674418604718E-3</c:v>
                </c:pt>
                <c:pt idx="74">
                  <c:v>2.3074712643678169E-3</c:v>
                </c:pt>
                <c:pt idx="75">
                  <c:v>2.1633522727272812E-3</c:v>
                </c:pt>
                <c:pt idx="76">
                  <c:v>2.4058988764045245E-3</c:v>
                </c:pt>
                <c:pt idx="77">
                  <c:v>2.0111111111110634E-3</c:v>
                </c:pt>
                <c:pt idx="78">
                  <c:v>1.8750000000000711E-3</c:v>
                </c:pt>
                <c:pt idx="79">
                  <c:v>1.9891304347825489E-3</c:v>
                </c:pt>
                <c:pt idx="80">
                  <c:v>2.2231182795700716E-3</c:v>
                </c:pt>
                <c:pt idx="81">
                  <c:v>2.2101063829786253E-3</c:v>
                </c:pt>
                <c:pt idx="82">
                  <c:v>2.0776315789472781E-3</c:v>
                </c:pt>
                <c:pt idx="83">
                  <c:v>2.0664062500000621E-3</c:v>
                </c:pt>
                <c:pt idx="84">
                  <c:v>2.2899484536083288E-3</c:v>
                </c:pt>
                <c:pt idx="85">
                  <c:v>2.0446428571428026E-3</c:v>
                </c:pt>
                <c:pt idx="86">
                  <c:v>2.1489898989899281E-3</c:v>
                </c:pt>
                <c:pt idx="87">
                  <c:v>1.9099999999998962E-3</c:v>
                </c:pt>
                <c:pt idx="88">
                  <c:v>1.7883663366335669E-3</c:v>
                </c:pt>
                <c:pt idx="89">
                  <c:v>1.780637254902008E-3</c:v>
                </c:pt>
                <c:pt idx="90">
                  <c:v>1.7730582524271763E-3</c:v>
                </c:pt>
                <c:pt idx="91">
                  <c:v>1.8750000000000711E-3</c:v>
                </c:pt>
                <c:pt idx="92">
                  <c:v>1.6500000000001366E-3</c:v>
                </c:pt>
                <c:pt idx="93">
                  <c:v>1.4292452830188781E-3</c:v>
                </c:pt>
                <c:pt idx="94">
                  <c:v>1.4252336448597701E-3</c:v>
                </c:pt>
                <c:pt idx="95">
                  <c:v>1.4212962962962014E-3</c:v>
                </c:pt>
                <c:pt idx="96">
                  <c:v>1.41743119266059E-3</c:v>
                </c:pt>
                <c:pt idx="97">
                  <c:v>1.6204545454546022E-3</c:v>
                </c:pt>
                <c:pt idx="98">
                  <c:v>1.7173423423422905E-3</c:v>
                </c:pt>
                <c:pt idx="99">
                  <c:v>1.8125000000000224E-3</c:v>
                </c:pt>
                <c:pt idx="100">
                  <c:v>1.8053097345132464E-3</c:v>
                </c:pt>
                <c:pt idx="101">
                  <c:v>1.7982456140350105E-3</c:v>
                </c:pt>
                <c:pt idx="102">
                  <c:v>1.7913043478261369E-3</c:v>
                </c:pt>
                <c:pt idx="103">
                  <c:v>1.7844827586206904E-3</c:v>
                </c:pt>
                <c:pt idx="104">
                  <c:v>1.7777777777777299E-3</c:v>
                </c:pt>
                <c:pt idx="105">
                  <c:v>1.6747881355931784E-3</c:v>
                </c:pt>
                <c:pt idx="106">
                  <c:v>1.6691176470587344E-3</c:v>
                </c:pt>
                <c:pt idx="107">
                  <c:v>1.5687500000000855E-3</c:v>
                </c:pt>
                <c:pt idx="108">
                  <c:v>1.5640495867768973E-3</c:v>
                </c:pt>
                <c:pt idx="109">
                  <c:v>1.4661885245902068E-3</c:v>
                </c:pt>
                <c:pt idx="110">
                  <c:v>1.2774390243901785E-3</c:v>
                </c:pt>
                <c:pt idx="111">
                  <c:v>1.3669354838709694E-3</c:v>
                </c:pt>
                <c:pt idx="112">
                  <c:v>1.5460000000000172E-3</c:v>
                </c:pt>
                <c:pt idx="113">
                  <c:v>1.5416666666666387E-3</c:v>
                </c:pt>
                <c:pt idx="114">
                  <c:v>1.5374015748032366E-3</c:v>
                </c:pt>
                <c:pt idx="115">
                  <c:v>1.5332031249998838E-3</c:v>
                </c:pt>
                <c:pt idx="116">
                  <c:v>1.7054263565890473E-3</c:v>
                </c:pt>
                <c:pt idx="117">
                  <c:v>1.7000000000000125E-3</c:v>
                </c:pt>
                <c:pt idx="118">
                  <c:v>1.6946564885495876E-3</c:v>
                </c:pt>
                <c:pt idx="119">
                  <c:v>1.6032196969696713E-3</c:v>
                </c:pt>
                <c:pt idx="120">
                  <c:v>1.6842105263158262E-3</c:v>
                </c:pt>
                <c:pt idx="121">
                  <c:v>1.5093283582088926E-3</c:v>
                </c:pt>
                <c:pt idx="122">
                  <c:v>1.5055555555554515E-3</c:v>
                </c:pt>
                <c:pt idx="123">
                  <c:v>1.5018382352941211E-3</c:v>
                </c:pt>
                <c:pt idx="124">
                  <c:v>1.4151459854014681E-3</c:v>
                </c:pt>
                <c:pt idx="125">
                  <c:v>1.1648550724638724E-3</c:v>
                </c:pt>
                <c:pt idx="126">
                  <c:v>1.2455035971223197E-3</c:v>
                </c:pt>
                <c:pt idx="127">
                  <c:v>1.2437499999999766E-3</c:v>
                </c:pt>
                <c:pt idx="128">
                  <c:v>1.2420212765956815E-3</c:v>
                </c:pt>
                <c:pt idx="129">
                  <c:v>1.2403169014084904E-3</c:v>
                </c:pt>
                <c:pt idx="130">
                  <c:v>1.2386363636363634E-3</c:v>
                </c:pt>
                <c:pt idx="131">
                  <c:v>1.2369791666667677E-3</c:v>
                </c:pt>
                <c:pt idx="132">
                  <c:v>1.3137931034482935E-3</c:v>
                </c:pt>
                <c:pt idx="133">
                  <c:v>1.3116438356164171E-3</c:v>
                </c:pt>
                <c:pt idx="134">
                  <c:v>1.3095238095237498E-3</c:v>
                </c:pt>
                <c:pt idx="135">
                  <c:v>1.2305743243242694E-3</c:v>
                </c:pt>
                <c:pt idx="136">
                  <c:v>1.3053691275167793E-3</c:v>
                </c:pt>
                <c:pt idx="137">
                  <c:v>1.2275000000000051E-3</c:v>
                </c:pt>
                <c:pt idx="138">
                  <c:v>1.1506622516555046E-3</c:v>
                </c:pt>
                <c:pt idx="139">
                  <c:v>1.0748355263158029E-3</c:v>
                </c:pt>
                <c:pt idx="140">
                  <c:v>9.2565359477116854E-4</c:v>
                </c:pt>
                <c:pt idx="141">
                  <c:v>8.522727272727899E-4</c:v>
                </c:pt>
                <c:pt idx="142">
                  <c:v>7.7983870967748565E-4</c:v>
                </c:pt>
                <c:pt idx="143">
                  <c:v>7.8125000000002964E-4</c:v>
                </c:pt>
                <c:pt idx="144">
                  <c:v>9.2754777070054996E-4</c:v>
                </c:pt>
                <c:pt idx="145">
                  <c:v>8.5601265822776577E-4</c:v>
                </c:pt>
                <c:pt idx="146">
                  <c:v>7.1383647798738321E-4</c:v>
                </c:pt>
                <c:pt idx="147">
                  <c:v>7.1562500000005302E-4</c:v>
                </c:pt>
                <c:pt idx="148">
                  <c:v>7.8804347826084802E-4</c:v>
                </c:pt>
                <c:pt idx="149">
                  <c:v>7.8935185185192015E-4</c:v>
                </c:pt>
                <c:pt idx="150">
                  <c:v>7.9064417177905025E-4</c:v>
                </c:pt>
                <c:pt idx="151">
                  <c:v>7.919207317073155E-4</c:v>
                </c:pt>
                <c:pt idx="152">
                  <c:v>7.2424242424242661E-4</c:v>
                </c:pt>
                <c:pt idx="153">
                  <c:v>7.259036144577996E-4</c:v>
                </c:pt>
                <c:pt idx="154">
                  <c:v>6.5943113772464412E-4</c:v>
                </c:pt>
                <c:pt idx="155">
                  <c:v>4.5833333333326432E-4</c:v>
                </c:pt>
                <c:pt idx="156">
                  <c:v>3.9423076923070444E-4</c:v>
                </c:pt>
                <c:pt idx="157">
                  <c:v>1.3014705882346121E-4</c:v>
                </c:pt>
                <c:pt idx="158">
                  <c:v>2.6827485380123125E-4</c:v>
                </c:pt>
                <c:pt idx="159">
                  <c:v>3.3866279069766619E-4</c:v>
                </c:pt>
                <c:pt idx="160">
                  <c:v>4.7398843930636142E-4</c:v>
                </c:pt>
                <c:pt idx="161">
                  <c:v>4.1163793103448943E-4</c:v>
                </c:pt>
                <c:pt idx="162">
                  <c:v>4.1499999999997425E-4</c:v>
                </c:pt>
                <c:pt idx="163">
                  <c:v>3.536931818181599E-4</c:v>
                </c:pt>
                <c:pt idx="164">
                  <c:v>4.2161016949155019E-4</c:v>
                </c:pt>
                <c:pt idx="165">
                  <c:v>4.2485955056179058E-4</c:v>
                </c:pt>
                <c:pt idx="166">
                  <c:v>4.2807262569839814E-4</c:v>
                </c:pt>
                <c:pt idx="167">
                  <c:v>5.5763888888886112E-4</c:v>
                </c:pt>
                <c:pt idx="168">
                  <c:v>4.9723756906074935E-4</c:v>
                </c:pt>
                <c:pt idx="169">
                  <c:v>4.9999999999994493E-4</c:v>
                </c:pt>
                <c:pt idx="170">
                  <c:v>5.0273224043718317E-4</c:v>
                </c:pt>
                <c:pt idx="171">
                  <c:v>4.4361413043481068E-4</c:v>
                </c:pt>
                <c:pt idx="172">
                  <c:v>4.4662162162172818E-4</c:v>
                </c:pt>
                <c:pt idx="173">
                  <c:v>3.2728494623659386E-4</c:v>
                </c:pt>
                <c:pt idx="174">
                  <c:v>2.0922459893066102E-4</c:v>
                </c:pt>
                <c:pt idx="175">
                  <c:v>3.3444148936167617E-4</c:v>
                </c:pt>
                <c:pt idx="176">
                  <c:v>3.9814814814805906E-4</c:v>
                </c:pt>
                <c:pt idx="177">
                  <c:v>4.6118421052616416E-4</c:v>
                </c:pt>
                <c:pt idx="178">
                  <c:v>3.4489528795810653E-4</c:v>
                </c:pt>
                <c:pt idx="179">
                  <c:v>2.8906249999999478E-4</c:v>
                </c:pt>
                <c:pt idx="180">
                  <c:v>4.1062176165803591E-4</c:v>
                </c:pt>
                <c:pt idx="181">
                  <c:v>3.550257731958844E-4</c:v>
                </c:pt>
                <c:pt idx="182">
                  <c:v>3.58333333333416E-4</c:v>
                </c:pt>
                <c:pt idx="183">
                  <c:v>4.1964285714287834E-4</c:v>
                </c:pt>
                <c:pt idx="184">
                  <c:v>5.380710659898787E-4</c:v>
                </c:pt>
                <c:pt idx="185">
                  <c:v>4.8295454545457952E-4</c:v>
                </c:pt>
                <c:pt idx="186">
                  <c:v>4.8555276381920243E-4</c:v>
                </c:pt>
                <c:pt idx="187">
                  <c:v>4.3124999999990751E-4</c:v>
                </c:pt>
                <c:pt idx="188">
                  <c:v>4.3407960199003007E-4</c:v>
                </c:pt>
                <c:pt idx="189">
                  <c:v>2.6794554455450149E-4</c:v>
                </c:pt>
                <c:pt idx="190">
                  <c:v>2.1551724137935935E-4</c:v>
                </c:pt>
                <c:pt idx="191">
                  <c:v>2.7512254901959794E-4</c:v>
                </c:pt>
                <c:pt idx="192">
                  <c:v>4.4512195121957959E-4</c:v>
                </c:pt>
                <c:pt idx="193">
                  <c:v>3.9259708737871099E-4</c:v>
                </c:pt>
                <c:pt idx="194">
                  <c:v>3.9553140096612848E-4</c:v>
                </c:pt>
                <c:pt idx="195">
                  <c:v>2.8906250000007572E-4</c:v>
                </c:pt>
                <c:pt idx="196">
                  <c:v>2.9246411483268084E-4</c:v>
                </c:pt>
                <c:pt idx="197">
                  <c:v>1.3333333333334827E-4</c:v>
                </c:pt>
                <c:pt idx="198">
                  <c:v>1.9135071090043207E-4</c:v>
                </c:pt>
                <c:pt idx="199">
                  <c:v>8.7853773584801456E-5</c:v>
                </c:pt>
                <c:pt idx="200">
                  <c:v>1.4553990610331622E-4</c:v>
                </c:pt>
                <c:pt idx="201">
                  <c:v>1.4953271028028266E-4</c:v>
                </c:pt>
                <c:pt idx="202">
                  <c:v>4.7674418604686705E-5</c:v>
                </c:pt>
                <c:pt idx="203">
                  <c:v>-5.787037036653475E-7</c:v>
                </c:pt>
                <c:pt idx="204">
                  <c:v>-4.8387096774152408E-5</c:v>
                </c:pt>
                <c:pt idx="205">
                  <c:v>-1.4793577981653364E-4</c:v>
                </c:pt>
                <c:pt idx="206">
                  <c:v>-2.4657534246564923E-4</c:v>
                </c:pt>
                <c:pt idx="207">
                  <c:v>-2.9261363636352974E-4</c:v>
                </c:pt>
                <c:pt idx="208">
                  <c:v>-2.8676470588236385E-4</c:v>
                </c:pt>
                <c:pt idx="209">
                  <c:v>-3.3220720720721509E-4</c:v>
                </c:pt>
                <c:pt idx="210">
                  <c:v>-2.2421524663677049E-4</c:v>
                </c:pt>
                <c:pt idx="211">
                  <c:v>-2.1875000000011469E-4</c:v>
                </c:pt>
                <c:pt idx="212">
                  <c:v>-2.6388888888900021E-4</c:v>
                </c:pt>
                <c:pt idx="213">
                  <c:v>-2.5829646017703762E-4</c:v>
                </c:pt>
                <c:pt idx="214">
                  <c:v>-3.0286343612339142E-4</c:v>
                </c:pt>
                <c:pt idx="215">
                  <c:v>-3.9692982456132766E-4</c:v>
                </c:pt>
                <c:pt idx="216">
                  <c:v>-2.9148471615712129E-4</c:v>
                </c:pt>
                <c:pt idx="217">
                  <c:v>-2.8586956521742019E-4</c:v>
                </c:pt>
                <c:pt idx="218">
                  <c:v>-1.8181818181820216E-4</c:v>
                </c:pt>
                <c:pt idx="219">
                  <c:v>-2.7478448275852394E-4</c:v>
                </c:pt>
                <c:pt idx="220">
                  <c:v>-3.1813304721020131E-4</c:v>
                </c:pt>
                <c:pt idx="221">
                  <c:v>-3.6111111111118233E-4</c:v>
                </c:pt>
                <c:pt idx="222">
                  <c:v>-3.5531914893617924E-4</c:v>
                </c:pt>
                <c:pt idx="223">
                  <c:v>-3.9777542372881983E-4</c:v>
                </c:pt>
                <c:pt idx="224">
                  <c:v>-3.9187763713074655E-4</c:v>
                </c:pt>
                <c:pt idx="225">
                  <c:v>-3.8602941176475969E-4</c:v>
                </c:pt>
                <c:pt idx="226">
                  <c:v>-2.8504184100422957E-4</c:v>
                </c:pt>
                <c:pt idx="227">
                  <c:v>-3.2708333333337597E-4</c:v>
                </c:pt>
                <c:pt idx="228">
                  <c:v>-3.2157676348545927E-4</c:v>
                </c:pt>
                <c:pt idx="229">
                  <c:v>-3.631198347107233E-4</c:v>
                </c:pt>
                <c:pt idx="230">
                  <c:v>-3.5751028806576337E-4</c:v>
                </c:pt>
                <c:pt idx="231">
                  <c:v>-3.9856557377040925E-4</c:v>
                </c:pt>
                <c:pt idx="232">
                  <c:v>-3.9285714285716618E-4</c:v>
                </c:pt>
                <c:pt idx="233">
                  <c:v>-3.871951219513479E-4</c:v>
                </c:pt>
                <c:pt idx="234">
                  <c:v>-3.8157894736849001E-4</c:v>
                </c:pt>
                <c:pt idx="235">
                  <c:v>-4.2187500000006613E-4</c:v>
                </c:pt>
                <c:pt idx="236">
                  <c:v>-4.1616465863454557E-4</c:v>
                </c:pt>
                <c:pt idx="237">
                  <c:v>-5.0150000000006049E-4</c:v>
                </c:pt>
                <c:pt idx="238">
                  <c:v>-5.8615537848600782E-4</c:v>
                </c:pt>
                <c:pt idx="239">
                  <c:v>-4.895833333332779E-4</c:v>
                </c:pt>
                <c:pt idx="240">
                  <c:v>-4.3873517786560472E-4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1B51-4335-814D-53B8B9178B55}"/>
            </c:ext>
          </c:extLst>
        </c:ser>
        <c:ser>
          <c:idx val="45"/>
          <c:order val="45"/>
          <c:tx>
            <c:strRef>
              <c:f>'전류편차_24mA(절대값기준)'!$DI$7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'전류편차_24mA(절대값기준)'!$DI$22:$DI$262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9.999999999999315E-4</c:v>
                </c:pt>
                <c:pt idx="2">
                  <c:v>-5.1666666666660423E-4</c:v>
                </c:pt>
                <c:pt idx="3">
                  <c:v>-1.1328125000000591E-3</c:v>
                </c:pt>
                <c:pt idx="4">
                  <c:v>-1.0073529411764135E-3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-8.3333333333342655E-5</c:v>
                </c:pt>
                <c:pt idx="9">
                  <c:v>-3.4090909090945711E-5</c:v>
                </c:pt>
                <c:pt idx="10">
                  <c:v>1.086956521732977E-5</c:v>
                </c:pt>
                <c:pt idx="11">
                  <c:v>-4.2187500000003214E-4</c:v>
                </c:pt>
                <c:pt idx="12">
                  <c:v>-8.2000000000000508E-4</c:v>
                </c:pt>
                <c:pt idx="13">
                  <c:v>-7.5000000000002842E-4</c:v>
                </c:pt>
                <c:pt idx="14">
                  <c:v>1.5740740740745175E-4</c:v>
                </c:pt>
                <c:pt idx="15">
                  <c:v>1.4062499999998868E-3</c:v>
                </c:pt>
                <c:pt idx="16">
                  <c:v>1.3922413793103887E-3</c:v>
                </c:pt>
                <c:pt idx="17">
                  <c:v>1.3791666666666887E-3</c:v>
                </c:pt>
                <c:pt idx="18">
                  <c:v>1.0000000000000421E-3</c:v>
                </c:pt>
                <c:pt idx="19">
                  <c:v>9.9999999999986385E-4</c:v>
                </c:pt>
                <c:pt idx="20">
                  <c:v>6.5530303030307091E-4</c:v>
                </c:pt>
                <c:pt idx="21">
                  <c:v>-3.6764705882887678E-6</c:v>
                </c:pt>
                <c:pt idx="22">
                  <c:v>3.4999999999989483E-4</c:v>
                </c:pt>
                <c:pt idx="23">
                  <c:v>6.8402777777776421E-4</c:v>
                </c:pt>
                <c:pt idx="24">
                  <c:v>3.8513513513513924E-4</c:v>
                </c:pt>
                <c:pt idx="25">
                  <c:v>1.0197368421054722E-4</c:v>
                </c:pt>
                <c:pt idx="26">
                  <c:v>-1.6666666666662983E-4</c:v>
                </c:pt>
                <c:pt idx="27">
                  <c:v>-1.374999999999793E-4</c:v>
                </c:pt>
                <c:pt idx="28">
                  <c:v>-3.8719512195118364E-4</c:v>
                </c:pt>
                <c:pt idx="29">
                  <c:v>-8.9583333333337345E-4</c:v>
                </c:pt>
                <c:pt idx="30">
                  <c:v>-5.8139534883744224E-5</c:v>
                </c:pt>
                <c:pt idx="31">
                  <c:v>-3.4090909090945711E-5</c:v>
                </c:pt>
                <c:pt idx="32">
                  <c:v>4.9444444444445164E-4</c:v>
                </c:pt>
                <c:pt idx="33">
                  <c:v>5.054347826087993E-4</c:v>
                </c:pt>
                <c:pt idx="34">
                  <c:v>5.1595744680849151E-4</c:v>
                </c:pt>
                <c:pt idx="35">
                  <c:v>2.8906249999999478E-4</c:v>
                </c:pt>
                <c:pt idx="36">
                  <c:v>-1.6071428571414907E-4</c:v>
                </c:pt>
                <c:pt idx="37">
                  <c:v>-5.9250000000013122E-4</c:v>
                </c:pt>
                <c:pt idx="38">
                  <c:v>-5.612745098039631E-4</c:v>
                </c:pt>
                <c:pt idx="39">
                  <c:v>-7.5000000000002842E-4</c:v>
                </c:pt>
                <c:pt idx="40">
                  <c:v>-7.1698113207560631E-4</c:v>
                </c:pt>
                <c:pt idx="41">
                  <c:v>-4.7453703703701666E-4</c:v>
                </c:pt>
                <c:pt idx="42">
                  <c:v>-8.6136363636349009E-4</c:v>
                </c:pt>
                <c:pt idx="43">
                  <c:v>-1.0312500000000252E-3</c:v>
                </c:pt>
                <c:pt idx="44">
                  <c:v>-1.1951754385965047E-3</c:v>
                </c:pt>
                <c:pt idx="45">
                  <c:v>-1.1573275862068334E-3</c:v>
                </c:pt>
                <c:pt idx="46">
                  <c:v>-5.4237288135594391E-4</c:v>
                </c:pt>
                <c:pt idx="47">
                  <c:v>-5.1666666666660423E-4</c:v>
                </c:pt>
                <c:pt idx="48">
                  <c:v>-1.1885245901630028E-4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2.8906249999994214E-4</c:v>
                </c:pt>
                <c:pt idx="52">
                  <c:v>3.0000000000001136E-4</c:v>
                </c:pt>
                <c:pt idx="53">
                  <c:v>-2.0643939393933503E-4</c:v>
                </c:pt>
                <c:pt idx="54">
                  <c:v>-1.8843283582092198E-4</c:v>
                </c:pt>
                <c:pt idx="55">
                  <c:v>-3.382352941176637E-4</c:v>
                </c:pt>
                <c:pt idx="56">
                  <c:v>-4.8369565217392014E-4</c:v>
                </c:pt>
                <c:pt idx="57">
                  <c:v>-1.3750000000012363E-4</c:v>
                </c:pt>
                <c:pt idx="58">
                  <c:v>-4.4190140845072829E-4</c:v>
                </c:pt>
                <c:pt idx="59">
                  <c:v>-7.3784722222214945E-4</c:v>
                </c:pt>
                <c:pt idx="60">
                  <c:v>-7.140410958904167E-4</c:v>
                </c:pt>
                <c:pt idx="61">
                  <c:v>-1.1520270270269902E-3</c:v>
                </c:pt>
                <c:pt idx="62">
                  <c:v>-6.6833333333322052E-4</c:v>
                </c:pt>
                <c:pt idx="63">
                  <c:v>-3.470394736842066E-4</c:v>
                </c:pt>
                <c:pt idx="64">
                  <c:v>-1.8181818181820216E-4</c:v>
                </c:pt>
                <c:pt idx="65">
                  <c:v>-1.6666666666662983E-4</c:v>
                </c:pt>
                <c:pt idx="66">
                  <c:v>-7.9113924050504743E-6</c:v>
                </c:pt>
                <c:pt idx="67">
                  <c:v>1.4687499999998938E-4</c:v>
                </c:pt>
                <c:pt idx="68">
                  <c:v>1.6975308642097485E-5</c:v>
                </c:pt>
                <c:pt idx="69">
                  <c:v>-1.0975609756097029E-4</c:v>
                </c:pt>
                <c:pt idx="70">
                  <c:v>-2.3343373493974604E-4</c:v>
                </c:pt>
                <c:pt idx="71">
                  <c:v>-4.8958333333335802E-4</c:v>
                </c:pt>
                <c:pt idx="72">
                  <c:v>-6.0588235294119328E-4</c:v>
                </c:pt>
                <c:pt idx="73">
                  <c:v>-7.194767441860557E-4</c:v>
                </c:pt>
                <c:pt idx="74">
                  <c:v>-8.3045977011494423E-4</c:v>
                </c:pt>
                <c:pt idx="75">
                  <c:v>-8.0965909090904213E-4</c:v>
                </c:pt>
                <c:pt idx="76">
                  <c:v>-1.3005617977527681E-3</c:v>
                </c:pt>
                <c:pt idx="77">
                  <c:v>-1.2750000000000224E-3</c:v>
                </c:pt>
                <c:pt idx="78">
                  <c:v>-8.7499999999995914E-4</c:v>
                </c:pt>
                <c:pt idx="79">
                  <c:v>-6.0733695652167771E-4</c:v>
                </c:pt>
                <c:pt idx="80">
                  <c:v>-8.3467741935470323E-4</c:v>
                </c:pt>
                <c:pt idx="81">
                  <c:v>-4.5212765957459538E-4</c:v>
                </c:pt>
                <c:pt idx="82">
                  <c:v>-3.1710526315793401E-4</c:v>
                </c:pt>
                <c:pt idx="83">
                  <c:v>-5.4036458333329984E-4</c:v>
                </c:pt>
                <c:pt idx="84">
                  <c:v>-5.2448453608249944E-4</c:v>
                </c:pt>
                <c:pt idx="85">
                  <c:v>-6.2500000000001844E-4</c:v>
                </c:pt>
                <c:pt idx="86">
                  <c:v>-7.2348484848486021E-4</c:v>
                </c:pt>
                <c:pt idx="87">
                  <c:v>-8.2000000000000508E-4</c:v>
                </c:pt>
                <c:pt idx="88">
                  <c:v>-1.1398514851485887E-3</c:v>
                </c:pt>
                <c:pt idx="89">
                  <c:v>-1.2303921568628121E-3</c:v>
                </c:pt>
                <c:pt idx="90">
                  <c:v>-1.3191747572816135E-3</c:v>
                </c:pt>
                <c:pt idx="91">
                  <c:v>-1.406249999999859E-3</c:v>
                </c:pt>
                <c:pt idx="92">
                  <c:v>-1.7083333333332601E-3</c:v>
                </c:pt>
                <c:pt idx="93">
                  <c:v>-1.682783018867905E-3</c:v>
                </c:pt>
                <c:pt idx="94">
                  <c:v>-1.5514018691589711E-3</c:v>
                </c:pt>
                <c:pt idx="95">
                  <c:v>-1.106481481481485E-3</c:v>
                </c:pt>
                <c:pt idx="96">
                  <c:v>-1.0871559633028078E-3</c:v>
                </c:pt>
                <c:pt idx="97">
                  <c:v>-1.068181818181741E-3</c:v>
                </c:pt>
                <c:pt idx="98">
                  <c:v>-1.049549549549706E-3</c:v>
                </c:pt>
                <c:pt idx="99">
                  <c:v>-1.0312500000000252E-3</c:v>
                </c:pt>
                <c:pt idx="100">
                  <c:v>-8.1194690265487513E-4</c:v>
                </c:pt>
                <c:pt idx="101">
                  <c:v>-7.9605263157900481E-4</c:v>
                </c:pt>
                <c:pt idx="102">
                  <c:v>-8.7934782608683224E-4</c:v>
                </c:pt>
                <c:pt idx="103">
                  <c:v>-9.6120689655159537E-4</c:v>
                </c:pt>
                <c:pt idx="104">
                  <c:v>-1.0416666666667061E-3</c:v>
                </c:pt>
                <c:pt idx="105">
                  <c:v>-1.3135593220339964E-3</c:v>
                </c:pt>
                <c:pt idx="106">
                  <c:v>-1.5808823529411624E-3</c:v>
                </c:pt>
                <c:pt idx="107">
                  <c:v>-1.3697916666666366E-3</c:v>
                </c:pt>
                <c:pt idx="108">
                  <c:v>-1.6322314049587053E-3</c:v>
                </c:pt>
                <c:pt idx="109">
                  <c:v>-1.7038934426228075E-3</c:v>
                </c:pt>
                <c:pt idx="110">
                  <c:v>-1.6819105691057588E-3</c:v>
                </c:pt>
                <c:pt idx="111">
                  <c:v>-1.476814516129084E-3</c:v>
                </c:pt>
                <c:pt idx="112">
                  <c:v>-1.4569999999999349E-3</c:v>
                </c:pt>
                <c:pt idx="113">
                  <c:v>-1.4374999999999805E-3</c:v>
                </c:pt>
                <c:pt idx="114">
                  <c:v>-1.4183070866141984E-3</c:v>
                </c:pt>
                <c:pt idx="115">
                  <c:v>-1.4882812500000198E-3</c:v>
                </c:pt>
                <c:pt idx="116">
                  <c:v>-1.468992248062079E-3</c:v>
                </c:pt>
                <c:pt idx="117">
                  <c:v>-1.3624999999999998E-3</c:v>
                </c:pt>
                <c:pt idx="118">
                  <c:v>-1.5181297709923132E-3</c:v>
                </c:pt>
                <c:pt idx="119">
                  <c:v>-1.5852272727272152E-3</c:v>
                </c:pt>
                <c:pt idx="120">
                  <c:v>-1.7368421052630484E-3</c:v>
                </c:pt>
                <c:pt idx="121">
                  <c:v>-1.9710820895523329E-3</c:v>
                </c:pt>
                <c:pt idx="122">
                  <c:v>-2.0333333333334216E-3</c:v>
                </c:pt>
                <c:pt idx="123">
                  <c:v>-2.2619485294117551E-3</c:v>
                </c:pt>
                <c:pt idx="124">
                  <c:v>-2.7363138686131894E-3</c:v>
                </c:pt>
                <c:pt idx="125">
                  <c:v>-2.6268115942028893E-3</c:v>
                </c:pt>
                <c:pt idx="126">
                  <c:v>-2.3552158273380066E-3</c:v>
                </c:pt>
                <c:pt idx="127">
                  <c:v>-2.4125000000000171E-3</c:v>
                </c:pt>
                <c:pt idx="128">
                  <c:v>-2.388297872340483E-3</c:v>
                </c:pt>
                <c:pt idx="129">
                  <c:v>-2.2042253521127194E-3</c:v>
                </c:pt>
                <c:pt idx="130">
                  <c:v>-2.1818181818181234E-3</c:v>
                </c:pt>
                <c:pt idx="131">
                  <c:v>-2.2387152777777154E-3</c:v>
                </c:pt>
                <c:pt idx="132">
                  <c:v>-2.1379310344826399E-3</c:v>
                </c:pt>
                <c:pt idx="133">
                  <c:v>-2.1164383561644426E-3</c:v>
                </c:pt>
                <c:pt idx="134">
                  <c:v>-2.1726190476191016E-3</c:v>
                </c:pt>
                <c:pt idx="135">
                  <c:v>-1.997466216216257E-3</c:v>
                </c:pt>
                <c:pt idx="136">
                  <c:v>-2.2063758389261261E-3</c:v>
                </c:pt>
                <c:pt idx="137">
                  <c:v>-2.1849999999999895E-3</c:v>
                </c:pt>
                <c:pt idx="138">
                  <c:v>-2.3145695364239181E-3</c:v>
                </c:pt>
                <c:pt idx="139">
                  <c:v>-2.5921052631579758E-3</c:v>
                </c:pt>
                <c:pt idx="140">
                  <c:v>-2.7916666666666606E-3</c:v>
                </c:pt>
                <c:pt idx="141">
                  <c:v>-2.840909090909081E-3</c:v>
                </c:pt>
                <c:pt idx="142">
                  <c:v>-2.6693548387096552E-3</c:v>
                </c:pt>
                <c:pt idx="143">
                  <c:v>-2.5729166666665915E-3</c:v>
                </c:pt>
                <c:pt idx="144">
                  <c:v>-2.6226114649682028E-3</c:v>
                </c:pt>
                <c:pt idx="145">
                  <c:v>-2.599683544303883E-3</c:v>
                </c:pt>
                <c:pt idx="146">
                  <c:v>-2.5770440251572263E-3</c:v>
                </c:pt>
                <c:pt idx="147">
                  <c:v>-2.5546875000000287E-3</c:v>
                </c:pt>
                <c:pt idx="148">
                  <c:v>-2.6032608695651166E-3</c:v>
                </c:pt>
                <c:pt idx="149">
                  <c:v>-2.5810185185184535E-3</c:v>
                </c:pt>
                <c:pt idx="150">
                  <c:v>-2.6288343558282757E-3</c:v>
                </c:pt>
                <c:pt idx="151">
                  <c:v>-2.6067073170731366E-3</c:v>
                </c:pt>
                <c:pt idx="152">
                  <c:v>-2.653787878787841E-3</c:v>
                </c:pt>
                <c:pt idx="153">
                  <c:v>-2.7003012048192358E-3</c:v>
                </c:pt>
                <c:pt idx="154">
                  <c:v>-2.8824850299401204E-3</c:v>
                </c:pt>
                <c:pt idx="155">
                  <c:v>-2.9270833333333302E-3</c:v>
                </c:pt>
                <c:pt idx="156">
                  <c:v>-3.1730769230769239E-3</c:v>
                </c:pt>
                <c:pt idx="157">
                  <c:v>-3.4161764705882398E-3</c:v>
                </c:pt>
                <c:pt idx="158">
                  <c:v>-3.2573099415204609E-3</c:v>
                </c:pt>
                <c:pt idx="159">
                  <c:v>-3.2325581395349101E-3</c:v>
                </c:pt>
                <c:pt idx="160">
                  <c:v>-3.0765895953756206E-3</c:v>
                </c:pt>
                <c:pt idx="161">
                  <c:v>-3.1839080459771024E-3</c:v>
                </c:pt>
                <c:pt idx="162">
                  <c:v>-3.095000000000043E-3</c:v>
                </c:pt>
                <c:pt idx="163">
                  <c:v>-3.0717329545454151E-3</c:v>
                </c:pt>
                <c:pt idx="164">
                  <c:v>-3.0487288135593146E-3</c:v>
                </c:pt>
                <c:pt idx="165">
                  <c:v>-2.9620786516853397E-3</c:v>
                </c:pt>
                <c:pt idx="166">
                  <c:v>-3.0034916201116752E-3</c:v>
                </c:pt>
                <c:pt idx="167">
                  <c:v>-2.9812500000000871E-3</c:v>
                </c:pt>
                <c:pt idx="168">
                  <c:v>-2.8964088397790467E-3</c:v>
                </c:pt>
                <c:pt idx="169">
                  <c:v>-3.0000000000000027E-3</c:v>
                </c:pt>
                <c:pt idx="170">
                  <c:v>-3.0403005464479764E-3</c:v>
                </c:pt>
                <c:pt idx="171">
                  <c:v>-3.0801630434781468E-3</c:v>
                </c:pt>
                <c:pt idx="172">
                  <c:v>-3.3040540540539443E-3</c:v>
                </c:pt>
                <c:pt idx="173">
                  <c:v>-3.3420698924730057E-3</c:v>
                </c:pt>
                <c:pt idx="174">
                  <c:v>-3.3188502673794896E-3</c:v>
                </c:pt>
                <c:pt idx="175">
                  <c:v>-3.3563829787234263E-3</c:v>
                </c:pt>
                <c:pt idx="176">
                  <c:v>-3.3333333333334923E-3</c:v>
                </c:pt>
                <c:pt idx="177">
                  <c:v>-3.1309210526316539E-3</c:v>
                </c:pt>
                <c:pt idx="178">
                  <c:v>-3.168848167539338E-3</c:v>
                </c:pt>
                <c:pt idx="179">
                  <c:v>-3.0878906249999227E-3</c:v>
                </c:pt>
                <c:pt idx="180">
                  <c:v>-3.0667098445596426E-3</c:v>
                </c:pt>
                <c:pt idx="181">
                  <c:v>-3.1043814432990227E-3</c:v>
                </c:pt>
                <c:pt idx="182">
                  <c:v>-3.0833333333333121E-3</c:v>
                </c:pt>
                <c:pt idx="183">
                  <c:v>-2.9464285714285404E-3</c:v>
                </c:pt>
                <c:pt idx="184">
                  <c:v>-2.8686548223350555E-3</c:v>
                </c:pt>
                <c:pt idx="185">
                  <c:v>-2.9065656565654789E-3</c:v>
                </c:pt>
                <c:pt idx="186">
                  <c:v>-2.944095477386755E-3</c:v>
                </c:pt>
                <c:pt idx="187">
                  <c:v>-2.9243750000001521E-3</c:v>
                </c:pt>
                <c:pt idx="188">
                  <c:v>-3.0180348258706628E-3</c:v>
                </c:pt>
                <c:pt idx="189">
                  <c:v>-3.1670792079207429E-3</c:v>
                </c:pt>
                <c:pt idx="190">
                  <c:v>-3.034482758620631E-3</c:v>
                </c:pt>
                <c:pt idx="191">
                  <c:v>-3.1262254901960849E-3</c:v>
                </c:pt>
                <c:pt idx="192">
                  <c:v>-2.9951219512195093E-3</c:v>
                </c:pt>
                <c:pt idx="193">
                  <c:v>-2.9205097087379194E-3</c:v>
                </c:pt>
                <c:pt idx="194">
                  <c:v>-2.8466183574878405E-3</c:v>
                </c:pt>
                <c:pt idx="195">
                  <c:v>-2.7734374999999756E-3</c:v>
                </c:pt>
                <c:pt idx="196">
                  <c:v>-2.8098086124401641E-3</c:v>
                </c:pt>
                <c:pt idx="197">
                  <c:v>-2.7916666666665704E-3</c:v>
                </c:pt>
                <c:pt idx="198">
                  <c:v>-2.7736966824644812E-3</c:v>
                </c:pt>
                <c:pt idx="199">
                  <c:v>-2.6485849056603946E-3</c:v>
                </c:pt>
                <c:pt idx="200">
                  <c:v>-2.6848591549295917E-3</c:v>
                </c:pt>
                <c:pt idx="201">
                  <c:v>-2.6676401869158337E-3</c:v>
                </c:pt>
                <c:pt idx="202">
                  <c:v>-2.7034883720929667E-3</c:v>
                </c:pt>
                <c:pt idx="203">
                  <c:v>-2.6863425925926559E-3</c:v>
                </c:pt>
                <c:pt idx="204">
                  <c:v>-2.8266129032258084E-3</c:v>
                </c:pt>
                <c:pt idx="205">
                  <c:v>-2.8090596330274582E-3</c:v>
                </c:pt>
                <c:pt idx="206">
                  <c:v>-2.7397260273972508E-3</c:v>
                </c:pt>
                <c:pt idx="207">
                  <c:v>-2.722727272727197E-3</c:v>
                </c:pt>
                <c:pt idx="208">
                  <c:v>-2.8602941176469237E-3</c:v>
                </c:pt>
                <c:pt idx="209">
                  <c:v>-2.7404279279279664E-3</c:v>
                </c:pt>
                <c:pt idx="210">
                  <c:v>-2.7236547085203334E-3</c:v>
                </c:pt>
                <c:pt idx="211">
                  <c:v>-2.7070312500000887E-3</c:v>
                </c:pt>
                <c:pt idx="212">
                  <c:v>-2.6905555555555793E-3</c:v>
                </c:pt>
                <c:pt idx="213">
                  <c:v>-2.6742256637167735E-3</c:v>
                </c:pt>
                <c:pt idx="214">
                  <c:v>-2.7081497797356393E-3</c:v>
                </c:pt>
                <c:pt idx="215">
                  <c:v>-2.5921052631578431E-3</c:v>
                </c:pt>
                <c:pt idx="216">
                  <c:v>-2.5764192139738607E-3</c:v>
                </c:pt>
                <c:pt idx="217">
                  <c:v>-2.5608695652173893E-3</c:v>
                </c:pt>
                <c:pt idx="218">
                  <c:v>-2.5454545454544806E-3</c:v>
                </c:pt>
                <c:pt idx="219">
                  <c:v>-2.5792025862068292E-3</c:v>
                </c:pt>
                <c:pt idx="220">
                  <c:v>-2.6126609442059389E-3</c:v>
                </c:pt>
                <c:pt idx="221">
                  <c:v>-2.5972222222222629E-3</c:v>
                </c:pt>
                <c:pt idx="222">
                  <c:v>-2.5335106382979636E-3</c:v>
                </c:pt>
                <c:pt idx="223">
                  <c:v>-2.4703389830508181E-3</c:v>
                </c:pt>
                <c:pt idx="224">
                  <c:v>-2.4556962025317256E-3</c:v>
                </c:pt>
                <c:pt idx="225">
                  <c:v>-2.4889705882353711E-3</c:v>
                </c:pt>
                <c:pt idx="226">
                  <c:v>-2.4743723849372542E-3</c:v>
                </c:pt>
                <c:pt idx="227">
                  <c:v>-2.4125000000000656E-3</c:v>
                </c:pt>
                <c:pt idx="228">
                  <c:v>-2.3983402489626605E-3</c:v>
                </c:pt>
                <c:pt idx="229">
                  <c:v>-2.3372933884296394E-3</c:v>
                </c:pt>
                <c:pt idx="230">
                  <c:v>-2.4639917695473247E-3</c:v>
                </c:pt>
                <c:pt idx="231">
                  <c:v>-2.4964139344262268E-3</c:v>
                </c:pt>
                <c:pt idx="232">
                  <c:v>-2.5285714285714226E-3</c:v>
                </c:pt>
                <c:pt idx="233">
                  <c:v>-2.5142276422765223E-3</c:v>
                </c:pt>
                <c:pt idx="234">
                  <c:v>-2.5460526315790439E-3</c:v>
                </c:pt>
                <c:pt idx="235">
                  <c:v>-2.6234879032257931E-3</c:v>
                </c:pt>
                <c:pt idx="236">
                  <c:v>-2.7459839357430677E-3</c:v>
                </c:pt>
                <c:pt idx="237">
                  <c:v>-2.7310000000000372E-3</c:v>
                </c:pt>
                <c:pt idx="238">
                  <c:v>-2.7614541832669667E-3</c:v>
                </c:pt>
                <c:pt idx="239">
                  <c:v>-2.7013888888888105E-3</c:v>
                </c:pt>
                <c:pt idx="240">
                  <c:v>-2.7317193675888522E-3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1B51-4335-814D-53B8B9178B55}"/>
            </c:ext>
          </c:extLst>
        </c:ser>
        <c:ser>
          <c:idx val="46"/>
          <c:order val="46"/>
          <c:tx>
            <c:strRef>
              <c:f>'전류편차_24mA(절대값기준)'!$DJ$7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'전류편차_24mA(절대값기준)'!$DJ$22:$DJ$262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1.6691176470588829E-3</c:v>
                </c:pt>
                <c:pt idx="5">
                  <c:v>2.895833333333357E-3</c:v>
                </c:pt>
                <c:pt idx="6">
                  <c:v>2.7960526315789374E-3</c:v>
                </c:pt>
                <c:pt idx="7">
                  <c:v>2.1375000000000226E-3</c:v>
                </c:pt>
                <c:pt idx="8">
                  <c:v>1.5416666666665986E-3</c:v>
                </c:pt>
                <c:pt idx="9">
                  <c:v>1.5170454545454766E-3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5.4499999999984444E-4</c:v>
                </c:pt>
                <c:pt idx="13">
                  <c:v>1.8750000000000711E-3</c:v>
                </c:pt>
                <c:pt idx="14">
                  <c:v>1.8425925925926385E-3</c:v>
                </c:pt>
                <c:pt idx="15">
                  <c:v>1.8125000000000224E-3</c:v>
                </c:pt>
                <c:pt idx="16">
                  <c:v>1.7844827586206904E-3</c:v>
                </c:pt>
                <c:pt idx="17">
                  <c:v>1.7583333333333136E-3</c:v>
                </c:pt>
                <c:pt idx="18">
                  <c:v>2.4677419354839141E-3</c:v>
                </c:pt>
                <c:pt idx="19">
                  <c:v>2.0664062499999043E-3</c:v>
                </c:pt>
                <c:pt idx="20">
                  <c:v>2.0340909090909511E-3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2.895833333333357E-3</c:v>
                </c:pt>
                <c:pt idx="24">
                  <c:v>2.5371621621622024E-3</c:v>
                </c:pt>
                <c:pt idx="25">
                  <c:v>2.1973684210525547E-3</c:v>
                </c:pt>
                <c:pt idx="26">
                  <c:v>1.5833333333334365E-3</c:v>
                </c:pt>
                <c:pt idx="27">
                  <c:v>1.2843749999999904E-3</c:v>
                </c:pt>
                <c:pt idx="28">
                  <c:v>1.2774390243902197E-3</c:v>
                </c:pt>
                <c:pt idx="29">
                  <c:v>2.0833333333333259E-3</c:v>
                </c:pt>
                <c:pt idx="30">
                  <c:v>1.7936046511627985E-3</c:v>
                </c:pt>
                <c:pt idx="31">
                  <c:v>2.2926136363635732E-3</c:v>
                </c:pt>
                <c:pt idx="32">
                  <c:v>1.7583333333333136E-3</c:v>
                </c:pt>
                <c:pt idx="33">
                  <c:v>1.9891304347825489E-3</c:v>
                </c:pt>
                <c:pt idx="34">
                  <c:v>1.9680851063827998E-3</c:v>
                </c:pt>
                <c:pt idx="35">
                  <c:v>1.947916666666584E-3</c:v>
                </c:pt>
                <c:pt idx="36">
                  <c:v>1.9285714285714383E-3</c:v>
                </c:pt>
                <c:pt idx="37">
                  <c:v>1.9099999999998962E-3</c:v>
                </c:pt>
                <c:pt idx="38">
                  <c:v>2.3382352941175833E-3</c:v>
                </c:pt>
                <c:pt idx="39">
                  <c:v>2.3125000000000229E-3</c:v>
                </c:pt>
                <c:pt idx="40">
                  <c:v>2.287735849056519E-3</c:v>
                </c:pt>
                <c:pt idx="41">
                  <c:v>1.63194444444442E-3</c:v>
                </c:pt>
                <c:pt idx="42">
                  <c:v>1.4136363636363513E-3</c:v>
                </c:pt>
                <c:pt idx="43">
                  <c:v>1.2031249999999993E-3</c:v>
                </c:pt>
                <c:pt idx="44">
                  <c:v>1.0000000000000106E-3</c:v>
                </c:pt>
                <c:pt idx="45">
                  <c:v>1.196120689655325E-3</c:v>
                </c:pt>
                <c:pt idx="46">
                  <c:v>1.5783898305084861E-3</c:v>
                </c:pt>
                <c:pt idx="47">
                  <c:v>1.5687500000000855E-3</c:v>
                </c:pt>
                <c:pt idx="48">
                  <c:v>1.5594262295083536E-3</c:v>
                </c:pt>
                <c:pt idx="49">
                  <c:v>1.3669354838709694E-3</c:v>
                </c:pt>
                <c:pt idx="50">
                  <c:v>1.3611111111111833E-3</c:v>
                </c:pt>
                <c:pt idx="51">
                  <c:v>1.1777343749999232E-3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9.9999999999991806E-4</c:v>
                </c:pt>
                <c:pt idx="55">
                  <c:v>9.9999999999998463E-4</c:v>
                </c:pt>
                <c:pt idx="56">
                  <c:v>8.3514492753622601E-4</c:v>
                </c:pt>
                <c:pt idx="57">
                  <c:v>1.3249999999999317E-3</c:v>
                </c:pt>
                <c:pt idx="58">
                  <c:v>8.3978873239434326E-4</c:v>
                </c:pt>
                <c:pt idx="59">
                  <c:v>5.2604166666674057E-4</c:v>
                </c:pt>
                <c:pt idx="60">
                  <c:v>3.767123287670666E-4</c:v>
                </c:pt>
                <c:pt idx="61">
                  <c:v>5.3885135135140676E-4</c:v>
                </c:pt>
                <c:pt idx="62">
                  <c:v>8.4833333333341387E-4</c:v>
                </c:pt>
                <c:pt idx="63">
                  <c:v>8.5032894736842602E-4</c:v>
                </c:pt>
                <c:pt idx="64">
                  <c:v>9.9999999999998072E-4</c:v>
                </c:pt>
                <c:pt idx="65">
                  <c:v>8.5416666666678542E-4</c:v>
                </c:pt>
                <c:pt idx="66">
                  <c:v>1.1439873417721656E-3</c:v>
                </c:pt>
                <c:pt idx="67">
                  <c:v>1.0000000000000217E-3</c:v>
                </c:pt>
                <c:pt idx="68">
                  <c:v>1.0000000000000763E-3</c:v>
                </c:pt>
                <c:pt idx="69">
                  <c:v>8.6128048780483805E-4</c:v>
                </c:pt>
                <c:pt idx="70">
                  <c:v>8.6295180722892968E-4</c:v>
                </c:pt>
                <c:pt idx="71">
                  <c:v>9.9999999999999156E-4</c:v>
                </c:pt>
                <c:pt idx="72">
                  <c:v>1.000000000000044E-3</c:v>
                </c:pt>
                <c:pt idx="73">
                  <c:v>8.6773255813958584E-4</c:v>
                </c:pt>
                <c:pt idx="74">
                  <c:v>1.2614942528735634E-3</c:v>
                </c:pt>
                <c:pt idx="75">
                  <c:v>6.1221590909085874E-4</c:v>
                </c:pt>
                <c:pt idx="76">
                  <c:v>7.4438202247195293E-4</c:v>
                </c:pt>
                <c:pt idx="77">
                  <c:v>6.2083333333327049E-4</c:v>
                </c:pt>
                <c:pt idx="78">
                  <c:v>8.7499999999995914E-4</c:v>
                </c:pt>
                <c:pt idx="79">
                  <c:v>8.7635869565229167E-4</c:v>
                </c:pt>
                <c:pt idx="80">
                  <c:v>8.7768817204306637E-4</c:v>
                </c:pt>
                <c:pt idx="81">
                  <c:v>1.242021276595538E-3</c:v>
                </c:pt>
                <c:pt idx="82">
                  <c:v>1.1197368421052782E-3</c:v>
                </c:pt>
                <c:pt idx="83">
                  <c:v>1.0000000000000217E-3</c:v>
                </c:pt>
                <c:pt idx="84">
                  <c:v>9.9999999999996316E-4</c:v>
                </c:pt>
                <c:pt idx="85">
                  <c:v>1.1160714285714762E-3</c:v>
                </c:pt>
                <c:pt idx="86">
                  <c:v>1.3446969696970365E-3</c:v>
                </c:pt>
                <c:pt idx="87">
                  <c:v>9.9999999999999633E-4</c:v>
                </c:pt>
                <c:pt idx="88">
                  <c:v>1.2252475247524909E-3</c:v>
                </c:pt>
                <c:pt idx="89">
                  <c:v>1.1115196078431591E-3</c:v>
                </c:pt>
                <c:pt idx="90">
                  <c:v>1.2208737864078687E-3</c:v>
                </c:pt>
                <c:pt idx="91">
                  <c:v>1.2187500000000462E-3</c:v>
                </c:pt>
                <c:pt idx="92">
                  <c:v>7.8333333333337294E-4</c:v>
                </c:pt>
                <c:pt idx="93">
                  <c:v>1.1073113207547148E-3</c:v>
                </c:pt>
                <c:pt idx="94">
                  <c:v>1.1063084112148984E-3</c:v>
                </c:pt>
                <c:pt idx="95">
                  <c:v>1.1053240740741543E-3</c:v>
                </c:pt>
                <c:pt idx="96">
                  <c:v>1.3130733944955101E-3</c:v>
                </c:pt>
                <c:pt idx="97">
                  <c:v>1.3102272727273177E-3</c:v>
                </c:pt>
                <c:pt idx="98">
                  <c:v>1.5123873873872672E-3</c:v>
                </c:pt>
                <c:pt idx="99">
                  <c:v>1.5078125000000109E-3</c:v>
                </c:pt>
                <c:pt idx="100">
                  <c:v>1.5033185840707571E-3</c:v>
                </c:pt>
                <c:pt idx="101">
                  <c:v>1.4989035087720184E-3</c:v>
                </c:pt>
                <c:pt idx="102">
                  <c:v>1.395652173913137E-3</c:v>
                </c:pt>
                <c:pt idx="103">
                  <c:v>1.2941810344828568E-3</c:v>
                </c:pt>
                <c:pt idx="104">
                  <c:v>1.5833333333332205E-3</c:v>
                </c:pt>
                <c:pt idx="105">
                  <c:v>1.4819915254236224E-3</c:v>
                </c:pt>
                <c:pt idx="106">
                  <c:v>1.477941176470605E-3</c:v>
                </c:pt>
                <c:pt idx="107">
                  <c:v>1.2843750000000745E-3</c:v>
                </c:pt>
                <c:pt idx="108">
                  <c:v>1.4700413223141396E-3</c:v>
                </c:pt>
                <c:pt idx="109">
                  <c:v>1.4661885245902068E-3</c:v>
                </c:pt>
                <c:pt idx="110">
                  <c:v>1.3699186991868752E-3</c:v>
                </c:pt>
                <c:pt idx="111">
                  <c:v>1.3669354838709694E-3</c:v>
                </c:pt>
                <c:pt idx="112">
                  <c:v>1.3639999999999564E-3</c:v>
                </c:pt>
                <c:pt idx="113">
                  <c:v>1.5416666666666387E-3</c:v>
                </c:pt>
                <c:pt idx="114">
                  <c:v>1.5374015748032366E-3</c:v>
                </c:pt>
                <c:pt idx="115">
                  <c:v>1.4443359374999331E-3</c:v>
                </c:pt>
                <c:pt idx="116">
                  <c:v>1.5290697674418582E-3</c:v>
                </c:pt>
                <c:pt idx="117">
                  <c:v>1.350000000000051E-3</c:v>
                </c:pt>
                <c:pt idx="118">
                  <c:v>1.3473282442748168E-3</c:v>
                </c:pt>
                <c:pt idx="119">
                  <c:v>1.2585227272727396E-3</c:v>
                </c:pt>
                <c:pt idx="120">
                  <c:v>1.2565789473685427E-3</c:v>
                </c:pt>
                <c:pt idx="121">
                  <c:v>1.1697761194029597E-3</c:v>
                </c:pt>
                <c:pt idx="122">
                  <c:v>1.0842592592592388E-3</c:v>
                </c:pt>
                <c:pt idx="123">
                  <c:v>8.327205882352228E-4</c:v>
                </c:pt>
                <c:pt idx="124">
                  <c:v>8.3394160583945146E-4</c:v>
                </c:pt>
                <c:pt idx="125">
                  <c:v>1.1648550724638724E-3</c:v>
                </c:pt>
                <c:pt idx="126">
                  <c:v>1.0818345323742088E-3</c:v>
                </c:pt>
                <c:pt idx="127">
                  <c:v>9.9999999999996749E-4</c:v>
                </c:pt>
                <c:pt idx="128">
                  <c:v>9.193262411347241E-4</c:v>
                </c:pt>
                <c:pt idx="129">
                  <c:v>9.198943661971158E-4</c:v>
                </c:pt>
                <c:pt idx="130">
                  <c:v>9.2045454545458039E-4</c:v>
                </c:pt>
                <c:pt idx="131">
                  <c:v>9.2100694444443979E-4</c:v>
                </c:pt>
                <c:pt idx="132">
                  <c:v>8.4310344827586195E-4</c:v>
                </c:pt>
                <c:pt idx="133">
                  <c:v>8.4417808219174181E-4</c:v>
                </c:pt>
                <c:pt idx="134">
                  <c:v>8.4523809523801799E-4</c:v>
                </c:pt>
                <c:pt idx="135">
                  <c:v>6.9256756756753783E-4</c:v>
                </c:pt>
                <c:pt idx="136">
                  <c:v>6.9463087248328951E-4</c:v>
                </c:pt>
                <c:pt idx="137">
                  <c:v>4.6916666666668792E-4</c:v>
                </c:pt>
                <c:pt idx="138">
                  <c:v>5.4801324503305437E-4</c:v>
                </c:pt>
                <c:pt idx="139">
                  <c:v>3.2648026315792414E-4</c:v>
                </c:pt>
                <c:pt idx="140">
                  <c:v>1.8218954248360269E-4</c:v>
                </c:pt>
                <c:pt idx="141">
                  <c:v>2.6136363636363282E-4</c:v>
                </c:pt>
                <c:pt idx="142">
                  <c:v>5.5967741935489669E-4</c:v>
                </c:pt>
                <c:pt idx="143">
                  <c:v>5.6250000000002132E-4</c:v>
                </c:pt>
                <c:pt idx="144">
                  <c:v>6.3773885350312961E-4</c:v>
                </c:pt>
                <c:pt idx="145">
                  <c:v>6.4003164556952969E-4</c:v>
                </c:pt>
                <c:pt idx="146">
                  <c:v>6.4229559748427828E-4</c:v>
                </c:pt>
                <c:pt idx="147">
                  <c:v>7.1562500000005302E-4</c:v>
                </c:pt>
                <c:pt idx="148">
                  <c:v>8.5869565217397783E-4</c:v>
                </c:pt>
                <c:pt idx="149">
                  <c:v>1.0000000000000763E-3</c:v>
                </c:pt>
                <c:pt idx="150">
                  <c:v>9.9999999999991697E-4</c:v>
                </c:pt>
                <c:pt idx="151">
                  <c:v>1.0000000000000063E-3</c:v>
                </c:pt>
                <c:pt idx="152">
                  <c:v>9.9999999999997205E-4</c:v>
                </c:pt>
                <c:pt idx="153">
                  <c:v>1.0000000000000599E-3</c:v>
                </c:pt>
                <c:pt idx="154">
                  <c:v>9.3188622754497347E-4</c:v>
                </c:pt>
                <c:pt idx="155">
                  <c:v>9.3229166666657548E-4</c:v>
                </c:pt>
                <c:pt idx="156">
                  <c:v>8.6538461538452857E-4</c:v>
                </c:pt>
                <c:pt idx="157">
                  <c:v>1.0669117647058894E-3</c:v>
                </c:pt>
                <c:pt idx="158">
                  <c:v>1.3326023391813492E-3</c:v>
                </c:pt>
                <c:pt idx="159">
                  <c:v>1.4629360465117014E-3</c:v>
                </c:pt>
                <c:pt idx="160">
                  <c:v>1.4602601156069768E-3</c:v>
                </c:pt>
                <c:pt idx="161">
                  <c:v>1.3922413793102724E-3</c:v>
                </c:pt>
                <c:pt idx="162">
                  <c:v>1.3900000000000112E-3</c:v>
                </c:pt>
                <c:pt idx="163">
                  <c:v>1.323153409090924E-3</c:v>
                </c:pt>
                <c:pt idx="164">
                  <c:v>1.3855932203390444E-3</c:v>
                </c:pt>
                <c:pt idx="165">
                  <c:v>1.383426966292164E-3</c:v>
                </c:pt>
                <c:pt idx="166">
                  <c:v>1.3812849162011147E-3</c:v>
                </c:pt>
                <c:pt idx="167">
                  <c:v>1.5055555555555636E-3</c:v>
                </c:pt>
                <c:pt idx="168">
                  <c:v>1.4399171270718348E-3</c:v>
                </c:pt>
                <c:pt idx="169">
                  <c:v>1.2499999999999734E-3</c:v>
                </c:pt>
                <c:pt idx="170">
                  <c:v>1.2486338797814737E-3</c:v>
                </c:pt>
                <c:pt idx="171">
                  <c:v>1.1854619565217954E-3</c:v>
                </c:pt>
                <c:pt idx="172">
                  <c:v>1.1229729729730323E-3</c:v>
                </c:pt>
                <c:pt idx="173">
                  <c:v>1.1834677419354787E-3</c:v>
                </c:pt>
                <c:pt idx="174">
                  <c:v>1.3041443850267433E-3</c:v>
                </c:pt>
                <c:pt idx="175">
                  <c:v>1.4235372340423535E-3</c:v>
                </c:pt>
                <c:pt idx="176">
                  <c:v>1.4814814814814333E-3</c:v>
                </c:pt>
                <c:pt idx="177">
                  <c:v>1.4190789473683765E-3</c:v>
                </c:pt>
                <c:pt idx="178">
                  <c:v>1.3573298429318964E-3</c:v>
                </c:pt>
                <c:pt idx="179">
                  <c:v>1.2369791666665571E-3</c:v>
                </c:pt>
                <c:pt idx="180">
                  <c:v>1.2946891191710228E-3</c:v>
                </c:pt>
                <c:pt idx="181">
                  <c:v>1.2931701030928966E-3</c:v>
                </c:pt>
                <c:pt idx="182">
                  <c:v>1.2916666666666465E-3</c:v>
                </c:pt>
                <c:pt idx="183">
                  <c:v>1.2321428571428405E-3</c:v>
                </c:pt>
                <c:pt idx="184">
                  <c:v>1.2887055837564731E-3</c:v>
                </c:pt>
                <c:pt idx="185">
                  <c:v>1.2297979797981102E-3</c:v>
                </c:pt>
                <c:pt idx="186">
                  <c:v>1.1714824120604346E-3</c:v>
                </c:pt>
                <c:pt idx="187">
                  <c:v>9.9999999999999633E-4</c:v>
                </c:pt>
                <c:pt idx="188">
                  <c:v>8.8681592039794037E-4</c:v>
                </c:pt>
                <c:pt idx="189">
                  <c:v>1.056311881188128E-3</c:v>
                </c:pt>
                <c:pt idx="190">
                  <c:v>1.0560344827585024E-3</c:v>
                </c:pt>
                <c:pt idx="191">
                  <c:v>1.1115196078431591E-3</c:v>
                </c:pt>
                <c:pt idx="192">
                  <c:v>1.1664634146341098E-3</c:v>
                </c:pt>
                <c:pt idx="193">
                  <c:v>1.1656553398058595E-3</c:v>
                </c:pt>
                <c:pt idx="194">
                  <c:v>1.1648550724638724E-3</c:v>
                </c:pt>
                <c:pt idx="195">
                  <c:v>9.9999999999997313E-4</c:v>
                </c:pt>
                <c:pt idx="196">
                  <c:v>9.455741626794022E-4</c:v>
                </c:pt>
                <c:pt idx="197">
                  <c:v>8.9166666666683865E-4</c:v>
                </c:pt>
                <c:pt idx="198">
                  <c:v>8.382701421800774E-4</c:v>
                </c:pt>
                <c:pt idx="199">
                  <c:v>8.3903301886778514E-4</c:v>
                </c:pt>
                <c:pt idx="200">
                  <c:v>8.3978873239429577E-4</c:v>
                </c:pt>
                <c:pt idx="201">
                  <c:v>7.3422897196267372E-4</c:v>
                </c:pt>
                <c:pt idx="202">
                  <c:v>7.354651162790061E-4</c:v>
                </c:pt>
                <c:pt idx="203">
                  <c:v>5.2604166666660027E-4</c:v>
                </c:pt>
                <c:pt idx="204">
                  <c:v>4.7580645161284007E-4</c:v>
                </c:pt>
                <c:pt idx="205">
                  <c:v>4.782110091743158E-4</c:v>
                </c:pt>
                <c:pt idx="206">
                  <c:v>5.3253424657547627E-4</c:v>
                </c:pt>
                <c:pt idx="207">
                  <c:v>4.3125000000007291E-4</c:v>
                </c:pt>
                <c:pt idx="208">
                  <c:v>4.3382352941190311E-4</c:v>
                </c:pt>
                <c:pt idx="209">
                  <c:v>4.3637387387371302E-4</c:v>
                </c:pt>
                <c:pt idx="210">
                  <c:v>5.4091928251105931E-4</c:v>
                </c:pt>
                <c:pt idx="211">
                  <c:v>5.4296874999991418E-4</c:v>
                </c:pt>
                <c:pt idx="212">
                  <c:v>4.9444444444436187E-4</c:v>
                </c:pt>
                <c:pt idx="213">
                  <c:v>3.9601769911508215E-4</c:v>
                </c:pt>
                <c:pt idx="214">
                  <c:v>4.4878854625549167E-4</c:v>
                </c:pt>
                <c:pt idx="215">
                  <c:v>4.5120614035092609E-4</c:v>
                </c:pt>
                <c:pt idx="216">
                  <c:v>5.0327510917030211E-4</c:v>
                </c:pt>
                <c:pt idx="217">
                  <c:v>4.0652173913054932E-4</c:v>
                </c:pt>
                <c:pt idx="218">
                  <c:v>4.0909090909091114E-4</c:v>
                </c:pt>
                <c:pt idx="219">
                  <c:v>4.1163793103454754E-4</c:v>
                </c:pt>
                <c:pt idx="220">
                  <c:v>2.1888412017173549E-4</c:v>
                </c:pt>
                <c:pt idx="221">
                  <c:v>3.6805555555551191E-4</c:v>
                </c:pt>
                <c:pt idx="222">
                  <c:v>3.7074468085108227E-4</c:v>
                </c:pt>
                <c:pt idx="223">
                  <c:v>3.7341101694906127E-4</c:v>
                </c:pt>
                <c:pt idx="224">
                  <c:v>4.72046413502027E-4</c:v>
                </c:pt>
                <c:pt idx="225">
                  <c:v>4.7426470588233171E-4</c:v>
                </c:pt>
                <c:pt idx="226">
                  <c:v>4.7646443514648326E-4</c:v>
                </c:pt>
                <c:pt idx="227">
                  <c:v>5.7343750000004765E-4</c:v>
                </c:pt>
                <c:pt idx="228">
                  <c:v>5.7520746887977582E-4</c:v>
                </c:pt>
                <c:pt idx="229">
                  <c:v>5.2995867768606045E-4</c:v>
                </c:pt>
                <c:pt idx="230">
                  <c:v>5.318930041152295E-4</c:v>
                </c:pt>
                <c:pt idx="231">
                  <c:v>4.8719262295082543E-4</c:v>
                </c:pt>
                <c:pt idx="232">
                  <c:v>4.8928571428561438E-4</c:v>
                </c:pt>
                <c:pt idx="233">
                  <c:v>4.9136178861784578E-4</c:v>
                </c:pt>
                <c:pt idx="234">
                  <c:v>4.9342105263159761E-4</c:v>
                </c:pt>
                <c:pt idx="235">
                  <c:v>4.0372983870964256E-4</c:v>
                </c:pt>
                <c:pt idx="236">
                  <c:v>4.5180722891557988E-4</c:v>
                </c:pt>
                <c:pt idx="237">
                  <c:v>4.0849999999992016E-4</c:v>
                </c:pt>
                <c:pt idx="238">
                  <c:v>4.5617529880481467E-4</c:v>
                </c:pt>
                <c:pt idx="239">
                  <c:v>5.0347222222220844E-4</c:v>
                </c:pt>
                <c:pt idx="240">
                  <c:v>5.5039525691709477E-4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1B51-4335-814D-53B8B9178B55}"/>
            </c:ext>
          </c:extLst>
        </c:ser>
        <c:ser>
          <c:idx val="47"/>
          <c:order val="47"/>
          <c:tx>
            <c:strRef>
              <c:f>'전류편차_24mA(절대값기준)'!$DK$7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'전류편차_24mA(절대값기준)'!$DK$22:$DK$262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-6.2500000000006994E-4</c:v>
                </c:pt>
                <c:pt idx="2">
                  <c:v>-2.0333333333332725E-3</c:v>
                </c:pt>
                <c:pt idx="3">
                  <c:v>-3.2656250000001395E-3</c:v>
                </c:pt>
                <c:pt idx="4">
                  <c:v>-2.3455882352940616E-3</c:v>
                </c:pt>
                <c:pt idx="5">
                  <c:v>-2.6388888888879817E-4</c:v>
                </c:pt>
                <c:pt idx="6">
                  <c:v>-1.9736842105271064E-4</c:v>
                </c:pt>
                <c:pt idx="7">
                  <c:v>4.3124999999995809E-4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1.8750000000000711E-3</c:v>
                </c:pt>
                <c:pt idx="14">
                  <c:v>9.9999999999995145E-4</c:v>
                </c:pt>
                <c:pt idx="15">
                  <c:v>1.4062499999998868E-3</c:v>
                </c:pt>
                <c:pt idx="16">
                  <c:v>6.0775862068978539E-4</c:v>
                </c:pt>
                <c:pt idx="17">
                  <c:v>1.0000000000000638E-3</c:v>
                </c:pt>
                <c:pt idx="18">
                  <c:v>2.6612903225802447E-4</c:v>
                </c:pt>
                <c:pt idx="19">
                  <c:v>-6.6406250000018707E-5</c:v>
                </c:pt>
                <c:pt idx="20">
                  <c:v>1.0000000000000026E-3</c:v>
                </c:pt>
                <c:pt idx="21">
                  <c:v>6.6544117647060962E-4</c:v>
                </c:pt>
                <c:pt idx="22">
                  <c:v>6.7500000000000329E-4</c:v>
                </c:pt>
                <c:pt idx="23">
                  <c:v>1.000000000000092E-3</c:v>
                </c:pt>
                <c:pt idx="24">
                  <c:v>1.3074324324324714E-3</c:v>
                </c:pt>
                <c:pt idx="25">
                  <c:v>1.2993421052631799E-3</c:v>
                </c:pt>
                <c:pt idx="26">
                  <c:v>1.000000000000038E-3</c:v>
                </c:pt>
                <c:pt idx="27">
                  <c:v>1.2843749999999904E-3</c:v>
                </c:pt>
                <c:pt idx="28">
                  <c:v>1.2774390243902197E-3</c:v>
                </c:pt>
                <c:pt idx="29">
                  <c:v>9.9999999999999156E-4</c:v>
                </c:pt>
                <c:pt idx="30">
                  <c:v>1.5290697674418974E-3</c:v>
                </c:pt>
                <c:pt idx="31">
                  <c:v>9.9999999999996424E-4</c:v>
                </c:pt>
                <c:pt idx="32">
                  <c:v>1.2527777777777015E-3</c:v>
                </c:pt>
                <c:pt idx="33">
                  <c:v>7.5271739130431444E-4</c:v>
                </c:pt>
                <c:pt idx="34">
                  <c:v>2.7393617021266608E-4</c:v>
                </c:pt>
                <c:pt idx="35">
                  <c:v>2.8906249999999478E-4</c:v>
                </c:pt>
                <c:pt idx="36">
                  <c:v>1.0000000000001119E-3</c:v>
                </c:pt>
                <c:pt idx="37">
                  <c:v>9.9999999999999633E-4</c:v>
                </c:pt>
                <c:pt idx="38">
                  <c:v>7.7696078431373455E-4</c:v>
                </c:pt>
                <c:pt idx="39">
                  <c:v>7.8125000000009437E-4</c:v>
                </c:pt>
                <c:pt idx="40">
                  <c:v>7.8537735849055178E-4</c:v>
                </c:pt>
                <c:pt idx="41">
                  <c:v>7.8935185185192015E-4</c:v>
                </c:pt>
                <c:pt idx="42">
                  <c:v>1.0000000000000332E-3</c:v>
                </c:pt>
                <c:pt idx="43">
                  <c:v>1.2031249999999993E-3</c:v>
                </c:pt>
                <c:pt idx="44">
                  <c:v>8.004385964911721E-4</c:v>
                </c:pt>
                <c:pt idx="45">
                  <c:v>8.0387931034484918E-4</c:v>
                </c:pt>
                <c:pt idx="46">
                  <c:v>6.14406779661049E-4</c:v>
                </c:pt>
                <c:pt idx="47">
                  <c:v>2.4166666666664561E-4</c:v>
                </c:pt>
                <c:pt idx="48">
                  <c:v>6.2704918032787987E-4</c:v>
                </c:pt>
                <c:pt idx="49">
                  <c:v>8.2661290322479314E-5</c:v>
                </c:pt>
                <c:pt idx="50">
                  <c:v>-8.3333333333262478E-5</c:v>
                </c:pt>
                <c:pt idx="51">
                  <c:v>-4.2187500000013736E-4</c:v>
                </c:pt>
                <c:pt idx="52">
                  <c:v>-4.9999999999950082E-5</c:v>
                </c:pt>
                <c:pt idx="53">
                  <c:v>1.3825757575759671E-4</c:v>
                </c:pt>
                <c:pt idx="54">
                  <c:v>1.5111940298501075E-4</c:v>
                </c:pt>
                <c:pt idx="55">
                  <c:v>-3.6764705882887678E-6</c:v>
                </c:pt>
                <c:pt idx="56">
                  <c:v>-3.1884057971009696E-4</c:v>
                </c:pt>
                <c:pt idx="57">
                  <c:v>-1.3750000000012363E-4</c:v>
                </c:pt>
                <c:pt idx="58">
                  <c:v>-1.2147887323949595E-4</c:v>
                </c:pt>
                <c:pt idx="59">
                  <c:v>-1.059027777777746E-4</c:v>
                </c:pt>
                <c:pt idx="60">
                  <c:v>-2.4657534246574149E-4</c:v>
                </c:pt>
                <c:pt idx="61">
                  <c:v>-2.2972972972979444E-4</c:v>
                </c:pt>
                <c:pt idx="62">
                  <c:v>-2.1333333333333797E-4</c:v>
                </c:pt>
                <c:pt idx="63">
                  <c:v>-3.470394736842066E-4</c:v>
                </c:pt>
                <c:pt idx="64">
                  <c:v>-1.8181818181820216E-4</c:v>
                </c:pt>
                <c:pt idx="65">
                  <c:v>-7.4999999999989897E-4</c:v>
                </c:pt>
                <c:pt idx="66">
                  <c:v>-1.0158227848101945E-3</c:v>
                </c:pt>
                <c:pt idx="67">
                  <c:v>-9.9062500000001168E-4</c:v>
                </c:pt>
                <c:pt idx="68">
                  <c:v>-6.851851851851728E-4</c:v>
                </c:pt>
                <c:pt idx="69">
                  <c:v>-5.2591463414635191E-4</c:v>
                </c:pt>
                <c:pt idx="70">
                  <c:v>-5.0753012048188452E-4</c:v>
                </c:pt>
                <c:pt idx="71">
                  <c:v>-2.1875000000005454E-4</c:v>
                </c:pt>
                <c:pt idx="72">
                  <c:v>-6.0588235294119328E-4</c:v>
                </c:pt>
                <c:pt idx="73">
                  <c:v>-3.2267441860464531E-4</c:v>
                </c:pt>
                <c:pt idx="74">
                  <c:v>-6.9971264367823507E-4</c:v>
                </c:pt>
                <c:pt idx="75">
                  <c:v>-6.8039772727275006E-4</c:v>
                </c:pt>
                <c:pt idx="76">
                  <c:v>-7.8932584269664457E-4</c:v>
                </c:pt>
                <c:pt idx="77">
                  <c:v>-7.6944444444452251E-4</c:v>
                </c:pt>
                <c:pt idx="78">
                  <c:v>-8.7499999999995914E-4</c:v>
                </c:pt>
                <c:pt idx="79">
                  <c:v>-6.0733695652167771E-4</c:v>
                </c:pt>
                <c:pt idx="80">
                  <c:v>-8.3467741935470323E-4</c:v>
                </c:pt>
                <c:pt idx="81">
                  <c:v>-1.0571808510638366E-3</c:v>
                </c:pt>
                <c:pt idx="82">
                  <c:v>-1.0355263157895401E-3</c:v>
                </c:pt>
                <c:pt idx="83">
                  <c:v>-1.1328125000000591E-3</c:v>
                </c:pt>
                <c:pt idx="84">
                  <c:v>-1.1108247422679499E-3</c:v>
                </c:pt>
                <c:pt idx="85">
                  <c:v>-8.5714285714274694E-4</c:v>
                </c:pt>
                <c:pt idx="86">
                  <c:v>-6.0858585858572989E-4</c:v>
                </c:pt>
                <c:pt idx="87">
                  <c:v>-7.0625000000006815E-4</c:v>
                </c:pt>
                <c:pt idx="88">
                  <c:v>-4.6410891089113744E-4</c:v>
                </c:pt>
                <c:pt idx="89">
                  <c:v>-7.8431372549011408E-4</c:v>
                </c:pt>
                <c:pt idx="90">
                  <c:v>-8.7742718446593196E-4</c:v>
                </c:pt>
                <c:pt idx="91">
                  <c:v>-8.593749999999678E-4</c:v>
                </c:pt>
                <c:pt idx="92">
                  <c:v>-6.2499999999994971E-4</c:v>
                </c:pt>
                <c:pt idx="93">
                  <c:v>-9.316037735849213E-4</c:v>
                </c:pt>
                <c:pt idx="94">
                  <c:v>-9.1355140186922732E-4</c:v>
                </c:pt>
                <c:pt idx="95">
                  <c:v>-1.106481481481485E-3</c:v>
                </c:pt>
                <c:pt idx="96">
                  <c:v>-1.0871559633028078E-3</c:v>
                </c:pt>
                <c:pt idx="97">
                  <c:v>-1.3784090909090255E-3</c:v>
                </c:pt>
                <c:pt idx="98">
                  <c:v>-1.2545045045045473E-3</c:v>
                </c:pt>
                <c:pt idx="99">
                  <c:v>-1.4374999999999805E-3</c:v>
                </c:pt>
                <c:pt idx="100">
                  <c:v>-1.3152654867257501E-3</c:v>
                </c:pt>
                <c:pt idx="101">
                  <c:v>-1.2949561403508354E-3</c:v>
                </c:pt>
                <c:pt idx="102">
                  <c:v>-1.176086956521626E-3</c:v>
                </c:pt>
                <c:pt idx="103">
                  <c:v>-1.1573275862068334E-3</c:v>
                </c:pt>
                <c:pt idx="104">
                  <c:v>-1.0416666666667061E-3</c:v>
                </c:pt>
                <c:pt idx="105">
                  <c:v>-9.2796610169488451E-4</c:v>
                </c:pt>
                <c:pt idx="106">
                  <c:v>-1.1029411764706691E-3</c:v>
                </c:pt>
                <c:pt idx="107">
                  <c:v>-1.3697916666666366E-3</c:v>
                </c:pt>
                <c:pt idx="108">
                  <c:v>-1.350206611570265E-3</c:v>
                </c:pt>
                <c:pt idx="109">
                  <c:v>-1.3309426229507174E-3</c:v>
                </c:pt>
                <c:pt idx="110">
                  <c:v>-1.4044715447155045E-3</c:v>
                </c:pt>
                <c:pt idx="111">
                  <c:v>-1.385080645161393E-3</c:v>
                </c:pt>
                <c:pt idx="112">
                  <c:v>-1.4569999999999349E-3</c:v>
                </c:pt>
                <c:pt idx="113">
                  <c:v>-1.2569444444443646E-3</c:v>
                </c:pt>
                <c:pt idx="114">
                  <c:v>-1.5974409448818157E-3</c:v>
                </c:pt>
                <c:pt idx="115">
                  <c:v>-1.6660156250000791E-3</c:v>
                </c:pt>
                <c:pt idx="116">
                  <c:v>-1.468992248062079E-3</c:v>
                </c:pt>
                <c:pt idx="117">
                  <c:v>-1.3624999999999998E-3</c:v>
                </c:pt>
                <c:pt idx="118">
                  <c:v>-1.3444656488550049E-3</c:v>
                </c:pt>
                <c:pt idx="119">
                  <c:v>-1.2405303030302833E-3</c:v>
                </c:pt>
                <c:pt idx="120">
                  <c:v>-1.0526315789473344E-3</c:v>
                </c:pt>
                <c:pt idx="121">
                  <c:v>-1.0373134328358292E-3</c:v>
                </c:pt>
                <c:pt idx="122">
                  <c:v>-1.0222222222222724E-3</c:v>
                </c:pt>
                <c:pt idx="123">
                  <c:v>-1.1746323529411753E-3</c:v>
                </c:pt>
                <c:pt idx="124">
                  <c:v>-1.1587591240876313E-3</c:v>
                </c:pt>
                <c:pt idx="125">
                  <c:v>-1.2255434782607584E-3</c:v>
                </c:pt>
                <c:pt idx="126">
                  <c:v>-1.2095323741006497E-3</c:v>
                </c:pt>
                <c:pt idx="127">
                  <c:v>-1.1125000000000163E-3</c:v>
                </c:pt>
                <c:pt idx="128">
                  <c:v>-1.2588652482269172E-3</c:v>
                </c:pt>
                <c:pt idx="129">
                  <c:v>-1.4031690140845676E-3</c:v>
                </c:pt>
                <c:pt idx="130">
                  <c:v>-1.4659090909090052E-3</c:v>
                </c:pt>
                <c:pt idx="131">
                  <c:v>-1.5277777777776883E-3</c:v>
                </c:pt>
                <c:pt idx="132">
                  <c:v>-1.2749999999999411E-3</c:v>
                </c:pt>
                <c:pt idx="133">
                  <c:v>-1.2594178082191584E-3</c:v>
                </c:pt>
                <c:pt idx="134">
                  <c:v>-1.0892857142856815E-3</c:v>
                </c:pt>
                <c:pt idx="135">
                  <c:v>-9.9831081081085907E-4</c:v>
                </c:pt>
                <c:pt idx="136">
                  <c:v>-8.3221476510070616E-4</c:v>
                </c:pt>
                <c:pt idx="137">
                  <c:v>-8.1999999999993786E-4</c:v>
                </c:pt>
                <c:pt idx="138">
                  <c:v>-8.0794701986765911E-4</c:v>
                </c:pt>
                <c:pt idx="139">
                  <c:v>-7.9605263157896046E-4</c:v>
                </c:pt>
                <c:pt idx="140">
                  <c:v>-7.8431372549024614E-4</c:v>
                </c:pt>
                <c:pt idx="141">
                  <c:v>-8.4659090909095468E-4</c:v>
                </c:pt>
                <c:pt idx="142">
                  <c:v>-9.0806451612894306E-4</c:v>
                </c:pt>
                <c:pt idx="143">
                  <c:v>-8.9583333333328097E-4</c:v>
                </c:pt>
                <c:pt idx="144">
                  <c:v>-9.5621019108287509E-4</c:v>
                </c:pt>
                <c:pt idx="145">
                  <c:v>-1.0158227848101945E-3</c:v>
                </c:pt>
                <c:pt idx="146">
                  <c:v>-1.2177672955974684E-3</c:v>
                </c:pt>
                <c:pt idx="147">
                  <c:v>-1.2039062500000196E-3</c:v>
                </c:pt>
                <c:pt idx="148">
                  <c:v>-1.1195652173912728E-3</c:v>
                </c:pt>
                <c:pt idx="149">
                  <c:v>-9.660493827160061E-4</c:v>
                </c:pt>
                <c:pt idx="150">
                  <c:v>-1.0237730061350462E-3</c:v>
                </c:pt>
                <c:pt idx="151">
                  <c:v>-1.011432926829256E-3</c:v>
                </c:pt>
                <c:pt idx="152">
                  <c:v>-8.6136363636361249E-4</c:v>
                </c:pt>
                <c:pt idx="153">
                  <c:v>-8.5015060240964889E-4</c:v>
                </c:pt>
                <c:pt idx="154">
                  <c:v>-9.071856287425215E-4</c:v>
                </c:pt>
                <c:pt idx="155">
                  <c:v>-8.2812500000007761E-4</c:v>
                </c:pt>
                <c:pt idx="156">
                  <c:v>-8.8461538461545792E-4</c:v>
                </c:pt>
                <c:pt idx="157">
                  <c:v>-9.404411764706574E-4</c:v>
                </c:pt>
                <c:pt idx="158">
                  <c:v>-1.1286549707602252E-3</c:v>
                </c:pt>
                <c:pt idx="159">
                  <c:v>-1.0501453488371527E-3</c:v>
                </c:pt>
                <c:pt idx="160">
                  <c:v>-1.0382947976878378E-3</c:v>
                </c:pt>
                <c:pt idx="161">
                  <c:v>-1.0919540229885948E-3</c:v>
                </c:pt>
                <c:pt idx="162">
                  <c:v>-1.2100000000000487E-3</c:v>
                </c:pt>
                <c:pt idx="163">
                  <c:v>-1.2620738636364085E-3</c:v>
                </c:pt>
                <c:pt idx="164">
                  <c:v>-1.0564971751411982E-3</c:v>
                </c:pt>
                <c:pt idx="165">
                  <c:v>-9.1713483146061868E-4</c:v>
                </c:pt>
                <c:pt idx="166">
                  <c:v>-9.0642458100556307E-4</c:v>
                </c:pt>
                <c:pt idx="167">
                  <c:v>-8.3263888888893188E-4</c:v>
                </c:pt>
                <c:pt idx="168">
                  <c:v>-8.2251381215477017E-4</c:v>
                </c:pt>
                <c:pt idx="169">
                  <c:v>-6.8749999999995204E-4</c:v>
                </c:pt>
                <c:pt idx="170">
                  <c:v>-5.5396174863382155E-4</c:v>
                </c:pt>
                <c:pt idx="171">
                  <c:v>-5.455163043476891E-4</c:v>
                </c:pt>
                <c:pt idx="172">
                  <c:v>-4.7567567567560412E-4</c:v>
                </c:pt>
                <c:pt idx="173">
                  <c:v>-5.2889784946229094E-4</c:v>
                </c:pt>
                <c:pt idx="174">
                  <c:v>-5.8155080213895976E-4</c:v>
                </c:pt>
                <c:pt idx="175">
                  <c:v>-5.1263297872360548E-4</c:v>
                </c:pt>
                <c:pt idx="176">
                  <c:v>-6.250000000000565E-4</c:v>
                </c:pt>
                <c:pt idx="177">
                  <c:v>-6.7631578947373707E-4</c:v>
                </c:pt>
                <c:pt idx="178">
                  <c:v>-6.675392670156832E-4</c:v>
                </c:pt>
                <c:pt idx="179">
                  <c:v>-8.3658854166678465E-4</c:v>
                </c:pt>
                <c:pt idx="180">
                  <c:v>-8.2707253886014573E-4</c:v>
                </c:pt>
                <c:pt idx="181">
                  <c:v>-7.0038659793817618E-4</c:v>
                </c:pt>
                <c:pt idx="182">
                  <c:v>-7.5000000000002842E-4</c:v>
                </c:pt>
                <c:pt idx="183">
                  <c:v>-6.8303571428559749E-4</c:v>
                </c:pt>
                <c:pt idx="184">
                  <c:v>-7.3223350253795157E-4</c:v>
                </c:pt>
                <c:pt idx="185">
                  <c:v>-7.2348484848486021E-4</c:v>
                </c:pt>
                <c:pt idx="186">
                  <c:v>-7.7198492462292095E-4</c:v>
                </c:pt>
                <c:pt idx="187">
                  <c:v>-7.6312500000013761E-4</c:v>
                </c:pt>
                <c:pt idx="188">
                  <c:v>-7.543532338309104E-4</c:v>
                </c:pt>
                <c:pt idx="189">
                  <c:v>-7.4566831683167548E-4</c:v>
                </c:pt>
                <c:pt idx="190">
                  <c:v>-7.9310344827585131E-4</c:v>
                </c:pt>
                <c:pt idx="191">
                  <c:v>-8.4007352941175087E-4</c:v>
                </c:pt>
                <c:pt idx="192">
                  <c:v>-8.8658536585364161E-4</c:v>
                </c:pt>
                <c:pt idx="193">
                  <c:v>-9.3264563106794124E-4</c:v>
                </c:pt>
                <c:pt idx="194">
                  <c:v>-1.0881642512076456E-3</c:v>
                </c:pt>
                <c:pt idx="195">
                  <c:v>-1.1328124999999134E-3</c:v>
                </c:pt>
                <c:pt idx="196">
                  <c:v>-1.1226076555022366E-3</c:v>
                </c:pt>
                <c:pt idx="197">
                  <c:v>-1.1666666666665087E-3</c:v>
                </c:pt>
                <c:pt idx="198">
                  <c:v>-1.1024881516588586E-3</c:v>
                </c:pt>
                <c:pt idx="199">
                  <c:v>-1.1462264150944269E-3</c:v>
                </c:pt>
                <c:pt idx="200">
                  <c:v>-1.1361502347418027E-3</c:v>
                </c:pt>
                <c:pt idx="201">
                  <c:v>-1.1793224299065576E-3</c:v>
                </c:pt>
                <c:pt idx="202">
                  <c:v>-1.1691860465115759E-3</c:v>
                </c:pt>
                <c:pt idx="203">
                  <c:v>-1.106481481481485E-3</c:v>
                </c:pt>
                <c:pt idx="204">
                  <c:v>-1.0967741935483236E-3</c:v>
                </c:pt>
                <c:pt idx="205">
                  <c:v>-1.2436926605505201E-3</c:v>
                </c:pt>
                <c:pt idx="206">
                  <c:v>-1.2853881278537551E-3</c:v>
                </c:pt>
                <c:pt idx="207">
                  <c:v>-1.2749999999999919E-3</c:v>
                </c:pt>
                <c:pt idx="208">
                  <c:v>-1.3676470588233985E-3</c:v>
                </c:pt>
                <c:pt idx="209">
                  <c:v>-1.664414414414412E-3</c:v>
                </c:pt>
                <c:pt idx="210">
                  <c:v>-1.7544843049327925E-3</c:v>
                </c:pt>
                <c:pt idx="211">
                  <c:v>-1.742187499999992E-3</c:v>
                </c:pt>
                <c:pt idx="212">
                  <c:v>-1.6288888888888722E-3</c:v>
                </c:pt>
                <c:pt idx="213">
                  <c:v>-1.4159292035398536E-3</c:v>
                </c:pt>
                <c:pt idx="214">
                  <c:v>-1.4553964757709529E-3</c:v>
                </c:pt>
                <c:pt idx="215">
                  <c:v>-1.3448464912280893E-3</c:v>
                </c:pt>
                <c:pt idx="216">
                  <c:v>-1.3842794759825491E-3</c:v>
                </c:pt>
                <c:pt idx="217">
                  <c:v>-1.225543478260817E-3</c:v>
                </c:pt>
                <c:pt idx="218">
                  <c:v>-1.2159090909089755E-3</c:v>
                </c:pt>
                <c:pt idx="219">
                  <c:v>-1.2063577586206864E-3</c:v>
                </c:pt>
                <c:pt idx="220">
                  <c:v>-1.1480686695277717E-3</c:v>
                </c:pt>
                <c:pt idx="221">
                  <c:v>-1.0902777777778766E-3</c:v>
                </c:pt>
                <c:pt idx="222">
                  <c:v>-9.8457446808519647E-4</c:v>
                </c:pt>
                <c:pt idx="223">
                  <c:v>-9.7616525423731629E-4</c:v>
                </c:pt>
                <c:pt idx="224">
                  <c:v>-9.6782700421937603E-4</c:v>
                </c:pt>
                <c:pt idx="225">
                  <c:v>-1.0073529411764347E-3</c:v>
                </c:pt>
                <c:pt idx="226">
                  <c:v>-1.1417364016737181E-3</c:v>
                </c:pt>
                <c:pt idx="227">
                  <c:v>-1.1328125000000171E-3</c:v>
                </c:pt>
                <c:pt idx="228">
                  <c:v>-1.0295643153527061E-3</c:v>
                </c:pt>
                <c:pt idx="229">
                  <c:v>-9.7417355371889967E-4</c:v>
                </c:pt>
                <c:pt idx="230">
                  <c:v>-1.0128600823044159E-3</c:v>
                </c:pt>
                <c:pt idx="231">
                  <c:v>-1.0512295081966084E-3</c:v>
                </c:pt>
                <c:pt idx="232">
                  <c:v>-1.0428571428573008E-3</c:v>
                </c:pt>
                <c:pt idx="233">
                  <c:v>-1.0345528455285534E-3</c:v>
                </c:pt>
                <c:pt idx="234">
                  <c:v>-9.8026315789471932E-4</c:v>
                </c:pt>
                <c:pt idx="235">
                  <c:v>-9.7227822580653854E-4</c:v>
                </c:pt>
                <c:pt idx="236">
                  <c:v>-1.0100401606426544E-3</c:v>
                </c:pt>
                <c:pt idx="237">
                  <c:v>-1.0020000000000254E-3</c:v>
                </c:pt>
                <c:pt idx="238">
                  <c:v>-1.0393426294820947E-3</c:v>
                </c:pt>
                <c:pt idx="239">
                  <c:v>-1.0312499999999651E-3</c:v>
                </c:pt>
                <c:pt idx="240">
                  <c:v>-1.0232213438734256E-3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1B51-4335-814D-53B8B9178B55}"/>
            </c:ext>
          </c:extLst>
        </c:ser>
        <c:ser>
          <c:idx val="48"/>
          <c:order val="48"/>
          <c:tx>
            <c:strRef>
              <c:f>'전류편차_24mA(절대값기준)'!$DL$7</c:f>
              <c:strCache>
                <c:ptCount val="1"/>
                <c:pt idx="0">
                  <c:v>IC #5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'전류편차_24mA(절대값기준)'!$DL$22:$DL$262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-1.4374999999999805E-3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-1.8437500000000439E-3</c:v>
                </c:pt>
                <c:pt idx="8">
                  <c:v>-2.2500000000000111E-3</c:v>
                </c:pt>
                <c:pt idx="9">
                  <c:v>-2.1022727272727655E-3</c:v>
                </c:pt>
                <c:pt idx="10">
                  <c:v>-1.9673913043478895E-3</c:v>
                </c:pt>
                <c:pt idx="11">
                  <c:v>-1.843750000000086E-3</c:v>
                </c:pt>
                <c:pt idx="12">
                  <c:v>-1.2750000000001571E-3</c:v>
                </c:pt>
                <c:pt idx="13">
                  <c:v>-2.0624999999998839E-3</c:v>
                </c:pt>
                <c:pt idx="14">
                  <c:v>-1.5277777777777349E-3</c:v>
                </c:pt>
                <c:pt idx="15">
                  <c:v>-2.6562500000000266E-3</c:v>
                </c:pt>
                <c:pt idx="16">
                  <c:v>-3.7068965517240552E-3</c:v>
                </c:pt>
                <c:pt idx="17">
                  <c:v>-3.9291666666667335E-3</c:v>
                </c:pt>
                <c:pt idx="18">
                  <c:v>-3.770161290322665E-3</c:v>
                </c:pt>
                <c:pt idx="19">
                  <c:v>-3.2656250000001395E-3</c:v>
                </c:pt>
                <c:pt idx="20">
                  <c:v>-3.1363636363636377E-3</c:v>
                </c:pt>
                <c:pt idx="21">
                  <c:v>-3.0147058823529601E-3</c:v>
                </c:pt>
                <c:pt idx="22">
                  <c:v>-3.225E-3</c:v>
                </c:pt>
                <c:pt idx="23">
                  <c:v>-3.1076388888889059E-3</c:v>
                </c:pt>
                <c:pt idx="24">
                  <c:v>-3.3040540540540532E-3</c:v>
                </c:pt>
                <c:pt idx="25">
                  <c:v>-3.1907894736842258E-3</c:v>
                </c:pt>
                <c:pt idx="26">
                  <c:v>-3.0833333333332344E-3</c:v>
                </c:pt>
                <c:pt idx="27">
                  <c:v>-2.9812500000000451E-3</c:v>
                </c:pt>
                <c:pt idx="28">
                  <c:v>-3.1615853658536865E-3</c:v>
                </c:pt>
                <c:pt idx="29">
                  <c:v>-2.5208333333334347E-3</c:v>
                </c:pt>
                <c:pt idx="30">
                  <c:v>-2.9680232558138915E-3</c:v>
                </c:pt>
                <c:pt idx="31">
                  <c:v>-2.6193181818181632E-3</c:v>
                </c:pt>
                <c:pt idx="32">
                  <c:v>-3.5499999999999963E-3</c:v>
                </c:pt>
                <c:pt idx="33">
                  <c:v>-3.9456521739131088E-3</c:v>
                </c:pt>
                <c:pt idx="34">
                  <c:v>-3.3563829787234263E-3</c:v>
                </c:pt>
                <c:pt idx="35">
                  <c:v>-3.2656249999999292E-3</c:v>
                </c:pt>
                <c:pt idx="36">
                  <c:v>-3.4107142857142036E-3</c:v>
                </c:pt>
                <c:pt idx="37">
                  <c:v>-3.0950000000001584E-3</c:v>
                </c:pt>
                <c:pt idx="38">
                  <c:v>-3.2377450980391608E-3</c:v>
                </c:pt>
                <c:pt idx="39">
                  <c:v>-3.1562499999998606E-3</c:v>
                </c:pt>
                <c:pt idx="40">
                  <c:v>-3.2924528301887207E-3</c:v>
                </c:pt>
                <c:pt idx="41">
                  <c:v>-3.2129629629629214E-3</c:v>
                </c:pt>
                <c:pt idx="42">
                  <c:v>-2.9295454545454481E-3</c:v>
                </c:pt>
                <c:pt idx="43">
                  <c:v>-3.2656250000000497E-3</c:v>
                </c:pt>
                <c:pt idx="44">
                  <c:v>-2.7916666666666814E-3</c:v>
                </c:pt>
                <c:pt idx="45">
                  <c:v>-2.9224137931034518E-3</c:v>
                </c:pt>
                <c:pt idx="46">
                  <c:v>-2.8559322033899297E-3</c:v>
                </c:pt>
                <c:pt idx="47">
                  <c:v>-2.9812499999999189E-3</c:v>
                </c:pt>
                <c:pt idx="48">
                  <c:v>-3.2889344262294804E-3</c:v>
                </c:pt>
                <c:pt idx="49">
                  <c:v>-3.4032258064515745E-3</c:v>
                </c:pt>
                <c:pt idx="50">
                  <c:v>-3.3333333333333856E-3</c:v>
                </c:pt>
                <c:pt idx="51">
                  <c:v>-3.0878906250000802E-3</c:v>
                </c:pt>
                <c:pt idx="52">
                  <c:v>-3.0250000000000108E-3</c:v>
                </c:pt>
                <c:pt idx="53">
                  <c:v>-2.9640151515150951E-3</c:v>
                </c:pt>
                <c:pt idx="54">
                  <c:v>-3.074626865671727E-3</c:v>
                </c:pt>
                <c:pt idx="55">
                  <c:v>-3.0147058823529601E-3</c:v>
                </c:pt>
                <c:pt idx="56">
                  <c:v>-2.9565217391303894E-3</c:v>
                </c:pt>
                <c:pt idx="57">
                  <c:v>-2.9000000000000358E-3</c:v>
                </c:pt>
                <c:pt idx="58">
                  <c:v>-2.8450704225351842E-3</c:v>
                </c:pt>
                <c:pt idx="59">
                  <c:v>-2.6336805555555549E-3</c:v>
                </c:pt>
                <c:pt idx="60">
                  <c:v>-2.4280821917808462E-3</c:v>
                </c:pt>
                <c:pt idx="61">
                  <c:v>-2.5354729729729886E-3</c:v>
                </c:pt>
                <c:pt idx="62">
                  <c:v>-2.3366666666665725E-3</c:v>
                </c:pt>
                <c:pt idx="63">
                  <c:v>-2.1430921052632218E-3</c:v>
                </c:pt>
                <c:pt idx="64">
                  <c:v>-2.3977272727272458E-3</c:v>
                </c:pt>
                <c:pt idx="65">
                  <c:v>-2.2083333333333308E-3</c:v>
                </c:pt>
                <c:pt idx="66">
                  <c:v>-2.0237341772152109E-3</c:v>
                </c:pt>
                <c:pt idx="67">
                  <c:v>-1.9859374999999652E-3</c:v>
                </c:pt>
                <c:pt idx="68">
                  <c:v>-1.9490740740739849E-3</c:v>
                </c:pt>
                <c:pt idx="69">
                  <c:v>-1.6356707317073285E-3</c:v>
                </c:pt>
                <c:pt idx="70">
                  <c:v>-1.7409638554216904E-3</c:v>
                </c:pt>
                <c:pt idx="71">
                  <c:v>-1.5729166666666923E-3</c:v>
                </c:pt>
                <c:pt idx="72">
                  <c:v>-1.2750000000000025E-3</c:v>
                </c:pt>
                <c:pt idx="73">
                  <c:v>-1.248546511627858E-3</c:v>
                </c:pt>
                <c:pt idx="74">
                  <c:v>-1.3534482758621291E-3</c:v>
                </c:pt>
                <c:pt idx="75">
                  <c:v>-1.3267045454545545E-3</c:v>
                </c:pt>
                <c:pt idx="76">
                  <c:v>-1.3005617977527681E-3</c:v>
                </c:pt>
                <c:pt idx="77">
                  <c:v>-1.4013888888889535E-3</c:v>
                </c:pt>
                <c:pt idx="78">
                  <c:v>-1.2499999999999734E-3</c:v>
                </c:pt>
                <c:pt idx="79">
                  <c:v>-1.3491847826086624E-3</c:v>
                </c:pt>
                <c:pt idx="80">
                  <c:v>-1.5685483870966667E-3</c:v>
                </c:pt>
                <c:pt idx="81">
                  <c:v>-1.5412234042554876E-3</c:v>
                </c:pt>
                <c:pt idx="82">
                  <c:v>-1.1552631578947369E-3</c:v>
                </c:pt>
                <c:pt idx="83">
                  <c:v>-1.2513020833333267E-3</c:v>
                </c:pt>
                <c:pt idx="84">
                  <c:v>-1.2280927835052065E-3</c:v>
                </c:pt>
                <c:pt idx="85">
                  <c:v>-1.2053571428570459E-3</c:v>
                </c:pt>
                <c:pt idx="86">
                  <c:v>-1.2979797979796954E-3</c:v>
                </c:pt>
                <c:pt idx="87">
                  <c:v>-1.161250000000018E-3</c:v>
                </c:pt>
                <c:pt idx="88">
                  <c:v>-1.252475247524764E-3</c:v>
                </c:pt>
                <c:pt idx="89">
                  <c:v>-1.2303921568628121E-3</c:v>
                </c:pt>
                <c:pt idx="90">
                  <c:v>-1.3191747572816135E-3</c:v>
                </c:pt>
                <c:pt idx="91">
                  <c:v>-1.2968749999999196E-3</c:v>
                </c:pt>
                <c:pt idx="92">
                  <c:v>-1.2749999999999745E-3</c:v>
                </c:pt>
                <c:pt idx="93">
                  <c:v>-1.2535377358490845E-3</c:v>
                </c:pt>
                <c:pt idx="94">
                  <c:v>-1.3387850467289936E-3</c:v>
                </c:pt>
                <c:pt idx="95">
                  <c:v>-1.3171296296297036E-3</c:v>
                </c:pt>
                <c:pt idx="96">
                  <c:v>-1.4002293577980471E-3</c:v>
                </c:pt>
                <c:pt idx="97">
                  <c:v>-1.3784090909090255E-3</c:v>
                </c:pt>
                <c:pt idx="98">
                  <c:v>-1.1520270270271265E-3</c:v>
                </c:pt>
                <c:pt idx="99">
                  <c:v>-1.0312500000000252E-3</c:v>
                </c:pt>
                <c:pt idx="100">
                  <c:v>-1.1139380530973645E-3</c:v>
                </c:pt>
                <c:pt idx="101">
                  <c:v>-8.958333333333355E-4</c:v>
                </c:pt>
                <c:pt idx="102">
                  <c:v>-9.78260869565214E-4</c:v>
                </c:pt>
                <c:pt idx="103">
                  <c:v>-9.6120689655159537E-4</c:v>
                </c:pt>
                <c:pt idx="104">
                  <c:v>-9.4444444444453772E-4</c:v>
                </c:pt>
                <c:pt idx="105">
                  <c:v>-9.2796610169488451E-4</c:v>
                </c:pt>
                <c:pt idx="106">
                  <c:v>-7.2058823529407088E-4</c:v>
                </c:pt>
                <c:pt idx="107">
                  <c:v>-8.9583333333339752E-4</c:v>
                </c:pt>
                <c:pt idx="108">
                  <c:v>-9.7417355371889967E-4</c:v>
                </c:pt>
                <c:pt idx="109">
                  <c:v>-1.0512295081966084E-3</c:v>
                </c:pt>
                <c:pt idx="110">
                  <c:v>-1.1270325203252502E-3</c:v>
                </c:pt>
                <c:pt idx="111">
                  <c:v>-1.2016129032258478E-3</c:v>
                </c:pt>
                <c:pt idx="112">
                  <c:v>-1.4569999999999349E-3</c:v>
                </c:pt>
                <c:pt idx="113">
                  <c:v>-1.5277777777777083E-3</c:v>
                </c:pt>
                <c:pt idx="114">
                  <c:v>-1.4183070866141984E-3</c:v>
                </c:pt>
                <c:pt idx="115">
                  <c:v>-1.3105468750001185E-3</c:v>
                </c:pt>
                <c:pt idx="116">
                  <c:v>-1.468992248062079E-3</c:v>
                </c:pt>
                <c:pt idx="117">
                  <c:v>-1.3624999999999998E-3</c:v>
                </c:pt>
                <c:pt idx="118">
                  <c:v>-1.6049618320611216E-3</c:v>
                </c:pt>
                <c:pt idx="119">
                  <c:v>-1.5852272727272152E-3</c:v>
                </c:pt>
                <c:pt idx="120">
                  <c:v>-1.6513157894736223E-3</c:v>
                </c:pt>
                <c:pt idx="121">
                  <c:v>-1.7164179104478454E-3</c:v>
                </c:pt>
                <c:pt idx="122">
                  <c:v>-1.7805555555556346E-3</c:v>
                </c:pt>
                <c:pt idx="123">
                  <c:v>-1.9273897058823802E-3</c:v>
                </c:pt>
                <c:pt idx="124">
                  <c:v>-1.9890510948905333E-3</c:v>
                </c:pt>
                <c:pt idx="125">
                  <c:v>-1.9673913043477429E-3</c:v>
                </c:pt>
                <c:pt idx="126">
                  <c:v>-2.1097122302156952E-3</c:v>
                </c:pt>
                <c:pt idx="127">
                  <c:v>-2.0875000000000533E-3</c:v>
                </c:pt>
                <c:pt idx="128">
                  <c:v>-2.3076241134751363E-3</c:v>
                </c:pt>
                <c:pt idx="129">
                  <c:v>-2.3644366197182643E-3</c:v>
                </c:pt>
                <c:pt idx="130">
                  <c:v>-2.1818181818181234E-3</c:v>
                </c:pt>
                <c:pt idx="131">
                  <c:v>-1.9227430555555278E-3</c:v>
                </c:pt>
                <c:pt idx="132">
                  <c:v>-2.0594827586206143E-3</c:v>
                </c:pt>
                <c:pt idx="133">
                  <c:v>-1.9606164383561713E-3</c:v>
                </c:pt>
                <c:pt idx="134">
                  <c:v>-2.0952380952380546E-3</c:v>
                </c:pt>
                <c:pt idx="135">
                  <c:v>-1.997466216216257E-3</c:v>
                </c:pt>
                <c:pt idx="136">
                  <c:v>-2.1300335570469736E-3</c:v>
                </c:pt>
                <c:pt idx="137">
                  <c:v>-2.0333333333332725E-3</c:v>
                </c:pt>
                <c:pt idx="138">
                  <c:v>-2.163907284768239E-3</c:v>
                </c:pt>
                <c:pt idx="139">
                  <c:v>-2.0682565789473411E-3</c:v>
                </c:pt>
                <c:pt idx="140">
                  <c:v>-2.0482026143790947E-3</c:v>
                </c:pt>
                <c:pt idx="141">
                  <c:v>-2.2500000000000549E-3</c:v>
                </c:pt>
                <c:pt idx="142">
                  <c:v>-2.2290322580644771E-3</c:v>
                </c:pt>
                <c:pt idx="143">
                  <c:v>-2.3541666666665835E-3</c:v>
                </c:pt>
                <c:pt idx="144">
                  <c:v>-2.5501592356688796E-3</c:v>
                </c:pt>
                <c:pt idx="145">
                  <c:v>-2.599683544303883E-3</c:v>
                </c:pt>
                <c:pt idx="146">
                  <c:v>-2.5770440251572263E-3</c:v>
                </c:pt>
                <c:pt idx="147">
                  <c:v>-2.5546875000000287E-3</c:v>
                </c:pt>
                <c:pt idx="148">
                  <c:v>-2.461956521739108E-3</c:v>
                </c:pt>
                <c:pt idx="149">
                  <c:v>-2.5810185185184535E-3</c:v>
                </c:pt>
                <c:pt idx="150">
                  <c:v>-2.4892638036809901E-3</c:v>
                </c:pt>
                <c:pt idx="151">
                  <c:v>-2.6760670731707827E-3</c:v>
                </c:pt>
                <c:pt idx="152">
                  <c:v>-2.653787878787841E-3</c:v>
                </c:pt>
                <c:pt idx="153">
                  <c:v>-2.7003012048192358E-3</c:v>
                </c:pt>
                <c:pt idx="154">
                  <c:v>-2.8824850299401204E-3</c:v>
                </c:pt>
                <c:pt idx="155">
                  <c:v>-2.9270833333333302E-3</c:v>
                </c:pt>
                <c:pt idx="156">
                  <c:v>-3.0384615384616135E-3</c:v>
                </c:pt>
                <c:pt idx="157">
                  <c:v>-3.0147058823529306E-3</c:v>
                </c:pt>
                <c:pt idx="158">
                  <c:v>-3.1907894736842406E-3</c:v>
                </c:pt>
                <c:pt idx="159">
                  <c:v>-3.1664244186045964E-3</c:v>
                </c:pt>
                <c:pt idx="160">
                  <c:v>-3.3395953757225294E-3</c:v>
                </c:pt>
                <c:pt idx="161">
                  <c:v>-3.3146551724138112E-3</c:v>
                </c:pt>
                <c:pt idx="162">
                  <c:v>-3.2900000000000507E-3</c:v>
                </c:pt>
                <c:pt idx="163">
                  <c:v>-3.2656249999999678E-3</c:v>
                </c:pt>
                <c:pt idx="164">
                  <c:v>-3.2415254237288136E-3</c:v>
                </c:pt>
                <c:pt idx="165">
                  <c:v>-3.2176966292134014E-3</c:v>
                </c:pt>
                <c:pt idx="166">
                  <c:v>-3.1305865921787564E-3</c:v>
                </c:pt>
                <c:pt idx="167">
                  <c:v>-3.1076388888889059E-3</c:v>
                </c:pt>
                <c:pt idx="168">
                  <c:v>-3.2734806629834807E-3</c:v>
                </c:pt>
                <c:pt idx="169">
                  <c:v>-3.2499999999999751E-3</c:v>
                </c:pt>
                <c:pt idx="170">
                  <c:v>-3.28893442622948E-3</c:v>
                </c:pt>
                <c:pt idx="171">
                  <c:v>-3.3274456521738818E-3</c:v>
                </c:pt>
                <c:pt idx="172">
                  <c:v>-3.4885135135134106E-3</c:v>
                </c:pt>
                <c:pt idx="173">
                  <c:v>-3.403225806451575E-3</c:v>
                </c:pt>
                <c:pt idx="174">
                  <c:v>-3.3188502673794896E-3</c:v>
                </c:pt>
                <c:pt idx="175">
                  <c:v>-3.4168882978724367E-3</c:v>
                </c:pt>
                <c:pt idx="176">
                  <c:v>-3.5740740740740997E-3</c:v>
                </c:pt>
                <c:pt idx="177">
                  <c:v>-3.729605263158063E-3</c:v>
                </c:pt>
                <c:pt idx="178">
                  <c:v>-3.5857329842931395E-3</c:v>
                </c:pt>
                <c:pt idx="179">
                  <c:v>-3.6210937499999429E-3</c:v>
                </c:pt>
                <c:pt idx="180">
                  <c:v>-3.597150259067435E-3</c:v>
                </c:pt>
                <c:pt idx="181">
                  <c:v>-3.632087628866053E-3</c:v>
                </c:pt>
                <c:pt idx="182">
                  <c:v>-3.6666666666667369E-3</c:v>
                </c:pt>
                <c:pt idx="183">
                  <c:v>-3.6428571428571382E-3</c:v>
                </c:pt>
                <c:pt idx="184">
                  <c:v>-3.7347715736039187E-3</c:v>
                </c:pt>
                <c:pt idx="185">
                  <c:v>-3.768308080807936E-3</c:v>
                </c:pt>
                <c:pt idx="186">
                  <c:v>-3.8015075376882949E-3</c:v>
                </c:pt>
                <c:pt idx="187">
                  <c:v>-3.8343750000000517E-3</c:v>
                </c:pt>
                <c:pt idx="188">
                  <c:v>-3.9800995024875481E-3</c:v>
                </c:pt>
                <c:pt idx="189">
                  <c:v>-3.8991336633663817E-3</c:v>
                </c:pt>
                <c:pt idx="190">
                  <c:v>-4.0431034482758419E-3</c:v>
                </c:pt>
                <c:pt idx="191">
                  <c:v>-4.1856617647057972E-3</c:v>
                </c:pt>
                <c:pt idx="192">
                  <c:v>-4.3268292682927308E-3</c:v>
                </c:pt>
                <c:pt idx="193">
                  <c:v>-4.2457524271843758E-3</c:v>
                </c:pt>
                <c:pt idx="194">
                  <c:v>-4.1105072463767127E-3</c:v>
                </c:pt>
                <c:pt idx="195">
                  <c:v>-4.0859375000000253E-3</c:v>
                </c:pt>
                <c:pt idx="196">
                  <c:v>-4.0616028708133529E-3</c:v>
                </c:pt>
                <c:pt idx="197">
                  <c:v>-3.983333333333154E-3</c:v>
                </c:pt>
                <c:pt idx="198">
                  <c:v>-4.013625592417071E-3</c:v>
                </c:pt>
                <c:pt idx="199">
                  <c:v>-3.8826650943396229E-3</c:v>
                </c:pt>
                <c:pt idx="200">
                  <c:v>-3.9131455399061005E-3</c:v>
                </c:pt>
                <c:pt idx="201">
                  <c:v>-3.8901869158879687E-3</c:v>
                </c:pt>
                <c:pt idx="202">
                  <c:v>-3.8145348837209155E-3</c:v>
                </c:pt>
                <c:pt idx="203">
                  <c:v>-3.8449074074073902E-3</c:v>
                </c:pt>
                <c:pt idx="204">
                  <c:v>-3.8749999999999796E-3</c:v>
                </c:pt>
                <c:pt idx="205">
                  <c:v>-3.8526376146788121E-3</c:v>
                </c:pt>
                <c:pt idx="206">
                  <c:v>-3.8824200913241116E-3</c:v>
                </c:pt>
                <c:pt idx="207">
                  <c:v>-3.8602272727273016E-3</c:v>
                </c:pt>
                <c:pt idx="208">
                  <c:v>-3.889705882352784E-3</c:v>
                </c:pt>
                <c:pt idx="209">
                  <c:v>-3.8676801801803217E-3</c:v>
                </c:pt>
                <c:pt idx="210">
                  <c:v>-3.8458520179372956E-3</c:v>
                </c:pt>
                <c:pt idx="211">
                  <c:v>-3.8242187500000108E-3</c:v>
                </c:pt>
                <c:pt idx="212">
                  <c:v>-3.853333333333341E-3</c:v>
                </c:pt>
                <c:pt idx="213">
                  <c:v>-3.8318584070795893E-3</c:v>
                </c:pt>
                <c:pt idx="214">
                  <c:v>-3.8606828193832009E-3</c:v>
                </c:pt>
                <c:pt idx="215">
                  <c:v>-3.8892543859648508E-3</c:v>
                </c:pt>
                <c:pt idx="216">
                  <c:v>-3.8182314410480258E-3</c:v>
                </c:pt>
                <c:pt idx="217">
                  <c:v>-3.8467391304347707E-3</c:v>
                </c:pt>
                <c:pt idx="218">
                  <c:v>-3.8749999999999857E-3</c:v>
                </c:pt>
                <c:pt idx="219">
                  <c:v>-3.8539870689654403E-3</c:v>
                </c:pt>
                <c:pt idx="220">
                  <c:v>-3.9307939914162895E-3</c:v>
                </c:pt>
                <c:pt idx="221">
                  <c:v>-3.9097222222223126E-3</c:v>
                </c:pt>
                <c:pt idx="222">
                  <c:v>-3.937234042553279E-3</c:v>
                </c:pt>
                <c:pt idx="223">
                  <c:v>-4.0127118644067514E-3</c:v>
                </c:pt>
                <c:pt idx="224">
                  <c:v>-4.1355485232068374E-3</c:v>
                </c:pt>
                <c:pt idx="225">
                  <c:v>-4.209558823529384E-3</c:v>
                </c:pt>
                <c:pt idx="226">
                  <c:v>-4.0925732217572865E-3</c:v>
                </c:pt>
                <c:pt idx="227">
                  <c:v>-4.0713541666665704E-3</c:v>
                </c:pt>
                <c:pt idx="228">
                  <c:v>-4.0975103734438847E-3</c:v>
                </c:pt>
                <c:pt idx="229">
                  <c:v>-4.0764462809917447E-3</c:v>
                </c:pt>
                <c:pt idx="230">
                  <c:v>-4.1023662551440392E-3</c:v>
                </c:pt>
                <c:pt idx="231">
                  <c:v>-4.128073770491807E-3</c:v>
                </c:pt>
                <c:pt idx="232">
                  <c:v>-4.1071428571429662E-3</c:v>
                </c:pt>
                <c:pt idx="233">
                  <c:v>-4.0863821138211872E-3</c:v>
                </c:pt>
                <c:pt idx="234">
                  <c:v>-4.0657894736842006E-3</c:v>
                </c:pt>
                <c:pt idx="235">
                  <c:v>-4.0912298387096651E-3</c:v>
                </c:pt>
                <c:pt idx="236">
                  <c:v>-4.1164658634538004E-3</c:v>
                </c:pt>
                <c:pt idx="237">
                  <c:v>-4.1414999999999829E-3</c:v>
                </c:pt>
                <c:pt idx="238">
                  <c:v>-4.2116533864542194E-3</c:v>
                </c:pt>
                <c:pt idx="239">
                  <c:v>-4.2361111111111445E-3</c:v>
                </c:pt>
                <c:pt idx="240">
                  <c:v>-4.3053359683793728E-3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1B51-4335-814D-53B8B9178B55}"/>
            </c:ext>
          </c:extLst>
        </c:ser>
        <c:ser>
          <c:idx val="49"/>
          <c:order val="49"/>
          <c:tx>
            <c:strRef>
              <c:f>'전류편차_24mA(절대값기준)'!$DM$7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'전류편차_24mA(절대값기준)'!$DM$22:$DM$262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-3.6838235294117099E-3</c:v>
                </c:pt>
                <c:pt idx="5">
                  <c:v>-2.6388888888879817E-4</c:v>
                </c:pt>
                <c:pt idx="6">
                  <c:v>-1.9736842105271064E-4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-8.2000000000000508E-4</c:v>
                </c:pt>
                <c:pt idx="13">
                  <c:v>-1.1874999999999802E-3</c:v>
                </c:pt>
                <c:pt idx="14">
                  <c:v>-6.8518518518523514E-4</c:v>
                </c:pt>
                <c:pt idx="15">
                  <c:v>1.8750000000002098E-4</c:v>
                </c:pt>
                <c:pt idx="16">
                  <c:v>-9.6120689655159537E-4</c:v>
                </c:pt>
                <c:pt idx="17">
                  <c:v>2.4166666666664561E-4</c:v>
                </c:pt>
                <c:pt idx="18">
                  <c:v>2.6612903225802447E-4</c:v>
                </c:pt>
                <c:pt idx="19">
                  <c:v>2.8906249999994214E-4</c:v>
                </c:pt>
                <c:pt idx="20">
                  <c:v>-3.7878787878787743E-4</c:v>
                </c:pt>
                <c:pt idx="21">
                  <c:v>9.9999999999998463E-4</c:v>
                </c:pt>
                <c:pt idx="22">
                  <c:v>9.9999999999996749E-4</c:v>
                </c:pt>
                <c:pt idx="23">
                  <c:v>6.8402777777776421E-4</c:v>
                </c:pt>
                <c:pt idx="24">
                  <c:v>7.770270270274065E-5</c:v>
                </c:pt>
                <c:pt idx="25">
                  <c:v>7.0065789473679706E-4</c:v>
                </c:pt>
                <c:pt idx="26">
                  <c:v>4.1666666666676883E-4</c:v>
                </c:pt>
                <c:pt idx="27">
                  <c:v>-1.374999999999793E-4</c:v>
                </c:pt>
                <c:pt idx="28">
                  <c:v>1.6768292682924304E-4</c:v>
                </c:pt>
                <c:pt idx="29">
                  <c:v>-8.3333333333342655E-5</c:v>
                </c:pt>
                <c:pt idx="30">
                  <c:v>4.7093023255817545E-4</c:v>
                </c:pt>
                <c:pt idx="31">
                  <c:v>4.8295454545456667E-4</c:v>
                </c:pt>
                <c:pt idx="32">
                  <c:v>2.4166666666658947E-4</c:v>
                </c:pt>
                <c:pt idx="33">
                  <c:v>2.5815217391306455E-4</c:v>
                </c:pt>
                <c:pt idx="34">
                  <c:v>3.1914893616840593E-5</c:v>
                </c:pt>
                <c:pt idx="35">
                  <c:v>5.2083333333248952E-5</c:v>
                </c:pt>
                <c:pt idx="36">
                  <c:v>7.142857142857943E-5</c:v>
                </c:pt>
                <c:pt idx="37">
                  <c:v>-1.3750000000018134E-4</c:v>
                </c:pt>
                <c:pt idx="38">
                  <c:v>1.0784313725488572E-4</c:v>
                </c:pt>
                <c:pt idx="39">
                  <c:v>1.250000000000695E-4</c:v>
                </c:pt>
                <c:pt idx="40">
                  <c:v>-7.3113207547280106E-5</c:v>
                </c:pt>
                <c:pt idx="41">
                  <c:v>-5.3240740740766744E-5</c:v>
                </c:pt>
                <c:pt idx="42">
                  <c:v>-2.4090909090910477E-4</c:v>
                </c:pt>
                <c:pt idx="43">
                  <c:v>-6.2500000000006994E-4</c:v>
                </c:pt>
                <c:pt idx="44">
                  <c:v>-9.956140350876662E-4</c:v>
                </c:pt>
                <c:pt idx="45">
                  <c:v>-7.6508620689653159E-4</c:v>
                </c:pt>
                <c:pt idx="46">
                  <c:v>-5.4237288135594391E-4</c:v>
                </c:pt>
                <c:pt idx="47">
                  <c:v>-5.1666666666660423E-4</c:v>
                </c:pt>
                <c:pt idx="48">
                  <c:v>-8.6475409836064615E-4</c:v>
                </c:pt>
                <c:pt idx="49">
                  <c:v>-6.5120967741937529E-4</c:v>
                </c:pt>
                <c:pt idx="50">
                  <c:v>-9.8611111111102101E-4</c:v>
                </c:pt>
                <c:pt idx="51">
                  <c:v>-7.7734375000009816E-4</c:v>
                </c:pt>
                <c:pt idx="52">
                  <c:v>-9.2500000000008689E-4</c:v>
                </c:pt>
                <c:pt idx="53">
                  <c:v>-8.9583333333335166E-4</c:v>
                </c:pt>
                <c:pt idx="54">
                  <c:v>-1.0373134328358292E-3</c:v>
                </c:pt>
                <c:pt idx="55">
                  <c:v>-1.0073529411764135E-3</c:v>
                </c:pt>
                <c:pt idx="56">
                  <c:v>-9.7826086956524327E-4</c:v>
                </c:pt>
                <c:pt idx="57">
                  <c:v>-1.6000000000000346E-3</c:v>
                </c:pt>
                <c:pt idx="58">
                  <c:v>-1.7235915492957998E-3</c:v>
                </c:pt>
                <c:pt idx="59">
                  <c:v>-1.6857638888888521E-3</c:v>
                </c:pt>
                <c:pt idx="60">
                  <c:v>-1.9606164383561713E-3</c:v>
                </c:pt>
                <c:pt idx="61">
                  <c:v>-1.9206081081080549E-3</c:v>
                </c:pt>
                <c:pt idx="62">
                  <c:v>-1.578333333333255E-3</c:v>
                </c:pt>
                <c:pt idx="63">
                  <c:v>-1.5444078947368391E-3</c:v>
                </c:pt>
                <c:pt idx="64">
                  <c:v>-1.9545454545454111E-3</c:v>
                </c:pt>
                <c:pt idx="65">
                  <c:v>-1.9166666666665666E-3</c:v>
                </c:pt>
                <c:pt idx="66">
                  <c:v>-1.8797468354430108E-3</c:v>
                </c:pt>
                <c:pt idx="67">
                  <c:v>-1.9859374999999652E-3</c:v>
                </c:pt>
                <c:pt idx="68">
                  <c:v>-1.9490740740739849E-3</c:v>
                </c:pt>
                <c:pt idx="69">
                  <c:v>-2.0518292682927099E-3</c:v>
                </c:pt>
                <c:pt idx="70">
                  <c:v>-2.2891566265059674E-3</c:v>
                </c:pt>
                <c:pt idx="71">
                  <c:v>-2.5208333333334347E-3</c:v>
                </c:pt>
                <c:pt idx="72">
                  <c:v>-2.211764705882312E-3</c:v>
                </c:pt>
                <c:pt idx="73">
                  <c:v>-2.5712209302324808E-3</c:v>
                </c:pt>
                <c:pt idx="74">
                  <c:v>-2.3994252873563828E-3</c:v>
                </c:pt>
                <c:pt idx="75">
                  <c:v>-2.6193181818181632E-3</c:v>
                </c:pt>
                <c:pt idx="76">
                  <c:v>-2.8342696629213657E-3</c:v>
                </c:pt>
                <c:pt idx="77">
                  <c:v>-3.2972222222222465E-3</c:v>
                </c:pt>
                <c:pt idx="78">
                  <c:v>-3.2499999999999751E-3</c:v>
                </c:pt>
                <c:pt idx="79">
                  <c:v>-2.7092391304346544E-3</c:v>
                </c:pt>
                <c:pt idx="80">
                  <c:v>-2.9139784946236717E-3</c:v>
                </c:pt>
                <c:pt idx="81">
                  <c:v>-2.7513297872341852E-3</c:v>
                </c:pt>
                <c:pt idx="82">
                  <c:v>-2.8315789473685555E-3</c:v>
                </c:pt>
                <c:pt idx="83">
                  <c:v>-2.9101562500001262E-3</c:v>
                </c:pt>
                <c:pt idx="84">
                  <c:v>-3.3389175257731193E-3</c:v>
                </c:pt>
                <c:pt idx="85">
                  <c:v>-3.2946428571428393E-3</c:v>
                </c:pt>
                <c:pt idx="86">
                  <c:v>-3.251262626262462E-3</c:v>
                </c:pt>
                <c:pt idx="87">
                  <c:v>-3.4362500000001714E-3</c:v>
                </c:pt>
                <c:pt idx="88">
                  <c:v>-3.3923267326732933E-3</c:v>
                </c:pt>
                <c:pt idx="89">
                  <c:v>-3.3492647058824339E-3</c:v>
                </c:pt>
                <c:pt idx="90">
                  <c:v>-3.5279126213592364E-3</c:v>
                </c:pt>
                <c:pt idx="91">
                  <c:v>-3.8124999999998854E-3</c:v>
                </c:pt>
                <c:pt idx="92">
                  <c:v>-3.8749999999998807E-3</c:v>
                </c:pt>
                <c:pt idx="93">
                  <c:v>-4.1509433962265523E-3</c:v>
                </c:pt>
                <c:pt idx="94">
                  <c:v>-4.5280373831775239E-3</c:v>
                </c:pt>
                <c:pt idx="95">
                  <c:v>-4.1608796296296246E-3</c:v>
                </c:pt>
                <c:pt idx="96">
                  <c:v>-4.1135321100917895E-3</c:v>
                </c:pt>
                <c:pt idx="97">
                  <c:v>-4.1704545454544027E-3</c:v>
                </c:pt>
                <c:pt idx="98">
                  <c:v>-4.2263513513513852E-3</c:v>
                </c:pt>
                <c:pt idx="99">
                  <c:v>-4.2812500000000281E-3</c:v>
                </c:pt>
                <c:pt idx="100">
                  <c:v>-4.5365044247788503E-3</c:v>
                </c:pt>
                <c:pt idx="101">
                  <c:v>-4.3881578947368586E-3</c:v>
                </c:pt>
                <c:pt idx="102">
                  <c:v>-4.9347826086955648E-3</c:v>
                </c:pt>
                <c:pt idx="103">
                  <c:v>-4.6874999999998966E-3</c:v>
                </c:pt>
                <c:pt idx="104">
                  <c:v>-4.9305555555556844E-3</c:v>
                </c:pt>
                <c:pt idx="105">
                  <c:v>-5.0730932203390524E-3</c:v>
                </c:pt>
                <c:pt idx="106">
                  <c:v>-5.5955882352940857E-3</c:v>
                </c:pt>
                <c:pt idx="107">
                  <c:v>-5.2562500000000048E-3</c:v>
                </c:pt>
                <c:pt idx="108">
                  <c:v>-5.580578512396705E-3</c:v>
                </c:pt>
                <c:pt idx="109">
                  <c:v>-5.7131147540983142E-3</c:v>
                </c:pt>
                <c:pt idx="110">
                  <c:v>-5.5660569105691563E-3</c:v>
                </c:pt>
                <c:pt idx="111">
                  <c:v>-5.6048387096774644E-3</c:v>
                </c:pt>
                <c:pt idx="112">
                  <c:v>-5.3700000000000293E-3</c:v>
                </c:pt>
                <c:pt idx="113">
                  <c:v>-5.3194444444443585E-3</c:v>
                </c:pt>
                <c:pt idx="114">
                  <c:v>-5.2696850393700381E-3</c:v>
                </c:pt>
                <c:pt idx="115">
                  <c:v>-5.3095703125001122E-3</c:v>
                </c:pt>
                <c:pt idx="116">
                  <c:v>-5.2606589147286805E-3</c:v>
                </c:pt>
                <c:pt idx="117">
                  <c:v>-5.2999999999999931E-3</c:v>
                </c:pt>
                <c:pt idx="118">
                  <c:v>-5.5124045801527187E-3</c:v>
                </c:pt>
                <c:pt idx="119">
                  <c:v>-5.549242424242466E-3</c:v>
                </c:pt>
                <c:pt idx="120">
                  <c:v>-5.499999999999932E-3</c:v>
                </c:pt>
                <c:pt idx="121">
                  <c:v>-5.4514925373135579E-3</c:v>
                </c:pt>
                <c:pt idx="122">
                  <c:v>-5.4879629629629324E-3</c:v>
                </c:pt>
                <c:pt idx="123">
                  <c:v>-5.5238970588234945E-3</c:v>
                </c:pt>
                <c:pt idx="124">
                  <c:v>-5.7253649635036659E-3</c:v>
                </c:pt>
                <c:pt idx="125">
                  <c:v>-5.9239130434781814E-3</c:v>
                </c:pt>
                <c:pt idx="126">
                  <c:v>-5.7104316546761668E-3</c:v>
                </c:pt>
                <c:pt idx="127">
                  <c:v>-5.7437500000000474E-3</c:v>
                </c:pt>
                <c:pt idx="128">
                  <c:v>-5.8572695035460972E-3</c:v>
                </c:pt>
                <c:pt idx="129">
                  <c:v>-5.7288732394365598E-3</c:v>
                </c:pt>
                <c:pt idx="130">
                  <c:v>-5.840909090909124E-3</c:v>
                </c:pt>
                <c:pt idx="131">
                  <c:v>-5.714409722222198E-3</c:v>
                </c:pt>
                <c:pt idx="132">
                  <c:v>-5.7465517241379023E-3</c:v>
                </c:pt>
                <c:pt idx="133">
                  <c:v>-5.9340753424657723E-3</c:v>
                </c:pt>
                <c:pt idx="134">
                  <c:v>-5.9642857142857284E-3</c:v>
                </c:pt>
                <c:pt idx="135">
                  <c:v>-5.9940878378378481E-3</c:v>
                </c:pt>
                <c:pt idx="136">
                  <c:v>-6.0234899328859117E-3</c:v>
                </c:pt>
                <c:pt idx="137">
                  <c:v>-6.2800000000000104E-3</c:v>
                </c:pt>
                <c:pt idx="138">
                  <c:v>-6.1564569536424725E-3</c:v>
                </c:pt>
                <c:pt idx="139">
                  <c:v>-6.5583881578947468E-3</c:v>
                </c:pt>
                <c:pt idx="140">
                  <c:v>-6.7320261437909049E-3</c:v>
                </c:pt>
                <c:pt idx="141">
                  <c:v>-6.5340909090909512E-3</c:v>
                </c:pt>
                <c:pt idx="142">
                  <c:v>-6.4854838709676906E-3</c:v>
                </c:pt>
                <c:pt idx="143">
                  <c:v>-6.2916666666666034E-3</c:v>
                </c:pt>
                <c:pt idx="144">
                  <c:v>-6.3901273885350529E-3</c:v>
                </c:pt>
                <c:pt idx="145">
                  <c:v>-6.2713607594936391E-3</c:v>
                </c:pt>
                <c:pt idx="146">
                  <c:v>-6.2256289308176144E-3</c:v>
                </c:pt>
                <c:pt idx="147">
                  <c:v>-6.3226562499999611E-3</c:v>
                </c:pt>
                <c:pt idx="148">
                  <c:v>-6.3478260869564793E-3</c:v>
                </c:pt>
                <c:pt idx="149">
                  <c:v>-6.3024691358024619E-3</c:v>
                </c:pt>
                <c:pt idx="150">
                  <c:v>-6.3972392638037548E-3</c:v>
                </c:pt>
                <c:pt idx="151">
                  <c:v>-6.3521341463414482E-3</c:v>
                </c:pt>
                <c:pt idx="152">
                  <c:v>-6.4454545454544886E-3</c:v>
                </c:pt>
                <c:pt idx="153">
                  <c:v>-6.4006024096385315E-3</c:v>
                </c:pt>
                <c:pt idx="154">
                  <c:v>-6.6287425149700414E-3</c:v>
                </c:pt>
                <c:pt idx="155">
                  <c:v>-6.6510416666667642E-3</c:v>
                </c:pt>
                <c:pt idx="156">
                  <c:v>-6.8076923076923262E-3</c:v>
                </c:pt>
                <c:pt idx="157">
                  <c:v>-6.8286764705882503E-3</c:v>
                </c:pt>
                <c:pt idx="158">
                  <c:v>-6.5833333333333742E-3</c:v>
                </c:pt>
                <c:pt idx="159">
                  <c:v>-6.5392441860464678E-3</c:v>
                </c:pt>
                <c:pt idx="160">
                  <c:v>-6.6929190751445055E-3</c:v>
                </c:pt>
                <c:pt idx="161">
                  <c:v>-6.7140804597701073E-3</c:v>
                </c:pt>
                <c:pt idx="162">
                  <c:v>-6.5399999999999816E-3</c:v>
                </c:pt>
                <c:pt idx="163">
                  <c:v>-6.6264204545455115E-3</c:v>
                </c:pt>
                <c:pt idx="164">
                  <c:v>-6.5190677966101796E-3</c:v>
                </c:pt>
                <c:pt idx="165">
                  <c:v>-6.4129213483145701E-3</c:v>
                </c:pt>
                <c:pt idx="166">
                  <c:v>-6.4986033519552327E-3</c:v>
                </c:pt>
                <c:pt idx="167">
                  <c:v>-6.4569444444445134E-3</c:v>
                </c:pt>
                <c:pt idx="168">
                  <c:v>-6.7299723756906451E-3</c:v>
                </c:pt>
                <c:pt idx="169">
                  <c:v>-6.5625000000000266E-3</c:v>
                </c:pt>
                <c:pt idx="170">
                  <c:v>-6.7698087431694292E-3</c:v>
                </c:pt>
                <c:pt idx="171">
                  <c:v>-6.7894021739130705E-3</c:v>
                </c:pt>
                <c:pt idx="172">
                  <c:v>-6.8702702702701504E-3</c:v>
                </c:pt>
                <c:pt idx="173">
                  <c:v>-7.0114247311828222E-3</c:v>
                </c:pt>
                <c:pt idx="174">
                  <c:v>-6.8469251336896395E-3</c:v>
                </c:pt>
                <c:pt idx="175">
                  <c:v>-6.744680851063908E-3</c:v>
                </c:pt>
                <c:pt idx="176">
                  <c:v>-6.7638888888889633E-3</c:v>
                </c:pt>
                <c:pt idx="177">
                  <c:v>-6.7230263157894718E-3</c:v>
                </c:pt>
                <c:pt idx="178">
                  <c:v>-6.8017015706806957E-3</c:v>
                </c:pt>
                <c:pt idx="179">
                  <c:v>-6.8795572916665925E-3</c:v>
                </c:pt>
                <c:pt idx="180">
                  <c:v>-6.6619170984456499E-3</c:v>
                </c:pt>
                <c:pt idx="181">
                  <c:v>-6.7396907216493978E-3</c:v>
                </c:pt>
                <c:pt idx="182">
                  <c:v>-6.7000000000000471E-3</c:v>
                </c:pt>
                <c:pt idx="183">
                  <c:v>-6.7187500000000433E-3</c:v>
                </c:pt>
                <c:pt idx="184">
                  <c:v>-6.8527918781725646E-3</c:v>
                </c:pt>
                <c:pt idx="185">
                  <c:v>-6.8131313131312163E-3</c:v>
                </c:pt>
                <c:pt idx="186">
                  <c:v>-6.8881909547738396E-3</c:v>
                </c:pt>
                <c:pt idx="187">
                  <c:v>-6.9056250000001677E-3</c:v>
                </c:pt>
                <c:pt idx="188">
                  <c:v>-7.0926616915422576E-3</c:v>
                </c:pt>
                <c:pt idx="189">
                  <c:v>-7.277846534653438E-3</c:v>
                </c:pt>
                <c:pt idx="190">
                  <c:v>-7.1810344827586527E-3</c:v>
                </c:pt>
                <c:pt idx="191">
                  <c:v>-6.9736519607842681E-3</c:v>
                </c:pt>
                <c:pt idx="192">
                  <c:v>-6.9902439024389761E-3</c:v>
                </c:pt>
                <c:pt idx="193">
                  <c:v>-6.8410194174756706E-3</c:v>
                </c:pt>
                <c:pt idx="194">
                  <c:v>-6.9130434782608769E-3</c:v>
                </c:pt>
                <c:pt idx="195">
                  <c:v>-6.9843749999998761E-3</c:v>
                </c:pt>
                <c:pt idx="196">
                  <c:v>-6.9461722488038287E-3</c:v>
                </c:pt>
                <c:pt idx="197">
                  <c:v>-6.9083333333332655E-3</c:v>
                </c:pt>
                <c:pt idx="198">
                  <c:v>-6.924763033175475E-3</c:v>
                </c:pt>
                <c:pt idx="199">
                  <c:v>-6.9410377358491721E-3</c:v>
                </c:pt>
                <c:pt idx="200">
                  <c:v>-7.0639671361502881E-3</c:v>
                </c:pt>
                <c:pt idx="201">
                  <c:v>-7.0262850467289568E-3</c:v>
                </c:pt>
                <c:pt idx="202">
                  <c:v>-7.0418604651162611E-3</c:v>
                </c:pt>
                <c:pt idx="203">
                  <c:v>-7.1099537037037476E-3</c:v>
                </c:pt>
                <c:pt idx="204">
                  <c:v>-7.1774193548386281E-3</c:v>
                </c:pt>
                <c:pt idx="205">
                  <c:v>-7.1920871559632187E-3</c:v>
                </c:pt>
                <c:pt idx="206">
                  <c:v>-7.1546803652968389E-3</c:v>
                </c:pt>
                <c:pt idx="207">
                  <c:v>-7.2210227272726385E-3</c:v>
                </c:pt>
                <c:pt idx="208">
                  <c:v>-7.1323529411764369E-3</c:v>
                </c:pt>
                <c:pt idx="209">
                  <c:v>-7.0444819819820009E-3</c:v>
                </c:pt>
                <c:pt idx="210">
                  <c:v>-7.1104260089686882E-3</c:v>
                </c:pt>
                <c:pt idx="211">
                  <c:v>-7.1250000000000757E-3</c:v>
                </c:pt>
                <c:pt idx="212">
                  <c:v>-7.1394444444445168E-3</c:v>
                </c:pt>
                <c:pt idx="213">
                  <c:v>-7.1034292035398305E-3</c:v>
                </c:pt>
                <c:pt idx="214">
                  <c:v>-7.1679515418502865E-3</c:v>
                </c:pt>
                <c:pt idx="215">
                  <c:v>-7.2319078947367891E-3</c:v>
                </c:pt>
                <c:pt idx="216">
                  <c:v>-7.2456331877728698E-3</c:v>
                </c:pt>
                <c:pt idx="217">
                  <c:v>-7.1108695652173275E-3</c:v>
                </c:pt>
                <c:pt idx="218">
                  <c:v>-7.2234848484847283E-3</c:v>
                </c:pt>
                <c:pt idx="219">
                  <c:v>-7.2370689655171187E-3</c:v>
                </c:pt>
                <c:pt idx="220">
                  <c:v>-7.4458154506437174E-3</c:v>
                </c:pt>
                <c:pt idx="221">
                  <c:v>-7.4583333333334426E-3</c:v>
                </c:pt>
                <c:pt idx="222">
                  <c:v>-7.4223404255319625E-3</c:v>
                </c:pt>
                <c:pt idx="223">
                  <c:v>-7.3866525423728667E-3</c:v>
                </c:pt>
                <c:pt idx="224">
                  <c:v>-7.3512658227849045E-3</c:v>
                </c:pt>
                <c:pt idx="225">
                  <c:v>-7.411764705882333E-3</c:v>
                </c:pt>
                <c:pt idx="226">
                  <c:v>-7.2813807531380481E-3</c:v>
                </c:pt>
                <c:pt idx="227">
                  <c:v>-7.3416666666666942E-3</c:v>
                </c:pt>
                <c:pt idx="228">
                  <c:v>-7.3542531120332202E-3</c:v>
                </c:pt>
                <c:pt idx="229">
                  <c:v>-7.3197314049586425E-3</c:v>
                </c:pt>
                <c:pt idx="230">
                  <c:v>-7.4259259259258368E-3</c:v>
                </c:pt>
                <c:pt idx="231">
                  <c:v>-7.4380122950818755E-3</c:v>
                </c:pt>
                <c:pt idx="232">
                  <c:v>-7.4964285714286981E-3</c:v>
                </c:pt>
                <c:pt idx="233">
                  <c:v>-7.4618902439025064E-3</c:v>
                </c:pt>
                <c:pt idx="234">
                  <c:v>-7.5657894736842245E-3</c:v>
                </c:pt>
                <c:pt idx="235">
                  <c:v>-7.622983870967809E-3</c:v>
                </c:pt>
                <c:pt idx="236">
                  <c:v>-7.7710843373494671E-3</c:v>
                </c:pt>
                <c:pt idx="237">
                  <c:v>-7.9180000000000725E-3</c:v>
                </c:pt>
                <c:pt idx="238">
                  <c:v>-7.7465139442231164E-3</c:v>
                </c:pt>
                <c:pt idx="239">
                  <c:v>-7.8020833333332347E-3</c:v>
                </c:pt>
                <c:pt idx="240">
                  <c:v>-7.8122529644267767E-3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1B51-4335-814D-53B8B9178B55}"/>
            </c:ext>
          </c:extLst>
        </c:ser>
        <c:ser>
          <c:idx val="50"/>
          <c:order val="50"/>
          <c:tx>
            <c:strRef>
              <c:f>'전류편차_24mA(절대값기준)'!$DN$7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'전류편차_24mA(절대값기준)'!$DN$22:$DN$262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-2.2500000000000714E-3</c:v>
                </c:pt>
                <c:pt idx="2">
                  <c:v>-2.0333333333332725E-3</c:v>
                </c:pt>
                <c:pt idx="3">
                  <c:v>-3.2656250000001395E-3</c:v>
                </c:pt>
                <c:pt idx="4">
                  <c:v>-6.3602941176470066E-3</c:v>
                </c:pt>
                <c:pt idx="5">
                  <c:v>-3.4236111111110934E-3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1.9891304347825489E-3</c:v>
                </c:pt>
                <c:pt idx="11">
                  <c:v>2.4218750000000754E-3</c:v>
                </c:pt>
                <c:pt idx="12">
                  <c:v>2.8199999999999979E-3</c:v>
                </c:pt>
                <c:pt idx="13">
                  <c:v>2.7499999999999747E-3</c:v>
                </c:pt>
                <c:pt idx="14">
                  <c:v>2.6851851851851381E-3</c:v>
                </c:pt>
                <c:pt idx="15">
                  <c:v>3.0312499999998882E-3</c:v>
                </c:pt>
                <c:pt idx="16">
                  <c:v>1.7844827586206904E-3</c:v>
                </c:pt>
                <c:pt idx="17">
                  <c:v>1.3791666666666887E-3</c:v>
                </c:pt>
                <c:pt idx="18">
                  <c:v>1.7338709677418966E-3</c:v>
                </c:pt>
                <c:pt idx="19">
                  <c:v>2.0664062499999043E-3</c:v>
                </c:pt>
                <c:pt idx="20">
                  <c:v>6.5530303030307091E-4</c:v>
                </c:pt>
                <c:pt idx="21">
                  <c:v>-3.6764705882887678E-6</c:v>
                </c:pt>
                <c:pt idx="22">
                  <c:v>1.9750000000000045E-3</c:v>
                </c:pt>
                <c:pt idx="23">
                  <c:v>2.5798611111111694E-3</c:v>
                </c:pt>
                <c:pt idx="24">
                  <c:v>2.5371621621622024E-3</c:v>
                </c:pt>
                <c:pt idx="25">
                  <c:v>2.7960526315789374E-3</c:v>
                </c:pt>
                <c:pt idx="26">
                  <c:v>2.7500000000001044E-3</c:v>
                </c:pt>
                <c:pt idx="27">
                  <c:v>2.9906250000000553E-3</c:v>
                </c:pt>
                <c:pt idx="28">
                  <c:v>2.387195121951196E-3</c:v>
                </c:pt>
                <c:pt idx="29">
                  <c:v>2.8958333333332364E-3</c:v>
                </c:pt>
                <c:pt idx="30">
                  <c:v>3.1162790697674215E-3</c:v>
                </c:pt>
                <c:pt idx="31">
                  <c:v>2.5511363636363869E-3</c:v>
                </c:pt>
                <c:pt idx="32">
                  <c:v>2.5166666666666757E-3</c:v>
                </c:pt>
                <c:pt idx="33">
                  <c:v>2.4836956521740185E-3</c:v>
                </c:pt>
                <c:pt idx="34">
                  <c:v>1.9680851063827998E-3</c:v>
                </c:pt>
                <c:pt idx="35">
                  <c:v>1.2369791666665571E-3</c:v>
                </c:pt>
                <c:pt idx="36">
                  <c:v>7.678571428571773E-4</c:v>
                </c:pt>
                <c:pt idx="37">
                  <c:v>7.7249999999992039E-4</c:v>
                </c:pt>
                <c:pt idx="38">
                  <c:v>7.7696078431373455E-4</c:v>
                </c:pt>
                <c:pt idx="39">
                  <c:v>1.4375000000001192E-3</c:v>
                </c:pt>
                <c:pt idx="40">
                  <c:v>1.4292452830188781E-3</c:v>
                </c:pt>
                <c:pt idx="41">
                  <c:v>1.63194444444442E-3</c:v>
                </c:pt>
                <c:pt idx="42">
                  <c:v>2.0340909090909203E-3</c:v>
                </c:pt>
                <c:pt idx="43">
                  <c:v>2.4218749999998651E-3</c:v>
                </c:pt>
                <c:pt idx="44">
                  <c:v>2.3969298245613488E-3</c:v>
                </c:pt>
                <c:pt idx="45">
                  <c:v>2.3728448275862298E-3</c:v>
                </c:pt>
                <c:pt idx="46">
                  <c:v>2.5423728813559229E-3</c:v>
                </c:pt>
                <c:pt idx="47">
                  <c:v>2.8958333333333566E-3</c:v>
                </c:pt>
                <c:pt idx="48">
                  <c:v>2.6782786885246241E-3</c:v>
                </c:pt>
                <c:pt idx="49">
                  <c:v>2.6512096774192963E-3</c:v>
                </c:pt>
                <c:pt idx="50">
                  <c:v>2.4444444444443971E-3</c:v>
                </c:pt>
                <c:pt idx="51">
                  <c:v>2.0664062499999043E-3</c:v>
                </c:pt>
                <c:pt idx="52">
                  <c:v>1.8749999999999156E-3</c:v>
                </c:pt>
                <c:pt idx="53">
                  <c:v>1.6893939393940191E-3</c:v>
                </c:pt>
                <c:pt idx="54">
                  <c:v>2.0186567164178671E-3</c:v>
                </c:pt>
                <c:pt idx="55">
                  <c:v>2.0036764705882578E-3</c:v>
                </c:pt>
                <c:pt idx="56">
                  <c:v>2.4836956521740185E-3</c:v>
                </c:pt>
                <c:pt idx="57">
                  <c:v>2.6249999999999329E-3</c:v>
                </c:pt>
                <c:pt idx="58">
                  <c:v>2.9225352112675668E-3</c:v>
                </c:pt>
                <c:pt idx="59">
                  <c:v>2.5798611111111694E-3</c:v>
                </c:pt>
                <c:pt idx="60">
                  <c:v>2.7140410958903043E-3</c:v>
                </c:pt>
                <c:pt idx="61">
                  <c:v>2.383445945945935E-3</c:v>
                </c:pt>
                <c:pt idx="62">
                  <c:v>2.5166666666667655E-3</c:v>
                </c:pt>
                <c:pt idx="63">
                  <c:v>2.4967105263158126E-3</c:v>
                </c:pt>
                <c:pt idx="64">
                  <c:v>2.6249999999999984E-3</c:v>
                </c:pt>
                <c:pt idx="65">
                  <c:v>2.3125000000000879E-3</c:v>
                </c:pt>
                <c:pt idx="66">
                  <c:v>2.1518987341771819E-3</c:v>
                </c:pt>
                <c:pt idx="67">
                  <c:v>1.8531250000000542E-3</c:v>
                </c:pt>
                <c:pt idx="68">
                  <c:v>1.2808641975309096E-3</c:v>
                </c:pt>
                <c:pt idx="69">
                  <c:v>1.0000000000000063E-3</c:v>
                </c:pt>
                <c:pt idx="70">
                  <c:v>1.4111445783133285E-3</c:v>
                </c:pt>
                <c:pt idx="71">
                  <c:v>1.4062499999998868E-3</c:v>
                </c:pt>
                <c:pt idx="72">
                  <c:v>1.000000000000044E-3</c:v>
                </c:pt>
                <c:pt idx="73">
                  <c:v>1.2645348837209962E-3</c:v>
                </c:pt>
                <c:pt idx="74">
                  <c:v>1.2614942528735634E-3</c:v>
                </c:pt>
                <c:pt idx="75">
                  <c:v>1.6463068181817686E-3</c:v>
                </c:pt>
                <c:pt idx="76">
                  <c:v>1.6390449438202258E-3</c:v>
                </c:pt>
                <c:pt idx="77">
                  <c:v>1.6319444444443825E-3</c:v>
                </c:pt>
                <c:pt idx="78">
                  <c:v>1.8750000000000711E-3</c:v>
                </c:pt>
                <c:pt idx="79">
                  <c:v>1.7418478260870338E-3</c:v>
                </c:pt>
                <c:pt idx="80">
                  <c:v>2.100806451612933E-3</c:v>
                </c:pt>
                <c:pt idx="81">
                  <c:v>2.0890957446808196E-3</c:v>
                </c:pt>
                <c:pt idx="82">
                  <c:v>1.8381578947368844E-3</c:v>
                </c:pt>
                <c:pt idx="83">
                  <c:v>1.7109375000000486E-3</c:v>
                </c:pt>
                <c:pt idx="84">
                  <c:v>1.4690721649483652E-3</c:v>
                </c:pt>
                <c:pt idx="85">
                  <c:v>1.4642857142857751E-3</c:v>
                </c:pt>
                <c:pt idx="86">
                  <c:v>1.4595959595959627E-3</c:v>
                </c:pt>
                <c:pt idx="87">
                  <c:v>1.6824999999998202E-3</c:v>
                </c:pt>
                <c:pt idx="88">
                  <c:v>1.6757425742573917E-3</c:v>
                </c:pt>
                <c:pt idx="89">
                  <c:v>2.003676470588159E-3</c:v>
                </c:pt>
                <c:pt idx="90">
                  <c:v>1.7730582524271763E-3</c:v>
                </c:pt>
                <c:pt idx="91">
                  <c:v>2.0937500000001441E-3</c:v>
                </c:pt>
                <c:pt idx="92">
                  <c:v>2.0833333333334222E-3</c:v>
                </c:pt>
                <c:pt idx="93">
                  <c:v>2.1804245283018617E-3</c:v>
                </c:pt>
                <c:pt idx="94">
                  <c:v>2.2757009345794913E-3</c:v>
                </c:pt>
                <c:pt idx="95">
                  <c:v>2.2638888888888882E-3</c:v>
                </c:pt>
                <c:pt idx="96">
                  <c:v>2.3566513761468641E-3</c:v>
                </c:pt>
                <c:pt idx="97">
                  <c:v>2.1375000000001376E-3</c:v>
                </c:pt>
                <c:pt idx="98">
                  <c:v>2.1272522522521554E-3</c:v>
                </c:pt>
                <c:pt idx="99">
                  <c:v>2.3203124999999214E-3</c:v>
                </c:pt>
                <c:pt idx="100">
                  <c:v>1.9059734513273499E-3</c:v>
                </c:pt>
                <c:pt idx="101">
                  <c:v>1.8980263157895184E-3</c:v>
                </c:pt>
                <c:pt idx="102">
                  <c:v>1.8902173913043429E-3</c:v>
                </c:pt>
                <c:pt idx="103">
                  <c:v>2.0786637931034602E-3</c:v>
                </c:pt>
                <c:pt idx="104">
                  <c:v>2.0694444444444076E-3</c:v>
                </c:pt>
                <c:pt idx="105">
                  <c:v>2.2531779661016747E-3</c:v>
                </c:pt>
                <c:pt idx="106">
                  <c:v>2.0514705882353325E-3</c:v>
                </c:pt>
                <c:pt idx="107">
                  <c:v>2.2322916666667209E-3</c:v>
                </c:pt>
                <c:pt idx="108">
                  <c:v>2.2221074380165363E-3</c:v>
                </c:pt>
                <c:pt idx="109">
                  <c:v>2.2120901639345529E-3</c:v>
                </c:pt>
                <c:pt idx="110">
                  <c:v>2.1097560975609415E-3</c:v>
                </c:pt>
                <c:pt idx="111">
                  <c:v>2.2842741935483689E-3</c:v>
                </c:pt>
                <c:pt idx="112">
                  <c:v>2.2739999999999371E-3</c:v>
                </c:pt>
                <c:pt idx="113">
                  <c:v>2.1736111111112142E-3</c:v>
                </c:pt>
                <c:pt idx="114">
                  <c:v>2.164370078740215E-3</c:v>
                </c:pt>
                <c:pt idx="115">
                  <c:v>2.155273437499855E-3</c:v>
                </c:pt>
                <c:pt idx="116">
                  <c:v>1.8817829457363929E-3</c:v>
                </c:pt>
                <c:pt idx="117">
                  <c:v>2.0499999999999742E-3</c:v>
                </c:pt>
                <c:pt idx="118">
                  <c:v>2.0419847328243586E-3</c:v>
                </c:pt>
                <c:pt idx="119">
                  <c:v>2.0340909090909511E-3</c:v>
                </c:pt>
                <c:pt idx="120">
                  <c:v>1.8552631578948307E-3</c:v>
                </c:pt>
                <c:pt idx="121">
                  <c:v>2.1035447761193126E-3</c:v>
                </c:pt>
                <c:pt idx="122">
                  <c:v>1.9268518518518135E-3</c:v>
                </c:pt>
                <c:pt idx="123">
                  <c:v>2.0036764705882578E-3</c:v>
                </c:pt>
                <c:pt idx="124">
                  <c:v>1.8302919708029928E-3</c:v>
                </c:pt>
                <c:pt idx="125">
                  <c:v>1.9891304347826955E-3</c:v>
                </c:pt>
                <c:pt idx="126">
                  <c:v>1.982014388489254E-3</c:v>
                </c:pt>
                <c:pt idx="127">
                  <c:v>1.7312499999999952E-3</c:v>
                </c:pt>
                <c:pt idx="128">
                  <c:v>1.5647163120566388E-3</c:v>
                </c:pt>
                <c:pt idx="129">
                  <c:v>1.5607394366197228E-3</c:v>
                </c:pt>
                <c:pt idx="130">
                  <c:v>1.4772727272727361E-3</c:v>
                </c:pt>
                <c:pt idx="131">
                  <c:v>1.3949652777777912E-3</c:v>
                </c:pt>
                <c:pt idx="132">
                  <c:v>1.0784482758620778E-3</c:v>
                </c:pt>
                <c:pt idx="133">
                  <c:v>1.000000000000013E-3</c:v>
                </c:pt>
                <c:pt idx="134">
                  <c:v>9.9999999999997443E-4</c:v>
                </c:pt>
                <c:pt idx="135">
                  <c:v>9.9999999999993649E-4</c:v>
                </c:pt>
                <c:pt idx="136">
                  <c:v>7.7097315436244188E-4</c:v>
                </c:pt>
                <c:pt idx="137">
                  <c:v>6.9666666666669654E-4</c:v>
                </c:pt>
                <c:pt idx="138">
                  <c:v>6.2334437086082725E-4</c:v>
                </c:pt>
                <c:pt idx="139">
                  <c:v>5.5098684210516809E-4</c:v>
                </c:pt>
                <c:pt idx="140">
                  <c:v>3.308823529411687E-4</c:v>
                </c:pt>
                <c:pt idx="141">
                  <c:v>2.6136363636363282E-4</c:v>
                </c:pt>
                <c:pt idx="142">
                  <c:v>2.6612903225815485E-4</c:v>
                </c:pt>
                <c:pt idx="143">
                  <c:v>2.7083333333338677E-4</c:v>
                </c:pt>
                <c:pt idx="144">
                  <c:v>2.0302547770693484E-4</c:v>
                </c:pt>
                <c:pt idx="145">
                  <c:v>1.3607594936702162E-4</c:v>
                </c:pt>
                <c:pt idx="146">
                  <c:v>6.9968553459056978E-5</c:v>
                </c:pt>
                <c:pt idx="147">
                  <c:v>7.5781250000028774E-5</c:v>
                </c:pt>
                <c:pt idx="148">
                  <c:v>-2.0108695652171457E-4</c:v>
                </c:pt>
                <c:pt idx="149">
                  <c:v>1.6975308642097485E-5</c:v>
                </c:pt>
                <c:pt idx="150">
                  <c:v>-4.6779141104293072E-5</c:v>
                </c:pt>
                <c:pt idx="151">
                  <c:v>-4.0396341463447759E-5</c:v>
                </c:pt>
                <c:pt idx="152">
                  <c:v>-1.0303030303033205E-4</c:v>
                </c:pt>
                <c:pt idx="153">
                  <c:v>-1.6490963855424185E-4</c:v>
                </c:pt>
                <c:pt idx="154">
                  <c:v>-2.9416167664668983E-4</c:v>
                </c:pt>
                <c:pt idx="155">
                  <c:v>-1.5104166666675872E-4</c:v>
                </c:pt>
                <c:pt idx="156">
                  <c:v>-3.4615384615385925E-4</c:v>
                </c:pt>
                <c:pt idx="157">
                  <c:v>-4.0514705882353867E-4</c:v>
                </c:pt>
                <c:pt idx="158">
                  <c:v>-3.9692982456144584E-4</c:v>
                </c:pt>
                <c:pt idx="159">
                  <c:v>-3.8880813953484124E-4</c:v>
                </c:pt>
                <c:pt idx="160">
                  <c:v>-3.1502890173401419E-4</c:v>
                </c:pt>
                <c:pt idx="161">
                  <c:v>-3.0747126436787538E-4</c:v>
                </c:pt>
                <c:pt idx="162">
                  <c:v>-3.6500000000005528E-4</c:v>
                </c:pt>
                <c:pt idx="163">
                  <c:v>-2.926136363636445E-4</c:v>
                </c:pt>
                <c:pt idx="164">
                  <c:v>-4.1384180790957336E-4</c:v>
                </c:pt>
                <c:pt idx="165">
                  <c:v>-5.3370786516846933E-4</c:v>
                </c:pt>
                <c:pt idx="166">
                  <c:v>-3.344972067038654E-4</c:v>
                </c:pt>
                <c:pt idx="167">
                  <c:v>-2.0069444444450096E-4</c:v>
                </c:pt>
                <c:pt idx="168">
                  <c:v>-1.9406077348063885E-4</c:v>
                </c:pt>
                <c:pt idx="169">
                  <c:v>-1.8750000000000711E-4</c:v>
                </c:pt>
                <c:pt idx="170">
                  <c:v>-2.4316939890710738E-4</c:v>
                </c:pt>
                <c:pt idx="171">
                  <c:v>-2.9823369565217396E-4</c:v>
                </c:pt>
                <c:pt idx="172">
                  <c:v>-2.9121621621613767E-4</c:v>
                </c:pt>
                <c:pt idx="173">
                  <c:v>-2.8427419354823077E-4</c:v>
                </c:pt>
                <c:pt idx="174">
                  <c:v>-3.3823529411748811E-4</c:v>
                </c:pt>
                <c:pt idx="175">
                  <c:v>-1.4960106382997477E-4</c:v>
                </c:pt>
                <c:pt idx="176">
                  <c:v>-2.0370370370388684E-4</c:v>
                </c:pt>
                <c:pt idx="177">
                  <c:v>-1.973684210527372E-4</c:v>
                </c:pt>
                <c:pt idx="178">
                  <c:v>-2.5065445026188182E-4</c:v>
                </c:pt>
                <c:pt idx="179">
                  <c:v>-2.4414062500002542E-4</c:v>
                </c:pt>
                <c:pt idx="180">
                  <c:v>-2.9663212435235357E-4</c:v>
                </c:pt>
                <c:pt idx="181">
                  <c:v>-2.899484536081943E-4</c:v>
                </c:pt>
                <c:pt idx="182">
                  <c:v>-2.8333333333320591E-4</c:v>
                </c:pt>
                <c:pt idx="183">
                  <c:v>-2.1874999999993427E-4</c:v>
                </c:pt>
                <c:pt idx="184">
                  <c:v>-9.708121827403646E-5</c:v>
                </c:pt>
                <c:pt idx="185">
                  <c:v>-9.1540404040255755E-5</c:v>
                </c:pt>
                <c:pt idx="186">
                  <c:v>-8.6055276381891984E-5</c:v>
                </c:pt>
                <c:pt idx="187">
                  <c:v>-1.3750000000018134E-4</c:v>
                </c:pt>
                <c:pt idx="188">
                  <c:v>-3.0161691542300009E-4</c:v>
                </c:pt>
                <c:pt idx="189">
                  <c:v>-2.38861386138587E-4</c:v>
                </c:pt>
                <c:pt idx="190">
                  <c:v>-2.3275862068975587E-4</c:v>
                </c:pt>
                <c:pt idx="191">
                  <c:v>-1.7095588235290193E-4</c:v>
                </c:pt>
                <c:pt idx="192">
                  <c:v>-2.2073170731703098E-4</c:v>
                </c:pt>
                <c:pt idx="193">
                  <c:v>-1.0436893203878358E-4</c:v>
                </c:pt>
                <c:pt idx="194">
                  <c:v>-2.6388888888877378E-4</c:v>
                </c:pt>
                <c:pt idx="195">
                  <c:v>-2.5781250000000977E-4</c:v>
                </c:pt>
                <c:pt idx="196">
                  <c:v>-4.6949760765551524E-4</c:v>
                </c:pt>
                <c:pt idx="197">
                  <c:v>-5.16666666666484E-4</c:v>
                </c:pt>
                <c:pt idx="198">
                  <c:v>-3.4774881516600289E-4</c:v>
                </c:pt>
                <c:pt idx="199">
                  <c:v>-2.3408018867936167E-4</c:v>
                </c:pt>
                <c:pt idx="200">
                  <c:v>-1.7488262910796352E-4</c:v>
                </c:pt>
                <c:pt idx="201">
                  <c:v>-2.2254672897194198E-4</c:v>
                </c:pt>
                <c:pt idx="202">
                  <c:v>-2.1686046511637885E-4</c:v>
                </c:pt>
                <c:pt idx="203">
                  <c:v>-2.6388888888879817E-4</c:v>
                </c:pt>
                <c:pt idx="204">
                  <c:v>-4.1532258064519613E-4</c:v>
                </c:pt>
                <c:pt idx="205">
                  <c:v>-4.0883027522932577E-4</c:v>
                </c:pt>
                <c:pt idx="206">
                  <c:v>-4.5433789954334419E-4</c:v>
                </c:pt>
                <c:pt idx="207">
                  <c:v>-4.4772727272717199E-4</c:v>
                </c:pt>
                <c:pt idx="208">
                  <c:v>-4.9264705882342619E-4</c:v>
                </c:pt>
                <c:pt idx="209">
                  <c:v>-5.3716216216223849E-4</c:v>
                </c:pt>
                <c:pt idx="210">
                  <c:v>-5.812780269059027E-4</c:v>
                </c:pt>
                <c:pt idx="211">
                  <c:v>-5.7421875000000788E-4</c:v>
                </c:pt>
                <c:pt idx="212">
                  <c:v>-6.6833333333340007E-4</c:v>
                </c:pt>
                <c:pt idx="213">
                  <c:v>-6.6095132743363046E-4</c:v>
                </c:pt>
                <c:pt idx="214">
                  <c:v>-6.5363436123341823E-4</c:v>
                </c:pt>
                <c:pt idx="215">
                  <c:v>-4.9671052631583557E-4</c:v>
                </c:pt>
                <c:pt idx="216">
                  <c:v>-5.3984716157209553E-4</c:v>
                </c:pt>
                <c:pt idx="217">
                  <c:v>-4.8369565217383227E-4</c:v>
                </c:pt>
                <c:pt idx="218">
                  <c:v>-5.2651515151506836E-4</c:v>
                </c:pt>
                <c:pt idx="219">
                  <c:v>-5.1993534482744071E-4</c:v>
                </c:pt>
                <c:pt idx="220">
                  <c:v>-6.598712446351648E-4</c:v>
                </c:pt>
                <c:pt idx="221">
                  <c:v>-6.0416666666668947E-4</c:v>
                </c:pt>
                <c:pt idx="222">
                  <c:v>-5.9734042553204777E-4</c:v>
                </c:pt>
                <c:pt idx="223">
                  <c:v>-7.3516949152549981E-4</c:v>
                </c:pt>
                <c:pt idx="224">
                  <c:v>-7.7584388185661314E-4</c:v>
                </c:pt>
                <c:pt idx="225">
                  <c:v>-7.6838235294118817E-4</c:v>
                </c:pt>
                <c:pt idx="226">
                  <c:v>-8.0857740585774953E-4</c:v>
                </c:pt>
                <c:pt idx="227">
                  <c:v>-8.0104166666661498E-4</c:v>
                </c:pt>
                <c:pt idx="228">
                  <c:v>-8.8796680497925666E-4</c:v>
                </c:pt>
                <c:pt idx="229">
                  <c:v>-8.8016528925614185E-4</c:v>
                </c:pt>
                <c:pt idx="230">
                  <c:v>-8.7242798353897851E-4</c:v>
                </c:pt>
                <c:pt idx="231">
                  <c:v>-8.6475409836064615E-4</c:v>
                </c:pt>
                <c:pt idx="232">
                  <c:v>-7.6428571428586165E-4</c:v>
                </c:pt>
                <c:pt idx="233">
                  <c:v>-8.495934959349957E-4</c:v>
                </c:pt>
                <c:pt idx="234">
                  <c:v>-8.8815789473687572E-4</c:v>
                </c:pt>
                <c:pt idx="235">
                  <c:v>-8.8054435483868451E-4</c:v>
                </c:pt>
                <c:pt idx="236">
                  <c:v>-8.2730923694781416E-4</c:v>
                </c:pt>
                <c:pt idx="237">
                  <c:v>-9.5649999999996996E-4</c:v>
                </c:pt>
                <c:pt idx="238">
                  <c:v>-9.9402390438243756E-4</c:v>
                </c:pt>
                <c:pt idx="239">
                  <c:v>-1.0312499999999651E-3</c:v>
                </c:pt>
                <c:pt idx="240">
                  <c:v>-1.1131422924901362E-3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1B51-4335-814D-53B8B9178B55}"/>
            </c:ext>
          </c:extLst>
        </c:ser>
        <c:ser>
          <c:idx val="51"/>
          <c:order val="51"/>
          <c:tx>
            <c:strRef>
              <c:f>'전류편차_24mA(절대값기준)'!$DO$7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'전류편차_24mA(절대값기준)'!$DO$22:$DO$262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1.8125000000000224E-3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3.3088235294123473E-4</c:v>
                </c:pt>
                <c:pt idx="5">
                  <c:v>3.6805555555557669E-4</c:v>
                </c:pt>
                <c:pt idx="6">
                  <c:v>-1.9736842105271064E-4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-3.4090909090945711E-5</c:v>
                </c:pt>
                <c:pt idx="10">
                  <c:v>-9.7826086956516998E-4</c:v>
                </c:pt>
                <c:pt idx="11">
                  <c:v>-8.9583333333331328E-4</c:v>
                </c:pt>
                <c:pt idx="12">
                  <c:v>-1.2750000000001571E-3</c:v>
                </c:pt>
                <c:pt idx="13">
                  <c:v>-7.5000000000002842E-4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-1.7672413793099205E-4</c:v>
                </c:pt>
                <c:pt idx="17">
                  <c:v>-1.374999999999793E-4</c:v>
                </c:pt>
                <c:pt idx="18">
                  <c:v>-4.6774193548383019E-4</c:v>
                </c:pt>
                <c:pt idx="19">
                  <c:v>-4.2187500000013736E-4</c:v>
                </c:pt>
                <c:pt idx="20">
                  <c:v>-7.2348484848480915E-4</c:v>
                </c:pt>
                <c:pt idx="21">
                  <c:v>-1.3419117647059369E-3</c:v>
                </c:pt>
                <c:pt idx="22">
                  <c:v>-9.5000000000010625E-4</c:v>
                </c:pt>
                <c:pt idx="23">
                  <c:v>-8.9583333333331338E-4</c:v>
                </c:pt>
                <c:pt idx="24">
                  <c:v>-8.4459459459459161E-4</c:v>
                </c:pt>
                <c:pt idx="25">
                  <c:v>-7.9605263157896046E-4</c:v>
                </c:pt>
                <c:pt idx="26">
                  <c:v>-7.4999999999989897E-4</c:v>
                </c:pt>
                <c:pt idx="27">
                  <c:v>-1.2749999999999804E-3</c:v>
                </c:pt>
                <c:pt idx="28">
                  <c:v>-1.7743902439024968E-3</c:v>
                </c:pt>
                <c:pt idx="29">
                  <c:v>-1.166666666666677E-3</c:v>
                </c:pt>
                <c:pt idx="30">
                  <c:v>-5.8720930232554643E-4</c:v>
                </c:pt>
                <c:pt idx="31">
                  <c:v>-2.926136363636445E-4</c:v>
                </c:pt>
                <c:pt idx="32">
                  <c:v>-2.6388888888891039E-4</c:v>
                </c:pt>
                <c:pt idx="33">
                  <c:v>-2.3641304347818537E-4</c:v>
                </c:pt>
                <c:pt idx="34">
                  <c:v>3.1914893616840593E-5</c:v>
                </c:pt>
                <c:pt idx="35">
                  <c:v>5.2083333333248952E-5</c:v>
                </c:pt>
                <c:pt idx="36">
                  <c:v>-1.6071428571414907E-4</c:v>
                </c:pt>
                <c:pt idx="37">
                  <c:v>-1.3750000000018134E-4</c:v>
                </c:pt>
                <c:pt idx="38">
                  <c:v>-5.612745098039631E-4</c:v>
                </c:pt>
                <c:pt idx="39">
                  <c:v>-7.5000000000002842E-4</c:v>
                </c:pt>
                <c:pt idx="40">
                  <c:v>-7.1698113207560631E-4</c:v>
                </c:pt>
                <c:pt idx="41">
                  <c:v>-8.9583333333326655E-4</c:v>
                </c:pt>
                <c:pt idx="42">
                  <c:v>-8.6136363636349009E-4</c:v>
                </c:pt>
                <c:pt idx="43">
                  <c:v>-1.0312500000000252E-3</c:v>
                </c:pt>
                <c:pt idx="44">
                  <c:v>-1.1951754385965047E-3</c:v>
                </c:pt>
                <c:pt idx="45">
                  <c:v>-5.6896551724129369E-4</c:v>
                </c:pt>
                <c:pt idx="46">
                  <c:v>-5.4237288135594391E-4</c:v>
                </c:pt>
                <c:pt idx="47">
                  <c:v>-5.1666666666660423E-4</c:v>
                </c:pt>
                <c:pt idx="48">
                  <c:v>-4.9180327868839037E-4</c:v>
                </c:pt>
                <c:pt idx="49">
                  <c:v>-6.5120967741937529E-4</c:v>
                </c:pt>
                <c:pt idx="50">
                  <c:v>-2.6388888888887835E-4</c:v>
                </c:pt>
                <c:pt idx="51">
                  <c:v>-4.2187500000013736E-4</c:v>
                </c:pt>
                <c:pt idx="52">
                  <c:v>-4.0000000000006697E-4</c:v>
                </c:pt>
                <c:pt idx="53">
                  <c:v>-5.5113636363626674E-4</c:v>
                </c:pt>
                <c:pt idx="54">
                  <c:v>-8.6753731343293828E-4</c:v>
                </c:pt>
                <c:pt idx="55">
                  <c:v>-8.4007352941180031E-4</c:v>
                </c:pt>
                <c:pt idx="56">
                  <c:v>-9.7826086956524327E-4</c:v>
                </c:pt>
                <c:pt idx="57">
                  <c:v>-1.2750000000000703E-3</c:v>
                </c:pt>
                <c:pt idx="58">
                  <c:v>-1.2429577464788803E-3</c:v>
                </c:pt>
                <c:pt idx="59">
                  <c:v>-1.6857638888888521E-3</c:v>
                </c:pt>
                <c:pt idx="60">
                  <c:v>-1.8047945205480385E-3</c:v>
                </c:pt>
                <c:pt idx="61">
                  <c:v>-1.4594594594593887E-3</c:v>
                </c:pt>
                <c:pt idx="62">
                  <c:v>-1.4266666666666724E-3</c:v>
                </c:pt>
                <c:pt idx="63">
                  <c:v>-1.3947368421053433E-3</c:v>
                </c:pt>
                <c:pt idx="64">
                  <c:v>-1.363636363636385E-3</c:v>
                </c:pt>
                <c:pt idx="65">
                  <c:v>-1.3333333333332975E-3</c:v>
                </c:pt>
                <c:pt idx="66">
                  <c:v>-1.4477848101266666E-3</c:v>
                </c:pt>
                <c:pt idx="67">
                  <c:v>-1.559374999999949E-3</c:v>
                </c:pt>
                <c:pt idx="68">
                  <c:v>-1.5277777777776727E-3</c:v>
                </c:pt>
                <c:pt idx="69">
                  <c:v>-1.6356707317073285E-3</c:v>
                </c:pt>
                <c:pt idx="70">
                  <c:v>-1.7409638554216904E-3</c:v>
                </c:pt>
                <c:pt idx="71">
                  <c:v>-2.1145833333334196E-3</c:v>
                </c:pt>
                <c:pt idx="72">
                  <c:v>-2.211764705882312E-3</c:v>
                </c:pt>
                <c:pt idx="73">
                  <c:v>-2.5712209302324808E-3</c:v>
                </c:pt>
                <c:pt idx="74">
                  <c:v>-2.6609195402299171E-3</c:v>
                </c:pt>
                <c:pt idx="75">
                  <c:v>-2.7485795454545701E-3</c:v>
                </c:pt>
                <c:pt idx="76">
                  <c:v>-2.7064606741572781E-3</c:v>
                </c:pt>
                <c:pt idx="77">
                  <c:v>-2.4125000000000656E-3</c:v>
                </c:pt>
                <c:pt idx="78">
                  <c:v>-2.375000000000016E-3</c:v>
                </c:pt>
                <c:pt idx="79">
                  <c:v>-2.338315217391162E-3</c:v>
                </c:pt>
                <c:pt idx="80">
                  <c:v>-2.3024193548386298E-3</c:v>
                </c:pt>
                <c:pt idx="81">
                  <c:v>-2.3882978723405546E-3</c:v>
                </c:pt>
                <c:pt idx="82">
                  <c:v>-2.1131578947369495E-3</c:v>
                </c:pt>
                <c:pt idx="83">
                  <c:v>-2.3177083333333673E-3</c:v>
                </c:pt>
                <c:pt idx="84">
                  <c:v>-2.4007731958763157E-3</c:v>
                </c:pt>
                <c:pt idx="85">
                  <c:v>-2.3660714285713069E-3</c:v>
                </c:pt>
                <c:pt idx="86">
                  <c:v>-2.44696969696957E-3</c:v>
                </c:pt>
                <c:pt idx="87">
                  <c:v>-2.5262500000000697E-3</c:v>
                </c:pt>
                <c:pt idx="88">
                  <c:v>-2.6039603960396666E-3</c:v>
                </c:pt>
                <c:pt idx="89">
                  <c:v>-2.903186274509736E-3</c:v>
                </c:pt>
                <c:pt idx="90">
                  <c:v>-2.9757281553397324E-3</c:v>
                </c:pt>
                <c:pt idx="91">
                  <c:v>-3.0468749999999212E-3</c:v>
                </c:pt>
                <c:pt idx="92">
                  <c:v>-3.0083333333333095E-3</c:v>
                </c:pt>
                <c:pt idx="93">
                  <c:v>-2.7558962264152428E-3</c:v>
                </c:pt>
                <c:pt idx="94">
                  <c:v>-2.6144859813084812E-3</c:v>
                </c:pt>
                <c:pt idx="95">
                  <c:v>-2.3703703703704219E-3</c:v>
                </c:pt>
                <c:pt idx="96">
                  <c:v>-2.3394495412843211E-3</c:v>
                </c:pt>
                <c:pt idx="97">
                  <c:v>-2.2056818181818453E-3</c:v>
                </c:pt>
                <c:pt idx="98">
                  <c:v>-2.2792792792793001E-3</c:v>
                </c:pt>
                <c:pt idx="99">
                  <c:v>-2.2500000000000714E-3</c:v>
                </c:pt>
                <c:pt idx="100">
                  <c:v>-2.2212389380530393E-3</c:v>
                </c:pt>
                <c:pt idx="101">
                  <c:v>-1.9934210526315046E-3</c:v>
                </c:pt>
                <c:pt idx="102">
                  <c:v>-1.9673913043478015E-3</c:v>
                </c:pt>
                <c:pt idx="103">
                  <c:v>-2.0398706896551425E-3</c:v>
                </c:pt>
                <c:pt idx="104">
                  <c:v>-2.1111111111112484E-3</c:v>
                </c:pt>
                <c:pt idx="105">
                  <c:v>-2.1811440677965699E-3</c:v>
                </c:pt>
                <c:pt idx="106">
                  <c:v>-2.3455882352941891E-3</c:v>
                </c:pt>
                <c:pt idx="107">
                  <c:v>-2.5072916666666798E-3</c:v>
                </c:pt>
                <c:pt idx="108">
                  <c:v>-2.4783057851238597E-3</c:v>
                </c:pt>
                <c:pt idx="109">
                  <c:v>-2.1700819672130444E-3</c:v>
                </c:pt>
                <c:pt idx="110">
                  <c:v>-2.144308943089571E-3</c:v>
                </c:pt>
                <c:pt idx="111">
                  <c:v>-1.9354838709677025E-3</c:v>
                </c:pt>
                <c:pt idx="112">
                  <c:v>-1.8210000000000565E-3</c:v>
                </c:pt>
                <c:pt idx="113">
                  <c:v>-1.7986111111110519E-3</c:v>
                </c:pt>
                <c:pt idx="114">
                  <c:v>-1.7765748031495921E-3</c:v>
                </c:pt>
                <c:pt idx="115">
                  <c:v>-1.8437500000001385E-3</c:v>
                </c:pt>
                <c:pt idx="116">
                  <c:v>-1.6453488372094249E-3</c:v>
                </c:pt>
                <c:pt idx="117">
                  <c:v>-1.6250000000000097E-3</c:v>
                </c:pt>
                <c:pt idx="118">
                  <c:v>-1.6049618320611216E-3</c:v>
                </c:pt>
                <c:pt idx="119">
                  <c:v>-1.5852272727272152E-3</c:v>
                </c:pt>
                <c:pt idx="120">
                  <c:v>-1.6513157894736223E-3</c:v>
                </c:pt>
                <c:pt idx="121">
                  <c:v>-1.7164179104478454E-3</c:v>
                </c:pt>
                <c:pt idx="122">
                  <c:v>-1.7805555555556346E-3</c:v>
                </c:pt>
                <c:pt idx="123">
                  <c:v>-2.0110294117646867E-3</c:v>
                </c:pt>
                <c:pt idx="124">
                  <c:v>-1.9890510948905333E-3</c:v>
                </c:pt>
                <c:pt idx="125">
                  <c:v>-1.9673913043477429E-3</c:v>
                </c:pt>
                <c:pt idx="126">
                  <c:v>-1.782374100719328E-3</c:v>
                </c:pt>
                <c:pt idx="127">
                  <c:v>-1.8437500000000439E-3</c:v>
                </c:pt>
                <c:pt idx="128">
                  <c:v>-1.8235815602837718E-3</c:v>
                </c:pt>
                <c:pt idx="129">
                  <c:v>-1.8838028169013449E-3</c:v>
                </c:pt>
                <c:pt idx="130">
                  <c:v>-1.8636363636363401E-3</c:v>
                </c:pt>
                <c:pt idx="131">
                  <c:v>-1.9227430555555278E-3</c:v>
                </c:pt>
                <c:pt idx="132">
                  <c:v>-1.9025862068964238E-3</c:v>
                </c:pt>
                <c:pt idx="133">
                  <c:v>-2.1164383561644426E-3</c:v>
                </c:pt>
                <c:pt idx="134">
                  <c:v>-2.0952380952380546E-3</c:v>
                </c:pt>
                <c:pt idx="135">
                  <c:v>-2.1511824324323878E-3</c:v>
                </c:pt>
                <c:pt idx="136">
                  <c:v>-2.2063758389261261E-3</c:v>
                </c:pt>
                <c:pt idx="137">
                  <c:v>-2.260833333333281E-3</c:v>
                </c:pt>
                <c:pt idx="138">
                  <c:v>-2.4652317880794641E-3</c:v>
                </c:pt>
                <c:pt idx="139">
                  <c:v>-2.7417763157894719E-3</c:v>
                </c:pt>
                <c:pt idx="140">
                  <c:v>-2.7916666666666606E-3</c:v>
                </c:pt>
                <c:pt idx="141">
                  <c:v>-2.7670454545454855E-3</c:v>
                </c:pt>
                <c:pt idx="142">
                  <c:v>-2.6693548387096552E-3</c:v>
                </c:pt>
                <c:pt idx="143">
                  <c:v>-2.645833333333218E-3</c:v>
                </c:pt>
                <c:pt idx="144">
                  <c:v>-2.6226114649682028E-3</c:v>
                </c:pt>
                <c:pt idx="145">
                  <c:v>-2.5276898734177189E-3</c:v>
                </c:pt>
                <c:pt idx="146">
                  <c:v>-2.4339622641508891E-3</c:v>
                </c:pt>
                <c:pt idx="147">
                  <c:v>-2.5546875000000287E-3</c:v>
                </c:pt>
                <c:pt idx="148">
                  <c:v>-2.461956521739108E-3</c:v>
                </c:pt>
                <c:pt idx="149">
                  <c:v>-2.5810185185184535E-3</c:v>
                </c:pt>
                <c:pt idx="150">
                  <c:v>-2.4892638036809901E-3</c:v>
                </c:pt>
                <c:pt idx="151">
                  <c:v>-2.4679878048780917E-3</c:v>
                </c:pt>
                <c:pt idx="152">
                  <c:v>-2.5848484848484854E-3</c:v>
                </c:pt>
                <c:pt idx="153">
                  <c:v>-2.6317771084337317E-3</c:v>
                </c:pt>
                <c:pt idx="154">
                  <c:v>-2.6100299401196703E-3</c:v>
                </c:pt>
                <c:pt idx="155">
                  <c:v>-2.7239583333334427E-3</c:v>
                </c:pt>
                <c:pt idx="156">
                  <c:v>-2.9038461538461839E-3</c:v>
                </c:pt>
                <c:pt idx="157">
                  <c:v>-2.7470588235294306E-3</c:v>
                </c:pt>
                <c:pt idx="158">
                  <c:v>-2.7251461988303432E-3</c:v>
                </c:pt>
                <c:pt idx="159">
                  <c:v>-2.7034883720929901E-3</c:v>
                </c:pt>
                <c:pt idx="160">
                  <c:v>-2.7478323699421602E-3</c:v>
                </c:pt>
                <c:pt idx="161">
                  <c:v>-2.7262931034482719E-3</c:v>
                </c:pt>
                <c:pt idx="162">
                  <c:v>-2.7050000000000286E-3</c:v>
                </c:pt>
                <c:pt idx="163">
                  <c:v>-2.6193181818181632E-3</c:v>
                </c:pt>
                <c:pt idx="164">
                  <c:v>-2.598870056497189E-3</c:v>
                </c:pt>
                <c:pt idx="165">
                  <c:v>-2.7064606741572781E-3</c:v>
                </c:pt>
                <c:pt idx="166">
                  <c:v>-2.749301675977625E-3</c:v>
                </c:pt>
                <c:pt idx="167">
                  <c:v>-2.7284722222222246E-3</c:v>
                </c:pt>
                <c:pt idx="168">
                  <c:v>-2.7707182320441978E-3</c:v>
                </c:pt>
                <c:pt idx="169">
                  <c:v>-2.8749999999999609E-3</c:v>
                </c:pt>
                <c:pt idx="170">
                  <c:v>-2.7916666666666931E-3</c:v>
                </c:pt>
                <c:pt idx="171">
                  <c:v>-3.018342391304378E-3</c:v>
                </c:pt>
                <c:pt idx="172">
                  <c:v>-3.0581081081081343E-3</c:v>
                </c:pt>
                <c:pt idx="173">
                  <c:v>-3.0362903225805934E-3</c:v>
                </c:pt>
                <c:pt idx="174">
                  <c:v>-3.0755347593582338E-3</c:v>
                </c:pt>
                <c:pt idx="175">
                  <c:v>-3.0538563829788055E-3</c:v>
                </c:pt>
                <c:pt idx="176">
                  <c:v>-3.0324074074074125E-3</c:v>
                </c:pt>
                <c:pt idx="177">
                  <c:v>-3.0710526315789492E-3</c:v>
                </c:pt>
                <c:pt idx="178">
                  <c:v>-3.049738219895425E-3</c:v>
                </c:pt>
                <c:pt idx="179">
                  <c:v>-3.0878906249999227E-3</c:v>
                </c:pt>
                <c:pt idx="180">
                  <c:v>-2.948834196891105E-3</c:v>
                </c:pt>
                <c:pt idx="181">
                  <c:v>-2.9871134020617658E-3</c:v>
                </c:pt>
                <c:pt idx="182">
                  <c:v>-2.9666666666667103E-3</c:v>
                </c:pt>
                <c:pt idx="183">
                  <c:v>-3.0044642857143256E-3</c:v>
                </c:pt>
                <c:pt idx="184">
                  <c:v>-3.157360406091343E-3</c:v>
                </c:pt>
                <c:pt idx="185">
                  <c:v>-3.1363636363635357E-3</c:v>
                </c:pt>
                <c:pt idx="186">
                  <c:v>-3.1727386934672333E-3</c:v>
                </c:pt>
                <c:pt idx="187">
                  <c:v>-3.2087500000000952E-3</c:v>
                </c:pt>
                <c:pt idx="188">
                  <c:v>-3.2444029850747188E-3</c:v>
                </c:pt>
                <c:pt idx="189">
                  <c:v>-3.2233910891089302E-3</c:v>
                </c:pt>
                <c:pt idx="190">
                  <c:v>-3.2586206896551887E-3</c:v>
                </c:pt>
                <c:pt idx="191">
                  <c:v>-3.2377450980391608E-3</c:v>
                </c:pt>
                <c:pt idx="192">
                  <c:v>-3.3835365853659314E-3</c:v>
                </c:pt>
                <c:pt idx="193">
                  <c:v>-3.3622572815534047E-3</c:v>
                </c:pt>
                <c:pt idx="194">
                  <c:v>-3.3961352657004866E-3</c:v>
                </c:pt>
                <c:pt idx="195">
                  <c:v>-3.2656249999999942E-3</c:v>
                </c:pt>
                <c:pt idx="196">
                  <c:v>-3.3540669856457978E-3</c:v>
                </c:pt>
                <c:pt idx="197">
                  <c:v>-3.3874999999998624E-3</c:v>
                </c:pt>
                <c:pt idx="198">
                  <c:v>-3.3667061611376173E-3</c:v>
                </c:pt>
                <c:pt idx="199">
                  <c:v>-3.399764150943378E-3</c:v>
                </c:pt>
                <c:pt idx="200">
                  <c:v>-3.432511737089181E-3</c:v>
                </c:pt>
                <c:pt idx="201">
                  <c:v>-3.4117990654206607E-3</c:v>
                </c:pt>
                <c:pt idx="202">
                  <c:v>-3.4970930232557872E-3</c:v>
                </c:pt>
                <c:pt idx="203">
                  <c:v>-3.6342592592591713E-3</c:v>
                </c:pt>
                <c:pt idx="204">
                  <c:v>-3.6129032258064835E-3</c:v>
                </c:pt>
                <c:pt idx="205">
                  <c:v>-3.5917431192660203E-3</c:v>
                </c:pt>
                <c:pt idx="206">
                  <c:v>-3.6227168949771313E-3</c:v>
                </c:pt>
                <c:pt idx="207">
                  <c:v>-3.6534090909090505E-3</c:v>
                </c:pt>
                <c:pt idx="208">
                  <c:v>-3.6323529411763649E-3</c:v>
                </c:pt>
                <c:pt idx="209">
                  <c:v>-3.611486486486497E-3</c:v>
                </c:pt>
                <c:pt idx="210">
                  <c:v>-3.6418161434977653E-3</c:v>
                </c:pt>
                <c:pt idx="211">
                  <c:v>-3.671875000000005E-3</c:v>
                </c:pt>
                <c:pt idx="212">
                  <c:v>-3.5499999999999963E-3</c:v>
                </c:pt>
                <c:pt idx="213">
                  <c:v>-3.529867256637279E-3</c:v>
                </c:pt>
                <c:pt idx="214">
                  <c:v>-3.5600220264316476E-3</c:v>
                </c:pt>
                <c:pt idx="215">
                  <c:v>-3.5400219298246049E-3</c:v>
                </c:pt>
                <c:pt idx="216">
                  <c:v>-3.5201965065501978E-3</c:v>
                </c:pt>
                <c:pt idx="217">
                  <c:v>-3.5499999999999768E-3</c:v>
                </c:pt>
                <c:pt idx="218">
                  <c:v>-3.5303030303029444E-3</c:v>
                </c:pt>
                <c:pt idx="219">
                  <c:v>-3.6578663793102022E-3</c:v>
                </c:pt>
                <c:pt idx="220">
                  <c:v>-3.7355150214591426E-3</c:v>
                </c:pt>
                <c:pt idx="221">
                  <c:v>-3.5694444444444645E-3</c:v>
                </c:pt>
                <c:pt idx="222">
                  <c:v>-3.5500000000001299E-3</c:v>
                </c:pt>
                <c:pt idx="223">
                  <c:v>-3.5307203389831187E-3</c:v>
                </c:pt>
                <c:pt idx="224">
                  <c:v>-3.5595991561182083E-3</c:v>
                </c:pt>
                <c:pt idx="225">
                  <c:v>-3.5404411764705917E-3</c:v>
                </c:pt>
                <c:pt idx="226">
                  <c:v>-3.5690376569037664E-3</c:v>
                </c:pt>
                <c:pt idx="227">
                  <c:v>-3.5499999999999404E-3</c:v>
                </c:pt>
                <c:pt idx="228">
                  <c:v>-3.5311203319502555E-3</c:v>
                </c:pt>
                <c:pt idx="229">
                  <c:v>-3.5594008264461592E-3</c:v>
                </c:pt>
                <c:pt idx="230">
                  <c:v>-3.4938271604937551E-3</c:v>
                </c:pt>
                <c:pt idx="231">
                  <c:v>-3.522028688524516E-3</c:v>
                </c:pt>
                <c:pt idx="232">
                  <c:v>-3.5035714285714596E-3</c:v>
                </c:pt>
                <c:pt idx="233">
                  <c:v>-3.5315040650406786E-3</c:v>
                </c:pt>
                <c:pt idx="234">
                  <c:v>-3.5131578947368114E-3</c:v>
                </c:pt>
                <c:pt idx="235">
                  <c:v>-3.5866935483871197E-3</c:v>
                </c:pt>
                <c:pt idx="236">
                  <c:v>-3.5682730923694422E-3</c:v>
                </c:pt>
                <c:pt idx="237">
                  <c:v>-3.5500000000000683E-3</c:v>
                </c:pt>
                <c:pt idx="238">
                  <c:v>-3.4412350597610164E-3</c:v>
                </c:pt>
                <c:pt idx="239">
                  <c:v>-3.4236111111111134E-3</c:v>
                </c:pt>
                <c:pt idx="240">
                  <c:v>-3.4510869565217389E-3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1B51-4335-814D-53B8B9178B55}"/>
            </c:ext>
          </c:extLst>
        </c:ser>
        <c:ser>
          <c:idx val="52"/>
          <c:order val="52"/>
          <c:tx>
            <c:strRef>
              <c:f>'전류편차_24mA(절대값기준)'!$DP$7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'전류편차_24mA(절대값기준)'!$DP$22:$DP$262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-6.2500000000006994E-4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3.3088235294123473E-4</c:v>
                </c:pt>
                <c:pt idx="5">
                  <c:v>3.6805555555557669E-4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1.5170454545454766E-3</c:v>
                </c:pt>
                <c:pt idx="10">
                  <c:v>1.9891304347825489E-3</c:v>
                </c:pt>
                <c:pt idx="11">
                  <c:v>2.8958333333333566E-3</c:v>
                </c:pt>
                <c:pt idx="12">
                  <c:v>3.2749999999999477E-3</c:v>
                </c:pt>
                <c:pt idx="13">
                  <c:v>3.6250000000000726E-3</c:v>
                </c:pt>
                <c:pt idx="14">
                  <c:v>3.527777777777825E-3</c:v>
                </c:pt>
                <c:pt idx="15">
                  <c:v>3.0312499999998882E-3</c:v>
                </c:pt>
                <c:pt idx="16">
                  <c:v>2.9612068965517695E-3</c:v>
                </c:pt>
                <c:pt idx="17">
                  <c:v>3.2749999999999815E-3</c:v>
                </c:pt>
                <c:pt idx="18">
                  <c:v>3.2016129032257689E-3</c:v>
                </c:pt>
                <c:pt idx="19">
                  <c:v>3.8437499999998659E-3</c:v>
                </c:pt>
                <c:pt idx="20">
                  <c:v>3.412878787878831E-3</c:v>
                </c:pt>
                <c:pt idx="21">
                  <c:v>3.3419117647059062E-3</c:v>
                </c:pt>
                <c:pt idx="22">
                  <c:v>2.9499999999998971E-3</c:v>
                </c:pt>
                <c:pt idx="23">
                  <c:v>2.5798611111111694E-3</c:v>
                </c:pt>
                <c:pt idx="24">
                  <c:v>1.9222972972972687E-3</c:v>
                </c:pt>
                <c:pt idx="25">
                  <c:v>2.7960526315789374E-3</c:v>
                </c:pt>
                <c:pt idx="26">
                  <c:v>3.3333333333333734E-3</c:v>
                </c:pt>
                <c:pt idx="27">
                  <c:v>3.275000000000024E-3</c:v>
                </c:pt>
                <c:pt idx="28">
                  <c:v>3.4969512195121726E-3</c:v>
                </c:pt>
                <c:pt idx="29">
                  <c:v>3.7083333333332671E-3</c:v>
                </c:pt>
                <c:pt idx="30">
                  <c:v>3.645348837209341E-3</c:v>
                </c:pt>
                <c:pt idx="31">
                  <c:v>3.5852272727272968E-3</c:v>
                </c:pt>
                <c:pt idx="32">
                  <c:v>3.2749999999999255E-3</c:v>
                </c:pt>
                <c:pt idx="33">
                  <c:v>2.9782608695652683E-3</c:v>
                </c:pt>
                <c:pt idx="34">
                  <c:v>2.9361702127658866E-3</c:v>
                </c:pt>
                <c:pt idx="35">
                  <c:v>2.8958333333333566E-3</c:v>
                </c:pt>
                <c:pt idx="36">
                  <c:v>3.0892857142856994E-3</c:v>
                </c:pt>
                <c:pt idx="37">
                  <c:v>2.8199999999999979E-3</c:v>
                </c:pt>
                <c:pt idx="38">
                  <c:v>2.5612745098039322E-3</c:v>
                </c:pt>
                <c:pt idx="39">
                  <c:v>1.8750000000000711E-3</c:v>
                </c:pt>
                <c:pt idx="40">
                  <c:v>2.0731132075470136E-3</c:v>
                </c:pt>
                <c:pt idx="41">
                  <c:v>2.2638888888888882E-3</c:v>
                </c:pt>
                <c:pt idx="42">
                  <c:v>2.6545454545454893E-3</c:v>
                </c:pt>
                <c:pt idx="43">
                  <c:v>2.6249999999999329E-3</c:v>
                </c:pt>
                <c:pt idx="44">
                  <c:v>2.5964912280701876E-3</c:v>
                </c:pt>
                <c:pt idx="45">
                  <c:v>2.3728448275862298E-3</c:v>
                </c:pt>
                <c:pt idx="46">
                  <c:v>2.5423728813559229E-3</c:v>
                </c:pt>
                <c:pt idx="47">
                  <c:v>2.70624999999996E-3</c:v>
                </c:pt>
                <c:pt idx="48">
                  <c:v>2.305327868852534E-3</c:v>
                </c:pt>
                <c:pt idx="49">
                  <c:v>2.1008064516128242E-3</c:v>
                </c:pt>
                <c:pt idx="50">
                  <c:v>1.9027777777778706E-3</c:v>
                </c:pt>
                <c:pt idx="51">
                  <c:v>1.8886718749998447E-3</c:v>
                </c:pt>
                <c:pt idx="52">
                  <c:v>1.8749999999999156E-3</c:v>
                </c:pt>
                <c:pt idx="53">
                  <c:v>1.6893939393940191E-3</c:v>
                </c:pt>
                <c:pt idx="54">
                  <c:v>1.5093283582088926E-3</c:v>
                </c:pt>
                <c:pt idx="55">
                  <c:v>8.327205882352228E-4</c:v>
                </c:pt>
                <c:pt idx="56">
                  <c:v>3.4057971014490293E-4</c:v>
                </c:pt>
                <c:pt idx="57">
                  <c:v>1.1624999999998774E-3</c:v>
                </c:pt>
                <c:pt idx="58">
                  <c:v>1.3204225352112628E-3</c:v>
                </c:pt>
                <c:pt idx="59">
                  <c:v>1.1579861111111155E-3</c:v>
                </c:pt>
                <c:pt idx="60">
                  <c:v>1.1558219178081459E-3</c:v>
                </c:pt>
                <c:pt idx="61">
                  <c:v>1.153716216216204E-3</c:v>
                </c:pt>
                <c:pt idx="62">
                  <c:v>1.1516666666667138E-3</c:v>
                </c:pt>
                <c:pt idx="63">
                  <c:v>1.2993421052631799E-3</c:v>
                </c:pt>
                <c:pt idx="64">
                  <c:v>9.9999999999998072E-4</c:v>
                </c:pt>
                <c:pt idx="65">
                  <c:v>1.1458333333334201E-3</c:v>
                </c:pt>
                <c:pt idx="66">
                  <c:v>8.5601265822776577E-4</c:v>
                </c:pt>
                <c:pt idx="67">
                  <c:v>5.7343750000000558E-4</c:v>
                </c:pt>
                <c:pt idx="68">
                  <c:v>5.7870370370376406E-4</c:v>
                </c:pt>
                <c:pt idx="69">
                  <c:v>4.4512195121945637E-4</c:v>
                </c:pt>
                <c:pt idx="70">
                  <c:v>4.5180722891566104E-4</c:v>
                </c:pt>
                <c:pt idx="71">
                  <c:v>5.2083333333248952E-5</c:v>
                </c:pt>
                <c:pt idx="72">
                  <c:v>-2.04411764705884E-4</c:v>
                </c:pt>
                <c:pt idx="73">
                  <c:v>-1.9040697674413604E-4</c:v>
                </c:pt>
                <c:pt idx="74">
                  <c:v>2.1551724137930956E-4</c:v>
                </c:pt>
                <c:pt idx="75">
                  <c:v>2.2443181818186788E-4</c:v>
                </c:pt>
                <c:pt idx="76">
                  <c:v>2.3314606741571591E-4</c:v>
                </c:pt>
                <c:pt idx="77">
                  <c:v>2.4166666666658947E-4</c:v>
                </c:pt>
                <c:pt idx="78">
                  <c:v>3.7500000000001421E-4</c:v>
                </c:pt>
                <c:pt idx="79">
                  <c:v>5.054347826087993E-4</c:v>
                </c:pt>
                <c:pt idx="80">
                  <c:v>5.107526881720847E-4</c:v>
                </c:pt>
                <c:pt idx="81">
                  <c:v>5.1595744680849151E-4</c:v>
                </c:pt>
                <c:pt idx="82">
                  <c:v>6.4078947368406572E-4</c:v>
                </c:pt>
                <c:pt idx="83">
                  <c:v>4.0755208333326243E-4</c:v>
                </c:pt>
                <c:pt idx="84">
                  <c:v>5.3092783505156115E-4</c:v>
                </c:pt>
                <c:pt idx="85">
                  <c:v>3.0357142857151409E-4</c:v>
                </c:pt>
                <c:pt idx="86">
                  <c:v>4.2550505050521846E-4</c:v>
                </c:pt>
                <c:pt idx="87">
                  <c:v>4.3124999999990751E-4</c:v>
                </c:pt>
                <c:pt idx="88">
                  <c:v>9.9009900990138671E-5</c:v>
                </c:pt>
                <c:pt idx="89">
                  <c:v>4.4240196078431017E-4</c:v>
                </c:pt>
                <c:pt idx="90">
                  <c:v>4.4781553398052403E-4</c:v>
                </c:pt>
                <c:pt idx="91">
                  <c:v>4.5312500000008193E-4</c:v>
                </c:pt>
                <c:pt idx="92">
                  <c:v>6.7500000000009967E-4</c:v>
                </c:pt>
                <c:pt idx="93">
                  <c:v>6.7806603773570362E-4</c:v>
                </c:pt>
                <c:pt idx="94">
                  <c:v>8.9369158878492073E-4</c:v>
                </c:pt>
                <c:pt idx="95">
                  <c:v>8.946759259259358E-4</c:v>
                </c:pt>
                <c:pt idx="96">
                  <c:v>8.9564220183482033E-4</c:v>
                </c:pt>
                <c:pt idx="97">
                  <c:v>1.0000000000000332E-3</c:v>
                </c:pt>
                <c:pt idx="98">
                  <c:v>1.1024774774774024E-3</c:v>
                </c:pt>
                <c:pt idx="99">
                  <c:v>8.9843749999998779E-4</c:v>
                </c:pt>
                <c:pt idx="100">
                  <c:v>1.0000000000000607E-3</c:v>
                </c:pt>
                <c:pt idx="101">
                  <c:v>8.004385964911721E-4</c:v>
                </c:pt>
                <c:pt idx="102">
                  <c:v>9.010869565217553E-4</c:v>
                </c:pt>
                <c:pt idx="103">
                  <c:v>7.0581896551731734E-4</c:v>
                </c:pt>
                <c:pt idx="104">
                  <c:v>9.0277777777769675E-4</c:v>
                </c:pt>
                <c:pt idx="105">
                  <c:v>9.0360169491512596E-4</c:v>
                </c:pt>
                <c:pt idx="106">
                  <c:v>1.0955882352941765E-3</c:v>
                </c:pt>
                <c:pt idx="107">
                  <c:v>1.1895833333332921E-3</c:v>
                </c:pt>
                <c:pt idx="108">
                  <c:v>1.1880165289256991E-3</c:v>
                </c:pt>
                <c:pt idx="109">
                  <c:v>1.186475409836098E-3</c:v>
                </c:pt>
                <c:pt idx="110">
                  <c:v>1.2774390243901785E-3</c:v>
                </c:pt>
                <c:pt idx="111">
                  <c:v>1.2752016129031153E-3</c:v>
                </c:pt>
                <c:pt idx="112">
                  <c:v>1.1820000000000571E-3</c:v>
                </c:pt>
                <c:pt idx="113">
                  <c:v>1.1805555555555675E-3</c:v>
                </c:pt>
                <c:pt idx="114">
                  <c:v>1.1791338582678428E-3</c:v>
                </c:pt>
                <c:pt idx="115">
                  <c:v>1.0888671874999725E-3</c:v>
                </c:pt>
                <c:pt idx="116">
                  <c:v>1.0881782945735721E-3</c:v>
                </c:pt>
                <c:pt idx="117">
                  <c:v>8.2500000000003122E-4</c:v>
                </c:pt>
                <c:pt idx="118">
                  <c:v>7.3950381679392912E-4</c:v>
                </c:pt>
                <c:pt idx="119">
                  <c:v>6.5530303030307091E-4</c:v>
                </c:pt>
                <c:pt idx="120">
                  <c:v>5.7236842105267663E-4</c:v>
                </c:pt>
                <c:pt idx="121">
                  <c:v>6.6044776119398522E-4</c:v>
                </c:pt>
                <c:pt idx="122">
                  <c:v>8.3148148148145151E-4</c:v>
                </c:pt>
                <c:pt idx="123">
                  <c:v>8.327205882352228E-4</c:v>
                </c:pt>
                <c:pt idx="124">
                  <c:v>7.5091240875920548E-4</c:v>
                </c:pt>
                <c:pt idx="125">
                  <c:v>7.5271739130438762E-4</c:v>
                </c:pt>
                <c:pt idx="126">
                  <c:v>7.5449640287769671E-4</c:v>
                </c:pt>
                <c:pt idx="127">
                  <c:v>7.5624999999995834E-4</c:v>
                </c:pt>
                <c:pt idx="128">
                  <c:v>5.9663120567376678E-4</c:v>
                </c:pt>
                <c:pt idx="129">
                  <c:v>6.7957746478879827E-4</c:v>
                </c:pt>
                <c:pt idx="130">
                  <c:v>6.8181818181820768E-4</c:v>
                </c:pt>
                <c:pt idx="131">
                  <c:v>7.6302083333341627E-4</c:v>
                </c:pt>
                <c:pt idx="132">
                  <c:v>7.646551724138364E-4</c:v>
                </c:pt>
                <c:pt idx="133">
                  <c:v>6.8835616438347059E-4</c:v>
                </c:pt>
                <c:pt idx="134">
                  <c:v>5.3571428571424259E-4</c:v>
                </c:pt>
                <c:pt idx="135">
                  <c:v>3.8513513513513924E-4</c:v>
                </c:pt>
                <c:pt idx="136">
                  <c:v>3.1291946308725674E-4</c:v>
                </c:pt>
                <c:pt idx="137">
                  <c:v>3.9333333333339663E-4</c:v>
                </c:pt>
                <c:pt idx="138">
                  <c:v>6.2334437086082725E-4</c:v>
                </c:pt>
                <c:pt idx="139">
                  <c:v>5.5098684210516809E-4</c:v>
                </c:pt>
                <c:pt idx="140">
                  <c:v>6.2826797385616862E-4</c:v>
                </c:pt>
                <c:pt idx="141">
                  <c:v>5.5681818181814577E-4</c:v>
                </c:pt>
                <c:pt idx="142">
                  <c:v>5.5967741935489669E-4</c:v>
                </c:pt>
                <c:pt idx="143">
                  <c:v>5.6250000000002132E-4</c:v>
                </c:pt>
                <c:pt idx="144">
                  <c:v>6.3773885350312961E-4</c:v>
                </c:pt>
                <c:pt idx="145">
                  <c:v>6.4003164556952969E-4</c:v>
                </c:pt>
                <c:pt idx="146">
                  <c:v>6.4229559748427828E-4</c:v>
                </c:pt>
                <c:pt idx="147">
                  <c:v>6.4453124999996609E-4</c:v>
                </c:pt>
                <c:pt idx="148">
                  <c:v>6.4673913043483927E-4</c:v>
                </c:pt>
                <c:pt idx="149">
                  <c:v>6.4891975308644116E-4</c:v>
                </c:pt>
                <c:pt idx="150">
                  <c:v>7.2085889570546932E-4</c:v>
                </c:pt>
                <c:pt idx="151">
                  <c:v>5.1448170731710214E-4</c:v>
                </c:pt>
                <c:pt idx="152">
                  <c:v>3.7954545454540301E-4</c:v>
                </c:pt>
                <c:pt idx="153">
                  <c:v>4.5180722891566104E-4</c:v>
                </c:pt>
                <c:pt idx="154">
                  <c:v>5.9131736526947109E-4</c:v>
                </c:pt>
                <c:pt idx="155">
                  <c:v>6.6145833333327198E-4</c:v>
                </c:pt>
                <c:pt idx="156">
                  <c:v>6.634615384615636E-4</c:v>
                </c:pt>
                <c:pt idx="157">
                  <c:v>5.985294117647346E-4</c:v>
                </c:pt>
                <c:pt idx="158">
                  <c:v>6.0087719298245162E-4</c:v>
                </c:pt>
                <c:pt idx="159">
                  <c:v>6.0319767441868472E-4</c:v>
                </c:pt>
                <c:pt idx="160">
                  <c:v>7.3699421965327E-4</c:v>
                </c:pt>
                <c:pt idx="161">
                  <c:v>7.3850574712637843E-4</c:v>
                </c:pt>
                <c:pt idx="162">
                  <c:v>7.4000000000002503E-4</c:v>
                </c:pt>
                <c:pt idx="163">
                  <c:v>7.4147727272726551E-4</c:v>
                </c:pt>
                <c:pt idx="164">
                  <c:v>8.0720338983054788E-4</c:v>
                </c:pt>
                <c:pt idx="165">
                  <c:v>8.0828651685393993E-4</c:v>
                </c:pt>
                <c:pt idx="166">
                  <c:v>8.0935754189952994E-4</c:v>
                </c:pt>
                <c:pt idx="167">
                  <c:v>7.4722222222220155E-4</c:v>
                </c:pt>
                <c:pt idx="168">
                  <c:v>6.8577348066296644E-4</c:v>
                </c:pt>
                <c:pt idx="169">
                  <c:v>7.5000000000002842E-4</c:v>
                </c:pt>
                <c:pt idx="170">
                  <c:v>7.5136612021868695E-4</c:v>
                </c:pt>
                <c:pt idx="171">
                  <c:v>7.5271739130431444E-4</c:v>
                </c:pt>
                <c:pt idx="172">
                  <c:v>9.3851351351356596E-4</c:v>
                </c:pt>
                <c:pt idx="173">
                  <c:v>9.3884408602163576E-4</c:v>
                </c:pt>
                <c:pt idx="174">
                  <c:v>1.0608288770054875E-3</c:v>
                </c:pt>
                <c:pt idx="175">
                  <c:v>9.999999999999276E-4</c:v>
                </c:pt>
                <c:pt idx="176">
                  <c:v>1.0601851851850498E-3</c:v>
                </c:pt>
                <c:pt idx="177">
                  <c:v>9.9999999999986883E-4</c:v>
                </c:pt>
                <c:pt idx="178">
                  <c:v>9.9999999999994559E-4</c:v>
                </c:pt>
                <c:pt idx="179">
                  <c:v>1.0000000000000217E-3</c:v>
                </c:pt>
                <c:pt idx="180">
                  <c:v>1.0589378238341565E-3</c:v>
                </c:pt>
                <c:pt idx="181">
                  <c:v>1.0586340206185914E-3</c:v>
                </c:pt>
                <c:pt idx="182">
                  <c:v>1.0583333333334425E-3</c:v>
                </c:pt>
                <c:pt idx="183">
                  <c:v>1.0000000000001119E-3</c:v>
                </c:pt>
                <c:pt idx="184">
                  <c:v>9.4225888324884566E-4</c:v>
                </c:pt>
                <c:pt idx="185">
                  <c:v>1.0000000000000536E-3</c:v>
                </c:pt>
                <c:pt idx="186">
                  <c:v>1.0000000000001264E-3</c:v>
                </c:pt>
                <c:pt idx="187">
                  <c:v>9.9999999999999633E-4</c:v>
                </c:pt>
                <c:pt idx="188">
                  <c:v>1.1131840796019961E-3</c:v>
                </c:pt>
                <c:pt idx="189">
                  <c:v>1.1689356435643033E-3</c:v>
                </c:pt>
                <c:pt idx="190">
                  <c:v>1.1120689655171915E-3</c:v>
                </c:pt>
                <c:pt idx="191">
                  <c:v>1.1115196078431591E-3</c:v>
                </c:pt>
                <c:pt idx="192">
                  <c:v>1.1664634146341098E-3</c:v>
                </c:pt>
                <c:pt idx="193">
                  <c:v>1.1656553398058595E-3</c:v>
                </c:pt>
                <c:pt idx="194">
                  <c:v>1.1648550724638724E-3</c:v>
                </c:pt>
                <c:pt idx="195">
                  <c:v>1.1093750000001068E-3</c:v>
                </c:pt>
                <c:pt idx="196">
                  <c:v>1.1088516746411308E-3</c:v>
                </c:pt>
                <c:pt idx="197">
                  <c:v>1.0541666666668448E-3</c:v>
                </c:pt>
                <c:pt idx="198">
                  <c:v>1.107819905213199E-3</c:v>
                </c:pt>
                <c:pt idx="199">
                  <c:v>9.9999999999986666E-4</c:v>
                </c:pt>
                <c:pt idx="200">
                  <c:v>8.931924882629057E-4</c:v>
                </c:pt>
                <c:pt idx="201">
                  <c:v>1.0000000000000039E-3</c:v>
                </c:pt>
                <c:pt idx="202">
                  <c:v>1.0000000000000716E-3</c:v>
                </c:pt>
                <c:pt idx="203">
                  <c:v>9.4733796296303725E-4</c:v>
                </c:pt>
                <c:pt idx="204">
                  <c:v>9.4758064516124502E-4</c:v>
                </c:pt>
                <c:pt idx="205">
                  <c:v>9.4782110091745284E-4</c:v>
                </c:pt>
                <c:pt idx="206">
                  <c:v>9.4805936073068166E-4</c:v>
                </c:pt>
                <c:pt idx="207">
                  <c:v>1.0517045454546418E-3</c:v>
                </c:pt>
                <c:pt idx="208">
                  <c:v>1.0000000000000989E-3</c:v>
                </c:pt>
                <c:pt idx="209">
                  <c:v>9.9999999999998181E-4</c:v>
                </c:pt>
                <c:pt idx="210">
                  <c:v>9.4899103139011929E-4</c:v>
                </c:pt>
                <c:pt idx="211">
                  <c:v>9.4921874999986944E-4</c:v>
                </c:pt>
                <c:pt idx="212">
                  <c:v>9.4944444444437911E-4</c:v>
                </c:pt>
                <c:pt idx="213">
                  <c:v>9.4966814159291966E-4</c:v>
                </c:pt>
                <c:pt idx="214">
                  <c:v>8.4966960352416993E-4</c:v>
                </c:pt>
                <c:pt idx="215">
                  <c:v>7.5054824561409533E-4</c:v>
                </c:pt>
                <c:pt idx="216">
                  <c:v>7.0196506550224624E-4</c:v>
                </c:pt>
                <c:pt idx="217">
                  <c:v>8.0217391304354929E-4</c:v>
                </c:pt>
                <c:pt idx="218">
                  <c:v>7.5378787878795225E-4</c:v>
                </c:pt>
                <c:pt idx="219">
                  <c:v>8.0387931034484918E-4</c:v>
                </c:pt>
                <c:pt idx="220">
                  <c:v>7.5590128755367229E-4</c:v>
                </c:pt>
                <c:pt idx="221">
                  <c:v>7.0833333333318745E-4</c:v>
                </c:pt>
                <c:pt idx="222">
                  <c:v>7.0957446808502303E-4</c:v>
                </c:pt>
                <c:pt idx="223">
                  <c:v>7.1080508474574136E-4</c:v>
                </c:pt>
                <c:pt idx="224">
                  <c:v>8.0801687763711765E-4</c:v>
                </c:pt>
                <c:pt idx="225">
                  <c:v>6.6544117647063087E-4</c:v>
                </c:pt>
                <c:pt idx="226">
                  <c:v>6.6684100418403468E-4</c:v>
                </c:pt>
                <c:pt idx="227">
                  <c:v>6.6822916666666181E-4</c:v>
                </c:pt>
                <c:pt idx="228">
                  <c:v>7.168049792532252E-4</c:v>
                </c:pt>
                <c:pt idx="229">
                  <c:v>5.7696280991735582E-4</c:v>
                </c:pt>
                <c:pt idx="230">
                  <c:v>5.318930041152295E-4</c:v>
                </c:pt>
                <c:pt idx="231">
                  <c:v>4.8719262295082543E-4</c:v>
                </c:pt>
                <c:pt idx="232">
                  <c:v>4.8928571428561438E-4</c:v>
                </c:pt>
                <c:pt idx="233">
                  <c:v>4.9136178861784578E-4</c:v>
                </c:pt>
                <c:pt idx="234">
                  <c:v>5.3947368421043771E-4</c:v>
                </c:pt>
                <c:pt idx="235">
                  <c:v>5.8719758064518766E-4</c:v>
                </c:pt>
                <c:pt idx="236">
                  <c:v>4.9748995983933046E-4</c:v>
                </c:pt>
                <c:pt idx="237">
                  <c:v>4.5399999999997574E-4</c:v>
                </c:pt>
                <c:pt idx="238">
                  <c:v>4.5617529880481467E-4</c:v>
                </c:pt>
                <c:pt idx="239">
                  <c:v>5.0347222222220844E-4</c:v>
                </c:pt>
                <c:pt idx="240">
                  <c:v>4.1551383399218846E-4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1B51-4335-814D-53B8B9178B55}"/>
            </c:ext>
          </c:extLst>
        </c:ser>
        <c:ser>
          <c:idx val="53"/>
          <c:order val="53"/>
          <c:tx>
            <c:strRef>
              <c:f>'전류편차_24mA(절대값기준)'!$DQ$7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'전류편차_24mA(절대값기준)'!$DQ$22:$DQ$262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4.0131578947367216E-4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1.086956521732977E-5</c:v>
                </c:pt>
                <c:pt idx="11">
                  <c:v>-4.2187500000003214E-4</c:v>
                </c:pt>
                <c:pt idx="12">
                  <c:v>-8.2000000000000508E-4</c:v>
                </c:pt>
                <c:pt idx="13">
                  <c:v>-7.5000000000002842E-4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-9.6120689655159537E-4</c:v>
                </c:pt>
                <c:pt idx="17">
                  <c:v>-8.9583333333339752E-4</c:v>
                </c:pt>
                <c:pt idx="18">
                  <c:v>-1.2016129032258478E-3</c:v>
                </c:pt>
                <c:pt idx="19">
                  <c:v>-1.1328125000000591E-3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-1.9249999999999988E-3</c:v>
                </c:pt>
                <c:pt idx="23">
                  <c:v>-2.1597222222222035E-3</c:v>
                </c:pt>
                <c:pt idx="24">
                  <c:v>-1.7668918918919238E-3</c:v>
                </c:pt>
                <c:pt idx="25">
                  <c:v>-1.6940789473684681E-3</c:v>
                </c:pt>
                <c:pt idx="26">
                  <c:v>-1.041666666666663E-3</c:v>
                </c:pt>
                <c:pt idx="27">
                  <c:v>-9.9062500000001168E-4</c:v>
                </c:pt>
                <c:pt idx="28">
                  <c:v>-9.4207317073173352E-4</c:v>
                </c:pt>
                <c:pt idx="29">
                  <c:v>-1.166666666666677E-3</c:v>
                </c:pt>
                <c:pt idx="30">
                  <c:v>-1.3808139534883673E-3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-7.3097826086943529E-4</c:v>
                </c:pt>
                <c:pt idx="34">
                  <c:v>-6.9414893617042092E-4</c:v>
                </c:pt>
                <c:pt idx="35">
                  <c:v>-6.5885416666677799E-4</c:v>
                </c:pt>
                <c:pt idx="36">
                  <c:v>-8.5714285714274694E-4</c:v>
                </c:pt>
                <c:pt idx="37">
                  <c:v>-1.0475000000000811E-3</c:v>
                </c:pt>
                <c:pt idx="38">
                  <c:v>-1.4534313725489629E-3</c:v>
                </c:pt>
                <c:pt idx="39">
                  <c:v>-1.6249999999999321E-3</c:v>
                </c:pt>
                <c:pt idx="40">
                  <c:v>-1.1462264150944269E-3</c:v>
                </c:pt>
                <c:pt idx="41">
                  <c:v>-8.9583333333326655E-4</c:v>
                </c:pt>
                <c:pt idx="42">
                  <c:v>-4.4772727272717199E-4</c:v>
                </c:pt>
                <c:pt idx="43">
                  <c:v>-4.2187500000000211E-4</c:v>
                </c:pt>
                <c:pt idx="44">
                  <c:v>-1.9736842105266632E-4</c:v>
                </c:pt>
                <c:pt idx="45">
                  <c:v>-5.6896551724129369E-4</c:v>
                </c:pt>
                <c:pt idx="46">
                  <c:v>-3.4957627118655931E-4</c:v>
                </c:pt>
                <c:pt idx="47">
                  <c:v>-5.1666666666660423E-4</c:v>
                </c:pt>
                <c:pt idx="48">
                  <c:v>-1.1885245901630028E-4</c:v>
                </c:pt>
                <c:pt idx="49">
                  <c:v>-2.8427419354844799E-4</c:v>
                </c:pt>
                <c:pt idx="50">
                  <c:v>-8.3333333333262478E-5</c:v>
                </c:pt>
                <c:pt idx="51">
                  <c:v>-6.6406250000018707E-5</c:v>
                </c:pt>
                <c:pt idx="52">
                  <c:v>-4.9999999999950082E-5</c:v>
                </c:pt>
                <c:pt idx="53">
                  <c:v>-2.0643939393933503E-4</c:v>
                </c:pt>
                <c:pt idx="54">
                  <c:v>-1.8843283582092198E-4</c:v>
                </c:pt>
                <c:pt idx="55">
                  <c:v>-5.0551470588242541E-4</c:v>
                </c:pt>
                <c:pt idx="56">
                  <c:v>-3.1884057971009696E-4</c:v>
                </c:pt>
                <c:pt idx="57">
                  <c:v>2.4999999999930633E-5</c:v>
                </c:pt>
                <c:pt idx="58">
                  <c:v>5.1936619718311093E-4</c:v>
                </c:pt>
                <c:pt idx="59">
                  <c:v>3.6805555555557669E-4</c:v>
                </c:pt>
                <c:pt idx="60">
                  <c:v>3.767123287670666E-4</c:v>
                </c:pt>
                <c:pt idx="61">
                  <c:v>5.3885135135140676E-4</c:v>
                </c:pt>
                <c:pt idx="62">
                  <c:v>2.416666666666793E-4</c:v>
                </c:pt>
                <c:pt idx="63">
                  <c:v>1.0197368421054722E-4</c:v>
                </c:pt>
                <c:pt idx="64">
                  <c:v>1.1363636363631075E-4</c:v>
                </c:pt>
                <c:pt idx="65">
                  <c:v>-1.6666666666662983E-4</c:v>
                </c:pt>
                <c:pt idx="66">
                  <c:v>-7.9113924050504743E-6</c:v>
                </c:pt>
                <c:pt idx="67">
                  <c:v>4.687500000068179E-6</c:v>
                </c:pt>
                <c:pt idx="68">
                  <c:v>1.6975308642097485E-5</c:v>
                </c:pt>
                <c:pt idx="69">
                  <c:v>-1.0975609756097029E-4</c:v>
                </c:pt>
                <c:pt idx="70">
                  <c:v>-9.6385542168615931E-5</c:v>
                </c:pt>
                <c:pt idx="71">
                  <c:v>-6.2500000000006994E-4</c:v>
                </c:pt>
                <c:pt idx="72">
                  <c:v>-7.3970588235300274E-4</c:v>
                </c:pt>
                <c:pt idx="73">
                  <c:v>-3.2267441860464531E-4</c:v>
                </c:pt>
                <c:pt idx="74">
                  <c:v>-1.7672413793105011E-4</c:v>
                </c:pt>
                <c:pt idx="75">
                  <c:v>-1.633522727272377E-4</c:v>
                </c:pt>
                <c:pt idx="76">
                  <c:v>-2.2471910112345851E-5</c:v>
                </c:pt>
                <c:pt idx="77">
                  <c:v>-1.1111111111160463E-5</c:v>
                </c:pt>
                <c:pt idx="78">
                  <c:v>-1.2500000000004174E-4</c:v>
                </c:pt>
                <c:pt idx="79">
                  <c:v>-1.127717391304278E-4</c:v>
                </c:pt>
                <c:pt idx="80">
                  <c:v>-4.6774193548372161E-4</c:v>
                </c:pt>
                <c:pt idx="81">
                  <c:v>-5.7313829787240063E-4</c:v>
                </c:pt>
                <c:pt idx="82">
                  <c:v>-5.5657894736854023E-4</c:v>
                </c:pt>
                <c:pt idx="83">
                  <c:v>-5.4036458333329984E-4</c:v>
                </c:pt>
                <c:pt idx="84">
                  <c:v>-6.4175257731954784E-4</c:v>
                </c:pt>
                <c:pt idx="85">
                  <c:v>-6.2500000000001844E-4</c:v>
                </c:pt>
                <c:pt idx="86">
                  <c:v>-8.3838383838378649E-4</c:v>
                </c:pt>
                <c:pt idx="87">
                  <c:v>-1.161250000000018E-3</c:v>
                </c:pt>
                <c:pt idx="88">
                  <c:v>-1.3650990099009393E-3</c:v>
                </c:pt>
                <c:pt idx="89">
                  <c:v>-1.0073529411764631E-3</c:v>
                </c:pt>
                <c:pt idx="90">
                  <c:v>-9.8786407766995052E-4</c:v>
                </c:pt>
                <c:pt idx="91">
                  <c:v>-9.6874999999990719E-4</c:v>
                </c:pt>
                <c:pt idx="92">
                  <c:v>-6.2499999999994971E-4</c:v>
                </c:pt>
                <c:pt idx="93">
                  <c:v>-7.1698113207560631E-4</c:v>
                </c:pt>
                <c:pt idx="94">
                  <c:v>-7.0093457943924979E-4</c:v>
                </c:pt>
                <c:pt idx="95">
                  <c:v>-7.9050925925925079E-4</c:v>
                </c:pt>
                <c:pt idx="96">
                  <c:v>-9.8279816513754253E-4</c:v>
                </c:pt>
                <c:pt idx="97">
                  <c:v>-1.068181818181741E-3</c:v>
                </c:pt>
                <c:pt idx="98">
                  <c:v>-1.1520270270271265E-3</c:v>
                </c:pt>
                <c:pt idx="99">
                  <c:v>-1.1328124999999689E-3</c:v>
                </c:pt>
                <c:pt idx="100">
                  <c:v>-1.1139380530973645E-3</c:v>
                </c:pt>
                <c:pt idx="101">
                  <c:v>-1.0953947368421741E-3</c:v>
                </c:pt>
                <c:pt idx="102">
                  <c:v>-9.78260869565214E-4</c:v>
                </c:pt>
                <c:pt idx="103">
                  <c:v>-1.3534482758620712E-3</c:v>
                </c:pt>
                <c:pt idx="104">
                  <c:v>-1.5277777777778932E-3</c:v>
                </c:pt>
                <c:pt idx="105">
                  <c:v>-1.3135593220339964E-3</c:v>
                </c:pt>
                <c:pt idx="106">
                  <c:v>-1.2941176470587985E-3</c:v>
                </c:pt>
                <c:pt idx="107">
                  <c:v>-1.0854166666666258E-3</c:v>
                </c:pt>
                <c:pt idx="108">
                  <c:v>-1.0681818181818245E-3</c:v>
                </c:pt>
                <c:pt idx="109">
                  <c:v>-1.0512295081966084E-3</c:v>
                </c:pt>
                <c:pt idx="110">
                  <c:v>-1.0345528455285534E-3</c:v>
                </c:pt>
                <c:pt idx="111">
                  <c:v>-1.1098790322581567E-3</c:v>
                </c:pt>
                <c:pt idx="112">
                  <c:v>-1.1839999999999247E-3</c:v>
                </c:pt>
                <c:pt idx="113">
                  <c:v>-1.4374999999999805E-3</c:v>
                </c:pt>
                <c:pt idx="114">
                  <c:v>-1.507874015748007E-3</c:v>
                </c:pt>
                <c:pt idx="115">
                  <c:v>-1.5771484375001284E-3</c:v>
                </c:pt>
                <c:pt idx="116">
                  <c:v>-1.6453488372094249E-3</c:v>
                </c:pt>
                <c:pt idx="117">
                  <c:v>-1.8000000000000683E-3</c:v>
                </c:pt>
                <c:pt idx="118">
                  <c:v>-1.8654580152672384E-3</c:v>
                </c:pt>
                <c:pt idx="119">
                  <c:v>-1.9299242424241469E-3</c:v>
                </c:pt>
                <c:pt idx="120">
                  <c:v>-2.0789473684210574E-3</c:v>
                </c:pt>
                <c:pt idx="121">
                  <c:v>-1.9710820895523329E-3</c:v>
                </c:pt>
                <c:pt idx="122">
                  <c:v>-2.0333333333334216E-3</c:v>
                </c:pt>
                <c:pt idx="123">
                  <c:v>-2.0110294117646867E-3</c:v>
                </c:pt>
                <c:pt idx="124">
                  <c:v>-1.9890510948905333E-3</c:v>
                </c:pt>
                <c:pt idx="125">
                  <c:v>-1.9673913043477429E-3</c:v>
                </c:pt>
                <c:pt idx="126">
                  <c:v>-1.8642086330935288E-3</c:v>
                </c:pt>
                <c:pt idx="127">
                  <c:v>-2.0875000000000533E-3</c:v>
                </c:pt>
                <c:pt idx="128">
                  <c:v>-2.0656028368795255E-3</c:v>
                </c:pt>
                <c:pt idx="129">
                  <c:v>-2.2042253521127194E-3</c:v>
                </c:pt>
                <c:pt idx="130">
                  <c:v>-2.3409090909090853E-3</c:v>
                </c:pt>
                <c:pt idx="131">
                  <c:v>-2.4756944444443907E-3</c:v>
                </c:pt>
                <c:pt idx="132">
                  <c:v>-2.6870689655172364E-3</c:v>
                </c:pt>
                <c:pt idx="133">
                  <c:v>-2.7397260273972503E-3</c:v>
                </c:pt>
                <c:pt idx="134">
                  <c:v>-2.8690476190476994E-3</c:v>
                </c:pt>
                <c:pt idx="135">
                  <c:v>-3.0734797297297203E-3</c:v>
                </c:pt>
                <c:pt idx="136">
                  <c:v>-3.0461409395973441E-3</c:v>
                </c:pt>
                <c:pt idx="137">
                  <c:v>-3.0949999999998895E-3</c:v>
                </c:pt>
                <c:pt idx="138">
                  <c:v>-3.0678807947020479E-3</c:v>
                </c:pt>
                <c:pt idx="139">
                  <c:v>-3.1159539473684778E-3</c:v>
                </c:pt>
                <c:pt idx="140">
                  <c:v>-3.3120915032679435E-3</c:v>
                </c:pt>
                <c:pt idx="141">
                  <c:v>-3.2102272727273203E-3</c:v>
                </c:pt>
                <c:pt idx="142">
                  <c:v>-3.1096774193548329E-3</c:v>
                </c:pt>
                <c:pt idx="143">
                  <c:v>-3.1562499999999902E-3</c:v>
                </c:pt>
                <c:pt idx="144">
                  <c:v>-3.1297770700637203E-3</c:v>
                </c:pt>
                <c:pt idx="145">
                  <c:v>-3.1756329113924271E-3</c:v>
                </c:pt>
                <c:pt idx="146">
                  <c:v>-3.2209119496855523E-3</c:v>
                </c:pt>
                <c:pt idx="147">
                  <c:v>-3.2656250000000137E-3</c:v>
                </c:pt>
                <c:pt idx="148">
                  <c:v>-3.3804347826086661E-3</c:v>
                </c:pt>
                <c:pt idx="149">
                  <c:v>-3.4236111111110778E-3</c:v>
                </c:pt>
                <c:pt idx="150">
                  <c:v>-3.5360429447853243E-3</c:v>
                </c:pt>
                <c:pt idx="151">
                  <c:v>-3.5083841463414227E-3</c:v>
                </c:pt>
                <c:pt idx="152">
                  <c:v>-3.5499999999999555E-3</c:v>
                </c:pt>
                <c:pt idx="153">
                  <c:v>-3.3855421686746429E-3</c:v>
                </c:pt>
                <c:pt idx="154">
                  <c:v>-3.223053892215502E-3</c:v>
                </c:pt>
                <c:pt idx="155">
                  <c:v>-3.2656250000000497E-3</c:v>
                </c:pt>
                <c:pt idx="156">
                  <c:v>-3.307692307692353E-3</c:v>
                </c:pt>
                <c:pt idx="157">
                  <c:v>-3.2823529411764303E-3</c:v>
                </c:pt>
                <c:pt idx="158">
                  <c:v>-3.2573099415204609E-3</c:v>
                </c:pt>
                <c:pt idx="159">
                  <c:v>-3.1664244186045964E-3</c:v>
                </c:pt>
                <c:pt idx="160">
                  <c:v>-3.208092485549075E-3</c:v>
                </c:pt>
                <c:pt idx="161">
                  <c:v>-3.0531609195402769E-3</c:v>
                </c:pt>
                <c:pt idx="162">
                  <c:v>-3.2249999999999709E-3</c:v>
                </c:pt>
                <c:pt idx="163">
                  <c:v>-3.0717329545454151E-3</c:v>
                </c:pt>
                <c:pt idx="164">
                  <c:v>-3.1129943502824428E-3</c:v>
                </c:pt>
                <c:pt idx="165">
                  <c:v>-3.345505617977489E-3</c:v>
                </c:pt>
                <c:pt idx="166">
                  <c:v>-3.2576815642457253E-3</c:v>
                </c:pt>
                <c:pt idx="167">
                  <c:v>-3.3604166666666557E-3</c:v>
                </c:pt>
                <c:pt idx="168">
                  <c:v>-3.4620165745856976E-3</c:v>
                </c:pt>
                <c:pt idx="169">
                  <c:v>-3.2499999999999751E-3</c:v>
                </c:pt>
                <c:pt idx="170">
                  <c:v>-3.0403005464479764E-3</c:v>
                </c:pt>
                <c:pt idx="171">
                  <c:v>-3.0801630434781468E-3</c:v>
                </c:pt>
                <c:pt idx="172">
                  <c:v>-2.9351351351350114E-3</c:v>
                </c:pt>
                <c:pt idx="173">
                  <c:v>-3.0974462365591627E-3</c:v>
                </c:pt>
                <c:pt idx="174">
                  <c:v>-3.0755347593582338E-3</c:v>
                </c:pt>
                <c:pt idx="175">
                  <c:v>-2.8118351063829801E-3</c:v>
                </c:pt>
                <c:pt idx="176">
                  <c:v>-2.8518518518518502E-3</c:v>
                </c:pt>
                <c:pt idx="177">
                  <c:v>-2.8315789473685555E-3</c:v>
                </c:pt>
                <c:pt idx="178">
                  <c:v>-2.8710732984294496E-3</c:v>
                </c:pt>
                <c:pt idx="179">
                  <c:v>-2.9101562500001262E-3</c:v>
                </c:pt>
                <c:pt idx="180">
                  <c:v>-3.0667098445596426E-3</c:v>
                </c:pt>
                <c:pt idx="181">
                  <c:v>-3.1043814432990227E-3</c:v>
                </c:pt>
                <c:pt idx="182">
                  <c:v>-3.1999999999999143E-3</c:v>
                </c:pt>
                <c:pt idx="183">
                  <c:v>-3.4107142857142036E-3</c:v>
                </c:pt>
                <c:pt idx="184">
                  <c:v>-3.4460659898476308E-3</c:v>
                </c:pt>
                <c:pt idx="185">
                  <c:v>-3.3661616161615921E-3</c:v>
                </c:pt>
                <c:pt idx="186">
                  <c:v>-3.2298994974874038E-3</c:v>
                </c:pt>
                <c:pt idx="187">
                  <c:v>-3.2087500000000952E-3</c:v>
                </c:pt>
                <c:pt idx="188">
                  <c:v>-3.2444029850747188E-3</c:v>
                </c:pt>
                <c:pt idx="189">
                  <c:v>-3.3360148514851055E-3</c:v>
                </c:pt>
                <c:pt idx="190">
                  <c:v>-3.2586206896551887E-3</c:v>
                </c:pt>
                <c:pt idx="191">
                  <c:v>-3.4050245098038727E-3</c:v>
                </c:pt>
                <c:pt idx="192">
                  <c:v>-3.3835365853659314E-3</c:v>
                </c:pt>
                <c:pt idx="193">
                  <c:v>-3.3622572815534047E-3</c:v>
                </c:pt>
                <c:pt idx="194">
                  <c:v>-3.3411835748791635E-3</c:v>
                </c:pt>
                <c:pt idx="195">
                  <c:v>-3.3749999999999336E-3</c:v>
                </c:pt>
                <c:pt idx="196">
                  <c:v>-3.4084928229664384E-3</c:v>
                </c:pt>
                <c:pt idx="197">
                  <c:v>-3.4416666666665951E-3</c:v>
                </c:pt>
                <c:pt idx="198">
                  <c:v>-3.4745260663508275E-3</c:v>
                </c:pt>
                <c:pt idx="199">
                  <c:v>-3.7753537735849656E-3</c:v>
                </c:pt>
                <c:pt idx="200">
                  <c:v>-3.8063380281690706E-3</c:v>
                </c:pt>
                <c:pt idx="201">
                  <c:v>-3.7838785046728856E-3</c:v>
                </c:pt>
                <c:pt idx="202">
                  <c:v>-3.6558139534883516E-3</c:v>
                </c:pt>
                <c:pt idx="203">
                  <c:v>-3.6342592592591713E-3</c:v>
                </c:pt>
                <c:pt idx="204">
                  <c:v>-3.665322580645071E-3</c:v>
                </c:pt>
                <c:pt idx="205">
                  <c:v>-3.6439220183486529E-3</c:v>
                </c:pt>
                <c:pt idx="206">
                  <c:v>-3.6227168949771313E-3</c:v>
                </c:pt>
                <c:pt idx="207">
                  <c:v>-3.6534090909090505E-3</c:v>
                </c:pt>
                <c:pt idx="208">
                  <c:v>-3.6323529411763649E-3</c:v>
                </c:pt>
                <c:pt idx="209">
                  <c:v>-3.5090090090090765E-3</c:v>
                </c:pt>
                <c:pt idx="210">
                  <c:v>-3.5397982062780912E-3</c:v>
                </c:pt>
                <c:pt idx="211">
                  <c:v>-3.6210937500001233E-3</c:v>
                </c:pt>
                <c:pt idx="212">
                  <c:v>-3.5499999999999963E-3</c:v>
                </c:pt>
                <c:pt idx="213">
                  <c:v>-3.529867256637279E-3</c:v>
                </c:pt>
                <c:pt idx="214">
                  <c:v>-3.6602422907489507E-3</c:v>
                </c:pt>
                <c:pt idx="215">
                  <c:v>-3.7395833333332658E-3</c:v>
                </c:pt>
                <c:pt idx="216">
                  <c:v>-3.8679039301310562E-3</c:v>
                </c:pt>
                <c:pt idx="217">
                  <c:v>-3.7478260869565649E-3</c:v>
                </c:pt>
                <c:pt idx="218">
                  <c:v>-3.8257575757575011E-3</c:v>
                </c:pt>
                <c:pt idx="219">
                  <c:v>-3.7068965517240552E-3</c:v>
                </c:pt>
                <c:pt idx="220">
                  <c:v>-3.6866952789698123E-3</c:v>
                </c:pt>
                <c:pt idx="221">
                  <c:v>-3.5694444444444645E-3</c:v>
                </c:pt>
                <c:pt idx="222">
                  <c:v>-3.6468085106383741E-3</c:v>
                </c:pt>
                <c:pt idx="223">
                  <c:v>-3.6753177966102426E-3</c:v>
                </c:pt>
                <c:pt idx="224">
                  <c:v>-3.6555907172995897E-3</c:v>
                </c:pt>
                <c:pt idx="225">
                  <c:v>-3.5882352941177089E-3</c:v>
                </c:pt>
                <c:pt idx="226">
                  <c:v>-3.5690376569037664E-3</c:v>
                </c:pt>
                <c:pt idx="227">
                  <c:v>-3.7395833333333369E-3</c:v>
                </c:pt>
                <c:pt idx="228">
                  <c:v>-3.5783195020746266E-3</c:v>
                </c:pt>
                <c:pt idx="229">
                  <c:v>-3.6534090909090839E-3</c:v>
                </c:pt>
                <c:pt idx="230">
                  <c:v>-3.6810699588477273E-3</c:v>
                </c:pt>
                <c:pt idx="231">
                  <c:v>-3.7551229508195516E-3</c:v>
                </c:pt>
                <c:pt idx="232">
                  <c:v>-3.7821428571428988E-3</c:v>
                </c:pt>
                <c:pt idx="233">
                  <c:v>-3.7164634146342364E-3</c:v>
                </c:pt>
                <c:pt idx="234">
                  <c:v>-3.6973684210526623E-3</c:v>
                </c:pt>
                <c:pt idx="235">
                  <c:v>-3.7242943548387378E-3</c:v>
                </c:pt>
                <c:pt idx="236">
                  <c:v>-3.613955823293193E-3</c:v>
                </c:pt>
                <c:pt idx="237">
                  <c:v>-3.5500000000000683E-3</c:v>
                </c:pt>
                <c:pt idx="238">
                  <c:v>-3.5771912350598262E-3</c:v>
                </c:pt>
                <c:pt idx="239">
                  <c:v>-3.5138888888888412E-3</c:v>
                </c:pt>
                <c:pt idx="240">
                  <c:v>-3.4510869565217389E-3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1B51-4335-814D-53B8B9178B55}"/>
            </c:ext>
          </c:extLst>
        </c:ser>
        <c:ser>
          <c:idx val="54"/>
          <c:order val="54"/>
          <c:tx>
            <c:strRef>
              <c:f>'전류편차_24mA(절대값기준)'!$DR$7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'전류편차_24mA(절대값기준)'!$DR$22:$DR$262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-1.1328125000000591E-3</c:v>
                </c:pt>
                <c:pt idx="4">
                  <c:v>9.9999999999998463E-4</c:v>
                </c:pt>
                <c:pt idx="5">
                  <c:v>-2.1597222222222035E-3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1.4945652173912992E-3</c:v>
                </c:pt>
                <c:pt idx="11">
                  <c:v>5.2604166666674057E-4</c:v>
                </c:pt>
                <c:pt idx="12">
                  <c:v>-3.6500000000005528E-4</c:v>
                </c:pt>
                <c:pt idx="13">
                  <c:v>5.6250000000002132E-4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1.7844827586206904E-3</c:v>
                </c:pt>
                <c:pt idx="17">
                  <c:v>1.7583333333333136E-3</c:v>
                </c:pt>
                <c:pt idx="18">
                  <c:v>1.0000000000000421E-3</c:v>
                </c:pt>
                <c:pt idx="19">
                  <c:v>2.4218749999998651E-3</c:v>
                </c:pt>
                <c:pt idx="20">
                  <c:v>2.7234848484848145E-3</c:v>
                </c:pt>
                <c:pt idx="21">
                  <c:v>9.9999999999998463E-4</c:v>
                </c:pt>
                <c:pt idx="22">
                  <c:v>1.6499999999998959E-3</c:v>
                </c:pt>
                <c:pt idx="23">
                  <c:v>1.000000000000092E-3</c:v>
                </c:pt>
                <c:pt idx="24">
                  <c:v>1.3074324324324714E-3</c:v>
                </c:pt>
                <c:pt idx="25">
                  <c:v>2.4967105263158126E-3</c:v>
                </c:pt>
                <c:pt idx="26">
                  <c:v>2.4583333333333401E-3</c:v>
                </c:pt>
                <c:pt idx="27">
                  <c:v>2.1375000000000226E-3</c:v>
                </c:pt>
                <c:pt idx="28">
                  <c:v>7.2256097560979295E-4</c:v>
                </c:pt>
                <c:pt idx="29">
                  <c:v>9.9999999999999156E-4</c:v>
                </c:pt>
                <c:pt idx="30">
                  <c:v>9.9999999999997769E-4</c:v>
                </c:pt>
                <c:pt idx="31">
                  <c:v>2.2926136363635732E-3</c:v>
                </c:pt>
                <c:pt idx="32">
                  <c:v>1.2527777777777015E-3</c:v>
                </c:pt>
                <c:pt idx="33">
                  <c:v>1.4945652173912992E-3</c:v>
                </c:pt>
                <c:pt idx="34">
                  <c:v>2.4521276595744507E-3</c:v>
                </c:pt>
                <c:pt idx="35">
                  <c:v>2.6588541666666111E-3</c:v>
                </c:pt>
                <c:pt idx="36">
                  <c:v>2.6250000000000362E-3</c:v>
                </c:pt>
                <c:pt idx="37">
                  <c:v>2.5924999999999217E-3</c:v>
                </c:pt>
                <c:pt idx="38">
                  <c:v>2.7843137254902812E-3</c:v>
                </c:pt>
                <c:pt idx="39">
                  <c:v>2.5312500000000959E-3</c:v>
                </c:pt>
                <c:pt idx="40">
                  <c:v>1.643867924528193E-3</c:v>
                </c:pt>
                <c:pt idx="41">
                  <c:v>1.63194444444442E-3</c:v>
                </c:pt>
                <c:pt idx="42">
                  <c:v>1.4136363636363513E-3</c:v>
                </c:pt>
                <c:pt idx="43">
                  <c:v>1.4062499999998868E-3</c:v>
                </c:pt>
                <c:pt idx="44">
                  <c:v>1.7982456140350105E-3</c:v>
                </c:pt>
                <c:pt idx="45">
                  <c:v>1.9806034482759281E-3</c:v>
                </c:pt>
                <c:pt idx="46">
                  <c:v>2.3495762711863671E-3</c:v>
                </c:pt>
                <c:pt idx="47">
                  <c:v>1.0000000000000638E-3</c:v>
                </c:pt>
                <c:pt idx="48">
                  <c:v>1.3729508196722257E-3</c:v>
                </c:pt>
                <c:pt idx="49">
                  <c:v>1.3669354838709694E-3</c:v>
                </c:pt>
                <c:pt idx="50">
                  <c:v>1.9027777777778706E-3</c:v>
                </c:pt>
                <c:pt idx="51">
                  <c:v>1.8886718749998447E-3</c:v>
                </c:pt>
                <c:pt idx="52">
                  <c:v>1.5249999999999541E-3</c:v>
                </c:pt>
                <c:pt idx="53">
                  <c:v>1.1723484848485449E-3</c:v>
                </c:pt>
                <c:pt idx="54">
                  <c:v>2.0186567164178671E-3</c:v>
                </c:pt>
                <c:pt idx="55">
                  <c:v>2.0036764705882578E-3</c:v>
                </c:pt>
                <c:pt idx="56">
                  <c:v>1.1648550724638724E-3</c:v>
                </c:pt>
                <c:pt idx="57">
                  <c:v>1.1624999999998774E-3</c:v>
                </c:pt>
                <c:pt idx="58">
                  <c:v>1.1602112676055757E-3</c:v>
                </c:pt>
                <c:pt idx="59">
                  <c:v>6.8402777777776421E-4</c:v>
                </c:pt>
                <c:pt idx="60">
                  <c:v>1.000000000000013E-3</c:v>
                </c:pt>
                <c:pt idx="61">
                  <c:v>1.4611486486486025E-3</c:v>
                </c:pt>
                <c:pt idx="62">
                  <c:v>1.1516666666667138E-3</c:v>
                </c:pt>
                <c:pt idx="63">
                  <c:v>1.4490131578946757E-3</c:v>
                </c:pt>
                <c:pt idx="64">
                  <c:v>2.0340909090909728E-3</c:v>
                </c:pt>
                <c:pt idx="65">
                  <c:v>1.7291666666666892E-3</c:v>
                </c:pt>
                <c:pt idx="66">
                  <c:v>2.1518987341771819E-3</c:v>
                </c:pt>
                <c:pt idx="67">
                  <c:v>2.2796875000000703E-3</c:v>
                </c:pt>
                <c:pt idx="68">
                  <c:v>2.5447530864198464E-3</c:v>
                </c:pt>
                <c:pt idx="69">
                  <c:v>1.9710365853658146E-3</c:v>
                </c:pt>
                <c:pt idx="70">
                  <c:v>1.9593373493976053E-3</c:v>
                </c:pt>
                <c:pt idx="71">
                  <c:v>2.3541666666666294E-3</c:v>
                </c:pt>
                <c:pt idx="72">
                  <c:v>2.2044117647058532E-3</c:v>
                </c:pt>
                <c:pt idx="73">
                  <c:v>2.4549418604651102E-3</c:v>
                </c:pt>
                <c:pt idx="74">
                  <c:v>2.3074712643678169E-3</c:v>
                </c:pt>
                <c:pt idx="75">
                  <c:v>1.6463068181817686E-3</c:v>
                </c:pt>
                <c:pt idx="76">
                  <c:v>1.6390449438202258E-3</c:v>
                </c:pt>
                <c:pt idx="77">
                  <c:v>2.0111111111110634E-3</c:v>
                </c:pt>
                <c:pt idx="78">
                  <c:v>2.0000000000000018E-3</c:v>
                </c:pt>
                <c:pt idx="79">
                  <c:v>2.4836956521740185E-3</c:v>
                </c:pt>
                <c:pt idx="80">
                  <c:v>2.100806451612933E-3</c:v>
                </c:pt>
                <c:pt idx="81">
                  <c:v>2.0890957446808196E-3</c:v>
                </c:pt>
                <c:pt idx="82">
                  <c:v>1.8381578947368844E-3</c:v>
                </c:pt>
                <c:pt idx="83">
                  <c:v>1.947916666666584E-3</c:v>
                </c:pt>
                <c:pt idx="84">
                  <c:v>2.4072164948453771E-3</c:v>
                </c:pt>
                <c:pt idx="85">
                  <c:v>2.3928571428571016E-3</c:v>
                </c:pt>
                <c:pt idx="86">
                  <c:v>2.1489898989899281E-3</c:v>
                </c:pt>
                <c:pt idx="87">
                  <c:v>2.5924999999999217E-3</c:v>
                </c:pt>
                <c:pt idx="88">
                  <c:v>1.9009900990099421E-3</c:v>
                </c:pt>
                <c:pt idx="89">
                  <c:v>2.2267156862745079E-3</c:v>
                </c:pt>
                <c:pt idx="90">
                  <c:v>1.7730582524271763E-3</c:v>
                </c:pt>
                <c:pt idx="91">
                  <c:v>1.5468750000000586E-3</c:v>
                </c:pt>
                <c:pt idx="92">
                  <c:v>1.4333333333333977E-3</c:v>
                </c:pt>
                <c:pt idx="93">
                  <c:v>1.4292452830188781E-3</c:v>
                </c:pt>
                <c:pt idx="94">
                  <c:v>1.4252336448597701E-3</c:v>
                </c:pt>
                <c:pt idx="95">
                  <c:v>1.4212962962962014E-3</c:v>
                </c:pt>
                <c:pt idx="96">
                  <c:v>1.3130733944955101E-3</c:v>
                </c:pt>
                <c:pt idx="97">
                  <c:v>1.2068181818182841E-3</c:v>
                </c:pt>
                <c:pt idx="98">
                  <c:v>1.5123873873872672E-3</c:v>
                </c:pt>
                <c:pt idx="99">
                  <c:v>1.4062499999998868E-3</c:v>
                </c:pt>
                <c:pt idx="100">
                  <c:v>7.9867256637167498E-4</c:v>
                </c:pt>
                <c:pt idx="101">
                  <c:v>8.004385964911721E-4</c:v>
                </c:pt>
                <c:pt idx="102">
                  <c:v>7.0326086956534316E-4</c:v>
                </c:pt>
                <c:pt idx="103">
                  <c:v>1.0000000000000872E-3</c:v>
                </c:pt>
                <c:pt idx="104">
                  <c:v>9.9999999999986515E-4</c:v>
                </c:pt>
                <c:pt idx="105">
                  <c:v>8.072033898304336E-4</c:v>
                </c:pt>
                <c:pt idx="106">
                  <c:v>2.3529411764708515E-4</c:v>
                </c:pt>
                <c:pt idx="107">
                  <c:v>-2.3229166666659343E-4</c:v>
                </c:pt>
                <c:pt idx="108">
                  <c:v>-3.4090909090820465E-5</c:v>
                </c:pt>
                <c:pt idx="109">
                  <c:v>6.7622950819827587E-5</c:v>
                </c:pt>
                <c:pt idx="110">
                  <c:v>-1.7276422764232508E-5</c:v>
                </c:pt>
                <c:pt idx="111">
                  <c:v>3.5786290322571554E-4</c:v>
                </c:pt>
                <c:pt idx="112">
                  <c:v>1.8099999999996542E-4</c:v>
                </c:pt>
                <c:pt idx="113">
                  <c:v>2.7777777777780889E-4</c:v>
                </c:pt>
                <c:pt idx="114">
                  <c:v>1.938976377953115E-4</c:v>
                </c:pt>
                <c:pt idx="115">
                  <c:v>1.1132812499988277E-4</c:v>
                </c:pt>
                <c:pt idx="116">
                  <c:v>1.1821705426356234E-4</c:v>
                </c:pt>
                <c:pt idx="117">
                  <c:v>3.750000000000142E-5</c:v>
                </c:pt>
                <c:pt idx="118">
                  <c:v>4.4847328244233002E-5</c:v>
                </c:pt>
                <c:pt idx="119">
                  <c:v>3.967803030303338E-4</c:v>
                </c:pt>
                <c:pt idx="120">
                  <c:v>-2.6315789473611194E-5</c:v>
                </c:pt>
                <c:pt idx="121">
                  <c:v>-1.8656716418031015E-5</c:v>
                </c:pt>
                <c:pt idx="122">
                  <c:v>-1.1111111111123045E-5</c:v>
                </c:pt>
                <c:pt idx="123">
                  <c:v>-1.7095588235290193E-4</c:v>
                </c:pt>
                <c:pt idx="124">
                  <c:v>-2.4543795620433591E-4</c:v>
                </c:pt>
                <c:pt idx="125">
                  <c:v>-1.5398550724627378E-4</c:v>
                </c:pt>
                <c:pt idx="126">
                  <c:v>-1.456834532373485E-4</c:v>
                </c:pt>
                <c:pt idx="127">
                  <c:v>-2.1875000000007858E-4</c:v>
                </c:pt>
                <c:pt idx="128">
                  <c:v>1.1258865248225907E-4</c:v>
                </c:pt>
                <c:pt idx="129">
                  <c:v>1.1883802816896386E-4</c:v>
                </c:pt>
                <c:pt idx="130">
                  <c:v>2.0454545454546229E-4</c:v>
                </c:pt>
                <c:pt idx="131">
                  <c:v>-2.6909722222122499E-5</c:v>
                </c:pt>
                <c:pt idx="132">
                  <c:v>-1.982758620683656E-5</c:v>
                </c:pt>
                <c:pt idx="133">
                  <c:v>-9.0753424657608655E-5</c:v>
                </c:pt>
                <c:pt idx="134">
                  <c:v>-4.7023809523813069E-4</c:v>
                </c:pt>
                <c:pt idx="135">
                  <c:v>-1.528716216215924E-4</c:v>
                </c:pt>
                <c:pt idx="136">
                  <c:v>-4.5050335570467334E-4</c:v>
                </c:pt>
                <c:pt idx="137">
                  <c:v>-2.1333333333333797E-4</c:v>
                </c:pt>
                <c:pt idx="138">
                  <c:v>-5.0662251655630031E-4</c:v>
                </c:pt>
                <c:pt idx="139">
                  <c:v>-7.9605263157896046E-4</c:v>
                </c:pt>
                <c:pt idx="140">
                  <c:v>-5.612745098039631E-4</c:v>
                </c:pt>
                <c:pt idx="141">
                  <c:v>-8.4659090909095468E-4</c:v>
                </c:pt>
                <c:pt idx="142">
                  <c:v>-6.8790322580635399E-4</c:v>
                </c:pt>
                <c:pt idx="143">
                  <c:v>-8.2291666666665475E-4</c:v>
                </c:pt>
                <c:pt idx="144">
                  <c:v>-6.6640127388545474E-4</c:v>
                </c:pt>
                <c:pt idx="145">
                  <c:v>-7.2784810126579459E-4</c:v>
                </c:pt>
                <c:pt idx="146">
                  <c:v>-3.5927672955970015E-4</c:v>
                </c:pt>
                <c:pt idx="147">
                  <c:v>-4.2187499999994801E-4</c:v>
                </c:pt>
                <c:pt idx="148">
                  <c:v>-4.1304347826085305E-4</c:v>
                </c:pt>
                <c:pt idx="149">
                  <c:v>-7.554012345678499E-4</c:v>
                </c:pt>
                <c:pt idx="150">
                  <c:v>-6.0506134969331255E-4</c:v>
                </c:pt>
                <c:pt idx="151">
                  <c:v>-5.9527439024387445E-4</c:v>
                </c:pt>
                <c:pt idx="152">
                  <c:v>-7.9242424242425679E-4</c:v>
                </c:pt>
                <c:pt idx="153">
                  <c:v>-8.5015060240964889E-4</c:v>
                </c:pt>
                <c:pt idx="154">
                  <c:v>-5.6661676646701912E-4</c:v>
                </c:pt>
                <c:pt idx="155">
                  <c:v>-6.9270833333336568E-4</c:v>
                </c:pt>
                <c:pt idx="156">
                  <c:v>-8.8461538461545792E-4</c:v>
                </c:pt>
                <c:pt idx="157">
                  <c:v>-8.7352941176469326E-4</c:v>
                </c:pt>
                <c:pt idx="158">
                  <c:v>-6.6301169590644578E-4</c:v>
                </c:pt>
                <c:pt idx="159">
                  <c:v>-7.194767441860557E-4</c:v>
                </c:pt>
                <c:pt idx="160">
                  <c:v>-7.7528901734104589E-4</c:v>
                </c:pt>
                <c:pt idx="161">
                  <c:v>-6.9971264367823507E-4</c:v>
                </c:pt>
                <c:pt idx="162">
                  <c:v>-9.5000000000007741E-4</c:v>
                </c:pt>
                <c:pt idx="163">
                  <c:v>-6.1576704545460409E-4</c:v>
                </c:pt>
                <c:pt idx="164">
                  <c:v>-6.0663841807907218E-4</c:v>
                </c:pt>
                <c:pt idx="165">
                  <c:v>-6.6151685393255695E-4</c:v>
                </c:pt>
                <c:pt idx="166">
                  <c:v>-7.793296089384815E-4</c:v>
                </c:pt>
                <c:pt idx="167">
                  <c:v>-1.0854166666666818E-3</c:v>
                </c:pt>
                <c:pt idx="168">
                  <c:v>-9.4820441988950719E-4</c:v>
                </c:pt>
                <c:pt idx="169">
                  <c:v>-1.1250000000000426E-3</c:v>
                </c:pt>
                <c:pt idx="170">
                  <c:v>-1.1133879781420393E-3</c:v>
                </c:pt>
                <c:pt idx="171">
                  <c:v>-9.7826086956516998E-4</c:v>
                </c:pt>
                <c:pt idx="172">
                  <c:v>-1.1520270270269084E-3</c:v>
                </c:pt>
                <c:pt idx="173">
                  <c:v>-9.5698924731184201E-4</c:v>
                </c:pt>
                <c:pt idx="174">
                  <c:v>-8.2486631016043146E-4</c:v>
                </c:pt>
                <c:pt idx="175">
                  <c:v>-8.1515957446822611E-4</c:v>
                </c:pt>
                <c:pt idx="176">
                  <c:v>-8.0555555555561888E-4</c:v>
                </c:pt>
                <c:pt idx="177">
                  <c:v>-8.5592105263163857E-4</c:v>
                </c:pt>
                <c:pt idx="178">
                  <c:v>-1.1439790575917587E-3</c:v>
                </c:pt>
                <c:pt idx="179">
                  <c:v>-1.07356770833332E-3</c:v>
                </c:pt>
                <c:pt idx="180">
                  <c:v>-9.4494818652847412E-4</c:v>
                </c:pt>
                <c:pt idx="181">
                  <c:v>-1.0521907216495298E-3</c:v>
                </c:pt>
                <c:pt idx="182">
                  <c:v>-9.8333333333323241E-4</c:v>
                </c:pt>
                <c:pt idx="183">
                  <c:v>-1.0892857142856815E-3</c:v>
                </c:pt>
                <c:pt idx="184">
                  <c:v>-1.1364213197969186E-3</c:v>
                </c:pt>
                <c:pt idx="185">
                  <c:v>-1.3554292929292607E-3</c:v>
                </c:pt>
                <c:pt idx="186">
                  <c:v>-1.1721105527637075E-3</c:v>
                </c:pt>
                <c:pt idx="187">
                  <c:v>-1.2750000000001571E-3</c:v>
                </c:pt>
                <c:pt idx="188">
                  <c:v>-1.3768656716418122E-3</c:v>
                </c:pt>
                <c:pt idx="189">
                  <c:v>-1.3087871287129516E-3</c:v>
                </c:pt>
                <c:pt idx="190">
                  <c:v>-1.2413793103447674E-3</c:v>
                </c:pt>
                <c:pt idx="191">
                  <c:v>-1.2303921568628121E-3</c:v>
                </c:pt>
                <c:pt idx="192">
                  <c:v>-1.330487804877983E-3</c:v>
                </c:pt>
                <c:pt idx="193">
                  <c:v>-1.3743932038834264E-3</c:v>
                </c:pt>
                <c:pt idx="194">
                  <c:v>-1.2530193236714199E-3</c:v>
                </c:pt>
                <c:pt idx="195">
                  <c:v>-1.5156249999999927E-3</c:v>
                </c:pt>
                <c:pt idx="196">
                  <c:v>-1.5035885167463347E-3</c:v>
                </c:pt>
                <c:pt idx="197">
                  <c:v>-1.4374999999999807E-3</c:v>
                </c:pt>
                <c:pt idx="198">
                  <c:v>-1.3720379146919804E-3</c:v>
                </c:pt>
                <c:pt idx="199">
                  <c:v>-1.4145047169811661E-3</c:v>
                </c:pt>
                <c:pt idx="200">
                  <c:v>-1.2429577464788328E-3</c:v>
                </c:pt>
                <c:pt idx="201">
                  <c:v>-1.2856308411214521E-3</c:v>
                </c:pt>
                <c:pt idx="202">
                  <c:v>-1.2750000000000773E-3</c:v>
                </c:pt>
                <c:pt idx="203">
                  <c:v>-1.4224537037037192E-3</c:v>
                </c:pt>
                <c:pt idx="204">
                  <c:v>-1.4112903225805937E-3</c:v>
                </c:pt>
                <c:pt idx="205">
                  <c:v>-1.5045871559633123E-3</c:v>
                </c:pt>
                <c:pt idx="206">
                  <c:v>-1.2853881278537551E-3</c:v>
                </c:pt>
                <c:pt idx="207">
                  <c:v>-1.1715909090907746E-3</c:v>
                </c:pt>
                <c:pt idx="208">
                  <c:v>-1.2647058823528673E-3</c:v>
                </c:pt>
                <c:pt idx="209">
                  <c:v>-1.1520270270271265E-3</c:v>
                </c:pt>
                <c:pt idx="210">
                  <c:v>-1.1423766816143837E-3</c:v>
                </c:pt>
                <c:pt idx="211">
                  <c:v>-1.183593750000031E-3</c:v>
                </c:pt>
                <c:pt idx="212">
                  <c:v>-1.3761111111111448E-3</c:v>
                </c:pt>
                <c:pt idx="213">
                  <c:v>-1.3655973451327126E-3</c:v>
                </c:pt>
                <c:pt idx="214">
                  <c:v>-1.4052863436123013E-3</c:v>
                </c:pt>
                <c:pt idx="215">
                  <c:v>-1.44462719298242E-3</c:v>
                </c:pt>
                <c:pt idx="216">
                  <c:v>-1.2352620087336351E-3</c:v>
                </c:pt>
                <c:pt idx="217">
                  <c:v>-1.5717391304348016E-3</c:v>
                </c:pt>
                <c:pt idx="218">
                  <c:v>-1.6590909090908107E-3</c:v>
                </c:pt>
                <c:pt idx="219">
                  <c:v>-1.7947198275860517E-3</c:v>
                </c:pt>
                <c:pt idx="220">
                  <c:v>-1.6362660944205518E-3</c:v>
                </c:pt>
                <c:pt idx="221">
                  <c:v>-1.7222222222222298E-3</c:v>
                </c:pt>
                <c:pt idx="222">
                  <c:v>-1.710638297872458E-3</c:v>
                </c:pt>
                <c:pt idx="223">
                  <c:v>-1.6991525423729369E-3</c:v>
                </c:pt>
                <c:pt idx="224">
                  <c:v>-1.7357594936709387E-3</c:v>
                </c:pt>
                <c:pt idx="225">
                  <c:v>-1.5330882352942148E-3</c:v>
                </c:pt>
                <c:pt idx="226">
                  <c:v>-1.7128661087865414E-3</c:v>
                </c:pt>
                <c:pt idx="227">
                  <c:v>-1.8911458333332669E-3</c:v>
                </c:pt>
                <c:pt idx="228">
                  <c:v>-1.7375518672199529E-3</c:v>
                </c:pt>
                <c:pt idx="229">
                  <c:v>-1.8672520661156835E-3</c:v>
                </c:pt>
                <c:pt idx="230">
                  <c:v>-1.5745884773661657E-3</c:v>
                </c:pt>
                <c:pt idx="231">
                  <c:v>-1.6572745901638998E-3</c:v>
                </c:pt>
                <c:pt idx="232">
                  <c:v>-1.7392857142857336E-3</c:v>
                </c:pt>
                <c:pt idx="233">
                  <c:v>-1.7743902439024556E-3</c:v>
                </c:pt>
                <c:pt idx="234">
                  <c:v>-1.8092105263158033E-3</c:v>
                </c:pt>
                <c:pt idx="235">
                  <c:v>-1.9813508064516292E-3</c:v>
                </c:pt>
                <c:pt idx="236">
                  <c:v>-1.9693775100401187E-3</c:v>
                </c:pt>
                <c:pt idx="237">
                  <c:v>-1.8210000000000565E-3</c:v>
                </c:pt>
                <c:pt idx="238">
                  <c:v>-1.8097609561752972E-3</c:v>
                </c:pt>
                <c:pt idx="239">
                  <c:v>-1.6180555555555963E-3</c:v>
                </c:pt>
                <c:pt idx="240">
                  <c:v>-1.4728260869564997E-3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1B51-4335-814D-53B8B9178B55}"/>
            </c:ext>
          </c:extLst>
        </c:ser>
        <c:ser>
          <c:idx val="55"/>
          <c:order val="55"/>
          <c:tx>
            <c:strRef>
              <c:f>'전류편차_24mA(절대값기준)'!$DS$7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'전류편차_24mA(절대값기준)'!$DS$22:$DS$262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-6.3124999999999848E-3</c:v>
                </c:pt>
                <c:pt idx="2">
                  <c:v>-1.2750000000000224E-3</c:v>
                </c:pt>
                <c:pt idx="3">
                  <c:v>-1.8437500000001385E-3</c:v>
                </c:pt>
                <c:pt idx="4">
                  <c:v>3.0073529411765313E-3</c:v>
                </c:pt>
                <c:pt idx="5">
                  <c:v>3.6805555555557669E-4</c:v>
                </c:pt>
                <c:pt idx="6">
                  <c:v>9.9999999999992196E-4</c:v>
                </c:pt>
                <c:pt idx="7">
                  <c:v>2.1375000000000226E-3</c:v>
                </c:pt>
                <c:pt idx="8">
                  <c:v>6.4166666666666625E-3</c:v>
                </c:pt>
                <c:pt idx="9">
                  <c:v>3.5852272727272968E-3</c:v>
                </c:pt>
                <c:pt idx="10">
                  <c:v>6.9347826086957071E-3</c:v>
                </c:pt>
                <c:pt idx="11">
                  <c:v>4.3177083333334103E-3</c:v>
                </c:pt>
                <c:pt idx="12">
                  <c:v>7.8249999999998494E-3</c:v>
                </c:pt>
                <c:pt idx="13">
                  <c:v>5.3750000000000742E-3</c:v>
                </c:pt>
                <c:pt idx="14">
                  <c:v>5.2129629629630121E-3</c:v>
                </c:pt>
                <c:pt idx="15">
                  <c:v>6.2812499999998911E-3</c:v>
                </c:pt>
                <c:pt idx="16">
                  <c:v>5.7068965517242292E-3</c:v>
                </c:pt>
                <c:pt idx="17">
                  <c:v>6.3083333333333177E-3</c:v>
                </c:pt>
                <c:pt idx="18">
                  <c:v>7.9717741935483137E-3</c:v>
                </c:pt>
                <c:pt idx="19">
                  <c:v>6.687499999999868E-3</c:v>
                </c:pt>
                <c:pt idx="20">
                  <c:v>6.1704545454545909E-3</c:v>
                </c:pt>
                <c:pt idx="21">
                  <c:v>9.3639705882352497E-3</c:v>
                </c:pt>
                <c:pt idx="22">
                  <c:v>8.4750000000000103E-3</c:v>
                </c:pt>
                <c:pt idx="23">
                  <c:v>6.6875000000000268E-3</c:v>
                </c:pt>
                <c:pt idx="24">
                  <c:v>6.5337837837837935E-3</c:v>
                </c:pt>
                <c:pt idx="25">
                  <c:v>7.8848684210525918E-3</c:v>
                </c:pt>
                <c:pt idx="26">
                  <c:v>5.6666666666667087E-3</c:v>
                </c:pt>
                <c:pt idx="27">
                  <c:v>5.8343749999999949E-3</c:v>
                </c:pt>
                <c:pt idx="28">
                  <c:v>5.4390243902439125E-3</c:v>
                </c:pt>
                <c:pt idx="29">
                  <c:v>5.8749999999999358E-3</c:v>
                </c:pt>
                <c:pt idx="30">
                  <c:v>5.497093023255884E-3</c:v>
                </c:pt>
                <c:pt idx="31">
                  <c:v>5.6534090909091169E-3</c:v>
                </c:pt>
                <c:pt idx="32">
                  <c:v>5.5500000000000115E-3</c:v>
                </c:pt>
                <c:pt idx="33">
                  <c:v>6.9347826086957071E-3</c:v>
                </c:pt>
                <c:pt idx="34">
                  <c:v>5.5984042553191074E-3</c:v>
                </c:pt>
                <c:pt idx="35">
                  <c:v>5.7395833333332537E-3</c:v>
                </c:pt>
                <c:pt idx="36">
                  <c:v>5.642857142857156E-3</c:v>
                </c:pt>
                <c:pt idx="37">
                  <c:v>5.0949999999999494E-3</c:v>
                </c:pt>
                <c:pt idx="38">
                  <c:v>5.0147058823529784E-3</c:v>
                </c:pt>
                <c:pt idx="39">
                  <c:v>5.1562500000000011E-3</c:v>
                </c:pt>
                <c:pt idx="40">
                  <c:v>5.7216981132074659E-3</c:v>
                </c:pt>
                <c:pt idx="41">
                  <c:v>4.5810185185185433E-3</c:v>
                </c:pt>
                <c:pt idx="42">
                  <c:v>5.7568181818183342E-3</c:v>
                </c:pt>
                <c:pt idx="43">
                  <c:v>4.4531250000000022E-3</c:v>
                </c:pt>
                <c:pt idx="44">
                  <c:v>3.9934210526315255E-3</c:v>
                </c:pt>
                <c:pt idx="45">
                  <c:v>3.9418103448276105E-3</c:v>
                </c:pt>
                <c:pt idx="46">
                  <c:v>4.6631355932203527E-3</c:v>
                </c:pt>
                <c:pt idx="47">
                  <c:v>4.6020833333334215E-3</c:v>
                </c:pt>
                <c:pt idx="48">
                  <c:v>4.1700819672131498E-3</c:v>
                </c:pt>
                <c:pt idx="49">
                  <c:v>3.5685483870966962E-3</c:v>
                </c:pt>
                <c:pt idx="50">
                  <c:v>3.3472222222223165E-3</c:v>
                </c:pt>
                <c:pt idx="51">
                  <c:v>3.6660156249999644E-3</c:v>
                </c:pt>
                <c:pt idx="52">
                  <c:v>2.574999999999994E-3</c:v>
                </c:pt>
                <c:pt idx="53">
                  <c:v>2.3787878787878826E-3</c:v>
                </c:pt>
                <c:pt idx="54">
                  <c:v>2.6977611940297323E-3</c:v>
                </c:pt>
                <c:pt idx="55">
                  <c:v>3.8437500000000429E-3</c:v>
                </c:pt>
                <c:pt idx="56">
                  <c:v>2.4836956521740185E-3</c:v>
                </c:pt>
                <c:pt idx="57">
                  <c:v>2.9499999999998971E-3</c:v>
                </c:pt>
                <c:pt idx="58">
                  <c:v>1.9612676056337277E-3</c:v>
                </c:pt>
                <c:pt idx="59">
                  <c:v>1.9479166666666542E-3</c:v>
                </c:pt>
                <c:pt idx="60">
                  <c:v>1.7791095890410922E-3</c:v>
                </c:pt>
                <c:pt idx="61">
                  <c:v>2.0760135135135362E-3</c:v>
                </c:pt>
                <c:pt idx="62">
                  <c:v>1.910000000000031E-3</c:v>
                </c:pt>
                <c:pt idx="63">
                  <c:v>9.9999999999992196E-4</c:v>
                </c:pt>
                <c:pt idx="64">
                  <c:v>7.0454545454546778E-4</c:v>
                </c:pt>
                <c:pt idx="65">
                  <c:v>5.6250000000002132E-4</c:v>
                </c:pt>
                <c:pt idx="66">
                  <c:v>2.8006329113922161E-4</c:v>
                </c:pt>
                <c:pt idx="67">
                  <c:v>1.4687499999998938E-4</c:v>
                </c:pt>
                <c:pt idx="68">
                  <c:v>4.3827160493828502E-4</c:v>
                </c:pt>
                <c:pt idx="69">
                  <c:v>-3.8719512195118364E-4</c:v>
                </c:pt>
                <c:pt idx="70">
                  <c:v>-2.3343373493974604E-4</c:v>
                </c:pt>
                <c:pt idx="71">
                  <c:v>4.5833333333326432E-4</c:v>
                </c:pt>
                <c:pt idx="72">
                  <c:v>1.9705882352942533E-4</c:v>
                </c:pt>
                <c:pt idx="73">
                  <c:v>-5.8720930232554643E-4</c:v>
                </c:pt>
                <c:pt idx="74">
                  <c:v>-8.3045977011494423E-4</c:v>
                </c:pt>
                <c:pt idx="75">
                  <c:v>-4.2187500000005133E-4</c:v>
                </c:pt>
                <c:pt idx="76">
                  <c:v>-7.8932584269664457E-4</c:v>
                </c:pt>
                <c:pt idx="77">
                  <c:v>-8.9583333333334136E-4</c:v>
                </c:pt>
                <c:pt idx="78">
                  <c:v>-1.2499999999999734E-3</c:v>
                </c:pt>
                <c:pt idx="79">
                  <c:v>-1.5964673913043972E-3</c:v>
                </c:pt>
                <c:pt idx="80">
                  <c:v>-1.5685483870966667E-3</c:v>
                </c:pt>
                <c:pt idx="81">
                  <c:v>-1.7832446808510982E-3</c:v>
                </c:pt>
                <c:pt idx="82">
                  <c:v>-2.1131578947369495E-3</c:v>
                </c:pt>
                <c:pt idx="83">
                  <c:v>-2.3177083333333673E-3</c:v>
                </c:pt>
                <c:pt idx="84">
                  <c:v>-2.7525773195876692E-3</c:v>
                </c:pt>
                <c:pt idx="85">
                  <c:v>-2.1339285714285783E-3</c:v>
                </c:pt>
                <c:pt idx="86">
                  <c:v>-2.9065656565654789E-3</c:v>
                </c:pt>
                <c:pt idx="87">
                  <c:v>-1.7300000000001069E-3</c:v>
                </c:pt>
                <c:pt idx="88">
                  <c:v>-2.829207920792217E-3</c:v>
                </c:pt>
                <c:pt idx="89">
                  <c:v>-2.903186274509736E-3</c:v>
                </c:pt>
                <c:pt idx="90">
                  <c:v>-2.86529126213591E-3</c:v>
                </c:pt>
                <c:pt idx="91">
                  <c:v>-2.9374999999999818E-3</c:v>
                </c:pt>
                <c:pt idx="92">
                  <c:v>-3.1166666666665828E-3</c:v>
                </c:pt>
                <c:pt idx="93">
                  <c:v>-2.9705188679245574E-3</c:v>
                </c:pt>
                <c:pt idx="94">
                  <c:v>-3.3586448598131192E-3</c:v>
                </c:pt>
                <c:pt idx="95">
                  <c:v>-3.4236111111111403E-3</c:v>
                </c:pt>
                <c:pt idx="96">
                  <c:v>-3.0699541284402504E-3</c:v>
                </c:pt>
                <c:pt idx="97">
                  <c:v>-2.6193181818181636E-3</c:v>
                </c:pt>
                <c:pt idx="98">
                  <c:v>-3.5090090090090765E-3</c:v>
                </c:pt>
                <c:pt idx="99">
                  <c:v>-3.7734375000001291E-3</c:v>
                </c:pt>
                <c:pt idx="100">
                  <c:v>-3.0265486725664036E-3</c:v>
                </c:pt>
                <c:pt idx="101">
                  <c:v>-3.9890350877193588E-3</c:v>
                </c:pt>
                <c:pt idx="102">
                  <c:v>-3.9456521739129769E-3</c:v>
                </c:pt>
                <c:pt idx="103">
                  <c:v>-4.1971982758620633E-3</c:v>
                </c:pt>
                <c:pt idx="104">
                  <c:v>-3.5694444444444645E-3</c:v>
                </c:pt>
                <c:pt idx="105">
                  <c:v>-3.9163135593220594E-3</c:v>
                </c:pt>
                <c:pt idx="106">
                  <c:v>-4.1617647058824368E-3</c:v>
                </c:pt>
                <c:pt idx="107">
                  <c:v>-3.2656249999999296E-3</c:v>
                </c:pt>
                <c:pt idx="108">
                  <c:v>-3.9824380165288196E-3</c:v>
                </c:pt>
                <c:pt idx="109">
                  <c:v>-4.2213114754097881E-3</c:v>
                </c:pt>
                <c:pt idx="110">
                  <c:v>-4.2713414634147455E-3</c:v>
                </c:pt>
                <c:pt idx="111">
                  <c:v>-4.2288306451612832E-3</c:v>
                </c:pt>
                <c:pt idx="112">
                  <c:v>-4.0049999999999773E-3</c:v>
                </c:pt>
                <c:pt idx="113">
                  <c:v>-4.6874999999999434E-3</c:v>
                </c:pt>
                <c:pt idx="114">
                  <c:v>-4.821850393700677E-3</c:v>
                </c:pt>
                <c:pt idx="115">
                  <c:v>-4.9541015625001513E-3</c:v>
                </c:pt>
                <c:pt idx="116">
                  <c:v>-4.99612403100774E-3</c:v>
                </c:pt>
                <c:pt idx="117">
                  <c:v>-4.8625000000000803E-3</c:v>
                </c:pt>
                <c:pt idx="118">
                  <c:v>-4.9914122137404851E-3</c:v>
                </c:pt>
                <c:pt idx="119">
                  <c:v>-5.204545454545381E-3</c:v>
                </c:pt>
                <c:pt idx="120">
                  <c:v>-5.328947368420928E-3</c:v>
                </c:pt>
                <c:pt idx="121">
                  <c:v>-5.4514925373135579E-3</c:v>
                </c:pt>
                <c:pt idx="122">
                  <c:v>-5.1509259259259329E-3</c:v>
                </c:pt>
                <c:pt idx="123">
                  <c:v>-5.440257352941188E-3</c:v>
                </c:pt>
                <c:pt idx="124">
                  <c:v>-4.812043795620371E-3</c:v>
                </c:pt>
                <c:pt idx="125">
                  <c:v>-5.5117753623188433E-3</c:v>
                </c:pt>
                <c:pt idx="126">
                  <c:v>-5.7922661870503673E-3</c:v>
                </c:pt>
                <c:pt idx="127">
                  <c:v>-5.5812499999999925E-3</c:v>
                </c:pt>
                <c:pt idx="128">
                  <c:v>-5.69592198581569E-3</c:v>
                </c:pt>
                <c:pt idx="129">
                  <c:v>-6.1294014084507069E-3</c:v>
                </c:pt>
                <c:pt idx="130">
                  <c:v>-6.3181818181817281E-3</c:v>
                </c:pt>
                <c:pt idx="131">
                  <c:v>-6.3463541666665731E-3</c:v>
                </c:pt>
                <c:pt idx="132">
                  <c:v>-6.45258620689655E-3</c:v>
                </c:pt>
                <c:pt idx="133">
                  <c:v>-6.7131849315068513E-3</c:v>
                </c:pt>
                <c:pt idx="134">
                  <c:v>-7.2023809523809679E-3</c:v>
                </c:pt>
                <c:pt idx="135">
                  <c:v>-6.9163851351351805E-3</c:v>
                </c:pt>
                <c:pt idx="136">
                  <c:v>-6.3288590604026569E-3</c:v>
                </c:pt>
                <c:pt idx="137">
                  <c:v>-7.1141666666666185E-3</c:v>
                </c:pt>
                <c:pt idx="138">
                  <c:v>-7.1357615894040551E-3</c:v>
                </c:pt>
                <c:pt idx="139">
                  <c:v>-7.3815789473685063E-3</c:v>
                </c:pt>
                <c:pt idx="140">
                  <c:v>-7.3267973856209045E-3</c:v>
                </c:pt>
                <c:pt idx="141">
                  <c:v>-7.3465909090908946E-3</c:v>
                </c:pt>
                <c:pt idx="142">
                  <c:v>-7.1459677419354571E-3</c:v>
                </c:pt>
                <c:pt idx="143">
                  <c:v>-7.3854166666666443E-3</c:v>
                </c:pt>
                <c:pt idx="144">
                  <c:v>-7.4769108280255394E-3</c:v>
                </c:pt>
                <c:pt idx="145">
                  <c:v>-7.4952531645570194E-3</c:v>
                </c:pt>
                <c:pt idx="146">
                  <c:v>-7.012578616352151E-3</c:v>
                </c:pt>
                <c:pt idx="147">
                  <c:v>-7.6734374999999702E-3</c:v>
                </c:pt>
                <c:pt idx="148">
                  <c:v>-7.6902173913043145E-3</c:v>
                </c:pt>
                <c:pt idx="149">
                  <c:v>-7.9174382716049093E-3</c:v>
                </c:pt>
                <c:pt idx="150">
                  <c:v>-8.0023006134969845E-3</c:v>
                </c:pt>
                <c:pt idx="151">
                  <c:v>-7.9474085365853295E-3</c:v>
                </c:pt>
                <c:pt idx="152">
                  <c:v>-8.1000000000000048E-3</c:v>
                </c:pt>
                <c:pt idx="153">
                  <c:v>-7.8396084337349712E-3</c:v>
                </c:pt>
                <c:pt idx="154">
                  <c:v>-7.6504491017963068E-3</c:v>
                </c:pt>
                <c:pt idx="155">
                  <c:v>-7.8020833333333943E-3</c:v>
                </c:pt>
                <c:pt idx="156">
                  <c:v>-8.0865384615384887E-3</c:v>
                </c:pt>
                <c:pt idx="157">
                  <c:v>-7.7654411764705592E-3</c:v>
                </c:pt>
                <c:pt idx="158">
                  <c:v>-7.9802631578947125E-3</c:v>
                </c:pt>
                <c:pt idx="159">
                  <c:v>-7.8619186046510903E-3</c:v>
                </c:pt>
                <c:pt idx="160">
                  <c:v>-7.9421965317919129E-3</c:v>
                </c:pt>
                <c:pt idx="161">
                  <c:v>-8.2176724137931912E-3</c:v>
                </c:pt>
                <c:pt idx="162">
                  <c:v>-7.9050000000000335E-3</c:v>
                </c:pt>
                <c:pt idx="163">
                  <c:v>-8.2421874999999648E-3</c:v>
                </c:pt>
                <c:pt idx="164">
                  <c:v>-8.1257062146892992E-3</c:v>
                </c:pt>
                <c:pt idx="165">
                  <c:v>-7.8827247191010676E-3</c:v>
                </c:pt>
                <c:pt idx="166">
                  <c:v>-8.5956703910613445E-3</c:v>
                </c:pt>
                <c:pt idx="167">
                  <c:v>-8.5423611111111464E-3</c:v>
                </c:pt>
                <c:pt idx="168">
                  <c:v>-8.5524861878453363E-3</c:v>
                </c:pt>
                <c:pt idx="169">
                  <c:v>-8.2499999999999796E-3</c:v>
                </c:pt>
                <c:pt idx="170">
                  <c:v>-8.5102459016392924E-3</c:v>
                </c:pt>
                <c:pt idx="171">
                  <c:v>-8.5203804347825547E-3</c:v>
                </c:pt>
                <c:pt idx="172">
                  <c:v>-8.4074324324324434E-3</c:v>
                </c:pt>
                <c:pt idx="173">
                  <c:v>-8.4791666666665325E-3</c:v>
                </c:pt>
                <c:pt idx="174">
                  <c:v>-8.4284759358288809E-3</c:v>
                </c:pt>
                <c:pt idx="175">
                  <c:v>-8.5598404255320618E-3</c:v>
                </c:pt>
                <c:pt idx="176">
                  <c:v>-8.6296296296296329E-3</c:v>
                </c:pt>
                <c:pt idx="177">
                  <c:v>-8.7585526315790939E-3</c:v>
                </c:pt>
                <c:pt idx="178">
                  <c:v>-8.4096858638744738E-3</c:v>
                </c:pt>
                <c:pt idx="179">
                  <c:v>-8.7753906249999278E-3</c:v>
                </c:pt>
                <c:pt idx="180">
                  <c:v>-8.6658031088082798E-3</c:v>
                </c:pt>
                <c:pt idx="181">
                  <c:v>-8.9091494845361472E-3</c:v>
                </c:pt>
                <c:pt idx="182">
                  <c:v>-9.0916666666667357E-3</c:v>
                </c:pt>
                <c:pt idx="183">
                  <c:v>-8.9241071428569959E-3</c:v>
                </c:pt>
                <c:pt idx="184">
                  <c:v>-9.1046954314719375E-3</c:v>
                </c:pt>
                <c:pt idx="185">
                  <c:v>-8.8813131313131132E-3</c:v>
                </c:pt>
                <c:pt idx="186">
                  <c:v>-9.0031407035175027E-3</c:v>
                </c:pt>
                <c:pt idx="187">
                  <c:v>-8.7825000000000368E-3</c:v>
                </c:pt>
                <c:pt idx="188">
                  <c:v>-9.0167910447762293E-3</c:v>
                </c:pt>
                <c:pt idx="189">
                  <c:v>-9.1361386138614289E-3</c:v>
                </c:pt>
                <c:pt idx="190">
                  <c:v>-9.1422413793103841E-3</c:v>
                </c:pt>
                <c:pt idx="191">
                  <c:v>-9.148284313725526E-3</c:v>
                </c:pt>
                <c:pt idx="192">
                  <c:v>-9.0987804878048441E-3</c:v>
                </c:pt>
                <c:pt idx="193">
                  <c:v>-9.1601941747573128E-3</c:v>
                </c:pt>
                <c:pt idx="194">
                  <c:v>-9.1111111111110716E-3</c:v>
                </c:pt>
                <c:pt idx="195">
                  <c:v>-9.2265624999998963E-3</c:v>
                </c:pt>
                <c:pt idx="196">
                  <c:v>-9.1776315789473904E-3</c:v>
                </c:pt>
                <c:pt idx="197">
                  <c:v>-9.4541666666666316E-3</c:v>
                </c:pt>
                <c:pt idx="198">
                  <c:v>-9.4585308056873551E-3</c:v>
                </c:pt>
                <c:pt idx="199">
                  <c:v>-9.5701650943397117E-3</c:v>
                </c:pt>
                <c:pt idx="200">
                  <c:v>-9.4671361502348863E-3</c:v>
                </c:pt>
                <c:pt idx="201">
                  <c:v>-9.5776869158879317E-3</c:v>
                </c:pt>
                <c:pt idx="202">
                  <c:v>-9.4226744186047245E-3</c:v>
                </c:pt>
                <c:pt idx="203">
                  <c:v>-9.6903935185185357E-3</c:v>
                </c:pt>
                <c:pt idx="204">
                  <c:v>-9.4838709677418798E-3</c:v>
                </c:pt>
                <c:pt idx="205">
                  <c:v>-9.6444954128439842E-3</c:v>
                </c:pt>
                <c:pt idx="206">
                  <c:v>-9.7517123287670111E-3</c:v>
                </c:pt>
                <c:pt idx="207">
                  <c:v>-9.7545454545453405E-3</c:v>
                </c:pt>
                <c:pt idx="208">
                  <c:v>-9.6029411764704652E-3</c:v>
                </c:pt>
                <c:pt idx="209">
                  <c:v>-9.7601351351351961E-3</c:v>
                </c:pt>
                <c:pt idx="210">
                  <c:v>-9.7118834080717441E-3</c:v>
                </c:pt>
                <c:pt idx="211">
                  <c:v>-1.0019531250000005E-2</c:v>
                </c:pt>
                <c:pt idx="212">
                  <c:v>-1.007166666666673E-2</c:v>
                </c:pt>
                <c:pt idx="213">
                  <c:v>-1.0173672566371686E-2</c:v>
                </c:pt>
                <c:pt idx="214">
                  <c:v>-1.0324889867841417E-2</c:v>
                </c:pt>
                <c:pt idx="215">
                  <c:v>-1.0325109649122812E-2</c:v>
                </c:pt>
                <c:pt idx="216">
                  <c:v>-1.0076965065502236E-2</c:v>
                </c:pt>
                <c:pt idx="217">
                  <c:v>-1.032554347826087E-2</c:v>
                </c:pt>
                <c:pt idx="218">
                  <c:v>-1.0227272727272604E-2</c:v>
                </c:pt>
                <c:pt idx="219">
                  <c:v>-1.0571120689655118E-2</c:v>
                </c:pt>
                <c:pt idx="220">
                  <c:v>-1.0521459227467694E-2</c:v>
                </c:pt>
                <c:pt idx="221">
                  <c:v>-1.0569444444444557E-2</c:v>
                </c:pt>
                <c:pt idx="222">
                  <c:v>-1.0568617021276705E-2</c:v>
                </c:pt>
                <c:pt idx="223">
                  <c:v>-1.0808792372881414E-2</c:v>
                </c:pt>
                <c:pt idx="224">
                  <c:v>-1.0854957805907115E-2</c:v>
                </c:pt>
                <c:pt idx="225">
                  <c:v>-1.06617647058824E-2</c:v>
                </c:pt>
                <c:pt idx="226">
                  <c:v>-1.0898535564853554E-2</c:v>
                </c:pt>
                <c:pt idx="227">
                  <c:v>-1.0801562500000047E-2</c:v>
                </c:pt>
                <c:pt idx="228">
                  <c:v>-1.0894190871369287E-2</c:v>
                </c:pt>
                <c:pt idx="229">
                  <c:v>-1.0892045454545444E-2</c:v>
                </c:pt>
                <c:pt idx="230">
                  <c:v>-1.1077160493827044E-2</c:v>
                </c:pt>
                <c:pt idx="231">
                  <c:v>-1.1167520491803274E-2</c:v>
                </c:pt>
                <c:pt idx="232">
                  <c:v>-1.1257142857142962E-2</c:v>
                </c:pt>
                <c:pt idx="233">
                  <c:v>-1.0929878048780522E-2</c:v>
                </c:pt>
                <c:pt idx="234">
                  <c:v>-1.0927631578947401E-2</c:v>
                </c:pt>
                <c:pt idx="235">
                  <c:v>-1.1108870967742025E-2</c:v>
                </c:pt>
                <c:pt idx="236">
                  <c:v>-1.1197289156626542E-2</c:v>
                </c:pt>
                <c:pt idx="237">
                  <c:v>-1.0875499999999969E-2</c:v>
                </c:pt>
                <c:pt idx="238">
                  <c:v>-1.1145418326693204E-2</c:v>
                </c:pt>
                <c:pt idx="239">
                  <c:v>-1.1187500000000029E-2</c:v>
                </c:pt>
                <c:pt idx="240">
                  <c:v>-1.1049407114624528E-2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1B51-4335-814D-53B8B9178B55}"/>
            </c:ext>
          </c:extLst>
        </c:ser>
        <c:ser>
          <c:idx val="56"/>
          <c:order val="56"/>
          <c:tx>
            <c:strRef>
              <c:f>'전류편차_24mA(절대값기준)'!$DT$7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'전류편차_24mA(절대값기준)'!$DT$22:$DT$262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-1.4374999999999805E-3</c:v>
                </c:pt>
                <c:pt idx="2">
                  <c:v>-4.3083333333333584E-3</c:v>
                </c:pt>
                <c:pt idx="3">
                  <c:v>-6.8203125000000633E-3</c:v>
                </c:pt>
                <c:pt idx="4">
                  <c:v>-6.3602941176470066E-3</c:v>
                </c:pt>
                <c:pt idx="5">
                  <c:v>-4.0555555555554686E-3</c:v>
                </c:pt>
                <c:pt idx="6">
                  <c:v>-3.7894736842106085E-3</c:v>
                </c:pt>
                <c:pt idx="7">
                  <c:v>-1.8437500000000439E-3</c:v>
                </c:pt>
                <c:pt idx="8">
                  <c:v>-1.7083333333334041E-3</c:v>
                </c:pt>
                <c:pt idx="9">
                  <c:v>-2.1022727272727655E-3</c:v>
                </c:pt>
                <c:pt idx="10">
                  <c:v>-9.7826086956516998E-4</c:v>
                </c:pt>
                <c:pt idx="11">
                  <c:v>-8.9583333333331328E-4</c:v>
                </c:pt>
                <c:pt idx="12">
                  <c:v>-8.2000000000000508E-4</c:v>
                </c:pt>
                <c:pt idx="13">
                  <c:v>-1.1874999999999802E-3</c:v>
                </c:pt>
                <c:pt idx="14">
                  <c:v>-1.5277777777777349E-3</c:v>
                </c:pt>
                <c:pt idx="15">
                  <c:v>-2.2500000000000714E-3</c:v>
                </c:pt>
                <c:pt idx="16">
                  <c:v>-2.5301724137929762E-3</c:v>
                </c:pt>
                <c:pt idx="17">
                  <c:v>-2.7916666666666905E-3</c:v>
                </c:pt>
                <c:pt idx="18">
                  <c:v>-4.5040322580645192E-3</c:v>
                </c:pt>
                <c:pt idx="19">
                  <c:v>-4.3320312500000225E-3</c:v>
                </c:pt>
                <c:pt idx="20">
                  <c:v>-4.1704545454545857E-3</c:v>
                </c:pt>
                <c:pt idx="21">
                  <c:v>-3.349264705882335E-3</c:v>
                </c:pt>
                <c:pt idx="22">
                  <c:v>-2.9000000000000358E-3</c:v>
                </c:pt>
                <c:pt idx="23">
                  <c:v>-2.7916666666665782E-3</c:v>
                </c:pt>
                <c:pt idx="24">
                  <c:v>-2.0743243243243224E-3</c:v>
                </c:pt>
                <c:pt idx="25">
                  <c:v>-1.6940789473684681E-3</c:v>
                </c:pt>
                <c:pt idx="26">
                  <c:v>-1.6249999999999321E-3</c:v>
                </c:pt>
                <c:pt idx="27">
                  <c:v>-9.9062500000001168E-4</c:v>
                </c:pt>
                <c:pt idx="28">
                  <c:v>-9.4207317073173352E-4</c:v>
                </c:pt>
                <c:pt idx="29">
                  <c:v>-1.166666666666677E-3</c:v>
                </c:pt>
                <c:pt idx="30">
                  <c:v>-5.8720930232554643E-4</c:v>
                </c:pt>
                <c:pt idx="31">
                  <c:v>-1.0681818181818557E-3</c:v>
                </c:pt>
                <c:pt idx="32">
                  <c:v>-1.2750000000000224E-3</c:v>
                </c:pt>
                <c:pt idx="33">
                  <c:v>-1.4728260869564199E-3</c:v>
                </c:pt>
                <c:pt idx="34">
                  <c:v>-2.1462765957447291E-3</c:v>
                </c:pt>
                <c:pt idx="35">
                  <c:v>-2.5546875000001129E-3</c:v>
                </c:pt>
                <c:pt idx="36">
                  <c:v>-2.2499999999999426E-3</c:v>
                </c:pt>
                <c:pt idx="37">
                  <c:v>-1.9575000000001826E-3</c:v>
                </c:pt>
                <c:pt idx="38">
                  <c:v>-1.4534313725489629E-3</c:v>
                </c:pt>
                <c:pt idx="39">
                  <c:v>-9.6874999999990719E-4</c:v>
                </c:pt>
                <c:pt idx="40">
                  <c:v>-9.316037735849213E-4</c:v>
                </c:pt>
                <c:pt idx="41">
                  <c:v>-8.9583333333326655E-4</c:v>
                </c:pt>
                <c:pt idx="42">
                  <c:v>-8.6136363636349009E-4</c:v>
                </c:pt>
                <c:pt idx="43">
                  <c:v>-6.2500000000006994E-4</c:v>
                </c:pt>
                <c:pt idx="44">
                  <c:v>-9.956140350876662E-4</c:v>
                </c:pt>
                <c:pt idx="45">
                  <c:v>-1.1573275862068334E-3</c:v>
                </c:pt>
                <c:pt idx="46">
                  <c:v>-1.3135593220339964E-3</c:v>
                </c:pt>
                <c:pt idx="47">
                  <c:v>-1.4645833333332507E-3</c:v>
                </c:pt>
                <c:pt idx="48">
                  <c:v>-1.6106557377048264E-3</c:v>
                </c:pt>
                <c:pt idx="49">
                  <c:v>-2.3024193548387929E-3</c:v>
                </c:pt>
                <c:pt idx="50">
                  <c:v>-2.9722222222221539E-3</c:v>
                </c:pt>
                <c:pt idx="51">
                  <c:v>-2.9101562500000208E-3</c:v>
                </c:pt>
                <c:pt idx="52">
                  <c:v>-3.0250000000000108E-3</c:v>
                </c:pt>
                <c:pt idx="53">
                  <c:v>-3.1363636363636377E-3</c:v>
                </c:pt>
                <c:pt idx="54">
                  <c:v>-3.4141791044776599E-3</c:v>
                </c:pt>
                <c:pt idx="55">
                  <c:v>-3.181985294117722E-3</c:v>
                </c:pt>
                <c:pt idx="56">
                  <c:v>-3.4510869565217124E-3</c:v>
                </c:pt>
                <c:pt idx="57">
                  <c:v>-3.225E-3</c:v>
                </c:pt>
                <c:pt idx="58">
                  <c:v>-3.0052816901408714E-3</c:v>
                </c:pt>
                <c:pt idx="59">
                  <c:v>-2.6336805555555549E-3</c:v>
                </c:pt>
                <c:pt idx="60">
                  <c:v>-2.8955479452055215E-3</c:v>
                </c:pt>
                <c:pt idx="61">
                  <c:v>-2.5354729729729886E-3</c:v>
                </c:pt>
                <c:pt idx="62">
                  <c:v>-2.4883333333332895E-3</c:v>
                </c:pt>
                <c:pt idx="63">
                  <c:v>-2.4424342105263471E-3</c:v>
                </c:pt>
                <c:pt idx="64">
                  <c:v>-2.6931818181817587E-3</c:v>
                </c:pt>
                <c:pt idx="65">
                  <c:v>-2.645833333333218E-3</c:v>
                </c:pt>
                <c:pt idx="66">
                  <c:v>-3.0316455696202268E-3</c:v>
                </c:pt>
                <c:pt idx="67">
                  <c:v>-3.2656250000000137E-3</c:v>
                </c:pt>
                <c:pt idx="68">
                  <c:v>-3.0725308641974427E-3</c:v>
                </c:pt>
                <c:pt idx="69">
                  <c:v>-2.7454268292683051E-3</c:v>
                </c:pt>
                <c:pt idx="70">
                  <c:v>-2.8373493975903659E-3</c:v>
                </c:pt>
                <c:pt idx="71">
                  <c:v>-2.7916666666667382E-3</c:v>
                </c:pt>
                <c:pt idx="72">
                  <c:v>-2.7470588235294306E-3</c:v>
                </c:pt>
                <c:pt idx="73">
                  <c:v>-2.5712209302324808E-3</c:v>
                </c:pt>
                <c:pt idx="74">
                  <c:v>-2.3994252873563828E-3</c:v>
                </c:pt>
                <c:pt idx="75">
                  <c:v>-2.3607954545454644E-3</c:v>
                </c:pt>
                <c:pt idx="76">
                  <c:v>-2.3230337078651284E-3</c:v>
                </c:pt>
                <c:pt idx="77">
                  <c:v>-2.2861111111111341E-3</c:v>
                </c:pt>
                <c:pt idx="78">
                  <c:v>-2.375000000000016E-3</c:v>
                </c:pt>
                <c:pt idx="79">
                  <c:v>-2.4619565217391393E-3</c:v>
                </c:pt>
                <c:pt idx="80">
                  <c:v>-2.7916666666665331E-3</c:v>
                </c:pt>
                <c:pt idx="81">
                  <c:v>-2.8723404255319904E-3</c:v>
                </c:pt>
                <c:pt idx="82">
                  <c:v>-2.9513157894737524E-3</c:v>
                </c:pt>
                <c:pt idx="83">
                  <c:v>-3.3841145833334073E-3</c:v>
                </c:pt>
                <c:pt idx="84">
                  <c:v>-3.221649484536071E-3</c:v>
                </c:pt>
                <c:pt idx="85">
                  <c:v>-3.0624999999999047E-3</c:v>
                </c:pt>
                <c:pt idx="86">
                  <c:v>-3.3661616161615921E-3</c:v>
                </c:pt>
                <c:pt idx="87">
                  <c:v>-3.3225000000000325E-3</c:v>
                </c:pt>
                <c:pt idx="88">
                  <c:v>-3.3923267326732933E-3</c:v>
                </c:pt>
                <c:pt idx="89">
                  <c:v>-3.4607843137255097E-3</c:v>
                </c:pt>
                <c:pt idx="90">
                  <c:v>-3.4174757281554141E-3</c:v>
                </c:pt>
                <c:pt idx="91">
                  <c:v>-3.484374999999873E-3</c:v>
                </c:pt>
                <c:pt idx="92">
                  <c:v>-3.4416666666665951E-3</c:v>
                </c:pt>
                <c:pt idx="93">
                  <c:v>-3.2924528301887207E-3</c:v>
                </c:pt>
                <c:pt idx="94">
                  <c:v>-3.0397196261682472E-3</c:v>
                </c:pt>
                <c:pt idx="95">
                  <c:v>-3.1076388888889059E-3</c:v>
                </c:pt>
                <c:pt idx="96">
                  <c:v>-3.1743119266055158E-3</c:v>
                </c:pt>
                <c:pt idx="97">
                  <c:v>-3.4465909090907998E-3</c:v>
                </c:pt>
                <c:pt idx="98">
                  <c:v>-3.5090090090090765E-3</c:v>
                </c:pt>
                <c:pt idx="99">
                  <c:v>-3.5703125000000613E-3</c:v>
                </c:pt>
                <c:pt idx="100">
                  <c:v>-3.529867256637279E-3</c:v>
                </c:pt>
                <c:pt idx="101">
                  <c:v>-3.4901315789473506E-3</c:v>
                </c:pt>
                <c:pt idx="102">
                  <c:v>-3.451086956521771E-3</c:v>
                </c:pt>
                <c:pt idx="103">
                  <c:v>-3.4127155172412856E-3</c:v>
                </c:pt>
                <c:pt idx="104">
                  <c:v>-3.2777777777777866E-3</c:v>
                </c:pt>
                <c:pt idx="105">
                  <c:v>-3.5307203389831187E-3</c:v>
                </c:pt>
                <c:pt idx="106">
                  <c:v>-3.3970588235294097E-3</c:v>
                </c:pt>
                <c:pt idx="107">
                  <c:v>-3.4552083333333262E-3</c:v>
                </c:pt>
                <c:pt idx="108">
                  <c:v>-3.418388429751939E-3</c:v>
                </c:pt>
                <c:pt idx="109">
                  <c:v>-3.2889344262294804E-3</c:v>
                </c:pt>
                <c:pt idx="110">
                  <c:v>-3.2540650406504244E-3</c:v>
                </c:pt>
                <c:pt idx="111">
                  <c:v>-3.1280241935483385E-3</c:v>
                </c:pt>
                <c:pt idx="112">
                  <c:v>-3.0949999999999971E-3</c:v>
                </c:pt>
                <c:pt idx="113">
                  <c:v>-3.15277777777777E-3</c:v>
                </c:pt>
                <c:pt idx="114">
                  <c:v>-3.2992125984251343E-3</c:v>
                </c:pt>
                <c:pt idx="115">
                  <c:v>-3.3544921875000903E-3</c:v>
                </c:pt>
                <c:pt idx="116">
                  <c:v>-3.2325581395349096E-3</c:v>
                </c:pt>
                <c:pt idx="117">
                  <c:v>-3.2000000000000695E-3</c:v>
                </c:pt>
                <c:pt idx="118">
                  <c:v>-3.254770992366476E-3</c:v>
                </c:pt>
                <c:pt idx="119">
                  <c:v>-3.0501893939392896E-3</c:v>
                </c:pt>
                <c:pt idx="120">
                  <c:v>-3.2763157894736333E-3</c:v>
                </c:pt>
                <c:pt idx="121">
                  <c:v>-3.2444029850746182E-3</c:v>
                </c:pt>
                <c:pt idx="122">
                  <c:v>-3.2972222222222088E-3</c:v>
                </c:pt>
                <c:pt idx="123">
                  <c:v>-3.349264705882335E-3</c:v>
                </c:pt>
                <c:pt idx="124">
                  <c:v>-3.3175182481752063E-3</c:v>
                </c:pt>
                <c:pt idx="125">
                  <c:v>-3.2038043478260507E-3</c:v>
                </c:pt>
                <c:pt idx="126">
                  <c:v>-3.0917266187049409E-3</c:v>
                </c:pt>
                <c:pt idx="127">
                  <c:v>-3.0625000000000899E-3</c:v>
                </c:pt>
                <c:pt idx="128">
                  <c:v>-3.0336879432623976E-3</c:v>
                </c:pt>
                <c:pt idx="129">
                  <c:v>-3.0853873239436438E-3</c:v>
                </c:pt>
                <c:pt idx="130">
                  <c:v>-3.2954545454545762E-3</c:v>
                </c:pt>
                <c:pt idx="131">
                  <c:v>-3.3446180555554415E-3</c:v>
                </c:pt>
                <c:pt idx="132">
                  <c:v>-3.079310344827503E-3</c:v>
                </c:pt>
                <c:pt idx="133">
                  <c:v>-3.0513698630137928E-3</c:v>
                </c:pt>
                <c:pt idx="134">
                  <c:v>-3.1011904761905655E-3</c:v>
                </c:pt>
                <c:pt idx="135">
                  <c:v>-3.1503378378377857E-3</c:v>
                </c:pt>
                <c:pt idx="136">
                  <c:v>-3.1224832214764965E-3</c:v>
                </c:pt>
                <c:pt idx="137">
                  <c:v>-3.1708333333333154E-3</c:v>
                </c:pt>
                <c:pt idx="138">
                  <c:v>-3.2938741721855003E-3</c:v>
                </c:pt>
                <c:pt idx="139">
                  <c:v>-3.3404605263158546E-3</c:v>
                </c:pt>
                <c:pt idx="140">
                  <c:v>-3.3864379084967925E-3</c:v>
                </c:pt>
                <c:pt idx="141">
                  <c:v>-3.2102272727273203E-3</c:v>
                </c:pt>
                <c:pt idx="142">
                  <c:v>-3.1830645161289857E-3</c:v>
                </c:pt>
                <c:pt idx="143">
                  <c:v>-3.2291666666666163E-3</c:v>
                </c:pt>
                <c:pt idx="144">
                  <c:v>-3.1297770700637203E-3</c:v>
                </c:pt>
                <c:pt idx="145">
                  <c:v>-3.1756329113924271E-3</c:v>
                </c:pt>
                <c:pt idx="146">
                  <c:v>-3.3639937106918895E-3</c:v>
                </c:pt>
                <c:pt idx="147">
                  <c:v>-3.2656250000000137E-3</c:v>
                </c:pt>
                <c:pt idx="148">
                  <c:v>-3.2391304347825322E-3</c:v>
                </c:pt>
                <c:pt idx="149">
                  <c:v>-3.1427469135802445E-3</c:v>
                </c:pt>
                <c:pt idx="150">
                  <c:v>-3.1173312883435904E-3</c:v>
                </c:pt>
                <c:pt idx="151">
                  <c:v>-3.1615853658536865E-3</c:v>
                </c:pt>
                <c:pt idx="152">
                  <c:v>-3.1363636363635761E-3</c:v>
                </c:pt>
                <c:pt idx="153">
                  <c:v>-3.2484939759036347E-3</c:v>
                </c:pt>
                <c:pt idx="154">
                  <c:v>-3.223053892215502E-3</c:v>
                </c:pt>
                <c:pt idx="155">
                  <c:v>-3.2656250000000497E-3</c:v>
                </c:pt>
                <c:pt idx="156">
                  <c:v>-3.307692307692353E-3</c:v>
                </c:pt>
                <c:pt idx="157">
                  <c:v>-3.2823529411764303E-3</c:v>
                </c:pt>
                <c:pt idx="158">
                  <c:v>-3.2573099415204609E-3</c:v>
                </c:pt>
                <c:pt idx="159">
                  <c:v>-3.2325581395349101E-3</c:v>
                </c:pt>
                <c:pt idx="160">
                  <c:v>-3.3395953757225294E-3</c:v>
                </c:pt>
                <c:pt idx="161">
                  <c:v>-3.3146551724138112E-3</c:v>
                </c:pt>
                <c:pt idx="162">
                  <c:v>-3.3550000000000147E-3</c:v>
                </c:pt>
                <c:pt idx="163">
                  <c:v>-3.4595170454545204E-3</c:v>
                </c:pt>
                <c:pt idx="164">
                  <c:v>-3.4343220338983122E-3</c:v>
                </c:pt>
                <c:pt idx="165">
                  <c:v>-3.345505617977489E-3</c:v>
                </c:pt>
                <c:pt idx="166">
                  <c:v>-3.2576815642457253E-3</c:v>
                </c:pt>
                <c:pt idx="167">
                  <c:v>-3.2972222222222465E-3</c:v>
                </c:pt>
                <c:pt idx="168">
                  <c:v>-3.2734806629834807E-3</c:v>
                </c:pt>
                <c:pt idx="169">
                  <c:v>-3.3125000000000515E-3</c:v>
                </c:pt>
                <c:pt idx="170">
                  <c:v>-3.3510928961749111E-3</c:v>
                </c:pt>
                <c:pt idx="171">
                  <c:v>-3.38926630434787E-3</c:v>
                </c:pt>
                <c:pt idx="172">
                  <c:v>-3.5499999999999724E-3</c:v>
                </c:pt>
                <c:pt idx="173">
                  <c:v>-3.586693548387066E-3</c:v>
                </c:pt>
                <c:pt idx="174">
                  <c:v>-3.5621657754009608E-3</c:v>
                </c:pt>
                <c:pt idx="175">
                  <c:v>-3.5984042553192518E-3</c:v>
                </c:pt>
                <c:pt idx="176">
                  <c:v>-3.5740740740740997E-3</c:v>
                </c:pt>
                <c:pt idx="177">
                  <c:v>-3.729605263158063E-3</c:v>
                </c:pt>
                <c:pt idx="178">
                  <c:v>-3.7643979057591149E-3</c:v>
                </c:pt>
                <c:pt idx="179">
                  <c:v>-3.7395833333334211E-3</c:v>
                </c:pt>
                <c:pt idx="180">
                  <c:v>-3.5382124352331657E-3</c:v>
                </c:pt>
                <c:pt idx="181">
                  <c:v>-3.3975515463917478E-3</c:v>
                </c:pt>
                <c:pt idx="182">
                  <c:v>-3.4333333333333256E-3</c:v>
                </c:pt>
                <c:pt idx="183">
                  <c:v>-3.3526785714286245E-3</c:v>
                </c:pt>
                <c:pt idx="184">
                  <c:v>-3.3883248730962913E-3</c:v>
                </c:pt>
                <c:pt idx="185">
                  <c:v>-3.3661616161615921E-3</c:v>
                </c:pt>
                <c:pt idx="186">
                  <c:v>-3.4585427135676791E-3</c:v>
                </c:pt>
                <c:pt idx="187">
                  <c:v>-3.4362500000001714E-3</c:v>
                </c:pt>
                <c:pt idx="188">
                  <c:v>-3.4707711442785731E-3</c:v>
                </c:pt>
                <c:pt idx="189">
                  <c:v>-3.6175742574258434E-3</c:v>
                </c:pt>
                <c:pt idx="190">
                  <c:v>-3.6508620689656148E-3</c:v>
                </c:pt>
                <c:pt idx="191">
                  <c:v>-3.6280637254902217E-3</c:v>
                </c:pt>
                <c:pt idx="192">
                  <c:v>-3.7719512195121562E-3</c:v>
                </c:pt>
                <c:pt idx="193">
                  <c:v>-3.6383495145630588E-3</c:v>
                </c:pt>
                <c:pt idx="194">
                  <c:v>-3.8357487922704866E-3</c:v>
                </c:pt>
                <c:pt idx="195">
                  <c:v>-3.8124999999998854E-3</c:v>
                </c:pt>
                <c:pt idx="196">
                  <c:v>-3.571770334928167E-3</c:v>
                </c:pt>
                <c:pt idx="197">
                  <c:v>-3.4416666666665951E-3</c:v>
                </c:pt>
                <c:pt idx="198">
                  <c:v>-3.4206161137441266E-3</c:v>
                </c:pt>
                <c:pt idx="199">
                  <c:v>-3.399764150943378E-3</c:v>
                </c:pt>
                <c:pt idx="200">
                  <c:v>-3.432511737089181E-3</c:v>
                </c:pt>
                <c:pt idx="201">
                  <c:v>-3.3054906542055776E-3</c:v>
                </c:pt>
                <c:pt idx="202">
                  <c:v>-3.4441860465117247E-3</c:v>
                </c:pt>
                <c:pt idx="203">
                  <c:v>-3.4236111111111403E-3</c:v>
                </c:pt>
                <c:pt idx="204">
                  <c:v>-3.508064516128936E-3</c:v>
                </c:pt>
                <c:pt idx="205">
                  <c:v>-3.435206422018308E-3</c:v>
                </c:pt>
                <c:pt idx="206">
                  <c:v>-3.5188356164383761E-3</c:v>
                </c:pt>
                <c:pt idx="207">
                  <c:v>-3.6017045454544419E-3</c:v>
                </c:pt>
                <c:pt idx="208">
                  <c:v>-3.5294117647058335E-3</c:v>
                </c:pt>
                <c:pt idx="209">
                  <c:v>-3.5090090090090765E-3</c:v>
                </c:pt>
                <c:pt idx="210">
                  <c:v>-3.6418161434977653E-3</c:v>
                </c:pt>
                <c:pt idx="211">
                  <c:v>-3.671875000000005E-3</c:v>
                </c:pt>
                <c:pt idx="212">
                  <c:v>-3.5499999999999963E-3</c:v>
                </c:pt>
                <c:pt idx="213">
                  <c:v>-3.4292035398229967E-3</c:v>
                </c:pt>
                <c:pt idx="214">
                  <c:v>-3.4598017621145223E-3</c:v>
                </c:pt>
                <c:pt idx="215">
                  <c:v>-3.3404605263157661E-3</c:v>
                </c:pt>
                <c:pt idx="216">
                  <c:v>-3.3711790393012842E-3</c:v>
                </c:pt>
                <c:pt idx="217">
                  <c:v>-3.3521739130433891E-3</c:v>
                </c:pt>
                <c:pt idx="218">
                  <c:v>-3.3825757575756663E-3</c:v>
                </c:pt>
                <c:pt idx="219">
                  <c:v>-3.3636853448274326E-3</c:v>
                </c:pt>
                <c:pt idx="220">
                  <c:v>-3.4425965665235091E-3</c:v>
                </c:pt>
                <c:pt idx="221">
                  <c:v>-3.4722222222222962E-3</c:v>
                </c:pt>
                <c:pt idx="222">
                  <c:v>-3.5500000000001299E-3</c:v>
                </c:pt>
                <c:pt idx="223">
                  <c:v>-3.6753177966102426E-3</c:v>
                </c:pt>
                <c:pt idx="224">
                  <c:v>-3.7515822784809712E-3</c:v>
                </c:pt>
                <c:pt idx="225">
                  <c:v>-3.7316176470588908E-3</c:v>
                </c:pt>
                <c:pt idx="226">
                  <c:v>-3.9021966527197352E-3</c:v>
                </c:pt>
                <c:pt idx="227">
                  <c:v>-3.8343749999999511E-3</c:v>
                </c:pt>
                <c:pt idx="228">
                  <c:v>-3.7199170124480761E-3</c:v>
                </c:pt>
                <c:pt idx="229">
                  <c:v>-3.7004132231403795E-3</c:v>
                </c:pt>
                <c:pt idx="230">
                  <c:v>-3.5874485596706579E-3</c:v>
                </c:pt>
                <c:pt idx="231">
                  <c:v>-3.568647540983589E-3</c:v>
                </c:pt>
                <c:pt idx="232">
                  <c:v>-3.5500000000000878E-3</c:v>
                </c:pt>
                <c:pt idx="233">
                  <c:v>-3.5315040650406786E-3</c:v>
                </c:pt>
                <c:pt idx="234">
                  <c:v>-3.6052631578948188E-3</c:v>
                </c:pt>
                <c:pt idx="235">
                  <c:v>-3.5866935483871197E-3</c:v>
                </c:pt>
                <c:pt idx="236">
                  <c:v>-3.705321285140532E-3</c:v>
                </c:pt>
                <c:pt idx="237">
                  <c:v>-3.6865000000000734E-3</c:v>
                </c:pt>
                <c:pt idx="238">
                  <c:v>-3.7584661354581324E-3</c:v>
                </c:pt>
                <c:pt idx="239">
                  <c:v>-3.784722222222185E-3</c:v>
                </c:pt>
                <c:pt idx="240">
                  <c:v>-3.9006916996046537E-3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1B51-4335-814D-53B8B9178B55}"/>
            </c:ext>
          </c:extLst>
        </c:ser>
        <c:ser>
          <c:idx val="57"/>
          <c:order val="57"/>
          <c:tx>
            <c:strRef>
              <c:f>'전류편차_24mA(절대값기준)'!$DU$7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'전류편차_24mA(절대값기준)'!$DU$22:$DU$262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-6.2500000000006994E-4</c:v>
                </c:pt>
                <c:pt idx="2">
                  <c:v>-5.1666666666660423E-4</c:v>
                </c:pt>
                <c:pt idx="3">
                  <c:v>2.8906249999994214E-4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1.5687499999999591E-3</c:v>
                </c:pt>
                <c:pt idx="8">
                  <c:v>1.5416666666665986E-3</c:v>
                </c:pt>
                <c:pt idx="9">
                  <c:v>2.0340909090908743E-3</c:v>
                </c:pt>
                <c:pt idx="10">
                  <c:v>1.0000000000000492E-3</c:v>
                </c:pt>
                <c:pt idx="11">
                  <c:v>5.2604166666674057E-4</c:v>
                </c:pt>
                <c:pt idx="12">
                  <c:v>5.4499999999984444E-4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1.4062499999998868E-3</c:v>
                </c:pt>
                <c:pt idx="16">
                  <c:v>1.3922413793103887E-3</c:v>
                </c:pt>
                <c:pt idx="17">
                  <c:v>1.7583333333333136E-3</c:v>
                </c:pt>
                <c:pt idx="18">
                  <c:v>2.4677419354839141E-3</c:v>
                </c:pt>
                <c:pt idx="19">
                  <c:v>2.4218749999998651E-3</c:v>
                </c:pt>
                <c:pt idx="20">
                  <c:v>2.0340909090909511E-3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2.5798611111111694E-3</c:v>
                </c:pt>
                <c:pt idx="24">
                  <c:v>1.9222972972972687E-3</c:v>
                </c:pt>
                <c:pt idx="25">
                  <c:v>1.5986842105263047E-3</c:v>
                </c:pt>
                <c:pt idx="26">
                  <c:v>1.5833333333334365E-3</c:v>
                </c:pt>
                <c:pt idx="27">
                  <c:v>1.0000000000000217E-3</c:v>
                </c:pt>
                <c:pt idx="28">
                  <c:v>1.0000000000000063E-3</c:v>
                </c:pt>
                <c:pt idx="29">
                  <c:v>9.9999999999999156E-4</c:v>
                </c:pt>
                <c:pt idx="30">
                  <c:v>9.9999999999997769E-4</c:v>
                </c:pt>
                <c:pt idx="31">
                  <c:v>7.4147727272726551E-4</c:v>
                </c:pt>
                <c:pt idx="32">
                  <c:v>7.4722222222220155E-4</c:v>
                </c:pt>
                <c:pt idx="33">
                  <c:v>5.054347826087993E-4</c:v>
                </c:pt>
                <c:pt idx="34">
                  <c:v>9.999999999999276E-4</c:v>
                </c:pt>
                <c:pt idx="35">
                  <c:v>5.2604166666674057E-4</c:v>
                </c:pt>
                <c:pt idx="36">
                  <c:v>7.678571428571773E-4</c:v>
                </c:pt>
                <c:pt idx="37">
                  <c:v>3.1749999999997058E-4</c:v>
                </c:pt>
                <c:pt idx="38">
                  <c:v>1.0784313725488572E-4</c:v>
                </c:pt>
                <c:pt idx="39">
                  <c:v>1.250000000000695E-4</c:v>
                </c:pt>
                <c:pt idx="40">
                  <c:v>3.5613207547154053E-4</c:v>
                </c:pt>
                <c:pt idx="41">
                  <c:v>3.6805555555548313E-4</c:v>
                </c:pt>
                <c:pt idx="42">
                  <c:v>-3.4090909090853866E-5</c:v>
                </c:pt>
                <c:pt idx="43">
                  <c:v>-2.1875000000011469E-4</c:v>
                </c:pt>
                <c:pt idx="44">
                  <c:v>2.0175438596483359E-4</c:v>
                </c:pt>
                <c:pt idx="45">
                  <c:v>1.9396551724245861E-5</c:v>
                </c:pt>
                <c:pt idx="46">
                  <c:v>-3.4957627118655931E-4</c:v>
                </c:pt>
                <c:pt idx="47">
                  <c:v>5.2083333333417342E-5</c:v>
                </c:pt>
                <c:pt idx="48">
                  <c:v>-1.1885245901630028E-4</c:v>
                </c:pt>
                <c:pt idx="49">
                  <c:v>-1.0080645161290286E-4</c:v>
                </c:pt>
                <c:pt idx="50">
                  <c:v>-2.6388888888887835E-4</c:v>
                </c:pt>
                <c:pt idx="51">
                  <c:v>-2.4414062500007806E-4</c:v>
                </c:pt>
                <c:pt idx="52">
                  <c:v>-4.9999999999950082E-5</c:v>
                </c:pt>
                <c:pt idx="53">
                  <c:v>-2.0643939393933503E-4</c:v>
                </c:pt>
                <c:pt idx="54">
                  <c:v>-3.5820895522396373E-4</c:v>
                </c:pt>
                <c:pt idx="55">
                  <c:v>-3.382352941176637E-4</c:v>
                </c:pt>
                <c:pt idx="56">
                  <c:v>-4.8369565217392014E-4</c:v>
                </c:pt>
                <c:pt idx="57">
                  <c:v>-4.6250000000008784E-4</c:v>
                </c:pt>
                <c:pt idx="58">
                  <c:v>-6.0211267605627327E-4</c:v>
                </c:pt>
                <c:pt idx="59">
                  <c:v>-5.7986111111112593E-4</c:v>
                </c:pt>
                <c:pt idx="60">
                  <c:v>-5.5821917808228393E-4</c:v>
                </c:pt>
                <c:pt idx="61">
                  <c:v>-2.2972972972979444E-4</c:v>
                </c:pt>
                <c:pt idx="62">
                  <c:v>-3.6499999999992062E-4</c:v>
                </c:pt>
                <c:pt idx="63">
                  <c:v>-3.470394736842066E-4</c:v>
                </c:pt>
                <c:pt idx="64">
                  <c:v>-4.7727272727271508E-4</c:v>
                </c:pt>
                <c:pt idx="65">
                  <c:v>-4.5833333333326437E-4</c:v>
                </c:pt>
                <c:pt idx="66">
                  <c:v>-4.3987341772152254E-4</c:v>
                </c:pt>
                <c:pt idx="67">
                  <c:v>-5.6406249999999545E-4</c:v>
                </c:pt>
                <c:pt idx="68">
                  <c:v>-5.4475308641969381E-4</c:v>
                </c:pt>
                <c:pt idx="69">
                  <c:v>-3.8719512195118364E-4</c:v>
                </c:pt>
                <c:pt idx="70">
                  <c:v>-5.0753012048188452E-4</c:v>
                </c:pt>
                <c:pt idx="71">
                  <c:v>-6.2500000000006994E-4</c:v>
                </c:pt>
                <c:pt idx="72">
                  <c:v>-7.3970588235300274E-4</c:v>
                </c:pt>
                <c:pt idx="73">
                  <c:v>-7.194767441860557E-4</c:v>
                </c:pt>
                <c:pt idx="74">
                  <c:v>-8.3045977011494423E-4</c:v>
                </c:pt>
                <c:pt idx="75">
                  <c:v>-8.0965909090904213E-4</c:v>
                </c:pt>
                <c:pt idx="76">
                  <c:v>-4.0589887640449522E-4</c:v>
                </c:pt>
                <c:pt idx="77">
                  <c:v>-2.6388888888891039E-4</c:v>
                </c:pt>
                <c:pt idx="78">
                  <c:v>-1.2500000000004174E-4</c:v>
                </c:pt>
                <c:pt idx="79">
                  <c:v>-3.6005434782594291E-4</c:v>
                </c:pt>
                <c:pt idx="80">
                  <c:v>-4.6774193548372161E-4</c:v>
                </c:pt>
                <c:pt idx="81">
                  <c:v>-2.1010638297876992E-4</c:v>
                </c:pt>
                <c:pt idx="82">
                  <c:v>-3.1710526315793401E-4</c:v>
                </c:pt>
                <c:pt idx="83">
                  <c:v>-1.8489583333328635E-4</c:v>
                </c:pt>
                <c:pt idx="84">
                  <c:v>-2.899484536081943E-4</c:v>
                </c:pt>
                <c:pt idx="85">
                  <c:v>-2.7678571428571948E-4</c:v>
                </c:pt>
                <c:pt idx="86">
                  <c:v>-3.4090909090894686E-5</c:v>
                </c:pt>
                <c:pt idx="87">
                  <c:v>-2.5125000000011829E-4</c:v>
                </c:pt>
                <c:pt idx="88">
                  <c:v>-2.38861386138587E-4</c:v>
                </c:pt>
                <c:pt idx="89">
                  <c:v>-3.3823529411761415E-4</c:v>
                </c:pt>
                <c:pt idx="90">
                  <c:v>-4.3567961165044661E-4</c:v>
                </c:pt>
                <c:pt idx="91">
                  <c:v>-5.3124999999995537E-4</c:v>
                </c:pt>
                <c:pt idx="92">
                  <c:v>-8.3333333333198334E-5</c:v>
                </c:pt>
                <c:pt idx="93">
                  <c:v>-7.3113207547280106E-5</c:v>
                </c:pt>
                <c:pt idx="94">
                  <c:v>-1.6939252336458925E-4</c:v>
                </c:pt>
                <c:pt idx="95">
                  <c:v>1.5740740740745175E-4</c:v>
                </c:pt>
                <c:pt idx="96">
                  <c:v>-1.4793577981653364E-4</c:v>
                </c:pt>
                <c:pt idx="97">
                  <c:v>-2.4090909090910477E-4</c:v>
                </c:pt>
                <c:pt idx="98">
                  <c:v>-2.2972972972979444E-4</c:v>
                </c:pt>
                <c:pt idx="99">
                  <c:v>-1.1718749999999056E-4</c:v>
                </c:pt>
                <c:pt idx="100">
                  <c:v>-3.0862831858417876E-4</c:v>
                </c:pt>
                <c:pt idx="101">
                  <c:v>-1.9736842105266632E-4</c:v>
                </c:pt>
                <c:pt idx="102">
                  <c:v>-1.8695652173903842E-4</c:v>
                </c:pt>
                <c:pt idx="103">
                  <c:v>-1.7672413793099205E-4</c:v>
                </c:pt>
                <c:pt idx="104">
                  <c:v>-1.6666666666667298E-4</c:v>
                </c:pt>
                <c:pt idx="105">
                  <c:v>-3.4957627118655931E-4</c:v>
                </c:pt>
                <c:pt idx="106">
                  <c:v>-6.250000000000063E-4</c:v>
                </c:pt>
                <c:pt idx="107">
                  <c:v>-5.1666666666660423E-4</c:v>
                </c:pt>
                <c:pt idx="108">
                  <c:v>-3.1611570247926091E-4</c:v>
                </c:pt>
                <c:pt idx="109">
                  <c:v>-1.1885245901630028E-4</c:v>
                </c:pt>
                <c:pt idx="110">
                  <c:v>-1.0975609756109349E-4</c:v>
                </c:pt>
                <c:pt idx="111">
                  <c:v>-1.0080645161290286E-4</c:v>
                </c:pt>
                <c:pt idx="112">
                  <c:v>-9.200000000004494E-5</c:v>
                </c:pt>
                <c:pt idx="113">
                  <c:v>-1.7361111111115058E-4</c:v>
                </c:pt>
                <c:pt idx="114">
                  <c:v>-2.5393700787389075E-4</c:v>
                </c:pt>
                <c:pt idx="115">
                  <c:v>-4.2187500000013736E-4</c:v>
                </c:pt>
                <c:pt idx="116">
                  <c:v>-4.9903100775191265E-4</c:v>
                </c:pt>
                <c:pt idx="117">
                  <c:v>-4.8750000000001846E-4</c:v>
                </c:pt>
                <c:pt idx="118">
                  <c:v>-3.8931297709919209E-4</c:v>
                </c:pt>
                <c:pt idx="119">
                  <c:v>-5.5113636363626674E-4</c:v>
                </c:pt>
                <c:pt idx="120">
                  <c:v>-3.6842105263146826E-4</c:v>
                </c:pt>
                <c:pt idx="121">
                  <c:v>-3.5820895522396373E-4</c:v>
                </c:pt>
                <c:pt idx="122">
                  <c:v>-7.6944444444448511E-4</c:v>
                </c:pt>
                <c:pt idx="123">
                  <c:v>-8.4007352941180031E-4</c:v>
                </c:pt>
                <c:pt idx="124">
                  <c:v>-8.2664233576635259E-4</c:v>
                </c:pt>
                <c:pt idx="125">
                  <c:v>-5.6612318840575852E-4</c:v>
                </c:pt>
                <c:pt idx="126">
                  <c:v>-5.5485611510791609E-4</c:v>
                </c:pt>
                <c:pt idx="127">
                  <c:v>-4.6250000000008784E-4</c:v>
                </c:pt>
                <c:pt idx="128">
                  <c:v>-3.7145390070924861E-4</c:v>
                </c:pt>
                <c:pt idx="129">
                  <c:v>-2.8169014084504095E-4</c:v>
                </c:pt>
                <c:pt idx="130">
                  <c:v>-3.522727272726935E-4</c:v>
                </c:pt>
                <c:pt idx="131">
                  <c:v>-4.2187499999996205E-4</c:v>
                </c:pt>
                <c:pt idx="132">
                  <c:v>-3.3362068965507791E-4</c:v>
                </c:pt>
                <c:pt idx="133">
                  <c:v>-4.0239726027401266E-4</c:v>
                </c:pt>
                <c:pt idx="134">
                  <c:v>-3.9285714285722115E-4</c:v>
                </c:pt>
                <c:pt idx="135">
                  <c:v>-3.8344594594592548E-4</c:v>
                </c:pt>
                <c:pt idx="136">
                  <c:v>-3.7416107382552103E-4</c:v>
                </c:pt>
                <c:pt idx="137">
                  <c:v>-2.8916666666662928E-4</c:v>
                </c:pt>
                <c:pt idx="138">
                  <c:v>-4.3129139072852743E-4</c:v>
                </c:pt>
                <c:pt idx="139">
                  <c:v>-5.7154605263158359E-4</c:v>
                </c:pt>
                <c:pt idx="140">
                  <c:v>-3.3823529411768018E-4</c:v>
                </c:pt>
                <c:pt idx="141">
                  <c:v>-2.556818181817976E-4</c:v>
                </c:pt>
                <c:pt idx="142">
                  <c:v>-1.0080645161287028E-4</c:v>
                </c:pt>
                <c:pt idx="143">
                  <c:v>-9.3750000000003553E-5</c:v>
                </c:pt>
                <c:pt idx="144">
                  <c:v>-1.5923566878980834E-4</c:v>
                </c:pt>
                <c:pt idx="145">
                  <c:v>-7.9905063291214407E-5</c:v>
                </c:pt>
                <c:pt idx="146">
                  <c:v>-1.4465408805025803E-4</c:v>
                </c:pt>
                <c:pt idx="147">
                  <c:v>-2.0859374999993992E-4</c:v>
                </c:pt>
                <c:pt idx="148">
                  <c:v>-2.7173913043471892E-4</c:v>
                </c:pt>
                <c:pt idx="149">
                  <c:v>-3.3410493827153767E-4</c:v>
                </c:pt>
                <c:pt idx="150">
                  <c:v>-4.6549079754602672E-4</c:v>
                </c:pt>
                <c:pt idx="151">
                  <c:v>-3.8719512195118364E-4</c:v>
                </c:pt>
                <c:pt idx="152">
                  <c:v>-5.1666666666671135E-4</c:v>
                </c:pt>
                <c:pt idx="153">
                  <c:v>-5.7605421686738874E-4</c:v>
                </c:pt>
                <c:pt idx="154">
                  <c:v>-6.3473053892207116E-4</c:v>
                </c:pt>
                <c:pt idx="155">
                  <c:v>-6.2500000000006994E-4</c:v>
                </c:pt>
                <c:pt idx="156">
                  <c:v>-6.1538461538459882E-4</c:v>
                </c:pt>
                <c:pt idx="157">
                  <c:v>-4.7205882352938393E-4</c:v>
                </c:pt>
                <c:pt idx="158">
                  <c:v>-5.2997076023388674E-4</c:v>
                </c:pt>
                <c:pt idx="159">
                  <c:v>-4.5494186046503716E-4</c:v>
                </c:pt>
                <c:pt idx="160">
                  <c:v>-4.4653179190746849E-4</c:v>
                </c:pt>
                <c:pt idx="161">
                  <c:v>-4.3821839080470065E-4</c:v>
                </c:pt>
                <c:pt idx="162">
                  <c:v>-3.6500000000005528E-4</c:v>
                </c:pt>
                <c:pt idx="163">
                  <c:v>-4.8650568181819731E-4</c:v>
                </c:pt>
                <c:pt idx="164">
                  <c:v>-6.0663841807907218E-4</c:v>
                </c:pt>
                <c:pt idx="165">
                  <c:v>-5.9761235955056995E-4</c:v>
                </c:pt>
                <c:pt idx="166">
                  <c:v>-6.5223463687140004E-4</c:v>
                </c:pt>
                <c:pt idx="167">
                  <c:v>-6.4305555555559145E-4</c:v>
                </c:pt>
                <c:pt idx="168">
                  <c:v>-6.9682320441992159E-4</c:v>
                </c:pt>
                <c:pt idx="169">
                  <c:v>-7.5000000000002842E-4</c:v>
                </c:pt>
                <c:pt idx="170">
                  <c:v>-9.2691256830596685E-4</c:v>
                </c:pt>
                <c:pt idx="171">
                  <c:v>-9.1644021739118147E-4</c:v>
                </c:pt>
                <c:pt idx="172">
                  <c:v>-7.2162162162163219E-4</c:v>
                </c:pt>
                <c:pt idx="173">
                  <c:v>-7.7352150537635122E-4</c:v>
                </c:pt>
                <c:pt idx="174">
                  <c:v>-7.6403743315500954E-4</c:v>
                </c:pt>
                <c:pt idx="175">
                  <c:v>-7.5465425531921607E-4</c:v>
                </c:pt>
                <c:pt idx="176">
                  <c:v>-6.250000000000565E-4</c:v>
                </c:pt>
                <c:pt idx="177">
                  <c:v>-6.1644736842103229E-4</c:v>
                </c:pt>
                <c:pt idx="178">
                  <c:v>-6.0798429319383249E-4</c:v>
                </c:pt>
                <c:pt idx="179">
                  <c:v>-5.9960937500003891E-4</c:v>
                </c:pt>
                <c:pt idx="180">
                  <c:v>-7.0919689119181722E-4</c:v>
                </c:pt>
                <c:pt idx="181">
                  <c:v>-7.0038659793817618E-4</c:v>
                </c:pt>
                <c:pt idx="182">
                  <c:v>-7.5000000000002842E-4</c:v>
                </c:pt>
                <c:pt idx="183">
                  <c:v>-7.4107142857138264E-4</c:v>
                </c:pt>
                <c:pt idx="184">
                  <c:v>-7.8997461928929122E-4</c:v>
                </c:pt>
                <c:pt idx="185">
                  <c:v>-9.5328282828271267E-4</c:v>
                </c:pt>
                <c:pt idx="186">
                  <c:v>-1.0006281407033994E-3</c:v>
                </c:pt>
                <c:pt idx="187">
                  <c:v>-9.9062500000001146E-4</c:v>
                </c:pt>
                <c:pt idx="188">
                  <c:v>-9.8072139303496605E-4</c:v>
                </c:pt>
                <c:pt idx="189">
                  <c:v>-8.0198019801986308E-4</c:v>
                </c:pt>
                <c:pt idx="190">
                  <c:v>-9.0517241379322959E-4</c:v>
                </c:pt>
                <c:pt idx="191">
                  <c:v>-8.4007352941175087E-4</c:v>
                </c:pt>
                <c:pt idx="192">
                  <c:v>-8.8658536585364161E-4</c:v>
                </c:pt>
                <c:pt idx="193">
                  <c:v>-8.2220873786411893E-4</c:v>
                </c:pt>
                <c:pt idx="194">
                  <c:v>-7.5845410628009691E-4</c:v>
                </c:pt>
                <c:pt idx="195">
                  <c:v>-6.9531249999996159E-4</c:v>
                </c:pt>
                <c:pt idx="196">
                  <c:v>-6.8720095693769131E-4</c:v>
                </c:pt>
                <c:pt idx="197">
                  <c:v>-7.3333333333322308E-4</c:v>
                </c:pt>
                <c:pt idx="198">
                  <c:v>-7.7902843601903595E-4</c:v>
                </c:pt>
                <c:pt idx="199">
                  <c:v>-9.316037735849213E-4</c:v>
                </c:pt>
                <c:pt idx="200">
                  <c:v>-8.6913145539913288E-4</c:v>
                </c:pt>
                <c:pt idx="201">
                  <c:v>-8.6039719626168577E-4</c:v>
                </c:pt>
                <c:pt idx="202">
                  <c:v>-9.5755813953494887E-4</c:v>
                </c:pt>
                <c:pt idx="203">
                  <c:v>-1.0011574074074694E-3</c:v>
                </c:pt>
                <c:pt idx="204">
                  <c:v>-8.8709677419360113E-4</c:v>
                </c:pt>
                <c:pt idx="205">
                  <c:v>-7.2190366972475046E-4</c:v>
                </c:pt>
                <c:pt idx="206">
                  <c:v>-7.1404109589032455E-4</c:v>
                </c:pt>
                <c:pt idx="207">
                  <c:v>-7.0624999999984784E-4</c:v>
                </c:pt>
                <c:pt idx="208">
                  <c:v>-7.4999999999984563E-4</c:v>
                </c:pt>
                <c:pt idx="209">
                  <c:v>-6.9087837837846053E-4</c:v>
                </c:pt>
                <c:pt idx="210">
                  <c:v>-6.3228699551583049E-4</c:v>
                </c:pt>
                <c:pt idx="211">
                  <c:v>-6.2500000000006994E-4</c:v>
                </c:pt>
                <c:pt idx="212">
                  <c:v>-6.1777777777778274E-4</c:v>
                </c:pt>
                <c:pt idx="213">
                  <c:v>-6.1061946902648927E-4</c:v>
                </c:pt>
                <c:pt idx="214">
                  <c:v>-6.035242290749447E-4</c:v>
                </c:pt>
                <c:pt idx="215">
                  <c:v>-6.4638157894742019E-4</c:v>
                </c:pt>
                <c:pt idx="216">
                  <c:v>-6.8886462882100945E-4</c:v>
                </c:pt>
                <c:pt idx="217">
                  <c:v>-7.3097826086961093E-4</c:v>
                </c:pt>
                <c:pt idx="218">
                  <c:v>-8.21969696969625E-4</c:v>
                </c:pt>
                <c:pt idx="219">
                  <c:v>-8.6314655172406354E-4</c:v>
                </c:pt>
                <c:pt idx="220">
                  <c:v>-7.5751072961365148E-4</c:v>
                </c:pt>
                <c:pt idx="221">
                  <c:v>-7.5000000000002831E-4</c:v>
                </c:pt>
                <c:pt idx="222">
                  <c:v>-6.941489361702919E-4</c:v>
                </c:pt>
                <c:pt idx="223">
                  <c:v>-5.9057203389837579E-4</c:v>
                </c:pt>
                <c:pt idx="224">
                  <c:v>-7.278481012658372E-4</c:v>
                </c:pt>
                <c:pt idx="225">
                  <c:v>-5.7720588235288901E-4</c:v>
                </c:pt>
                <c:pt idx="226">
                  <c:v>-5.7060669456072575E-4</c:v>
                </c:pt>
                <c:pt idx="227">
                  <c:v>-5.1666666666660423E-4</c:v>
                </c:pt>
                <c:pt idx="228">
                  <c:v>-6.0477178423235802E-4</c:v>
                </c:pt>
                <c:pt idx="229">
                  <c:v>-5.5113636363623899E-4</c:v>
                </c:pt>
                <c:pt idx="230">
                  <c:v>-6.3837448559663824E-4</c:v>
                </c:pt>
                <c:pt idx="231">
                  <c:v>-5.8504098360653714E-4</c:v>
                </c:pt>
                <c:pt idx="232">
                  <c:v>-7.1785714285723344E-4</c:v>
                </c:pt>
                <c:pt idx="233">
                  <c:v>-8.495934959349957E-4</c:v>
                </c:pt>
                <c:pt idx="234">
                  <c:v>-8.8815789473687572E-4</c:v>
                </c:pt>
                <c:pt idx="235">
                  <c:v>-9.2641129032261158E-4</c:v>
                </c:pt>
                <c:pt idx="236">
                  <c:v>-9.6435742971890369E-4</c:v>
                </c:pt>
                <c:pt idx="237">
                  <c:v>-9.5649999999996996E-4</c:v>
                </c:pt>
                <c:pt idx="238">
                  <c:v>-9.4870517928278067E-4</c:v>
                </c:pt>
                <c:pt idx="239">
                  <c:v>-9.4097222222223735E-4</c:v>
                </c:pt>
                <c:pt idx="240">
                  <c:v>-8.8833992094851919E-4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1B51-4335-814D-53B8B9178B55}"/>
            </c:ext>
          </c:extLst>
        </c:ser>
        <c:ser>
          <c:idx val="58"/>
          <c:order val="58"/>
          <c:tx>
            <c:strRef>
              <c:f>'전류편차_24mA(절대값기준)'!$DV$7</c:f>
              <c:strCache>
                <c:ptCount val="1"/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'전류편차_24mA(절대값기준)'!$DV$22:$DV$262</c:f>
              <c:numCache>
                <c:formatCode>0.0%</c:formatCode>
                <c:ptCount val="241"/>
                <c:pt idx="0">
                  <c:v>-6.8749999999999367E-3</c:v>
                </c:pt>
                <c:pt idx="1">
                  <c:v>-6.3124999999999848E-3</c:v>
                </c:pt>
                <c:pt idx="2">
                  <c:v>-5.0666666666666083E-3</c:v>
                </c:pt>
                <c:pt idx="3">
                  <c:v>-4.6875000000001412E-3</c:v>
                </c:pt>
                <c:pt idx="4">
                  <c:v>-1.0073529411764135E-3</c:v>
                </c:pt>
                <c:pt idx="5">
                  <c:v>3.6805555555557669E-4</c:v>
                </c:pt>
                <c:pt idx="6">
                  <c:v>-1.9736842105271064E-4</c:v>
                </c:pt>
                <c:pt idx="7">
                  <c:v>-4.118750000000046E-3</c:v>
                </c:pt>
                <c:pt idx="8">
                  <c:v>-3.8750000000000728E-3</c:v>
                </c:pt>
                <c:pt idx="9">
                  <c:v>-2.6193181818181632E-3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-4.005000000000058E-3</c:v>
                </c:pt>
                <c:pt idx="13">
                  <c:v>-4.6874999999999833E-3</c:v>
                </c:pt>
                <c:pt idx="14">
                  <c:v>-3.2129629629629214E-3</c:v>
                </c:pt>
                <c:pt idx="15">
                  <c:v>-3.8750000000000728E-3</c:v>
                </c:pt>
                <c:pt idx="16">
                  <c:v>-9.6120689655159537E-4</c:v>
                </c:pt>
                <c:pt idx="17">
                  <c:v>-2.4125000000000656E-3</c:v>
                </c:pt>
                <c:pt idx="18">
                  <c:v>-2.6693548387097198E-3</c:v>
                </c:pt>
                <c:pt idx="19">
                  <c:v>-4.2187500000013736E-4</c:v>
                </c:pt>
                <c:pt idx="20">
                  <c:v>-1.7575757575757575E-3</c:v>
                </c:pt>
                <c:pt idx="21">
                  <c:v>-6.7279411764703859E-4</c:v>
                </c:pt>
                <c:pt idx="22">
                  <c:v>-2.5750000000000716E-3</c:v>
                </c:pt>
                <c:pt idx="23">
                  <c:v>-8.9583333333331338E-4</c:v>
                </c:pt>
                <c:pt idx="24">
                  <c:v>3.8513513513513924E-4</c:v>
                </c:pt>
                <c:pt idx="25">
                  <c:v>-4.9671052631583557E-4</c:v>
                </c:pt>
                <c:pt idx="26">
                  <c:v>-7.4999999999989897E-4</c:v>
                </c:pt>
                <c:pt idx="27">
                  <c:v>-2.4124999999999815E-3</c:v>
                </c:pt>
                <c:pt idx="28">
                  <c:v>-9.4207317073173352E-4</c:v>
                </c:pt>
                <c:pt idx="29">
                  <c:v>-1.4375000000001006E-3</c:v>
                </c:pt>
                <c:pt idx="30">
                  <c:v>-2.9680232558138915E-3</c:v>
                </c:pt>
                <c:pt idx="31">
                  <c:v>-2.1022727272727655E-3</c:v>
                </c:pt>
                <c:pt idx="32">
                  <c:v>-2.6388888888891039E-4</c:v>
                </c:pt>
                <c:pt idx="33">
                  <c:v>-1.2255434782609048E-3</c:v>
                </c:pt>
                <c:pt idx="34">
                  <c:v>-2.1462765957447291E-3</c:v>
                </c:pt>
                <c:pt idx="35">
                  <c:v>-1.6067708333333403E-3</c:v>
                </c:pt>
                <c:pt idx="36">
                  <c:v>-1.5535714285713448E-3</c:v>
                </c:pt>
                <c:pt idx="37">
                  <c:v>-1.7300000000001069E-3</c:v>
                </c:pt>
                <c:pt idx="38">
                  <c:v>-7.8431372549011408E-4</c:v>
                </c:pt>
                <c:pt idx="39">
                  <c:v>-2.0624999999998839E-3</c:v>
                </c:pt>
                <c:pt idx="40">
                  <c:v>-2.4339622641510795E-3</c:v>
                </c:pt>
                <c:pt idx="41">
                  <c:v>-2.6388888888879817E-4</c:v>
                </c:pt>
                <c:pt idx="42">
                  <c:v>-2.1022727272726281E-3</c:v>
                </c:pt>
                <c:pt idx="43">
                  <c:v>-1.8437500000001161E-3</c:v>
                </c:pt>
                <c:pt idx="44">
                  <c:v>-5.9649122807016626E-4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-5.1666666666660423E-4</c:v>
                </c:pt>
                <c:pt idx="48">
                  <c:v>-8.6475409836064615E-4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4.6679687499984358E-4</c:v>
                </c:pt>
                <c:pt idx="52">
                  <c:v>-7.5000000000002842E-4</c:v>
                </c:pt>
                <c:pt idx="53">
                  <c:v>-5.5113636363626674E-4</c:v>
                </c:pt>
                <c:pt idx="54">
                  <c:v>-8.6753731343293828E-4</c:v>
                </c:pt>
                <c:pt idx="55">
                  <c:v>-5.0551470588242541E-4</c:v>
                </c:pt>
                <c:pt idx="56">
                  <c:v>1.7572463768122617E-4</c:v>
                </c:pt>
                <c:pt idx="57">
                  <c:v>-6.2499999999999774E-4</c:v>
                </c:pt>
                <c:pt idx="58">
                  <c:v>-6.0211267605627327E-4</c:v>
                </c:pt>
                <c:pt idx="59">
                  <c:v>3.6805555555557669E-4</c:v>
                </c:pt>
                <c:pt idx="60">
                  <c:v>-1.1815068493150919E-3</c:v>
                </c:pt>
                <c:pt idx="61">
                  <c:v>-2.2972972972979444E-4</c:v>
                </c:pt>
                <c:pt idx="62">
                  <c:v>-1.578333333333255E-3</c:v>
                </c:pt>
                <c:pt idx="63">
                  <c:v>-1.2450657894737143E-3</c:v>
                </c:pt>
                <c:pt idx="64">
                  <c:v>-7.7272727272722802E-4</c:v>
                </c:pt>
                <c:pt idx="65">
                  <c:v>-8.9583333333328097E-4</c:v>
                </c:pt>
                <c:pt idx="66">
                  <c:v>-7.9113924050504743E-6</c:v>
                </c:pt>
                <c:pt idx="67">
                  <c:v>-8.4843749999996413E-4</c:v>
                </c:pt>
                <c:pt idx="68">
                  <c:v>-1.1064814814813603E-3</c:v>
                </c:pt>
                <c:pt idx="69">
                  <c:v>-1.0807926829269018E-3</c:v>
                </c:pt>
                <c:pt idx="70">
                  <c:v>-9.6385542168615931E-5</c:v>
                </c:pt>
                <c:pt idx="71">
                  <c:v>-1.166666666666677E-3</c:v>
                </c:pt>
                <c:pt idx="72">
                  <c:v>-1.2750000000000025E-3</c:v>
                </c:pt>
                <c:pt idx="73">
                  <c:v>-1.3808139534883673E-3</c:v>
                </c:pt>
                <c:pt idx="74">
                  <c:v>-1.2227011494253038E-3</c:v>
                </c:pt>
                <c:pt idx="75">
                  <c:v>-1.8437499999999522E-3</c:v>
                </c:pt>
                <c:pt idx="76">
                  <c:v>-1.9396067415729792E-3</c:v>
                </c:pt>
                <c:pt idx="77">
                  <c:v>-2.6652777777778154E-3</c:v>
                </c:pt>
                <c:pt idx="78">
                  <c:v>-2.4999999999999467E-3</c:v>
                </c:pt>
                <c:pt idx="79">
                  <c:v>-2.338315217391162E-3</c:v>
                </c:pt>
                <c:pt idx="80">
                  <c:v>-2.3024193548386298E-3</c:v>
                </c:pt>
                <c:pt idx="81">
                  <c:v>-1.4202127659574675E-3</c:v>
                </c:pt>
                <c:pt idx="82">
                  <c:v>-1.5144736842105399E-3</c:v>
                </c:pt>
                <c:pt idx="83">
                  <c:v>-1.9622395833333536E-3</c:v>
                </c:pt>
                <c:pt idx="84">
                  <c:v>-2.518041237113364E-3</c:v>
                </c:pt>
                <c:pt idx="85">
                  <c:v>-1.9017857142856437E-3</c:v>
                </c:pt>
                <c:pt idx="86">
                  <c:v>-2.5618686868687005E-3</c:v>
                </c:pt>
                <c:pt idx="87">
                  <c:v>-2.6400000000000065E-3</c:v>
                </c:pt>
                <c:pt idx="88">
                  <c:v>-2.9418316831683923E-3</c:v>
                </c:pt>
                <c:pt idx="89">
                  <c:v>-2.6801470588235852E-3</c:v>
                </c:pt>
                <c:pt idx="90">
                  <c:v>-2.6444174757280694E-3</c:v>
                </c:pt>
                <c:pt idx="91">
                  <c:v>-3.484374999999873E-3</c:v>
                </c:pt>
                <c:pt idx="92">
                  <c:v>-3.5499999999998684E-3</c:v>
                </c:pt>
                <c:pt idx="93">
                  <c:v>-3.8290094339623894E-3</c:v>
                </c:pt>
                <c:pt idx="94">
                  <c:v>-3.9964953271028631E-3</c:v>
                </c:pt>
                <c:pt idx="95">
                  <c:v>-3.8449074074073902E-3</c:v>
                </c:pt>
                <c:pt idx="96">
                  <c:v>-3.4873853211009405E-3</c:v>
                </c:pt>
                <c:pt idx="97">
                  <c:v>-3.5500000000000171E-3</c:v>
                </c:pt>
                <c:pt idx="98">
                  <c:v>-3.5090090090090765E-3</c:v>
                </c:pt>
                <c:pt idx="99">
                  <c:v>-3.0624999999999819E-3</c:v>
                </c:pt>
                <c:pt idx="100">
                  <c:v>-2.7245575221239143E-3</c:v>
                </c:pt>
                <c:pt idx="101">
                  <c:v>-3.3903508771930199E-3</c:v>
                </c:pt>
                <c:pt idx="102">
                  <c:v>-3.451086956521771E-3</c:v>
                </c:pt>
                <c:pt idx="103">
                  <c:v>-3.4127155172412856E-3</c:v>
                </c:pt>
                <c:pt idx="104">
                  <c:v>-2.7916666666667721E-3</c:v>
                </c:pt>
                <c:pt idx="105">
                  <c:v>-3.5307203389831187E-3</c:v>
                </c:pt>
                <c:pt idx="106">
                  <c:v>-3.8750000000000728E-3</c:v>
                </c:pt>
                <c:pt idx="107">
                  <c:v>-3.4552083333333262E-3</c:v>
                </c:pt>
                <c:pt idx="108">
                  <c:v>-3.8884297520660619E-3</c:v>
                </c:pt>
                <c:pt idx="109">
                  <c:v>-4.128073770491807E-3</c:v>
                </c:pt>
                <c:pt idx="110">
                  <c:v>-3.8089430894309331E-3</c:v>
                </c:pt>
                <c:pt idx="111">
                  <c:v>-3.8618951612903558E-3</c:v>
                </c:pt>
                <c:pt idx="112">
                  <c:v>-3.2770000000000576E-3</c:v>
                </c:pt>
                <c:pt idx="113">
                  <c:v>-3.3333333333333856E-3</c:v>
                </c:pt>
                <c:pt idx="114">
                  <c:v>-3.2992125984251343E-3</c:v>
                </c:pt>
                <c:pt idx="115">
                  <c:v>-3.8876953125001105E-3</c:v>
                </c:pt>
                <c:pt idx="116">
                  <c:v>-3.2325581395349096E-3</c:v>
                </c:pt>
                <c:pt idx="117">
                  <c:v>-3.8999999999999924E-3</c:v>
                </c:pt>
                <c:pt idx="118">
                  <c:v>-3.9494274809160181E-3</c:v>
                </c:pt>
                <c:pt idx="119">
                  <c:v>-3.8257575757575011E-3</c:v>
                </c:pt>
                <c:pt idx="120">
                  <c:v>-3.7039473684210684E-3</c:v>
                </c:pt>
                <c:pt idx="121">
                  <c:v>-3.4990671641791054E-3</c:v>
                </c:pt>
                <c:pt idx="122">
                  <c:v>-4.2240740740741457E-3</c:v>
                </c:pt>
                <c:pt idx="123">
                  <c:v>-3.9347426470587787E-3</c:v>
                </c:pt>
                <c:pt idx="124">
                  <c:v>-4.2308394160583537E-3</c:v>
                </c:pt>
                <c:pt idx="125">
                  <c:v>-4.7699275362318586E-3</c:v>
                </c:pt>
                <c:pt idx="126">
                  <c:v>-4.8920863309351763E-3</c:v>
                </c:pt>
                <c:pt idx="127">
                  <c:v>-4.76875000000001E-3</c:v>
                </c:pt>
                <c:pt idx="128">
                  <c:v>-4.1631205673759632E-3</c:v>
                </c:pt>
                <c:pt idx="129">
                  <c:v>-4.5272887323944029E-3</c:v>
                </c:pt>
                <c:pt idx="130">
                  <c:v>-3.852272727272732E-3</c:v>
                </c:pt>
                <c:pt idx="131">
                  <c:v>-3.9765624999999567E-3</c:v>
                </c:pt>
                <c:pt idx="132">
                  <c:v>-4.3344827586206079E-3</c:v>
                </c:pt>
                <c:pt idx="133">
                  <c:v>-4.2979452054795475E-3</c:v>
                </c:pt>
                <c:pt idx="134">
                  <c:v>-4.184523809523848E-3</c:v>
                </c:pt>
                <c:pt idx="135">
                  <c:v>-4.456925675675719E-3</c:v>
                </c:pt>
                <c:pt idx="136">
                  <c:v>-4.4966442953020521E-3</c:v>
                </c:pt>
                <c:pt idx="137">
                  <c:v>-4.0049999999999244E-3</c:v>
                </c:pt>
                <c:pt idx="138">
                  <c:v>-3.9718543046358568E-3</c:v>
                </c:pt>
                <c:pt idx="139">
                  <c:v>-4.1636513157894814E-3</c:v>
                </c:pt>
                <c:pt idx="140">
                  <c:v>-4.724673202614358E-3</c:v>
                </c:pt>
                <c:pt idx="141">
                  <c:v>-5.130681818181851E-3</c:v>
                </c:pt>
                <c:pt idx="142">
                  <c:v>-4.8709677419354145E-3</c:v>
                </c:pt>
                <c:pt idx="143">
                  <c:v>-4.8333333333333006E-3</c:v>
                </c:pt>
                <c:pt idx="144">
                  <c:v>-4.2165605095542073E-3</c:v>
                </c:pt>
                <c:pt idx="145">
                  <c:v>-4.6155063291139151E-3</c:v>
                </c:pt>
                <c:pt idx="146">
                  <c:v>-4.079402515723321E-3</c:v>
                </c:pt>
                <c:pt idx="147">
                  <c:v>-4.260937499999967E-3</c:v>
                </c:pt>
                <c:pt idx="148">
                  <c:v>-4.581521739130367E-3</c:v>
                </c:pt>
                <c:pt idx="149">
                  <c:v>-4.5470679012345359E-3</c:v>
                </c:pt>
                <c:pt idx="150">
                  <c:v>-4.1641104294479247E-3</c:v>
                </c:pt>
                <c:pt idx="151">
                  <c:v>-4.7568597560975678E-3</c:v>
                </c:pt>
                <c:pt idx="152">
                  <c:v>-4.170454545454525E-3</c:v>
                </c:pt>
                <c:pt idx="153">
                  <c:v>-4.3448795180723102E-3</c:v>
                </c:pt>
                <c:pt idx="154">
                  <c:v>-4.31287425149694E-3</c:v>
                </c:pt>
                <c:pt idx="155">
                  <c:v>-4.4843750000000959E-3</c:v>
                </c:pt>
                <c:pt idx="156">
                  <c:v>-4.8557692307692555E-3</c:v>
                </c:pt>
                <c:pt idx="157">
                  <c:v>-5.222794117647013E-3</c:v>
                </c:pt>
                <c:pt idx="158">
                  <c:v>-5.2529239766081377E-3</c:v>
                </c:pt>
                <c:pt idx="159">
                  <c:v>-4.6874999999999244E-3</c:v>
                </c:pt>
                <c:pt idx="160">
                  <c:v>-5.049132947976852E-3</c:v>
                </c:pt>
                <c:pt idx="161">
                  <c:v>-4.8182471264367798E-3</c:v>
                </c:pt>
                <c:pt idx="162">
                  <c:v>-4.5900000000000229E-3</c:v>
                </c:pt>
                <c:pt idx="163">
                  <c:v>-4.9460227272726818E-3</c:v>
                </c:pt>
                <c:pt idx="164">
                  <c:v>-4.9124293785310609E-3</c:v>
                </c:pt>
                <c:pt idx="165">
                  <c:v>-4.9431179775280736E-3</c:v>
                </c:pt>
                <c:pt idx="166">
                  <c:v>-4.973463687150818E-3</c:v>
                </c:pt>
                <c:pt idx="167">
                  <c:v>-4.4979166666666986E-3</c:v>
                </c:pt>
                <c:pt idx="168">
                  <c:v>-5.033149171270691E-3</c:v>
                </c:pt>
                <c:pt idx="169">
                  <c:v>-4.5625000000000249E-3</c:v>
                </c:pt>
                <c:pt idx="170">
                  <c:v>-4.7807377049180607E-3</c:v>
                </c:pt>
                <c:pt idx="171">
                  <c:v>-4.6874999999998741E-3</c:v>
                </c:pt>
                <c:pt idx="172">
                  <c:v>-5.2101351351351707E-3</c:v>
                </c:pt>
                <c:pt idx="173">
                  <c:v>-4.993279569892423E-3</c:v>
                </c:pt>
                <c:pt idx="174">
                  <c:v>-5.6303475935827133E-3</c:v>
                </c:pt>
                <c:pt idx="175">
                  <c:v>-5.4135638297874052E-3</c:v>
                </c:pt>
                <c:pt idx="176">
                  <c:v>-5.3796296296297237E-3</c:v>
                </c:pt>
                <c:pt idx="177">
                  <c:v>-5.2263157894737672E-3</c:v>
                </c:pt>
                <c:pt idx="178">
                  <c:v>-4.7768324607331165E-3</c:v>
                </c:pt>
                <c:pt idx="179">
                  <c:v>-4.7467447916667224E-3</c:v>
                </c:pt>
                <c:pt idx="180">
                  <c:v>-5.188471502590602E-3</c:v>
                </c:pt>
                <c:pt idx="181">
                  <c:v>-4.7461340206185337E-3</c:v>
                </c:pt>
                <c:pt idx="182">
                  <c:v>-4.9499999999999805E-3</c:v>
                </c:pt>
                <c:pt idx="183">
                  <c:v>-4.919642857142764E-3</c:v>
                </c:pt>
                <c:pt idx="184">
                  <c:v>-4.8318527918781405E-3</c:v>
                </c:pt>
                <c:pt idx="185">
                  <c:v>-4.9747474747473758E-3</c:v>
                </c:pt>
                <c:pt idx="186">
                  <c:v>-5.0590452261306219E-3</c:v>
                </c:pt>
                <c:pt idx="187">
                  <c:v>-4.6306250000000141E-3</c:v>
                </c:pt>
                <c:pt idx="188">
                  <c:v>-4.6592039800995135E-3</c:v>
                </c:pt>
                <c:pt idx="189">
                  <c:v>-4.9127475247525585E-3</c:v>
                </c:pt>
                <c:pt idx="190">
                  <c:v>-4.7155172413793156E-3</c:v>
                </c:pt>
                <c:pt idx="191">
                  <c:v>-5.0778186274509952E-3</c:v>
                </c:pt>
                <c:pt idx="192">
                  <c:v>-4.8817073170731081E-3</c:v>
                </c:pt>
                <c:pt idx="193">
                  <c:v>-4.6322815533980481E-3</c:v>
                </c:pt>
                <c:pt idx="194">
                  <c:v>-4.3303140096618096E-3</c:v>
                </c:pt>
                <c:pt idx="195">
                  <c:v>-4.4140625000000377E-3</c:v>
                </c:pt>
                <c:pt idx="196">
                  <c:v>-4.38815789473681E-3</c:v>
                </c:pt>
                <c:pt idx="197">
                  <c:v>-4.6874999999999114E-3</c:v>
                </c:pt>
                <c:pt idx="198">
                  <c:v>-4.7144549763034173E-3</c:v>
                </c:pt>
                <c:pt idx="199">
                  <c:v>-4.7948113207548788E-3</c:v>
                </c:pt>
                <c:pt idx="200">
                  <c:v>-4.6073943661972703E-3</c:v>
                </c:pt>
                <c:pt idx="201">
                  <c:v>-4.793808411215043E-3</c:v>
                </c:pt>
                <c:pt idx="202">
                  <c:v>-4.4494186046511721E-3</c:v>
                </c:pt>
                <c:pt idx="203">
                  <c:v>-4.4768518518518586E-3</c:v>
                </c:pt>
                <c:pt idx="204">
                  <c:v>-4.6612903225806551E-3</c:v>
                </c:pt>
                <c:pt idx="205">
                  <c:v>-5.0527522935778788E-3</c:v>
                </c:pt>
                <c:pt idx="206">
                  <c:v>-4.9731735159816871E-3</c:v>
                </c:pt>
                <c:pt idx="207">
                  <c:v>-4.6874999999999374E-3</c:v>
                </c:pt>
                <c:pt idx="208">
                  <c:v>-4.6617647058822256E-3</c:v>
                </c:pt>
                <c:pt idx="209">
                  <c:v>-4.9949324324324949E-3</c:v>
                </c:pt>
                <c:pt idx="210">
                  <c:v>-4.9680493273542578E-3</c:v>
                </c:pt>
                <c:pt idx="211">
                  <c:v>-4.8906250000000512E-3</c:v>
                </c:pt>
                <c:pt idx="212">
                  <c:v>-4.9655555555556648E-3</c:v>
                </c:pt>
                <c:pt idx="213">
                  <c:v>-4.9894911504425841E-3</c:v>
                </c:pt>
                <c:pt idx="214">
                  <c:v>-4.6123348017620839E-3</c:v>
                </c:pt>
                <c:pt idx="215">
                  <c:v>-4.6376096491227738E-3</c:v>
                </c:pt>
                <c:pt idx="216">
                  <c:v>-4.6626637554584797E-3</c:v>
                </c:pt>
                <c:pt idx="217">
                  <c:v>-5.0336956521739463E-3</c:v>
                </c:pt>
                <c:pt idx="218">
                  <c:v>-5.1553030303030057E-3</c:v>
                </c:pt>
                <c:pt idx="219">
                  <c:v>-5.1287715517240508E-3</c:v>
                </c:pt>
                <c:pt idx="220">
                  <c:v>-5.2489270386264662E-3</c:v>
                </c:pt>
                <c:pt idx="221">
                  <c:v>-5.4166666666666989E-3</c:v>
                </c:pt>
                <c:pt idx="222">
                  <c:v>-5.3893617021278017E-3</c:v>
                </c:pt>
                <c:pt idx="223">
                  <c:v>-5.0248940677966201E-3</c:v>
                </c:pt>
                <c:pt idx="224">
                  <c:v>-5.0474683544303872E-3</c:v>
                </c:pt>
                <c:pt idx="225">
                  <c:v>-4.9742647058824106E-3</c:v>
                </c:pt>
                <c:pt idx="226">
                  <c:v>-5.0444560669455508E-3</c:v>
                </c:pt>
                <c:pt idx="227">
                  <c:v>-5.0192708333333851E-3</c:v>
                </c:pt>
                <c:pt idx="228">
                  <c:v>-5.4662863070538397E-3</c:v>
                </c:pt>
                <c:pt idx="229">
                  <c:v>-5.1105371900825817E-3</c:v>
                </c:pt>
                <c:pt idx="230">
                  <c:v>-5.1790123456790038E-3</c:v>
                </c:pt>
                <c:pt idx="231">
                  <c:v>-5.5266393442621863E-3</c:v>
                </c:pt>
                <c:pt idx="232">
                  <c:v>-5.2678571428571852E-3</c:v>
                </c:pt>
                <c:pt idx="233">
                  <c:v>-5.5198170731707253E-3</c:v>
                </c:pt>
                <c:pt idx="234">
                  <c:v>-5.6315789473685247E-3</c:v>
                </c:pt>
                <c:pt idx="235">
                  <c:v>-5.3296370967742283E-3</c:v>
                </c:pt>
                <c:pt idx="236">
                  <c:v>-5.7610441767068747E-3</c:v>
                </c:pt>
                <c:pt idx="237">
                  <c:v>-5.6884999999999341E-3</c:v>
                </c:pt>
                <c:pt idx="238">
                  <c:v>-5.9790836653385868E-3</c:v>
                </c:pt>
                <c:pt idx="239">
                  <c:v>-5.951388888888934E-3</c:v>
                </c:pt>
                <c:pt idx="240">
                  <c:v>-5.7890316205533414E-3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1B51-4335-814D-53B8B9178B55}"/>
            </c:ext>
          </c:extLst>
        </c:ser>
        <c:ser>
          <c:idx val="59"/>
          <c:order val="59"/>
          <c:tx>
            <c:strRef>
              <c:f>'전류편차_24mA(절대값기준)'!$DW$7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'전류편차_24mA(절대값기준)'!$DW$22:$DW$262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2.5166666666667317E-3</c:v>
                </c:pt>
                <c:pt idx="3">
                  <c:v>2.8906249999994214E-4</c:v>
                </c:pt>
                <c:pt idx="4">
                  <c:v>-1.0073529411764135E-3</c:v>
                </c:pt>
                <c:pt idx="5">
                  <c:v>-2.6388888888879817E-4</c:v>
                </c:pt>
                <c:pt idx="6">
                  <c:v>-1.9736842105271064E-4</c:v>
                </c:pt>
                <c:pt idx="7">
                  <c:v>-1.374999999999793E-4</c:v>
                </c:pt>
                <c:pt idx="8">
                  <c:v>-1.7083333333334041E-3</c:v>
                </c:pt>
                <c:pt idx="9">
                  <c:v>-5.5113636363634329E-4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9.9999999999995145E-4</c:v>
                </c:pt>
                <c:pt idx="15">
                  <c:v>-1.0312500000000252E-3</c:v>
                </c:pt>
                <c:pt idx="16">
                  <c:v>2.1551724137930958E-4</c:v>
                </c:pt>
                <c:pt idx="17">
                  <c:v>-8.9583333333339752E-4</c:v>
                </c:pt>
                <c:pt idx="18">
                  <c:v>-1.2016129032258478E-3</c:v>
                </c:pt>
                <c:pt idx="19">
                  <c:v>-1.1328125000000591E-3</c:v>
                </c:pt>
                <c:pt idx="20">
                  <c:v>-1.4128787878788258E-3</c:v>
                </c:pt>
                <c:pt idx="21">
                  <c:v>-1.6764705882353118E-3</c:v>
                </c:pt>
                <c:pt idx="22">
                  <c:v>-1.9249999999999988E-3</c:v>
                </c:pt>
                <c:pt idx="23">
                  <c:v>-2.7916666666665782E-3</c:v>
                </c:pt>
                <c:pt idx="24">
                  <c:v>-2.0743243243243224E-3</c:v>
                </c:pt>
                <c:pt idx="25">
                  <c:v>-1.6940789473684681E-3</c:v>
                </c:pt>
                <c:pt idx="26">
                  <c:v>-1.6249999999999321E-3</c:v>
                </c:pt>
                <c:pt idx="27">
                  <c:v>-9.9062500000001168E-4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-1.3808139534883673E-3</c:v>
                </c:pt>
                <c:pt idx="31">
                  <c:v>-1.5852272727272534E-3</c:v>
                </c:pt>
                <c:pt idx="32">
                  <c:v>-2.0333333333333843E-3</c:v>
                </c:pt>
                <c:pt idx="33">
                  <c:v>-1.2255434782609048E-3</c:v>
                </c:pt>
                <c:pt idx="34">
                  <c:v>-2.1462765957447291E-3</c:v>
                </c:pt>
                <c:pt idx="35">
                  <c:v>-1.843750000000086E-3</c:v>
                </c:pt>
                <c:pt idx="36">
                  <c:v>-2.2499999999999426E-3</c:v>
                </c:pt>
                <c:pt idx="37">
                  <c:v>-2.4125000000001329E-3</c:v>
                </c:pt>
                <c:pt idx="38">
                  <c:v>-2.7916666666666606E-3</c:v>
                </c:pt>
                <c:pt idx="39">
                  <c:v>-3.1562499999998606E-3</c:v>
                </c:pt>
                <c:pt idx="40">
                  <c:v>-3.2924528301887207E-3</c:v>
                </c:pt>
                <c:pt idx="41">
                  <c:v>-2.3703703703704219E-3</c:v>
                </c:pt>
                <c:pt idx="42">
                  <c:v>-1.8954545454545608E-3</c:v>
                </c:pt>
                <c:pt idx="43">
                  <c:v>-1.8437500000001161E-3</c:v>
                </c:pt>
                <c:pt idx="44">
                  <c:v>-1.7938596491228432E-3</c:v>
                </c:pt>
                <c:pt idx="45">
                  <c:v>-1.3534482758620712E-3</c:v>
                </c:pt>
                <c:pt idx="46">
                  <c:v>-1.8919491525424927E-3</c:v>
                </c:pt>
                <c:pt idx="47">
                  <c:v>-2.0333333333332725E-3</c:v>
                </c:pt>
                <c:pt idx="48">
                  <c:v>-1.6106557377048264E-3</c:v>
                </c:pt>
                <c:pt idx="49">
                  <c:v>-2.1189516129032477E-3</c:v>
                </c:pt>
                <c:pt idx="50">
                  <c:v>-2.0694444444443955E-3</c:v>
                </c:pt>
                <c:pt idx="51">
                  <c:v>-2.1992187500000995E-3</c:v>
                </c:pt>
                <c:pt idx="52">
                  <c:v>-2.1500000000000295E-3</c:v>
                </c:pt>
                <c:pt idx="53">
                  <c:v>-2.2746212121212317E-3</c:v>
                </c:pt>
                <c:pt idx="54">
                  <c:v>-2.3955223880597109E-3</c:v>
                </c:pt>
                <c:pt idx="55">
                  <c:v>-2.8474264705881983E-3</c:v>
                </c:pt>
                <c:pt idx="56">
                  <c:v>-2.7916666666665661E-3</c:v>
                </c:pt>
                <c:pt idx="57">
                  <c:v>-2.2500000000001074E-3</c:v>
                </c:pt>
                <c:pt idx="58">
                  <c:v>-1.7235915492957998E-3</c:v>
                </c:pt>
                <c:pt idx="59">
                  <c:v>-1.8437500000000159E-3</c:v>
                </c:pt>
                <c:pt idx="60">
                  <c:v>-1.8047945205480385E-3</c:v>
                </c:pt>
                <c:pt idx="61">
                  <c:v>-1.7668918918919238E-3</c:v>
                </c:pt>
                <c:pt idx="62">
                  <c:v>-1.578333333333255E-3</c:v>
                </c:pt>
                <c:pt idx="63">
                  <c:v>-1.843750000000097E-3</c:v>
                </c:pt>
                <c:pt idx="64">
                  <c:v>-1.80681818181822E-3</c:v>
                </c:pt>
                <c:pt idx="65">
                  <c:v>-1.9166666666665666E-3</c:v>
                </c:pt>
                <c:pt idx="66">
                  <c:v>-1.8797468354430108E-3</c:v>
                </c:pt>
                <c:pt idx="67">
                  <c:v>-2.1281250000000128E-3</c:v>
                </c:pt>
                <c:pt idx="68">
                  <c:v>-2.0895061728394638E-3</c:v>
                </c:pt>
                <c:pt idx="69">
                  <c:v>-2.1905487804878784E-3</c:v>
                </c:pt>
                <c:pt idx="70">
                  <c:v>-2.2891566265059674E-3</c:v>
                </c:pt>
                <c:pt idx="71">
                  <c:v>-2.5208333333334347E-3</c:v>
                </c:pt>
                <c:pt idx="72">
                  <c:v>-2.7470588235294306E-3</c:v>
                </c:pt>
                <c:pt idx="73">
                  <c:v>-2.3066860465115798E-3</c:v>
                </c:pt>
                <c:pt idx="74">
                  <c:v>-2.2686781609195577E-3</c:v>
                </c:pt>
                <c:pt idx="75">
                  <c:v>-1.8437499999999522E-3</c:v>
                </c:pt>
                <c:pt idx="76">
                  <c:v>-1.811797752809005E-3</c:v>
                </c:pt>
                <c:pt idx="77">
                  <c:v>-1.7805555555556346E-3</c:v>
                </c:pt>
                <c:pt idx="78">
                  <c:v>-1.4999999999999458E-3</c:v>
                </c:pt>
                <c:pt idx="79">
                  <c:v>-1.5964673913043972E-3</c:v>
                </c:pt>
                <c:pt idx="80">
                  <c:v>-1.8131720430107268E-3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-1.9622395833333536E-3</c:v>
                </c:pt>
                <c:pt idx="84">
                  <c:v>-2.0489690721649618E-3</c:v>
                </c:pt>
                <c:pt idx="85">
                  <c:v>-2.3660714285713069E-3</c:v>
                </c:pt>
                <c:pt idx="86">
                  <c:v>-2.1022727272725873E-3</c:v>
                </c:pt>
                <c:pt idx="87">
                  <c:v>-2.4125000000001329E-3</c:v>
                </c:pt>
                <c:pt idx="88">
                  <c:v>-2.6039603960396666E-3</c:v>
                </c:pt>
                <c:pt idx="89">
                  <c:v>-2.5686274509803117E-3</c:v>
                </c:pt>
                <c:pt idx="90">
                  <c:v>-2.2026699029125841E-3</c:v>
                </c:pt>
                <c:pt idx="91">
                  <c:v>-2.2812499999999569E-3</c:v>
                </c:pt>
                <c:pt idx="92">
                  <c:v>-2.1416666666665457E-3</c:v>
                </c:pt>
                <c:pt idx="93">
                  <c:v>-2.1120283018869162E-3</c:v>
                </c:pt>
                <c:pt idx="94">
                  <c:v>-1.8703271028038431E-3</c:v>
                </c:pt>
                <c:pt idx="95">
                  <c:v>-1.7384259259259534E-3</c:v>
                </c:pt>
                <c:pt idx="96">
                  <c:v>-1.6089449541283921E-3</c:v>
                </c:pt>
                <c:pt idx="97">
                  <c:v>-1.8954545454545608E-3</c:v>
                </c:pt>
                <c:pt idx="98">
                  <c:v>-1.8693693693694353E-3</c:v>
                </c:pt>
                <c:pt idx="99">
                  <c:v>-1.9453125000000598E-3</c:v>
                </c:pt>
                <c:pt idx="100">
                  <c:v>-2.0199115044248323E-3</c:v>
                </c:pt>
                <c:pt idx="101">
                  <c:v>-2.0932017543860123E-3</c:v>
                </c:pt>
                <c:pt idx="102">
                  <c:v>-2.2641304347825954E-3</c:v>
                </c:pt>
                <c:pt idx="103">
                  <c:v>-2.6282327586206822E-3</c:v>
                </c:pt>
                <c:pt idx="104">
                  <c:v>-2.4027777777779263E-3</c:v>
                </c:pt>
                <c:pt idx="105">
                  <c:v>-2.3739406779661257E-3</c:v>
                </c:pt>
                <c:pt idx="106">
                  <c:v>-2.1544117647058899E-3</c:v>
                </c:pt>
                <c:pt idx="107">
                  <c:v>-2.1281250000000549E-3</c:v>
                </c:pt>
                <c:pt idx="108">
                  <c:v>-2.1022727272726614E-3</c:v>
                </c:pt>
                <c:pt idx="109">
                  <c:v>-2.1700819672130444E-3</c:v>
                </c:pt>
                <c:pt idx="110">
                  <c:v>-2.0518292682927099E-3</c:v>
                </c:pt>
                <c:pt idx="111">
                  <c:v>-2.2106854838709385E-3</c:v>
                </c:pt>
                <c:pt idx="112">
                  <c:v>-2.1850000000000164E-3</c:v>
                </c:pt>
                <c:pt idx="113">
                  <c:v>-2.1597222222221233E-3</c:v>
                </c:pt>
                <c:pt idx="114">
                  <c:v>-2.3139763779527621E-3</c:v>
                </c:pt>
                <c:pt idx="115">
                  <c:v>-2.5546875000000604E-3</c:v>
                </c:pt>
                <c:pt idx="116">
                  <c:v>-2.7916666666667803E-3</c:v>
                </c:pt>
                <c:pt idx="117">
                  <c:v>-2.9375000000000594E-3</c:v>
                </c:pt>
                <c:pt idx="118">
                  <c:v>-2.9942748091603597E-3</c:v>
                </c:pt>
                <c:pt idx="119">
                  <c:v>-3.3087121212120271E-3</c:v>
                </c:pt>
                <c:pt idx="120">
                  <c:v>-3.3618421052630594E-3</c:v>
                </c:pt>
                <c:pt idx="121">
                  <c:v>-3.3292910447762143E-3</c:v>
                </c:pt>
                <c:pt idx="122">
                  <c:v>-3.2972222222222088E-3</c:v>
                </c:pt>
                <c:pt idx="123">
                  <c:v>-3.349264705882335E-3</c:v>
                </c:pt>
                <c:pt idx="124">
                  <c:v>-3.3175182481752063E-3</c:v>
                </c:pt>
                <c:pt idx="125">
                  <c:v>-3.5335144927535508E-3</c:v>
                </c:pt>
                <c:pt idx="126">
                  <c:v>-3.4190647482013076E-3</c:v>
                </c:pt>
                <c:pt idx="127">
                  <c:v>-3.3875000000000541E-3</c:v>
                </c:pt>
                <c:pt idx="128">
                  <c:v>-3.4370567375887019E-3</c:v>
                </c:pt>
                <c:pt idx="129">
                  <c:v>-3.5660211267605634E-3</c:v>
                </c:pt>
                <c:pt idx="130">
                  <c:v>-3.4545454545453973E-3</c:v>
                </c:pt>
                <c:pt idx="131">
                  <c:v>-3.739583333333281E-3</c:v>
                </c:pt>
                <c:pt idx="132">
                  <c:v>-3.8637931034481762E-3</c:v>
                </c:pt>
                <c:pt idx="133">
                  <c:v>-3.9863013698630051E-3</c:v>
                </c:pt>
                <c:pt idx="134">
                  <c:v>-4.184523809523848E-3</c:v>
                </c:pt>
                <c:pt idx="135">
                  <c:v>-4.456925675675719E-3</c:v>
                </c:pt>
                <c:pt idx="136">
                  <c:v>-4.4966442953020521E-3</c:v>
                </c:pt>
                <c:pt idx="137">
                  <c:v>-4.5358333333332329E-3</c:v>
                </c:pt>
                <c:pt idx="138">
                  <c:v>-4.3485099337748547E-3</c:v>
                </c:pt>
                <c:pt idx="139">
                  <c:v>-4.4629934210526061E-3</c:v>
                </c:pt>
                <c:pt idx="140">
                  <c:v>-4.5016339869280754E-3</c:v>
                </c:pt>
                <c:pt idx="141">
                  <c:v>-4.5397727272726944E-3</c:v>
                </c:pt>
                <c:pt idx="142">
                  <c:v>-4.5040322580645201E-3</c:v>
                </c:pt>
                <c:pt idx="143">
                  <c:v>-4.5416666666666661E-3</c:v>
                </c:pt>
                <c:pt idx="144">
                  <c:v>-4.5063694267516276E-3</c:v>
                </c:pt>
                <c:pt idx="145">
                  <c:v>-4.5435126582278789E-3</c:v>
                </c:pt>
                <c:pt idx="146">
                  <c:v>-4.5086477987422045E-3</c:v>
                </c:pt>
                <c:pt idx="147">
                  <c:v>-4.5453124999999357E-3</c:v>
                </c:pt>
                <c:pt idx="148">
                  <c:v>-4.7228260869565013E-3</c:v>
                </c:pt>
                <c:pt idx="149">
                  <c:v>-4.7577160493826919E-3</c:v>
                </c:pt>
                <c:pt idx="150">
                  <c:v>-4.792177914110525E-3</c:v>
                </c:pt>
                <c:pt idx="151">
                  <c:v>-5.1036585365854268E-3</c:v>
                </c:pt>
                <c:pt idx="152">
                  <c:v>-5.1356060606061174E-3</c:v>
                </c:pt>
                <c:pt idx="153">
                  <c:v>-5.304216867469856E-3</c:v>
                </c:pt>
                <c:pt idx="154">
                  <c:v>-5.1983532934131013E-3</c:v>
                </c:pt>
                <c:pt idx="155">
                  <c:v>-5.2291666666667101E-3</c:v>
                </c:pt>
                <c:pt idx="156">
                  <c:v>-5.2596153846154242E-3</c:v>
                </c:pt>
                <c:pt idx="157">
                  <c:v>-5.2897058823529767E-3</c:v>
                </c:pt>
                <c:pt idx="158">
                  <c:v>-5.3194444444444764E-3</c:v>
                </c:pt>
                <c:pt idx="159">
                  <c:v>-5.3488372093023536E-3</c:v>
                </c:pt>
                <c:pt idx="160">
                  <c:v>-5.3121387283236437E-3</c:v>
                </c:pt>
                <c:pt idx="161">
                  <c:v>-5.2758620689656094E-3</c:v>
                </c:pt>
                <c:pt idx="162">
                  <c:v>-5.0450000000000017E-3</c:v>
                </c:pt>
                <c:pt idx="163">
                  <c:v>-5.2045454545454955E-3</c:v>
                </c:pt>
                <c:pt idx="164">
                  <c:v>-5.1694915254236881E-3</c:v>
                </c:pt>
                <c:pt idx="165">
                  <c:v>-5.1987359550561352E-3</c:v>
                </c:pt>
                <c:pt idx="166">
                  <c:v>-5.2912011173183527E-3</c:v>
                </c:pt>
                <c:pt idx="167">
                  <c:v>-5.4458333333334014E-3</c:v>
                </c:pt>
                <c:pt idx="168">
                  <c:v>-5.4102209944751258E-3</c:v>
                </c:pt>
                <c:pt idx="169">
                  <c:v>-5.3750000000000187E-3</c:v>
                </c:pt>
                <c:pt idx="170">
                  <c:v>-5.2158469945354164E-3</c:v>
                </c:pt>
                <c:pt idx="171">
                  <c:v>-5.243885869565112E-3</c:v>
                </c:pt>
                <c:pt idx="172">
                  <c:v>-5.2101351351351707E-3</c:v>
                </c:pt>
                <c:pt idx="173">
                  <c:v>-5.176747311827914E-3</c:v>
                </c:pt>
                <c:pt idx="174">
                  <c:v>-5.1437165775399868E-3</c:v>
                </c:pt>
                <c:pt idx="175">
                  <c:v>-5.1715425531915797E-3</c:v>
                </c:pt>
                <c:pt idx="176">
                  <c:v>-5.138888888888902E-3</c:v>
                </c:pt>
                <c:pt idx="177">
                  <c:v>-5.1065789473685704E-3</c:v>
                </c:pt>
                <c:pt idx="178">
                  <c:v>-5.0150523560209426E-3</c:v>
                </c:pt>
                <c:pt idx="179">
                  <c:v>-5.1022135416667362E-3</c:v>
                </c:pt>
                <c:pt idx="180">
                  <c:v>-5.0705958549222734E-3</c:v>
                </c:pt>
                <c:pt idx="181">
                  <c:v>-4.9806701030928385E-3</c:v>
                </c:pt>
                <c:pt idx="182">
                  <c:v>-5.0666666666665822E-3</c:v>
                </c:pt>
                <c:pt idx="183">
                  <c:v>-5.2098214285714838E-3</c:v>
                </c:pt>
                <c:pt idx="184">
                  <c:v>-5.3515228426395814E-3</c:v>
                </c:pt>
                <c:pt idx="185">
                  <c:v>-5.2045454545454322E-3</c:v>
                </c:pt>
                <c:pt idx="186">
                  <c:v>-5.2876884422108968E-3</c:v>
                </c:pt>
                <c:pt idx="187">
                  <c:v>-5.31312500000004E-3</c:v>
                </c:pt>
                <c:pt idx="188">
                  <c:v>-5.281716417910416E-3</c:v>
                </c:pt>
                <c:pt idx="189">
                  <c:v>-5.1379950495049091E-3</c:v>
                </c:pt>
                <c:pt idx="190">
                  <c:v>-5.1637931034482316E-3</c:v>
                </c:pt>
                <c:pt idx="191">
                  <c:v>-5.2450980392157072E-3</c:v>
                </c:pt>
                <c:pt idx="192">
                  <c:v>-5.1591463414634936E-3</c:v>
                </c:pt>
                <c:pt idx="193">
                  <c:v>-5.2396844660193643E-3</c:v>
                </c:pt>
                <c:pt idx="194">
                  <c:v>-5.1545893719806817E-3</c:v>
                </c:pt>
                <c:pt idx="195">
                  <c:v>-5.1249999999999352E-3</c:v>
                </c:pt>
                <c:pt idx="196">
                  <c:v>-5.0956937799041726E-3</c:v>
                </c:pt>
                <c:pt idx="197">
                  <c:v>-5.2291666666666632E-3</c:v>
                </c:pt>
                <c:pt idx="198">
                  <c:v>-5.0918246445499412E-3</c:v>
                </c:pt>
                <c:pt idx="199">
                  <c:v>-5.2777122641509333E-3</c:v>
                </c:pt>
                <c:pt idx="200">
                  <c:v>-5.4084507042254691E-3</c:v>
                </c:pt>
                <c:pt idx="201">
                  <c:v>-5.325350467289703E-3</c:v>
                </c:pt>
                <c:pt idx="202">
                  <c:v>-5.2430232558139927E-3</c:v>
                </c:pt>
                <c:pt idx="203">
                  <c:v>-5.266782407407444E-3</c:v>
                </c:pt>
                <c:pt idx="204">
                  <c:v>-5.2903225806451943E-3</c:v>
                </c:pt>
                <c:pt idx="205">
                  <c:v>-5.2614678899082232E-3</c:v>
                </c:pt>
                <c:pt idx="206">
                  <c:v>-5.2328767123286674E-3</c:v>
                </c:pt>
                <c:pt idx="207">
                  <c:v>-5.204545454545473E-3</c:v>
                </c:pt>
                <c:pt idx="208">
                  <c:v>-5.1764705882352468E-3</c:v>
                </c:pt>
                <c:pt idx="209">
                  <c:v>-5.2511261261261382E-3</c:v>
                </c:pt>
                <c:pt idx="210">
                  <c:v>-5.2230941704037156E-3</c:v>
                </c:pt>
                <c:pt idx="211">
                  <c:v>-5.1953125000000627E-3</c:v>
                </c:pt>
                <c:pt idx="212">
                  <c:v>-5.1677777777777755E-3</c:v>
                </c:pt>
                <c:pt idx="213">
                  <c:v>-5.1908185840707916E-3</c:v>
                </c:pt>
                <c:pt idx="214">
                  <c:v>-5.1635462555065384E-3</c:v>
                </c:pt>
                <c:pt idx="215">
                  <c:v>-5.2362938596491118E-3</c:v>
                </c:pt>
                <c:pt idx="216">
                  <c:v>-5.2587336244541349E-3</c:v>
                </c:pt>
                <c:pt idx="217">
                  <c:v>-5.3304347826087402E-3</c:v>
                </c:pt>
                <c:pt idx="218">
                  <c:v>-5.204545454545316E-3</c:v>
                </c:pt>
                <c:pt idx="219">
                  <c:v>-5.3248922413792893E-3</c:v>
                </c:pt>
                <c:pt idx="220">
                  <c:v>-5.3465665236051268E-3</c:v>
                </c:pt>
                <c:pt idx="221">
                  <c:v>-5.3194444444445302E-3</c:v>
                </c:pt>
                <c:pt idx="222">
                  <c:v>-5.2925531914893853E-3</c:v>
                </c:pt>
                <c:pt idx="223">
                  <c:v>-5.3140889830508688E-3</c:v>
                </c:pt>
                <c:pt idx="224">
                  <c:v>-5.2874472573839256E-3</c:v>
                </c:pt>
                <c:pt idx="225">
                  <c:v>-5.3088235294117218E-3</c:v>
                </c:pt>
                <c:pt idx="226">
                  <c:v>-5.2824267782427435E-3</c:v>
                </c:pt>
                <c:pt idx="227">
                  <c:v>-5.3036458333333963E-3</c:v>
                </c:pt>
                <c:pt idx="228">
                  <c:v>-5.2774896265560187E-3</c:v>
                </c:pt>
                <c:pt idx="229">
                  <c:v>-5.2045454545453394E-3</c:v>
                </c:pt>
                <c:pt idx="230">
                  <c:v>-5.2726337448559075E-3</c:v>
                </c:pt>
                <c:pt idx="231">
                  <c:v>-5.3401639344262241E-3</c:v>
                </c:pt>
                <c:pt idx="232">
                  <c:v>-5.3142857142858138E-3</c:v>
                </c:pt>
                <c:pt idx="233">
                  <c:v>-5.2886178861789018E-3</c:v>
                </c:pt>
                <c:pt idx="234">
                  <c:v>-5.2631578947368229E-3</c:v>
                </c:pt>
                <c:pt idx="235">
                  <c:v>-5.2837701612903016E-3</c:v>
                </c:pt>
                <c:pt idx="236">
                  <c:v>-5.2585341365462678E-3</c:v>
                </c:pt>
                <c:pt idx="237">
                  <c:v>-5.2335000000000246E-3</c:v>
                </c:pt>
                <c:pt idx="238">
                  <c:v>-5.299302788844538E-3</c:v>
                </c:pt>
                <c:pt idx="239">
                  <c:v>-5.2743055555555746E-3</c:v>
                </c:pt>
                <c:pt idx="240">
                  <c:v>-5.2495059288537168E-3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1B51-4335-814D-53B8B9178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498367"/>
        <c:axId val="464415279"/>
      </c:scatterChart>
      <c:valAx>
        <c:axId val="89749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415279"/>
        <c:crosses val="autoZero"/>
        <c:crossBetween val="midCat"/>
      </c:valAx>
      <c:valAx>
        <c:axId val="464415279"/>
        <c:scaling>
          <c:orientation val="minMax"/>
          <c:max val="2.0000000000000004E-2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749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DAC</a:t>
            </a:r>
            <a:r>
              <a:rPr lang="ko-KR" altLang="en-US" sz="2000" b="1">
                <a:solidFill>
                  <a:sysClr val="windowText" lastClr="000000"/>
                </a:solidFill>
              </a:rPr>
              <a:t>전압편차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DAC전압편차!$O$17:$O$277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-2.6400000000000065E-3</c:v>
                </c:pt>
                <c:pt idx="13">
                  <c:v>-2.50000000000003E-3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-3.3333333333333453E-3</c:v>
                </c:pt>
                <c:pt idx="30">
                  <c:v>-3.2325581395349101E-3</c:v>
                </c:pt>
                <c:pt idx="31">
                  <c:v>-3.1363636363636758E-3</c:v>
                </c:pt>
                <c:pt idx="32">
                  <c:v>-3.0444444444444963E-3</c:v>
                </c:pt>
                <c:pt idx="33">
                  <c:v>-2.9565217391303894E-3</c:v>
                </c:pt>
                <c:pt idx="34">
                  <c:v>-2.8723404255319904E-3</c:v>
                </c:pt>
                <c:pt idx="35">
                  <c:v>-2.7916666666666485E-3</c:v>
                </c:pt>
                <c:pt idx="36">
                  <c:v>-2.7142857142856058E-3</c:v>
                </c:pt>
                <c:pt idx="37">
                  <c:v>-2.6400000000000065E-3</c:v>
                </c:pt>
                <c:pt idx="38">
                  <c:v>-4.3529411764705091E-3</c:v>
                </c:pt>
                <c:pt idx="39">
                  <c:v>-2.50000000000003E-3</c:v>
                </c:pt>
                <c:pt idx="40">
                  <c:v>-4.1509433962265523E-3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-3.8750000000000728E-3</c:v>
                </c:pt>
                <c:pt idx="44">
                  <c:v>-3.7894736842105201E-3</c:v>
                </c:pt>
                <c:pt idx="45">
                  <c:v>-3.7068965517240552E-3</c:v>
                </c:pt>
                <c:pt idx="46">
                  <c:v>-3.6271186440678112E-3</c:v>
                </c:pt>
                <c:pt idx="47">
                  <c:v>-3.5499999999999404E-3</c:v>
                </c:pt>
                <c:pt idx="48">
                  <c:v>-3.4754098360654426E-3</c:v>
                </c:pt>
                <c:pt idx="49">
                  <c:v>-3.4032258064515745E-3</c:v>
                </c:pt>
                <c:pt idx="50">
                  <c:v>-3.3333333333333856E-3</c:v>
                </c:pt>
                <c:pt idx="51">
                  <c:v>-3.2656250000001395E-3</c:v>
                </c:pt>
                <c:pt idx="52">
                  <c:v>-3.2000000000000695E-3</c:v>
                </c:pt>
                <c:pt idx="53">
                  <c:v>-3.1363636363636377E-3</c:v>
                </c:pt>
                <c:pt idx="54">
                  <c:v>-3.074626865671727E-3</c:v>
                </c:pt>
                <c:pt idx="55">
                  <c:v>-4.352941176470608E-3</c:v>
                </c:pt>
                <c:pt idx="56">
                  <c:v>-4.2753623188405351E-3</c:v>
                </c:pt>
                <c:pt idx="57">
                  <c:v>-4.200000000000037E-3</c:v>
                </c:pt>
                <c:pt idx="58">
                  <c:v>-4.1267605633802558E-3</c:v>
                </c:pt>
                <c:pt idx="59">
                  <c:v>-4.0555555555554686E-3</c:v>
                </c:pt>
                <c:pt idx="60">
                  <c:v>-3.9863013698630051E-3</c:v>
                </c:pt>
                <c:pt idx="61">
                  <c:v>-3.9189189189188503E-3</c:v>
                </c:pt>
                <c:pt idx="62">
                  <c:v>-3.8533333333333414E-3</c:v>
                </c:pt>
                <c:pt idx="63">
                  <c:v>-3.7894736842106085E-3</c:v>
                </c:pt>
                <c:pt idx="64">
                  <c:v>-3.7272727272727509E-3</c:v>
                </c:pt>
                <c:pt idx="65">
                  <c:v>-3.6666666666666332E-3</c:v>
                </c:pt>
                <c:pt idx="66">
                  <c:v>-3.6075949367088988E-3</c:v>
                </c:pt>
                <c:pt idx="67">
                  <c:v>-3.5499999999999824E-3</c:v>
                </c:pt>
                <c:pt idx="68">
                  <c:v>-3.4938271604937551E-3</c:v>
                </c:pt>
                <c:pt idx="69">
                  <c:v>-3.4390243902438999E-3</c:v>
                </c:pt>
                <c:pt idx="70">
                  <c:v>-3.3855421686746429E-3</c:v>
                </c:pt>
                <c:pt idx="71">
                  <c:v>-3.3333333333333453E-3</c:v>
                </c:pt>
                <c:pt idx="72">
                  <c:v>-3.2823529411764303E-3</c:v>
                </c:pt>
                <c:pt idx="73">
                  <c:v>-3.2325581395349101E-3</c:v>
                </c:pt>
                <c:pt idx="74">
                  <c:v>-3.1839080459771024E-3</c:v>
                </c:pt>
                <c:pt idx="75">
                  <c:v>-4.1704545454545857E-3</c:v>
                </c:pt>
                <c:pt idx="76">
                  <c:v>-4.1123595505617875E-3</c:v>
                </c:pt>
                <c:pt idx="77">
                  <c:v>-4.0555555555556082E-3</c:v>
                </c:pt>
                <c:pt idx="78">
                  <c:v>-4.0000000000000036E-3</c:v>
                </c:pt>
                <c:pt idx="79">
                  <c:v>-3.9456521739131088E-3</c:v>
                </c:pt>
                <c:pt idx="80">
                  <c:v>-3.8924731182794783E-3</c:v>
                </c:pt>
                <c:pt idx="81">
                  <c:v>-3.8404255319150773E-3</c:v>
                </c:pt>
                <c:pt idx="82">
                  <c:v>-3.7894736842105552E-3</c:v>
                </c:pt>
                <c:pt idx="83">
                  <c:v>-3.7395833333334211E-3</c:v>
                </c:pt>
                <c:pt idx="84">
                  <c:v>-3.6907216494844728E-3</c:v>
                </c:pt>
                <c:pt idx="85">
                  <c:v>-4.5714285714284651E-3</c:v>
                </c:pt>
                <c:pt idx="86">
                  <c:v>-3.5959595959594447E-3</c:v>
                </c:pt>
                <c:pt idx="87">
                  <c:v>-4.4600000000000082E-3</c:v>
                </c:pt>
                <c:pt idx="88">
                  <c:v>-4.4059405940594697E-3</c:v>
                </c:pt>
                <c:pt idx="89">
                  <c:v>-4.3529411764705091E-3</c:v>
                </c:pt>
                <c:pt idx="90">
                  <c:v>-4.3009708737863847E-3</c:v>
                </c:pt>
                <c:pt idx="91">
                  <c:v>-4.2500000000000315E-3</c:v>
                </c:pt>
                <c:pt idx="92">
                  <c:v>-4.1999999999998931E-3</c:v>
                </c:pt>
                <c:pt idx="93">
                  <c:v>-4.1509433962265523E-3</c:v>
                </c:pt>
                <c:pt idx="94">
                  <c:v>-4.1028037383177571E-3</c:v>
                </c:pt>
                <c:pt idx="95">
                  <c:v>-4.0555555555556082E-3</c:v>
                </c:pt>
                <c:pt idx="96">
                  <c:v>-4.0091743119265244E-3</c:v>
                </c:pt>
                <c:pt idx="97">
                  <c:v>-4.7909090909089716E-3</c:v>
                </c:pt>
                <c:pt idx="98">
                  <c:v>-4.7387387387388524E-3</c:v>
                </c:pt>
                <c:pt idx="99">
                  <c:v>-4.6874999999999833E-3</c:v>
                </c:pt>
                <c:pt idx="100">
                  <c:v>-4.637168141592954E-3</c:v>
                </c:pt>
                <c:pt idx="101">
                  <c:v>-4.5877192982455199E-3</c:v>
                </c:pt>
                <c:pt idx="102">
                  <c:v>-4.5391304347825647E-3</c:v>
                </c:pt>
                <c:pt idx="103">
                  <c:v>-4.4913793103448325E-3</c:v>
                </c:pt>
                <c:pt idx="104">
                  <c:v>-4.4444444444444973E-3</c:v>
                </c:pt>
                <c:pt idx="105">
                  <c:v>-4.398305084745863E-3</c:v>
                </c:pt>
                <c:pt idx="106">
                  <c:v>-4.3529411764705655E-3</c:v>
                </c:pt>
                <c:pt idx="107">
                  <c:v>-4.3083333333333584E-3</c:v>
                </c:pt>
                <c:pt idx="108">
                  <c:v>-4.2644628099172601E-3</c:v>
                </c:pt>
                <c:pt idx="109">
                  <c:v>-4.2213114754097881E-3</c:v>
                </c:pt>
                <c:pt idx="110">
                  <c:v>-4.9186991869919509E-3</c:v>
                </c:pt>
                <c:pt idx="111">
                  <c:v>-4.1370967741935919E-3</c:v>
                </c:pt>
                <c:pt idx="112">
                  <c:v>-4.095999999999927E-3</c:v>
                </c:pt>
                <c:pt idx="113">
                  <c:v>-4.0555555555555284E-3</c:v>
                </c:pt>
                <c:pt idx="114">
                  <c:v>-4.0157480314960805E-3</c:v>
                </c:pt>
                <c:pt idx="115">
                  <c:v>-4.6875000000001412E-3</c:v>
                </c:pt>
                <c:pt idx="116">
                  <c:v>-4.6434108527132053E-3</c:v>
                </c:pt>
                <c:pt idx="117">
                  <c:v>-4.6000000000000702E-3</c:v>
                </c:pt>
                <c:pt idx="118">
                  <c:v>-4.5572519083969055E-3</c:v>
                </c:pt>
                <c:pt idx="119">
                  <c:v>-4.515151515151518E-3</c:v>
                </c:pt>
                <c:pt idx="120">
                  <c:v>-4.4736842105262088E-3</c:v>
                </c:pt>
                <c:pt idx="121">
                  <c:v>-4.4328358208956089E-3</c:v>
                </c:pt>
                <c:pt idx="122">
                  <c:v>-4.3925925925925712E-3</c:v>
                </c:pt>
                <c:pt idx="123">
                  <c:v>-5.0220588235293578E-3</c:v>
                </c:pt>
                <c:pt idx="124">
                  <c:v>-4.9781021897810102E-3</c:v>
                </c:pt>
                <c:pt idx="125">
                  <c:v>-4.2753623188405351E-3</c:v>
                </c:pt>
                <c:pt idx="126">
                  <c:v>-4.2374100719424429E-3</c:v>
                </c:pt>
                <c:pt idx="127">
                  <c:v>-4.200000000000037E-3</c:v>
                </c:pt>
                <c:pt idx="128">
                  <c:v>-4.1631205673759632E-3</c:v>
                </c:pt>
                <c:pt idx="129">
                  <c:v>-4.1267605633802558E-3</c:v>
                </c:pt>
                <c:pt idx="130">
                  <c:v>-4.0909090909091051E-3</c:v>
                </c:pt>
                <c:pt idx="131">
                  <c:v>-4.0555555555554686E-3</c:v>
                </c:pt>
                <c:pt idx="132">
                  <c:v>-4.6482758620688489E-3</c:v>
                </c:pt>
                <c:pt idx="133">
                  <c:v>-3.9863013698630051E-3</c:v>
                </c:pt>
                <c:pt idx="134">
                  <c:v>-4.5714285714285327E-3</c:v>
                </c:pt>
                <c:pt idx="135">
                  <c:v>-4.533783783783784E-3</c:v>
                </c:pt>
                <c:pt idx="136">
                  <c:v>-4.4966442953020521E-3</c:v>
                </c:pt>
                <c:pt idx="137">
                  <c:v>-4.4599999999999414E-3</c:v>
                </c:pt>
                <c:pt idx="138">
                  <c:v>-4.4238410596027615E-3</c:v>
                </c:pt>
                <c:pt idx="139">
                  <c:v>-4.3881578947368586E-3</c:v>
                </c:pt>
                <c:pt idx="140">
                  <c:v>-4.9477124183006415E-3</c:v>
                </c:pt>
                <c:pt idx="141">
                  <c:v>-4.9090909090909341E-3</c:v>
                </c:pt>
                <c:pt idx="142">
                  <c:v>-4.2838709677419312E-3</c:v>
                </c:pt>
                <c:pt idx="143">
                  <c:v>-4.2499999999999023E-3</c:v>
                </c:pt>
                <c:pt idx="144">
                  <c:v>-4.796178343949048E-3</c:v>
                </c:pt>
                <c:pt idx="145">
                  <c:v>-4.7594936708861149E-3</c:v>
                </c:pt>
                <c:pt idx="146">
                  <c:v>-4.1509433962264256E-3</c:v>
                </c:pt>
                <c:pt idx="147">
                  <c:v>-4.118750000000046E-3</c:v>
                </c:pt>
                <c:pt idx="148">
                  <c:v>-4.6521739130434975E-3</c:v>
                </c:pt>
                <c:pt idx="149">
                  <c:v>-4.6172839506172132E-3</c:v>
                </c:pt>
                <c:pt idx="150">
                  <c:v>-4.024539877300639E-3</c:v>
                </c:pt>
                <c:pt idx="151">
                  <c:v>-4.5487804878048769E-3</c:v>
                </c:pt>
                <c:pt idx="152">
                  <c:v>-4.5151515151515484E-3</c:v>
                </c:pt>
                <c:pt idx="153">
                  <c:v>-4.4819277108433184E-3</c:v>
                </c:pt>
                <c:pt idx="154">
                  <c:v>-4.4491017964071655E-3</c:v>
                </c:pt>
                <c:pt idx="155">
                  <c:v>-4.4166666666666798E-3</c:v>
                </c:pt>
                <c:pt idx="156">
                  <c:v>-4.3846153846154312E-3</c:v>
                </c:pt>
                <c:pt idx="157">
                  <c:v>-4.352941176470549E-3</c:v>
                </c:pt>
                <c:pt idx="158">
                  <c:v>-4.3216374269005788E-3</c:v>
                </c:pt>
                <c:pt idx="159">
                  <c:v>-4.2906976744186316E-3</c:v>
                </c:pt>
                <c:pt idx="160">
                  <c:v>-4.2601156069363589E-3</c:v>
                </c:pt>
                <c:pt idx="161">
                  <c:v>-4.2298850574713559E-3</c:v>
                </c:pt>
                <c:pt idx="162">
                  <c:v>-4.7200000000000662E-3</c:v>
                </c:pt>
                <c:pt idx="163">
                  <c:v>-4.1704545454545857E-3</c:v>
                </c:pt>
                <c:pt idx="164">
                  <c:v>-4.6553672316384338E-3</c:v>
                </c:pt>
                <c:pt idx="165">
                  <c:v>-4.6235955056179116E-3</c:v>
                </c:pt>
                <c:pt idx="166">
                  <c:v>-4.5921787709496866E-3</c:v>
                </c:pt>
                <c:pt idx="167">
                  <c:v>-4.0555555555556082E-3</c:v>
                </c:pt>
                <c:pt idx="168">
                  <c:v>-4.53038674033152E-3</c:v>
                </c:pt>
                <c:pt idx="169">
                  <c:v>-4.4999999999999485E-3</c:v>
                </c:pt>
                <c:pt idx="170">
                  <c:v>-4.4699453551913472E-3</c:v>
                </c:pt>
                <c:pt idx="171">
                  <c:v>-4.4402173913043585E-3</c:v>
                </c:pt>
                <c:pt idx="172">
                  <c:v>-3.9189189189189049E-3</c:v>
                </c:pt>
                <c:pt idx="173">
                  <c:v>-4.3817204301073815E-3</c:v>
                </c:pt>
                <c:pt idx="174">
                  <c:v>-4.352941176470582E-3</c:v>
                </c:pt>
                <c:pt idx="175">
                  <c:v>-4.3244680851065136E-3</c:v>
                </c:pt>
                <c:pt idx="176">
                  <c:v>-4.2962962962963492E-3</c:v>
                </c:pt>
                <c:pt idx="177">
                  <c:v>-3.7894736842105552E-3</c:v>
                </c:pt>
                <c:pt idx="178">
                  <c:v>-4.2408376963351899E-3</c:v>
                </c:pt>
                <c:pt idx="179">
                  <c:v>-4.2135416666667022E-3</c:v>
                </c:pt>
                <c:pt idx="180">
                  <c:v>-4.1865284974092866E-3</c:v>
                </c:pt>
                <c:pt idx="181">
                  <c:v>-4.1597938144328746E-3</c:v>
                </c:pt>
                <c:pt idx="182">
                  <c:v>-4.1333333333333517E-3</c:v>
                </c:pt>
                <c:pt idx="183">
                  <c:v>-4.1071428571428014E-3</c:v>
                </c:pt>
                <c:pt idx="184">
                  <c:v>-4.0812182741115461E-3</c:v>
                </c:pt>
                <c:pt idx="185">
                  <c:v>-4.0555555555555579E-3</c:v>
                </c:pt>
                <c:pt idx="186">
                  <c:v>-4.0301507537687737E-3</c:v>
                </c:pt>
                <c:pt idx="187">
                  <c:v>-4.4600000000000082E-3</c:v>
                </c:pt>
                <c:pt idx="188">
                  <c:v>-4.4328358208956592E-3</c:v>
                </c:pt>
                <c:pt idx="189">
                  <c:v>-3.9554455445545691E-3</c:v>
                </c:pt>
                <c:pt idx="190">
                  <c:v>-3.931034482758662E-3</c:v>
                </c:pt>
                <c:pt idx="191">
                  <c:v>-3.9068627450980099E-3</c:v>
                </c:pt>
                <c:pt idx="192">
                  <c:v>-3.882926829268192E-3</c:v>
                </c:pt>
                <c:pt idx="193">
                  <c:v>-3.8592233009708994E-3</c:v>
                </c:pt>
                <c:pt idx="194">
                  <c:v>-3.8357487922704866E-3</c:v>
                </c:pt>
                <c:pt idx="195">
                  <c:v>-3.8124999999998854E-3</c:v>
                </c:pt>
                <c:pt idx="196">
                  <c:v>-4.2248803827750819E-3</c:v>
                </c:pt>
                <c:pt idx="197">
                  <c:v>-3.7666666666666074E-3</c:v>
                </c:pt>
                <c:pt idx="198">
                  <c:v>-3.744075829383949E-3</c:v>
                </c:pt>
                <c:pt idx="199">
                  <c:v>-3.2924528301887207E-3</c:v>
                </c:pt>
                <c:pt idx="200">
                  <c:v>-3.6995305164320407E-3</c:v>
                </c:pt>
                <c:pt idx="201">
                  <c:v>-3.6775700934579911E-3</c:v>
                </c:pt>
                <c:pt idx="202">
                  <c:v>-3.2325581395349096E-3</c:v>
                </c:pt>
                <c:pt idx="203">
                  <c:v>-3.2129629629629214E-3</c:v>
                </c:pt>
                <c:pt idx="204">
                  <c:v>-3.6129032258064835E-3</c:v>
                </c:pt>
                <c:pt idx="205">
                  <c:v>-3.5917431192660203E-3</c:v>
                </c:pt>
                <c:pt idx="206">
                  <c:v>-3.1552511415524559E-3</c:v>
                </c:pt>
                <c:pt idx="207">
                  <c:v>-3.5500000000000171E-3</c:v>
                </c:pt>
                <c:pt idx="208">
                  <c:v>-3.5294117647058335E-3</c:v>
                </c:pt>
                <c:pt idx="209">
                  <c:v>-3.0990990990992116E-3</c:v>
                </c:pt>
                <c:pt idx="210">
                  <c:v>-3.0807174887892844E-3</c:v>
                </c:pt>
                <c:pt idx="211">
                  <c:v>-3.0624999999999819E-3</c:v>
                </c:pt>
                <c:pt idx="212">
                  <c:v>-3.448888888888941E-3</c:v>
                </c:pt>
                <c:pt idx="213">
                  <c:v>-3.4292035398229967E-3</c:v>
                </c:pt>
                <c:pt idx="214">
                  <c:v>-3.0088105726871926E-3</c:v>
                </c:pt>
                <c:pt idx="215">
                  <c:v>-2.9912280701753428E-3</c:v>
                </c:pt>
                <c:pt idx="216">
                  <c:v>-2.9737991266375725E-3</c:v>
                </c:pt>
                <c:pt idx="217">
                  <c:v>-3.3521739130433891E-3</c:v>
                </c:pt>
                <c:pt idx="218">
                  <c:v>-3.3333333333333565E-3</c:v>
                </c:pt>
                <c:pt idx="219">
                  <c:v>-2.9224137931034518E-3</c:v>
                </c:pt>
                <c:pt idx="220">
                  <c:v>-3.2961373390556926E-3</c:v>
                </c:pt>
                <c:pt idx="221">
                  <c:v>-3.2777777777777866E-3</c:v>
                </c:pt>
                <c:pt idx="222">
                  <c:v>-3.2595744680852254E-3</c:v>
                </c:pt>
                <c:pt idx="223">
                  <c:v>-3.2415254237288704E-3</c:v>
                </c:pt>
                <c:pt idx="224">
                  <c:v>-3.2236286919831176E-3</c:v>
                </c:pt>
                <c:pt idx="225">
                  <c:v>-3.2058823529411105E-3</c:v>
                </c:pt>
                <c:pt idx="226">
                  <c:v>-3.1882845188284945E-3</c:v>
                </c:pt>
                <c:pt idx="227">
                  <c:v>-3.1708333333333154E-3</c:v>
                </c:pt>
                <c:pt idx="228">
                  <c:v>-3.1535269709542786E-3</c:v>
                </c:pt>
                <c:pt idx="229">
                  <c:v>-3.1363636363636654E-3</c:v>
                </c:pt>
                <c:pt idx="230">
                  <c:v>-3.1193415637859774E-3</c:v>
                </c:pt>
                <c:pt idx="231">
                  <c:v>-3.1024590163933525E-3</c:v>
                </c:pt>
                <c:pt idx="232">
                  <c:v>-3.085714285714301E-3</c:v>
                </c:pt>
                <c:pt idx="233">
                  <c:v>-3.069105691057031E-3</c:v>
                </c:pt>
                <c:pt idx="234">
                  <c:v>-3.0526315789474296E-3</c:v>
                </c:pt>
                <c:pt idx="235">
                  <c:v>-3.4032258064515745E-3</c:v>
                </c:pt>
                <c:pt idx="236">
                  <c:v>-3.0200803212850845E-3</c:v>
                </c:pt>
                <c:pt idx="237">
                  <c:v>-3.3680000000000073E-3</c:v>
                </c:pt>
                <c:pt idx="238">
                  <c:v>-3.3505976095617026E-3</c:v>
                </c:pt>
                <c:pt idx="239">
                  <c:v>-3.6944444444444572E-3</c:v>
                </c:pt>
                <c:pt idx="240">
                  <c:v>-3.3162055335968325E-3</c:v>
                </c:pt>
                <c:pt idx="241">
                  <c:v>-3.2992125984251343E-3</c:v>
                </c:pt>
                <c:pt idx="242">
                  <c:v>-2.9254901960783512E-3</c:v>
                </c:pt>
                <c:pt idx="243">
                  <c:v>-3.2656250000001395E-3</c:v>
                </c:pt>
                <c:pt idx="244">
                  <c:v>-2.8949416342413667E-3</c:v>
                </c:pt>
                <c:pt idx="245">
                  <c:v>-2.879844961240375E-3</c:v>
                </c:pt>
                <c:pt idx="246">
                  <c:v>-3.2162162162161861E-3</c:v>
                </c:pt>
                <c:pt idx="247">
                  <c:v>-3.2000000000000695E-3</c:v>
                </c:pt>
                <c:pt idx="248">
                  <c:v>-3.1839080459770248E-3</c:v>
                </c:pt>
                <c:pt idx="249">
                  <c:v>-3.1679389312976678E-3</c:v>
                </c:pt>
                <c:pt idx="250">
                  <c:v>-3.1520912547529081E-3</c:v>
                </c:pt>
                <c:pt idx="251">
                  <c:v>-3.1363636363636377E-3</c:v>
                </c:pt>
                <c:pt idx="252">
                  <c:v>-3.4641509433961351E-3</c:v>
                </c:pt>
                <c:pt idx="253">
                  <c:v>-3.4473684210526378E-3</c:v>
                </c:pt>
                <c:pt idx="254">
                  <c:v>-3.0898876404494274E-3</c:v>
                </c:pt>
                <c:pt idx="255">
                  <c:v>-3.074626865671727E-3</c:v>
                </c:pt>
                <c:pt idx="256">
                  <c:v>-3.3977695167286184E-3</c:v>
                </c:pt>
                <c:pt idx="257">
                  <c:v>-3.3814814814815712E-3</c:v>
                </c:pt>
                <c:pt idx="258">
                  <c:v>-3.0295202952030247E-3</c:v>
                </c:pt>
                <c:pt idx="259">
                  <c:v>-3.0147058823529601E-3</c:v>
                </c:pt>
                <c:pt idx="260">
                  <c:v>-3.3333333333332624E-3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6E-4E7B-9BC7-D7BB003A2B0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DAC전압편차!$P$17:$P$277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-3.3333333333333453E-3</c:v>
                </c:pt>
                <c:pt idx="30">
                  <c:v>-3.2325581395349101E-3</c:v>
                </c:pt>
                <c:pt idx="31">
                  <c:v>-3.1363636363636758E-3</c:v>
                </c:pt>
                <c:pt idx="32">
                  <c:v>-3.0444444444444963E-3</c:v>
                </c:pt>
                <c:pt idx="33">
                  <c:v>-2.9565217391303894E-3</c:v>
                </c:pt>
                <c:pt idx="34">
                  <c:v>-2.8723404255319904E-3</c:v>
                </c:pt>
                <c:pt idx="35">
                  <c:v>-2.7916666666666485E-3</c:v>
                </c:pt>
                <c:pt idx="36">
                  <c:v>-2.7142857142856058E-3</c:v>
                </c:pt>
                <c:pt idx="37">
                  <c:v>-2.6400000000000065E-3</c:v>
                </c:pt>
                <c:pt idx="38">
                  <c:v>-4.3529411764705091E-3</c:v>
                </c:pt>
                <c:pt idx="39">
                  <c:v>-2.50000000000003E-3</c:v>
                </c:pt>
                <c:pt idx="40">
                  <c:v>-4.1509433962265523E-3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-3.8750000000000728E-3</c:v>
                </c:pt>
                <c:pt idx="44">
                  <c:v>-3.7894736842105201E-3</c:v>
                </c:pt>
                <c:pt idx="45">
                  <c:v>-3.7068965517240552E-3</c:v>
                </c:pt>
                <c:pt idx="46">
                  <c:v>-3.6271186440678112E-3</c:v>
                </c:pt>
                <c:pt idx="47">
                  <c:v>-3.5499999999999404E-3</c:v>
                </c:pt>
                <c:pt idx="48">
                  <c:v>-3.4754098360654426E-3</c:v>
                </c:pt>
                <c:pt idx="49">
                  <c:v>-4.8709677419354466E-3</c:v>
                </c:pt>
                <c:pt idx="50">
                  <c:v>-4.7777777777778313E-3</c:v>
                </c:pt>
                <c:pt idx="51">
                  <c:v>-4.6875000000001412E-3</c:v>
                </c:pt>
                <c:pt idx="52">
                  <c:v>-4.6000000000000702E-3</c:v>
                </c:pt>
                <c:pt idx="53">
                  <c:v>-4.515151515151518E-3</c:v>
                </c:pt>
                <c:pt idx="54">
                  <c:v>-4.4328358208956089E-3</c:v>
                </c:pt>
                <c:pt idx="55">
                  <c:v>-4.352941176470608E-3</c:v>
                </c:pt>
                <c:pt idx="56">
                  <c:v>-4.2753623188405351E-3</c:v>
                </c:pt>
                <c:pt idx="57">
                  <c:v>-4.200000000000037E-3</c:v>
                </c:pt>
                <c:pt idx="58">
                  <c:v>-4.1267605633802558E-3</c:v>
                </c:pt>
                <c:pt idx="59">
                  <c:v>-4.0555555555554686E-3</c:v>
                </c:pt>
                <c:pt idx="60">
                  <c:v>-3.9863013698630051E-3</c:v>
                </c:pt>
                <c:pt idx="61">
                  <c:v>-3.9189189189188503E-3</c:v>
                </c:pt>
                <c:pt idx="62">
                  <c:v>-5.0666666666666759E-3</c:v>
                </c:pt>
                <c:pt idx="63">
                  <c:v>-4.9868421052632408E-3</c:v>
                </c:pt>
                <c:pt idx="64">
                  <c:v>-4.9090909090909341E-3</c:v>
                </c:pt>
                <c:pt idx="65">
                  <c:v>-4.8333333333333006E-3</c:v>
                </c:pt>
                <c:pt idx="66">
                  <c:v>-4.7594936708861149E-3</c:v>
                </c:pt>
                <c:pt idx="67">
                  <c:v>-4.6874999999999833E-3</c:v>
                </c:pt>
                <c:pt idx="68">
                  <c:v>-4.6172839506172132E-3</c:v>
                </c:pt>
                <c:pt idx="69">
                  <c:v>-4.5487804878048769E-3</c:v>
                </c:pt>
                <c:pt idx="70">
                  <c:v>-4.4819277108433184E-3</c:v>
                </c:pt>
                <c:pt idx="71">
                  <c:v>-4.4166666666666798E-3</c:v>
                </c:pt>
                <c:pt idx="72">
                  <c:v>-4.352941176470549E-3</c:v>
                </c:pt>
                <c:pt idx="73">
                  <c:v>-4.2906976744186316E-3</c:v>
                </c:pt>
                <c:pt idx="74">
                  <c:v>-4.2298850574713559E-3</c:v>
                </c:pt>
                <c:pt idx="75">
                  <c:v>-5.2045454545454955E-3</c:v>
                </c:pt>
                <c:pt idx="76">
                  <c:v>-5.1348314606741484E-3</c:v>
                </c:pt>
                <c:pt idx="77">
                  <c:v>-5.0666666666667201E-3</c:v>
                </c:pt>
                <c:pt idx="78">
                  <c:v>-5.0000000000000044E-3</c:v>
                </c:pt>
                <c:pt idx="79">
                  <c:v>-4.9347826086956082E-3</c:v>
                </c:pt>
                <c:pt idx="80">
                  <c:v>-4.8709677419355021E-3</c:v>
                </c:pt>
                <c:pt idx="81">
                  <c:v>-4.8085106382979494E-3</c:v>
                </c:pt>
                <c:pt idx="82">
                  <c:v>-4.7473684210527674E-3</c:v>
                </c:pt>
                <c:pt idx="83">
                  <c:v>-4.6874999999999833E-3</c:v>
                </c:pt>
                <c:pt idx="84">
                  <c:v>-4.628865979381485E-3</c:v>
                </c:pt>
                <c:pt idx="85">
                  <c:v>-4.5714285714284651E-3</c:v>
                </c:pt>
                <c:pt idx="86">
                  <c:v>-4.5151515151514669E-3</c:v>
                </c:pt>
                <c:pt idx="87">
                  <c:v>-4.4600000000000082E-3</c:v>
                </c:pt>
                <c:pt idx="88">
                  <c:v>-4.4059405940594697E-3</c:v>
                </c:pt>
                <c:pt idx="89">
                  <c:v>-5.2450980392157072E-3</c:v>
                </c:pt>
                <c:pt idx="90">
                  <c:v>-4.3009708737863847E-3</c:v>
                </c:pt>
                <c:pt idx="91">
                  <c:v>-4.2500000000000315E-3</c:v>
                </c:pt>
                <c:pt idx="92">
                  <c:v>-5.0666666666666568E-3</c:v>
                </c:pt>
                <c:pt idx="93">
                  <c:v>-5.0094339622641934E-3</c:v>
                </c:pt>
                <c:pt idx="94">
                  <c:v>-4.953271028037479E-3</c:v>
                </c:pt>
                <c:pt idx="95">
                  <c:v>-4.8981481481481081E-3</c:v>
                </c:pt>
                <c:pt idx="96">
                  <c:v>-4.8440366972477191E-3</c:v>
                </c:pt>
                <c:pt idx="97">
                  <c:v>-4.7909090909089716E-3</c:v>
                </c:pt>
                <c:pt idx="98">
                  <c:v>-4.7387387387388524E-3</c:v>
                </c:pt>
                <c:pt idx="99">
                  <c:v>-4.6874999999999833E-3</c:v>
                </c:pt>
                <c:pt idx="100">
                  <c:v>-4.637168141592954E-3</c:v>
                </c:pt>
                <c:pt idx="101">
                  <c:v>-4.5877192982455199E-3</c:v>
                </c:pt>
                <c:pt idx="102">
                  <c:v>-5.3304347826087402E-3</c:v>
                </c:pt>
                <c:pt idx="103">
                  <c:v>-4.4913793103448325E-3</c:v>
                </c:pt>
                <c:pt idx="104">
                  <c:v>-5.2222222222223624E-3</c:v>
                </c:pt>
                <c:pt idx="105">
                  <c:v>-5.1694915254237445E-3</c:v>
                </c:pt>
                <c:pt idx="106">
                  <c:v>-5.117647058823593E-3</c:v>
                </c:pt>
                <c:pt idx="107">
                  <c:v>-5.0666666666666083E-3</c:v>
                </c:pt>
                <c:pt idx="108">
                  <c:v>-5.016528925619824E-3</c:v>
                </c:pt>
                <c:pt idx="109">
                  <c:v>-4.9672131147539683E-3</c:v>
                </c:pt>
                <c:pt idx="110">
                  <c:v>-4.9186991869919509E-3</c:v>
                </c:pt>
                <c:pt idx="111">
                  <c:v>-4.8709677419354466E-3</c:v>
                </c:pt>
                <c:pt idx="112">
                  <c:v>-4.8240000000000088E-3</c:v>
                </c:pt>
                <c:pt idx="113">
                  <c:v>-4.7777777777778313E-3</c:v>
                </c:pt>
                <c:pt idx="114">
                  <c:v>-4.7322834645668679E-3</c:v>
                </c:pt>
                <c:pt idx="115">
                  <c:v>-5.3984375000000629E-3</c:v>
                </c:pt>
                <c:pt idx="116">
                  <c:v>-5.3488372093024317E-3</c:v>
                </c:pt>
                <c:pt idx="117">
                  <c:v>-5.2999999999999931E-3</c:v>
                </c:pt>
                <c:pt idx="118">
                  <c:v>-5.2519083969466019E-3</c:v>
                </c:pt>
                <c:pt idx="119">
                  <c:v>-5.204545454545381E-3</c:v>
                </c:pt>
                <c:pt idx="120">
                  <c:v>-5.1578947368420749E-3</c:v>
                </c:pt>
                <c:pt idx="121">
                  <c:v>-5.1119402985074745E-3</c:v>
                </c:pt>
                <c:pt idx="122">
                  <c:v>-5.0666666666667201E-3</c:v>
                </c:pt>
                <c:pt idx="123">
                  <c:v>-5.0220588235293578E-3</c:v>
                </c:pt>
                <c:pt idx="124">
                  <c:v>-4.9781021897810102E-3</c:v>
                </c:pt>
                <c:pt idx="125">
                  <c:v>-4.9347826086956819E-3</c:v>
                </c:pt>
                <c:pt idx="126">
                  <c:v>-4.8920863309351763E-3</c:v>
                </c:pt>
                <c:pt idx="127">
                  <c:v>-4.8500000000001094E-3</c:v>
                </c:pt>
                <c:pt idx="128">
                  <c:v>-4.8085106382978783E-3</c:v>
                </c:pt>
                <c:pt idx="129">
                  <c:v>-4.7676056338028629E-3</c:v>
                </c:pt>
                <c:pt idx="130">
                  <c:v>-4.7272727272726712E-3</c:v>
                </c:pt>
                <c:pt idx="131">
                  <c:v>-5.3194444444443585E-3</c:v>
                </c:pt>
                <c:pt idx="132">
                  <c:v>-5.2758620689654706E-3</c:v>
                </c:pt>
                <c:pt idx="133">
                  <c:v>-4.6095890410959512E-3</c:v>
                </c:pt>
                <c:pt idx="134">
                  <c:v>-5.190476190476221E-3</c:v>
                </c:pt>
                <c:pt idx="135">
                  <c:v>-5.1486486486485815E-3</c:v>
                </c:pt>
                <c:pt idx="136">
                  <c:v>-5.1073825503355416E-3</c:v>
                </c:pt>
                <c:pt idx="137">
                  <c:v>-5.0666666666666759E-3</c:v>
                </c:pt>
                <c:pt idx="138">
                  <c:v>-5.0264900662252117E-3</c:v>
                </c:pt>
                <c:pt idx="139">
                  <c:v>-4.9868421052632408E-3</c:v>
                </c:pt>
                <c:pt idx="140">
                  <c:v>-4.9477124183006415E-3</c:v>
                </c:pt>
                <c:pt idx="141">
                  <c:v>-4.9090909090909341E-3</c:v>
                </c:pt>
                <c:pt idx="142">
                  <c:v>-4.8709677419354145E-3</c:v>
                </c:pt>
                <c:pt idx="143">
                  <c:v>-4.8333333333333006E-3</c:v>
                </c:pt>
                <c:pt idx="144">
                  <c:v>-5.375796178344017E-3</c:v>
                </c:pt>
                <c:pt idx="145">
                  <c:v>-5.3354430379746595E-3</c:v>
                </c:pt>
                <c:pt idx="146">
                  <c:v>-4.72327044025152E-3</c:v>
                </c:pt>
                <c:pt idx="147">
                  <c:v>-4.6874999999999833E-3</c:v>
                </c:pt>
                <c:pt idx="148">
                  <c:v>-5.2173913043477823E-3</c:v>
                </c:pt>
                <c:pt idx="149">
                  <c:v>-5.1790123456790038E-3</c:v>
                </c:pt>
                <c:pt idx="150">
                  <c:v>-4.5828220858896585E-3</c:v>
                </c:pt>
                <c:pt idx="151">
                  <c:v>-5.1036585365854268E-3</c:v>
                </c:pt>
                <c:pt idx="152">
                  <c:v>-5.0666666666666386E-3</c:v>
                </c:pt>
                <c:pt idx="153">
                  <c:v>-5.0301204819277173E-3</c:v>
                </c:pt>
                <c:pt idx="154">
                  <c:v>-4.9940119760478238E-3</c:v>
                </c:pt>
                <c:pt idx="155">
                  <c:v>-4.9583333333334065E-3</c:v>
                </c:pt>
                <c:pt idx="156">
                  <c:v>-4.9230769230769102E-3</c:v>
                </c:pt>
                <c:pt idx="157">
                  <c:v>-4.888235294117668E-3</c:v>
                </c:pt>
                <c:pt idx="158">
                  <c:v>-5.3859649122806972E-3</c:v>
                </c:pt>
                <c:pt idx="159">
                  <c:v>-4.8197674418604336E-3</c:v>
                </c:pt>
                <c:pt idx="160">
                  <c:v>-4.7861271676300594E-3</c:v>
                </c:pt>
                <c:pt idx="161">
                  <c:v>-4.7528735632184245E-3</c:v>
                </c:pt>
                <c:pt idx="162">
                  <c:v>-5.2400000000000085E-3</c:v>
                </c:pt>
                <c:pt idx="163">
                  <c:v>-5.2045454545454955E-3</c:v>
                </c:pt>
                <c:pt idx="164">
                  <c:v>-5.1694915254236881E-3</c:v>
                </c:pt>
                <c:pt idx="165">
                  <c:v>-5.1348314606741484E-3</c:v>
                </c:pt>
                <c:pt idx="166">
                  <c:v>-5.100558659217787E-3</c:v>
                </c:pt>
                <c:pt idx="167">
                  <c:v>-4.5611111111111078E-3</c:v>
                </c:pt>
                <c:pt idx="168">
                  <c:v>-5.033149171270691E-3</c:v>
                </c:pt>
                <c:pt idx="169">
                  <c:v>-5.0000000000000044E-3</c:v>
                </c:pt>
                <c:pt idx="170">
                  <c:v>-4.967213114754134E-3</c:v>
                </c:pt>
                <c:pt idx="171">
                  <c:v>-4.9347826086956082E-3</c:v>
                </c:pt>
                <c:pt idx="172">
                  <c:v>-4.9027027027025811E-3</c:v>
                </c:pt>
                <c:pt idx="173">
                  <c:v>-4.8709677419355021E-3</c:v>
                </c:pt>
                <c:pt idx="174">
                  <c:v>-4.8395721925133094E-3</c:v>
                </c:pt>
                <c:pt idx="175">
                  <c:v>-5.2925531914893853E-3</c:v>
                </c:pt>
                <c:pt idx="176">
                  <c:v>-4.7777777777777775E-3</c:v>
                </c:pt>
                <c:pt idx="177">
                  <c:v>-5.2263157894737672E-3</c:v>
                </c:pt>
                <c:pt idx="178">
                  <c:v>-5.1937172774869176E-3</c:v>
                </c:pt>
                <c:pt idx="179">
                  <c:v>-5.1614583333332645E-3</c:v>
                </c:pt>
                <c:pt idx="180">
                  <c:v>-5.1295336787565418E-3</c:v>
                </c:pt>
                <c:pt idx="181">
                  <c:v>-5.5670103092782895E-3</c:v>
                </c:pt>
                <c:pt idx="182">
                  <c:v>-5.5333333333334048E-3</c:v>
                </c:pt>
                <c:pt idx="183">
                  <c:v>-5.0357142857143343E-3</c:v>
                </c:pt>
                <c:pt idx="184">
                  <c:v>-5.4670050761420558E-3</c:v>
                </c:pt>
                <c:pt idx="185">
                  <c:v>-5.4343434343432848E-3</c:v>
                </c:pt>
                <c:pt idx="186">
                  <c:v>-5.4020100502512377E-3</c:v>
                </c:pt>
                <c:pt idx="187">
                  <c:v>-5.3700000000001099E-3</c:v>
                </c:pt>
                <c:pt idx="188">
                  <c:v>-5.3383084577114798E-3</c:v>
                </c:pt>
                <c:pt idx="189">
                  <c:v>-5.3069306930692717E-3</c:v>
                </c:pt>
                <c:pt idx="190">
                  <c:v>-5.2758620689656102E-3</c:v>
                </c:pt>
                <c:pt idx="191">
                  <c:v>-5.2450980392157072E-3</c:v>
                </c:pt>
                <c:pt idx="192">
                  <c:v>-5.2146341463414131E-3</c:v>
                </c:pt>
                <c:pt idx="193">
                  <c:v>-5.1844660194175513E-3</c:v>
                </c:pt>
                <c:pt idx="194">
                  <c:v>-5.5942028985506813E-3</c:v>
                </c:pt>
                <c:pt idx="195">
                  <c:v>-5.562499999999887E-3</c:v>
                </c:pt>
                <c:pt idx="196">
                  <c:v>-5.5311004784689109E-3</c:v>
                </c:pt>
                <c:pt idx="197">
                  <c:v>-5.4999999999999424E-3</c:v>
                </c:pt>
                <c:pt idx="198">
                  <c:v>-5.4691943127962725E-3</c:v>
                </c:pt>
                <c:pt idx="199">
                  <c:v>-5.4386792452830145E-3</c:v>
                </c:pt>
                <c:pt idx="200">
                  <c:v>-5.4084507042254691E-3</c:v>
                </c:pt>
                <c:pt idx="201">
                  <c:v>-5.378504672897245E-3</c:v>
                </c:pt>
                <c:pt idx="202">
                  <c:v>-5.3488372093023068E-3</c:v>
                </c:pt>
                <c:pt idx="203">
                  <c:v>-5.7407407407407953E-3</c:v>
                </c:pt>
                <c:pt idx="204">
                  <c:v>-5.7096774193548258E-3</c:v>
                </c:pt>
                <c:pt idx="205">
                  <c:v>-5.6788990825687282E-3</c:v>
                </c:pt>
                <c:pt idx="206">
                  <c:v>-5.6484018264840574E-3</c:v>
                </c:pt>
                <c:pt idx="207">
                  <c:v>-5.6181818181817913E-3</c:v>
                </c:pt>
                <c:pt idx="208">
                  <c:v>-5.1764705882352468E-3</c:v>
                </c:pt>
                <c:pt idx="209">
                  <c:v>-5.5585585585585821E-3</c:v>
                </c:pt>
                <c:pt idx="210">
                  <c:v>-5.5291479820629196E-3</c:v>
                </c:pt>
                <c:pt idx="211">
                  <c:v>-5.5000000000000743E-3</c:v>
                </c:pt>
                <c:pt idx="212">
                  <c:v>-5.4711111111111202E-3</c:v>
                </c:pt>
                <c:pt idx="213">
                  <c:v>-5.4424778761061393E-3</c:v>
                </c:pt>
                <c:pt idx="214">
                  <c:v>-5.4140969162996188E-3</c:v>
                </c:pt>
                <c:pt idx="215">
                  <c:v>-5.3859649122806972E-3</c:v>
                </c:pt>
                <c:pt idx="216">
                  <c:v>-5.7554585152839073E-3</c:v>
                </c:pt>
                <c:pt idx="217">
                  <c:v>-5.7260869565217403E-3</c:v>
                </c:pt>
                <c:pt idx="218">
                  <c:v>-5.6969696969696353E-3</c:v>
                </c:pt>
                <c:pt idx="219">
                  <c:v>-5.2758620689654359E-3</c:v>
                </c:pt>
                <c:pt idx="220">
                  <c:v>-5.6394849785407599E-3</c:v>
                </c:pt>
                <c:pt idx="221">
                  <c:v>-5.6111111111112081E-3</c:v>
                </c:pt>
                <c:pt idx="222">
                  <c:v>-5.5829787234042902E-3</c:v>
                </c:pt>
                <c:pt idx="223">
                  <c:v>-5.1694915254237445E-3</c:v>
                </c:pt>
                <c:pt idx="224">
                  <c:v>-5.1434599156117682E-3</c:v>
                </c:pt>
                <c:pt idx="225">
                  <c:v>-5.5000000000000214E-3</c:v>
                </c:pt>
                <c:pt idx="226">
                  <c:v>-5.4728033472802948E-3</c:v>
                </c:pt>
                <c:pt idx="227">
                  <c:v>-5.4458333333332332E-3</c:v>
                </c:pt>
                <c:pt idx="228">
                  <c:v>-5.4190871369294681E-3</c:v>
                </c:pt>
                <c:pt idx="229">
                  <c:v>-5.3925619834710222E-3</c:v>
                </c:pt>
                <c:pt idx="230">
                  <c:v>-5.3662551440328103E-3</c:v>
                </c:pt>
                <c:pt idx="231">
                  <c:v>-5.3401639344262241E-3</c:v>
                </c:pt>
                <c:pt idx="232">
                  <c:v>-5.3142857142858138E-3</c:v>
                </c:pt>
                <c:pt idx="233">
                  <c:v>-5.2886178861789018E-3</c:v>
                </c:pt>
                <c:pt idx="234">
                  <c:v>-5.2631578947368229E-3</c:v>
                </c:pt>
                <c:pt idx="235">
                  <c:v>-5.237903225806537E-3</c:v>
                </c:pt>
                <c:pt idx="236">
                  <c:v>-5.2128514056225166E-3</c:v>
                </c:pt>
                <c:pt idx="237">
                  <c:v>-5.1879999999999687E-3</c:v>
                </c:pt>
                <c:pt idx="238">
                  <c:v>-5.5258964143426615E-3</c:v>
                </c:pt>
                <c:pt idx="239">
                  <c:v>-5.4999999999999745E-3</c:v>
                </c:pt>
                <c:pt idx="240">
                  <c:v>-5.11462450592881E-3</c:v>
                </c:pt>
                <c:pt idx="241">
                  <c:v>-5.0905511811022612E-3</c:v>
                </c:pt>
                <c:pt idx="242">
                  <c:v>-5.4235294117646682E-3</c:v>
                </c:pt>
                <c:pt idx="243">
                  <c:v>-5.0429687500001021E-3</c:v>
                </c:pt>
                <c:pt idx="244">
                  <c:v>-5.0194552529183329E-3</c:v>
                </c:pt>
                <c:pt idx="245">
                  <c:v>-4.99612403100774E-3</c:v>
                </c:pt>
                <c:pt idx="246">
                  <c:v>-4.9729729729730615E-3</c:v>
                </c:pt>
                <c:pt idx="247">
                  <c:v>-4.9500000000000316E-3</c:v>
                </c:pt>
                <c:pt idx="248">
                  <c:v>-5.275862068965455E-3</c:v>
                </c:pt>
                <c:pt idx="249">
                  <c:v>-5.2519083969466019E-3</c:v>
                </c:pt>
                <c:pt idx="250">
                  <c:v>-4.8821292775665598E-3</c:v>
                </c:pt>
                <c:pt idx="251">
                  <c:v>-5.204545454545381E-3</c:v>
                </c:pt>
                <c:pt idx="252">
                  <c:v>-5.1811320754717224E-3</c:v>
                </c:pt>
                <c:pt idx="253">
                  <c:v>-4.8157894736842177E-3</c:v>
                </c:pt>
                <c:pt idx="254">
                  <c:v>-5.134831460674073E-3</c:v>
                </c:pt>
                <c:pt idx="255">
                  <c:v>-5.4514925373135579E-3</c:v>
                </c:pt>
                <c:pt idx="256">
                  <c:v>-5.4275092936803679E-3</c:v>
                </c:pt>
                <c:pt idx="257">
                  <c:v>-5.0666666666667201E-3</c:v>
                </c:pt>
                <c:pt idx="258">
                  <c:v>-5.0442804428044276E-3</c:v>
                </c:pt>
                <c:pt idx="259">
                  <c:v>-5.0220588235293578E-3</c:v>
                </c:pt>
                <c:pt idx="260">
                  <c:v>-5.3333333333333384E-3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6E-4E7B-9BC7-D7BB003A2B0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DAC전압편차!$Q$17:$Q$277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-5.0666666666666083E-3</c:v>
                </c:pt>
                <c:pt idx="3">
                  <c:v>-4.6875000000001412E-3</c:v>
                </c:pt>
                <c:pt idx="4">
                  <c:v>-4.352941176470608E-3</c:v>
                </c:pt>
                <c:pt idx="5">
                  <c:v>-4.0555555555554686E-3</c:v>
                </c:pt>
                <c:pt idx="6">
                  <c:v>-3.7894736842106085E-3</c:v>
                </c:pt>
                <c:pt idx="7">
                  <c:v>-3.5499999999999824E-3</c:v>
                </c:pt>
                <c:pt idx="8">
                  <c:v>-3.3333333333333453E-3</c:v>
                </c:pt>
                <c:pt idx="9">
                  <c:v>-3.1363636363636758E-3</c:v>
                </c:pt>
                <c:pt idx="10">
                  <c:v>-2.9565217391303894E-3</c:v>
                </c:pt>
                <c:pt idx="11">
                  <c:v>-2.7916666666666485E-3</c:v>
                </c:pt>
                <c:pt idx="12">
                  <c:v>-2.6400000000000065E-3</c:v>
                </c:pt>
                <c:pt idx="13">
                  <c:v>-6.0000000000000331E-3</c:v>
                </c:pt>
                <c:pt idx="14">
                  <c:v>-5.7407407407407953E-3</c:v>
                </c:pt>
                <c:pt idx="15">
                  <c:v>-5.5000000000000743E-3</c:v>
                </c:pt>
                <c:pt idx="16">
                  <c:v>-5.2758620689654359E-3</c:v>
                </c:pt>
                <c:pt idx="17">
                  <c:v>-5.0666666666666083E-3</c:v>
                </c:pt>
                <c:pt idx="18">
                  <c:v>-4.8709677419354466E-3</c:v>
                </c:pt>
                <c:pt idx="19">
                  <c:v>-4.6875000000001412E-3</c:v>
                </c:pt>
                <c:pt idx="20">
                  <c:v>-4.515151515151518E-3</c:v>
                </c:pt>
                <c:pt idx="21">
                  <c:v>-4.352941176470608E-3</c:v>
                </c:pt>
                <c:pt idx="22">
                  <c:v>-4.200000000000037E-3</c:v>
                </c:pt>
                <c:pt idx="23">
                  <c:v>-4.0555555555554686E-3</c:v>
                </c:pt>
                <c:pt idx="24">
                  <c:v>-3.9189189189188503E-3</c:v>
                </c:pt>
                <c:pt idx="25">
                  <c:v>-6.1842105263158736E-3</c:v>
                </c:pt>
                <c:pt idx="26">
                  <c:v>-5.9999999999999689E-3</c:v>
                </c:pt>
                <c:pt idx="27">
                  <c:v>-5.8249999999999847E-3</c:v>
                </c:pt>
                <c:pt idx="28">
                  <c:v>-5.6585365853658535E-3</c:v>
                </c:pt>
                <c:pt idx="29">
                  <c:v>-5.5000000000000136E-3</c:v>
                </c:pt>
                <c:pt idx="30">
                  <c:v>-5.3488372093023536E-3</c:v>
                </c:pt>
                <c:pt idx="31">
                  <c:v>-5.2045454545454955E-3</c:v>
                </c:pt>
                <c:pt idx="32">
                  <c:v>-5.0666666666667201E-3</c:v>
                </c:pt>
                <c:pt idx="33">
                  <c:v>-4.9347826086956082E-3</c:v>
                </c:pt>
                <c:pt idx="34">
                  <c:v>-4.8085106382979494E-3</c:v>
                </c:pt>
                <c:pt idx="35">
                  <c:v>-4.6874999999999833E-3</c:v>
                </c:pt>
                <c:pt idx="36">
                  <c:v>-4.5714285714284651E-3</c:v>
                </c:pt>
                <c:pt idx="37">
                  <c:v>-4.4600000000000082E-3</c:v>
                </c:pt>
                <c:pt idx="38">
                  <c:v>-4.3529411764705091E-3</c:v>
                </c:pt>
                <c:pt idx="39">
                  <c:v>-4.2500000000000315E-3</c:v>
                </c:pt>
                <c:pt idx="40">
                  <c:v>-4.1509433962265523E-3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-3.8750000000000728E-3</c:v>
                </c:pt>
                <c:pt idx="44">
                  <c:v>-5.3859649122806972E-3</c:v>
                </c:pt>
                <c:pt idx="45">
                  <c:v>-5.2758620689654359E-3</c:v>
                </c:pt>
                <c:pt idx="46">
                  <c:v>-5.1694915254237445E-3</c:v>
                </c:pt>
                <c:pt idx="47">
                  <c:v>-5.0666666666666083E-3</c:v>
                </c:pt>
                <c:pt idx="48">
                  <c:v>-4.9672131147539683E-3</c:v>
                </c:pt>
                <c:pt idx="49">
                  <c:v>-4.8709677419354466E-3</c:v>
                </c:pt>
                <c:pt idx="50">
                  <c:v>-4.7777777777778313E-3</c:v>
                </c:pt>
                <c:pt idx="51">
                  <c:v>-4.6875000000001412E-3</c:v>
                </c:pt>
                <c:pt idx="52">
                  <c:v>-3.2000000000000695E-3</c:v>
                </c:pt>
                <c:pt idx="53">
                  <c:v>-3.1363636363636377E-3</c:v>
                </c:pt>
                <c:pt idx="54">
                  <c:v>-3.074626865671727E-3</c:v>
                </c:pt>
                <c:pt idx="55">
                  <c:v>-4.352941176470608E-3</c:v>
                </c:pt>
                <c:pt idx="56">
                  <c:v>-2.9565217391303894E-3</c:v>
                </c:pt>
                <c:pt idx="57">
                  <c:v>-2.9000000000000358E-3</c:v>
                </c:pt>
                <c:pt idx="58">
                  <c:v>-2.8450704225351842E-3</c:v>
                </c:pt>
                <c:pt idx="59">
                  <c:v>-2.7916666666665782E-3</c:v>
                </c:pt>
                <c:pt idx="60">
                  <c:v>-2.7397260273972503E-3</c:v>
                </c:pt>
                <c:pt idx="61">
                  <c:v>-2.6891891891891195E-3</c:v>
                </c:pt>
                <c:pt idx="62">
                  <c:v>-2.6400000000000069E-3</c:v>
                </c:pt>
                <c:pt idx="63">
                  <c:v>-2.5921052631579758E-3</c:v>
                </c:pt>
                <c:pt idx="64">
                  <c:v>-2.5454545454545677E-3</c:v>
                </c:pt>
                <c:pt idx="65">
                  <c:v>-2.4999999999999654E-3</c:v>
                </c:pt>
                <c:pt idx="66">
                  <c:v>-2.4556962025316827E-3</c:v>
                </c:pt>
                <c:pt idx="67">
                  <c:v>-2.4124999999999815E-3</c:v>
                </c:pt>
                <c:pt idx="68">
                  <c:v>-2.370370370370297E-3</c:v>
                </c:pt>
                <c:pt idx="69">
                  <c:v>-2.3292682926829233E-3</c:v>
                </c:pt>
                <c:pt idx="70">
                  <c:v>-2.2891566265059674E-3</c:v>
                </c:pt>
                <c:pt idx="71">
                  <c:v>-2.2500000000000111E-3</c:v>
                </c:pt>
                <c:pt idx="72">
                  <c:v>-2.211764705882312E-3</c:v>
                </c:pt>
                <c:pt idx="73">
                  <c:v>-2.1744186046511881E-3</c:v>
                </c:pt>
                <c:pt idx="74">
                  <c:v>-2.1379310344828485E-3</c:v>
                </c:pt>
                <c:pt idx="75">
                  <c:v>-2.1022727272727655E-3</c:v>
                </c:pt>
                <c:pt idx="76">
                  <c:v>-2.0674157303370668E-3</c:v>
                </c:pt>
                <c:pt idx="77">
                  <c:v>-2.0333333333333843E-3</c:v>
                </c:pt>
                <c:pt idx="78">
                  <c:v>-2.0000000000000018E-3</c:v>
                </c:pt>
                <c:pt idx="79">
                  <c:v>-1.9673913043478895E-3</c:v>
                </c:pt>
                <c:pt idx="80">
                  <c:v>-1.9354838709676483E-3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-1.843750000000086E-3</c:v>
                </c:pt>
                <c:pt idx="84">
                  <c:v>-2.7525773195876692E-3</c:v>
                </c:pt>
                <c:pt idx="85">
                  <c:v>-2.7142857142856058E-3</c:v>
                </c:pt>
                <c:pt idx="86">
                  <c:v>-2.6767676767676268E-3</c:v>
                </c:pt>
                <c:pt idx="87">
                  <c:v>-2.6400000000000065E-3</c:v>
                </c:pt>
                <c:pt idx="88">
                  <c:v>-2.6039603960396666E-3</c:v>
                </c:pt>
                <c:pt idx="89">
                  <c:v>-2.5686274509803117E-3</c:v>
                </c:pt>
                <c:pt idx="90">
                  <c:v>-2.5339805825242471E-3</c:v>
                </c:pt>
                <c:pt idx="91">
                  <c:v>-2.50000000000003E-3</c:v>
                </c:pt>
                <c:pt idx="92">
                  <c:v>-2.4666666666665581E-3</c:v>
                </c:pt>
                <c:pt idx="93">
                  <c:v>-2.4339622641510795E-3</c:v>
                </c:pt>
                <c:pt idx="94">
                  <c:v>-2.4018691588785037E-3</c:v>
                </c:pt>
                <c:pt idx="95">
                  <c:v>-2.3703703703704219E-3</c:v>
                </c:pt>
                <c:pt idx="96">
                  <c:v>-2.3394495412843211E-3</c:v>
                </c:pt>
                <c:pt idx="97">
                  <c:v>-3.1363636363635154E-3</c:v>
                </c:pt>
                <c:pt idx="98">
                  <c:v>-3.0990990990992116E-3</c:v>
                </c:pt>
                <c:pt idx="99">
                  <c:v>-3.0624999999999819E-3</c:v>
                </c:pt>
                <c:pt idx="100">
                  <c:v>-3.0265486725664036E-3</c:v>
                </c:pt>
                <c:pt idx="101">
                  <c:v>-2.9912280701753428E-3</c:v>
                </c:pt>
                <c:pt idx="102">
                  <c:v>-2.9565217391303894E-3</c:v>
                </c:pt>
                <c:pt idx="103">
                  <c:v>-2.9224137931034518E-3</c:v>
                </c:pt>
                <c:pt idx="104">
                  <c:v>-2.8888888888889408E-3</c:v>
                </c:pt>
                <c:pt idx="105">
                  <c:v>-2.8559322033899297E-3</c:v>
                </c:pt>
                <c:pt idx="106">
                  <c:v>-3.5882352941177089E-3</c:v>
                </c:pt>
                <c:pt idx="107">
                  <c:v>-2.7916666666666905E-3</c:v>
                </c:pt>
                <c:pt idx="108">
                  <c:v>-2.7603305785123002E-3</c:v>
                </c:pt>
                <c:pt idx="109">
                  <c:v>-2.7295081967212624E-3</c:v>
                </c:pt>
                <c:pt idx="110">
                  <c:v>-2.6991869918699153E-3</c:v>
                </c:pt>
                <c:pt idx="111">
                  <c:v>-2.6693548387097198E-3</c:v>
                </c:pt>
                <c:pt idx="112">
                  <c:v>-2.6399999999999258E-3</c:v>
                </c:pt>
                <c:pt idx="113">
                  <c:v>-3.3333333333333856E-3</c:v>
                </c:pt>
                <c:pt idx="114">
                  <c:v>-3.2992125984251343E-3</c:v>
                </c:pt>
                <c:pt idx="115">
                  <c:v>-3.2656250000001395E-3</c:v>
                </c:pt>
                <c:pt idx="116">
                  <c:v>-3.2325581395349096E-3</c:v>
                </c:pt>
                <c:pt idx="117">
                  <c:v>-3.2000000000000695E-3</c:v>
                </c:pt>
                <c:pt idx="118">
                  <c:v>-3.1679389312976678E-3</c:v>
                </c:pt>
                <c:pt idx="119">
                  <c:v>-3.1363636363636377E-3</c:v>
                </c:pt>
                <c:pt idx="120">
                  <c:v>-3.1052631578946288E-3</c:v>
                </c:pt>
                <c:pt idx="121">
                  <c:v>-3.074626865671727E-3</c:v>
                </c:pt>
                <c:pt idx="122">
                  <c:v>-3.0444444444444217E-3</c:v>
                </c:pt>
                <c:pt idx="123">
                  <c:v>-3.6838235294117099E-3</c:v>
                </c:pt>
                <c:pt idx="124">
                  <c:v>-2.9854014598540749E-3</c:v>
                </c:pt>
                <c:pt idx="125">
                  <c:v>-2.9565217391303894E-3</c:v>
                </c:pt>
                <c:pt idx="126">
                  <c:v>-2.92805755395683E-3</c:v>
                </c:pt>
                <c:pt idx="127">
                  <c:v>-2.9000000000000358E-3</c:v>
                </c:pt>
                <c:pt idx="128">
                  <c:v>-2.8723404255319904E-3</c:v>
                </c:pt>
                <c:pt idx="129">
                  <c:v>-2.8450704225351842E-3</c:v>
                </c:pt>
                <c:pt idx="130">
                  <c:v>-2.8181818181818308E-3</c:v>
                </c:pt>
                <c:pt idx="131">
                  <c:v>-3.4236111111110934E-3</c:v>
                </c:pt>
                <c:pt idx="132">
                  <c:v>-3.3931034482757444E-3</c:v>
                </c:pt>
                <c:pt idx="133">
                  <c:v>-3.3630136986301969E-3</c:v>
                </c:pt>
                <c:pt idx="134">
                  <c:v>-3.3333333333332941E-3</c:v>
                </c:pt>
                <c:pt idx="135">
                  <c:v>-3.3040540540540532E-3</c:v>
                </c:pt>
                <c:pt idx="136">
                  <c:v>-3.2751677852349368E-3</c:v>
                </c:pt>
                <c:pt idx="137">
                  <c:v>-3.2466666666666069E-3</c:v>
                </c:pt>
                <c:pt idx="138">
                  <c:v>-3.2185430463577275E-3</c:v>
                </c:pt>
                <c:pt idx="139">
                  <c:v>-3.1907894736842258E-3</c:v>
                </c:pt>
                <c:pt idx="140">
                  <c:v>-3.1633986928105095E-3</c:v>
                </c:pt>
                <c:pt idx="141">
                  <c:v>-3.1363636363635938E-3</c:v>
                </c:pt>
                <c:pt idx="142">
                  <c:v>-3.1096774193548329E-3</c:v>
                </c:pt>
                <c:pt idx="143">
                  <c:v>-3.0833333333332344E-3</c:v>
                </c:pt>
                <c:pt idx="144">
                  <c:v>-3.6369426751592382E-3</c:v>
                </c:pt>
                <c:pt idx="145">
                  <c:v>-3.0316455696202268E-3</c:v>
                </c:pt>
                <c:pt idx="146">
                  <c:v>-3.0062893081761102E-3</c:v>
                </c:pt>
                <c:pt idx="147">
                  <c:v>-2.9812500000000451E-3</c:v>
                </c:pt>
                <c:pt idx="148">
                  <c:v>-3.5217391304348004E-3</c:v>
                </c:pt>
                <c:pt idx="149">
                  <c:v>-3.4938271604937551E-3</c:v>
                </c:pt>
                <c:pt idx="150">
                  <c:v>-2.9079754601227235E-3</c:v>
                </c:pt>
                <c:pt idx="151">
                  <c:v>-3.4390243902438999E-3</c:v>
                </c:pt>
                <c:pt idx="152">
                  <c:v>-3.4121212121212439E-3</c:v>
                </c:pt>
                <c:pt idx="153">
                  <c:v>-3.3855421686746429E-3</c:v>
                </c:pt>
                <c:pt idx="154">
                  <c:v>-3.3592814371257271E-3</c:v>
                </c:pt>
                <c:pt idx="155">
                  <c:v>-3.3333333333333453E-3</c:v>
                </c:pt>
                <c:pt idx="156">
                  <c:v>-3.307692307692353E-3</c:v>
                </c:pt>
                <c:pt idx="157">
                  <c:v>-3.2823529411764303E-3</c:v>
                </c:pt>
                <c:pt idx="158">
                  <c:v>-3.2573099415204609E-3</c:v>
                </c:pt>
                <c:pt idx="159">
                  <c:v>-3.2325581395349101E-3</c:v>
                </c:pt>
                <c:pt idx="160">
                  <c:v>-3.208092485549075E-3</c:v>
                </c:pt>
                <c:pt idx="161">
                  <c:v>-3.706896551724171E-3</c:v>
                </c:pt>
                <c:pt idx="162">
                  <c:v>-3.160000000000007E-3</c:v>
                </c:pt>
                <c:pt idx="163">
                  <c:v>-3.6534090909090735E-3</c:v>
                </c:pt>
                <c:pt idx="164">
                  <c:v>-3.6271186440678112E-3</c:v>
                </c:pt>
                <c:pt idx="165">
                  <c:v>-3.601123595505551E-3</c:v>
                </c:pt>
                <c:pt idx="166">
                  <c:v>-3.5754189944133727E-3</c:v>
                </c:pt>
                <c:pt idx="167">
                  <c:v>-3.5499999999999963E-3</c:v>
                </c:pt>
                <c:pt idx="168">
                  <c:v>-3.0220994475137833E-3</c:v>
                </c:pt>
                <c:pt idx="169">
                  <c:v>-3.4999999999999476E-3</c:v>
                </c:pt>
                <c:pt idx="170">
                  <c:v>-3.4754098360655528E-3</c:v>
                </c:pt>
                <c:pt idx="171">
                  <c:v>-2.9565217391303894E-3</c:v>
                </c:pt>
                <c:pt idx="172">
                  <c:v>-2.9351351351350114E-3</c:v>
                </c:pt>
                <c:pt idx="173">
                  <c:v>-3.403225806451575E-3</c:v>
                </c:pt>
                <c:pt idx="174">
                  <c:v>-3.3796791443849112E-3</c:v>
                </c:pt>
                <c:pt idx="175">
                  <c:v>-3.3563829787234263E-3</c:v>
                </c:pt>
                <c:pt idx="176">
                  <c:v>-2.8518518518518502E-3</c:v>
                </c:pt>
                <c:pt idx="177">
                  <c:v>-2.8315789473685555E-3</c:v>
                </c:pt>
                <c:pt idx="178">
                  <c:v>-3.2879581151832511E-3</c:v>
                </c:pt>
                <c:pt idx="179">
                  <c:v>-3.2656249999999292E-3</c:v>
                </c:pt>
                <c:pt idx="180">
                  <c:v>-2.7720207253885075E-3</c:v>
                </c:pt>
                <c:pt idx="181">
                  <c:v>-3.221649484536071E-3</c:v>
                </c:pt>
                <c:pt idx="182">
                  <c:v>-3.1999999999999143E-3</c:v>
                </c:pt>
                <c:pt idx="183">
                  <c:v>-3.178571428571475E-3</c:v>
                </c:pt>
                <c:pt idx="184">
                  <c:v>-3.157360406091343E-3</c:v>
                </c:pt>
                <c:pt idx="185">
                  <c:v>-3.1363636363635357E-3</c:v>
                </c:pt>
                <c:pt idx="186">
                  <c:v>-3.1155778894470629E-3</c:v>
                </c:pt>
                <c:pt idx="187">
                  <c:v>-3.0950000000001584E-3</c:v>
                </c:pt>
                <c:pt idx="188">
                  <c:v>-2.6218905472638167E-3</c:v>
                </c:pt>
                <c:pt idx="189">
                  <c:v>-2.6039603960396666E-3</c:v>
                </c:pt>
                <c:pt idx="190">
                  <c:v>-2.586206896551715E-3</c:v>
                </c:pt>
                <c:pt idx="191">
                  <c:v>-2.5686274509803117E-3</c:v>
                </c:pt>
                <c:pt idx="192">
                  <c:v>-2.1073170731706298E-3</c:v>
                </c:pt>
                <c:pt idx="193">
                  <c:v>-2.5339805825242471E-3</c:v>
                </c:pt>
                <c:pt idx="194">
                  <c:v>-2.5169082125602918E-3</c:v>
                </c:pt>
                <c:pt idx="195">
                  <c:v>-2.50000000000003E-3</c:v>
                </c:pt>
                <c:pt idx="196">
                  <c:v>-2.4832535885167067E-3</c:v>
                </c:pt>
                <c:pt idx="197">
                  <c:v>-2.4666666666665581E-3</c:v>
                </c:pt>
                <c:pt idx="198">
                  <c:v>-2.0189573459716255E-3</c:v>
                </c:pt>
                <c:pt idx="199">
                  <c:v>-2.0047169811320681E-3</c:v>
                </c:pt>
                <c:pt idx="200">
                  <c:v>-1.9906103286386118E-3</c:v>
                </c:pt>
                <c:pt idx="201">
                  <c:v>-1.9766355140187373E-3</c:v>
                </c:pt>
                <c:pt idx="202">
                  <c:v>-1.9627906976743964E-3</c:v>
                </c:pt>
                <c:pt idx="203">
                  <c:v>-1.9490740740739849E-3</c:v>
                </c:pt>
                <c:pt idx="204">
                  <c:v>-1.9354838709677723E-3</c:v>
                </c:pt>
                <c:pt idx="205">
                  <c:v>-1.9220183486238168E-3</c:v>
                </c:pt>
                <c:pt idx="206">
                  <c:v>-1.49315068493145E-3</c:v>
                </c:pt>
                <c:pt idx="207">
                  <c:v>-1.8954545454545608E-3</c:v>
                </c:pt>
                <c:pt idx="208">
                  <c:v>-1.8823529411764201E-3</c:v>
                </c:pt>
                <c:pt idx="209">
                  <c:v>-1.4594594594595706E-3</c:v>
                </c:pt>
                <c:pt idx="210">
                  <c:v>-1.4484304932735881E-3</c:v>
                </c:pt>
                <c:pt idx="211">
                  <c:v>-1.4374999999999805E-3</c:v>
                </c:pt>
                <c:pt idx="212">
                  <c:v>-1.831111111111162E-3</c:v>
                </c:pt>
                <c:pt idx="213">
                  <c:v>-1.4159292035398536E-3</c:v>
                </c:pt>
                <c:pt idx="214">
                  <c:v>-1.4052863436123013E-3</c:v>
                </c:pt>
                <c:pt idx="215">
                  <c:v>-1.3947368421053433E-3</c:v>
                </c:pt>
                <c:pt idx="216">
                  <c:v>-1.3842794759825491E-3</c:v>
                </c:pt>
                <c:pt idx="217">
                  <c:v>-1.7695652173912138E-3</c:v>
                </c:pt>
                <c:pt idx="218">
                  <c:v>-1.7575757575757794E-3</c:v>
                </c:pt>
                <c:pt idx="219">
                  <c:v>-1.7456896551723729E-3</c:v>
                </c:pt>
                <c:pt idx="220">
                  <c:v>-1.3433476394849183E-3</c:v>
                </c:pt>
                <c:pt idx="221">
                  <c:v>-1.3333333333333838E-3</c:v>
                </c:pt>
                <c:pt idx="222">
                  <c:v>-1.3234042553191372E-3</c:v>
                </c:pt>
                <c:pt idx="223">
                  <c:v>-1.3135593220339964E-3</c:v>
                </c:pt>
                <c:pt idx="224">
                  <c:v>-1.3037974683544667E-3</c:v>
                </c:pt>
                <c:pt idx="225">
                  <c:v>-1.2941176470587985E-3</c:v>
                </c:pt>
                <c:pt idx="226">
                  <c:v>-1.2845188284517971E-3</c:v>
                </c:pt>
                <c:pt idx="227">
                  <c:v>-1.6541666666666473E-3</c:v>
                </c:pt>
                <c:pt idx="228">
                  <c:v>-1.6431535269708748E-3</c:v>
                </c:pt>
                <c:pt idx="229">
                  <c:v>-1.2561983471073401E-3</c:v>
                </c:pt>
                <c:pt idx="230">
                  <c:v>-1.6213991769547002E-3</c:v>
                </c:pt>
                <c:pt idx="231">
                  <c:v>-1.2377049180327363E-3</c:v>
                </c:pt>
                <c:pt idx="232">
                  <c:v>-1.600000000000014E-3</c:v>
                </c:pt>
                <c:pt idx="233">
                  <c:v>-1.5894308943090621E-3</c:v>
                </c:pt>
                <c:pt idx="234">
                  <c:v>-1.5789473684211124E-3</c:v>
                </c:pt>
                <c:pt idx="235">
                  <c:v>-1.5685483870967751E-3</c:v>
                </c:pt>
                <c:pt idx="236">
                  <c:v>-1.5582329317268501E-3</c:v>
                </c:pt>
                <c:pt idx="237">
                  <c:v>-1.5480000000000463E-3</c:v>
                </c:pt>
                <c:pt idx="238">
                  <c:v>-1.5378486055776773E-3</c:v>
                </c:pt>
                <c:pt idx="239">
                  <c:v>-1.5277777777777083E-3</c:v>
                </c:pt>
                <c:pt idx="240">
                  <c:v>-1.517786561264855E-3</c:v>
                </c:pt>
                <c:pt idx="241">
                  <c:v>-1.507874015748007E-3</c:v>
                </c:pt>
                <c:pt idx="242">
                  <c:v>-1.8549019607841933E-3</c:v>
                </c:pt>
                <c:pt idx="243">
                  <c:v>-1.4882812500000198E-3</c:v>
                </c:pt>
                <c:pt idx="244">
                  <c:v>-1.4785992217900036E-3</c:v>
                </c:pt>
                <c:pt idx="245">
                  <c:v>-1.8217054263566139E-3</c:v>
                </c:pt>
                <c:pt idx="246">
                  <c:v>-1.8108108108107793E-3</c:v>
                </c:pt>
                <c:pt idx="247">
                  <c:v>-1.8000000000000683E-3</c:v>
                </c:pt>
                <c:pt idx="248">
                  <c:v>-1.7892720306513532E-3</c:v>
                </c:pt>
                <c:pt idx="249">
                  <c:v>-1.4312977099236591E-3</c:v>
                </c:pt>
                <c:pt idx="250">
                  <c:v>-1.4220532319391031E-3</c:v>
                </c:pt>
                <c:pt idx="251">
                  <c:v>-1.7575757575757575E-3</c:v>
                </c:pt>
                <c:pt idx="252">
                  <c:v>-1.7471698113206999E-3</c:v>
                </c:pt>
                <c:pt idx="253">
                  <c:v>-1.3947368421051915E-3</c:v>
                </c:pt>
                <c:pt idx="254">
                  <c:v>-1.7265917602996134E-3</c:v>
                </c:pt>
                <c:pt idx="255">
                  <c:v>-1.7164179104478454E-3</c:v>
                </c:pt>
                <c:pt idx="256">
                  <c:v>-1.3680297397770189E-3</c:v>
                </c:pt>
                <c:pt idx="257">
                  <c:v>-1.6962962962962722E-3</c:v>
                </c:pt>
                <c:pt idx="258">
                  <c:v>-1.3505535055350147E-3</c:v>
                </c:pt>
                <c:pt idx="259">
                  <c:v>-2.0110294117646867E-3</c:v>
                </c:pt>
                <c:pt idx="260">
                  <c:v>-1.3333333333333346E-3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6E-4E7B-9BC7-D7BB003A2B0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DAC전압편차!$R$17:$R$277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-2.6400000000000065E-3</c:v>
                </c:pt>
                <c:pt idx="13">
                  <c:v>-2.50000000000003E-3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-2.8723404255319904E-3</c:v>
                </c:pt>
                <c:pt idx="35">
                  <c:v>-2.7916666666666485E-3</c:v>
                </c:pt>
                <c:pt idx="36">
                  <c:v>-2.7142857142856058E-3</c:v>
                </c:pt>
                <c:pt idx="37">
                  <c:v>-2.6400000000000065E-3</c:v>
                </c:pt>
                <c:pt idx="38">
                  <c:v>-2.5686274509803117E-3</c:v>
                </c:pt>
                <c:pt idx="39">
                  <c:v>-2.50000000000003E-3</c:v>
                </c:pt>
                <c:pt idx="40">
                  <c:v>-2.4339622641510795E-3</c:v>
                </c:pt>
                <c:pt idx="41">
                  <c:v>-2.3703703703704219E-3</c:v>
                </c:pt>
                <c:pt idx="42">
                  <c:v>-2.3090909090908792E-3</c:v>
                </c:pt>
                <c:pt idx="43">
                  <c:v>-2.2500000000000714E-3</c:v>
                </c:pt>
                <c:pt idx="44">
                  <c:v>-2.1929824561403429E-3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-2.0333333333332725E-3</c:v>
                </c:pt>
                <c:pt idx="48">
                  <c:v>-1.9836065573769165E-3</c:v>
                </c:pt>
                <c:pt idx="49">
                  <c:v>-3.4032258064515745E-3</c:v>
                </c:pt>
                <c:pt idx="50">
                  <c:v>-1.8888888888889399E-3</c:v>
                </c:pt>
                <c:pt idx="51">
                  <c:v>-3.2656250000001395E-3</c:v>
                </c:pt>
                <c:pt idx="52">
                  <c:v>-3.2000000000000695E-3</c:v>
                </c:pt>
                <c:pt idx="53">
                  <c:v>-3.1363636363636377E-3</c:v>
                </c:pt>
                <c:pt idx="54">
                  <c:v>-3.074626865671727E-3</c:v>
                </c:pt>
                <c:pt idx="55">
                  <c:v>-3.0147058823529601E-3</c:v>
                </c:pt>
                <c:pt idx="56">
                  <c:v>-2.9565217391303894E-3</c:v>
                </c:pt>
                <c:pt idx="57">
                  <c:v>-2.9000000000000358E-3</c:v>
                </c:pt>
                <c:pt idx="58">
                  <c:v>-2.8450704225351842E-3</c:v>
                </c:pt>
                <c:pt idx="59">
                  <c:v>-2.7916666666665782E-3</c:v>
                </c:pt>
                <c:pt idx="60">
                  <c:v>-2.7397260273972503E-3</c:v>
                </c:pt>
                <c:pt idx="61">
                  <c:v>-2.6891891891891195E-3</c:v>
                </c:pt>
                <c:pt idx="62">
                  <c:v>-2.6400000000000069E-3</c:v>
                </c:pt>
                <c:pt idx="63">
                  <c:v>-2.5921052631579758E-3</c:v>
                </c:pt>
                <c:pt idx="64">
                  <c:v>-3.7272727272727509E-3</c:v>
                </c:pt>
                <c:pt idx="65">
                  <c:v>-2.4999999999999654E-3</c:v>
                </c:pt>
                <c:pt idx="66">
                  <c:v>-3.6075949367088988E-3</c:v>
                </c:pt>
                <c:pt idx="67">
                  <c:v>-3.5499999999999824E-3</c:v>
                </c:pt>
                <c:pt idx="68">
                  <c:v>-3.4938271604937551E-3</c:v>
                </c:pt>
                <c:pt idx="69">
                  <c:v>-3.4390243902438999E-3</c:v>
                </c:pt>
                <c:pt idx="70">
                  <c:v>-3.3855421686746429E-3</c:v>
                </c:pt>
                <c:pt idx="71">
                  <c:v>-3.3333333333333453E-3</c:v>
                </c:pt>
                <c:pt idx="72">
                  <c:v>-3.2823529411764303E-3</c:v>
                </c:pt>
                <c:pt idx="73">
                  <c:v>-3.2325581395349101E-3</c:v>
                </c:pt>
                <c:pt idx="74">
                  <c:v>-3.1839080459771024E-3</c:v>
                </c:pt>
                <c:pt idx="75">
                  <c:v>-3.1363636363636758E-3</c:v>
                </c:pt>
                <c:pt idx="76">
                  <c:v>-3.0898876404494274E-3</c:v>
                </c:pt>
                <c:pt idx="77">
                  <c:v>-3.0444444444444963E-3</c:v>
                </c:pt>
                <c:pt idx="78">
                  <c:v>-3.0000000000000027E-3</c:v>
                </c:pt>
                <c:pt idx="79">
                  <c:v>-2.9565217391303894E-3</c:v>
                </c:pt>
                <c:pt idx="80">
                  <c:v>-2.9139784946236717E-3</c:v>
                </c:pt>
                <c:pt idx="81">
                  <c:v>-2.8723404255319904E-3</c:v>
                </c:pt>
                <c:pt idx="82">
                  <c:v>-2.8315789473685555E-3</c:v>
                </c:pt>
                <c:pt idx="83">
                  <c:v>-2.7916666666666485E-3</c:v>
                </c:pt>
                <c:pt idx="84">
                  <c:v>-2.7525773195876692E-3</c:v>
                </c:pt>
                <c:pt idx="85">
                  <c:v>-2.7142857142856058E-3</c:v>
                </c:pt>
                <c:pt idx="86">
                  <c:v>-2.6767676767676268E-3</c:v>
                </c:pt>
                <c:pt idx="87">
                  <c:v>-2.6400000000000065E-3</c:v>
                </c:pt>
                <c:pt idx="88">
                  <c:v>-2.6039603960396666E-3</c:v>
                </c:pt>
                <c:pt idx="89">
                  <c:v>-3.4607843137255097E-3</c:v>
                </c:pt>
                <c:pt idx="90">
                  <c:v>-3.4174757281554141E-3</c:v>
                </c:pt>
                <c:pt idx="91">
                  <c:v>-2.50000000000003E-3</c:v>
                </c:pt>
                <c:pt idx="92">
                  <c:v>-2.4666666666665581E-3</c:v>
                </c:pt>
                <c:pt idx="93">
                  <c:v>-2.4339622641510795E-3</c:v>
                </c:pt>
                <c:pt idx="94">
                  <c:v>-3.2523364485982247E-3</c:v>
                </c:pt>
                <c:pt idx="95">
                  <c:v>-3.2129629629629214E-3</c:v>
                </c:pt>
                <c:pt idx="96">
                  <c:v>-2.3394495412843211E-3</c:v>
                </c:pt>
                <c:pt idx="97">
                  <c:v>-3.1363636363635154E-3</c:v>
                </c:pt>
                <c:pt idx="98">
                  <c:v>-3.0990990990992116E-3</c:v>
                </c:pt>
                <c:pt idx="99">
                  <c:v>-3.0624999999999819E-3</c:v>
                </c:pt>
                <c:pt idx="100">
                  <c:v>-2.2212389380530393E-3</c:v>
                </c:pt>
                <c:pt idx="101">
                  <c:v>-2.9912280701753428E-3</c:v>
                </c:pt>
                <c:pt idx="102">
                  <c:v>-2.9565217391303894E-3</c:v>
                </c:pt>
                <c:pt idx="103">
                  <c:v>-2.9224137931034518E-3</c:v>
                </c:pt>
                <c:pt idx="104">
                  <c:v>-2.8888888888889408E-3</c:v>
                </c:pt>
                <c:pt idx="105">
                  <c:v>-2.8559322033899297E-3</c:v>
                </c:pt>
                <c:pt idx="106">
                  <c:v>-2.8235294117646822E-3</c:v>
                </c:pt>
                <c:pt idx="107">
                  <c:v>-2.7916666666666905E-3</c:v>
                </c:pt>
                <c:pt idx="108">
                  <c:v>-2.7603305785123002E-3</c:v>
                </c:pt>
                <c:pt idx="109">
                  <c:v>-2.7295081967212624E-3</c:v>
                </c:pt>
                <c:pt idx="110">
                  <c:v>-2.6991869918699153E-3</c:v>
                </c:pt>
                <c:pt idx="111">
                  <c:v>-2.6693548387097198E-3</c:v>
                </c:pt>
                <c:pt idx="112">
                  <c:v>-2.6399999999999258E-3</c:v>
                </c:pt>
                <c:pt idx="113">
                  <c:v>-2.6111111111110827E-3</c:v>
                </c:pt>
                <c:pt idx="114">
                  <c:v>-2.5826771653543472E-3</c:v>
                </c:pt>
                <c:pt idx="115">
                  <c:v>-2.5546875000000604E-3</c:v>
                </c:pt>
                <c:pt idx="116">
                  <c:v>-2.5271317829458403E-3</c:v>
                </c:pt>
                <c:pt idx="117">
                  <c:v>-2.4999999999999909E-3</c:v>
                </c:pt>
                <c:pt idx="118">
                  <c:v>-3.1679389312976678E-3</c:v>
                </c:pt>
                <c:pt idx="119">
                  <c:v>-3.1363636363636377E-3</c:v>
                </c:pt>
                <c:pt idx="120">
                  <c:v>-3.1052631578946288E-3</c:v>
                </c:pt>
                <c:pt idx="121">
                  <c:v>-3.074626865671727E-3</c:v>
                </c:pt>
                <c:pt idx="122">
                  <c:v>-2.3703703703704215E-3</c:v>
                </c:pt>
                <c:pt idx="123">
                  <c:v>-3.0147058823529601E-3</c:v>
                </c:pt>
                <c:pt idx="124">
                  <c:v>-2.9854014598540749E-3</c:v>
                </c:pt>
                <c:pt idx="125">
                  <c:v>-2.2971014492753892E-3</c:v>
                </c:pt>
                <c:pt idx="126">
                  <c:v>-2.2733812949639509E-3</c:v>
                </c:pt>
                <c:pt idx="127">
                  <c:v>-2.9000000000000358E-3</c:v>
                </c:pt>
                <c:pt idx="128">
                  <c:v>-2.2269503546099327E-3</c:v>
                </c:pt>
                <c:pt idx="129">
                  <c:v>-2.2042253521127194E-3</c:v>
                </c:pt>
                <c:pt idx="130">
                  <c:v>-2.1818181818181234E-3</c:v>
                </c:pt>
                <c:pt idx="131">
                  <c:v>-2.1597222222222035E-3</c:v>
                </c:pt>
                <c:pt idx="132">
                  <c:v>-2.7655172413792615E-3</c:v>
                </c:pt>
                <c:pt idx="133">
                  <c:v>-2.1164383561644426E-3</c:v>
                </c:pt>
                <c:pt idx="134">
                  <c:v>-2.7142857142857433E-3</c:v>
                </c:pt>
                <c:pt idx="135">
                  <c:v>-2.6891891891891195E-3</c:v>
                </c:pt>
                <c:pt idx="136">
                  <c:v>-2.6644295302013111E-3</c:v>
                </c:pt>
                <c:pt idx="137">
                  <c:v>-2.6400000000000069E-3</c:v>
                </c:pt>
                <c:pt idx="138">
                  <c:v>-2.0132450331126935E-3</c:v>
                </c:pt>
                <c:pt idx="139">
                  <c:v>-2.5921052631579758E-3</c:v>
                </c:pt>
                <c:pt idx="140">
                  <c:v>-2.5686274509803776E-3</c:v>
                </c:pt>
                <c:pt idx="141">
                  <c:v>-2.5454545454545677E-3</c:v>
                </c:pt>
                <c:pt idx="142">
                  <c:v>-2.5225806451612187E-3</c:v>
                </c:pt>
                <c:pt idx="143">
                  <c:v>-2.4999999999999654E-3</c:v>
                </c:pt>
                <c:pt idx="144">
                  <c:v>-2.477707006369428E-3</c:v>
                </c:pt>
                <c:pt idx="145">
                  <c:v>-2.4556962025316827E-3</c:v>
                </c:pt>
                <c:pt idx="146">
                  <c:v>-2.4339622641508891E-3</c:v>
                </c:pt>
                <c:pt idx="147">
                  <c:v>-2.4124999999999815E-3</c:v>
                </c:pt>
                <c:pt idx="148">
                  <c:v>-2.3913043478261038E-3</c:v>
                </c:pt>
                <c:pt idx="149">
                  <c:v>-2.370370370370297E-3</c:v>
                </c:pt>
                <c:pt idx="150">
                  <c:v>-2.9079754601227235E-3</c:v>
                </c:pt>
                <c:pt idx="151">
                  <c:v>-2.3292682926829233E-3</c:v>
                </c:pt>
                <c:pt idx="152">
                  <c:v>-2.3090909090909399E-3</c:v>
                </c:pt>
                <c:pt idx="153">
                  <c:v>-2.2891566265059674E-3</c:v>
                </c:pt>
                <c:pt idx="154">
                  <c:v>-2.8143712574849474E-3</c:v>
                </c:pt>
                <c:pt idx="155">
                  <c:v>-2.2500000000000111E-3</c:v>
                </c:pt>
                <c:pt idx="156">
                  <c:v>-2.2307692307692753E-3</c:v>
                </c:pt>
                <c:pt idx="157">
                  <c:v>-2.7470588235294306E-3</c:v>
                </c:pt>
                <c:pt idx="158">
                  <c:v>-2.7251461988303432E-3</c:v>
                </c:pt>
                <c:pt idx="159">
                  <c:v>-2.1744186046511881E-3</c:v>
                </c:pt>
                <c:pt idx="160">
                  <c:v>-2.1560693641617906E-3</c:v>
                </c:pt>
                <c:pt idx="161">
                  <c:v>-2.6609195402299171E-3</c:v>
                </c:pt>
                <c:pt idx="162">
                  <c:v>-2.6400000000000646E-3</c:v>
                </c:pt>
                <c:pt idx="163">
                  <c:v>-2.1022727272727655E-3</c:v>
                </c:pt>
                <c:pt idx="164">
                  <c:v>-2.0847457627118206E-3</c:v>
                </c:pt>
                <c:pt idx="165">
                  <c:v>-2.0674157303370668E-3</c:v>
                </c:pt>
                <c:pt idx="166">
                  <c:v>-2.5586592178770589E-3</c:v>
                </c:pt>
                <c:pt idx="167">
                  <c:v>-2.5388888888888844E-3</c:v>
                </c:pt>
                <c:pt idx="168">
                  <c:v>-2.5193370165746123E-3</c:v>
                </c:pt>
                <c:pt idx="169">
                  <c:v>-2.0000000000000018E-3</c:v>
                </c:pt>
                <c:pt idx="170">
                  <c:v>-1.9836065573769716E-3</c:v>
                </c:pt>
                <c:pt idx="171">
                  <c:v>-2.4619565217391393E-3</c:v>
                </c:pt>
                <c:pt idx="172">
                  <c:v>-2.4432432432431733E-3</c:v>
                </c:pt>
                <c:pt idx="173">
                  <c:v>-2.4247311827955515E-3</c:v>
                </c:pt>
                <c:pt idx="174">
                  <c:v>-2.4064171122994567E-3</c:v>
                </c:pt>
                <c:pt idx="175">
                  <c:v>-2.3882978723405546E-3</c:v>
                </c:pt>
                <c:pt idx="176">
                  <c:v>-2.3703703703704215E-3</c:v>
                </c:pt>
                <c:pt idx="177">
                  <c:v>-2.3526315789473428E-3</c:v>
                </c:pt>
                <c:pt idx="178">
                  <c:v>-2.3350785340315238E-3</c:v>
                </c:pt>
                <c:pt idx="179">
                  <c:v>-2.3177083333333673E-3</c:v>
                </c:pt>
                <c:pt idx="180">
                  <c:v>-2.3005181347149841E-3</c:v>
                </c:pt>
                <c:pt idx="181">
                  <c:v>-2.283505154639267E-3</c:v>
                </c:pt>
                <c:pt idx="182">
                  <c:v>-2.2666666666666837E-3</c:v>
                </c:pt>
                <c:pt idx="183">
                  <c:v>-2.7142857142856058E-3</c:v>
                </c:pt>
                <c:pt idx="184">
                  <c:v>-2.6954314720812416E-3</c:v>
                </c:pt>
                <c:pt idx="185">
                  <c:v>-2.2171717171717178E-3</c:v>
                </c:pt>
                <c:pt idx="186">
                  <c:v>-2.6582914572863092E-3</c:v>
                </c:pt>
                <c:pt idx="187">
                  <c:v>-2.6400000000000065E-3</c:v>
                </c:pt>
                <c:pt idx="188">
                  <c:v>-2.6218905472638167E-3</c:v>
                </c:pt>
                <c:pt idx="189">
                  <c:v>-2.1534653465347655E-3</c:v>
                </c:pt>
                <c:pt idx="190">
                  <c:v>-2.1379310344827986E-3</c:v>
                </c:pt>
                <c:pt idx="191">
                  <c:v>-2.122549019607812E-3</c:v>
                </c:pt>
                <c:pt idx="192">
                  <c:v>-2.5512195121951682E-3</c:v>
                </c:pt>
                <c:pt idx="193">
                  <c:v>-2.0922330097087618E-3</c:v>
                </c:pt>
                <c:pt idx="194">
                  <c:v>-2.0772946859902918E-3</c:v>
                </c:pt>
                <c:pt idx="195">
                  <c:v>-2.50000000000003E-3</c:v>
                </c:pt>
                <c:pt idx="196">
                  <c:v>-2.4832535885167067E-3</c:v>
                </c:pt>
                <c:pt idx="197">
                  <c:v>-2.4666666666665581E-3</c:v>
                </c:pt>
                <c:pt idx="198">
                  <c:v>-2.4502369668246587E-3</c:v>
                </c:pt>
                <c:pt idx="199">
                  <c:v>-2.0047169811320681E-3</c:v>
                </c:pt>
                <c:pt idx="200">
                  <c:v>-2.4178403755869215E-3</c:v>
                </c:pt>
                <c:pt idx="201">
                  <c:v>-2.4018691588785037E-3</c:v>
                </c:pt>
                <c:pt idx="202">
                  <c:v>-1.9627906976743964E-3</c:v>
                </c:pt>
                <c:pt idx="203">
                  <c:v>-2.3703703703704219E-3</c:v>
                </c:pt>
                <c:pt idx="204">
                  <c:v>-1.9354838709677723E-3</c:v>
                </c:pt>
                <c:pt idx="205">
                  <c:v>-2.3394495412843211E-3</c:v>
                </c:pt>
                <c:pt idx="206">
                  <c:v>-1.9086757990866554E-3</c:v>
                </c:pt>
                <c:pt idx="207">
                  <c:v>-2.722727272727197E-3</c:v>
                </c:pt>
                <c:pt idx="208">
                  <c:v>-2.2941176470587278E-3</c:v>
                </c:pt>
                <c:pt idx="209">
                  <c:v>-2.2792792792793001E-3</c:v>
                </c:pt>
                <c:pt idx="210">
                  <c:v>-2.264573991031527E-3</c:v>
                </c:pt>
                <c:pt idx="211">
                  <c:v>-2.2500000000000714E-3</c:v>
                </c:pt>
                <c:pt idx="212">
                  <c:v>-2.6399999999999618E-3</c:v>
                </c:pt>
                <c:pt idx="213">
                  <c:v>-2.623893805309811E-3</c:v>
                </c:pt>
                <c:pt idx="214">
                  <c:v>-2.6079295154185144E-3</c:v>
                </c:pt>
                <c:pt idx="215">
                  <c:v>-2.5921052631578431E-3</c:v>
                </c:pt>
                <c:pt idx="216">
                  <c:v>-2.5764192139738607E-3</c:v>
                </c:pt>
                <c:pt idx="217">
                  <c:v>-2.5608695652173893E-3</c:v>
                </c:pt>
                <c:pt idx="218">
                  <c:v>-2.15151515151513E-3</c:v>
                </c:pt>
                <c:pt idx="219">
                  <c:v>-2.5301724137929762E-3</c:v>
                </c:pt>
                <c:pt idx="220">
                  <c:v>-2.5150214592274522E-3</c:v>
                </c:pt>
                <c:pt idx="221">
                  <c:v>-2.5000000000000946E-3</c:v>
                </c:pt>
                <c:pt idx="222">
                  <c:v>-2.4851063829787559E-3</c:v>
                </c:pt>
                <c:pt idx="223">
                  <c:v>-2.4703389830508181E-3</c:v>
                </c:pt>
                <c:pt idx="224">
                  <c:v>-2.4556962025317256E-3</c:v>
                </c:pt>
                <c:pt idx="225">
                  <c:v>-2.4411764705882539E-3</c:v>
                </c:pt>
                <c:pt idx="226">
                  <c:v>-2.0460251046025102E-3</c:v>
                </c:pt>
                <c:pt idx="227">
                  <c:v>-2.4125000000000656E-3</c:v>
                </c:pt>
                <c:pt idx="228">
                  <c:v>-2.3983402489626605E-3</c:v>
                </c:pt>
                <c:pt idx="229">
                  <c:v>-2.384297520661102E-3</c:v>
                </c:pt>
                <c:pt idx="230">
                  <c:v>-2.3703703703702558E-3</c:v>
                </c:pt>
                <c:pt idx="231">
                  <c:v>-2.3565573770491723E-3</c:v>
                </c:pt>
                <c:pt idx="232">
                  <c:v>-2.3428571428572398E-3</c:v>
                </c:pt>
                <c:pt idx="233">
                  <c:v>-2.6991869918699153E-3</c:v>
                </c:pt>
                <c:pt idx="234">
                  <c:v>-1.9473684210526507E-3</c:v>
                </c:pt>
                <c:pt idx="235">
                  <c:v>-2.3024193548387929E-3</c:v>
                </c:pt>
                <c:pt idx="236">
                  <c:v>-2.2891566265060485E-3</c:v>
                </c:pt>
                <c:pt idx="237">
                  <c:v>-2.6399999999999258E-3</c:v>
                </c:pt>
                <c:pt idx="238">
                  <c:v>-2.6254980079681569E-3</c:v>
                </c:pt>
                <c:pt idx="239">
                  <c:v>-2.6111111111110827E-3</c:v>
                </c:pt>
                <c:pt idx="240">
                  <c:v>-2.5968379446639459E-3</c:v>
                </c:pt>
                <c:pt idx="241">
                  <c:v>-2.5826771653543472E-3</c:v>
                </c:pt>
                <c:pt idx="242">
                  <c:v>-2.5686274509803516E-3</c:v>
                </c:pt>
                <c:pt idx="243">
                  <c:v>-2.5546875000000604E-3</c:v>
                </c:pt>
                <c:pt idx="244">
                  <c:v>-2.5408560311284082E-3</c:v>
                </c:pt>
                <c:pt idx="245">
                  <c:v>-2.5271317829458403E-3</c:v>
                </c:pt>
                <c:pt idx="246">
                  <c:v>-2.5135135135135609E-3</c:v>
                </c:pt>
                <c:pt idx="247">
                  <c:v>-2.8499999999999524E-3</c:v>
                </c:pt>
                <c:pt idx="248">
                  <c:v>-2.4865900383141118E-3</c:v>
                </c:pt>
                <c:pt idx="249">
                  <c:v>-2.4732824427481262E-3</c:v>
                </c:pt>
                <c:pt idx="250">
                  <c:v>-2.1140684410646559E-3</c:v>
                </c:pt>
                <c:pt idx="251">
                  <c:v>-2.4469696969696211E-3</c:v>
                </c:pt>
                <c:pt idx="252">
                  <c:v>-2.4339622641509654E-3</c:v>
                </c:pt>
                <c:pt idx="253">
                  <c:v>-2.7631578947367717E-3</c:v>
                </c:pt>
                <c:pt idx="254">
                  <c:v>-2.4082397003744446E-3</c:v>
                </c:pt>
                <c:pt idx="255">
                  <c:v>-2.3955223880597109E-3</c:v>
                </c:pt>
                <c:pt idx="256">
                  <c:v>-2.3828996282528937E-3</c:v>
                </c:pt>
                <c:pt idx="257">
                  <c:v>-2.3703703703704215E-3</c:v>
                </c:pt>
                <c:pt idx="258">
                  <c:v>-2.3579335793357907E-3</c:v>
                </c:pt>
                <c:pt idx="259">
                  <c:v>-2.3455882352940616E-3</c:v>
                </c:pt>
                <c:pt idx="260">
                  <c:v>-2.6666666666666692E-3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6E-4E7B-9BC7-D7BB003A2B0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DAC전압편차!$S$17:$S$277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-5.0666666666666083E-3</c:v>
                </c:pt>
                <c:pt idx="3">
                  <c:v>-4.6875000000001412E-3</c:v>
                </c:pt>
                <c:pt idx="4">
                  <c:v>-4.352941176470608E-3</c:v>
                </c:pt>
                <c:pt idx="5">
                  <c:v>-4.0555555555554686E-3</c:v>
                </c:pt>
                <c:pt idx="6">
                  <c:v>-3.7894736842106085E-3</c:v>
                </c:pt>
                <c:pt idx="7">
                  <c:v>-3.5499999999999824E-3</c:v>
                </c:pt>
                <c:pt idx="8">
                  <c:v>-3.3333333333333453E-3</c:v>
                </c:pt>
                <c:pt idx="9">
                  <c:v>-3.1363636363636758E-3</c:v>
                </c:pt>
                <c:pt idx="10">
                  <c:v>-2.9565217391303894E-3</c:v>
                </c:pt>
                <c:pt idx="11">
                  <c:v>-2.7916666666666485E-3</c:v>
                </c:pt>
                <c:pt idx="12">
                  <c:v>-2.6400000000000065E-3</c:v>
                </c:pt>
                <c:pt idx="13">
                  <c:v>-2.50000000000003E-3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-4.515151515151518E-3</c:v>
                </c:pt>
                <c:pt idx="21">
                  <c:v>-4.352941176470608E-3</c:v>
                </c:pt>
                <c:pt idx="22">
                  <c:v>-4.200000000000037E-3</c:v>
                </c:pt>
                <c:pt idx="23">
                  <c:v>-4.0555555555554686E-3</c:v>
                </c:pt>
                <c:pt idx="24">
                  <c:v>-3.9189189189188503E-3</c:v>
                </c:pt>
                <c:pt idx="25">
                  <c:v>-3.7894736842106085E-3</c:v>
                </c:pt>
                <c:pt idx="26">
                  <c:v>-3.6666666666666332E-3</c:v>
                </c:pt>
                <c:pt idx="27">
                  <c:v>-3.5499999999999824E-3</c:v>
                </c:pt>
                <c:pt idx="28">
                  <c:v>-3.4390243902438999E-3</c:v>
                </c:pt>
                <c:pt idx="29">
                  <c:v>-3.3333333333333453E-3</c:v>
                </c:pt>
                <c:pt idx="30">
                  <c:v>-3.2325581395349101E-3</c:v>
                </c:pt>
                <c:pt idx="31">
                  <c:v>-3.1363636363636758E-3</c:v>
                </c:pt>
                <c:pt idx="32">
                  <c:v>-3.0444444444444963E-3</c:v>
                </c:pt>
                <c:pt idx="33">
                  <c:v>-2.9565217391303894E-3</c:v>
                </c:pt>
                <c:pt idx="34">
                  <c:v>-2.8723404255319904E-3</c:v>
                </c:pt>
                <c:pt idx="35">
                  <c:v>-2.7916666666666485E-3</c:v>
                </c:pt>
                <c:pt idx="36">
                  <c:v>-2.7142857142856058E-3</c:v>
                </c:pt>
                <c:pt idx="37">
                  <c:v>-2.6400000000000065E-3</c:v>
                </c:pt>
                <c:pt idx="38">
                  <c:v>-4.3529411764705091E-3</c:v>
                </c:pt>
                <c:pt idx="39">
                  <c:v>-4.2500000000000315E-3</c:v>
                </c:pt>
                <c:pt idx="40">
                  <c:v>-4.1509433962265523E-3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-5.5000000000000743E-3</c:v>
                </c:pt>
                <c:pt idx="44">
                  <c:v>-5.3859649122806972E-3</c:v>
                </c:pt>
                <c:pt idx="45">
                  <c:v>-5.2758620689654359E-3</c:v>
                </c:pt>
                <c:pt idx="46">
                  <c:v>-5.1694915254237445E-3</c:v>
                </c:pt>
                <c:pt idx="47">
                  <c:v>-6.5833333333332762E-3</c:v>
                </c:pt>
                <c:pt idx="48">
                  <c:v>-6.4590163934424944E-3</c:v>
                </c:pt>
                <c:pt idx="49">
                  <c:v>-6.3387096774193191E-3</c:v>
                </c:pt>
                <c:pt idx="50">
                  <c:v>-6.2222222222222774E-3</c:v>
                </c:pt>
                <c:pt idx="51">
                  <c:v>-7.5312500000001429E-3</c:v>
                </c:pt>
                <c:pt idx="52">
                  <c:v>-7.4000000000000732E-3</c:v>
                </c:pt>
                <c:pt idx="53">
                  <c:v>-7.2727272727272779E-3</c:v>
                </c:pt>
                <c:pt idx="54">
                  <c:v>-7.1492537313433725E-3</c:v>
                </c:pt>
                <c:pt idx="55">
                  <c:v>-8.3676470588235526E-3</c:v>
                </c:pt>
                <c:pt idx="56">
                  <c:v>-8.2318840579709736E-3</c:v>
                </c:pt>
                <c:pt idx="57">
                  <c:v>-8.1000000000000395E-3</c:v>
                </c:pt>
                <c:pt idx="58">
                  <c:v>-7.97183098591547E-3</c:v>
                </c:pt>
                <c:pt idx="59">
                  <c:v>-7.8472222222221392E-3</c:v>
                </c:pt>
                <c:pt idx="60">
                  <c:v>-8.9726027397260232E-3</c:v>
                </c:pt>
                <c:pt idx="61">
                  <c:v>-7.6081081081080431E-3</c:v>
                </c:pt>
                <c:pt idx="62">
                  <c:v>-8.7066666666666785E-3</c:v>
                </c:pt>
                <c:pt idx="63">
                  <c:v>-8.578947368421139E-3</c:v>
                </c:pt>
                <c:pt idx="64">
                  <c:v>-8.4545454545454819E-3</c:v>
                </c:pt>
                <c:pt idx="65">
                  <c:v>-8.3333333333333037E-3</c:v>
                </c:pt>
                <c:pt idx="66">
                  <c:v>-8.2151898734177629E-3</c:v>
                </c:pt>
                <c:pt idx="67">
                  <c:v>-8.0999999999999857E-3</c:v>
                </c:pt>
                <c:pt idx="68">
                  <c:v>-7.9876543209875858E-3</c:v>
                </c:pt>
                <c:pt idx="69">
                  <c:v>-7.8780487804878067E-3</c:v>
                </c:pt>
                <c:pt idx="70">
                  <c:v>-7.7710843373493457E-3</c:v>
                </c:pt>
                <c:pt idx="71">
                  <c:v>-7.6666666666666827E-3</c:v>
                </c:pt>
                <c:pt idx="72">
                  <c:v>-8.635294117647024E-3</c:v>
                </c:pt>
                <c:pt idx="73">
                  <c:v>-8.5232558139534016E-3</c:v>
                </c:pt>
                <c:pt idx="74">
                  <c:v>-7.3678160919541172E-3</c:v>
                </c:pt>
                <c:pt idx="75">
                  <c:v>-7.2727272727273161E-3</c:v>
                </c:pt>
                <c:pt idx="76">
                  <c:v>-8.2022471910112305E-3</c:v>
                </c:pt>
                <c:pt idx="77">
                  <c:v>-8.1000000000000568E-3</c:v>
                </c:pt>
                <c:pt idx="78">
                  <c:v>-7.0000000000000062E-3</c:v>
                </c:pt>
                <c:pt idx="79">
                  <c:v>-7.9021739130435472E-3</c:v>
                </c:pt>
                <c:pt idx="80">
                  <c:v>-7.8064516129031378E-3</c:v>
                </c:pt>
                <c:pt idx="81">
                  <c:v>-7.7127659574469957E-3</c:v>
                </c:pt>
                <c:pt idx="82">
                  <c:v>-7.6210526315789798E-3</c:v>
                </c:pt>
                <c:pt idx="83">
                  <c:v>-7.5312500000000908E-3</c:v>
                </c:pt>
                <c:pt idx="84">
                  <c:v>-7.4432989690721056E-3</c:v>
                </c:pt>
                <c:pt idx="85">
                  <c:v>-7.3571428571428564E-3</c:v>
                </c:pt>
                <c:pt idx="86">
                  <c:v>-7.2727272727271253E-3</c:v>
                </c:pt>
                <c:pt idx="87">
                  <c:v>-7.1900000000001112E-3</c:v>
                </c:pt>
                <c:pt idx="88">
                  <c:v>-7.1089108910890753E-3</c:v>
                </c:pt>
                <c:pt idx="89">
                  <c:v>-7.0294117647059047E-3</c:v>
                </c:pt>
                <c:pt idx="90">
                  <c:v>-6.9514563106794934E-3</c:v>
                </c:pt>
                <c:pt idx="91">
                  <c:v>-6.8749999999999367E-3</c:v>
                </c:pt>
                <c:pt idx="92">
                  <c:v>-6.7999999999999918E-3</c:v>
                </c:pt>
                <c:pt idx="93">
                  <c:v>-6.7264150943396666E-3</c:v>
                </c:pt>
                <c:pt idx="94">
                  <c:v>-7.5046728971962648E-3</c:v>
                </c:pt>
                <c:pt idx="95">
                  <c:v>-6.5833333333332952E-3</c:v>
                </c:pt>
                <c:pt idx="96">
                  <c:v>-6.513761467889922E-3</c:v>
                </c:pt>
                <c:pt idx="97">
                  <c:v>-6.4454545454544271E-3</c:v>
                </c:pt>
                <c:pt idx="98">
                  <c:v>-6.3783783783784931E-3</c:v>
                </c:pt>
                <c:pt idx="99">
                  <c:v>-6.3124999999999848E-3</c:v>
                </c:pt>
                <c:pt idx="100">
                  <c:v>-6.2477876106195041E-3</c:v>
                </c:pt>
                <c:pt idx="101">
                  <c:v>-6.1842105263156966E-3</c:v>
                </c:pt>
                <c:pt idx="102">
                  <c:v>-6.1217391304347404E-3</c:v>
                </c:pt>
                <c:pt idx="103">
                  <c:v>-6.0603448275862136E-3</c:v>
                </c:pt>
                <c:pt idx="104">
                  <c:v>-6.0000000000000539E-3</c:v>
                </c:pt>
                <c:pt idx="105">
                  <c:v>-5.9406779661017968E-3</c:v>
                </c:pt>
                <c:pt idx="106">
                  <c:v>-5.8823529411764497E-3</c:v>
                </c:pt>
                <c:pt idx="107">
                  <c:v>-6.5833333333332762E-3</c:v>
                </c:pt>
                <c:pt idx="108">
                  <c:v>-5.7685950413222204E-3</c:v>
                </c:pt>
                <c:pt idx="109">
                  <c:v>-5.7131147540983142E-3</c:v>
                </c:pt>
                <c:pt idx="110">
                  <c:v>-6.3983739837399191E-3</c:v>
                </c:pt>
                <c:pt idx="111">
                  <c:v>-5.6048387096774644E-3</c:v>
                </c:pt>
                <c:pt idx="112">
                  <c:v>-5.5519999999999285E-3</c:v>
                </c:pt>
                <c:pt idx="113">
                  <c:v>-5.4999999999999745E-3</c:v>
                </c:pt>
                <c:pt idx="114">
                  <c:v>-6.1653543307086016E-3</c:v>
                </c:pt>
                <c:pt idx="115">
                  <c:v>-6.1093750000001416E-3</c:v>
                </c:pt>
                <c:pt idx="116">
                  <c:v>-6.054263565891501E-3</c:v>
                </c:pt>
                <c:pt idx="117">
                  <c:v>-6.0000000000000721E-3</c:v>
                </c:pt>
                <c:pt idx="118">
                  <c:v>-5.946564885496144E-3</c:v>
                </c:pt>
                <c:pt idx="119">
                  <c:v>-5.8939393939393975E-3</c:v>
                </c:pt>
                <c:pt idx="120">
                  <c:v>-5.8421052631577892E-3</c:v>
                </c:pt>
                <c:pt idx="121">
                  <c:v>-5.7910447761194903E-3</c:v>
                </c:pt>
                <c:pt idx="122">
                  <c:v>-5.7407407407407199E-3</c:v>
                </c:pt>
                <c:pt idx="123">
                  <c:v>-5.6911764705882568E-3</c:v>
                </c:pt>
                <c:pt idx="124">
                  <c:v>-5.642335766423273E-3</c:v>
                </c:pt>
                <c:pt idx="125">
                  <c:v>-4.9347826086956819E-3</c:v>
                </c:pt>
                <c:pt idx="126">
                  <c:v>-5.5467625899280554E-3</c:v>
                </c:pt>
                <c:pt idx="127">
                  <c:v>-5.5000000000000378E-3</c:v>
                </c:pt>
                <c:pt idx="128">
                  <c:v>-5.4539007092199365E-3</c:v>
                </c:pt>
                <c:pt idx="129">
                  <c:v>-4.7676056338028629E-3</c:v>
                </c:pt>
                <c:pt idx="130">
                  <c:v>-5.3636363636363786E-3</c:v>
                </c:pt>
                <c:pt idx="131">
                  <c:v>-5.3194444444443585E-3</c:v>
                </c:pt>
                <c:pt idx="132">
                  <c:v>-5.2758620689654706E-3</c:v>
                </c:pt>
                <c:pt idx="133">
                  <c:v>-5.2328767123287594E-3</c:v>
                </c:pt>
                <c:pt idx="134">
                  <c:v>-5.190476190476221E-3</c:v>
                </c:pt>
                <c:pt idx="135">
                  <c:v>-5.1486486486485815E-3</c:v>
                </c:pt>
                <c:pt idx="136">
                  <c:v>-5.7181208053691673E-3</c:v>
                </c:pt>
                <c:pt idx="137">
                  <c:v>-5.6733333333332759E-3</c:v>
                </c:pt>
                <c:pt idx="138">
                  <c:v>-5.0264900662252117E-3</c:v>
                </c:pt>
                <c:pt idx="139">
                  <c:v>-4.9868421052632408E-3</c:v>
                </c:pt>
                <c:pt idx="140">
                  <c:v>-4.9477124183006415E-3</c:v>
                </c:pt>
                <c:pt idx="141">
                  <c:v>-4.9090909090909341E-3</c:v>
                </c:pt>
                <c:pt idx="142">
                  <c:v>-4.8709677419354145E-3</c:v>
                </c:pt>
                <c:pt idx="143">
                  <c:v>-4.8333333333333006E-3</c:v>
                </c:pt>
                <c:pt idx="144">
                  <c:v>-4.796178343949048E-3</c:v>
                </c:pt>
                <c:pt idx="145">
                  <c:v>-4.7594936708861149E-3</c:v>
                </c:pt>
                <c:pt idx="146">
                  <c:v>-4.72327044025152E-3</c:v>
                </c:pt>
                <c:pt idx="147">
                  <c:v>-4.6874999999999833E-3</c:v>
                </c:pt>
                <c:pt idx="148">
                  <c:v>-4.6521739130434975E-3</c:v>
                </c:pt>
                <c:pt idx="149">
                  <c:v>-4.6172839506172132E-3</c:v>
                </c:pt>
                <c:pt idx="150">
                  <c:v>-4.5828220858896585E-3</c:v>
                </c:pt>
                <c:pt idx="151">
                  <c:v>-4.5487804878048769E-3</c:v>
                </c:pt>
                <c:pt idx="152">
                  <c:v>-5.0666666666666386E-3</c:v>
                </c:pt>
                <c:pt idx="153">
                  <c:v>-4.4819277108433184E-3</c:v>
                </c:pt>
                <c:pt idx="154">
                  <c:v>-4.9940119760478238E-3</c:v>
                </c:pt>
                <c:pt idx="155">
                  <c:v>-4.4166666666666798E-3</c:v>
                </c:pt>
                <c:pt idx="156">
                  <c:v>-4.3846153846154312E-3</c:v>
                </c:pt>
                <c:pt idx="157">
                  <c:v>-4.888235294117668E-3</c:v>
                </c:pt>
                <c:pt idx="158">
                  <c:v>-4.853801169590579E-3</c:v>
                </c:pt>
                <c:pt idx="159">
                  <c:v>-4.8197674418604336E-3</c:v>
                </c:pt>
                <c:pt idx="160">
                  <c:v>-4.7861271676300594E-3</c:v>
                </c:pt>
                <c:pt idx="161">
                  <c:v>-4.7528735632184245E-3</c:v>
                </c:pt>
                <c:pt idx="162">
                  <c:v>-4.7200000000000662E-3</c:v>
                </c:pt>
                <c:pt idx="163">
                  <c:v>-4.1704545454545857E-3</c:v>
                </c:pt>
                <c:pt idx="164">
                  <c:v>-4.6553672316384338E-3</c:v>
                </c:pt>
                <c:pt idx="165">
                  <c:v>-4.1123595505617875E-3</c:v>
                </c:pt>
                <c:pt idx="166">
                  <c:v>-4.5921787709496866E-3</c:v>
                </c:pt>
                <c:pt idx="167">
                  <c:v>-4.0555555555556082E-3</c:v>
                </c:pt>
                <c:pt idx="168">
                  <c:v>-4.53038674033152E-3</c:v>
                </c:pt>
                <c:pt idx="169">
                  <c:v>-4.0000000000000036E-3</c:v>
                </c:pt>
                <c:pt idx="170">
                  <c:v>-3.9726775956283392E-3</c:v>
                </c:pt>
                <c:pt idx="171">
                  <c:v>-4.4402173913043585E-3</c:v>
                </c:pt>
                <c:pt idx="172">
                  <c:v>-4.4108108108107426E-3</c:v>
                </c:pt>
                <c:pt idx="173">
                  <c:v>-4.3817204301073815E-3</c:v>
                </c:pt>
                <c:pt idx="174">
                  <c:v>-4.352941176470582E-3</c:v>
                </c:pt>
                <c:pt idx="175">
                  <c:v>-4.3244680851065136E-3</c:v>
                </c:pt>
                <c:pt idx="176">
                  <c:v>-4.2962962962963492E-3</c:v>
                </c:pt>
                <c:pt idx="177">
                  <c:v>-4.268421052631555E-3</c:v>
                </c:pt>
                <c:pt idx="178">
                  <c:v>-4.2408376963351899E-3</c:v>
                </c:pt>
                <c:pt idx="179">
                  <c:v>-4.6874999999999833E-3</c:v>
                </c:pt>
                <c:pt idx="180">
                  <c:v>-4.1865284974092866E-3</c:v>
                </c:pt>
                <c:pt idx="181">
                  <c:v>-4.628865979381485E-3</c:v>
                </c:pt>
                <c:pt idx="182">
                  <c:v>-4.599999999999967E-3</c:v>
                </c:pt>
                <c:pt idx="183">
                  <c:v>-4.5714285714284651E-3</c:v>
                </c:pt>
                <c:pt idx="184">
                  <c:v>-5.0050761421319544E-3</c:v>
                </c:pt>
                <c:pt idx="185">
                  <c:v>-4.5151515151514669E-3</c:v>
                </c:pt>
                <c:pt idx="186">
                  <c:v>-4.944723618090281E-3</c:v>
                </c:pt>
                <c:pt idx="187">
                  <c:v>-4.4600000000000082E-3</c:v>
                </c:pt>
                <c:pt idx="188">
                  <c:v>-4.4328358208956592E-3</c:v>
                </c:pt>
                <c:pt idx="189">
                  <c:v>-4.8564356435643712E-3</c:v>
                </c:pt>
                <c:pt idx="190">
                  <c:v>-4.8275862068964948E-3</c:v>
                </c:pt>
                <c:pt idx="191">
                  <c:v>-4.799019607843207E-3</c:v>
                </c:pt>
                <c:pt idx="192">
                  <c:v>-5.2146341463414131E-3</c:v>
                </c:pt>
                <c:pt idx="193">
                  <c:v>-4.74271844660187E-3</c:v>
                </c:pt>
                <c:pt idx="194">
                  <c:v>-5.1545893719806817E-3</c:v>
                </c:pt>
                <c:pt idx="195">
                  <c:v>-5.1249999999999352E-3</c:v>
                </c:pt>
                <c:pt idx="196">
                  <c:v>-5.0956937799041726E-3</c:v>
                </c:pt>
                <c:pt idx="197">
                  <c:v>-5.0666666666666568E-3</c:v>
                </c:pt>
                <c:pt idx="198">
                  <c:v>-5.0379146919432398E-3</c:v>
                </c:pt>
                <c:pt idx="199">
                  <c:v>-5.4386792452830145E-3</c:v>
                </c:pt>
                <c:pt idx="200">
                  <c:v>-5.4084507042254691E-3</c:v>
                </c:pt>
                <c:pt idx="201">
                  <c:v>-5.8037383177570109E-3</c:v>
                </c:pt>
                <c:pt idx="202">
                  <c:v>-5.7720930232557479E-3</c:v>
                </c:pt>
                <c:pt idx="203">
                  <c:v>-5.7407407407407953E-3</c:v>
                </c:pt>
                <c:pt idx="204">
                  <c:v>-6.1290322580644574E-3</c:v>
                </c:pt>
                <c:pt idx="205">
                  <c:v>-6.0963302752294179E-3</c:v>
                </c:pt>
                <c:pt idx="206">
                  <c:v>-6.0639269406392625E-3</c:v>
                </c:pt>
                <c:pt idx="207">
                  <c:v>-6.4454545454544271E-3</c:v>
                </c:pt>
                <c:pt idx="208">
                  <c:v>-5.9999999999998622E-3</c:v>
                </c:pt>
                <c:pt idx="209">
                  <c:v>-6.3783783783784931E-3</c:v>
                </c:pt>
                <c:pt idx="210">
                  <c:v>-6.3452914798206774E-3</c:v>
                </c:pt>
                <c:pt idx="211">
                  <c:v>-6.3124999999999848E-3</c:v>
                </c:pt>
                <c:pt idx="212">
                  <c:v>-6.2800000000000997E-3</c:v>
                </c:pt>
                <c:pt idx="213">
                  <c:v>-6.6504424778760967E-3</c:v>
                </c:pt>
                <c:pt idx="214">
                  <c:v>-6.2158590308369751E-3</c:v>
                </c:pt>
                <c:pt idx="215">
                  <c:v>-6.1842105263156966E-3</c:v>
                </c:pt>
                <c:pt idx="216">
                  <c:v>-6.1528384279476191E-3</c:v>
                </c:pt>
                <c:pt idx="217">
                  <c:v>-6.1217391304347404E-3</c:v>
                </c:pt>
                <c:pt idx="218">
                  <c:v>-6.4848484848485108E-3</c:v>
                </c:pt>
                <c:pt idx="219">
                  <c:v>-6.0603448275862136E-3</c:v>
                </c:pt>
                <c:pt idx="220">
                  <c:v>-6.4206008583690003E-3</c:v>
                </c:pt>
                <c:pt idx="221">
                  <c:v>-6.3888888888889005E-3</c:v>
                </c:pt>
                <c:pt idx="222">
                  <c:v>-6.3574468085107602E-3</c:v>
                </c:pt>
                <c:pt idx="223">
                  <c:v>-6.3262711864407375E-3</c:v>
                </c:pt>
                <c:pt idx="224">
                  <c:v>-6.2953586497890273E-3</c:v>
                </c:pt>
                <c:pt idx="225">
                  <c:v>-6.264705882352878E-3</c:v>
                </c:pt>
                <c:pt idx="226">
                  <c:v>-6.2343096234310077E-3</c:v>
                </c:pt>
                <c:pt idx="227">
                  <c:v>-6.2041666666666512E-3</c:v>
                </c:pt>
                <c:pt idx="228">
                  <c:v>-6.1742738589210863E-3</c:v>
                </c:pt>
                <c:pt idx="229">
                  <c:v>-6.1446280991735852E-3</c:v>
                </c:pt>
                <c:pt idx="230">
                  <c:v>-6.1152263374485314E-3</c:v>
                </c:pt>
                <c:pt idx="231">
                  <c:v>-5.7131147540983142E-3</c:v>
                </c:pt>
                <c:pt idx="232">
                  <c:v>-6.0571428571428746E-3</c:v>
                </c:pt>
                <c:pt idx="233">
                  <c:v>-6.0284552845529683E-3</c:v>
                </c:pt>
                <c:pt idx="234">
                  <c:v>-6.0000000000000634E-3</c:v>
                </c:pt>
                <c:pt idx="235">
                  <c:v>-5.9717741935483917E-3</c:v>
                </c:pt>
                <c:pt idx="236">
                  <c:v>-5.9437751004015526E-3</c:v>
                </c:pt>
                <c:pt idx="237">
                  <c:v>-5.9160000000000497E-3</c:v>
                </c:pt>
                <c:pt idx="238">
                  <c:v>-5.8884462151394344E-3</c:v>
                </c:pt>
                <c:pt idx="239">
                  <c:v>-5.8611111111110453E-3</c:v>
                </c:pt>
                <c:pt idx="240">
                  <c:v>-5.4743083003951738E-3</c:v>
                </c:pt>
                <c:pt idx="241">
                  <c:v>-5.8070866141732083E-3</c:v>
                </c:pt>
                <c:pt idx="242">
                  <c:v>-5.7803921568626675E-3</c:v>
                </c:pt>
                <c:pt idx="243">
                  <c:v>-5.3984375000000629E-3</c:v>
                </c:pt>
                <c:pt idx="244">
                  <c:v>-5.727626459144093E-3</c:v>
                </c:pt>
                <c:pt idx="245">
                  <c:v>-5.7015503875969663E-3</c:v>
                </c:pt>
                <c:pt idx="246">
                  <c:v>-4.9729729729730615E-3</c:v>
                </c:pt>
                <c:pt idx="247">
                  <c:v>-4.9500000000000316E-3</c:v>
                </c:pt>
                <c:pt idx="248">
                  <c:v>-5.6245210727969893E-3</c:v>
                </c:pt>
                <c:pt idx="249">
                  <c:v>-5.5992366412213725E-3</c:v>
                </c:pt>
                <c:pt idx="250">
                  <c:v>-5.5741444866919589E-3</c:v>
                </c:pt>
                <c:pt idx="251">
                  <c:v>-5.549242424242466E-3</c:v>
                </c:pt>
                <c:pt idx="252">
                  <c:v>-5.5245283018867794E-3</c:v>
                </c:pt>
                <c:pt idx="253">
                  <c:v>-5.499999999999932E-3</c:v>
                </c:pt>
                <c:pt idx="254">
                  <c:v>-5.134831460674073E-3</c:v>
                </c:pt>
                <c:pt idx="255">
                  <c:v>-5.4514925373135579E-3</c:v>
                </c:pt>
                <c:pt idx="256">
                  <c:v>-5.4275092936803679E-3</c:v>
                </c:pt>
                <c:pt idx="257">
                  <c:v>-5.0666666666667201E-3</c:v>
                </c:pt>
                <c:pt idx="258">
                  <c:v>-5.0442804428044276E-3</c:v>
                </c:pt>
                <c:pt idx="259">
                  <c:v>-5.3566176470588815E-3</c:v>
                </c:pt>
                <c:pt idx="260">
                  <c:v>-5.3333333333333384E-3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6E-4E7B-9BC7-D7BB003A2B0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DAC전압편차!$T$17:$T$277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9.999999999999315E-4</c:v>
                </c:pt>
                <c:pt idx="16">
                  <c:v>-2.1379310344826746E-3</c:v>
                </c:pt>
                <c:pt idx="17">
                  <c:v>1.0000000000000638E-3</c:v>
                </c:pt>
                <c:pt idx="18">
                  <c:v>1.0000000000000421E-3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-9.3617021276603141E-4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9.9999999999997313E-4</c:v>
                </c:pt>
                <c:pt idx="40">
                  <c:v>9.9999999999986666E-4</c:v>
                </c:pt>
                <c:pt idx="41">
                  <c:v>9.9999999999995145E-4</c:v>
                </c:pt>
                <c:pt idx="42">
                  <c:v>1.0000000000000332E-3</c:v>
                </c:pt>
                <c:pt idx="43">
                  <c:v>9.999999999999315E-4</c:v>
                </c:pt>
                <c:pt idx="44">
                  <c:v>1.0000000000000106E-3</c:v>
                </c:pt>
                <c:pt idx="45">
                  <c:v>1.0000000000000872E-3</c:v>
                </c:pt>
                <c:pt idx="46">
                  <c:v>9.9999999999998961E-4</c:v>
                </c:pt>
                <c:pt idx="47">
                  <c:v>1.0000000000000638E-3</c:v>
                </c:pt>
                <c:pt idx="48">
                  <c:v>2.4918032786886615E-3</c:v>
                </c:pt>
                <c:pt idx="49">
                  <c:v>2.4677419354839141E-3</c:v>
                </c:pt>
                <c:pt idx="50">
                  <c:v>2.4444444444443971E-3</c:v>
                </c:pt>
                <c:pt idx="51">
                  <c:v>2.4218749999998651E-3</c:v>
                </c:pt>
                <c:pt idx="52">
                  <c:v>2.3999999999999356E-3</c:v>
                </c:pt>
                <c:pt idx="53">
                  <c:v>2.3787878787878826E-3</c:v>
                </c:pt>
                <c:pt idx="54">
                  <c:v>2.3582089552237999E-3</c:v>
                </c:pt>
                <c:pt idx="55">
                  <c:v>2.3382352941176327E-3</c:v>
                </c:pt>
                <c:pt idx="56">
                  <c:v>2.3188405797101952E-3</c:v>
                </c:pt>
                <c:pt idx="57">
                  <c:v>2.2999999999999687E-3</c:v>
                </c:pt>
                <c:pt idx="58">
                  <c:v>2.2816901408451024E-3</c:v>
                </c:pt>
                <c:pt idx="59">
                  <c:v>2.2638888888889819E-3</c:v>
                </c:pt>
                <c:pt idx="60">
                  <c:v>2.2465753424657673E-3</c:v>
                </c:pt>
                <c:pt idx="61">
                  <c:v>2.2297297297296671E-3</c:v>
                </c:pt>
                <c:pt idx="62">
                  <c:v>2.213333333333331E-3</c:v>
                </c:pt>
                <c:pt idx="63">
                  <c:v>2.1973684210525547E-3</c:v>
                </c:pt>
                <c:pt idx="64">
                  <c:v>3.3636363636363464E-3</c:v>
                </c:pt>
                <c:pt idx="65">
                  <c:v>3.3333333333333734E-3</c:v>
                </c:pt>
                <c:pt idx="66">
                  <c:v>3.303797468354398E-3</c:v>
                </c:pt>
                <c:pt idx="67">
                  <c:v>2.1375000000000226E-3</c:v>
                </c:pt>
                <c:pt idx="68">
                  <c:v>2.123456790123534E-3</c:v>
                </c:pt>
                <c:pt idx="69">
                  <c:v>2.1097560975609827E-3</c:v>
                </c:pt>
                <c:pt idx="70">
                  <c:v>2.0963855421687353E-3</c:v>
                </c:pt>
                <c:pt idx="71">
                  <c:v>2.0833333333333259E-3</c:v>
                </c:pt>
                <c:pt idx="72">
                  <c:v>2.0705882352941626E-3</c:v>
                </c:pt>
                <c:pt idx="73">
                  <c:v>2.0581395348836995E-3</c:v>
                </c:pt>
                <c:pt idx="74">
                  <c:v>2.0459770114941663E-3</c:v>
                </c:pt>
                <c:pt idx="75">
                  <c:v>2.0340909090908743E-3</c:v>
                </c:pt>
                <c:pt idx="76">
                  <c:v>2.0224719101123753E-3</c:v>
                </c:pt>
                <c:pt idx="77">
                  <c:v>2.0111111111110634E-3</c:v>
                </c:pt>
                <c:pt idx="78">
                  <c:v>2.0000000000000018E-3</c:v>
                </c:pt>
                <c:pt idx="79">
                  <c:v>1.9891304347825489E-3</c:v>
                </c:pt>
                <c:pt idx="80">
                  <c:v>1.9784946236560113E-3</c:v>
                </c:pt>
                <c:pt idx="81">
                  <c:v>1.9680851063827998E-3</c:v>
                </c:pt>
                <c:pt idx="82">
                  <c:v>1.9578947368420812E-3</c:v>
                </c:pt>
                <c:pt idx="83">
                  <c:v>1.947916666666584E-3</c:v>
                </c:pt>
                <c:pt idx="84">
                  <c:v>1.9381443298969753E-3</c:v>
                </c:pt>
                <c:pt idx="85">
                  <c:v>1.9285714285714383E-3</c:v>
                </c:pt>
                <c:pt idx="86">
                  <c:v>1.9191919191920757E-3</c:v>
                </c:pt>
                <c:pt idx="87">
                  <c:v>1.9099999999998962E-3</c:v>
                </c:pt>
                <c:pt idx="88">
                  <c:v>1.9009900990099421E-3</c:v>
                </c:pt>
                <c:pt idx="89">
                  <c:v>1.0000000000000835E-3</c:v>
                </c:pt>
                <c:pt idx="90">
                  <c:v>1.0000000000000278E-3</c:v>
                </c:pt>
                <c:pt idx="91">
                  <c:v>9.9999999999997313E-4</c:v>
                </c:pt>
                <c:pt idx="92">
                  <c:v>1.0000000000001119E-3</c:v>
                </c:pt>
                <c:pt idx="93">
                  <c:v>1.8584905660376987E-3</c:v>
                </c:pt>
                <c:pt idx="94">
                  <c:v>1.0000000000000039E-3</c:v>
                </c:pt>
                <c:pt idx="95">
                  <c:v>9.9999999999995145E-4</c:v>
                </c:pt>
                <c:pt idx="96">
                  <c:v>1.0000000000000855E-3</c:v>
                </c:pt>
                <c:pt idx="97">
                  <c:v>1.0000000000000332E-3</c:v>
                </c:pt>
                <c:pt idx="98">
                  <c:v>9.9999999999998181E-4</c:v>
                </c:pt>
                <c:pt idx="99">
                  <c:v>9.999999999999315E-4</c:v>
                </c:pt>
                <c:pt idx="100">
                  <c:v>1.0000000000000607E-3</c:v>
                </c:pt>
                <c:pt idx="101">
                  <c:v>1.0000000000000106E-3</c:v>
                </c:pt>
                <c:pt idx="102">
                  <c:v>9.9999999999996142E-4</c:v>
                </c:pt>
                <c:pt idx="103">
                  <c:v>1.0000000000000872E-3</c:v>
                </c:pt>
                <c:pt idx="104">
                  <c:v>9.9999999999986515E-4</c:v>
                </c:pt>
                <c:pt idx="105">
                  <c:v>9.9999999999998961E-4</c:v>
                </c:pt>
                <c:pt idx="106">
                  <c:v>9.9999999999994212E-4</c:v>
                </c:pt>
                <c:pt idx="107">
                  <c:v>1.0000000000000638E-3</c:v>
                </c:pt>
                <c:pt idx="108">
                  <c:v>1.0000000000000165E-3</c:v>
                </c:pt>
                <c:pt idx="109">
                  <c:v>1.0000000000001355E-3</c:v>
                </c:pt>
                <c:pt idx="110">
                  <c:v>9.9999999999992413E-4</c:v>
                </c:pt>
                <c:pt idx="111">
                  <c:v>1.0000000000000421E-3</c:v>
                </c:pt>
                <c:pt idx="112">
                  <c:v>9.9999999999999655E-4</c:v>
                </c:pt>
                <c:pt idx="113">
                  <c:v>2.7777777777780889E-4</c:v>
                </c:pt>
                <c:pt idx="114">
                  <c:v>1.0000000000000666E-3</c:v>
                </c:pt>
                <c:pt idx="115">
                  <c:v>2.8906249999994214E-4</c:v>
                </c:pt>
                <c:pt idx="116">
                  <c:v>2.9457364341075139E-4</c:v>
                </c:pt>
                <c:pt idx="117">
                  <c:v>3.0000000000001136E-4</c:v>
                </c:pt>
                <c:pt idx="118">
                  <c:v>3.0534351145034976E-4</c:v>
                </c:pt>
                <c:pt idx="119">
                  <c:v>3.1060606060613909E-4</c:v>
                </c:pt>
                <c:pt idx="120">
                  <c:v>1.0000000000001119E-3</c:v>
                </c:pt>
                <c:pt idx="121">
                  <c:v>3.2089552238805249E-4</c:v>
                </c:pt>
                <c:pt idx="122">
                  <c:v>3.2592592592587685E-4</c:v>
                </c:pt>
                <c:pt idx="123">
                  <c:v>3.3088235294123473E-4</c:v>
                </c:pt>
                <c:pt idx="124">
                  <c:v>3.3576642335768076E-4</c:v>
                </c:pt>
                <c:pt idx="125">
                  <c:v>3.4057971014490293E-4</c:v>
                </c:pt>
                <c:pt idx="126">
                  <c:v>3.4532374100727445E-4</c:v>
                </c:pt>
                <c:pt idx="127">
                  <c:v>3.4999999999989483E-4</c:v>
                </c:pt>
                <c:pt idx="128">
                  <c:v>9.999999999999276E-4</c:v>
                </c:pt>
                <c:pt idx="129">
                  <c:v>3.5915492957742365E-4</c:v>
                </c:pt>
                <c:pt idx="130">
                  <c:v>3.6363636363642455E-4</c:v>
                </c:pt>
                <c:pt idx="131">
                  <c:v>3.6805555555557669E-4</c:v>
                </c:pt>
                <c:pt idx="132">
                  <c:v>3.7241379310356962E-4</c:v>
                </c:pt>
                <c:pt idx="133">
                  <c:v>3.767123287670666E-4</c:v>
                </c:pt>
                <c:pt idx="134">
                  <c:v>3.8095238095242357E-4</c:v>
                </c:pt>
                <c:pt idx="135">
                  <c:v>3.8513513513513924E-4</c:v>
                </c:pt>
                <c:pt idx="136">
                  <c:v>3.8926174496640905E-4</c:v>
                </c:pt>
                <c:pt idx="137">
                  <c:v>9.9999999999999655E-4</c:v>
                </c:pt>
                <c:pt idx="138">
                  <c:v>3.9735099337737497E-4</c:v>
                </c:pt>
                <c:pt idx="139">
                  <c:v>4.0131578947367216E-4</c:v>
                </c:pt>
                <c:pt idx="140">
                  <c:v>-1.8954248366011419E-4</c:v>
                </c:pt>
                <c:pt idx="141">
                  <c:v>4.0909090909095489E-4</c:v>
                </c:pt>
                <c:pt idx="142">
                  <c:v>4.1290322580646061E-4</c:v>
                </c:pt>
                <c:pt idx="143">
                  <c:v>4.1666666666676883E-4</c:v>
                </c:pt>
                <c:pt idx="144">
                  <c:v>4.2038216560503225E-4</c:v>
                </c:pt>
                <c:pt idx="145">
                  <c:v>4.240506329114216E-4</c:v>
                </c:pt>
                <c:pt idx="146">
                  <c:v>4.2767295597483616E-4</c:v>
                </c:pt>
                <c:pt idx="147">
                  <c:v>4.3124999999995809E-4</c:v>
                </c:pt>
                <c:pt idx="148">
                  <c:v>4.3478260869570087E-4</c:v>
                </c:pt>
                <c:pt idx="149">
                  <c:v>4.3827160493828502E-4</c:v>
                </c:pt>
                <c:pt idx="150">
                  <c:v>4.4171779141102151E-4</c:v>
                </c:pt>
                <c:pt idx="151">
                  <c:v>4.4512195121945637E-4</c:v>
                </c:pt>
                <c:pt idx="152">
                  <c:v>4.4848484848488118E-4</c:v>
                </c:pt>
                <c:pt idx="153">
                  <c:v>-9.6385542168615931E-5</c:v>
                </c:pt>
                <c:pt idx="154">
                  <c:v>4.5508982035936696E-4</c:v>
                </c:pt>
                <c:pt idx="155">
                  <c:v>4.5833333333326432E-4</c:v>
                </c:pt>
                <c:pt idx="156">
                  <c:v>4.6153846153847904E-4</c:v>
                </c:pt>
                <c:pt idx="157">
                  <c:v>-7.0588235294074612E-5</c:v>
                </c:pt>
                <c:pt idx="158">
                  <c:v>4.6783625730989259E-4</c:v>
                </c:pt>
                <c:pt idx="159">
                  <c:v>4.7093023255817545E-4</c:v>
                </c:pt>
                <c:pt idx="160">
                  <c:v>4.7398843930636142E-4</c:v>
                </c:pt>
                <c:pt idx="161">
                  <c:v>-4.5977011494340965E-5</c:v>
                </c:pt>
                <c:pt idx="162">
                  <c:v>4.7999999999993827E-4</c:v>
                </c:pt>
                <c:pt idx="163">
                  <c:v>4.8295454545456667E-4</c:v>
                </c:pt>
                <c:pt idx="164">
                  <c:v>4.858757062146784E-4</c:v>
                </c:pt>
                <c:pt idx="165">
                  <c:v>4.887640449438912E-4</c:v>
                </c:pt>
                <c:pt idx="166">
                  <c:v>4.9162011173188244E-4</c:v>
                </c:pt>
                <c:pt idx="167">
                  <c:v>4.9444444444445164E-4</c:v>
                </c:pt>
                <c:pt idx="168">
                  <c:v>4.9723756906074935E-4</c:v>
                </c:pt>
                <c:pt idx="169">
                  <c:v>4.9999999999994493E-4</c:v>
                </c:pt>
                <c:pt idx="170">
                  <c:v>5.4644808743964197E-6</c:v>
                </c:pt>
                <c:pt idx="171">
                  <c:v>5.054347826087993E-4</c:v>
                </c:pt>
                <c:pt idx="172">
                  <c:v>5.0810810810807139E-4</c:v>
                </c:pt>
                <c:pt idx="173">
                  <c:v>9.9999999999998788E-4</c:v>
                </c:pt>
                <c:pt idx="174">
                  <c:v>5.1336898395733851E-4</c:v>
                </c:pt>
                <c:pt idx="175">
                  <c:v>5.1595744680849151E-4</c:v>
                </c:pt>
                <c:pt idx="176">
                  <c:v>5.1851851851836273E-4</c:v>
                </c:pt>
                <c:pt idx="177">
                  <c:v>5.2105263157886889E-4</c:v>
                </c:pt>
                <c:pt idx="178">
                  <c:v>5.2356020942408187E-4</c:v>
                </c:pt>
                <c:pt idx="179">
                  <c:v>5.2604166666674057E-4</c:v>
                </c:pt>
                <c:pt idx="180">
                  <c:v>1.0000000000000969E-3</c:v>
                </c:pt>
                <c:pt idx="181">
                  <c:v>5.3092783505156115E-4</c:v>
                </c:pt>
                <c:pt idx="182">
                  <c:v>5.3333333333342259E-4</c:v>
                </c:pt>
                <c:pt idx="183">
                  <c:v>5.3571428571424259E-4</c:v>
                </c:pt>
                <c:pt idx="184">
                  <c:v>5.380710659898787E-4</c:v>
                </c:pt>
                <c:pt idx="185">
                  <c:v>5.4040404040414463E-4</c:v>
                </c:pt>
                <c:pt idx="186">
                  <c:v>5.4271356783937286E-4</c:v>
                </c:pt>
                <c:pt idx="187">
                  <c:v>5.4499999999984444E-4</c:v>
                </c:pt>
                <c:pt idx="188">
                  <c:v>5.4726368159195744E-4</c:v>
                </c:pt>
                <c:pt idx="189">
                  <c:v>9.9999999999994039E-4</c:v>
                </c:pt>
                <c:pt idx="190">
                  <c:v>1.0000000000000124E-3</c:v>
                </c:pt>
                <c:pt idx="191">
                  <c:v>1.0000000000000835E-3</c:v>
                </c:pt>
                <c:pt idx="192">
                  <c:v>1.4439024390242984E-3</c:v>
                </c:pt>
                <c:pt idx="193">
                  <c:v>1.4417475728155133E-3</c:v>
                </c:pt>
                <c:pt idx="194">
                  <c:v>1.4396135265700978E-3</c:v>
                </c:pt>
                <c:pt idx="195">
                  <c:v>1.4375000000001192E-3</c:v>
                </c:pt>
                <c:pt idx="196">
                  <c:v>1.4354066985645883E-3</c:v>
                </c:pt>
                <c:pt idx="197">
                  <c:v>1.8666666666666833E-3</c:v>
                </c:pt>
                <c:pt idx="198">
                  <c:v>1.4312796208530217E-3</c:v>
                </c:pt>
                <c:pt idx="199">
                  <c:v>1.4292452830188781E-3</c:v>
                </c:pt>
                <c:pt idx="200">
                  <c:v>1.4272300469482455E-3</c:v>
                </c:pt>
                <c:pt idx="201">
                  <c:v>1.4252336448597701E-3</c:v>
                </c:pt>
                <c:pt idx="202">
                  <c:v>1.8465116279069551E-3</c:v>
                </c:pt>
                <c:pt idx="203">
                  <c:v>1.8425925925926385E-3</c:v>
                </c:pt>
                <c:pt idx="204">
                  <c:v>1.8387096774192813E-3</c:v>
                </c:pt>
                <c:pt idx="205">
                  <c:v>2.252293577981599E-3</c:v>
                </c:pt>
                <c:pt idx="206">
                  <c:v>2.2465753424657678E-3</c:v>
                </c:pt>
                <c:pt idx="207">
                  <c:v>2.2409090909091714E-3</c:v>
                </c:pt>
                <c:pt idx="208">
                  <c:v>1.8235294117647141E-3</c:v>
                </c:pt>
                <c:pt idx="209">
                  <c:v>2.229729729729576E-3</c:v>
                </c:pt>
                <c:pt idx="210">
                  <c:v>2.2242152466366836E-3</c:v>
                </c:pt>
                <c:pt idx="211">
                  <c:v>1.8125000000000224E-3</c:v>
                </c:pt>
                <c:pt idx="212">
                  <c:v>1.8088888888887962E-3</c:v>
                </c:pt>
                <c:pt idx="213">
                  <c:v>2.2079646017698394E-3</c:v>
                </c:pt>
                <c:pt idx="214">
                  <c:v>2.2026431718061594E-3</c:v>
                </c:pt>
                <c:pt idx="215">
                  <c:v>2.1973684210526874E-3</c:v>
                </c:pt>
                <c:pt idx="216">
                  <c:v>2.1921397379912094E-3</c:v>
                </c:pt>
                <c:pt idx="217">
                  <c:v>2.186956521739137E-3</c:v>
                </c:pt>
                <c:pt idx="218">
                  <c:v>2.1818181818182513E-3</c:v>
                </c:pt>
                <c:pt idx="219">
                  <c:v>2.1767241379311662E-3</c:v>
                </c:pt>
                <c:pt idx="220">
                  <c:v>2.1716738197425094E-3</c:v>
                </c:pt>
                <c:pt idx="221">
                  <c:v>1.7777777777777299E-3</c:v>
                </c:pt>
                <c:pt idx="222">
                  <c:v>2.1617021276595458E-3</c:v>
                </c:pt>
                <c:pt idx="223">
                  <c:v>2.1567796610169826E-3</c:v>
                </c:pt>
                <c:pt idx="224">
                  <c:v>1.7679324894514432E-3</c:v>
                </c:pt>
                <c:pt idx="225">
                  <c:v>1.7647058823529688E-3</c:v>
                </c:pt>
                <c:pt idx="226">
                  <c:v>1.761506276150547E-3</c:v>
                </c:pt>
                <c:pt idx="227">
                  <c:v>2.1374999999999385E-3</c:v>
                </c:pt>
                <c:pt idx="228">
                  <c:v>1.7551867219917419E-3</c:v>
                </c:pt>
                <c:pt idx="229">
                  <c:v>1.7520661157025802E-3</c:v>
                </c:pt>
                <c:pt idx="230">
                  <c:v>1.7489711934156318E-3</c:v>
                </c:pt>
                <c:pt idx="231">
                  <c:v>2.1188524590164061E-3</c:v>
                </c:pt>
                <c:pt idx="232">
                  <c:v>1.7428571428570903E-3</c:v>
                </c:pt>
                <c:pt idx="233">
                  <c:v>2.1097560975609415E-3</c:v>
                </c:pt>
                <c:pt idx="234">
                  <c:v>1.7368421052630599E-3</c:v>
                </c:pt>
                <c:pt idx="235">
                  <c:v>2.1008064516128242E-3</c:v>
                </c:pt>
                <c:pt idx="236">
                  <c:v>2.0963855421686542E-3</c:v>
                </c:pt>
                <c:pt idx="237">
                  <c:v>1.7279999999999162E-3</c:v>
                </c:pt>
                <c:pt idx="238">
                  <c:v>1.7250996015936001E-3</c:v>
                </c:pt>
                <c:pt idx="239">
                  <c:v>1.7222222222222547E-3</c:v>
                </c:pt>
                <c:pt idx="240">
                  <c:v>2.0790513833992596E-3</c:v>
                </c:pt>
                <c:pt idx="241">
                  <c:v>1.7165354330708539E-3</c:v>
                </c:pt>
                <c:pt idx="242">
                  <c:v>1.7137254901961232E-3</c:v>
                </c:pt>
                <c:pt idx="243">
                  <c:v>1.7109374999999432E-3</c:v>
                </c:pt>
                <c:pt idx="244">
                  <c:v>1.7081712062256811E-3</c:v>
                </c:pt>
                <c:pt idx="245">
                  <c:v>1.7054263565890473E-3</c:v>
                </c:pt>
                <c:pt idx="246">
                  <c:v>1.7027027027026592E-3</c:v>
                </c:pt>
                <c:pt idx="247">
                  <c:v>1.7000000000000125E-3</c:v>
                </c:pt>
                <c:pt idx="248">
                  <c:v>1.6973180076629035E-3</c:v>
                </c:pt>
                <c:pt idx="249">
                  <c:v>1.6946564885495876E-3</c:v>
                </c:pt>
                <c:pt idx="250">
                  <c:v>1.6920152091255E-3</c:v>
                </c:pt>
                <c:pt idx="251">
                  <c:v>1.6893939393940191E-3</c:v>
                </c:pt>
                <c:pt idx="252">
                  <c:v>1.6867924528301706E-3</c:v>
                </c:pt>
                <c:pt idx="253">
                  <c:v>1.6842105263158262E-3</c:v>
                </c:pt>
                <c:pt idx="254">
                  <c:v>1.6816479400749973E-3</c:v>
                </c:pt>
                <c:pt idx="255">
                  <c:v>1.6791044776119342E-3</c:v>
                </c:pt>
                <c:pt idx="256">
                  <c:v>1.6765799256504555E-3</c:v>
                </c:pt>
                <c:pt idx="257">
                  <c:v>1.6740740740740262E-3</c:v>
                </c:pt>
                <c:pt idx="258">
                  <c:v>1.6715867158671647E-3</c:v>
                </c:pt>
                <c:pt idx="259">
                  <c:v>1.6691176470588829E-3</c:v>
                </c:pt>
                <c:pt idx="260">
                  <c:v>1.6666666666666312E-3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6E-4E7B-9BC7-D7BB003A2B0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DAC전압편차!$U$17:$U$277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-2.50000000000003E-3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-9.3617021276603141E-4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-7.5000000000002842E-4</c:v>
                </c:pt>
                <c:pt idx="40">
                  <c:v>-2.4339622641510795E-3</c:v>
                </c:pt>
                <c:pt idx="41">
                  <c:v>-2.3703703703704219E-3</c:v>
                </c:pt>
                <c:pt idx="42">
                  <c:v>-2.3090909090908792E-3</c:v>
                </c:pt>
                <c:pt idx="43">
                  <c:v>-2.2500000000000714E-3</c:v>
                </c:pt>
                <c:pt idx="44">
                  <c:v>-2.1929824561403429E-3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-2.0333333333332725E-3</c:v>
                </c:pt>
                <c:pt idx="48">
                  <c:v>-1.9836065573769165E-3</c:v>
                </c:pt>
                <c:pt idx="49">
                  <c:v>-1.9354838709677025E-3</c:v>
                </c:pt>
                <c:pt idx="50">
                  <c:v>-1.8888888888889399E-3</c:v>
                </c:pt>
                <c:pt idx="51">
                  <c:v>-1.8437500000001385E-3</c:v>
                </c:pt>
                <c:pt idx="52">
                  <c:v>-1.8000000000000683E-3</c:v>
                </c:pt>
                <c:pt idx="53">
                  <c:v>-1.7575757575757575E-3</c:v>
                </c:pt>
                <c:pt idx="54">
                  <c:v>-1.7164179104478454E-3</c:v>
                </c:pt>
                <c:pt idx="55">
                  <c:v>-1.6764705882353118E-3</c:v>
                </c:pt>
                <c:pt idx="56">
                  <c:v>-1.6376811594202431E-3</c:v>
                </c:pt>
                <c:pt idx="57">
                  <c:v>-1.6000000000000346E-3</c:v>
                </c:pt>
                <c:pt idx="58">
                  <c:v>-1.5633802816901125E-3</c:v>
                </c:pt>
                <c:pt idx="59">
                  <c:v>-1.5277777777776883E-3</c:v>
                </c:pt>
                <c:pt idx="60">
                  <c:v>-1.493150684931496E-3</c:v>
                </c:pt>
                <c:pt idx="61">
                  <c:v>-1.4594594594593887E-3</c:v>
                </c:pt>
                <c:pt idx="62">
                  <c:v>-1.4266666666666724E-3</c:v>
                </c:pt>
                <c:pt idx="63">
                  <c:v>-1.3947368421053433E-3</c:v>
                </c:pt>
                <c:pt idx="64">
                  <c:v>-1.363636363636385E-3</c:v>
                </c:pt>
                <c:pt idx="65">
                  <c:v>-1.3333333333332975E-3</c:v>
                </c:pt>
                <c:pt idx="66">
                  <c:v>-1.3037974683544667E-3</c:v>
                </c:pt>
                <c:pt idx="67">
                  <c:v>-1.2749999999999804E-3</c:v>
                </c:pt>
                <c:pt idx="68">
                  <c:v>-2.370370370370297E-3</c:v>
                </c:pt>
                <c:pt idx="69">
                  <c:v>-1.2195121951219469E-3</c:v>
                </c:pt>
                <c:pt idx="70">
                  <c:v>-1.1927710843372917E-3</c:v>
                </c:pt>
                <c:pt idx="71">
                  <c:v>-2.2500000000000111E-3</c:v>
                </c:pt>
                <c:pt idx="72">
                  <c:v>-2.211764705882312E-3</c:v>
                </c:pt>
                <c:pt idx="73">
                  <c:v>-2.1744186046511881E-3</c:v>
                </c:pt>
                <c:pt idx="74">
                  <c:v>-2.1379310344828485E-3</c:v>
                </c:pt>
                <c:pt idx="75">
                  <c:v>-2.1022727272727655E-3</c:v>
                </c:pt>
                <c:pt idx="76">
                  <c:v>-2.0674157303370668E-3</c:v>
                </c:pt>
                <c:pt idx="77">
                  <c:v>-2.0333333333333843E-3</c:v>
                </c:pt>
                <c:pt idx="78">
                  <c:v>-2.0000000000000018E-3</c:v>
                </c:pt>
                <c:pt idx="79">
                  <c:v>-1.9673913043478895E-3</c:v>
                </c:pt>
                <c:pt idx="80">
                  <c:v>-2.9139784946236717E-3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-2.7916666666666485E-3</c:v>
                </c:pt>
                <c:pt idx="84">
                  <c:v>-2.7525773195876692E-3</c:v>
                </c:pt>
                <c:pt idx="85">
                  <c:v>-2.7142857142856058E-3</c:v>
                </c:pt>
                <c:pt idx="86">
                  <c:v>-1.7575757575756046E-3</c:v>
                </c:pt>
                <c:pt idx="87">
                  <c:v>-2.6400000000000065E-3</c:v>
                </c:pt>
                <c:pt idx="88">
                  <c:v>-1.7029702970296648E-3</c:v>
                </c:pt>
                <c:pt idx="89">
                  <c:v>-2.5686274509803117E-3</c:v>
                </c:pt>
                <c:pt idx="90">
                  <c:v>-2.5339805825242471E-3</c:v>
                </c:pt>
                <c:pt idx="91">
                  <c:v>-2.50000000000003E-3</c:v>
                </c:pt>
                <c:pt idx="92">
                  <c:v>-2.4666666666665581E-3</c:v>
                </c:pt>
                <c:pt idx="93">
                  <c:v>-2.4339622641510795E-3</c:v>
                </c:pt>
                <c:pt idx="94">
                  <c:v>-2.4018691588785037E-3</c:v>
                </c:pt>
                <c:pt idx="95">
                  <c:v>-2.3703703703704219E-3</c:v>
                </c:pt>
                <c:pt idx="96">
                  <c:v>-2.3394495412843211E-3</c:v>
                </c:pt>
                <c:pt idx="97">
                  <c:v>-2.3090909090908792E-3</c:v>
                </c:pt>
                <c:pt idx="98">
                  <c:v>-2.2792792792793001E-3</c:v>
                </c:pt>
                <c:pt idx="99">
                  <c:v>-1.4374999999999805E-3</c:v>
                </c:pt>
                <c:pt idx="100">
                  <c:v>-2.2212389380530393E-3</c:v>
                </c:pt>
                <c:pt idx="101">
                  <c:v>-2.1929824561403429E-3</c:v>
                </c:pt>
                <c:pt idx="102">
                  <c:v>-2.1652173913043896E-3</c:v>
                </c:pt>
                <c:pt idx="103">
                  <c:v>-2.1379310344826746E-3</c:v>
                </c:pt>
                <c:pt idx="104">
                  <c:v>-2.1111111111112484E-3</c:v>
                </c:pt>
                <c:pt idx="105">
                  <c:v>-2.0847457627118774E-3</c:v>
                </c:pt>
                <c:pt idx="106">
                  <c:v>-2.0588235294118251E-3</c:v>
                </c:pt>
                <c:pt idx="107">
                  <c:v>-2.0333333333332725E-3</c:v>
                </c:pt>
                <c:pt idx="108">
                  <c:v>-2.0082644628099037E-3</c:v>
                </c:pt>
                <c:pt idx="109">
                  <c:v>-1.9836065573769165E-3</c:v>
                </c:pt>
                <c:pt idx="110">
                  <c:v>-1.9593495934960132E-3</c:v>
                </c:pt>
                <c:pt idx="111">
                  <c:v>-2.6693548387097198E-3</c:v>
                </c:pt>
                <c:pt idx="112">
                  <c:v>-1.9120000000000061E-3</c:v>
                </c:pt>
                <c:pt idx="113">
                  <c:v>-2.6111111111110827E-3</c:v>
                </c:pt>
                <c:pt idx="114">
                  <c:v>-1.8661417322834008E-3</c:v>
                </c:pt>
                <c:pt idx="115">
                  <c:v>-1.8437500000001385E-3</c:v>
                </c:pt>
                <c:pt idx="116">
                  <c:v>-1.8217054263566139E-3</c:v>
                </c:pt>
                <c:pt idx="117">
                  <c:v>-1.8000000000000683E-3</c:v>
                </c:pt>
                <c:pt idx="118">
                  <c:v>-2.4732824427481262E-3</c:v>
                </c:pt>
                <c:pt idx="119">
                  <c:v>-2.4469696969696211E-3</c:v>
                </c:pt>
                <c:pt idx="120">
                  <c:v>-2.4210526315789145E-3</c:v>
                </c:pt>
                <c:pt idx="121">
                  <c:v>-1.7164179104478454E-3</c:v>
                </c:pt>
                <c:pt idx="122">
                  <c:v>-2.3703703703704215E-3</c:v>
                </c:pt>
                <c:pt idx="123">
                  <c:v>-2.3455882352940616E-3</c:v>
                </c:pt>
                <c:pt idx="124">
                  <c:v>-2.3211678832116647E-3</c:v>
                </c:pt>
                <c:pt idx="125">
                  <c:v>-1.6376811594202431E-3</c:v>
                </c:pt>
                <c:pt idx="126">
                  <c:v>-1.6187050359712173E-3</c:v>
                </c:pt>
                <c:pt idx="127">
                  <c:v>-2.2500000000001074E-3</c:v>
                </c:pt>
                <c:pt idx="128">
                  <c:v>-1.5815602836880178E-3</c:v>
                </c:pt>
                <c:pt idx="129">
                  <c:v>-2.2042253521127194E-3</c:v>
                </c:pt>
                <c:pt idx="130">
                  <c:v>-2.1818181818181234E-3</c:v>
                </c:pt>
                <c:pt idx="131">
                  <c:v>-1.5277777777776883E-3</c:v>
                </c:pt>
                <c:pt idx="132">
                  <c:v>-2.1379310344826399E-3</c:v>
                </c:pt>
                <c:pt idx="133">
                  <c:v>-1.493150684931496E-3</c:v>
                </c:pt>
                <c:pt idx="134">
                  <c:v>-1.476190476190504E-3</c:v>
                </c:pt>
                <c:pt idx="135">
                  <c:v>-1.4594594594593887E-3</c:v>
                </c:pt>
                <c:pt idx="136">
                  <c:v>-2.0536912751678215E-3</c:v>
                </c:pt>
                <c:pt idx="137">
                  <c:v>-2.0333333333332725E-3</c:v>
                </c:pt>
                <c:pt idx="138">
                  <c:v>-1.4105960264901092E-3</c:v>
                </c:pt>
                <c:pt idx="139">
                  <c:v>-1.3947368421053433E-3</c:v>
                </c:pt>
                <c:pt idx="140">
                  <c:v>-1.973856209150378E-3</c:v>
                </c:pt>
                <c:pt idx="141">
                  <c:v>-1.9545454545454111E-3</c:v>
                </c:pt>
                <c:pt idx="142">
                  <c:v>-1.9354838709677352E-3</c:v>
                </c:pt>
                <c:pt idx="143">
                  <c:v>-1.9166666666665666E-3</c:v>
                </c:pt>
                <c:pt idx="144">
                  <c:v>-1.8980891719745875E-3</c:v>
                </c:pt>
                <c:pt idx="145">
                  <c:v>-1.8797468354430108E-3</c:v>
                </c:pt>
                <c:pt idx="146">
                  <c:v>-1.2893081761005734E-3</c:v>
                </c:pt>
                <c:pt idx="147">
                  <c:v>-1.8437500000000439E-3</c:v>
                </c:pt>
                <c:pt idx="148">
                  <c:v>-1.8260869565216926E-3</c:v>
                </c:pt>
                <c:pt idx="149">
                  <c:v>-1.8086419753086307E-3</c:v>
                </c:pt>
                <c:pt idx="150">
                  <c:v>-1.7914110429448086E-3</c:v>
                </c:pt>
                <c:pt idx="151">
                  <c:v>-1.7743902439024968E-3</c:v>
                </c:pt>
                <c:pt idx="152">
                  <c:v>-1.7575757575757269E-3</c:v>
                </c:pt>
                <c:pt idx="153">
                  <c:v>-1.7409638554216904E-3</c:v>
                </c:pt>
                <c:pt idx="154">
                  <c:v>-1.7245508982035092E-3</c:v>
                </c:pt>
                <c:pt idx="155">
                  <c:v>-1.7083333333334041E-3</c:v>
                </c:pt>
                <c:pt idx="156">
                  <c:v>-1.6923076923076768E-3</c:v>
                </c:pt>
                <c:pt idx="157">
                  <c:v>-1.6764705882353118E-3</c:v>
                </c:pt>
                <c:pt idx="158">
                  <c:v>-1.6608187134503432E-3</c:v>
                </c:pt>
                <c:pt idx="159">
                  <c:v>-1.6453488372092683E-3</c:v>
                </c:pt>
                <c:pt idx="160">
                  <c:v>-1.630057803468207E-3</c:v>
                </c:pt>
                <c:pt idx="161">
                  <c:v>-1.6149425287356636E-3</c:v>
                </c:pt>
                <c:pt idx="162">
                  <c:v>-1.6000000000000636E-3</c:v>
                </c:pt>
                <c:pt idx="163">
                  <c:v>-1.5852272727272534E-3</c:v>
                </c:pt>
                <c:pt idx="164">
                  <c:v>-1.5706214689265663E-3</c:v>
                </c:pt>
                <c:pt idx="165">
                  <c:v>-1.5561797752808298E-3</c:v>
                </c:pt>
                <c:pt idx="166">
                  <c:v>-1.5418994413407452E-3</c:v>
                </c:pt>
                <c:pt idx="167">
                  <c:v>-1.5277777777777722E-3</c:v>
                </c:pt>
                <c:pt idx="168">
                  <c:v>-1.5138121546961585E-3</c:v>
                </c:pt>
                <c:pt idx="169">
                  <c:v>-2.0000000000000018E-3</c:v>
                </c:pt>
                <c:pt idx="170">
                  <c:v>-1.9836065573769716E-3</c:v>
                </c:pt>
                <c:pt idx="171">
                  <c:v>-1.9673913043478895E-3</c:v>
                </c:pt>
                <c:pt idx="172">
                  <c:v>-1.9513513513513359E-3</c:v>
                </c:pt>
                <c:pt idx="173">
                  <c:v>-1.9354838709676483E-3</c:v>
                </c:pt>
                <c:pt idx="174">
                  <c:v>-1.9197860962565135E-3</c:v>
                </c:pt>
                <c:pt idx="175">
                  <c:v>-1.9042553191491185E-3</c:v>
                </c:pt>
                <c:pt idx="176">
                  <c:v>-1.8888888888889933E-3</c:v>
                </c:pt>
                <c:pt idx="177">
                  <c:v>-1.8736842105263431E-3</c:v>
                </c:pt>
                <c:pt idx="178">
                  <c:v>-1.8586387434554484E-3</c:v>
                </c:pt>
                <c:pt idx="179">
                  <c:v>-2.3177083333333673E-3</c:v>
                </c:pt>
                <c:pt idx="180">
                  <c:v>-1.829015544041461E-3</c:v>
                </c:pt>
                <c:pt idx="181">
                  <c:v>-1.8144329896906568E-3</c:v>
                </c:pt>
                <c:pt idx="182">
                  <c:v>-2.2666666666666837E-3</c:v>
                </c:pt>
                <c:pt idx="183">
                  <c:v>-1.7857142857142794E-3</c:v>
                </c:pt>
                <c:pt idx="184">
                  <c:v>-1.7715736040608337E-3</c:v>
                </c:pt>
                <c:pt idx="185">
                  <c:v>-1.7575757575756046E-3</c:v>
                </c:pt>
                <c:pt idx="186">
                  <c:v>-1.7437185929648018E-3</c:v>
                </c:pt>
                <c:pt idx="187">
                  <c:v>-2.1850000000000567E-3</c:v>
                </c:pt>
                <c:pt idx="188">
                  <c:v>-2.1691542288557056E-3</c:v>
                </c:pt>
                <c:pt idx="189">
                  <c:v>-2.1534653465347655E-3</c:v>
                </c:pt>
                <c:pt idx="190">
                  <c:v>-2.1379310344827986E-3</c:v>
                </c:pt>
                <c:pt idx="191">
                  <c:v>-2.122549019607812E-3</c:v>
                </c:pt>
                <c:pt idx="192">
                  <c:v>-2.1073170731706298E-3</c:v>
                </c:pt>
                <c:pt idx="193">
                  <c:v>-2.0922330097087618E-3</c:v>
                </c:pt>
                <c:pt idx="194">
                  <c:v>-2.0772946859902918E-3</c:v>
                </c:pt>
                <c:pt idx="195">
                  <c:v>-2.0624999999998839E-3</c:v>
                </c:pt>
                <c:pt idx="196">
                  <c:v>-1.6124401913874228E-3</c:v>
                </c:pt>
                <c:pt idx="197">
                  <c:v>-2.0333333333332725E-3</c:v>
                </c:pt>
                <c:pt idx="198">
                  <c:v>-2.0189573459716255E-3</c:v>
                </c:pt>
                <c:pt idx="199">
                  <c:v>-2.0047169811320681E-3</c:v>
                </c:pt>
                <c:pt idx="200">
                  <c:v>-1.9906103286386118E-3</c:v>
                </c:pt>
                <c:pt idx="201">
                  <c:v>-1.9766355140187373E-3</c:v>
                </c:pt>
                <c:pt idx="202">
                  <c:v>-1.9627906976743964E-3</c:v>
                </c:pt>
                <c:pt idx="203">
                  <c:v>-1.9490740740739849E-3</c:v>
                </c:pt>
                <c:pt idx="204">
                  <c:v>-1.9354838709677723E-3</c:v>
                </c:pt>
                <c:pt idx="205">
                  <c:v>-1.9220183486238168E-3</c:v>
                </c:pt>
                <c:pt idx="206">
                  <c:v>-1.9086757990866554E-3</c:v>
                </c:pt>
                <c:pt idx="207">
                  <c:v>-1.8954545454545608E-3</c:v>
                </c:pt>
                <c:pt idx="208">
                  <c:v>-2.2941176470587278E-3</c:v>
                </c:pt>
                <c:pt idx="209">
                  <c:v>-2.2792792792793001E-3</c:v>
                </c:pt>
                <c:pt idx="210">
                  <c:v>-1.8565022421524668E-3</c:v>
                </c:pt>
                <c:pt idx="211">
                  <c:v>-1.8437500000001161E-3</c:v>
                </c:pt>
                <c:pt idx="212">
                  <c:v>-1.831111111111162E-3</c:v>
                </c:pt>
                <c:pt idx="213">
                  <c:v>-2.2212389380530393E-3</c:v>
                </c:pt>
                <c:pt idx="214">
                  <c:v>-1.8061674008809797E-3</c:v>
                </c:pt>
                <c:pt idx="215">
                  <c:v>-1.7938596491228432E-3</c:v>
                </c:pt>
                <c:pt idx="216">
                  <c:v>-2.1790393013099724E-3</c:v>
                </c:pt>
                <c:pt idx="217">
                  <c:v>-2.1652173913043896E-3</c:v>
                </c:pt>
                <c:pt idx="218">
                  <c:v>-2.15151515151513E-3</c:v>
                </c:pt>
                <c:pt idx="219">
                  <c:v>-1.7456896551723729E-3</c:v>
                </c:pt>
                <c:pt idx="220">
                  <c:v>-2.1244635193131585E-3</c:v>
                </c:pt>
                <c:pt idx="221">
                  <c:v>-2.1111111111112484E-3</c:v>
                </c:pt>
                <c:pt idx="222">
                  <c:v>-2.0978723404256067E-3</c:v>
                </c:pt>
                <c:pt idx="223">
                  <c:v>-2.0847457627118774E-3</c:v>
                </c:pt>
                <c:pt idx="224">
                  <c:v>-2.0717299578058589E-3</c:v>
                </c:pt>
                <c:pt idx="225">
                  <c:v>-2.0588235294118251E-3</c:v>
                </c:pt>
                <c:pt idx="226">
                  <c:v>-2.0460251046025102E-3</c:v>
                </c:pt>
                <c:pt idx="227">
                  <c:v>-2.0333333333332725E-3</c:v>
                </c:pt>
                <c:pt idx="228">
                  <c:v>-2.0207468879668514E-3</c:v>
                </c:pt>
                <c:pt idx="229">
                  <c:v>-2.0082644628099037E-3</c:v>
                </c:pt>
                <c:pt idx="230">
                  <c:v>-1.9958847736624781E-3</c:v>
                </c:pt>
                <c:pt idx="231">
                  <c:v>-1.9836065573769165E-3</c:v>
                </c:pt>
                <c:pt idx="232">
                  <c:v>-1.9714285714287094E-3</c:v>
                </c:pt>
                <c:pt idx="233">
                  <c:v>-1.9593495934960132E-3</c:v>
                </c:pt>
                <c:pt idx="234">
                  <c:v>-1.9473684210526507E-3</c:v>
                </c:pt>
                <c:pt idx="235">
                  <c:v>-1.9354838709677025E-3</c:v>
                </c:pt>
                <c:pt idx="236">
                  <c:v>-1.9236947791165305E-3</c:v>
                </c:pt>
                <c:pt idx="237">
                  <c:v>-1.9120000000000061E-3</c:v>
                </c:pt>
                <c:pt idx="238">
                  <c:v>-1.9003984063744501E-3</c:v>
                </c:pt>
                <c:pt idx="239">
                  <c:v>-1.8888888888889399E-3</c:v>
                </c:pt>
                <c:pt idx="240">
                  <c:v>-1.8774703557312188E-3</c:v>
                </c:pt>
                <c:pt idx="241">
                  <c:v>-1.8661417322834008E-3</c:v>
                </c:pt>
                <c:pt idx="242">
                  <c:v>-1.8549019607841933E-3</c:v>
                </c:pt>
                <c:pt idx="243">
                  <c:v>-2.1992187500000995E-3</c:v>
                </c:pt>
                <c:pt idx="244">
                  <c:v>-1.8326848249028051E-3</c:v>
                </c:pt>
                <c:pt idx="245">
                  <c:v>-2.1744186046511486E-3</c:v>
                </c:pt>
                <c:pt idx="246">
                  <c:v>-1.8108108108107793E-3</c:v>
                </c:pt>
                <c:pt idx="247">
                  <c:v>-2.1500000000000295E-3</c:v>
                </c:pt>
                <c:pt idx="248">
                  <c:v>-1.7892720306513532E-3</c:v>
                </c:pt>
                <c:pt idx="249">
                  <c:v>-2.1259541984732008E-3</c:v>
                </c:pt>
                <c:pt idx="250">
                  <c:v>-2.1140684410646559E-3</c:v>
                </c:pt>
                <c:pt idx="251">
                  <c:v>-2.1022727272726892E-3</c:v>
                </c:pt>
                <c:pt idx="252">
                  <c:v>-2.0905660377357562E-3</c:v>
                </c:pt>
                <c:pt idx="253">
                  <c:v>-2.0789473684210574E-3</c:v>
                </c:pt>
                <c:pt idx="254">
                  <c:v>-2.0674157303370291E-3</c:v>
                </c:pt>
                <c:pt idx="255">
                  <c:v>-2.055970149253778E-3</c:v>
                </c:pt>
                <c:pt idx="256">
                  <c:v>-2.0446096654275019E-3</c:v>
                </c:pt>
                <c:pt idx="257">
                  <c:v>-1.6962962962962722E-3</c:v>
                </c:pt>
                <c:pt idx="258">
                  <c:v>-2.0221402214022485E-3</c:v>
                </c:pt>
                <c:pt idx="259">
                  <c:v>-2.3455882352940616E-3</c:v>
                </c:pt>
                <c:pt idx="260">
                  <c:v>-1.9999999999999276E-3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6E-4E7B-9BC7-D7BB003A2B0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DAC전압편차!$V$17:$V$277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9.999999999999315E-4</c:v>
                </c:pt>
                <c:pt idx="16">
                  <c:v>1.0000000000000872E-3</c:v>
                </c:pt>
                <c:pt idx="17">
                  <c:v>-2.0333333333332725E-3</c:v>
                </c:pt>
                <c:pt idx="18">
                  <c:v>1.0000000000000421E-3</c:v>
                </c:pt>
                <c:pt idx="19">
                  <c:v>9.9999999999986385E-4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9.9999999999996749E-4</c:v>
                </c:pt>
                <c:pt idx="23">
                  <c:v>1.000000000000092E-3</c:v>
                </c:pt>
                <c:pt idx="24">
                  <c:v>9.9999999999993649E-4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-9.3617021276603141E-4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-7.5000000000002842E-4</c:v>
                </c:pt>
                <c:pt idx="40">
                  <c:v>-7.1698113207560631E-4</c:v>
                </c:pt>
                <c:pt idx="41">
                  <c:v>-6.8518518518523514E-4</c:v>
                </c:pt>
                <c:pt idx="42">
                  <c:v>-6.5454545454542287E-4</c:v>
                </c:pt>
                <c:pt idx="43">
                  <c:v>-6.2500000000006994E-4</c:v>
                </c:pt>
                <c:pt idx="44">
                  <c:v>-5.9649122807016626E-4</c:v>
                </c:pt>
                <c:pt idx="45">
                  <c:v>-5.6896551724129369E-4</c:v>
                </c:pt>
                <c:pt idx="46">
                  <c:v>-5.4237288135594391E-4</c:v>
                </c:pt>
                <c:pt idx="47">
                  <c:v>-5.1666666666660423E-4</c:v>
                </c:pt>
                <c:pt idx="48">
                  <c:v>-4.9180327868839037E-4</c:v>
                </c:pt>
                <c:pt idx="49">
                  <c:v>-4.6774193548383019E-4</c:v>
                </c:pt>
                <c:pt idx="50">
                  <c:v>-4.4444444444449418E-4</c:v>
                </c:pt>
                <c:pt idx="51">
                  <c:v>-4.2187500000013736E-4</c:v>
                </c:pt>
                <c:pt idx="52">
                  <c:v>-4.0000000000006697E-4</c:v>
                </c:pt>
                <c:pt idx="53">
                  <c:v>-3.7878787878787743E-4</c:v>
                </c:pt>
                <c:pt idx="54">
                  <c:v>-3.5820895522396373E-4</c:v>
                </c:pt>
                <c:pt idx="55">
                  <c:v>-3.382352941176637E-4</c:v>
                </c:pt>
                <c:pt idx="56">
                  <c:v>1.0000000000000492E-3</c:v>
                </c:pt>
                <c:pt idx="57">
                  <c:v>9.9999999999996749E-4</c:v>
                </c:pt>
                <c:pt idx="58">
                  <c:v>1.0000000000000306E-3</c:v>
                </c:pt>
                <c:pt idx="59">
                  <c:v>-2.6388888888879817E-4</c:v>
                </c:pt>
                <c:pt idx="60">
                  <c:v>-2.4657534246574149E-4</c:v>
                </c:pt>
                <c:pt idx="61">
                  <c:v>9.9999999999993649E-4</c:v>
                </c:pt>
                <c:pt idx="62">
                  <c:v>9.9999999999999655E-4</c:v>
                </c:pt>
                <c:pt idx="63">
                  <c:v>9.9999999999992196E-4</c:v>
                </c:pt>
                <c:pt idx="64">
                  <c:v>-1.8181818181820216E-4</c:v>
                </c:pt>
                <c:pt idx="65">
                  <c:v>-1.6666666666662983E-4</c:v>
                </c:pt>
                <c:pt idx="66">
                  <c:v>9.9999999999996576E-4</c:v>
                </c:pt>
                <c:pt idx="67">
                  <c:v>-1.374999999999793E-4</c:v>
                </c:pt>
                <c:pt idx="68">
                  <c:v>-1.2345679012338152E-4</c:v>
                </c:pt>
                <c:pt idx="69">
                  <c:v>-1.0975609756097029E-4</c:v>
                </c:pt>
                <c:pt idx="70">
                  <c:v>-9.6385542168615931E-5</c:v>
                </c:pt>
                <c:pt idx="71">
                  <c:v>-8.3333333333342655E-5</c:v>
                </c:pt>
                <c:pt idx="72">
                  <c:v>-7.0588235294074612E-5</c:v>
                </c:pt>
                <c:pt idx="73">
                  <c:v>-5.8139534883744224E-5</c:v>
                </c:pt>
                <c:pt idx="74">
                  <c:v>-4.5977011494340965E-5</c:v>
                </c:pt>
                <c:pt idx="75">
                  <c:v>-3.4090909090945711E-5</c:v>
                </c:pt>
                <c:pt idx="76">
                  <c:v>-2.2471910112345851E-5</c:v>
                </c:pt>
                <c:pt idx="77">
                  <c:v>-1.1111111111160463E-5</c:v>
                </c:pt>
                <c:pt idx="78">
                  <c:v>0</c:v>
                </c:pt>
                <c:pt idx="79">
                  <c:v>1.086956521732977E-5</c:v>
                </c:pt>
                <c:pt idx="80">
                  <c:v>2.1505376344181545E-5</c:v>
                </c:pt>
                <c:pt idx="81">
                  <c:v>3.1914893616840593E-5</c:v>
                </c:pt>
                <c:pt idx="82">
                  <c:v>4.2105263157869063E-5</c:v>
                </c:pt>
                <c:pt idx="83">
                  <c:v>5.2083333333248952E-5</c:v>
                </c:pt>
                <c:pt idx="84">
                  <c:v>6.1855670103159224E-5</c:v>
                </c:pt>
                <c:pt idx="85">
                  <c:v>7.142857142857943E-5</c:v>
                </c:pt>
                <c:pt idx="86">
                  <c:v>8.0808080808235648E-5</c:v>
                </c:pt>
                <c:pt idx="87">
                  <c:v>8.9999999999894608E-5</c:v>
                </c:pt>
                <c:pt idx="88">
                  <c:v>9.9009900990138671E-5</c:v>
                </c:pt>
                <c:pt idx="89">
                  <c:v>1.0784313725488572E-4</c:v>
                </c:pt>
                <c:pt idx="90">
                  <c:v>1.16504854368861E-4</c:v>
                </c:pt>
                <c:pt idx="91">
                  <c:v>1.250000000000695E-4</c:v>
                </c:pt>
                <c:pt idx="92">
                  <c:v>1.3333333333334827E-4</c:v>
                </c:pt>
                <c:pt idx="93">
                  <c:v>1.4150943396222551E-4</c:v>
                </c:pt>
                <c:pt idx="94">
                  <c:v>1.4953271028028266E-4</c:v>
                </c:pt>
                <c:pt idx="95">
                  <c:v>1.5740740740745175E-4</c:v>
                </c:pt>
                <c:pt idx="96">
                  <c:v>1.6513761467889108E-4</c:v>
                </c:pt>
                <c:pt idx="97">
                  <c:v>1.7272727272739702E-4</c:v>
                </c:pt>
                <c:pt idx="98">
                  <c:v>1.801801801800703E-4</c:v>
                </c:pt>
                <c:pt idx="99">
                  <c:v>1.8750000000002098E-4</c:v>
                </c:pt>
                <c:pt idx="100">
                  <c:v>-6.1061946902648927E-4</c:v>
                </c:pt>
                <c:pt idx="101">
                  <c:v>2.0175438596483359E-4</c:v>
                </c:pt>
                <c:pt idx="102">
                  <c:v>-5.8260869565221409E-4</c:v>
                </c:pt>
                <c:pt idx="103">
                  <c:v>2.1551724137930958E-4</c:v>
                </c:pt>
                <c:pt idx="104">
                  <c:v>2.2222222222217306E-4</c:v>
                </c:pt>
                <c:pt idx="105">
                  <c:v>-5.4237288135594391E-4</c:v>
                </c:pt>
                <c:pt idx="106">
                  <c:v>-5.2941176470594161E-4</c:v>
                </c:pt>
                <c:pt idx="107">
                  <c:v>2.4166666666664561E-4</c:v>
                </c:pt>
                <c:pt idx="108">
                  <c:v>-5.0413223140494351E-4</c:v>
                </c:pt>
                <c:pt idx="109">
                  <c:v>-4.9180327868839037E-4</c:v>
                </c:pt>
                <c:pt idx="110">
                  <c:v>-4.7967479674804458E-4</c:v>
                </c:pt>
                <c:pt idx="111">
                  <c:v>-4.6774193548383019E-4</c:v>
                </c:pt>
                <c:pt idx="112">
                  <c:v>-4.5600000000000485E-4</c:v>
                </c:pt>
                <c:pt idx="113">
                  <c:v>-4.4444444444449418E-4</c:v>
                </c:pt>
                <c:pt idx="114">
                  <c:v>-4.3307086614166715E-4</c:v>
                </c:pt>
                <c:pt idx="115">
                  <c:v>-4.2187500000013736E-4</c:v>
                </c:pt>
                <c:pt idx="116">
                  <c:v>-4.1085271317831818E-4</c:v>
                </c:pt>
                <c:pt idx="117">
                  <c:v>-4.0000000000006697E-4</c:v>
                </c:pt>
                <c:pt idx="118">
                  <c:v>-3.8931297709919209E-4</c:v>
                </c:pt>
                <c:pt idx="119">
                  <c:v>-3.7878787878787743E-4</c:v>
                </c:pt>
                <c:pt idx="120">
                  <c:v>-3.6842105263146826E-4</c:v>
                </c:pt>
                <c:pt idx="121">
                  <c:v>-3.5820895522396373E-4</c:v>
                </c:pt>
                <c:pt idx="122">
                  <c:v>-3.4814814814812295E-4</c:v>
                </c:pt>
                <c:pt idx="123">
                  <c:v>-3.382352941176637E-4</c:v>
                </c:pt>
                <c:pt idx="124">
                  <c:v>-3.2846715328472935E-4</c:v>
                </c:pt>
                <c:pt idx="125">
                  <c:v>-3.1884057971009696E-4</c:v>
                </c:pt>
                <c:pt idx="126">
                  <c:v>-3.0935251798560459E-4</c:v>
                </c:pt>
                <c:pt idx="127">
                  <c:v>-3.0000000000003353E-4</c:v>
                </c:pt>
                <c:pt idx="128">
                  <c:v>-2.9078014184404511E-4</c:v>
                </c:pt>
                <c:pt idx="129">
                  <c:v>-2.8169014084504095E-4</c:v>
                </c:pt>
                <c:pt idx="130">
                  <c:v>-2.7272727272728309E-4</c:v>
                </c:pt>
                <c:pt idx="131">
                  <c:v>-2.6388888888879817E-4</c:v>
                </c:pt>
                <c:pt idx="132">
                  <c:v>-8.8275862068953501E-4</c:v>
                </c:pt>
                <c:pt idx="133">
                  <c:v>-2.4657534246574149E-4</c:v>
                </c:pt>
                <c:pt idx="134">
                  <c:v>-2.3809523809526474E-4</c:v>
                </c:pt>
                <c:pt idx="135">
                  <c:v>-8.4459459459459161E-4</c:v>
                </c:pt>
                <c:pt idx="136">
                  <c:v>-2.2147651006708077E-4</c:v>
                </c:pt>
                <c:pt idx="137">
                  <c:v>-2.1333333333333797E-4</c:v>
                </c:pt>
                <c:pt idx="138">
                  <c:v>-2.052980132450752E-4</c:v>
                </c:pt>
                <c:pt idx="139">
                  <c:v>-1.9736842105271064E-4</c:v>
                </c:pt>
                <c:pt idx="140">
                  <c:v>-1.8954248366011419E-4</c:v>
                </c:pt>
                <c:pt idx="141">
                  <c:v>-7.7272727272722802E-4</c:v>
                </c:pt>
                <c:pt idx="142">
                  <c:v>-1.7419354838702316E-4</c:v>
                </c:pt>
                <c:pt idx="143">
                  <c:v>-7.4999999999989897E-4</c:v>
                </c:pt>
                <c:pt idx="144">
                  <c:v>-7.3885350318477763E-4</c:v>
                </c:pt>
                <c:pt idx="145">
                  <c:v>-7.2784810126579459E-4</c:v>
                </c:pt>
                <c:pt idx="146">
                  <c:v>-1.4465408805025803E-4</c:v>
                </c:pt>
                <c:pt idx="147">
                  <c:v>-1.374999999999793E-4</c:v>
                </c:pt>
                <c:pt idx="148">
                  <c:v>-6.9565217391299582E-4</c:v>
                </c:pt>
                <c:pt idx="149">
                  <c:v>-6.851851851851728E-4</c:v>
                </c:pt>
                <c:pt idx="150">
                  <c:v>-1.1656441717799799E-4</c:v>
                </c:pt>
                <c:pt idx="151">
                  <c:v>-6.6463414634152017E-4</c:v>
                </c:pt>
                <c:pt idx="152">
                  <c:v>-6.5454545454542287E-4</c:v>
                </c:pt>
                <c:pt idx="153">
                  <c:v>-1.1927710843372917E-3</c:v>
                </c:pt>
                <c:pt idx="154">
                  <c:v>-6.3473053892207116E-4</c:v>
                </c:pt>
                <c:pt idx="155">
                  <c:v>-6.2500000000006994E-4</c:v>
                </c:pt>
                <c:pt idx="156">
                  <c:v>-6.1538461538459882E-4</c:v>
                </c:pt>
                <c:pt idx="157">
                  <c:v>-6.0588235294119328E-4</c:v>
                </c:pt>
                <c:pt idx="158">
                  <c:v>-1.1286549707602252E-3</c:v>
                </c:pt>
                <c:pt idx="159">
                  <c:v>-5.8720930232554643E-4</c:v>
                </c:pt>
                <c:pt idx="160">
                  <c:v>-5.7803468208092283E-4</c:v>
                </c:pt>
                <c:pt idx="161">
                  <c:v>-5.689655172414098E-4</c:v>
                </c:pt>
                <c:pt idx="162">
                  <c:v>-1.0800000000000054E-3</c:v>
                </c:pt>
                <c:pt idx="163">
                  <c:v>-5.5113636363634329E-4</c:v>
                </c:pt>
                <c:pt idx="164">
                  <c:v>-5.4237288135594401E-4</c:v>
                </c:pt>
                <c:pt idx="165">
                  <c:v>-5.3370786516846933E-4</c:v>
                </c:pt>
                <c:pt idx="166">
                  <c:v>-5.2513966480443133E-4</c:v>
                </c:pt>
                <c:pt idx="167">
                  <c:v>-5.1666666666666029E-4</c:v>
                </c:pt>
                <c:pt idx="168">
                  <c:v>-5.082872928177045E-4</c:v>
                </c:pt>
                <c:pt idx="169">
                  <c:v>-1.0000000000000009E-3</c:v>
                </c:pt>
                <c:pt idx="170">
                  <c:v>-9.8907103825139793E-4</c:v>
                </c:pt>
                <c:pt idx="171">
                  <c:v>-9.7826086956516998E-4</c:v>
                </c:pt>
                <c:pt idx="172">
                  <c:v>-9.6756756756744184E-4</c:v>
                </c:pt>
                <c:pt idx="173">
                  <c:v>-9.5698924731184201E-4</c:v>
                </c:pt>
                <c:pt idx="174">
                  <c:v>-9.4652406417105922E-4</c:v>
                </c:pt>
                <c:pt idx="175">
                  <c:v>-9.3617021276603141E-4</c:v>
                </c:pt>
                <c:pt idx="176">
                  <c:v>-9.259259259259226E-4</c:v>
                </c:pt>
                <c:pt idx="177">
                  <c:v>-9.1578947368434335E-4</c:v>
                </c:pt>
                <c:pt idx="178">
                  <c:v>-9.0575916230372093E-4</c:v>
                </c:pt>
                <c:pt idx="179">
                  <c:v>-8.9583333333331328E-4</c:v>
                </c:pt>
                <c:pt idx="180">
                  <c:v>-8.8601036269420519E-4</c:v>
                </c:pt>
                <c:pt idx="181">
                  <c:v>-8.7628865979385304E-4</c:v>
                </c:pt>
                <c:pt idx="182">
                  <c:v>-8.6666666666663041E-4</c:v>
                </c:pt>
                <c:pt idx="183">
                  <c:v>-8.5714285714274694E-4</c:v>
                </c:pt>
                <c:pt idx="184">
                  <c:v>-8.4771573604063076E-4</c:v>
                </c:pt>
                <c:pt idx="185">
                  <c:v>-8.3838383838378649E-4</c:v>
                </c:pt>
                <c:pt idx="186">
                  <c:v>-8.2914572864309138E-4</c:v>
                </c:pt>
                <c:pt idx="187">
                  <c:v>-8.2000000000000508E-4</c:v>
                </c:pt>
                <c:pt idx="188">
                  <c:v>-8.1094527363197459E-4</c:v>
                </c:pt>
                <c:pt idx="189">
                  <c:v>-1.252475247524764E-3</c:v>
                </c:pt>
                <c:pt idx="190">
                  <c:v>-7.9310344827585131E-4</c:v>
                </c:pt>
                <c:pt idx="191">
                  <c:v>-7.8431372549011408E-4</c:v>
                </c:pt>
                <c:pt idx="192">
                  <c:v>-1.2195121951219469E-3</c:v>
                </c:pt>
                <c:pt idx="193">
                  <c:v>-7.6699029126210965E-4</c:v>
                </c:pt>
                <c:pt idx="194">
                  <c:v>-7.5845410628009691E-4</c:v>
                </c:pt>
                <c:pt idx="195">
                  <c:v>-7.5000000000002842E-4</c:v>
                </c:pt>
                <c:pt idx="196">
                  <c:v>-7.4162679425833196E-4</c:v>
                </c:pt>
                <c:pt idx="197">
                  <c:v>-7.3333333333322308E-4</c:v>
                </c:pt>
                <c:pt idx="198">
                  <c:v>-7.2511848341233497E-4</c:v>
                </c:pt>
                <c:pt idx="199">
                  <c:v>-7.1698113207560631E-4</c:v>
                </c:pt>
                <c:pt idx="200">
                  <c:v>-7.0892018779349292E-4</c:v>
                </c:pt>
                <c:pt idx="201">
                  <c:v>-2.7570093457948361E-4</c:v>
                </c:pt>
                <c:pt idx="202">
                  <c:v>-2.6976744186044159E-4</c:v>
                </c:pt>
                <c:pt idx="203">
                  <c:v>-6.8518518518523514E-4</c:v>
                </c:pt>
                <c:pt idx="204">
                  <c:v>-6.7741935483869235E-4</c:v>
                </c:pt>
                <c:pt idx="205">
                  <c:v>-6.6972477064211795E-4</c:v>
                </c:pt>
                <c:pt idx="206">
                  <c:v>-2.4657534246564923E-4</c:v>
                </c:pt>
                <c:pt idx="207">
                  <c:v>-2.4090909090910477E-4</c:v>
                </c:pt>
                <c:pt idx="208">
                  <c:v>-2.3529411764700682E-4</c:v>
                </c:pt>
                <c:pt idx="209">
                  <c:v>-6.3963963963965917E-4</c:v>
                </c:pt>
                <c:pt idx="210">
                  <c:v>-6.3228699551583049E-4</c:v>
                </c:pt>
                <c:pt idx="211">
                  <c:v>-2.1875000000011469E-4</c:v>
                </c:pt>
                <c:pt idx="212">
                  <c:v>-2.1333333333338285E-4</c:v>
                </c:pt>
                <c:pt idx="213">
                  <c:v>-6.1061946902648927E-4</c:v>
                </c:pt>
                <c:pt idx="214">
                  <c:v>-2.0264317180608834E-4</c:v>
                </c:pt>
                <c:pt idx="215">
                  <c:v>-1.9736842105266632E-4</c:v>
                </c:pt>
                <c:pt idx="216">
                  <c:v>-1.9213973799123745E-4</c:v>
                </c:pt>
                <c:pt idx="217">
                  <c:v>-1.8695652173903842E-4</c:v>
                </c:pt>
                <c:pt idx="218">
                  <c:v>2.1212121212132334E-4</c:v>
                </c:pt>
                <c:pt idx="219">
                  <c:v>-1.7672413793099205E-4</c:v>
                </c:pt>
                <c:pt idx="220">
                  <c:v>-1.716738197423846E-4</c:v>
                </c:pt>
                <c:pt idx="221">
                  <c:v>-1.6666666666667298E-4</c:v>
                </c:pt>
                <c:pt idx="222">
                  <c:v>-1.6170212765969082E-4</c:v>
                </c:pt>
                <c:pt idx="223">
                  <c:v>-1.5677966101700338E-4</c:v>
                </c:pt>
                <c:pt idx="224">
                  <c:v>-1.5189873417720783E-4</c:v>
                </c:pt>
                <c:pt idx="225">
                  <c:v>-1.4705882352934331E-4</c:v>
                </c:pt>
                <c:pt idx="226">
                  <c:v>-1.422594142259815E-4</c:v>
                </c:pt>
                <c:pt idx="227">
                  <c:v>2.4166666666664561E-4</c:v>
                </c:pt>
                <c:pt idx="228">
                  <c:v>-1.3278008298747091E-4</c:v>
                </c:pt>
                <c:pt idx="229">
                  <c:v>-1.2809917355374528E-4</c:v>
                </c:pt>
                <c:pt idx="230">
                  <c:v>-1.234567901234231E-4</c:v>
                </c:pt>
                <c:pt idx="231">
                  <c:v>-1.1885245901630028E-4</c:v>
                </c:pt>
                <c:pt idx="232">
                  <c:v>-1.1428571428572706E-4</c:v>
                </c:pt>
                <c:pt idx="233">
                  <c:v>-1.0975609756109349E-4</c:v>
                </c:pt>
                <c:pt idx="234">
                  <c:v>-1.0526315789479537E-4</c:v>
                </c:pt>
                <c:pt idx="235">
                  <c:v>-1.0080645161290286E-4</c:v>
                </c:pt>
                <c:pt idx="236">
                  <c:v>-9.6385542168615931E-5</c:v>
                </c:pt>
                <c:pt idx="237">
                  <c:v>2.7200000000007665E-4</c:v>
                </c:pt>
                <c:pt idx="238">
                  <c:v>-8.7649402390425058E-5</c:v>
                </c:pt>
                <c:pt idx="239">
                  <c:v>-8.3333333333262478E-5</c:v>
                </c:pt>
                <c:pt idx="240">
                  <c:v>-7.905138339924116E-5</c:v>
                </c:pt>
                <c:pt idx="241">
                  <c:v>2.8346456692912011E-4</c:v>
                </c:pt>
                <c:pt idx="242">
                  <c:v>-7.0588235294034998E-5</c:v>
                </c:pt>
                <c:pt idx="243">
                  <c:v>-6.6406250000018707E-5</c:v>
                </c:pt>
                <c:pt idx="244">
                  <c:v>-6.2256809338640684E-5</c:v>
                </c:pt>
                <c:pt idx="245">
                  <c:v>-5.8139534883783377E-5</c:v>
                </c:pt>
                <c:pt idx="246">
                  <c:v>-5.4054054054060098E-5</c:v>
                </c:pt>
                <c:pt idx="247">
                  <c:v>-4.9999999999950082E-5</c:v>
                </c:pt>
                <c:pt idx="248">
                  <c:v>-4.5977011494302259E-5</c:v>
                </c:pt>
                <c:pt idx="249">
                  <c:v>-4.1984732824421164E-5</c:v>
                </c:pt>
                <c:pt idx="250">
                  <c:v>-3.8403041825100452E-4</c:v>
                </c:pt>
                <c:pt idx="251">
                  <c:v>-3.4090909090945711E-5</c:v>
                </c:pt>
                <c:pt idx="252">
                  <c:v>-3.0188679245264614E-5</c:v>
                </c:pt>
                <c:pt idx="253">
                  <c:v>-2.6315789473611194E-5</c:v>
                </c:pt>
                <c:pt idx="254">
                  <c:v>-2.2471910112232335E-5</c:v>
                </c:pt>
                <c:pt idx="255">
                  <c:v>-1.8656716418031015E-5</c:v>
                </c:pt>
                <c:pt idx="256">
                  <c:v>-1.4869888475902478E-5</c:v>
                </c:pt>
                <c:pt idx="257">
                  <c:v>-1.1111111111123045E-5</c:v>
                </c:pt>
                <c:pt idx="258">
                  <c:v>-7.3800738006962269E-6</c:v>
                </c:pt>
                <c:pt idx="259">
                  <c:v>-3.6764705882887678E-6</c:v>
                </c:pt>
                <c:pt idx="2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6E-4E7B-9BC7-D7BB003A2B0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DAC전압편차!$W$17:$W$277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-9.3617021276603141E-4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-2.6400000000000065E-3</c:v>
                </c:pt>
                <c:pt idx="38">
                  <c:v>-2.5686274509803117E-3</c:v>
                </c:pt>
                <c:pt idx="39">
                  <c:v>-2.50000000000003E-3</c:v>
                </c:pt>
                <c:pt idx="40">
                  <c:v>-2.4339622641510795E-3</c:v>
                </c:pt>
                <c:pt idx="41">
                  <c:v>-2.3703703703704219E-3</c:v>
                </c:pt>
                <c:pt idx="42">
                  <c:v>-2.3090909090908792E-3</c:v>
                </c:pt>
                <c:pt idx="43">
                  <c:v>-2.2500000000000714E-3</c:v>
                </c:pt>
                <c:pt idx="44">
                  <c:v>-2.1929824561403429E-3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-2.0333333333332725E-3</c:v>
                </c:pt>
                <c:pt idx="48">
                  <c:v>-1.9836065573769165E-3</c:v>
                </c:pt>
                <c:pt idx="49">
                  <c:v>-3.4032258064515745E-3</c:v>
                </c:pt>
                <c:pt idx="50">
                  <c:v>-3.3333333333333856E-3</c:v>
                </c:pt>
                <c:pt idx="51">
                  <c:v>-3.2656250000001395E-3</c:v>
                </c:pt>
                <c:pt idx="52">
                  <c:v>-3.2000000000000695E-3</c:v>
                </c:pt>
                <c:pt idx="53">
                  <c:v>-3.1363636363636377E-3</c:v>
                </c:pt>
                <c:pt idx="54">
                  <c:v>-3.074626865671727E-3</c:v>
                </c:pt>
                <c:pt idx="55">
                  <c:v>-3.0147058823529601E-3</c:v>
                </c:pt>
                <c:pt idx="56">
                  <c:v>-2.9565217391303894E-3</c:v>
                </c:pt>
                <c:pt idx="57">
                  <c:v>-2.9000000000000358E-3</c:v>
                </c:pt>
                <c:pt idx="58">
                  <c:v>-2.8450704225351842E-3</c:v>
                </c:pt>
                <c:pt idx="59">
                  <c:v>-2.7916666666665782E-3</c:v>
                </c:pt>
                <c:pt idx="60">
                  <c:v>-2.7397260273972503E-3</c:v>
                </c:pt>
                <c:pt idx="61">
                  <c:v>-2.6891891891891195E-3</c:v>
                </c:pt>
                <c:pt idx="62">
                  <c:v>-2.6400000000000069E-3</c:v>
                </c:pt>
                <c:pt idx="63">
                  <c:v>-2.5921052631579758E-3</c:v>
                </c:pt>
                <c:pt idx="64">
                  <c:v>-2.5454545454545677E-3</c:v>
                </c:pt>
                <c:pt idx="65">
                  <c:v>-2.4999999999999654E-3</c:v>
                </c:pt>
                <c:pt idx="66">
                  <c:v>-2.4556962025316827E-3</c:v>
                </c:pt>
                <c:pt idx="67">
                  <c:v>-3.5499999999999824E-3</c:v>
                </c:pt>
                <c:pt idx="68">
                  <c:v>-3.4938271604937551E-3</c:v>
                </c:pt>
                <c:pt idx="69">
                  <c:v>-3.4390243902438999E-3</c:v>
                </c:pt>
                <c:pt idx="70">
                  <c:v>-3.3855421686746429E-3</c:v>
                </c:pt>
                <c:pt idx="71">
                  <c:v>-3.3333333333333453E-3</c:v>
                </c:pt>
                <c:pt idx="72">
                  <c:v>-3.2823529411764303E-3</c:v>
                </c:pt>
                <c:pt idx="73">
                  <c:v>-3.2325581395349101E-3</c:v>
                </c:pt>
                <c:pt idx="74">
                  <c:v>-3.1839080459771024E-3</c:v>
                </c:pt>
                <c:pt idx="75">
                  <c:v>-3.1363636363636758E-3</c:v>
                </c:pt>
                <c:pt idx="76">
                  <c:v>-3.0898876404494274E-3</c:v>
                </c:pt>
                <c:pt idx="77">
                  <c:v>-3.0444444444444963E-3</c:v>
                </c:pt>
                <c:pt idx="78">
                  <c:v>-3.0000000000000027E-3</c:v>
                </c:pt>
                <c:pt idx="79">
                  <c:v>-2.9565217391303894E-3</c:v>
                </c:pt>
                <c:pt idx="80">
                  <c:v>-2.9139784946236717E-3</c:v>
                </c:pt>
                <c:pt idx="81">
                  <c:v>-2.8723404255319904E-3</c:v>
                </c:pt>
                <c:pt idx="82">
                  <c:v>-2.8315789473685555E-3</c:v>
                </c:pt>
                <c:pt idx="83">
                  <c:v>-2.7916666666666485E-3</c:v>
                </c:pt>
                <c:pt idx="84">
                  <c:v>-2.7525773195876692E-3</c:v>
                </c:pt>
                <c:pt idx="85">
                  <c:v>-2.7142857142856058E-3</c:v>
                </c:pt>
                <c:pt idx="86">
                  <c:v>-2.6767676767676268E-3</c:v>
                </c:pt>
                <c:pt idx="87">
                  <c:v>-2.6400000000000065E-3</c:v>
                </c:pt>
                <c:pt idx="88">
                  <c:v>-2.6039603960396666E-3</c:v>
                </c:pt>
                <c:pt idx="89">
                  <c:v>-3.4607843137255097E-3</c:v>
                </c:pt>
                <c:pt idx="90">
                  <c:v>-2.5339805825242471E-3</c:v>
                </c:pt>
                <c:pt idx="91">
                  <c:v>-2.50000000000003E-3</c:v>
                </c:pt>
                <c:pt idx="92">
                  <c:v>-3.3333333333333218E-3</c:v>
                </c:pt>
                <c:pt idx="93">
                  <c:v>-3.2924528301887207E-3</c:v>
                </c:pt>
                <c:pt idx="94">
                  <c:v>-3.2523364485982247E-3</c:v>
                </c:pt>
                <c:pt idx="95">
                  <c:v>-3.2129629629629214E-3</c:v>
                </c:pt>
                <c:pt idx="96">
                  <c:v>-3.1743119266055158E-3</c:v>
                </c:pt>
                <c:pt idx="97">
                  <c:v>-3.1363636363635154E-3</c:v>
                </c:pt>
                <c:pt idx="98">
                  <c:v>-3.0990990990992116E-3</c:v>
                </c:pt>
                <c:pt idx="99">
                  <c:v>-3.0624999999999819E-3</c:v>
                </c:pt>
                <c:pt idx="100">
                  <c:v>-3.0265486725664036E-3</c:v>
                </c:pt>
                <c:pt idx="101">
                  <c:v>-2.9912280701753428E-3</c:v>
                </c:pt>
                <c:pt idx="102">
                  <c:v>-3.7478260869565649E-3</c:v>
                </c:pt>
                <c:pt idx="103">
                  <c:v>-3.7068965517240552E-3</c:v>
                </c:pt>
                <c:pt idx="104">
                  <c:v>-2.8888888888889408E-3</c:v>
                </c:pt>
                <c:pt idx="105">
                  <c:v>-2.8559322033899297E-3</c:v>
                </c:pt>
                <c:pt idx="106">
                  <c:v>-3.5882352941177089E-3</c:v>
                </c:pt>
                <c:pt idx="107">
                  <c:v>-3.5499999999999404E-3</c:v>
                </c:pt>
                <c:pt idx="108">
                  <c:v>-3.5123966942148636E-3</c:v>
                </c:pt>
                <c:pt idx="109">
                  <c:v>-3.4754098360654426E-3</c:v>
                </c:pt>
                <c:pt idx="110">
                  <c:v>-3.4390243902439818E-3</c:v>
                </c:pt>
                <c:pt idx="111">
                  <c:v>-3.4032258064515745E-3</c:v>
                </c:pt>
                <c:pt idx="112">
                  <c:v>-3.3680000000000073E-3</c:v>
                </c:pt>
                <c:pt idx="113">
                  <c:v>-3.3333333333333856E-3</c:v>
                </c:pt>
                <c:pt idx="114">
                  <c:v>-3.2992125984251343E-3</c:v>
                </c:pt>
                <c:pt idx="115">
                  <c:v>-3.2656250000001395E-3</c:v>
                </c:pt>
                <c:pt idx="116">
                  <c:v>-3.2325581395349096E-3</c:v>
                </c:pt>
                <c:pt idx="117">
                  <c:v>-3.2000000000000695E-3</c:v>
                </c:pt>
                <c:pt idx="118">
                  <c:v>-3.1679389312976678E-3</c:v>
                </c:pt>
                <c:pt idx="119">
                  <c:v>-3.1363636363636377E-3</c:v>
                </c:pt>
                <c:pt idx="120">
                  <c:v>-3.1052631578946288E-3</c:v>
                </c:pt>
                <c:pt idx="121">
                  <c:v>-3.074626865671727E-3</c:v>
                </c:pt>
                <c:pt idx="122">
                  <c:v>-3.0444444444444217E-3</c:v>
                </c:pt>
                <c:pt idx="123">
                  <c:v>-3.0147058823529601E-3</c:v>
                </c:pt>
                <c:pt idx="124">
                  <c:v>-2.9854014598540749E-3</c:v>
                </c:pt>
                <c:pt idx="125">
                  <c:v>-2.9565217391303894E-3</c:v>
                </c:pt>
                <c:pt idx="126">
                  <c:v>-2.92805755395683E-3</c:v>
                </c:pt>
                <c:pt idx="127">
                  <c:v>-2.9000000000000358E-3</c:v>
                </c:pt>
                <c:pt idx="128">
                  <c:v>-2.8723404255319904E-3</c:v>
                </c:pt>
                <c:pt idx="129">
                  <c:v>-2.8450704225351842E-3</c:v>
                </c:pt>
                <c:pt idx="130">
                  <c:v>-2.8181818181818308E-3</c:v>
                </c:pt>
                <c:pt idx="131">
                  <c:v>-2.7916666666665782E-3</c:v>
                </c:pt>
                <c:pt idx="132">
                  <c:v>-2.7655172413792615E-3</c:v>
                </c:pt>
                <c:pt idx="133">
                  <c:v>-2.7397260273972503E-3</c:v>
                </c:pt>
                <c:pt idx="134">
                  <c:v>-2.7142857142857433E-3</c:v>
                </c:pt>
                <c:pt idx="135">
                  <c:v>-2.6891891891891195E-3</c:v>
                </c:pt>
                <c:pt idx="136">
                  <c:v>-2.6644295302013111E-3</c:v>
                </c:pt>
                <c:pt idx="137">
                  <c:v>-2.6400000000000069E-3</c:v>
                </c:pt>
                <c:pt idx="138">
                  <c:v>-2.6158940397351432E-3</c:v>
                </c:pt>
                <c:pt idx="139">
                  <c:v>-2.5921052631579758E-3</c:v>
                </c:pt>
                <c:pt idx="140">
                  <c:v>-2.5686274509803776E-3</c:v>
                </c:pt>
                <c:pt idx="141">
                  <c:v>-2.5454545454545677E-3</c:v>
                </c:pt>
                <c:pt idx="142">
                  <c:v>-2.5225806451612187E-3</c:v>
                </c:pt>
                <c:pt idx="143">
                  <c:v>-2.4999999999999654E-3</c:v>
                </c:pt>
                <c:pt idx="144">
                  <c:v>-2.477707006369428E-3</c:v>
                </c:pt>
                <c:pt idx="145">
                  <c:v>-2.4556962025316827E-3</c:v>
                </c:pt>
                <c:pt idx="146">
                  <c:v>-2.4339622641508891E-3</c:v>
                </c:pt>
                <c:pt idx="147">
                  <c:v>-2.4124999999999815E-3</c:v>
                </c:pt>
                <c:pt idx="148">
                  <c:v>-2.3913043478261038E-3</c:v>
                </c:pt>
                <c:pt idx="149">
                  <c:v>-2.9320987654320885E-3</c:v>
                </c:pt>
                <c:pt idx="150">
                  <c:v>-2.349693251533828E-3</c:v>
                </c:pt>
                <c:pt idx="151">
                  <c:v>-2.3292682926829233E-3</c:v>
                </c:pt>
                <c:pt idx="152">
                  <c:v>-2.3090909090909399E-3</c:v>
                </c:pt>
                <c:pt idx="153">
                  <c:v>-2.8373493975903659E-3</c:v>
                </c:pt>
                <c:pt idx="154">
                  <c:v>-2.2694610778442887E-3</c:v>
                </c:pt>
                <c:pt idx="155">
                  <c:v>-2.2500000000000111E-3</c:v>
                </c:pt>
                <c:pt idx="156">
                  <c:v>-2.2307692307692753E-3</c:v>
                </c:pt>
                <c:pt idx="157">
                  <c:v>-2.7470588235294306E-3</c:v>
                </c:pt>
                <c:pt idx="158">
                  <c:v>-2.1929824561403429E-3</c:v>
                </c:pt>
                <c:pt idx="159">
                  <c:v>-2.1744186046511881E-3</c:v>
                </c:pt>
                <c:pt idx="160">
                  <c:v>-2.1560693641617906E-3</c:v>
                </c:pt>
                <c:pt idx="161">
                  <c:v>-2.1379310344828485E-3</c:v>
                </c:pt>
                <c:pt idx="162">
                  <c:v>-2.1200000000000064E-3</c:v>
                </c:pt>
                <c:pt idx="163">
                  <c:v>-2.1022727272727655E-3</c:v>
                </c:pt>
                <c:pt idx="164">
                  <c:v>-2.0847457627118206E-3</c:v>
                </c:pt>
                <c:pt idx="165">
                  <c:v>-2.0674157303370668E-3</c:v>
                </c:pt>
                <c:pt idx="166">
                  <c:v>-2.0502793296088458E-3</c:v>
                </c:pt>
                <c:pt idx="167">
                  <c:v>-2.0333333333333843E-3</c:v>
                </c:pt>
                <c:pt idx="168">
                  <c:v>-2.0165745856353294E-3</c:v>
                </c:pt>
                <c:pt idx="169">
                  <c:v>-2.4999999999999467E-3</c:v>
                </c:pt>
                <c:pt idx="170">
                  <c:v>-2.4808743169399791E-3</c:v>
                </c:pt>
                <c:pt idx="171">
                  <c:v>-2.4619565217391393E-3</c:v>
                </c:pt>
                <c:pt idx="172">
                  <c:v>-2.4432432432431733E-3</c:v>
                </c:pt>
                <c:pt idx="173">
                  <c:v>-2.4247311827955515E-3</c:v>
                </c:pt>
                <c:pt idx="174">
                  <c:v>-2.4064171122994567E-3</c:v>
                </c:pt>
                <c:pt idx="175">
                  <c:v>-1.9042553191491185E-3</c:v>
                </c:pt>
                <c:pt idx="176">
                  <c:v>-2.3703703703704215E-3</c:v>
                </c:pt>
                <c:pt idx="177">
                  <c:v>-2.3526315789473428E-3</c:v>
                </c:pt>
                <c:pt idx="178">
                  <c:v>-2.3350785340315238E-3</c:v>
                </c:pt>
                <c:pt idx="179">
                  <c:v>-2.7916666666666485E-3</c:v>
                </c:pt>
                <c:pt idx="180">
                  <c:v>-2.3005181347149841E-3</c:v>
                </c:pt>
                <c:pt idx="181">
                  <c:v>-2.283505154639267E-3</c:v>
                </c:pt>
                <c:pt idx="182">
                  <c:v>-2.2666666666666837E-3</c:v>
                </c:pt>
                <c:pt idx="183">
                  <c:v>-2.7142857142856058E-3</c:v>
                </c:pt>
                <c:pt idx="184">
                  <c:v>-2.6954314720812416E-3</c:v>
                </c:pt>
                <c:pt idx="185">
                  <c:v>-2.6767676767676268E-3</c:v>
                </c:pt>
                <c:pt idx="186">
                  <c:v>-2.6582914572863092E-3</c:v>
                </c:pt>
                <c:pt idx="187">
                  <c:v>-3.0950000000001584E-3</c:v>
                </c:pt>
                <c:pt idx="188">
                  <c:v>-3.074626865671727E-3</c:v>
                </c:pt>
                <c:pt idx="189">
                  <c:v>-2.6039603960396666E-3</c:v>
                </c:pt>
                <c:pt idx="190">
                  <c:v>-3.034482758620631E-3</c:v>
                </c:pt>
                <c:pt idx="191">
                  <c:v>-3.0147058823530096E-3</c:v>
                </c:pt>
                <c:pt idx="192">
                  <c:v>-2.9951219512195093E-3</c:v>
                </c:pt>
                <c:pt idx="193">
                  <c:v>-2.9757281553397324E-3</c:v>
                </c:pt>
                <c:pt idx="194">
                  <c:v>-3.3961352657004866E-3</c:v>
                </c:pt>
                <c:pt idx="195">
                  <c:v>-3.3749999999999336E-3</c:v>
                </c:pt>
                <c:pt idx="196">
                  <c:v>-3.3540669856457978E-3</c:v>
                </c:pt>
                <c:pt idx="197">
                  <c:v>-3.3333333333333218E-3</c:v>
                </c:pt>
                <c:pt idx="198">
                  <c:v>-3.3127962085309163E-3</c:v>
                </c:pt>
                <c:pt idx="199">
                  <c:v>-3.7216981132075413E-3</c:v>
                </c:pt>
                <c:pt idx="200">
                  <c:v>-3.6995305164320407E-3</c:v>
                </c:pt>
                <c:pt idx="201">
                  <c:v>-3.6775700934579911E-3</c:v>
                </c:pt>
                <c:pt idx="202">
                  <c:v>-3.6558139534883516E-3</c:v>
                </c:pt>
                <c:pt idx="203">
                  <c:v>-4.0555555555556082E-3</c:v>
                </c:pt>
                <c:pt idx="204">
                  <c:v>-4.032258064516115E-3</c:v>
                </c:pt>
                <c:pt idx="205">
                  <c:v>-4.0091743119265244E-3</c:v>
                </c:pt>
                <c:pt idx="206">
                  <c:v>-3.986301369863051E-3</c:v>
                </c:pt>
                <c:pt idx="207">
                  <c:v>-3.963636363636335E-3</c:v>
                </c:pt>
                <c:pt idx="208">
                  <c:v>-4.3529411764704484E-3</c:v>
                </c:pt>
                <c:pt idx="209">
                  <c:v>-4.3288288288289879E-3</c:v>
                </c:pt>
                <c:pt idx="210">
                  <c:v>-4.304932735426102E-3</c:v>
                </c:pt>
                <c:pt idx="211">
                  <c:v>-4.2812500000000281E-3</c:v>
                </c:pt>
                <c:pt idx="212">
                  <c:v>-3.853333333333341E-3</c:v>
                </c:pt>
                <c:pt idx="213">
                  <c:v>-3.8318584070795893E-3</c:v>
                </c:pt>
                <c:pt idx="214">
                  <c:v>-3.8105726872247271E-3</c:v>
                </c:pt>
                <c:pt idx="215">
                  <c:v>-4.1885964912280202E-3</c:v>
                </c:pt>
                <c:pt idx="216">
                  <c:v>-3.7685589519649955E-3</c:v>
                </c:pt>
                <c:pt idx="217">
                  <c:v>-4.1434782608695646E-3</c:v>
                </c:pt>
                <c:pt idx="218">
                  <c:v>-4.1212121212120577E-3</c:v>
                </c:pt>
                <c:pt idx="219">
                  <c:v>-4.0991379310343573E-3</c:v>
                </c:pt>
                <c:pt idx="220">
                  <c:v>-3.6866952789698123E-3</c:v>
                </c:pt>
                <c:pt idx="221">
                  <c:v>-3.6666666666668054E-3</c:v>
                </c:pt>
                <c:pt idx="222">
                  <c:v>-4.0340425531915228E-3</c:v>
                </c:pt>
                <c:pt idx="223">
                  <c:v>-4.0127118644067514E-3</c:v>
                </c:pt>
                <c:pt idx="224">
                  <c:v>-3.6075949367088138E-3</c:v>
                </c:pt>
                <c:pt idx="225">
                  <c:v>-3.9705882352941372E-3</c:v>
                </c:pt>
                <c:pt idx="226">
                  <c:v>-3.9497907949790382E-3</c:v>
                </c:pt>
                <c:pt idx="227">
                  <c:v>-3.5499999999999404E-3</c:v>
                </c:pt>
                <c:pt idx="228">
                  <c:v>-3.9087136929460645E-3</c:v>
                </c:pt>
                <c:pt idx="229">
                  <c:v>-3.8884297520660619E-3</c:v>
                </c:pt>
                <c:pt idx="230">
                  <c:v>-3.8683127572015329E-3</c:v>
                </c:pt>
                <c:pt idx="231">
                  <c:v>-3.4754098360654426E-3</c:v>
                </c:pt>
                <c:pt idx="232">
                  <c:v>-3.828571428571527E-3</c:v>
                </c:pt>
                <c:pt idx="233">
                  <c:v>-3.8089430894309331E-3</c:v>
                </c:pt>
                <c:pt idx="234">
                  <c:v>-3.7894736842105062E-3</c:v>
                </c:pt>
                <c:pt idx="235">
                  <c:v>-3.770161290322665E-3</c:v>
                </c:pt>
                <c:pt idx="236">
                  <c:v>-3.7510040160642828E-3</c:v>
                </c:pt>
                <c:pt idx="237">
                  <c:v>-3.3680000000000073E-3</c:v>
                </c:pt>
                <c:pt idx="238">
                  <c:v>-3.7131474103584755E-3</c:v>
                </c:pt>
                <c:pt idx="239">
                  <c:v>-3.6944444444444572E-3</c:v>
                </c:pt>
                <c:pt idx="240">
                  <c:v>-3.6758893280631963E-3</c:v>
                </c:pt>
                <c:pt idx="241">
                  <c:v>-3.657480314960528E-3</c:v>
                </c:pt>
                <c:pt idx="242">
                  <c:v>-3.6392156862745098E-3</c:v>
                </c:pt>
                <c:pt idx="243">
                  <c:v>-3.6210937500001004E-3</c:v>
                </c:pt>
                <c:pt idx="244">
                  <c:v>-3.6031128404669698E-3</c:v>
                </c:pt>
                <c:pt idx="245">
                  <c:v>-3.5852713178294443E-3</c:v>
                </c:pt>
                <c:pt idx="246">
                  <c:v>-3.5675675675676546E-3</c:v>
                </c:pt>
                <c:pt idx="247">
                  <c:v>-3.550000000000031E-3</c:v>
                </c:pt>
                <c:pt idx="248">
                  <c:v>-3.5325670498084043E-3</c:v>
                </c:pt>
                <c:pt idx="249">
                  <c:v>-3.8625954198473638E-3</c:v>
                </c:pt>
                <c:pt idx="250">
                  <c:v>-3.4980988593156077E-3</c:v>
                </c:pt>
                <c:pt idx="251">
                  <c:v>-3.4810606060605691E-3</c:v>
                </c:pt>
                <c:pt idx="252">
                  <c:v>-3.4641509433961351E-3</c:v>
                </c:pt>
                <c:pt idx="253">
                  <c:v>-3.4473684210526378E-3</c:v>
                </c:pt>
                <c:pt idx="254">
                  <c:v>-3.4307116104868433E-3</c:v>
                </c:pt>
                <c:pt idx="255">
                  <c:v>-3.4141791044776599E-3</c:v>
                </c:pt>
                <c:pt idx="256">
                  <c:v>-3.7360594795540101E-3</c:v>
                </c:pt>
                <c:pt idx="257">
                  <c:v>-3.3814814814815712E-3</c:v>
                </c:pt>
                <c:pt idx="258">
                  <c:v>-3.365313653136567E-3</c:v>
                </c:pt>
                <c:pt idx="259">
                  <c:v>-3.349264705882335E-3</c:v>
                </c:pt>
                <c:pt idx="260">
                  <c:v>-3.6666666666667069E-3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6E-4E7B-9BC7-D7BB003A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919232"/>
        <c:axId val="918166128"/>
      </c:lineChart>
      <c:catAx>
        <c:axId val="113591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18166128"/>
        <c:crosses val="autoZero"/>
        <c:auto val="1"/>
        <c:lblAlgn val="ctr"/>
        <c:lblOffset val="100"/>
        <c:noMultiLvlLbl val="0"/>
      </c:catAx>
      <c:valAx>
        <c:axId val="918166128"/>
        <c:scaling>
          <c:orientation val="minMax"/>
          <c:max val="2.0000000000000004E-2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591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DAC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</a:t>
            </a:r>
            <a:r>
              <a:rPr lang="ko-KR" altLang="en-US" sz="2000" b="1" baseline="0">
                <a:solidFill>
                  <a:sysClr val="windowText" lastClr="000000"/>
                </a:solidFill>
              </a:rPr>
              <a:t>출력 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VS CODE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DAC전압편차!$D$17:$D$277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0.27400000000000002</c:v>
                </c:pt>
                <c:pt idx="13">
                  <c:v>0.28499999999999998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</c:v>
                </c:pt>
                <c:pt idx="30">
                  <c:v>0.47099999999999997</c:v>
                </c:pt>
                <c:pt idx="31">
                  <c:v>0.48199999999999998</c:v>
                </c:pt>
                <c:pt idx="32">
                  <c:v>0.49299999999999999</c:v>
                </c:pt>
                <c:pt idx="33">
                  <c:v>0.504</c:v>
                </c:pt>
                <c:pt idx="34">
                  <c:v>0.51500000000000001</c:v>
                </c:pt>
                <c:pt idx="35">
                  <c:v>0.52600000000000002</c:v>
                </c:pt>
                <c:pt idx="36">
                  <c:v>0.53700000000000003</c:v>
                </c:pt>
                <c:pt idx="37">
                  <c:v>0.54800000000000004</c:v>
                </c:pt>
                <c:pt idx="38">
                  <c:v>0.55800000000000005</c:v>
                </c:pt>
                <c:pt idx="39">
                  <c:v>0.56999999999999995</c:v>
                </c:pt>
                <c:pt idx="40">
                  <c:v>0.57999999999999996</c:v>
                </c:pt>
                <c:pt idx="41">
                  <c:v>0.59099999999999997</c:v>
                </c:pt>
                <c:pt idx="42">
                  <c:v>0.60199999999999998</c:v>
                </c:pt>
                <c:pt idx="43">
                  <c:v>0.61299999999999999</c:v>
                </c:pt>
                <c:pt idx="44">
                  <c:v>0.624</c:v>
                </c:pt>
                <c:pt idx="45">
                  <c:v>0.63500000000000001</c:v>
                </c:pt>
                <c:pt idx="46">
                  <c:v>0.64600000000000002</c:v>
                </c:pt>
                <c:pt idx="47">
                  <c:v>0.65700000000000003</c:v>
                </c:pt>
                <c:pt idx="48">
                  <c:v>0.66800000000000004</c:v>
                </c:pt>
                <c:pt idx="49">
                  <c:v>0.67900000000000005</c:v>
                </c:pt>
                <c:pt idx="50">
                  <c:v>0.69</c:v>
                </c:pt>
                <c:pt idx="51">
                  <c:v>0.70099999999999996</c:v>
                </c:pt>
                <c:pt idx="52">
                  <c:v>0.71199999999999997</c:v>
                </c:pt>
                <c:pt idx="53">
                  <c:v>0.72299999999999998</c:v>
                </c:pt>
                <c:pt idx="54">
                  <c:v>0.73399999999999999</c:v>
                </c:pt>
                <c:pt idx="55">
                  <c:v>0.74399999999999999</c:v>
                </c:pt>
                <c:pt idx="56">
                  <c:v>0.755</c:v>
                </c:pt>
                <c:pt idx="57">
                  <c:v>0.76600000000000001</c:v>
                </c:pt>
                <c:pt idx="58">
                  <c:v>0.77700000000000002</c:v>
                </c:pt>
                <c:pt idx="59">
                  <c:v>0.78800000000000003</c:v>
                </c:pt>
                <c:pt idx="60">
                  <c:v>0.79900000000000004</c:v>
                </c:pt>
                <c:pt idx="61">
                  <c:v>0.81</c:v>
                </c:pt>
                <c:pt idx="62">
                  <c:v>0.82099999999999995</c:v>
                </c:pt>
                <c:pt idx="63">
                  <c:v>0.83199999999999996</c:v>
                </c:pt>
                <c:pt idx="64">
                  <c:v>0.84299999999999997</c:v>
                </c:pt>
                <c:pt idx="65">
                  <c:v>0.85399999999999998</c:v>
                </c:pt>
                <c:pt idx="66">
                  <c:v>0.86499999999999999</c:v>
                </c:pt>
                <c:pt idx="67">
                  <c:v>0.876</c:v>
                </c:pt>
                <c:pt idx="68">
                  <c:v>0.88700000000000001</c:v>
                </c:pt>
                <c:pt idx="69">
                  <c:v>0.89800000000000002</c:v>
                </c:pt>
                <c:pt idx="70">
                  <c:v>0.90900000000000003</c:v>
                </c:pt>
                <c:pt idx="71">
                  <c:v>0.92</c:v>
                </c:pt>
                <c:pt idx="72">
                  <c:v>0.93100000000000005</c:v>
                </c:pt>
                <c:pt idx="73">
                  <c:v>0.94199999999999995</c:v>
                </c:pt>
                <c:pt idx="74">
                  <c:v>0.95299999999999996</c:v>
                </c:pt>
                <c:pt idx="75">
                  <c:v>0.96299999999999997</c:v>
                </c:pt>
                <c:pt idx="76">
                  <c:v>0.97399999999999998</c:v>
                </c:pt>
                <c:pt idx="77">
                  <c:v>0.98499999999999999</c:v>
                </c:pt>
                <c:pt idx="78">
                  <c:v>0.996</c:v>
                </c:pt>
                <c:pt idx="79">
                  <c:v>1.0069999999999999</c:v>
                </c:pt>
                <c:pt idx="80">
                  <c:v>1.018</c:v>
                </c:pt>
                <c:pt idx="81">
                  <c:v>1.0289999999999999</c:v>
                </c:pt>
                <c:pt idx="82">
                  <c:v>1.04</c:v>
                </c:pt>
                <c:pt idx="83">
                  <c:v>1.0509999999999999</c:v>
                </c:pt>
                <c:pt idx="84">
                  <c:v>1.0620000000000001</c:v>
                </c:pt>
                <c:pt idx="85">
                  <c:v>1.0720000000000001</c:v>
                </c:pt>
                <c:pt idx="86">
                  <c:v>1.0840000000000001</c:v>
                </c:pt>
                <c:pt idx="87">
                  <c:v>1.0940000000000001</c:v>
                </c:pt>
                <c:pt idx="88">
                  <c:v>1.105</c:v>
                </c:pt>
                <c:pt idx="89">
                  <c:v>1.1160000000000001</c:v>
                </c:pt>
                <c:pt idx="90">
                  <c:v>1.127</c:v>
                </c:pt>
                <c:pt idx="91">
                  <c:v>1.1379999999999999</c:v>
                </c:pt>
                <c:pt idx="92">
                  <c:v>1.149</c:v>
                </c:pt>
                <c:pt idx="93">
                  <c:v>1.1599999999999999</c:v>
                </c:pt>
                <c:pt idx="94">
                  <c:v>1.171</c:v>
                </c:pt>
                <c:pt idx="95">
                  <c:v>1.1819999999999999</c:v>
                </c:pt>
                <c:pt idx="96">
                  <c:v>1.1930000000000001</c:v>
                </c:pt>
                <c:pt idx="97">
                  <c:v>1.2030000000000001</c:v>
                </c:pt>
                <c:pt idx="98">
                  <c:v>1.214</c:v>
                </c:pt>
                <c:pt idx="99">
                  <c:v>1.2250000000000001</c:v>
                </c:pt>
                <c:pt idx="100">
                  <c:v>1.236</c:v>
                </c:pt>
                <c:pt idx="101">
                  <c:v>1.2470000000000001</c:v>
                </c:pt>
                <c:pt idx="102">
                  <c:v>1.258</c:v>
                </c:pt>
                <c:pt idx="103">
                  <c:v>1.2689999999999999</c:v>
                </c:pt>
                <c:pt idx="104">
                  <c:v>1.28</c:v>
                </c:pt>
                <c:pt idx="105">
                  <c:v>1.2909999999999999</c:v>
                </c:pt>
                <c:pt idx="106">
                  <c:v>1.302</c:v>
                </c:pt>
                <c:pt idx="107">
                  <c:v>1.3129999999999999</c:v>
                </c:pt>
                <c:pt idx="108">
                  <c:v>1.3240000000000001</c:v>
                </c:pt>
                <c:pt idx="109">
                  <c:v>1.335</c:v>
                </c:pt>
                <c:pt idx="110">
                  <c:v>1.345</c:v>
                </c:pt>
                <c:pt idx="111">
                  <c:v>1.357</c:v>
                </c:pt>
                <c:pt idx="112">
                  <c:v>1.3680000000000001</c:v>
                </c:pt>
                <c:pt idx="113">
                  <c:v>1.379</c:v>
                </c:pt>
                <c:pt idx="114">
                  <c:v>1.39</c:v>
                </c:pt>
                <c:pt idx="115">
                  <c:v>1.4</c:v>
                </c:pt>
                <c:pt idx="116">
                  <c:v>1.411</c:v>
                </c:pt>
                <c:pt idx="117">
                  <c:v>1.4219999999999999</c:v>
                </c:pt>
                <c:pt idx="118">
                  <c:v>1.4330000000000001</c:v>
                </c:pt>
                <c:pt idx="119">
                  <c:v>1.444</c:v>
                </c:pt>
                <c:pt idx="120">
                  <c:v>1.4550000000000001</c:v>
                </c:pt>
                <c:pt idx="121">
                  <c:v>1.466</c:v>
                </c:pt>
                <c:pt idx="122">
                  <c:v>1.4770000000000001</c:v>
                </c:pt>
                <c:pt idx="123">
                  <c:v>1.4870000000000001</c:v>
                </c:pt>
                <c:pt idx="124">
                  <c:v>1.498</c:v>
                </c:pt>
                <c:pt idx="125">
                  <c:v>1.51</c:v>
                </c:pt>
                <c:pt idx="126">
                  <c:v>1.5209999999999999</c:v>
                </c:pt>
                <c:pt idx="127">
                  <c:v>1.532</c:v>
                </c:pt>
                <c:pt idx="128">
                  <c:v>1.5429999999999999</c:v>
                </c:pt>
                <c:pt idx="129">
                  <c:v>1.554</c:v>
                </c:pt>
                <c:pt idx="130">
                  <c:v>1.5649999999999999</c:v>
                </c:pt>
                <c:pt idx="131">
                  <c:v>1.5760000000000001</c:v>
                </c:pt>
                <c:pt idx="132">
                  <c:v>1.5860000000000001</c:v>
                </c:pt>
                <c:pt idx="133">
                  <c:v>1.5980000000000001</c:v>
                </c:pt>
                <c:pt idx="134">
                  <c:v>1.6080000000000001</c:v>
                </c:pt>
                <c:pt idx="135">
                  <c:v>1.619</c:v>
                </c:pt>
                <c:pt idx="136">
                  <c:v>1.63</c:v>
                </c:pt>
                <c:pt idx="137">
                  <c:v>1.641</c:v>
                </c:pt>
                <c:pt idx="138">
                  <c:v>1.6519999999999999</c:v>
                </c:pt>
                <c:pt idx="139">
                  <c:v>1.663</c:v>
                </c:pt>
                <c:pt idx="140">
                  <c:v>1.673</c:v>
                </c:pt>
                <c:pt idx="141">
                  <c:v>1.6839999999999999</c:v>
                </c:pt>
                <c:pt idx="142">
                  <c:v>1.696</c:v>
                </c:pt>
                <c:pt idx="143">
                  <c:v>1.7070000000000001</c:v>
                </c:pt>
                <c:pt idx="144">
                  <c:v>1.7170000000000001</c:v>
                </c:pt>
                <c:pt idx="145">
                  <c:v>1.728</c:v>
                </c:pt>
                <c:pt idx="146">
                  <c:v>1.74</c:v>
                </c:pt>
                <c:pt idx="147">
                  <c:v>1.7509999999999999</c:v>
                </c:pt>
                <c:pt idx="148">
                  <c:v>1.7609999999999999</c:v>
                </c:pt>
                <c:pt idx="149">
                  <c:v>1.772</c:v>
                </c:pt>
                <c:pt idx="150">
                  <c:v>1.784</c:v>
                </c:pt>
                <c:pt idx="151">
                  <c:v>1.794</c:v>
                </c:pt>
                <c:pt idx="152">
                  <c:v>1.8049999999999999</c:v>
                </c:pt>
                <c:pt idx="153">
                  <c:v>1.8160000000000001</c:v>
                </c:pt>
                <c:pt idx="154">
                  <c:v>1.827</c:v>
                </c:pt>
                <c:pt idx="155">
                  <c:v>1.8380000000000001</c:v>
                </c:pt>
                <c:pt idx="156">
                  <c:v>1.849</c:v>
                </c:pt>
                <c:pt idx="157">
                  <c:v>1.86</c:v>
                </c:pt>
                <c:pt idx="158">
                  <c:v>1.871</c:v>
                </c:pt>
                <c:pt idx="159">
                  <c:v>1.8819999999999999</c:v>
                </c:pt>
                <c:pt idx="160">
                  <c:v>1.893</c:v>
                </c:pt>
                <c:pt idx="161">
                  <c:v>1.9039999999999999</c:v>
                </c:pt>
                <c:pt idx="162">
                  <c:v>1.9139999999999999</c:v>
                </c:pt>
                <c:pt idx="163">
                  <c:v>1.9259999999999999</c:v>
                </c:pt>
                <c:pt idx="164">
                  <c:v>1.9359999999999999</c:v>
                </c:pt>
                <c:pt idx="165">
                  <c:v>1.9470000000000001</c:v>
                </c:pt>
                <c:pt idx="166">
                  <c:v>1.958</c:v>
                </c:pt>
                <c:pt idx="167">
                  <c:v>1.97</c:v>
                </c:pt>
                <c:pt idx="168">
                  <c:v>1.98</c:v>
                </c:pt>
                <c:pt idx="169">
                  <c:v>1.9910000000000001</c:v>
                </c:pt>
                <c:pt idx="170">
                  <c:v>2.0019999999999998</c:v>
                </c:pt>
                <c:pt idx="171">
                  <c:v>2.0129999999999999</c:v>
                </c:pt>
                <c:pt idx="172">
                  <c:v>2.0249999999999999</c:v>
                </c:pt>
                <c:pt idx="173">
                  <c:v>2.0350000000000001</c:v>
                </c:pt>
                <c:pt idx="174">
                  <c:v>2.0459999999999998</c:v>
                </c:pt>
                <c:pt idx="175">
                  <c:v>2.0569999999999999</c:v>
                </c:pt>
                <c:pt idx="176">
                  <c:v>2.0680000000000001</c:v>
                </c:pt>
                <c:pt idx="177">
                  <c:v>2.08</c:v>
                </c:pt>
                <c:pt idx="178">
                  <c:v>2.09</c:v>
                </c:pt>
                <c:pt idx="179">
                  <c:v>2.101</c:v>
                </c:pt>
                <c:pt idx="180">
                  <c:v>2.1120000000000001</c:v>
                </c:pt>
                <c:pt idx="181">
                  <c:v>2.1230000000000002</c:v>
                </c:pt>
                <c:pt idx="182">
                  <c:v>2.1339999999999999</c:v>
                </c:pt>
                <c:pt idx="183">
                  <c:v>2.145</c:v>
                </c:pt>
                <c:pt idx="184">
                  <c:v>2.1560000000000001</c:v>
                </c:pt>
                <c:pt idx="185">
                  <c:v>2.1669999999999998</c:v>
                </c:pt>
                <c:pt idx="186">
                  <c:v>2.1779999999999999</c:v>
                </c:pt>
                <c:pt idx="187">
                  <c:v>2.1880000000000002</c:v>
                </c:pt>
                <c:pt idx="188">
                  <c:v>2.1989999999999998</c:v>
                </c:pt>
                <c:pt idx="189">
                  <c:v>2.2109999999999999</c:v>
                </c:pt>
                <c:pt idx="190">
                  <c:v>2.222</c:v>
                </c:pt>
                <c:pt idx="191">
                  <c:v>2.2330000000000001</c:v>
                </c:pt>
                <c:pt idx="192">
                  <c:v>2.2440000000000002</c:v>
                </c:pt>
                <c:pt idx="193">
                  <c:v>2.2549999999999999</c:v>
                </c:pt>
                <c:pt idx="194">
                  <c:v>2.266</c:v>
                </c:pt>
                <c:pt idx="195">
                  <c:v>2.2770000000000001</c:v>
                </c:pt>
                <c:pt idx="196">
                  <c:v>2.2869999999999999</c:v>
                </c:pt>
                <c:pt idx="197">
                  <c:v>2.2989999999999999</c:v>
                </c:pt>
                <c:pt idx="198">
                  <c:v>2.31</c:v>
                </c:pt>
                <c:pt idx="199">
                  <c:v>2.3220000000000001</c:v>
                </c:pt>
                <c:pt idx="200">
                  <c:v>2.3319999999999999</c:v>
                </c:pt>
                <c:pt idx="201">
                  <c:v>2.343</c:v>
                </c:pt>
                <c:pt idx="202">
                  <c:v>2.355</c:v>
                </c:pt>
                <c:pt idx="203">
                  <c:v>2.3660000000000001</c:v>
                </c:pt>
                <c:pt idx="204">
                  <c:v>2.3759999999999999</c:v>
                </c:pt>
                <c:pt idx="205">
                  <c:v>2.387</c:v>
                </c:pt>
                <c:pt idx="206">
                  <c:v>2.399</c:v>
                </c:pt>
                <c:pt idx="207">
                  <c:v>2.4089999999999998</c:v>
                </c:pt>
                <c:pt idx="208">
                  <c:v>2.42</c:v>
                </c:pt>
                <c:pt idx="209">
                  <c:v>2.4319999999999999</c:v>
                </c:pt>
                <c:pt idx="210">
                  <c:v>2.4430000000000001</c:v>
                </c:pt>
                <c:pt idx="211">
                  <c:v>2.4540000000000002</c:v>
                </c:pt>
                <c:pt idx="212">
                  <c:v>2.464</c:v>
                </c:pt>
                <c:pt idx="213">
                  <c:v>2.4750000000000001</c:v>
                </c:pt>
                <c:pt idx="214">
                  <c:v>2.4870000000000001</c:v>
                </c:pt>
                <c:pt idx="215">
                  <c:v>2.4980000000000002</c:v>
                </c:pt>
                <c:pt idx="216">
                  <c:v>2.5089999999999999</c:v>
                </c:pt>
                <c:pt idx="217">
                  <c:v>2.5190000000000001</c:v>
                </c:pt>
                <c:pt idx="218">
                  <c:v>2.5299999999999998</c:v>
                </c:pt>
                <c:pt idx="219">
                  <c:v>2.5419999999999998</c:v>
                </c:pt>
                <c:pt idx="220">
                  <c:v>2.552</c:v>
                </c:pt>
                <c:pt idx="221">
                  <c:v>2.5630000000000002</c:v>
                </c:pt>
                <c:pt idx="222">
                  <c:v>2.5739999999999998</c:v>
                </c:pt>
                <c:pt idx="223">
                  <c:v>2.585</c:v>
                </c:pt>
                <c:pt idx="224">
                  <c:v>2.5960000000000001</c:v>
                </c:pt>
                <c:pt idx="225">
                  <c:v>2.6070000000000002</c:v>
                </c:pt>
                <c:pt idx="226">
                  <c:v>2.6179999999999999</c:v>
                </c:pt>
                <c:pt idx="227">
                  <c:v>2.629</c:v>
                </c:pt>
                <c:pt idx="228">
                  <c:v>2.64</c:v>
                </c:pt>
                <c:pt idx="229">
                  <c:v>2.6509999999999998</c:v>
                </c:pt>
                <c:pt idx="230">
                  <c:v>2.6619999999999999</c:v>
                </c:pt>
                <c:pt idx="231">
                  <c:v>2.673</c:v>
                </c:pt>
                <c:pt idx="232">
                  <c:v>2.6840000000000002</c:v>
                </c:pt>
                <c:pt idx="233">
                  <c:v>2.6949999999999998</c:v>
                </c:pt>
                <c:pt idx="234">
                  <c:v>2.706</c:v>
                </c:pt>
                <c:pt idx="235">
                  <c:v>2.7160000000000002</c:v>
                </c:pt>
                <c:pt idx="236">
                  <c:v>2.7280000000000002</c:v>
                </c:pt>
                <c:pt idx="237">
                  <c:v>2.738</c:v>
                </c:pt>
                <c:pt idx="238">
                  <c:v>2.7490000000000001</c:v>
                </c:pt>
                <c:pt idx="239">
                  <c:v>2.7589999999999999</c:v>
                </c:pt>
                <c:pt idx="240">
                  <c:v>2.7709999999999999</c:v>
                </c:pt>
                <c:pt idx="241">
                  <c:v>2.782</c:v>
                </c:pt>
                <c:pt idx="242">
                  <c:v>2.794</c:v>
                </c:pt>
                <c:pt idx="243">
                  <c:v>2.8039999999999998</c:v>
                </c:pt>
                <c:pt idx="244">
                  <c:v>2.8159999999999998</c:v>
                </c:pt>
                <c:pt idx="245">
                  <c:v>2.827</c:v>
                </c:pt>
                <c:pt idx="246">
                  <c:v>2.8370000000000002</c:v>
                </c:pt>
                <c:pt idx="247">
                  <c:v>2.8479999999999999</c:v>
                </c:pt>
                <c:pt idx="248">
                  <c:v>2.859</c:v>
                </c:pt>
                <c:pt idx="249">
                  <c:v>2.87</c:v>
                </c:pt>
                <c:pt idx="250">
                  <c:v>2.8809999999999998</c:v>
                </c:pt>
                <c:pt idx="251">
                  <c:v>2.8919999999999999</c:v>
                </c:pt>
                <c:pt idx="252">
                  <c:v>2.9020000000000001</c:v>
                </c:pt>
                <c:pt idx="253">
                  <c:v>2.9129999999999998</c:v>
                </c:pt>
                <c:pt idx="254">
                  <c:v>2.9249999999999998</c:v>
                </c:pt>
                <c:pt idx="255">
                  <c:v>2.9359999999999999</c:v>
                </c:pt>
                <c:pt idx="256">
                  <c:v>2.9460000000000002</c:v>
                </c:pt>
                <c:pt idx="257">
                  <c:v>2.9569999999999999</c:v>
                </c:pt>
                <c:pt idx="258">
                  <c:v>2.9689999999999999</c:v>
                </c:pt>
                <c:pt idx="259">
                  <c:v>2.98</c:v>
                </c:pt>
                <c:pt idx="260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6-432C-A199-93B67212CB0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DAC전압편차!$E$17:$E$277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0.28599999999999998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</c:v>
                </c:pt>
                <c:pt idx="30">
                  <c:v>0.47099999999999997</c:v>
                </c:pt>
                <c:pt idx="31">
                  <c:v>0.48199999999999998</c:v>
                </c:pt>
                <c:pt idx="32">
                  <c:v>0.49299999999999999</c:v>
                </c:pt>
                <c:pt idx="33">
                  <c:v>0.504</c:v>
                </c:pt>
                <c:pt idx="34">
                  <c:v>0.51500000000000001</c:v>
                </c:pt>
                <c:pt idx="35">
                  <c:v>0.52600000000000002</c:v>
                </c:pt>
                <c:pt idx="36">
                  <c:v>0.53700000000000003</c:v>
                </c:pt>
                <c:pt idx="37">
                  <c:v>0.54800000000000004</c:v>
                </c:pt>
                <c:pt idx="38">
                  <c:v>0.55800000000000005</c:v>
                </c:pt>
                <c:pt idx="39">
                  <c:v>0.56999999999999995</c:v>
                </c:pt>
                <c:pt idx="40">
                  <c:v>0.57999999999999996</c:v>
                </c:pt>
                <c:pt idx="41">
                  <c:v>0.59099999999999997</c:v>
                </c:pt>
                <c:pt idx="42">
                  <c:v>0.60199999999999998</c:v>
                </c:pt>
                <c:pt idx="43">
                  <c:v>0.61299999999999999</c:v>
                </c:pt>
                <c:pt idx="44">
                  <c:v>0.624</c:v>
                </c:pt>
                <c:pt idx="45">
                  <c:v>0.63500000000000001</c:v>
                </c:pt>
                <c:pt idx="46">
                  <c:v>0.64600000000000002</c:v>
                </c:pt>
                <c:pt idx="47">
                  <c:v>0.65700000000000003</c:v>
                </c:pt>
                <c:pt idx="48">
                  <c:v>0.66800000000000004</c:v>
                </c:pt>
                <c:pt idx="49">
                  <c:v>0.67800000000000005</c:v>
                </c:pt>
                <c:pt idx="50">
                  <c:v>0.68899999999999995</c:v>
                </c:pt>
                <c:pt idx="51">
                  <c:v>0.7</c:v>
                </c:pt>
                <c:pt idx="52">
                  <c:v>0.71099999999999997</c:v>
                </c:pt>
                <c:pt idx="53">
                  <c:v>0.72199999999999998</c:v>
                </c:pt>
                <c:pt idx="54">
                  <c:v>0.73299999999999998</c:v>
                </c:pt>
                <c:pt idx="55">
                  <c:v>0.74399999999999999</c:v>
                </c:pt>
                <c:pt idx="56">
                  <c:v>0.755</c:v>
                </c:pt>
                <c:pt idx="57">
                  <c:v>0.76600000000000001</c:v>
                </c:pt>
                <c:pt idx="58">
                  <c:v>0.77700000000000002</c:v>
                </c:pt>
                <c:pt idx="59">
                  <c:v>0.78800000000000003</c:v>
                </c:pt>
                <c:pt idx="60">
                  <c:v>0.79900000000000004</c:v>
                </c:pt>
                <c:pt idx="61">
                  <c:v>0.81</c:v>
                </c:pt>
                <c:pt idx="62">
                  <c:v>0.82</c:v>
                </c:pt>
                <c:pt idx="63">
                  <c:v>0.83099999999999996</c:v>
                </c:pt>
                <c:pt idx="64">
                  <c:v>0.84199999999999997</c:v>
                </c:pt>
                <c:pt idx="65">
                  <c:v>0.85299999999999998</c:v>
                </c:pt>
                <c:pt idx="66">
                  <c:v>0.86399999999999999</c:v>
                </c:pt>
                <c:pt idx="67">
                  <c:v>0.875</c:v>
                </c:pt>
                <c:pt idx="68">
                  <c:v>0.88600000000000001</c:v>
                </c:pt>
                <c:pt idx="69">
                  <c:v>0.89700000000000002</c:v>
                </c:pt>
                <c:pt idx="70">
                  <c:v>0.90800000000000003</c:v>
                </c:pt>
                <c:pt idx="71">
                  <c:v>0.91900000000000004</c:v>
                </c:pt>
                <c:pt idx="72">
                  <c:v>0.93</c:v>
                </c:pt>
                <c:pt idx="73">
                  <c:v>0.94099999999999995</c:v>
                </c:pt>
                <c:pt idx="74">
                  <c:v>0.95199999999999996</c:v>
                </c:pt>
                <c:pt idx="75">
                  <c:v>0.96199999999999997</c:v>
                </c:pt>
                <c:pt idx="76">
                  <c:v>0.97299999999999998</c:v>
                </c:pt>
                <c:pt idx="77">
                  <c:v>0.98399999999999999</c:v>
                </c:pt>
                <c:pt idx="78">
                  <c:v>0.995</c:v>
                </c:pt>
                <c:pt idx="79">
                  <c:v>1.006</c:v>
                </c:pt>
                <c:pt idx="80">
                  <c:v>1.0169999999999999</c:v>
                </c:pt>
                <c:pt idx="81">
                  <c:v>1.028</c:v>
                </c:pt>
                <c:pt idx="82">
                  <c:v>1.0389999999999999</c:v>
                </c:pt>
                <c:pt idx="83">
                  <c:v>1.05</c:v>
                </c:pt>
                <c:pt idx="84">
                  <c:v>1.0609999999999999</c:v>
                </c:pt>
                <c:pt idx="85">
                  <c:v>1.0720000000000001</c:v>
                </c:pt>
                <c:pt idx="86">
                  <c:v>1.083</c:v>
                </c:pt>
                <c:pt idx="87">
                  <c:v>1.0940000000000001</c:v>
                </c:pt>
                <c:pt idx="88">
                  <c:v>1.105</c:v>
                </c:pt>
                <c:pt idx="89">
                  <c:v>1.115</c:v>
                </c:pt>
                <c:pt idx="90">
                  <c:v>1.127</c:v>
                </c:pt>
                <c:pt idx="91">
                  <c:v>1.1379999999999999</c:v>
                </c:pt>
                <c:pt idx="92">
                  <c:v>1.1479999999999999</c:v>
                </c:pt>
                <c:pt idx="93">
                  <c:v>1.159</c:v>
                </c:pt>
                <c:pt idx="94">
                  <c:v>1.17</c:v>
                </c:pt>
                <c:pt idx="95">
                  <c:v>1.181</c:v>
                </c:pt>
                <c:pt idx="96">
                  <c:v>1.1919999999999999</c:v>
                </c:pt>
                <c:pt idx="97">
                  <c:v>1.2030000000000001</c:v>
                </c:pt>
                <c:pt idx="98">
                  <c:v>1.214</c:v>
                </c:pt>
                <c:pt idx="99">
                  <c:v>1.2250000000000001</c:v>
                </c:pt>
                <c:pt idx="100">
                  <c:v>1.236</c:v>
                </c:pt>
                <c:pt idx="101">
                  <c:v>1.2470000000000001</c:v>
                </c:pt>
                <c:pt idx="102">
                  <c:v>1.2569999999999999</c:v>
                </c:pt>
                <c:pt idx="103">
                  <c:v>1.2689999999999999</c:v>
                </c:pt>
                <c:pt idx="104">
                  <c:v>1.2789999999999999</c:v>
                </c:pt>
                <c:pt idx="105">
                  <c:v>1.29</c:v>
                </c:pt>
                <c:pt idx="106">
                  <c:v>1.3009999999999999</c:v>
                </c:pt>
                <c:pt idx="107">
                  <c:v>1.3120000000000001</c:v>
                </c:pt>
                <c:pt idx="108">
                  <c:v>1.323</c:v>
                </c:pt>
                <c:pt idx="109">
                  <c:v>1.3340000000000001</c:v>
                </c:pt>
                <c:pt idx="110">
                  <c:v>1.345</c:v>
                </c:pt>
                <c:pt idx="111">
                  <c:v>1.3560000000000001</c:v>
                </c:pt>
                <c:pt idx="112">
                  <c:v>1.367</c:v>
                </c:pt>
                <c:pt idx="113">
                  <c:v>1.3779999999999999</c:v>
                </c:pt>
                <c:pt idx="114">
                  <c:v>1.389</c:v>
                </c:pt>
                <c:pt idx="115">
                  <c:v>1.399</c:v>
                </c:pt>
                <c:pt idx="116">
                  <c:v>1.41</c:v>
                </c:pt>
                <c:pt idx="117">
                  <c:v>1.421</c:v>
                </c:pt>
                <c:pt idx="118">
                  <c:v>1.4319999999999999</c:v>
                </c:pt>
                <c:pt idx="119">
                  <c:v>1.4430000000000001</c:v>
                </c:pt>
                <c:pt idx="120">
                  <c:v>1.454</c:v>
                </c:pt>
                <c:pt idx="121">
                  <c:v>1.4650000000000001</c:v>
                </c:pt>
                <c:pt idx="122">
                  <c:v>1.476</c:v>
                </c:pt>
                <c:pt idx="123">
                  <c:v>1.4870000000000001</c:v>
                </c:pt>
                <c:pt idx="124">
                  <c:v>1.498</c:v>
                </c:pt>
                <c:pt idx="125">
                  <c:v>1.5089999999999999</c:v>
                </c:pt>
                <c:pt idx="126">
                  <c:v>1.52</c:v>
                </c:pt>
                <c:pt idx="127">
                  <c:v>1.5309999999999999</c:v>
                </c:pt>
                <c:pt idx="128">
                  <c:v>1.542</c:v>
                </c:pt>
                <c:pt idx="129">
                  <c:v>1.5529999999999999</c:v>
                </c:pt>
                <c:pt idx="130">
                  <c:v>1.5640000000000001</c:v>
                </c:pt>
                <c:pt idx="131">
                  <c:v>1.5740000000000001</c:v>
                </c:pt>
                <c:pt idx="132">
                  <c:v>1.585</c:v>
                </c:pt>
                <c:pt idx="133">
                  <c:v>1.597</c:v>
                </c:pt>
                <c:pt idx="134">
                  <c:v>1.607</c:v>
                </c:pt>
                <c:pt idx="135">
                  <c:v>1.6180000000000001</c:v>
                </c:pt>
                <c:pt idx="136">
                  <c:v>1.629</c:v>
                </c:pt>
                <c:pt idx="137">
                  <c:v>1.64</c:v>
                </c:pt>
                <c:pt idx="138">
                  <c:v>1.651</c:v>
                </c:pt>
                <c:pt idx="139">
                  <c:v>1.6619999999999999</c:v>
                </c:pt>
                <c:pt idx="140">
                  <c:v>1.673</c:v>
                </c:pt>
                <c:pt idx="141">
                  <c:v>1.6839999999999999</c:v>
                </c:pt>
                <c:pt idx="142">
                  <c:v>1.6950000000000001</c:v>
                </c:pt>
                <c:pt idx="143">
                  <c:v>1.706</c:v>
                </c:pt>
                <c:pt idx="144">
                  <c:v>1.716</c:v>
                </c:pt>
                <c:pt idx="145">
                  <c:v>1.7270000000000001</c:v>
                </c:pt>
                <c:pt idx="146">
                  <c:v>1.7390000000000001</c:v>
                </c:pt>
                <c:pt idx="147">
                  <c:v>1.75</c:v>
                </c:pt>
                <c:pt idx="148">
                  <c:v>1.76</c:v>
                </c:pt>
                <c:pt idx="149">
                  <c:v>1.7709999999999999</c:v>
                </c:pt>
                <c:pt idx="150">
                  <c:v>1.7829999999999999</c:v>
                </c:pt>
                <c:pt idx="151">
                  <c:v>1.7929999999999999</c:v>
                </c:pt>
                <c:pt idx="152">
                  <c:v>1.804</c:v>
                </c:pt>
                <c:pt idx="153">
                  <c:v>1.8149999999999999</c:v>
                </c:pt>
                <c:pt idx="154">
                  <c:v>1.8260000000000001</c:v>
                </c:pt>
                <c:pt idx="155">
                  <c:v>1.837</c:v>
                </c:pt>
                <c:pt idx="156">
                  <c:v>1.8480000000000001</c:v>
                </c:pt>
                <c:pt idx="157">
                  <c:v>1.859</c:v>
                </c:pt>
                <c:pt idx="158">
                  <c:v>1.869</c:v>
                </c:pt>
                <c:pt idx="159">
                  <c:v>1.881</c:v>
                </c:pt>
                <c:pt idx="160">
                  <c:v>1.8919999999999999</c:v>
                </c:pt>
                <c:pt idx="161">
                  <c:v>1.903</c:v>
                </c:pt>
                <c:pt idx="162">
                  <c:v>1.913</c:v>
                </c:pt>
                <c:pt idx="163">
                  <c:v>1.9239999999999999</c:v>
                </c:pt>
                <c:pt idx="164">
                  <c:v>1.9350000000000001</c:v>
                </c:pt>
                <c:pt idx="165">
                  <c:v>1.946</c:v>
                </c:pt>
                <c:pt idx="166">
                  <c:v>1.9570000000000001</c:v>
                </c:pt>
                <c:pt idx="167">
                  <c:v>1.9690000000000001</c:v>
                </c:pt>
                <c:pt idx="168">
                  <c:v>1.9790000000000001</c:v>
                </c:pt>
                <c:pt idx="169">
                  <c:v>1.99</c:v>
                </c:pt>
                <c:pt idx="170">
                  <c:v>2.0009999999999999</c:v>
                </c:pt>
                <c:pt idx="171">
                  <c:v>2.012</c:v>
                </c:pt>
                <c:pt idx="172">
                  <c:v>2.0230000000000001</c:v>
                </c:pt>
                <c:pt idx="173">
                  <c:v>2.0339999999999998</c:v>
                </c:pt>
                <c:pt idx="174">
                  <c:v>2.0449999999999999</c:v>
                </c:pt>
                <c:pt idx="175">
                  <c:v>2.0550000000000002</c:v>
                </c:pt>
                <c:pt idx="176">
                  <c:v>2.0670000000000002</c:v>
                </c:pt>
                <c:pt idx="177">
                  <c:v>2.077</c:v>
                </c:pt>
                <c:pt idx="178">
                  <c:v>2.0880000000000001</c:v>
                </c:pt>
                <c:pt idx="179">
                  <c:v>2.0990000000000002</c:v>
                </c:pt>
                <c:pt idx="180">
                  <c:v>2.11</c:v>
                </c:pt>
                <c:pt idx="181">
                  <c:v>2.12</c:v>
                </c:pt>
                <c:pt idx="182">
                  <c:v>2.1309999999999998</c:v>
                </c:pt>
                <c:pt idx="183">
                  <c:v>2.1429999999999998</c:v>
                </c:pt>
                <c:pt idx="184">
                  <c:v>2.153</c:v>
                </c:pt>
                <c:pt idx="185">
                  <c:v>2.1640000000000001</c:v>
                </c:pt>
                <c:pt idx="186">
                  <c:v>2.1749999999999998</c:v>
                </c:pt>
                <c:pt idx="187">
                  <c:v>2.1859999999999999</c:v>
                </c:pt>
                <c:pt idx="188">
                  <c:v>2.1970000000000001</c:v>
                </c:pt>
                <c:pt idx="189">
                  <c:v>2.2080000000000002</c:v>
                </c:pt>
                <c:pt idx="190">
                  <c:v>2.2189999999999999</c:v>
                </c:pt>
                <c:pt idx="191">
                  <c:v>2.23</c:v>
                </c:pt>
                <c:pt idx="192">
                  <c:v>2.2410000000000001</c:v>
                </c:pt>
                <c:pt idx="193">
                  <c:v>2.2519999999999998</c:v>
                </c:pt>
                <c:pt idx="194">
                  <c:v>2.262</c:v>
                </c:pt>
                <c:pt idx="195">
                  <c:v>2.2730000000000001</c:v>
                </c:pt>
                <c:pt idx="196">
                  <c:v>2.2839999999999998</c:v>
                </c:pt>
                <c:pt idx="197">
                  <c:v>2.2949999999999999</c:v>
                </c:pt>
                <c:pt idx="198">
                  <c:v>2.306</c:v>
                </c:pt>
                <c:pt idx="199">
                  <c:v>2.3170000000000002</c:v>
                </c:pt>
                <c:pt idx="200">
                  <c:v>2.3279999999999998</c:v>
                </c:pt>
                <c:pt idx="201">
                  <c:v>2.339</c:v>
                </c:pt>
                <c:pt idx="202">
                  <c:v>2.35</c:v>
                </c:pt>
                <c:pt idx="203">
                  <c:v>2.36</c:v>
                </c:pt>
                <c:pt idx="204">
                  <c:v>2.371</c:v>
                </c:pt>
                <c:pt idx="205">
                  <c:v>2.3820000000000001</c:v>
                </c:pt>
                <c:pt idx="206">
                  <c:v>2.3929999999999998</c:v>
                </c:pt>
                <c:pt idx="207">
                  <c:v>2.4039999999999999</c:v>
                </c:pt>
                <c:pt idx="208">
                  <c:v>2.4159999999999999</c:v>
                </c:pt>
                <c:pt idx="209">
                  <c:v>2.4260000000000002</c:v>
                </c:pt>
                <c:pt idx="210">
                  <c:v>2.4369999999999998</c:v>
                </c:pt>
                <c:pt idx="211">
                  <c:v>2.448</c:v>
                </c:pt>
                <c:pt idx="212">
                  <c:v>2.4590000000000001</c:v>
                </c:pt>
                <c:pt idx="213">
                  <c:v>2.4700000000000002</c:v>
                </c:pt>
                <c:pt idx="214">
                  <c:v>2.4809999999999999</c:v>
                </c:pt>
                <c:pt idx="215">
                  <c:v>2.492</c:v>
                </c:pt>
                <c:pt idx="216">
                  <c:v>2.5019999999999998</c:v>
                </c:pt>
                <c:pt idx="217">
                  <c:v>2.5129999999999999</c:v>
                </c:pt>
                <c:pt idx="218">
                  <c:v>2.524</c:v>
                </c:pt>
                <c:pt idx="219">
                  <c:v>2.536</c:v>
                </c:pt>
                <c:pt idx="220">
                  <c:v>2.5459999999999998</c:v>
                </c:pt>
                <c:pt idx="221">
                  <c:v>2.5569999999999999</c:v>
                </c:pt>
                <c:pt idx="222">
                  <c:v>2.5680000000000001</c:v>
                </c:pt>
                <c:pt idx="223">
                  <c:v>2.58</c:v>
                </c:pt>
                <c:pt idx="224">
                  <c:v>2.5910000000000002</c:v>
                </c:pt>
                <c:pt idx="225">
                  <c:v>2.601</c:v>
                </c:pt>
                <c:pt idx="226">
                  <c:v>2.6120000000000001</c:v>
                </c:pt>
                <c:pt idx="227">
                  <c:v>2.6230000000000002</c:v>
                </c:pt>
                <c:pt idx="228">
                  <c:v>2.6339999999999999</c:v>
                </c:pt>
                <c:pt idx="229">
                  <c:v>2.645</c:v>
                </c:pt>
                <c:pt idx="230">
                  <c:v>2.6560000000000001</c:v>
                </c:pt>
                <c:pt idx="231">
                  <c:v>2.6669999999999998</c:v>
                </c:pt>
                <c:pt idx="232">
                  <c:v>2.6779999999999999</c:v>
                </c:pt>
                <c:pt idx="233">
                  <c:v>2.6890000000000001</c:v>
                </c:pt>
                <c:pt idx="234">
                  <c:v>2.7</c:v>
                </c:pt>
                <c:pt idx="235">
                  <c:v>2.7109999999999999</c:v>
                </c:pt>
                <c:pt idx="236">
                  <c:v>2.722</c:v>
                </c:pt>
                <c:pt idx="237">
                  <c:v>2.7330000000000001</c:v>
                </c:pt>
                <c:pt idx="238">
                  <c:v>2.7429999999999999</c:v>
                </c:pt>
                <c:pt idx="239">
                  <c:v>2.754</c:v>
                </c:pt>
                <c:pt idx="240">
                  <c:v>2.766</c:v>
                </c:pt>
                <c:pt idx="241">
                  <c:v>2.7770000000000001</c:v>
                </c:pt>
                <c:pt idx="242">
                  <c:v>2.7869999999999999</c:v>
                </c:pt>
                <c:pt idx="243">
                  <c:v>2.7989999999999999</c:v>
                </c:pt>
                <c:pt idx="244">
                  <c:v>2.81</c:v>
                </c:pt>
                <c:pt idx="245">
                  <c:v>2.8210000000000002</c:v>
                </c:pt>
                <c:pt idx="246">
                  <c:v>2.8319999999999999</c:v>
                </c:pt>
                <c:pt idx="247">
                  <c:v>2.843</c:v>
                </c:pt>
                <c:pt idx="248">
                  <c:v>2.8530000000000002</c:v>
                </c:pt>
                <c:pt idx="249">
                  <c:v>2.8639999999999999</c:v>
                </c:pt>
                <c:pt idx="250">
                  <c:v>2.8759999999999999</c:v>
                </c:pt>
                <c:pt idx="251">
                  <c:v>2.8860000000000001</c:v>
                </c:pt>
                <c:pt idx="252">
                  <c:v>2.8969999999999998</c:v>
                </c:pt>
                <c:pt idx="253">
                  <c:v>2.9089999999999998</c:v>
                </c:pt>
                <c:pt idx="254">
                  <c:v>2.919</c:v>
                </c:pt>
                <c:pt idx="255">
                  <c:v>2.9289999999999998</c:v>
                </c:pt>
                <c:pt idx="256">
                  <c:v>2.94</c:v>
                </c:pt>
                <c:pt idx="257">
                  <c:v>2.952</c:v>
                </c:pt>
                <c:pt idx="258">
                  <c:v>2.9630000000000001</c:v>
                </c:pt>
                <c:pt idx="259">
                  <c:v>2.9740000000000002</c:v>
                </c:pt>
                <c:pt idx="260">
                  <c:v>2.984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6-432C-A199-93B67212CB0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DAC전압편차!$F$17:$F$277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0.16400000000000001</c:v>
                </c:pt>
                <c:pt idx="3">
                  <c:v>0.17499999999999999</c:v>
                </c:pt>
                <c:pt idx="4">
                  <c:v>0.186</c:v>
                </c:pt>
                <c:pt idx="5">
                  <c:v>0.19700000000000001</c:v>
                </c:pt>
                <c:pt idx="6">
                  <c:v>0.20799999999999999</c:v>
                </c:pt>
                <c:pt idx="7">
                  <c:v>0.219</c:v>
                </c:pt>
                <c:pt idx="8">
                  <c:v>0.23</c:v>
                </c:pt>
                <c:pt idx="9">
                  <c:v>0.24099999999999999</c:v>
                </c:pt>
                <c:pt idx="10">
                  <c:v>0.252</c:v>
                </c:pt>
                <c:pt idx="11">
                  <c:v>0.26300000000000001</c:v>
                </c:pt>
                <c:pt idx="12">
                  <c:v>0.27400000000000002</c:v>
                </c:pt>
                <c:pt idx="13">
                  <c:v>0.28399999999999997</c:v>
                </c:pt>
                <c:pt idx="14">
                  <c:v>0.29499999999999998</c:v>
                </c:pt>
                <c:pt idx="15">
                  <c:v>0.30599999999999999</c:v>
                </c:pt>
                <c:pt idx="16">
                  <c:v>0.317</c:v>
                </c:pt>
                <c:pt idx="17">
                  <c:v>0.32800000000000001</c:v>
                </c:pt>
                <c:pt idx="18">
                  <c:v>0.33900000000000002</c:v>
                </c:pt>
                <c:pt idx="19">
                  <c:v>0.35</c:v>
                </c:pt>
                <c:pt idx="20">
                  <c:v>0.36099999999999999</c:v>
                </c:pt>
                <c:pt idx="21">
                  <c:v>0.372</c:v>
                </c:pt>
                <c:pt idx="22">
                  <c:v>0.38300000000000001</c:v>
                </c:pt>
                <c:pt idx="23">
                  <c:v>0.39400000000000002</c:v>
                </c:pt>
                <c:pt idx="24">
                  <c:v>0.40500000000000003</c:v>
                </c:pt>
                <c:pt idx="25">
                  <c:v>0.41499999999999998</c:v>
                </c:pt>
                <c:pt idx="26">
                  <c:v>0.42599999999999999</c:v>
                </c:pt>
                <c:pt idx="27">
                  <c:v>0.437</c:v>
                </c:pt>
                <c:pt idx="28">
                  <c:v>0.44800000000000001</c:v>
                </c:pt>
                <c:pt idx="29">
                  <c:v>0.45900000000000002</c:v>
                </c:pt>
                <c:pt idx="30">
                  <c:v>0.47</c:v>
                </c:pt>
                <c:pt idx="31">
                  <c:v>0.48099999999999998</c:v>
                </c:pt>
                <c:pt idx="32">
                  <c:v>0.49199999999999999</c:v>
                </c:pt>
                <c:pt idx="33">
                  <c:v>0.503</c:v>
                </c:pt>
                <c:pt idx="34">
                  <c:v>0.51400000000000001</c:v>
                </c:pt>
                <c:pt idx="35">
                  <c:v>0.52500000000000002</c:v>
                </c:pt>
                <c:pt idx="36">
                  <c:v>0.53600000000000003</c:v>
                </c:pt>
                <c:pt idx="37">
                  <c:v>0.54700000000000004</c:v>
                </c:pt>
                <c:pt idx="38">
                  <c:v>0.55800000000000005</c:v>
                </c:pt>
                <c:pt idx="39">
                  <c:v>0.56899999999999995</c:v>
                </c:pt>
                <c:pt idx="40">
                  <c:v>0.57999999999999996</c:v>
                </c:pt>
                <c:pt idx="41">
                  <c:v>0.59099999999999997</c:v>
                </c:pt>
                <c:pt idx="42">
                  <c:v>0.60199999999999998</c:v>
                </c:pt>
                <c:pt idx="43">
                  <c:v>0.61299999999999999</c:v>
                </c:pt>
                <c:pt idx="44">
                  <c:v>0.623</c:v>
                </c:pt>
                <c:pt idx="45">
                  <c:v>0.63400000000000001</c:v>
                </c:pt>
                <c:pt idx="46">
                  <c:v>0.64500000000000002</c:v>
                </c:pt>
                <c:pt idx="47">
                  <c:v>0.65600000000000003</c:v>
                </c:pt>
                <c:pt idx="48">
                  <c:v>0.66700000000000004</c:v>
                </c:pt>
                <c:pt idx="49">
                  <c:v>0.67800000000000005</c:v>
                </c:pt>
                <c:pt idx="50">
                  <c:v>0.68899999999999995</c:v>
                </c:pt>
                <c:pt idx="51">
                  <c:v>0.7</c:v>
                </c:pt>
                <c:pt idx="52">
                  <c:v>0.71199999999999997</c:v>
                </c:pt>
                <c:pt idx="53">
                  <c:v>0.72299999999999998</c:v>
                </c:pt>
                <c:pt idx="54">
                  <c:v>0.73399999999999999</c:v>
                </c:pt>
                <c:pt idx="55">
                  <c:v>0.74399999999999999</c:v>
                </c:pt>
                <c:pt idx="56">
                  <c:v>0.75600000000000001</c:v>
                </c:pt>
                <c:pt idx="57">
                  <c:v>0.76700000000000002</c:v>
                </c:pt>
                <c:pt idx="58">
                  <c:v>0.77800000000000002</c:v>
                </c:pt>
                <c:pt idx="59">
                  <c:v>0.78900000000000003</c:v>
                </c:pt>
                <c:pt idx="60">
                  <c:v>0.8</c:v>
                </c:pt>
                <c:pt idx="61">
                  <c:v>0.81100000000000005</c:v>
                </c:pt>
                <c:pt idx="62">
                  <c:v>0.82199999999999995</c:v>
                </c:pt>
                <c:pt idx="63">
                  <c:v>0.83299999999999996</c:v>
                </c:pt>
                <c:pt idx="64">
                  <c:v>0.84399999999999997</c:v>
                </c:pt>
                <c:pt idx="65">
                  <c:v>0.85499999999999998</c:v>
                </c:pt>
                <c:pt idx="66">
                  <c:v>0.86599999999999999</c:v>
                </c:pt>
                <c:pt idx="67">
                  <c:v>0.877</c:v>
                </c:pt>
                <c:pt idx="68">
                  <c:v>0.88800000000000001</c:v>
                </c:pt>
                <c:pt idx="69">
                  <c:v>0.89900000000000002</c:v>
                </c:pt>
                <c:pt idx="70">
                  <c:v>0.91</c:v>
                </c:pt>
                <c:pt idx="71">
                  <c:v>0.92100000000000004</c:v>
                </c:pt>
                <c:pt idx="72">
                  <c:v>0.93200000000000005</c:v>
                </c:pt>
                <c:pt idx="73">
                  <c:v>0.94299999999999995</c:v>
                </c:pt>
                <c:pt idx="74">
                  <c:v>0.95399999999999996</c:v>
                </c:pt>
                <c:pt idx="75">
                  <c:v>0.96499999999999997</c:v>
                </c:pt>
                <c:pt idx="76">
                  <c:v>0.97599999999999998</c:v>
                </c:pt>
                <c:pt idx="77">
                  <c:v>0.98699999999999999</c:v>
                </c:pt>
                <c:pt idx="78">
                  <c:v>0.998</c:v>
                </c:pt>
                <c:pt idx="79">
                  <c:v>1.0089999999999999</c:v>
                </c:pt>
                <c:pt idx="80">
                  <c:v>1.02</c:v>
                </c:pt>
                <c:pt idx="81">
                  <c:v>1.0309999999999999</c:v>
                </c:pt>
                <c:pt idx="82">
                  <c:v>1.042</c:v>
                </c:pt>
                <c:pt idx="83">
                  <c:v>1.0529999999999999</c:v>
                </c:pt>
                <c:pt idx="84">
                  <c:v>1.0629999999999999</c:v>
                </c:pt>
                <c:pt idx="85">
                  <c:v>1.0740000000000001</c:v>
                </c:pt>
                <c:pt idx="86">
                  <c:v>1.085</c:v>
                </c:pt>
                <c:pt idx="87">
                  <c:v>1.0960000000000001</c:v>
                </c:pt>
                <c:pt idx="88">
                  <c:v>1.107</c:v>
                </c:pt>
                <c:pt idx="89">
                  <c:v>1.1180000000000001</c:v>
                </c:pt>
                <c:pt idx="90">
                  <c:v>1.129</c:v>
                </c:pt>
                <c:pt idx="91">
                  <c:v>1.1399999999999999</c:v>
                </c:pt>
                <c:pt idx="92">
                  <c:v>1.151</c:v>
                </c:pt>
                <c:pt idx="93">
                  <c:v>1.1619999999999999</c:v>
                </c:pt>
                <c:pt idx="94">
                  <c:v>1.173</c:v>
                </c:pt>
                <c:pt idx="95">
                  <c:v>1.1839999999999999</c:v>
                </c:pt>
                <c:pt idx="96">
                  <c:v>1.1950000000000001</c:v>
                </c:pt>
                <c:pt idx="97">
                  <c:v>1.2050000000000001</c:v>
                </c:pt>
                <c:pt idx="98">
                  <c:v>1.216</c:v>
                </c:pt>
                <c:pt idx="99">
                  <c:v>1.2270000000000001</c:v>
                </c:pt>
                <c:pt idx="100">
                  <c:v>1.238</c:v>
                </c:pt>
                <c:pt idx="101">
                  <c:v>1.2490000000000001</c:v>
                </c:pt>
                <c:pt idx="102">
                  <c:v>1.26</c:v>
                </c:pt>
                <c:pt idx="103">
                  <c:v>1.2709999999999999</c:v>
                </c:pt>
                <c:pt idx="104">
                  <c:v>1.282</c:v>
                </c:pt>
                <c:pt idx="105">
                  <c:v>1.2929999999999999</c:v>
                </c:pt>
                <c:pt idx="106">
                  <c:v>1.3029999999999999</c:v>
                </c:pt>
                <c:pt idx="107">
                  <c:v>1.3149999999999999</c:v>
                </c:pt>
                <c:pt idx="108">
                  <c:v>1.3260000000000001</c:v>
                </c:pt>
                <c:pt idx="109">
                  <c:v>1.337</c:v>
                </c:pt>
                <c:pt idx="110">
                  <c:v>1.3480000000000001</c:v>
                </c:pt>
                <c:pt idx="111">
                  <c:v>1.359</c:v>
                </c:pt>
                <c:pt idx="112">
                  <c:v>1.37</c:v>
                </c:pt>
                <c:pt idx="113">
                  <c:v>1.38</c:v>
                </c:pt>
                <c:pt idx="114">
                  <c:v>1.391</c:v>
                </c:pt>
                <c:pt idx="115">
                  <c:v>1.4019999999999999</c:v>
                </c:pt>
                <c:pt idx="116">
                  <c:v>1.413</c:v>
                </c:pt>
                <c:pt idx="117">
                  <c:v>1.4239999999999999</c:v>
                </c:pt>
                <c:pt idx="118">
                  <c:v>1.4350000000000001</c:v>
                </c:pt>
                <c:pt idx="119">
                  <c:v>1.446</c:v>
                </c:pt>
                <c:pt idx="120">
                  <c:v>1.4570000000000001</c:v>
                </c:pt>
                <c:pt idx="121">
                  <c:v>1.468</c:v>
                </c:pt>
                <c:pt idx="122">
                  <c:v>1.4790000000000001</c:v>
                </c:pt>
                <c:pt idx="123">
                  <c:v>1.4890000000000001</c:v>
                </c:pt>
                <c:pt idx="124">
                  <c:v>1.5009999999999999</c:v>
                </c:pt>
                <c:pt idx="125">
                  <c:v>1.512</c:v>
                </c:pt>
                <c:pt idx="126">
                  <c:v>1.5229999999999999</c:v>
                </c:pt>
                <c:pt idx="127">
                  <c:v>1.534</c:v>
                </c:pt>
                <c:pt idx="128">
                  <c:v>1.5449999999999999</c:v>
                </c:pt>
                <c:pt idx="129">
                  <c:v>1.556</c:v>
                </c:pt>
                <c:pt idx="130">
                  <c:v>1.5669999999999999</c:v>
                </c:pt>
                <c:pt idx="131">
                  <c:v>1.577</c:v>
                </c:pt>
                <c:pt idx="132">
                  <c:v>1.5880000000000001</c:v>
                </c:pt>
                <c:pt idx="133">
                  <c:v>1.599</c:v>
                </c:pt>
                <c:pt idx="134">
                  <c:v>1.61</c:v>
                </c:pt>
                <c:pt idx="135">
                  <c:v>1.621</c:v>
                </c:pt>
                <c:pt idx="136">
                  <c:v>1.6319999999999999</c:v>
                </c:pt>
                <c:pt idx="137">
                  <c:v>1.643</c:v>
                </c:pt>
                <c:pt idx="138">
                  <c:v>1.6539999999999999</c:v>
                </c:pt>
                <c:pt idx="139">
                  <c:v>1.665</c:v>
                </c:pt>
                <c:pt idx="140">
                  <c:v>1.6759999999999999</c:v>
                </c:pt>
                <c:pt idx="141">
                  <c:v>1.6870000000000001</c:v>
                </c:pt>
                <c:pt idx="142">
                  <c:v>1.698</c:v>
                </c:pt>
                <c:pt idx="143">
                  <c:v>1.7090000000000001</c:v>
                </c:pt>
                <c:pt idx="144">
                  <c:v>1.7190000000000001</c:v>
                </c:pt>
                <c:pt idx="145">
                  <c:v>1.7310000000000001</c:v>
                </c:pt>
                <c:pt idx="146">
                  <c:v>1.742</c:v>
                </c:pt>
                <c:pt idx="147">
                  <c:v>1.7529999999999999</c:v>
                </c:pt>
                <c:pt idx="148">
                  <c:v>1.7629999999999999</c:v>
                </c:pt>
                <c:pt idx="149">
                  <c:v>1.774</c:v>
                </c:pt>
                <c:pt idx="150">
                  <c:v>1.786</c:v>
                </c:pt>
                <c:pt idx="151">
                  <c:v>1.796</c:v>
                </c:pt>
                <c:pt idx="152">
                  <c:v>1.8069999999999999</c:v>
                </c:pt>
                <c:pt idx="153">
                  <c:v>1.8180000000000001</c:v>
                </c:pt>
                <c:pt idx="154">
                  <c:v>1.829</c:v>
                </c:pt>
                <c:pt idx="155">
                  <c:v>1.84</c:v>
                </c:pt>
                <c:pt idx="156">
                  <c:v>1.851</c:v>
                </c:pt>
                <c:pt idx="157">
                  <c:v>1.8620000000000001</c:v>
                </c:pt>
                <c:pt idx="158">
                  <c:v>1.873</c:v>
                </c:pt>
                <c:pt idx="159">
                  <c:v>1.8839999999999999</c:v>
                </c:pt>
                <c:pt idx="160">
                  <c:v>1.895</c:v>
                </c:pt>
                <c:pt idx="161">
                  <c:v>1.905</c:v>
                </c:pt>
                <c:pt idx="162">
                  <c:v>1.917</c:v>
                </c:pt>
                <c:pt idx="163">
                  <c:v>1.927</c:v>
                </c:pt>
                <c:pt idx="164">
                  <c:v>1.9379999999999999</c:v>
                </c:pt>
                <c:pt idx="165">
                  <c:v>1.9490000000000001</c:v>
                </c:pt>
                <c:pt idx="166">
                  <c:v>1.96</c:v>
                </c:pt>
                <c:pt idx="167">
                  <c:v>1.9710000000000001</c:v>
                </c:pt>
                <c:pt idx="168">
                  <c:v>1.9830000000000001</c:v>
                </c:pt>
                <c:pt idx="169">
                  <c:v>1.9930000000000001</c:v>
                </c:pt>
                <c:pt idx="170">
                  <c:v>2.004</c:v>
                </c:pt>
                <c:pt idx="171">
                  <c:v>2.016</c:v>
                </c:pt>
                <c:pt idx="172">
                  <c:v>2.0270000000000001</c:v>
                </c:pt>
                <c:pt idx="173">
                  <c:v>2.0369999999999999</c:v>
                </c:pt>
                <c:pt idx="174">
                  <c:v>2.048</c:v>
                </c:pt>
                <c:pt idx="175">
                  <c:v>2.0590000000000002</c:v>
                </c:pt>
                <c:pt idx="176">
                  <c:v>2.0710000000000002</c:v>
                </c:pt>
                <c:pt idx="177">
                  <c:v>2.0819999999999999</c:v>
                </c:pt>
                <c:pt idx="178">
                  <c:v>2.0920000000000001</c:v>
                </c:pt>
                <c:pt idx="179">
                  <c:v>2.1030000000000002</c:v>
                </c:pt>
                <c:pt idx="180">
                  <c:v>2.1150000000000002</c:v>
                </c:pt>
                <c:pt idx="181">
                  <c:v>2.125</c:v>
                </c:pt>
                <c:pt idx="182">
                  <c:v>2.1360000000000001</c:v>
                </c:pt>
                <c:pt idx="183">
                  <c:v>2.1469999999999998</c:v>
                </c:pt>
                <c:pt idx="184">
                  <c:v>2.1579999999999999</c:v>
                </c:pt>
                <c:pt idx="185">
                  <c:v>2.169</c:v>
                </c:pt>
                <c:pt idx="186">
                  <c:v>2.1800000000000002</c:v>
                </c:pt>
                <c:pt idx="187">
                  <c:v>2.1909999999999998</c:v>
                </c:pt>
                <c:pt idx="188">
                  <c:v>2.2029999999999998</c:v>
                </c:pt>
                <c:pt idx="189">
                  <c:v>2.214</c:v>
                </c:pt>
                <c:pt idx="190">
                  <c:v>2.2250000000000001</c:v>
                </c:pt>
                <c:pt idx="191">
                  <c:v>2.2360000000000002</c:v>
                </c:pt>
                <c:pt idx="192">
                  <c:v>2.2480000000000002</c:v>
                </c:pt>
                <c:pt idx="193">
                  <c:v>2.258</c:v>
                </c:pt>
                <c:pt idx="194">
                  <c:v>2.2690000000000001</c:v>
                </c:pt>
                <c:pt idx="195">
                  <c:v>2.2799999999999998</c:v>
                </c:pt>
                <c:pt idx="196">
                  <c:v>2.2909999999999999</c:v>
                </c:pt>
                <c:pt idx="197">
                  <c:v>2.302</c:v>
                </c:pt>
                <c:pt idx="198">
                  <c:v>2.3140000000000001</c:v>
                </c:pt>
                <c:pt idx="199">
                  <c:v>2.3250000000000002</c:v>
                </c:pt>
                <c:pt idx="200">
                  <c:v>2.3359999999999999</c:v>
                </c:pt>
                <c:pt idx="201">
                  <c:v>2.347</c:v>
                </c:pt>
                <c:pt idx="202">
                  <c:v>2.3580000000000001</c:v>
                </c:pt>
                <c:pt idx="203">
                  <c:v>2.3690000000000002</c:v>
                </c:pt>
                <c:pt idx="204">
                  <c:v>2.38</c:v>
                </c:pt>
                <c:pt idx="205">
                  <c:v>2.391</c:v>
                </c:pt>
                <c:pt idx="206">
                  <c:v>2.403</c:v>
                </c:pt>
                <c:pt idx="207">
                  <c:v>2.4129999999999998</c:v>
                </c:pt>
                <c:pt idx="208">
                  <c:v>2.4239999999999999</c:v>
                </c:pt>
                <c:pt idx="209">
                  <c:v>2.4359999999999999</c:v>
                </c:pt>
                <c:pt idx="210">
                  <c:v>2.4470000000000001</c:v>
                </c:pt>
                <c:pt idx="211">
                  <c:v>2.4580000000000002</c:v>
                </c:pt>
                <c:pt idx="212">
                  <c:v>2.468</c:v>
                </c:pt>
                <c:pt idx="213">
                  <c:v>2.48</c:v>
                </c:pt>
                <c:pt idx="214">
                  <c:v>2.4910000000000001</c:v>
                </c:pt>
                <c:pt idx="215">
                  <c:v>2.5019999999999998</c:v>
                </c:pt>
                <c:pt idx="216">
                  <c:v>2.5129999999999999</c:v>
                </c:pt>
                <c:pt idx="217">
                  <c:v>2.5230000000000001</c:v>
                </c:pt>
                <c:pt idx="218">
                  <c:v>2.5339999999999998</c:v>
                </c:pt>
                <c:pt idx="219">
                  <c:v>2.5449999999999999</c:v>
                </c:pt>
                <c:pt idx="220">
                  <c:v>2.5569999999999999</c:v>
                </c:pt>
                <c:pt idx="221">
                  <c:v>2.5680000000000001</c:v>
                </c:pt>
                <c:pt idx="222">
                  <c:v>2.5790000000000002</c:v>
                </c:pt>
                <c:pt idx="223">
                  <c:v>2.59</c:v>
                </c:pt>
                <c:pt idx="224">
                  <c:v>2.601</c:v>
                </c:pt>
                <c:pt idx="225">
                  <c:v>2.6120000000000001</c:v>
                </c:pt>
                <c:pt idx="226">
                  <c:v>2.6230000000000002</c:v>
                </c:pt>
                <c:pt idx="227">
                  <c:v>2.633</c:v>
                </c:pt>
                <c:pt idx="228">
                  <c:v>2.6440000000000001</c:v>
                </c:pt>
                <c:pt idx="229">
                  <c:v>2.6560000000000001</c:v>
                </c:pt>
                <c:pt idx="230">
                  <c:v>2.6659999999999999</c:v>
                </c:pt>
                <c:pt idx="231">
                  <c:v>2.6779999999999999</c:v>
                </c:pt>
                <c:pt idx="232">
                  <c:v>2.6880000000000002</c:v>
                </c:pt>
                <c:pt idx="233">
                  <c:v>2.6989999999999998</c:v>
                </c:pt>
                <c:pt idx="234">
                  <c:v>2.71</c:v>
                </c:pt>
                <c:pt idx="235">
                  <c:v>2.7210000000000001</c:v>
                </c:pt>
                <c:pt idx="236">
                  <c:v>2.7320000000000002</c:v>
                </c:pt>
                <c:pt idx="237">
                  <c:v>2.7429999999999999</c:v>
                </c:pt>
                <c:pt idx="238">
                  <c:v>2.754</c:v>
                </c:pt>
                <c:pt idx="239">
                  <c:v>2.7650000000000001</c:v>
                </c:pt>
                <c:pt idx="240">
                  <c:v>2.7759999999999998</c:v>
                </c:pt>
                <c:pt idx="241">
                  <c:v>2.7869999999999999</c:v>
                </c:pt>
                <c:pt idx="242">
                  <c:v>2.7970000000000002</c:v>
                </c:pt>
                <c:pt idx="243">
                  <c:v>2.8090000000000002</c:v>
                </c:pt>
                <c:pt idx="244">
                  <c:v>2.82</c:v>
                </c:pt>
                <c:pt idx="245">
                  <c:v>2.83</c:v>
                </c:pt>
                <c:pt idx="246">
                  <c:v>2.8410000000000002</c:v>
                </c:pt>
                <c:pt idx="247">
                  <c:v>2.8519999999999999</c:v>
                </c:pt>
                <c:pt idx="248">
                  <c:v>2.863</c:v>
                </c:pt>
                <c:pt idx="249">
                  <c:v>2.875</c:v>
                </c:pt>
                <c:pt idx="250">
                  <c:v>2.8860000000000001</c:v>
                </c:pt>
                <c:pt idx="251">
                  <c:v>2.8959999999999999</c:v>
                </c:pt>
                <c:pt idx="252">
                  <c:v>2.907</c:v>
                </c:pt>
                <c:pt idx="253">
                  <c:v>2.919</c:v>
                </c:pt>
                <c:pt idx="254">
                  <c:v>2.9289999999999998</c:v>
                </c:pt>
                <c:pt idx="255">
                  <c:v>2.94</c:v>
                </c:pt>
                <c:pt idx="256">
                  <c:v>2.952</c:v>
                </c:pt>
                <c:pt idx="257">
                  <c:v>2.9620000000000002</c:v>
                </c:pt>
                <c:pt idx="258">
                  <c:v>2.9740000000000002</c:v>
                </c:pt>
                <c:pt idx="259">
                  <c:v>2.9830000000000001</c:v>
                </c:pt>
                <c:pt idx="260">
                  <c:v>2.996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C6-432C-A199-93B67212CB0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DAC전압편차!$G$17:$G$277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0.27400000000000002</c:v>
                </c:pt>
                <c:pt idx="13">
                  <c:v>0.28499999999999998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0.51500000000000001</c:v>
                </c:pt>
                <c:pt idx="35">
                  <c:v>0.52600000000000002</c:v>
                </c:pt>
                <c:pt idx="36">
                  <c:v>0.53700000000000003</c:v>
                </c:pt>
                <c:pt idx="37">
                  <c:v>0.54800000000000004</c:v>
                </c:pt>
                <c:pt idx="38">
                  <c:v>0.55900000000000005</c:v>
                </c:pt>
                <c:pt idx="39">
                  <c:v>0.56999999999999995</c:v>
                </c:pt>
                <c:pt idx="40">
                  <c:v>0.58099999999999996</c:v>
                </c:pt>
                <c:pt idx="41">
                  <c:v>0.59199999999999997</c:v>
                </c:pt>
                <c:pt idx="42">
                  <c:v>0.60299999999999998</c:v>
                </c:pt>
                <c:pt idx="43">
                  <c:v>0.61399999999999999</c:v>
                </c:pt>
                <c:pt idx="44">
                  <c:v>0.625</c:v>
                </c:pt>
                <c:pt idx="45">
                  <c:v>0.63600000000000001</c:v>
                </c:pt>
                <c:pt idx="46">
                  <c:v>0.64700000000000002</c:v>
                </c:pt>
                <c:pt idx="47">
                  <c:v>0.65800000000000003</c:v>
                </c:pt>
                <c:pt idx="48">
                  <c:v>0.66900000000000004</c:v>
                </c:pt>
                <c:pt idx="49">
                  <c:v>0.67900000000000005</c:v>
                </c:pt>
                <c:pt idx="50">
                  <c:v>0.69099999999999995</c:v>
                </c:pt>
                <c:pt idx="51">
                  <c:v>0.70099999999999996</c:v>
                </c:pt>
                <c:pt idx="52">
                  <c:v>0.71199999999999997</c:v>
                </c:pt>
                <c:pt idx="53">
                  <c:v>0.72299999999999998</c:v>
                </c:pt>
                <c:pt idx="54">
                  <c:v>0.73399999999999999</c:v>
                </c:pt>
                <c:pt idx="55">
                  <c:v>0.745</c:v>
                </c:pt>
                <c:pt idx="56">
                  <c:v>0.75600000000000001</c:v>
                </c:pt>
                <c:pt idx="57">
                  <c:v>0.76700000000000002</c:v>
                </c:pt>
                <c:pt idx="58">
                  <c:v>0.77800000000000002</c:v>
                </c:pt>
                <c:pt idx="59">
                  <c:v>0.78900000000000003</c:v>
                </c:pt>
                <c:pt idx="60">
                  <c:v>0.8</c:v>
                </c:pt>
                <c:pt idx="61">
                  <c:v>0.81100000000000005</c:v>
                </c:pt>
                <c:pt idx="62">
                  <c:v>0.82199999999999995</c:v>
                </c:pt>
                <c:pt idx="63">
                  <c:v>0.83299999999999996</c:v>
                </c:pt>
                <c:pt idx="64">
                  <c:v>0.84299999999999997</c:v>
                </c:pt>
                <c:pt idx="65">
                  <c:v>0.85499999999999998</c:v>
                </c:pt>
                <c:pt idx="66">
                  <c:v>0.86499999999999999</c:v>
                </c:pt>
                <c:pt idx="67">
                  <c:v>0.876</c:v>
                </c:pt>
                <c:pt idx="68">
                  <c:v>0.88700000000000001</c:v>
                </c:pt>
                <c:pt idx="69">
                  <c:v>0.89800000000000002</c:v>
                </c:pt>
                <c:pt idx="70">
                  <c:v>0.90900000000000003</c:v>
                </c:pt>
                <c:pt idx="71">
                  <c:v>0.92</c:v>
                </c:pt>
                <c:pt idx="72">
                  <c:v>0.93100000000000005</c:v>
                </c:pt>
                <c:pt idx="73">
                  <c:v>0.94199999999999995</c:v>
                </c:pt>
                <c:pt idx="74">
                  <c:v>0.95299999999999996</c:v>
                </c:pt>
                <c:pt idx="75">
                  <c:v>0.96399999999999997</c:v>
                </c:pt>
                <c:pt idx="76">
                  <c:v>0.97499999999999998</c:v>
                </c:pt>
                <c:pt idx="77">
                  <c:v>0.98599999999999999</c:v>
                </c:pt>
                <c:pt idx="78">
                  <c:v>0.997</c:v>
                </c:pt>
                <c:pt idx="79">
                  <c:v>1.008</c:v>
                </c:pt>
                <c:pt idx="80">
                  <c:v>1.0189999999999999</c:v>
                </c:pt>
                <c:pt idx="81">
                  <c:v>1.03</c:v>
                </c:pt>
                <c:pt idx="82">
                  <c:v>1.0409999999999999</c:v>
                </c:pt>
                <c:pt idx="83">
                  <c:v>1.052</c:v>
                </c:pt>
                <c:pt idx="84">
                  <c:v>1.0629999999999999</c:v>
                </c:pt>
                <c:pt idx="85">
                  <c:v>1.0740000000000001</c:v>
                </c:pt>
                <c:pt idx="86">
                  <c:v>1.085</c:v>
                </c:pt>
                <c:pt idx="87">
                  <c:v>1.0960000000000001</c:v>
                </c:pt>
                <c:pt idx="88">
                  <c:v>1.107</c:v>
                </c:pt>
                <c:pt idx="89">
                  <c:v>1.117</c:v>
                </c:pt>
                <c:pt idx="90">
                  <c:v>1.1279999999999999</c:v>
                </c:pt>
                <c:pt idx="91">
                  <c:v>1.1399999999999999</c:v>
                </c:pt>
                <c:pt idx="92">
                  <c:v>1.151</c:v>
                </c:pt>
                <c:pt idx="93">
                  <c:v>1.1619999999999999</c:v>
                </c:pt>
                <c:pt idx="94">
                  <c:v>1.1719999999999999</c:v>
                </c:pt>
                <c:pt idx="95">
                  <c:v>1.1830000000000001</c:v>
                </c:pt>
                <c:pt idx="96">
                  <c:v>1.1950000000000001</c:v>
                </c:pt>
                <c:pt idx="97">
                  <c:v>1.2050000000000001</c:v>
                </c:pt>
                <c:pt idx="98">
                  <c:v>1.216</c:v>
                </c:pt>
                <c:pt idx="99">
                  <c:v>1.2270000000000001</c:v>
                </c:pt>
                <c:pt idx="100">
                  <c:v>1.2390000000000001</c:v>
                </c:pt>
                <c:pt idx="101">
                  <c:v>1.2490000000000001</c:v>
                </c:pt>
                <c:pt idx="102">
                  <c:v>1.26</c:v>
                </c:pt>
                <c:pt idx="103">
                  <c:v>1.2709999999999999</c:v>
                </c:pt>
                <c:pt idx="104">
                  <c:v>1.282</c:v>
                </c:pt>
                <c:pt idx="105">
                  <c:v>1.2929999999999999</c:v>
                </c:pt>
                <c:pt idx="106">
                  <c:v>1.304</c:v>
                </c:pt>
                <c:pt idx="107">
                  <c:v>1.3149999999999999</c:v>
                </c:pt>
                <c:pt idx="108">
                  <c:v>1.3260000000000001</c:v>
                </c:pt>
                <c:pt idx="109">
                  <c:v>1.337</c:v>
                </c:pt>
                <c:pt idx="110">
                  <c:v>1.3480000000000001</c:v>
                </c:pt>
                <c:pt idx="111">
                  <c:v>1.359</c:v>
                </c:pt>
                <c:pt idx="112">
                  <c:v>1.37</c:v>
                </c:pt>
                <c:pt idx="113">
                  <c:v>1.381</c:v>
                </c:pt>
                <c:pt idx="114">
                  <c:v>1.3919999999999999</c:v>
                </c:pt>
                <c:pt idx="115">
                  <c:v>1.403</c:v>
                </c:pt>
                <c:pt idx="116">
                  <c:v>1.4139999999999999</c:v>
                </c:pt>
                <c:pt idx="117">
                  <c:v>1.425</c:v>
                </c:pt>
                <c:pt idx="118">
                  <c:v>1.4350000000000001</c:v>
                </c:pt>
                <c:pt idx="119">
                  <c:v>1.446</c:v>
                </c:pt>
                <c:pt idx="120">
                  <c:v>1.4570000000000001</c:v>
                </c:pt>
                <c:pt idx="121">
                  <c:v>1.468</c:v>
                </c:pt>
                <c:pt idx="122">
                  <c:v>1.48</c:v>
                </c:pt>
                <c:pt idx="123">
                  <c:v>1.49</c:v>
                </c:pt>
                <c:pt idx="124">
                  <c:v>1.5009999999999999</c:v>
                </c:pt>
                <c:pt idx="125">
                  <c:v>1.5129999999999999</c:v>
                </c:pt>
                <c:pt idx="126">
                  <c:v>1.524</c:v>
                </c:pt>
                <c:pt idx="127">
                  <c:v>1.534</c:v>
                </c:pt>
                <c:pt idx="128">
                  <c:v>1.546</c:v>
                </c:pt>
                <c:pt idx="129">
                  <c:v>1.5569999999999999</c:v>
                </c:pt>
                <c:pt idx="130">
                  <c:v>1.5680000000000001</c:v>
                </c:pt>
                <c:pt idx="131">
                  <c:v>1.579</c:v>
                </c:pt>
                <c:pt idx="132">
                  <c:v>1.589</c:v>
                </c:pt>
                <c:pt idx="133">
                  <c:v>1.601</c:v>
                </c:pt>
                <c:pt idx="134">
                  <c:v>1.611</c:v>
                </c:pt>
                <c:pt idx="135">
                  <c:v>1.6220000000000001</c:v>
                </c:pt>
                <c:pt idx="136">
                  <c:v>1.633</c:v>
                </c:pt>
                <c:pt idx="137">
                  <c:v>1.6439999999999999</c:v>
                </c:pt>
                <c:pt idx="138">
                  <c:v>1.6559999999999999</c:v>
                </c:pt>
                <c:pt idx="139">
                  <c:v>1.6659999999999999</c:v>
                </c:pt>
                <c:pt idx="140">
                  <c:v>1.677</c:v>
                </c:pt>
                <c:pt idx="141">
                  <c:v>1.6879999999999999</c:v>
                </c:pt>
                <c:pt idx="142">
                  <c:v>1.6990000000000001</c:v>
                </c:pt>
                <c:pt idx="143">
                  <c:v>1.71</c:v>
                </c:pt>
                <c:pt idx="144">
                  <c:v>1.7210000000000001</c:v>
                </c:pt>
                <c:pt idx="145">
                  <c:v>1.732</c:v>
                </c:pt>
                <c:pt idx="146">
                  <c:v>1.7430000000000001</c:v>
                </c:pt>
                <c:pt idx="147">
                  <c:v>1.754</c:v>
                </c:pt>
                <c:pt idx="148">
                  <c:v>1.7649999999999999</c:v>
                </c:pt>
                <c:pt idx="149">
                  <c:v>1.776</c:v>
                </c:pt>
                <c:pt idx="150">
                  <c:v>1.786</c:v>
                </c:pt>
                <c:pt idx="151">
                  <c:v>1.798</c:v>
                </c:pt>
                <c:pt idx="152">
                  <c:v>1.8089999999999999</c:v>
                </c:pt>
                <c:pt idx="153">
                  <c:v>1.82</c:v>
                </c:pt>
                <c:pt idx="154">
                  <c:v>1.83</c:v>
                </c:pt>
                <c:pt idx="155">
                  <c:v>1.8420000000000001</c:v>
                </c:pt>
                <c:pt idx="156">
                  <c:v>1.853</c:v>
                </c:pt>
                <c:pt idx="157">
                  <c:v>1.863</c:v>
                </c:pt>
                <c:pt idx="158">
                  <c:v>1.8740000000000001</c:v>
                </c:pt>
                <c:pt idx="159">
                  <c:v>1.8859999999999999</c:v>
                </c:pt>
                <c:pt idx="160">
                  <c:v>1.897</c:v>
                </c:pt>
                <c:pt idx="161">
                  <c:v>1.907</c:v>
                </c:pt>
                <c:pt idx="162">
                  <c:v>1.9179999999999999</c:v>
                </c:pt>
                <c:pt idx="163">
                  <c:v>1.93</c:v>
                </c:pt>
                <c:pt idx="164">
                  <c:v>1.9410000000000001</c:v>
                </c:pt>
                <c:pt idx="165">
                  <c:v>1.952</c:v>
                </c:pt>
                <c:pt idx="166">
                  <c:v>1.962</c:v>
                </c:pt>
                <c:pt idx="167">
                  <c:v>1.9730000000000001</c:v>
                </c:pt>
                <c:pt idx="168">
                  <c:v>1.984</c:v>
                </c:pt>
                <c:pt idx="169">
                  <c:v>1.996</c:v>
                </c:pt>
                <c:pt idx="170">
                  <c:v>2.0070000000000001</c:v>
                </c:pt>
                <c:pt idx="171">
                  <c:v>2.0169999999999999</c:v>
                </c:pt>
                <c:pt idx="172">
                  <c:v>2.028</c:v>
                </c:pt>
                <c:pt idx="173">
                  <c:v>2.0390000000000001</c:v>
                </c:pt>
                <c:pt idx="174">
                  <c:v>2.0499999999999998</c:v>
                </c:pt>
                <c:pt idx="175">
                  <c:v>2.0609999999999999</c:v>
                </c:pt>
                <c:pt idx="176">
                  <c:v>2.0720000000000001</c:v>
                </c:pt>
                <c:pt idx="177">
                  <c:v>2.0830000000000002</c:v>
                </c:pt>
                <c:pt idx="178">
                  <c:v>2.0939999999999999</c:v>
                </c:pt>
                <c:pt idx="179">
                  <c:v>2.105</c:v>
                </c:pt>
                <c:pt idx="180">
                  <c:v>2.1160000000000001</c:v>
                </c:pt>
                <c:pt idx="181">
                  <c:v>2.1269999999999998</c:v>
                </c:pt>
                <c:pt idx="182">
                  <c:v>2.1379999999999999</c:v>
                </c:pt>
                <c:pt idx="183">
                  <c:v>2.1480000000000001</c:v>
                </c:pt>
                <c:pt idx="184">
                  <c:v>2.1589999999999998</c:v>
                </c:pt>
                <c:pt idx="185">
                  <c:v>2.1709999999999998</c:v>
                </c:pt>
                <c:pt idx="186">
                  <c:v>2.181</c:v>
                </c:pt>
                <c:pt idx="187">
                  <c:v>2.1920000000000002</c:v>
                </c:pt>
                <c:pt idx="188">
                  <c:v>2.2029999999999998</c:v>
                </c:pt>
                <c:pt idx="189">
                  <c:v>2.2149999999999999</c:v>
                </c:pt>
                <c:pt idx="190">
                  <c:v>2.226</c:v>
                </c:pt>
                <c:pt idx="191">
                  <c:v>2.2370000000000001</c:v>
                </c:pt>
                <c:pt idx="192">
                  <c:v>2.2469999999999999</c:v>
                </c:pt>
                <c:pt idx="193">
                  <c:v>2.2589999999999999</c:v>
                </c:pt>
                <c:pt idx="194">
                  <c:v>2.27</c:v>
                </c:pt>
                <c:pt idx="195">
                  <c:v>2.2799999999999998</c:v>
                </c:pt>
                <c:pt idx="196">
                  <c:v>2.2909999999999999</c:v>
                </c:pt>
                <c:pt idx="197">
                  <c:v>2.302</c:v>
                </c:pt>
                <c:pt idx="198">
                  <c:v>2.3130000000000002</c:v>
                </c:pt>
                <c:pt idx="199">
                  <c:v>2.3250000000000002</c:v>
                </c:pt>
                <c:pt idx="200">
                  <c:v>2.335</c:v>
                </c:pt>
                <c:pt idx="201">
                  <c:v>2.3460000000000001</c:v>
                </c:pt>
                <c:pt idx="202">
                  <c:v>2.3580000000000001</c:v>
                </c:pt>
                <c:pt idx="203">
                  <c:v>2.3679999999999999</c:v>
                </c:pt>
                <c:pt idx="204">
                  <c:v>2.38</c:v>
                </c:pt>
                <c:pt idx="205">
                  <c:v>2.39</c:v>
                </c:pt>
                <c:pt idx="206">
                  <c:v>2.4020000000000001</c:v>
                </c:pt>
                <c:pt idx="207">
                  <c:v>2.411</c:v>
                </c:pt>
                <c:pt idx="208">
                  <c:v>2.423</c:v>
                </c:pt>
                <c:pt idx="209">
                  <c:v>2.4340000000000002</c:v>
                </c:pt>
                <c:pt idx="210">
                  <c:v>2.4449999999999998</c:v>
                </c:pt>
                <c:pt idx="211">
                  <c:v>2.456</c:v>
                </c:pt>
                <c:pt idx="212">
                  <c:v>2.4660000000000002</c:v>
                </c:pt>
                <c:pt idx="213">
                  <c:v>2.4769999999999999</c:v>
                </c:pt>
                <c:pt idx="214">
                  <c:v>2.488</c:v>
                </c:pt>
                <c:pt idx="215">
                  <c:v>2.4990000000000001</c:v>
                </c:pt>
                <c:pt idx="216">
                  <c:v>2.5099999999999998</c:v>
                </c:pt>
                <c:pt idx="217">
                  <c:v>2.5209999999999999</c:v>
                </c:pt>
                <c:pt idx="218">
                  <c:v>2.5329999999999999</c:v>
                </c:pt>
                <c:pt idx="219">
                  <c:v>2.5430000000000001</c:v>
                </c:pt>
                <c:pt idx="220">
                  <c:v>2.5539999999999998</c:v>
                </c:pt>
                <c:pt idx="221">
                  <c:v>2.5649999999999999</c:v>
                </c:pt>
                <c:pt idx="222">
                  <c:v>2.5760000000000001</c:v>
                </c:pt>
                <c:pt idx="223">
                  <c:v>2.5870000000000002</c:v>
                </c:pt>
                <c:pt idx="224">
                  <c:v>2.5979999999999999</c:v>
                </c:pt>
                <c:pt idx="225">
                  <c:v>2.609</c:v>
                </c:pt>
                <c:pt idx="226">
                  <c:v>2.621</c:v>
                </c:pt>
                <c:pt idx="227">
                  <c:v>2.6309999999999998</c:v>
                </c:pt>
                <c:pt idx="228">
                  <c:v>2.6419999999999999</c:v>
                </c:pt>
                <c:pt idx="229">
                  <c:v>2.653</c:v>
                </c:pt>
                <c:pt idx="230">
                  <c:v>2.6640000000000001</c:v>
                </c:pt>
                <c:pt idx="231">
                  <c:v>2.6749999999999998</c:v>
                </c:pt>
                <c:pt idx="232">
                  <c:v>2.6859999999999999</c:v>
                </c:pt>
                <c:pt idx="233">
                  <c:v>2.6960000000000002</c:v>
                </c:pt>
                <c:pt idx="234">
                  <c:v>2.7090000000000001</c:v>
                </c:pt>
                <c:pt idx="235">
                  <c:v>2.7189999999999999</c:v>
                </c:pt>
                <c:pt idx="236">
                  <c:v>2.73</c:v>
                </c:pt>
                <c:pt idx="237">
                  <c:v>2.74</c:v>
                </c:pt>
                <c:pt idx="238">
                  <c:v>2.7509999999999999</c:v>
                </c:pt>
                <c:pt idx="239">
                  <c:v>2.762</c:v>
                </c:pt>
                <c:pt idx="240">
                  <c:v>2.7730000000000001</c:v>
                </c:pt>
                <c:pt idx="241">
                  <c:v>2.7839999999999998</c:v>
                </c:pt>
                <c:pt idx="242">
                  <c:v>2.7949999999999999</c:v>
                </c:pt>
                <c:pt idx="243">
                  <c:v>2.806</c:v>
                </c:pt>
                <c:pt idx="244">
                  <c:v>2.8170000000000002</c:v>
                </c:pt>
                <c:pt idx="245">
                  <c:v>2.8279999999999998</c:v>
                </c:pt>
                <c:pt idx="246">
                  <c:v>2.839</c:v>
                </c:pt>
                <c:pt idx="247">
                  <c:v>2.8490000000000002</c:v>
                </c:pt>
                <c:pt idx="248">
                  <c:v>2.8610000000000002</c:v>
                </c:pt>
                <c:pt idx="249">
                  <c:v>2.8719999999999999</c:v>
                </c:pt>
                <c:pt idx="250">
                  <c:v>2.8839999999999999</c:v>
                </c:pt>
                <c:pt idx="251">
                  <c:v>2.8940000000000001</c:v>
                </c:pt>
                <c:pt idx="252">
                  <c:v>2.9049999999999998</c:v>
                </c:pt>
                <c:pt idx="253">
                  <c:v>2.915</c:v>
                </c:pt>
                <c:pt idx="254">
                  <c:v>2.927</c:v>
                </c:pt>
                <c:pt idx="255">
                  <c:v>2.9380000000000002</c:v>
                </c:pt>
                <c:pt idx="256">
                  <c:v>2.9489999999999998</c:v>
                </c:pt>
                <c:pt idx="257">
                  <c:v>2.96</c:v>
                </c:pt>
                <c:pt idx="258">
                  <c:v>2.9710000000000001</c:v>
                </c:pt>
                <c:pt idx="259">
                  <c:v>2.9820000000000002</c:v>
                </c:pt>
                <c:pt idx="260">
                  <c:v>2.992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C6-432C-A199-93B67212CB0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DAC전압편차!$H$17:$H$277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0.16400000000000001</c:v>
                </c:pt>
                <c:pt idx="3">
                  <c:v>0.17499999999999999</c:v>
                </c:pt>
                <c:pt idx="4">
                  <c:v>0.186</c:v>
                </c:pt>
                <c:pt idx="5">
                  <c:v>0.19700000000000001</c:v>
                </c:pt>
                <c:pt idx="6">
                  <c:v>0.20799999999999999</c:v>
                </c:pt>
                <c:pt idx="7">
                  <c:v>0.219</c:v>
                </c:pt>
                <c:pt idx="8">
                  <c:v>0.23</c:v>
                </c:pt>
                <c:pt idx="9">
                  <c:v>0.24099999999999999</c:v>
                </c:pt>
                <c:pt idx="10">
                  <c:v>0.252</c:v>
                </c:pt>
                <c:pt idx="11">
                  <c:v>0.26300000000000001</c:v>
                </c:pt>
                <c:pt idx="12">
                  <c:v>0.27400000000000002</c:v>
                </c:pt>
                <c:pt idx="13">
                  <c:v>0.28499999999999998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0.36099999999999999</c:v>
                </c:pt>
                <c:pt idx="21">
                  <c:v>0.372</c:v>
                </c:pt>
                <c:pt idx="22">
                  <c:v>0.38300000000000001</c:v>
                </c:pt>
                <c:pt idx="23">
                  <c:v>0.39400000000000002</c:v>
                </c:pt>
                <c:pt idx="24">
                  <c:v>0.40500000000000003</c:v>
                </c:pt>
                <c:pt idx="25">
                  <c:v>0.41599999999999998</c:v>
                </c:pt>
                <c:pt idx="26">
                  <c:v>0.42699999999999999</c:v>
                </c:pt>
                <c:pt idx="27">
                  <c:v>0.438</c:v>
                </c:pt>
                <c:pt idx="28">
                  <c:v>0.44900000000000001</c:v>
                </c:pt>
                <c:pt idx="29">
                  <c:v>0.46</c:v>
                </c:pt>
                <c:pt idx="30">
                  <c:v>0.47099999999999997</c:v>
                </c:pt>
                <c:pt idx="31">
                  <c:v>0.48199999999999998</c:v>
                </c:pt>
                <c:pt idx="32">
                  <c:v>0.49299999999999999</c:v>
                </c:pt>
                <c:pt idx="33">
                  <c:v>0.504</c:v>
                </c:pt>
                <c:pt idx="34">
                  <c:v>0.51500000000000001</c:v>
                </c:pt>
                <c:pt idx="35">
                  <c:v>0.52600000000000002</c:v>
                </c:pt>
                <c:pt idx="36">
                  <c:v>0.53700000000000003</c:v>
                </c:pt>
                <c:pt idx="37">
                  <c:v>0.54800000000000004</c:v>
                </c:pt>
                <c:pt idx="38">
                  <c:v>0.55800000000000005</c:v>
                </c:pt>
                <c:pt idx="39">
                  <c:v>0.56899999999999995</c:v>
                </c:pt>
                <c:pt idx="40">
                  <c:v>0.57999999999999996</c:v>
                </c:pt>
                <c:pt idx="41">
                  <c:v>0.59099999999999997</c:v>
                </c:pt>
                <c:pt idx="42">
                  <c:v>0.60199999999999998</c:v>
                </c:pt>
                <c:pt idx="43">
                  <c:v>0.61199999999999999</c:v>
                </c:pt>
                <c:pt idx="44">
                  <c:v>0.623</c:v>
                </c:pt>
                <c:pt idx="45">
                  <c:v>0.63400000000000001</c:v>
                </c:pt>
                <c:pt idx="46">
                  <c:v>0.64500000000000002</c:v>
                </c:pt>
                <c:pt idx="47">
                  <c:v>0.65500000000000003</c:v>
                </c:pt>
                <c:pt idx="48">
                  <c:v>0.66600000000000004</c:v>
                </c:pt>
                <c:pt idx="49">
                  <c:v>0.67700000000000005</c:v>
                </c:pt>
                <c:pt idx="50">
                  <c:v>0.68799999999999994</c:v>
                </c:pt>
                <c:pt idx="51">
                  <c:v>0.69799999999999995</c:v>
                </c:pt>
                <c:pt idx="52">
                  <c:v>0.70899999999999996</c:v>
                </c:pt>
                <c:pt idx="53">
                  <c:v>0.72</c:v>
                </c:pt>
                <c:pt idx="54">
                  <c:v>0.73099999999999998</c:v>
                </c:pt>
                <c:pt idx="55">
                  <c:v>0.74099999999999999</c:v>
                </c:pt>
                <c:pt idx="56">
                  <c:v>0.752</c:v>
                </c:pt>
                <c:pt idx="57">
                  <c:v>0.76300000000000001</c:v>
                </c:pt>
                <c:pt idx="58">
                  <c:v>0.77400000000000002</c:v>
                </c:pt>
                <c:pt idx="59">
                  <c:v>0.78500000000000003</c:v>
                </c:pt>
                <c:pt idx="60">
                  <c:v>0.79500000000000004</c:v>
                </c:pt>
                <c:pt idx="61">
                  <c:v>0.80700000000000005</c:v>
                </c:pt>
                <c:pt idx="62">
                  <c:v>0.81699999999999995</c:v>
                </c:pt>
                <c:pt idx="63">
                  <c:v>0.82799999999999996</c:v>
                </c:pt>
                <c:pt idx="64">
                  <c:v>0.83899999999999997</c:v>
                </c:pt>
                <c:pt idx="65">
                  <c:v>0.85</c:v>
                </c:pt>
                <c:pt idx="66">
                  <c:v>0.86099999999999999</c:v>
                </c:pt>
                <c:pt idx="67">
                  <c:v>0.872</c:v>
                </c:pt>
                <c:pt idx="68">
                  <c:v>0.88300000000000001</c:v>
                </c:pt>
                <c:pt idx="69">
                  <c:v>0.89400000000000002</c:v>
                </c:pt>
                <c:pt idx="70">
                  <c:v>0.90500000000000003</c:v>
                </c:pt>
                <c:pt idx="71">
                  <c:v>0.91600000000000004</c:v>
                </c:pt>
                <c:pt idx="72">
                  <c:v>0.92600000000000005</c:v>
                </c:pt>
                <c:pt idx="73">
                  <c:v>0.93700000000000006</c:v>
                </c:pt>
                <c:pt idx="74">
                  <c:v>0.94899999999999995</c:v>
                </c:pt>
                <c:pt idx="75">
                  <c:v>0.96</c:v>
                </c:pt>
                <c:pt idx="76">
                  <c:v>0.97</c:v>
                </c:pt>
                <c:pt idx="77">
                  <c:v>0.98099999999999998</c:v>
                </c:pt>
                <c:pt idx="78">
                  <c:v>0.99299999999999999</c:v>
                </c:pt>
                <c:pt idx="79">
                  <c:v>1.0029999999999999</c:v>
                </c:pt>
                <c:pt idx="80">
                  <c:v>1.014</c:v>
                </c:pt>
                <c:pt idx="81">
                  <c:v>1.0249999999999999</c:v>
                </c:pt>
                <c:pt idx="82">
                  <c:v>1.036</c:v>
                </c:pt>
                <c:pt idx="83">
                  <c:v>1.0469999999999999</c:v>
                </c:pt>
                <c:pt idx="84">
                  <c:v>1.0580000000000001</c:v>
                </c:pt>
                <c:pt idx="85">
                  <c:v>1.069</c:v>
                </c:pt>
                <c:pt idx="86">
                  <c:v>1.08</c:v>
                </c:pt>
                <c:pt idx="87">
                  <c:v>1.091</c:v>
                </c:pt>
                <c:pt idx="88">
                  <c:v>1.1020000000000001</c:v>
                </c:pt>
                <c:pt idx="89">
                  <c:v>1.113</c:v>
                </c:pt>
                <c:pt idx="90">
                  <c:v>1.1240000000000001</c:v>
                </c:pt>
                <c:pt idx="91">
                  <c:v>1.135</c:v>
                </c:pt>
                <c:pt idx="92">
                  <c:v>1.1459999999999999</c:v>
                </c:pt>
                <c:pt idx="93">
                  <c:v>1.157</c:v>
                </c:pt>
                <c:pt idx="94">
                  <c:v>1.167</c:v>
                </c:pt>
                <c:pt idx="95">
                  <c:v>1.179</c:v>
                </c:pt>
                <c:pt idx="96">
                  <c:v>1.19</c:v>
                </c:pt>
                <c:pt idx="97">
                  <c:v>1.2010000000000001</c:v>
                </c:pt>
                <c:pt idx="98">
                  <c:v>1.212</c:v>
                </c:pt>
                <c:pt idx="99">
                  <c:v>1.2230000000000001</c:v>
                </c:pt>
                <c:pt idx="100">
                  <c:v>1.234</c:v>
                </c:pt>
                <c:pt idx="101">
                  <c:v>1.2450000000000001</c:v>
                </c:pt>
                <c:pt idx="102">
                  <c:v>1.256</c:v>
                </c:pt>
                <c:pt idx="103">
                  <c:v>1.2669999999999999</c:v>
                </c:pt>
                <c:pt idx="104">
                  <c:v>1.278</c:v>
                </c:pt>
                <c:pt idx="105">
                  <c:v>1.2889999999999999</c:v>
                </c:pt>
                <c:pt idx="106">
                  <c:v>1.3</c:v>
                </c:pt>
                <c:pt idx="107">
                  <c:v>1.31</c:v>
                </c:pt>
                <c:pt idx="108">
                  <c:v>1.3220000000000001</c:v>
                </c:pt>
                <c:pt idx="109">
                  <c:v>1.333</c:v>
                </c:pt>
                <c:pt idx="110">
                  <c:v>1.343</c:v>
                </c:pt>
                <c:pt idx="111">
                  <c:v>1.355</c:v>
                </c:pt>
                <c:pt idx="112">
                  <c:v>1.3660000000000001</c:v>
                </c:pt>
                <c:pt idx="113">
                  <c:v>1.377</c:v>
                </c:pt>
                <c:pt idx="114">
                  <c:v>1.387</c:v>
                </c:pt>
                <c:pt idx="115">
                  <c:v>1.3979999999999999</c:v>
                </c:pt>
                <c:pt idx="116">
                  <c:v>1.409</c:v>
                </c:pt>
                <c:pt idx="117">
                  <c:v>1.42</c:v>
                </c:pt>
                <c:pt idx="118">
                  <c:v>1.431</c:v>
                </c:pt>
                <c:pt idx="119">
                  <c:v>1.4419999999999999</c:v>
                </c:pt>
                <c:pt idx="120">
                  <c:v>1.4530000000000001</c:v>
                </c:pt>
                <c:pt idx="121">
                  <c:v>1.464</c:v>
                </c:pt>
                <c:pt idx="122">
                  <c:v>1.4750000000000001</c:v>
                </c:pt>
                <c:pt idx="123">
                  <c:v>1.486</c:v>
                </c:pt>
                <c:pt idx="124">
                  <c:v>1.4970000000000001</c:v>
                </c:pt>
                <c:pt idx="125">
                  <c:v>1.5089999999999999</c:v>
                </c:pt>
                <c:pt idx="126">
                  <c:v>1.5189999999999999</c:v>
                </c:pt>
                <c:pt idx="127">
                  <c:v>1.53</c:v>
                </c:pt>
                <c:pt idx="128">
                  <c:v>1.5409999999999999</c:v>
                </c:pt>
                <c:pt idx="129">
                  <c:v>1.5529999999999999</c:v>
                </c:pt>
                <c:pt idx="130">
                  <c:v>1.5629999999999999</c:v>
                </c:pt>
                <c:pt idx="131">
                  <c:v>1.5740000000000001</c:v>
                </c:pt>
                <c:pt idx="132">
                  <c:v>1.585</c:v>
                </c:pt>
                <c:pt idx="133">
                  <c:v>1.5960000000000001</c:v>
                </c:pt>
                <c:pt idx="134">
                  <c:v>1.607</c:v>
                </c:pt>
                <c:pt idx="135">
                  <c:v>1.6180000000000001</c:v>
                </c:pt>
                <c:pt idx="136">
                  <c:v>1.6279999999999999</c:v>
                </c:pt>
                <c:pt idx="137">
                  <c:v>1.639</c:v>
                </c:pt>
                <c:pt idx="138">
                  <c:v>1.651</c:v>
                </c:pt>
                <c:pt idx="139">
                  <c:v>1.6619999999999999</c:v>
                </c:pt>
                <c:pt idx="140">
                  <c:v>1.673</c:v>
                </c:pt>
                <c:pt idx="141">
                  <c:v>1.6839999999999999</c:v>
                </c:pt>
                <c:pt idx="142">
                  <c:v>1.6950000000000001</c:v>
                </c:pt>
                <c:pt idx="143">
                  <c:v>1.706</c:v>
                </c:pt>
                <c:pt idx="144">
                  <c:v>1.7170000000000001</c:v>
                </c:pt>
                <c:pt idx="145">
                  <c:v>1.728</c:v>
                </c:pt>
                <c:pt idx="146">
                  <c:v>1.7390000000000001</c:v>
                </c:pt>
                <c:pt idx="147">
                  <c:v>1.75</c:v>
                </c:pt>
                <c:pt idx="148">
                  <c:v>1.7609999999999999</c:v>
                </c:pt>
                <c:pt idx="149">
                  <c:v>1.772</c:v>
                </c:pt>
                <c:pt idx="150">
                  <c:v>1.7829999999999999</c:v>
                </c:pt>
                <c:pt idx="151">
                  <c:v>1.794</c:v>
                </c:pt>
                <c:pt idx="152">
                  <c:v>1.804</c:v>
                </c:pt>
                <c:pt idx="153">
                  <c:v>1.8160000000000001</c:v>
                </c:pt>
                <c:pt idx="154">
                  <c:v>1.8260000000000001</c:v>
                </c:pt>
                <c:pt idx="155">
                  <c:v>1.8380000000000001</c:v>
                </c:pt>
                <c:pt idx="156">
                  <c:v>1.849</c:v>
                </c:pt>
                <c:pt idx="157">
                  <c:v>1.859</c:v>
                </c:pt>
                <c:pt idx="158">
                  <c:v>1.87</c:v>
                </c:pt>
                <c:pt idx="159">
                  <c:v>1.881</c:v>
                </c:pt>
                <c:pt idx="160">
                  <c:v>1.8919999999999999</c:v>
                </c:pt>
                <c:pt idx="161">
                  <c:v>1.903</c:v>
                </c:pt>
                <c:pt idx="162">
                  <c:v>1.9139999999999999</c:v>
                </c:pt>
                <c:pt idx="163">
                  <c:v>1.9259999999999999</c:v>
                </c:pt>
                <c:pt idx="164">
                  <c:v>1.9359999999999999</c:v>
                </c:pt>
                <c:pt idx="165">
                  <c:v>1.948</c:v>
                </c:pt>
                <c:pt idx="166">
                  <c:v>1.958</c:v>
                </c:pt>
                <c:pt idx="167">
                  <c:v>1.97</c:v>
                </c:pt>
                <c:pt idx="168">
                  <c:v>1.98</c:v>
                </c:pt>
                <c:pt idx="169">
                  <c:v>1.992</c:v>
                </c:pt>
                <c:pt idx="170">
                  <c:v>2.0030000000000001</c:v>
                </c:pt>
                <c:pt idx="171">
                  <c:v>2.0129999999999999</c:v>
                </c:pt>
                <c:pt idx="172">
                  <c:v>2.024</c:v>
                </c:pt>
                <c:pt idx="173">
                  <c:v>2.0350000000000001</c:v>
                </c:pt>
                <c:pt idx="174">
                  <c:v>2.0459999999999998</c:v>
                </c:pt>
                <c:pt idx="175">
                  <c:v>2.0569999999999999</c:v>
                </c:pt>
                <c:pt idx="176">
                  <c:v>2.0680000000000001</c:v>
                </c:pt>
                <c:pt idx="177">
                  <c:v>2.0790000000000002</c:v>
                </c:pt>
                <c:pt idx="178">
                  <c:v>2.09</c:v>
                </c:pt>
                <c:pt idx="179">
                  <c:v>2.1</c:v>
                </c:pt>
                <c:pt idx="180">
                  <c:v>2.1120000000000001</c:v>
                </c:pt>
                <c:pt idx="181">
                  <c:v>2.1219999999999999</c:v>
                </c:pt>
                <c:pt idx="182">
                  <c:v>2.133</c:v>
                </c:pt>
                <c:pt idx="183">
                  <c:v>2.1440000000000001</c:v>
                </c:pt>
                <c:pt idx="184">
                  <c:v>2.1539999999999999</c:v>
                </c:pt>
                <c:pt idx="185">
                  <c:v>2.1659999999999999</c:v>
                </c:pt>
                <c:pt idx="186">
                  <c:v>2.1760000000000002</c:v>
                </c:pt>
                <c:pt idx="187">
                  <c:v>2.1880000000000002</c:v>
                </c:pt>
                <c:pt idx="188">
                  <c:v>2.1989999999999998</c:v>
                </c:pt>
                <c:pt idx="189">
                  <c:v>2.2090000000000001</c:v>
                </c:pt>
                <c:pt idx="190">
                  <c:v>2.2200000000000002</c:v>
                </c:pt>
                <c:pt idx="191">
                  <c:v>2.2309999999999999</c:v>
                </c:pt>
                <c:pt idx="192">
                  <c:v>2.2410000000000001</c:v>
                </c:pt>
                <c:pt idx="193">
                  <c:v>2.2530000000000001</c:v>
                </c:pt>
                <c:pt idx="194">
                  <c:v>2.2629999999999999</c:v>
                </c:pt>
                <c:pt idx="195">
                  <c:v>2.274</c:v>
                </c:pt>
                <c:pt idx="196">
                  <c:v>2.2850000000000001</c:v>
                </c:pt>
                <c:pt idx="197">
                  <c:v>2.2959999999999998</c:v>
                </c:pt>
                <c:pt idx="198">
                  <c:v>2.3069999999999999</c:v>
                </c:pt>
                <c:pt idx="199">
                  <c:v>2.3170000000000002</c:v>
                </c:pt>
                <c:pt idx="200">
                  <c:v>2.3279999999999998</c:v>
                </c:pt>
                <c:pt idx="201">
                  <c:v>2.3380000000000001</c:v>
                </c:pt>
                <c:pt idx="202">
                  <c:v>2.3490000000000002</c:v>
                </c:pt>
                <c:pt idx="203">
                  <c:v>2.36</c:v>
                </c:pt>
                <c:pt idx="204">
                  <c:v>2.37</c:v>
                </c:pt>
                <c:pt idx="205">
                  <c:v>2.3809999999999998</c:v>
                </c:pt>
                <c:pt idx="206">
                  <c:v>2.3919999999999999</c:v>
                </c:pt>
                <c:pt idx="207">
                  <c:v>2.4020000000000001</c:v>
                </c:pt>
                <c:pt idx="208">
                  <c:v>2.4140000000000001</c:v>
                </c:pt>
                <c:pt idx="209">
                  <c:v>2.4239999999999999</c:v>
                </c:pt>
                <c:pt idx="210">
                  <c:v>2.4350000000000001</c:v>
                </c:pt>
                <c:pt idx="211">
                  <c:v>2.4460000000000002</c:v>
                </c:pt>
                <c:pt idx="212">
                  <c:v>2.4569999999999999</c:v>
                </c:pt>
                <c:pt idx="213">
                  <c:v>2.4670000000000001</c:v>
                </c:pt>
                <c:pt idx="214">
                  <c:v>2.4790000000000001</c:v>
                </c:pt>
                <c:pt idx="215">
                  <c:v>2.4900000000000002</c:v>
                </c:pt>
                <c:pt idx="216">
                  <c:v>2.5009999999999999</c:v>
                </c:pt>
                <c:pt idx="217">
                  <c:v>2.512</c:v>
                </c:pt>
                <c:pt idx="218">
                  <c:v>2.5219999999999998</c:v>
                </c:pt>
                <c:pt idx="219">
                  <c:v>2.5339999999999998</c:v>
                </c:pt>
                <c:pt idx="220">
                  <c:v>2.544</c:v>
                </c:pt>
                <c:pt idx="221">
                  <c:v>2.5550000000000002</c:v>
                </c:pt>
                <c:pt idx="222">
                  <c:v>2.5659999999999998</c:v>
                </c:pt>
                <c:pt idx="223">
                  <c:v>2.577</c:v>
                </c:pt>
                <c:pt idx="224">
                  <c:v>2.5880000000000001</c:v>
                </c:pt>
                <c:pt idx="225">
                  <c:v>2.5990000000000002</c:v>
                </c:pt>
                <c:pt idx="226">
                  <c:v>2.61</c:v>
                </c:pt>
                <c:pt idx="227">
                  <c:v>2.621</c:v>
                </c:pt>
                <c:pt idx="228">
                  <c:v>2.6320000000000001</c:v>
                </c:pt>
                <c:pt idx="229">
                  <c:v>2.6429999999999998</c:v>
                </c:pt>
                <c:pt idx="230">
                  <c:v>2.6539999999999999</c:v>
                </c:pt>
                <c:pt idx="231">
                  <c:v>2.6659999999999999</c:v>
                </c:pt>
                <c:pt idx="232">
                  <c:v>2.6760000000000002</c:v>
                </c:pt>
                <c:pt idx="233">
                  <c:v>2.6869999999999998</c:v>
                </c:pt>
                <c:pt idx="234">
                  <c:v>2.698</c:v>
                </c:pt>
                <c:pt idx="235">
                  <c:v>2.7090000000000001</c:v>
                </c:pt>
                <c:pt idx="236">
                  <c:v>2.72</c:v>
                </c:pt>
                <c:pt idx="237">
                  <c:v>2.7309999999999999</c:v>
                </c:pt>
                <c:pt idx="238">
                  <c:v>2.742</c:v>
                </c:pt>
                <c:pt idx="239">
                  <c:v>2.7530000000000001</c:v>
                </c:pt>
                <c:pt idx="240">
                  <c:v>2.7650000000000001</c:v>
                </c:pt>
                <c:pt idx="241">
                  <c:v>2.7749999999999999</c:v>
                </c:pt>
                <c:pt idx="242">
                  <c:v>2.786</c:v>
                </c:pt>
                <c:pt idx="243">
                  <c:v>2.798</c:v>
                </c:pt>
                <c:pt idx="244">
                  <c:v>2.8079999999999998</c:v>
                </c:pt>
                <c:pt idx="245">
                  <c:v>2.819</c:v>
                </c:pt>
                <c:pt idx="246">
                  <c:v>2.8319999999999999</c:v>
                </c:pt>
                <c:pt idx="247">
                  <c:v>2.843</c:v>
                </c:pt>
                <c:pt idx="248">
                  <c:v>2.8519999999999999</c:v>
                </c:pt>
                <c:pt idx="249">
                  <c:v>2.863</c:v>
                </c:pt>
                <c:pt idx="250">
                  <c:v>2.8740000000000001</c:v>
                </c:pt>
                <c:pt idx="251">
                  <c:v>2.8849999999999998</c:v>
                </c:pt>
                <c:pt idx="252">
                  <c:v>2.8959999999999999</c:v>
                </c:pt>
                <c:pt idx="253">
                  <c:v>2.907</c:v>
                </c:pt>
                <c:pt idx="254">
                  <c:v>2.919</c:v>
                </c:pt>
                <c:pt idx="255">
                  <c:v>2.9289999999999998</c:v>
                </c:pt>
                <c:pt idx="256">
                  <c:v>2.94</c:v>
                </c:pt>
                <c:pt idx="257">
                  <c:v>2.952</c:v>
                </c:pt>
                <c:pt idx="258">
                  <c:v>2.9630000000000001</c:v>
                </c:pt>
                <c:pt idx="259">
                  <c:v>2.9729999999999999</c:v>
                </c:pt>
                <c:pt idx="260">
                  <c:v>2.984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C6-432C-A199-93B67212CB0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DAC전압편차!$I$17:$I$277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0.28599999999999998</c:v>
                </c:pt>
                <c:pt idx="14">
                  <c:v>0.29699999999999999</c:v>
                </c:pt>
                <c:pt idx="15">
                  <c:v>0.308</c:v>
                </c:pt>
                <c:pt idx="16">
                  <c:v>0.318</c:v>
                </c:pt>
                <c:pt idx="17">
                  <c:v>0.33</c:v>
                </c:pt>
                <c:pt idx="18">
                  <c:v>0.34100000000000003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0.51600000000000001</c:v>
                </c:pt>
                <c:pt idx="35">
                  <c:v>0.52700000000000002</c:v>
                </c:pt>
                <c:pt idx="36">
                  <c:v>0.53800000000000003</c:v>
                </c:pt>
                <c:pt idx="37">
                  <c:v>0.54900000000000004</c:v>
                </c:pt>
                <c:pt idx="38">
                  <c:v>0.56000000000000005</c:v>
                </c:pt>
                <c:pt idx="39">
                  <c:v>0.57199999999999995</c:v>
                </c:pt>
                <c:pt idx="40">
                  <c:v>0.58299999999999996</c:v>
                </c:pt>
                <c:pt idx="41">
                  <c:v>0.59399999999999997</c:v>
                </c:pt>
                <c:pt idx="42">
                  <c:v>0.60499999999999998</c:v>
                </c:pt>
                <c:pt idx="43">
                  <c:v>0.61599999999999999</c:v>
                </c:pt>
                <c:pt idx="44">
                  <c:v>0.627</c:v>
                </c:pt>
                <c:pt idx="45">
                  <c:v>0.63800000000000001</c:v>
                </c:pt>
                <c:pt idx="46">
                  <c:v>0.64900000000000002</c:v>
                </c:pt>
                <c:pt idx="47">
                  <c:v>0.66</c:v>
                </c:pt>
                <c:pt idx="48">
                  <c:v>0.67200000000000004</c:v>
                </c:pt>
                <c:pt idx="49">
                  <c:v>0.68300000000000005</c:v>
                </c:pt>
                <c:pt idx="50">
                  <c:v>0.69399999999999995</c:v>
                </c:pt>
                <c:pt idx="51">
                  <c:v>0.70499999999999996</c:v>
                </c:pt>
                <c:pt idx="52">
                  <c:v>0.71599999999999997</c:v>
                </c:pt>
                <c:pt idx="53">
                  <c:v>0.72699999999999998</c:v>
                </c:pt>
                <c:pt idx="54">
                  <c:v>0.73799999999999999</c:v>
                </c:pt>
                <c:pt idx="55">
                  <c:v>0.749</c:v>
                </c:pt>
                <c:pt idx="56">
                  <c:v>0.76</c:v>
                </c:pt>
                <c:pt idx="57">
                  <c:v>0.77100000000000002</c:v>
                </c:pt>
                <c:pt idx="58">
                  <c:v>0.78200000000000003</c:v>
                </c:pt>
                <c:pt idx="59">
                  <c:v>0.79300000000000004</c:v>
                </c:pt>
                <c:pt idx="60">
                  <c:v>0.80400000000000005</c:v>
                </c:pt>
                <c:pt idx="61">
                  <c:v>0.81499999999999995</c:v>
                </c:pt>
                <c:pt idx="62">
                  <c:v>0.82599999999999996</c:v>
                </c:pt>
                <c:pt idx="63">
                  <c:v>0.83699999999999997</c:v>
                </c:pt>
                <c:pt idx="64">
                  <c:v>0.84899999999999998</c:v>
                </c:pt>
                <c:pt idx="65">
                  <c:v>0.86</c:v>
                </c:pt>
                <c:pt idx="66">
                  <c:v>0.871</c:v>
                </c:pt>
                <c:pt idx="67">
                  <c:v>0.88100000000000001</c:v>
                </c:pt>
                <c:pt idx="68">
                  <c:v>0.89200000000000002</c:v>
                </c:pt>
                <c:pt idx="69">
                  <c:v>0.90300000000000002</c:v>
                </c:pt>
                <c:pt idx="70">
                  <c:v>0.91400000000000003</c:v>
                </c:pt>
                <c:pt idx="71">
                  <c:v>0.92500000000000004</c:v>
                </c:pt>
                <c:pt idx="72">
                  <c:v>0.93600000000000005</c:v>
                </c:pt>
                <c:pt idx="73">
                  <c:v>0.94699999999999995</c:v>
                </c:pt>
                <c:pt idx="74">
                  <c:v>0.95799999999999996</c:v>
                </c:pt>
                <c:pt idx="75">
                  <c:v>0.96899999999999997</c:v>
                </c:pt>
                <c:pt idx="76">
                  <c:v>0.98</c:v>
                </c:pt>
                <c:pt idx="77">
                  <c:v>0.99099999999999999</c:v>
                </c:pt>
                <c:pt idx="78">
                  <c:v>1.002</c:v>
                </c:pt>
                <c:pt idx="79">
                  <c:v>1.0129999999999999</c:v>
                </c:pt>
                <c:pt idx="80">
                  <c:v>1.024</c:v>
                </c:pt>
                <c:pt idx="81">
                  <c:v>1.0349999999999999</c:v>
                </c:pt>
                <c:pt idx="82">
                  <c:v>1.046</c:v>
                </c:pt>
                <c:pt idx="83">
                  <c:v>1.0569999999999999</c:v>
                </c:pt>
                <c:pt idx="84">
                  <c:v>1.0680000000000001</c:v>
                </c:pt>
                <c:pt idx="85">
                  <c:v>1.079</c:v>
                </c:pt>
                <c:pt idx="86">
                  <c:v>1.0900000000000001</c:v>
                </c:pt>
                <c:pt idx="87">
                  <c:v>1.101</c:v>
                </c:pt>
                <c:pt idx="88">
                  <c:v>1.1120000000000001</c:v>
                </c:pt>
                <c:pt idx="89">
                  <c:v>1.1220000000000001</c:v>
                </c:pt>
                <c:pt idx="90">
                  <c:v>1.133</c:v>
                </c:pt>
                <c:pt idx="91">
                  <c:v>1.1439999999999999</c:v>
                </c:pt>
                <c:pt idx="92">
                  <c:v>1.155</c:v>
                </c:pt>
                <c:pt idx="93">
                  <c:v>1.167</c:v>
                </c:pt>
                <c:pt idx="94">
                  <c:v>1.177</c:v>
                </c:pt>
                <c:pt idx="95">
                  <c:v>1.1879999999999999</c:v>
                </c:pt>
                <c:pt idx="96">
                  <c:v>1.1990000000000001</c:v>
                </c:pt>
                <c:pt idx="97">
                  <c:v>1.21</c:v>
                </c:pt>
                <c:pt idx="98">
                  <c:v>1.2210000000000001</c:v>
                </c:pt>
                <c:pt idx="99">
                  <c:v>1.232</c:v>
                </c:pt>
                <c:pt idx="100">
                  <c:v>1.2430000000000001</c:v>
                </c:pt>
                <c:pt idx="101">
                  <c:v>1.254</c:v>
                </c:pt>
                <c:pt idx="102">
                  <c:v>1.2649999999999999</c:v>
                </c:pt>
                <c:pt idx="103">
                  <c:v>1.276</c:v>
                </c:pt>
                <c:pt idx="104">
                  <c:v>1.2869999999999999</c:v>
                </c:pt>
                <c:pt idx="105">
                  <c:v>1.298</c:v>
                </c:pt>
                <c:pt idx="106">
                  <c:v>1.3089999999999999</c:v>
                </c:pt>
                <c:pt idx="107">
                  <c:v>1.32</c:v>
                </c:pt>
                <c:pt idx="108">
                  <c:v>1.331</c:v>
                </c:pt>
                <c:pt idx="109">
                  <c:v>1.3420000000000001</c:v>
                </c:pt>
                <c:pt idx="110">
                  <c:v>1.353</c:v>
                </c:pt>
                <c:pt idx="111">
                  <c:v>1.3640000000000001</c:v>
                </c:pt>
                <c:pt idx="112">
                  <c:v>1.375</c:v>
                </c:pt>
                <c:pt idx="113">
                  <c:v>1.385</c:v>
                </c:pt>
                <c:pt idx="114">
                  <c:v>1.397</c:v>
                </c:pt>
                <c:pt idx="115">
                  <c:v>1.407</c:v>
                </c:pt>
                <c:pt idx="116">
                  <c:v>1.4179999999999999</c:v>
                </c:pt>
                <c:pt idx="117">
                  <c:v>1.429</c:v>
                </c:pt>
                <c:pt idx="118">
                  <c:v>1.44</c:v>
                </c:pt>
                <c:pt idx="119">
                  <c:v>1.4510000000000001</c:v>
                </c:pt>
                <c:pt idx="120">
                  <c:v>1.4630000000000001</c:v>
                </c:pt>
                <c:pt idx="121">
                  <c:v>1.4730000000000001</c:v>
                </c:pt>
                <c:pt idx="122">
                  <c:v>1.484</c:v>
                </c:pt>
                <c:pt idx="123">
                  <c:v>1.4950000000000001</c:v>
                </c:pt>
                <c:pt idx="124">
                  <c:v>1.506</c:v>
                </c:pt>
                <c:pt idx="125">
                  <c:v>1.5169999999999999</c:v>
                </c:pt>
                <c:pt idx="126">
                  <c:v>1.528</c:v>
                </c:pt>
                <c:pt idx="127">
                  <c:v>1.5389999999999999</c:v>
                </c:pt>
                <c:pt idx="128">
                  <c:v>1.5509999999999999</c:v>
                </c:pt>
                <c:pt idx="129">
                  <c:v>1.5609999999999999</c:v>
                </c:pt>
                <c:pt idx="130">
                  <c:v>1.5720000000000001</c:v>
                </c:pt>
                <c:pt idx="131">
                  <c:v>1.583</c:v>
                </c:pt>
                <c:pt idx="132">
                  <c:v>1.5940000000000001</c:v>
                </c:pt>
                <c:pt idx="133">
                  <c:v>1.605</c:v>
                </c:pt>
                <c:pt idx="134">
                  <c:v>1.6160000000000001</c:v>
                </c:pt>
                <c:pt idx="135">
                  <c:v>1.627</c:v>
                </c:pt>
                <c:pt idx="136">
                  <c:v>1.6379999999999999</c:v>
                </c:pt>
                <c:pt idx="137">
                  <c:v>1.65</c:v>
                </c:pt>
                <c:pt idx="138">
                  <c:v>1.66</c:v>
                </c:pt>
                <c:pt idx="139">
                  <c:v>1.671</c:v>
                </c:pt>
                <c:pt idx="140">
                  <c:v>1.681</c:v>
                </c:pt>
                <c:pt idx="141">
                  <c:v>1.6930000000000001</c:v>
                </c:pt>
                <c:pt idx="142">
                  <c:v>1.704</c:v>
                </c:pt>
                <c:pt idx="143">
                  <c:v>1.7150000000000001</c:v>
                </c:pt>
                <c:pt idx="144">
                  <c:v>1.726</c:v>
                </c:pt>
                <c:pt idx="145">
                  <c:v>1.7370000000000001</c:v>
                </c:pt>
                <c:pt idx="146">
                  <c:v>1.748</c:v>
                </c:pt>
                <c:pt idx="147">
                  <c:v>1.7589999999999999</c:v>
                </c:pt>
                <c:pt idx="148">
                  <c:v>1.77</c:v>
                </c:pt>
                <c:pt idx="149">
                  <c:v>1.7809999999999999</c:v>
                </c:pt>
                <c:pt idx="150">
                  <c:v>1.792</c:v>
                </c:pt>
                <c:pt idx="151">
                  <c:v>1.8029999999999999</c:v>
                </c:pt>
                <c:pt idx="152">
                  <c:v>1.8140000000000001</c:v>
                </c:pt>
                <c:pt idx="153">
                  <c:v>1.8240000000000001</c:v>
                </c:pt>
                <c:pt idx="154">
                  <c:v>1.8360000000000001</c:v>
                </c:pt>
                <c:pt idx="155">
                  <c:v>1.847</c:v>
                </c:pt>
                <c:pt idx="156">
                  <c:v>1.8580000000000001</c:v>
                </c:pt>
                <c:pt idx="157">
                  <c:v>1.8680000000000001</c:v>
                </c:pt>
                <c:pt idx="158">
                  <c:v>1.88</c:v>
                </c:pt>
                <c:pt idx="159">
                  <c:v>1.891</c:v>
                </c:pt>
                <c:pt idx="160">
                  <c:v>1.9019999999999999</c:v>
                </c:pt>
                <c:pt idx="161">
                  <c:v>1.9119999999999999</c:v>
                </c:pt>
                <c:pt idx="162">
                  <c:v>1.9239999999999999</c:v>
                </c:pt>
                <c:pt idx="163">
                  <c:v>1.9350000000000001</c:v>
                </c:pt>
                <c:pt idx="164">
                  <c:v>1.946</c:v>
                </c:pt>
                <c:pt idx="165">
                  <c:v>1.9570000000000001</c:v>
                </c:pt>
                <c:pt idx="166">
                  <c:v>1.968</c:v>
                </c:pt>
                <c:pt idx="167">
                  <c:v>1.9790000000000001</c:v>
                </c:pt>
                <c:pt idx="168">
                  <c:v>1.99</c:v>
                </c:pt>
                <c:pt idx="169">
                  <c:v>2.0009999999999999</c:v>
                </c:pt>
                <c:pt idx="170">
                  <c:v>2.0110000000000001</c:v>
                </c:pt>
                <c:pt idx="171">
                  <c:v>2.0230000000000001</c:v>
                </c:pt>
                <c:pt idx="172">
                  <c:v>2.0339999999999998</c:v>
                </c:pt>
                <c:pt idx="173">
                  <c:v>2.0459999999999998</c:v>
                </c:pt>
                <c:pt idx="174">
                  <c:v>2.056</c:v>
                </c:pt>
                <c:pt idx="175">
                  <c:v>2.0670000000000002</c:v>
                </c:pt>
                <c:pt idx="176">
                  <c:v>2.0779999999999998</c:v>
                </c:pt>
                <c:pt idx="177">
                  <c:v>2.089</c:v>
                </c:pt>
                <c:pt idx="178">
                  <c:v>2.1</c:v>
                </c:pt>
                <c:pt idx="179">
                  <c:v>2.1110000000000002</c:v>
                </c:pt>
                <c:pt idx="180">
                  <c:v>2.1230000000000002</c:v>
                </c:pt>
                <c:pt idx="181">
                  <c:v>2.133</c:v>
                </c:pt>
                <c:pt idx="182">
                  <c:v>2.1440000000000001</c:v>
                </c:pt>
                <c:pt idx="183">
                  <c:v>2.1549999999999998</c:v>
                </c:pt>
                <c:pt idx="184">
                  <c:v>2.1659999999999999</c:v>
                </c:pt>
                <c:pt idx="185">
                  <c:v>2.177</c:v>
                </c:pt>
                <c:pt idx="186">
                  <c:v>2.1880000000000002</c:v>
                </c:pt>
                <c:pt idx="187">
                  <c:v>2.1989999999999998</c:v>
                </c:pt>
                <c:pt idx="188">
                  <c:v>2.21</c:v>
                </c:pt>
                <c:pt idx="189">
                  <c:v>2.222</c:v>
                </c:pt>
                <c:pt idx="190">
                  <c:v>2.2330000000000001</c:v>
                </c:pt>
                <c:pt idx="191">
                  <c:v>2.2440000000000002</c:v>
                </c:pt>
                <c:pt idx="192">
                  <c:v>2.2559999999999998</c:v>
                </c:pt>
                <c:pt idx="193">
                  <c:v>2.2669999999999999</c:v>
                </c:pt>
                <c:pt idx="194">
                  <c:v>2.278</c:v>
                </c:pt>
                <c:pt idx="195">
                  <c:v>2.2890000000000001</c:v>
                </c:pt>
                <c:pt idx="196">
                  <c:v>2.2999999999999998</c:v>
                </c:pt>
                <c:pt idx="197">
                  <c:v>2.3119999999999998</c:v>
                </c:pt>
                <c:pt idx="198">
                  <c:v>2.3220000000000001</c:v>
                </c:pt>
                <c:pt idx="199">
                  <c:v>2.3330000000000002</c:v>
                </c:pt>
                <c:pt idx="200">
                  <c:v>2.3439999999999999</c:v>
                </c:pt>
                <c:pt idx="201">
                  <c:v>2.355</c:v>
                </c:pt>
                <c:pt idx="202">
                  <c:v>2.367</c:v>
                </c:pt>
                <c:pt idx="203">
                  <c:v>2.3780000000000001</c:v>
                </c:pt>
                <c:pt idx="204">
                  <c:v>2.3889999999999998</c:v>
                </c:pt>
                <c:pt idx="205">
                  <c:v>2.4009999999999998</c:v>
                </c:pt>
                <c:pt idx="206">
                  <c:v>2.4119999999999999</c:v>
                </c:pt>
                <c:pt idx="207">
                  <c:v>2.423</c:v>
                </c:pt>
                <c:pt idx="208">
                  <c:v>2.4329999999999998</c:v>
                </c:pt>
                <c:pt idx="209">
                  <c:v>2.4449999999999998</c:v>
                </c:pt>
                <c:pt idx="210">
                  <c:v>2.456</c:v>
                </c:pt>
                <c:pt idx="211">
                  <c:v>2.4660000000000002</c:v>
                </c:pt>
                <c:pt idx="212">
                  <c:v>2.4769999999999999</c:v>
                </c:pt>
                <c:pt idx="213">
                  <c:v>2.4889999999999999</c:v>
                </c:pt>
                <c:pt idx="214">
                  <c:v>2.5</c:v>
                </c:pt>
                <c:pt idx="215">
                  <c:v>2.5110000000000001</c:v>
                </c:pt>
                <c:pt idx="216">
                  <c:v>2.5219999999999998</c:v>
                </c:pt>
                <c:pt idx="217">
                  <c:v>2.5329999999999999</c:v>
                </c:pt>
                <c:pt idx="218">
                  <c:v>2.544</c:v>
                </c:pt>
                <c:pt idx="219">
                  <c:v>2.5550000000000002</c:v>
                </c:pt>
                <c:pt idx="220">
                  <c:v>2.5659999999999998</c:v>
                </c:pt>
                <c:pt idx="221">
                  <c:v>2.5760000000000001</c:v>
                </c:pt>
                <c:pt idx="222">
                  <c:v>2.5880000000000001</c:v>
                </c:pt>
                <c:pt idx="223">
                  <c:v>2.5990000000000002</c:v>
                </c:pt>
                <c:pt idx="224">
                  <c:v>2.609</c:v>
                </c:pt>
                <c:pt idx="225">
                  <c:v>2.62</c:v>
                </c:pt>
                <c:pt idx="226">
                  <c:v>2.6309999999999998</c:v>
                </c:pt>
                <c:pt idx="227">
                  <c:v>2.6429999999999998</c:v>
                </c:pt>
                <c:pt idx="228">
                  <c:v>2.653</c:v>
                </c:pt>
                <c:pt idx="229">
                  <c:v>2.6640000000000001</c:v>
                </c:pt>
                <c:pt idx="230">
                  <c:v>2.6749999999999998</c:v>
                </c:pt>
                <c:pt idx="231">
                  <c:v>2.6869999999999998</c:v>
                </c:pt>
                <c:pt idx="232">
                  <c:v>2.6970000000000001</c:v>
                </c:pt>
                <c:pt idx="233">
                  <c:v>2.7090000000000001</c:v>
                </c:pt>
                <c:pt idx="234">
                  <c:v>2.7189999999999999</c:v>
                </c:pt>
                <c:pt idx="235">
                  <c:v>2.7309999999999999</c:v>
                </c:pt>
                <c:pt idx="236">
                  <c:v>2.742</c:v>
                </c:pt>
                <c:pt idx="237">
                  <c:v>2.7519999999999998</c:v>
                </c:pt>
                <c:pt idx="238">
                  <c:v>2.7629999999999999</c:v>
                </c:pt>
                <c:pt idx="239">
                  <c:v>2.774</c:v>
                </c:pt>
                <c:pt idx="240">
                  <c:v>2.786</c:v>
                </c:pt>
                <c:pt idx="241">
                  <c:v>2.7959999999999998</c:v>
                </c:pt>
                <c:pt idx="242">
                  <c:v>2.8069999999999999</c:v>
                </c:pt>
                <c:pt idx="243">
                  <c:v>2.8180000000000001</c:v>
                </c:pt>
                <c:pt idx="244">
                  <c:v>2.8290000000000002</c:v>
                </c:pt>
                <c:pt idx="245">
                  <c:v>2.84</c:v>
                </c:pt>
                <c:pt idx="246">
                  <c:v>2.851</c:v>
                </c:pt>
                <c:pt idx="247">
                  <c:v>2.8620000000000001</c:v>
                </c:pt>
                <c:pt idx="248">
                  <c:v>2.8730000000000002</c:v>
                </c:pt>
                <c:pt idx="249">
                  <c:v>2.8839999999999999</c:v>
                </c:pt>
                <c:pt idx="250">
                  <c:v>2.895</c:v>
                </c:pt>
                <c:pt idx="251">
                  <c:v>2.9060000000000001</c:v>
                </c:pt>
                <c:pt idx="252">
                  <c:v>2.9169999999999998</c:v>
                </c:pt>
                <c:pt idx="253">
                  <c:v>2.9279999999999999</c:v>
                </c:pt>
                <c:pt idx="254">
                  <c:v>2.9390000000000001</c:v>
                </c:pt>
                <c:pt idx="255">
                  <c:v>2.95</c:v>
                </c:pt>
                <c:pt idx="256">
                  <c:v>2.9609999999999999</c:v>
                </c:pt>
                <c:pt idx="257">
                  <c:v>2.972</c:v>
                </c:pt>
                <c:pt idx="258">
                  <c:v>2.9830000000000001</c:v>
                </c:pt>
                <c:pt idx="259">
                  <c:v>2.9940000000000002</c:v>
                </c:pt>
                <c:pt idx="260">
                  <c:v>3.0049999999999999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C6-432C-A199-93B67212CB0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DAC전압편차!$J$17:$J$277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0.28499999999999998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0.51600000000000001</c:v>
                </c:pt>
                <c:pt idx="35">
                  <c:v>0.52700000000000002</c:v>
                </c:pt>
                <c:pt idx="36">
                  <c:v>0.53800000000000003</c:v>
                </c:pt>
                <c:pt idx="37">
                  <c:v>0.54900000000000004</c:v>
                </c:pt>
                <c:pt idx="38">
                  <c:v>0.56000000000000005</c:v>
                </c:pt>
                <c:pt idx="39">
                  <c:v>0.57099999999999995</c:v>
                </c:pt>
                <c:pt idx="40">
                  <c:v>0.58099999999999996</c:v>
                </c:pt>
                <c:pt idx="41">
                  <c:v>0.59199999999999997</c:v>
                </c:pt>
                <c:pt idx="42">
                  <c:v>0.60299999999999998</c:v>
                </c:pt>
                <c:pt idx="43">
                  <c:v>0.61399999999999999</c:v>
                </c:pt>
                <c:pt idx="44">
                  <c:v>0.625</c:v>
                </c:pt>
                <c:pt idx="45">
                  <c:v>0.63600000000000001</c:v>
                </c:pt>
                <c:pt idx="46">
                  <c:v>0.64700000000000002</c:v>
                </c:pt>
                <c:pt idx="47">
                  <c:v>0.65800000000000003</c:v>
                </c:pt>
                <c:pt idx="48">
                  <c:v>0.66900000000000004</c:v>
                </c:pt>
                <c:pt idx="49">
                  <c:v>0.68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0.71299999999999997</c:v>
                </c:pt>
                <c:pt idx="53">
                  <c:v>0.72399999999999998</c:v>
                </c:pt>
                <c:pt idx="54">
                  <c:v>0.73499999999999999</c:v>
                </c:pt>
                <c:pt idx="55">
                  <c:v>0.746</c:v>
                </c:pt>
                <c:pt idx="56">
                  <c:v>0.75700000000000001</c:v>
                </c:pt>
                <c:pt idx="57">
                  <c:v>0.76800000000000002</c:v>
                </c:pt>
                <c:pt idx="58">
                  <c:v>0.77900000000000003</c:v>
                </c:pt>
                <c:pt idx="59">
                  <c:v>0.79</c:v>
                </c:pt>
                <c:pt idx="60">
                  <c:v>0.80100000000000005</c:v>
                </c:pt>
                <c:pt idx="61">
                  <c:v>0.81200000000000006</c:v>
                </c:pt>
                <c:pt idx="62">
                  <c:v>0.82299999999999995</c:v>
                </c:pt>
                <c:pt idx="63">
                  <c:v>0.83399999999999996</c:v>
                </c:pt>
                <c:pt idx="64">
                  <c:v>0.84499999999999997</c:v>
                </c:pt>
                <c:pt idx="65">
                  <c:v>0.85599999999999998</c:v>
                </c:pt>
                <c:pt idx="66">
                  <c:v>0.86699999999999999</c:v>
                </c:pt>
                <c:pt idx="67">
                  <c:v>0.878</c:v>
                </c:pt>
                <c:pt idx="68">
                  <c:v>0.88800000000000001</c:v>
                </c:pt>
                <c:pt idx="69">
                  <c:v>0.9</c:v>
                </c:pt>
                <c:pt idx="70">
                  <c:v>0.91100000000000003</c:v>
                </c:pt>
                <c:pt idx="71">
                  <c:v>0.92100000000000004</c:v>
                </c:pt>
                <c:pt idx="72">
                  <c:v>0.93200000000000005</c:v>
                </c:pt>
                <c:pt idx="73">
                  <c:v>0.94299999999999995</c:v>
                </c:pt>
                <c:pt idx="74">
                  <c:v>0.95399999999999996</c:v>
                </c:pt>
                <c:pt idx="75">
                  <c:v>0.96499999999999997</c:v>
                </c:pt>
                <c:pt idx="76">
                  <c:v>0.97599999999999998</c:v>
                </c:pt>
                <c:pt idx="77">
                  <c:v>0.98699999999999999</c:v>
                </c:pt>
                <c:pt idx="78">
                  <c:v>0.998</c:v>
                </c:pt>
                <c:pt idx="79">
                  <c:v>1.0089999999999999</c:v>
                </c:pt>
                <c:pt idx="80">
                  <c:v>1.0189999999999999</c:v>
                </c:pt>
                <c:pt idx="81">
                  <c:v>1.0309999999999999</c:v>
                </c:pt>
                <c:pt idx="82">
                  <c:v>1.042</c:v>
                </c:pt>
                <c:pt idx="83">
                  <c:v>1.052</c:v>
                </c:pt>
                <c:pt idx="84">
                  <c:v>1.0629999999999999</c:v>
                </c:pt>
                <c:pt idx="85">
                  <c:v>1.0740000000000001</c:v>
                </c:pt>
                <c:pt idx="86">
                  <c:v>1.0860000000000001</c:v>
                </c:pt>
                <c:pt idx="87">
                  <c:v>1.0960000000000001</c:v>
                </c:pt>
                <c:pt idx="88">
                  <c:v>1.1080000000000001</c:v>
                </c:pt>
                <c:pt idx="89">
                  <c:v>1.1180000000000001</c:v>
                </c:pt>
                <c:pt idx="90">
                  <c:v>1.129</c:v>
                </c:pt>
                <c:pt idx="91">
                  <c:v>1.1399999999999999</c:v>
                </c:pt>
                <c:pt idx="92">
                  <c:v>1.151</c:v>
                </c:pt>
                <c:pt idx="93">
                  <c:v>1.1619999999999999</c:v>
                </c:pt>
                <c:pt idx="94">
                  <c:v>1.173</c:v>
                </c:pt>
                <c:pt idx="95">
                  <c:v>1.1839999999999999</c:v>
                </c:pt>
                <c:pt idx="96">
                  <c:v>1.1950000000000001</c:v>
                </c:pt>
                <c:pt idx="97">
                  <c:v>1.206</c:v>
                </c:pt>
                <c:pt idx="98">
                  <c:v>1.2170000000000001</c:v>
                </c:pt>
                <c:pt idx="99">
                  <c:v>1.2290000000000001</c:v>
                </c:pt>
                <c:pt idx="100">
                  <c:v>1.2390000000000001</c:v>
                </c:pt>
                <c:pt idx="101">
                  <c:v>1.25</c:v>
                </c:pt>
                <c:pt idx="102">
                  <c:v>1.2609999999999999</c:v>
                </c:pt>
                <c:pt idx="103">
                  <c:v>1.272</c:v>
                </c:pt>
                <c:pt idx="104">
                  <c:v>1.2829999999999999</c:v>
                </c:pt>
                <c:pt idx="105">
                  <c:v>1.294</c:v>
                </c:pt>
                <c:pt idx="106">
                  <c:v>1.3049999999999999</c:v>
                </c:pt>
                <c:pt idx="107">
                  <c:v>1.3160000000000001</c:v>
                </c:pt>
                <c:pt idx="108">
                  <c:v>1.327</c:v>
                </c:pt>
                <c:pt idx="109">
                  <c:v>1.3380000000000001</c:v>
                </c:pt>
                <c:pt idx="110">
                  <c:v>1.349</c:v>
                </c:pt>
                <c:pt idx="111">
                  <c:v>1.359</c:v>
                </c:pt>
                <c:pt idx="112">
                  <c:v>1.371</c:v>
                </c:pt>
                <c:pt idx="113">
                  <c:v>1.381</c:v>
                </c:pt>
                <c:pt idx="114">
                  <c:v>1.393</c:v>
                </c:pt>
                <c:pt idx="115">
                  <c:v>1.4039999999999999</c:v>
                </c:pt>
                <c:pt idx="116">
                  <c:v>1.415</c:v>
                </c:pt>
                <c:pt idx="117">
                  <c:v>1.4259999999999999</c:v>
                </c:pt>
                <c:pt idx="118">
                  <c:v>1.4359999999999999</c:v>
                </c:pt>
                <c:pt idx="119">
                  <c:v>1.4470000000000001</c:v>
                </c:pt>
                <c:pt idx="120">
                  <c:v>1.458</c:v>
                </c:pt>
                <c:pt idx="121">
                  <c:v>1.47</c:v>
                </c:pt>
                <c:pt idx="122">
                  <c:v>1.48</c:v>
                </c:pt>
                <c:pt idx="123">
                  <c:v>1.4910000000000001</c:v>
                </c:pt>
                <c:pt idx="124">
                  <c:v>1.502</c:v>
                </c:pt>
                <c:pt idx="125">
                  <c:v>1.514</c:v>
                </c:pt>
                <c:pt idx="126">
                  <c:v>1.5249999999999999</c:v>
                </c:pt>
                <c:pt idx="127">
                  <c:v>1.5349999999999999</c:v>
                </c:pt>
                <c:pt idx="128">
                  <c:v>1.5469999999999999</c:v>
                </c:pt>
                <c:pt idx="129">
                  <c:v>1.5569999999999999</c:v>
                </c:pt>
                <c:pt idx="130">
                  <c:v>1.5680000000000001</c:v>
                </c:pt>
                <c:pt idx="131">
                  <c:v>1.58</c:v>
                </c:pt>
                <c:pt idx="132">
                  <c:v>1.59</c:v>
                </c:pt>
                <c:pt idx="133">
                  <c:v>1.6020000000000001</c:v>
                </c:pt>
                <c:pt idx="134">
                  <c:v>1.613</c:v>
                </c:pt>
                <c:pt idx="135">
                  <c:v>1.6240000000000001</c:v>
                </c:pt>
                <c:pt idx="136">
                  <c:v>1.6339999999999999</c:v>
                </c:pt>
                <c:pt idx="137">
                  <c:v>1.645</c:v>
                </c:pt>
                <c:pt idx="138">
                  <c:v>1.657</c:v>
                </c:pt>
                <c:pt idx="139">
                  <c:v>1.6679999999999999</c:v>
                </c:pt>
                <c:pt idx="140">
                  <c:v>1.6779999999999999</c:v>
                </c:pt>
                <c:pt idx="141">
                  <c:v>1.6890000000000001</c:v>
                </c:pt>
                <c:pt idx="142">
                  <c:v>1.7</c:v>
                </c:pt>
                <c:pt idx="143">
                  <c:v>1.7110000000000001</c:v>
                </c:pt>
                <c:pt idx="144">
                  <c:v>1.722</c:v>
                </c:pt>
                <c:pt idx="145">
                  <c:v>1.7330000000000001</c:v>
                </c:pt>
                <c:pt idx="146">
                  <c:v>1.7450000000000001</c:v>
                </c:pt>
                <c:pt idx="147">
                  <c:v>1.7549999999999999</c:v>
                </c:pt>
                <c:pt idx="148">
                  <c:v>1.766</c:v>
                </c:pt>
                <c:pt idx="149">
                  <c:v>1.7769999999999999</c:v>
                </c:pt>
                <c:pt idx="150">
                  <c:v>1.788</c:v>
                </c:pt>
                <c:pt idx="151">
                  <c:v>1.7989999999999999</c:v>
                </c:pt>
                <c:pt idx="152">
                  <c:v>1.81</c:v>
                </c:pt>
                <c:pt idx="153">
                  <c:v>1.821</c:v>
                </c:pt>
                <c:pt idx="154">
                  <c:v>1.8320000000000001</c:v>
                </c:pt>
                <c:pt idx="155">
                  <c:v>1.843</c:v>
                </c:pt>
                <c:pt idx="156">
                  <c:v>1.8540000000000001</c:v>
                </c:pt>
                <c:pt idx="157">
                  <c:v>1.865</c:v>
                </c:pt>
                <c:pt idx="158">
                  <c:v>1.8759999999999999</c:v>
                </c:pt>
                <c:pt idx="159">
                  <c:v>1.887</c:v>
                </c:pt>
                <c:pt idx="160">
                  <c:v>1.8979999999999999</c:v>
                </c:pt>
                <c:pt idx="161">
                  <c:v>1.909</c:v>
                </c:pt>
                <c:pt idx="162">
                  <c:v>1.92</c:v>
                </c:pt>
                <c:pt idx="163">
                  <c:v>1.931</c:v>
                </c:pt>
                <c:pt idx="164">
                  <c:v>1.9419999999999999</c:v>
                </c:pt>
                <c:pt idx="165">
                  <c:v>1.9530000000000001</c:v>
                </c:pt>
                <c:pt idx="166">
                  <c:v>1.964</c:v>
                </c:pt>
                <c:pt idx="167">
                  <c:v>1.9750000000000001</c:v>
                </c:pt>
                <c:pt idx="168">
                  <c:v>1.986</c:v>
                </c:pt>
                <c:pt idx="169">
                  <c:v>1.996</c:v>
                </c:pt>
                <c:pt idx="170">
                  <c:v>2.0070000000000001</c:v>
                </c:pt>
                <c:pt idx="171">
                  <c:v>2.0179999999999998</c:v>
                </c:pt>
                <c:pt idx="172">
                  <c:v>2.0289999999999999</c:v>
                </c:pt>
                <c:pt idx="173">
                  <c:v>2.04</c:v>
                </c:pt>
                <c:pt idx="174">
                  <c:v>2.0510000000000002</c:v>
                </c:pt>
                <c:pt idx="175">
                  <c:v>2.0619999999999998</c:v>
                </c:pt>
                <c:pt idx="176">
                  <c:v>2.073</c:v>
                </c:pt>
                <c:pt idx="177">
                  <c:v>2.0840000000000001</c:v>
                </c:pt>
                <c:pt idx="178">
                  <c:v>2.0950000000000002</c:v>
                </c:pt>
                <c:pt idx="179">
                  <c:v>2.105</c:v>
                </c:pt>
                <c:pt idx="180">
                  <c:v>2.117</c:v>
                </c:pt>
                <c:pt idx="181">
                  <c:v>2.1280000000000001</c:v>
                </c:pt>
                <c:pt idx="182">
                  <c:v>2.1379999999999999</c:v>
                </c:pt>
                <c:pt idx="183">
                  <c:v>2.15</c:v>
                </c:pt>
                <c:pt idx="184">
                  <c:v>2.161</c:v>
                </c:pt>
                <c:pt idx="185">
                  <c:v>2.1720000000000002</c:v>
                </c:pt>
                <c:pt idx="186">
                  <c:v>2.1829999999999998</c:v>
                </c:pt>
                <c:pt idx="187">
                  <c:v>2.1930000000000001</c:v>
                </c:pt>
                <c:pt idx="188">
                  <c:v>2.2040000000000002</c:v>
                </c:pt>
                <c:pt idx="189">
                  <c:v>2.2149999999999999</c:v>
                </c:pt>
                <c:pt idx="190">
                  <c:v>2.226</c:v>
                </c:pt>
                <c:pt idx="191">
                  <c:v>2.2370000000000001</c:v>
                </c:pt>
                <c:pt idx="192">
                  <c:v>2.2480000000000002</c:v>
                </c:pt>
                <c:pt idx="193">
                  <c:v>2.2589999999999999</c:v>
                </c:pt>
                <c:pt idx="194">
                  <c:v>2.27</c:v>
                </c:pt>
                <c:pt idx="195">
                  <c:v>2.2810000000000001</c:v>
                </c:pt>
                <c:pt idx="196">
                  <c:v>2.2930000000000001</c:v>
                </c:pt>
                <c:pt idx="197">
                  <c:v>2.3029999999999999</c:v>
                </c:pt>
                <c:pt idx="198">
                  <c:v>2.3140000000000001</c:v>
                </c:pt>
                <c:pt idx="199">
                  <c:v>2.3250000000000002</c:v>
                </c:pt>
                <c:pt idx="200">
                  <c:v>2.3359999999999999</c:v>
                </c:pt>
                <c:pt idx="201">
                  <c:v>2.347</c:v>
                </c:pt>
                <c:pt idx="202">
                  <c:v>2.3580000000000001</c:v>
                </c:pt>
                <c:pt idx="203">
                  <c:v>2.3690000000000002</c:v>
                </c:pt>
                <c:pt idx="204">
                  <c:v>2.38</c:v>
                </c:pt>
                <c:pt idx="205">
                  <c:v>2.391</c:v>
                </c:pt>
                <c:pt idx="206">
                  <c:v>2.4020000000000001</c:v>
                </c:pt>
                <c:pt idx="207">
                  <c:v>2.4129999999999998</c:v>
                </c:pt>
                <c:pt idx="208">
                  <c:v>2.423</c:v>
                </c:pt>
                <c:pt idx="209">
                  <c:v>2.4340000000000002</c:v>
                </c:pt>
                <c:pt idx="210">
                  <c:v>2.4460000000000002</c:v>
                </c:pt>
                <c:pt idx="211">
                  <c:v>2.4569999999999999</c:v>
                </c:pt>
                <c:pt idx="212">
                  <c:v>2.468</c:v>
                </c:pt>
                <c:pt idx="213">
                  <c:v>2.4780000000000002</c:v>
                </c:pt>
                <c:pt idx="214">
                  <c:v>2.4900000000000002</c:v>
                </c:pt>
                <c:pt idx="215">
                  <c:v>2.5009999999999999</c:v>
                </c:pt>
                <c:pt idx="216">
                  <c:v>2.5110000000000001</c:v>
                </c:pt>
                <c:pt idx="217">
                  <c:v>2.5219999999999998</c:v>
                </c:pt>
                <c:pt idx="218">
                  <c:v>2.5329999999999999</c:v>
                </c:pt>
                <c:pt idx="219">
                  <c:v>2.5449999999999999</c:v>
                </c:pt>
                <c:pt idx="220">
                  <c:v>2.5550000000000002</c:v>
                </c:pt>
                <c:pt idx="221">
                  <c:v>2.5659999999999998</c:v>
                </c:pt>
                <c:pt idx="222">
                  <c:v>2.577</c:v>
                </c:pt>
                <c:pt idx="223">
                  <c:v>2.5880000000000001</c:v>
                </c:pt>
                <c:pt idx="224">
                  <c:v>2.5990000000000002</c:v>
                </c:pt>
                <c:pt idx="225">
                  <c:v>2.61</c:v>
                </c:pt>
                <c:pt idx="226">
                  <c:v>2.621</c:v>
                </c:pt>
                <c:pt idx="227">
                  <c:v>2.6320000000000001</c:v>
                </c:pt>
                <c:pt idx="228">
                  <c:v>2.6429999999999998</c:v>
                </c:pt>
                <c:pt idx="229">
                  <c:v>2.6539999999999999</c:v>
                </c:pt>
                <c:pt idx="230">
                  <c:v>2.665</c:v>
                </c:pt>
                <c:pt idx="231">
                  <c:v>2.6760000000000002</c:v>
                </c:pt>
                <c:pt idx="232">
                  <c:v>2.6869999999999998</c:v>
                </c:pt>
                <c:pt idx="233">
                  <c:v>2.698</c:v>
                </c:pt>
                <c:pt idx="234">
                  <c:v>2.7090000000000001</c:v>
                </c:pt>
                <c:pt idx="235">
                  <c:v>2.72</c:v>
                </c:pt>
                <c:pt idx="236">
                  <c:v>2.7309999999999999</c:v>
                </c:pt>
                <c:pt idx="237">
                  <c:v>2.742</c:v>
                </c:pt>
                <c:pt idx="238">
                  <c:v>2.7530000000000001</c:v>
                </c:pt>
                <c:pt idx="239">
                  <c:v>2.7639999999999998</c:v>
                </c:pt>
                <c:pt idx="240">
                  <c:v>2.7749999999999999</c:v>
                </c:pt>
                <c:pt idx="241">
                  <c:v>2.786</c:v>
                </c:pt>
                <c:pt idx="242">
                  <c:v>2.7970000000000002</c:v>
                </c:pt>
                <c:pt idx="243">
                  <c:v>2.8069999999999999</c:v>
                </c:pt>
                <c:pt idx="244">
                  <c:v>2.819</c:v>
                </c:pt>
                <c:pt idx="245">
                  <c:v>2.8290000000000002</c:v>
                </c:pt>
                <c:pt idx="246">
                  <c:v>2.8410000000000002</c:v>
                </c:pt>
                <c:pt idx="247">
                  <c:v>2.851</c:v>
                </c:pt>
                <c:pt idx="248">
                  <c:v>2.863</c:v>
                </c:pt>
                <c:pt idx="249">
                  <c:v>2.8730000000000002</c:v>
                </c:pt>
                <c:pt idx="250">
                  <c:v>2.8839999999999999</c:v>
                </c:pt>
                <c:pt idx="251">
                  <c:v>2.895</c:v>
                </c:pt>
                <c:pt idx="252">
                  <c:v>2.9060000000000001</c:v>
                </c:pt>
                <c:pt idx="253">
                  <c:v>2.9169999999999998</c:v>
                </c:pt>
                <c:pt idx="254">
                  <c:v>2.9279999999999999</c:v>
                </c:pt>
                <c:pt idx="255">
                  <c:v>2.9390000000000001</c:v>
                </c:pt>
                <c:pt idx="256">
                  <c:v>2.95</c:v>
                </c:pt>
                <c:pt idx="257">
                  <c:v>2.9620000000000002</c:v>
                </c:pt>
                <c:pt idx="258">
                  <c:v>2.972</c:v>
                </c:pt>
                <c:pt idx="259">
                  <c:v>2.9820000000000002</c:v>
                </c:pt>
                <c:pt idx="260">
                  <c:v>2.9940000000000002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C6-432C-A199-93B67212CB04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DAC전압편차!$K$17:$K$277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0.28599999999999998</c:v>
                </c:pt>
                <c:pt idx="14">
                  <c:v>0.29699999999999999</c:v>
                </c:pt>
                <c:pt idx="15">
                  <c:v>0.308</c:v>
                </c:pt>
                <c:pt idx="16">
                  <c:v>0.31900000000000001</c:v>
                </c:pt>
                <c:pt idx="17">
                  <c:v>0.32900000000000001</c:v>
                </c:pt>
                <c:pt idx="18">
                  <c:v>0.34100000000000003</c:v>
                </c:pt>
                <c:pt idx="19">
                  <c:v>0.35199999999999998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0.38500000000000001</c:v>
                </c:pt>
                <c:pt idx="23">
                  <c:v>0.39600000000000002</c:v>
                </c:pt>
                <c:pt idx="24">
                  <c:v>0.40699999999999997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0.51600000000000001</c:v>
                </c:pt>
                <c:pt idx="35">
                  <c:v>0.52700000000000002</c:v>
                </c:pt>
                <c:pt idx="36">
                  <c:v>0.53800000000000003</c:v>
                </c:pt>
                <c:pt idx="37">
                  <c:v>0.54900000000000004</c:v>
                </c:pt>
                <c:pt idx="38">
                  <c:v>0.56000000000000005</c:v>
                </c:pt>
                <c:pt idx="39">
                  <c:v>0.57099999999999995</c:v>
                </c:pt>
                <c:pt idx="40">
                  <c:v>0.58199999999999996</c:v>
                </c:pt>
                <c:pt idx="41">
                  <c:v>0.59299999999999997</c:v>
                </c:pt>
                <c:pt idx="42">
                  <c:v>0.60399999999999998</c:v>
                </c:pt>
                <c:pt idx="43">
                  <c:v>0.61499999999999999</c:v>
                </c:pt>
                <c:pt idx="44">
                  <c:v>0.626</c:v>
                </c:pt>
                <c:pt idx="45">
                  <c:v>0.63700000000000001</c:v>
                </c:pt>
                <c:pt idx="46">
                  <c:v>0.64800000000000002</c:v>
                </c:pt>
                <c:pt idx="47">
                  <c:v>0.65900000000000003</c:v>
                </c:pt>
                <c:pt idx="48">
                  <c:v>0.67</c:v>
                </c:pt>
                <c:pt idx="49">
                  <c:v>0.68100000000000005</c:v>
                </c:pt>
                <c:pt idx="50">
                  <c:v>0.69199999999999995</c:v>
                </c:pt>
                <c:pt idx="51">
                  <c:v>0.70299999999999996</c:v>
                </c:pt>
                <c:pt idx="52">
                  <c:v>0.71399999999999997</c:v>
                </c:pt>
                <c:pt idx="53">
                  <c:v>0.72499999999999998</c:v>
                </c:pt>
                <c:pt idx="54">
                  <c:v>0.73599999999999999</c:v>
                </c:pt>
                <c:pt idx="55">
                  <c:v>0.747</c:v>
                </c:pt>
                <c:pt idx="56">
                  <c:v>0.75900000000000001</c:v>
                </c:pt>
                <c:pt idx="57">
                  <c:v>0.77</c:v>
                </c:pt>
                <c:pt idx="58">
                  <c:v>0.78100000000000003</c:v>
                </c:pt>
                <c:pt idx="59">
                  <c:v>0.79100000000000004</c:v>
                </c:pt>
                <c:pt idx="60">
                  <c:v>0.80200000000000005</c:v>
                </c:pt>
                <c:pt idx="61">
                  <c:v>0.81399999999999995</c:v>
                </c:pt>
                <c:pt idx="62">
                  <c:v>0.82499999999999996</c:v>
                </c:pt>
                <c:pt idx="63">
                  <c:v>0.83599999999999997</c:v>
                </c:pt>
                <c:pt idx="64">
                  <c:v>0.84599999999999997</c:v>
                </c:pt>
                <c:pt idx="65">
                  <c:v>0.85699999999999998</c:v>
                </c:pt>
                <c:pt idx="66">
                  <c:v>0.86899999999999999</c:v>
                </c:pt>
                <c:pt idx="67">
                  <c:v>0.879</c:v>
                </c:pt>
                <c:pt idx="68">
                  <c:v>0.89</c:v>
                </c:pt>
                <c:pt idx="69">
                  <c:v>0.90100000000000002</c:v>
                </c:pt>
                <c:pt idx="70">
                  <c:v>0.91200000000000003</c:v>
                </c:pt>
                <c:pt idx="71">
                  <c:v>0.92300000000000004</c:v>
                </c:pt>
                <c:pt idx="72">
                  <c:v>0.93400000000000005</c:v>
                </c:pt>
                <c:pt idx="73">
                  <c:v>0.94499999999999995</c:v>
                </c:pt>
                <c:pt idx="74">
                  <c:v>0.95599999999999996</c:v>
                </c:pt>
                <c:pt idx="75">
                  <c:v>0.96699999999999997</c:v>
                </c:pt>
                <c:pt idx="76">
                  <c:v>0.97799999999999998</c:v>
                </c:pt>
                <c:pt idx="77">
                  <c:v>0.98899999999999999</c:v>
                </c:pt>
                <c:pt idx="78">
                  <c:v>1</c:v>
                </c:pt>
                <c:pt idx="79">
                  <c:v>1.0109999999999999</c:v>
                </c:pt>
                <c:pt idx="80">
                  <c:v>1.022</c:v>
                </c:pt>
                <c:pt idx="81">
                  <c:v>1.0329999999999999</c:v>
                </c:pt>
                <c:pt idx="82">
                  <c:v>1.044</c:v>
                </c:pt>
                <c:pt idx="83">
                  <c:v>1.0549999999999999</c:v>
                </c:pt>
                <c:pt idx="84">
                  <c:v>1.0660000000000001</c:v>
                </c:pt>
                <c:pt idx="85">
                  <c:v>1.077</c:v>
                </c:pt>
                <c:pt idx="86">
                  <c:v>1.0880000000000001</c:v>
                </c:pt>
                <c:pt idx="87">
                  <c:v>1.099</c:v>
                </c:pt>
                <c:pt idx="88">
                  <c:v>1.1100000000000001</c:v>
                </c:pt>
                <c:pt idx="89">
                  <c:v>1.121</c:v>
                </c:pt>
                <c:pt idx="90">
                  <c:v>1.1319999999999999</c:v>
                </c:pt>
                <c:pt idx="91">
                  <c:v>1.143</c:v>
                </c:pt>
                <c:pt idx="92">
                  <c:v>1.1539999999999999</c:v>
                </c:pt>
                <c:pt idx="93">
                  <c:v>1.165</c:v>
                </c:pt>
                <c:pt idx="94">
                  <c:v>1.1759999999999999</c:v>
                </c:pt>
                <c:pt idx="95">
                  <c:v>1.1870000000000001</c:v>
                </c:pt>
                <c:pt idx="96">
                  <c:v>1.198</c:v>
                </c:pt>
                <c:pt idx="97">
                  <c:v>1.2090000000000001</c:v>
                </c:pt>
                <c:pt idx="98">
                  <c:v>1.22</c:v>
                </c:pt>
                <c:pt idx="99">
                  <c:v>1.2310000000000001</c:v>
                </c:pt>
                <c:pt idx="100">
                  <c:v>1.2410000000000001</c:v>
                </c:pt>
                <c:pt idx="101">
                  <c:v>1.2529999999999999</c:v>
                </c:pt>
                <c:pt idx="102">
                  <c:v>1.2629999999999999</c:v>
                </c:pt>
                <c:pt idx="103">
                  <c:v>1.2749999999999999</c:v>
                </c:pt>
                <c:pt idx="104">
                  <c:v>1.286</c:v>
                </c:pt>
                <c:pt idx="105">
                  <c:v>1.296</c:v>
                </c:pt>
                <c:pt idx="106">
                  <c:v>1.3069999999999999</c:v>
                </c:pt>
                <c:pt idx="107">
                  <c:v>1.319</c:v>
                </c:pt>
                <c:pt idx="108">
                  <c:v>1.329</c:v>
                </c:pt>
                <c:pt idx="109">
                  <c:v>1.34</c:v>
                </c:pt>
                <c:pt idx="110">
                  <c:v>1.351</c:v>
                </c:pt>
                <c:pt idx="111">
                  <c:v>1.3620000000000001</c:v>
                </c:pt>
                <c:pt idx="112">
                  <c:v>1.373</c:v>
                </c:pt>
                <c:pt idx="113">
                  <c:v>1.3839999999999999</c:v>
                </c:pt>
                <c:pt idx="114">
                  <c:v>1.395</c:v>
                </c:pt>
                <c:pt idx="115">
                  <c:v>1.4059999999999999</c:v>
                </c:pt>
                <c:pt idx="116">
                  <c:v>1.417</c:v>
                </c:pt>
                <c:pt idx="117">
                  <c:v>1.4279999999999999</c:v>
                </c:pt>
                <c:pt idx="118">
                  <c:v>1.4390000000000001</c:v>
                </c:pt>
                <c:pt idx="119">
                  <c:v>1.45</c:v>
                </c:pt>
                <c:pt idx="120">
                  <c:v>1.4610000000000001</c:v>
                </c:pt>
                <c:pt idx="121">
                  <c:v>1.472</c:v>
                </c:pt>
                <c:pt idx="122">
                  <c:v>1.4830000000000001</c:v>
                </c:pt>
                <c:pt idx="123">
                  <c:v>1.494</c:v>
                </c:pt>
                <c:pt idx="124">
                  <c:v>1.5049999999999999</c:v>
                </c:pt>
                <c:pt idx="125">
                  <c:v>1.516</c:v>
                </c:pt>
                <c:pt idx="126">
                  <c:v>1.5269999999999999</c:v>
                </c:pt>
                <c:pt idx="127">
                  <c:v>1.538</c:v>
                </c:pt>
                <c:pt idx="128">
                  <c:v>1.5489999999999999</c:v>
                </c:pt>
                <c:pt idx="129">
                  <c:v>1.56</c:v>
                </c:pt>
                <c:pt idx="130">
                  <c:v>1.571</c:v>
                </c:pt>
                <c:pt idx="131">
                  <c:v>1.5820000000000001</c:v>
                </c:pt>
                <c:pt idx="132">
                  <c:v>1.5920000000000001</c:v>
                </c:pt>
                <c:pt idx="133">
                  <c:v>1.6040000000000001</c:v>
                </c:pt>
                <c:pt idx="134">
                  <c:v>1.615</c:v>
                </c:pt>
                <c:pt idx="135">
                  <c:v>1.625</c:v>
                </c:pt>
                <c:pt idx="136">
                  <c:v>1.637</c:v>
                </c:pt>
                <c:pt idx="137">
                  <c:v>1.6479999999999999</c:v>
                </c:pt>
                <c:pt idx="138">
                  <c:v>1.659</c:v>
                </c:pt>
                <c:pt idx="139">
                  <c:v>1.67</c:v>
                </c:pt>
                <c:pt idx="140">
                  <c:v>1.681</c:v>
                </c:pt>
                <c:pt idx="141">
                  <c:v>1.6910000000000001</c:v>
                </c:pt>
                <c:pt idx="142">
                  <c:v>1.7030000000000001</c:v>
                </c:pt>
                <c:pt idx="143">
                  <c:v>1.7130000000000001</c:v>
                </c:pt>
                <c:pt idx="144">
                  <c:v>1.724</c:v>
                </c:pt>
                <c:pt idx="145">
                  <c:v>1.7350000000000001</c:v>
                </c:pt>
                <c:pt idx="146">
                  <c:v>1.7470000000000001</c:v>
                </c:pt>
                <c:pt idx="147">
                  <c:v>1.758</c:v>
                </c:pt>
                <c:pt idx="148">
                  <c:v>1.768</c:v>
                </c:pt>
                <c:pt idx="149">
                  <c:v>1.7789999999999999</c:v>
                </c:pt>
                <c:pt idx="150">
                  <c:v>1.7909999999999999</c:v>
                </c:pt>
                <c:pt idx="151">
                  <c:v>1.8009999999999999</c:v>
                </c:pt>
                <c:pt idx="152">
                  <c:v>1.8120000000000001</c:v>
                </c:pt>
                <c:pt idx="153">
                  <c:v>1.8220000000000001</c:v>
                </c:pt>
                <c:pt idx="154">
                  <c:v>1.8340000000000001</c:v>
                </c:pt>
                <c:pt idx="155">
                  <c:v>1.845</c:v>
                </c:pt>
                <c:pt idx="156">
                  <c:v>1.8560000000000001</c:v>
                </c:pt>
                <c:pt idx="157">
                  <c:v>1.867</c:v>
                </c:pt>
                <c:pt idx="158">
                  <c:v>1.877</c:v>
                </c:pt>
                <c:pt idx="159">
                  <c:v>1.889</c:v>
                </c:pt>
                <c:pt idx="160">
                  <c:v>1.9</c:v>
                </c:pt>
                <c:pt idx="161">
                  <c:v>1.911</c:v>
                </c:pt>
                <c:pt idx="162">
                  <c:v>1.921</c:v>
                </c:pt>
                <c:pt idx="163">
                  <c:v>1.9330000000000001</c:v>
                </c:pt>
                <c:pt idx="164">
                  <c:v>1.944</c:v>
                </c:pt>
                <c:pt idx="165">
                  <c:v>1.9550000000000001</c:v>
                </c:pt>
                <c:pt idx="166">
                  <c:v>1.966</c:v>
                </c:pt>
                <c:pt idx="167">
                  <c:v>1.9770000000000001</c:v>
                </c:pt>
                <c:pt idx="168">
                  <c:v>1.988</c:v>
                </c:pt>
                <c:pt idx="169">
                  <c:v>1.998</c:v>
                </c:pt>
                <c:pt idx="170">
                  <c:v>2.0089999999999999</c:v>
                </c:pt>
                <c:pt idx="171">
                  <c:v>2.02</c:v>
                </c:pt>
                <c:pt idx="172">
                  <c:v>2.0310000000000001</c:v>
                </c:pt>
                <c:pt idx="173">
                  <c:v>2.0419999999999998</c:v>
                </c:pt>
                <c:pt idx="174">
                  <c:v>2.0529999999999999</c:v>
                </c:pt>
                <c:pt idx="175">
                  <c:v>2.0640000000000001</c:v>
                </c:pt>
                <c:pt idx="176">
                  <c:v>2.0750000000000002</c:v>
                </c:pt>
                <c:pt idx="177">
                  <c:v>2.0859999999999999</c:v>
                </c:pt>
                <c:pt idx="178">
                  <c:v>2.097</c:v>
                </c:pt>
                <c:pt idx="179">
                  <c:v>2.1080000000000001</c:v>
                </c:pt>
                <c:pt idx="180">
                  <c:v>2.1190000000000002</c:v>
                </c:pt>
                <c:pt idx="181">
                  <c:v>2.13</c:v>
                </c:pt>
                <c:pt idx="182">
                  <c:v>2.141</c:v>
                </c:pt>
                <c:pt idx="183">
                  <c:v>2.1520000000000001</c:v>
                </c:pt>
                <c:pt idx="184">
                  <c:v>2.1629999999999998</c:v>
                </c:pt>
                <c:pt idx="185">
                  <c:v>2.1739999999999999</c:v>
                </c:pt>
                <c:pt idx="186">
                  <c:v>2.1850000000000001</c:v>
                </c:pt>
                <c:pt idx="187">
                  <c:v>2.1960000000000002</c:v>
                </c:pt>
                <c:pt idx="188">
                  <c:v>2.2069999999999999</c:v>
                </c:pt>
                <c:pt idx="189">
                  <c:v>2.2170000000000001</c:v>
                </c:pt>
                <c:pt idx="190">
                  <c:v>2.2290000000000001</c:v>
                </c:pt>
                <c:pt idx="191">
                  <c:v>2.2400000000000002</c:v>
                </c:pt>
                <c:pt idx="192">
                  <c:v>2.25</c:v>
                </c:pt>
                <c:pt idx="193">
                  <c:v>2.262</c:v>
                </c:pt>
                <c:pt idx="194">
                  <c:v>2.2730000000000001</c:v>
                </c:pt>
                <c:pt idx="195">
                  <c:v>2.2839999999999998</c:v>
                </c:pt>
                <c:pt idx="196">
                  <c:v>2.2949999999999999</c:v>
                </c:pt>
                <c:pt idx="197">
                  <c:v>2.306</c:v>
                </c:pt>
                <c:pt idx="198">
                  <c:v>2.3170000000000002</c:v>
                </c:pt>
                <c:pt idx="199">
                  <c:v>2.3279999999999998</c:v>
                </c:pt>
                <c:pt idx="200">
                  <c:v>2.339</c:v>
                </c:pt>
                <c:pt idx="201">
                  <c:v>2.351</c:v>
                </c:pt>
                <c:pt idx="202">
                  <c:v>2.3620000000000001</c:v>
                </c:pt>
                <c:pt idx="203">
                  <c:v>2.3719999999999999</c:v>
                </c:pt>
                <c:pt idx="204">
                  <c:v>2.383</c:v>
                </c:pt>
                <c:pt idx="205">
                  <c:v>2.3940000000000001</c:v>
                </c:pt>
                <c:pt idx="206">
                  <c:v>2.4060000000000001</c:v>
                </c:pt>
                <c:pt idx="207">
                  <c:v>2.4169999999999998</c:v>
                </c:pt>
                <c:pt idx="208">
                  <c:v>2.4279999999999999</c:v>
                </c:pt>
                <c:pt idx="209">
                  <c:v>2.4380000000000002</c:v>
                </c:pt>
                <c:pt idx="210">
                  <c:v>2.4489999999999998</c:v>
                </c:pt>
                <c:pt idx="211">
                  <c:v>2.4609999999999999</c:v>
                </c:pt>
                <c:pt idx="212">
                  <c:v>2.472</c:v>
                </c:pt>
                <c:pt idx="213">
                  <c:v>2.4820000000000002</c:v>
                </c:pt>
                <c:pt idx="214">
                  <c:v>2.4940000000000002</c:v>
                </c:pt>
                <c:pt idx="215">
                  <c:v>2.5049999999999999</c:v>
                </c:pt>
                <c:pt idx="216">
                  <c:v>2.516</c:v>
                </c:pt>
                <c:pt idx="217">
                  <c:v>2.5270000000000001</c:v>
                </c:pt>
                <c:pt idx="218">
                  <c:v>2.5390000000000001</c:v>
                </c:pt>
                <c:pt idx="219">
                  <c:v>2.5489999999999999</c:v>
                </c:pt>
                <c:pt idx="220">
                  <c:v>2.56</c:v>
                </c:pt>
                <c:pt idx="221">
                  <c:v>2.5710000000000002</c:v>
                </c:pt>
                <c:pt idx="222">
                  <c:v>2.5819999999999999</c:v>
                </c:pt>
                <c:pt idx="223">
                  <c:v>2.593</c:v>
                </c:pt>
                <c:pt idx="224">
                  <c:v>2.6040000000000001</c:v>
                </c:pt>
                <c:pt idx="225">
                  <c:v>2.6150000000000002</c:v>
                </c:pt>
                <c:pt idx="226">
                  <c:v>2.6259999999999999</c:v>
                </c:pt>
                <c:pt idx="227">
                  <c:v>2.6379999999999999</c:v>
                </c:pt>
                <c:pt idx="228">
                  <c:v>2.6480000000000001</c:v>
                </c:pt>
                <c:pt idx="229">
                  <c:v>2.6589999999999998</c:v>
                </c:pt>
                <c:pt idx="230">
                  <c:v>2.67</c:v>
                </c:pt>
                <c:pt idx="231">
                  <c:v>2.681</c:v>
                </c:pt>
                <c:pt idx="232">
                  <c:v>2.6920000000000002</c:v>
                </c:pt>
                <c:pt idx="233">
                  <c:v>2.7029999999999998</c:v>
                </c:pt>
                <c:pt idx="234">
                  <c:v>2.714</c:v>
                </c:pt>
                <c:pt idx="235">
                  <c:v>2.7250000000000001</c:v>
                </c:pt>
                <c:pt idx="236">
                  <c:v>2.7360000000000002</c:v>
                </c:pt>
                <c:pt idx="237">
                  <c:v>2.7480000000000002</c:v>
                </c:pt>
                <c:pt idx="238">
                  <c:v>2.758</c:v>
                </c:pt>
                <c:pt idx="239">
                  <c:v>2.7690000000000001</c:v>
                </c:pt>
                <c:pt idx="240">
                  <c:v>2.78</c:v>
                </c:pt>
                <c:pt idx="241">
                  <c:v>2.7919999999999998</c:v>
                </c:pt>
                <c:pt idx="242">
                  <c:v>2.802</c:v>
                </c:pt>
                <c:pt idx="243">
                  <c:v>2.8130000000000002</c:v>
                </c:pt>
                <c:pt idx="244">
                  <c:v>2.8239999999999998</c:v>
                </c:pt>
                <c:pt idx="245">
                  <c:v>2.835</c:v>
                </c:pt>
                <c:pt idx="246">
                  <c:v>2.8460000000000001</c:v>
                </c:pt>
                <c:pt idx="247">
                  <c:v>2.8570000000000002</c:v>
                </c:pt>
                <c:pt idx="248">
                  <c:v>2.8679999999999999</c:v>
                </c:pt>
                <c:pt idx="249">
                  <c:v>2.879</c:v>
                </c:pt>
                <c:pt idx="250">
                  <c:v>2.8889999999999998</c:v>
                </c:pt>
                <c:pt idx="251">
                  <c:v>2.9009999999999998</c:v>
                </c:pt>
                <c:pt idx="252">
                  <c:v>2.9119999999999999</c:v>
                </c:pt>
                <c:pt idx="253">
                  <c:v>2.923</c:v>
                </c:pt>
                <c:pt idx="254">
                  <c:v>2.9340000000000002</c:v>
                </c:pt>
                <c:pt idx="255">
                  <c:v>2.9449999999999998</c:v>
                </c:pt>
                <c:pt idx="256">
                  <c:v>2.956</c:v>
                </c:pt>
                <c:pt idx="257">
                  <c:v>2.9670000000000001</c:v>
                </c:pt>
                <c:pt idx="258">
                  <c:v>2.9780000000000002</c:v>
                </c:pt>
                <c:pt idx="259">
                  <c:v>2.9889999999999999</c:v>
                </c:pt>
                <c:pt idx="26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C6-432C-A199-93B67212CB04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DAC전압편차!$L$17:$L$277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0.28599999999999998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0.51600000000000001</c:v>
                </c:pt>
                <c:pt idx="35">
                  <c:v>0.52700000000000002</c:v>
                </c:pt>
                <c:pt idx="36">
                  <c:v>0.53800000000000003</c:v>
                </c:pt>
                <c:pt idx="37">
                  <c:v>0.54800000000000004</c:v>
                </c:pt>
                <c:pt idx="38">
                  <c:v>0.55900000000000005</c:v>
                </c:pt>
                <c:pt idx="39">
                  <c:v>0.56999999999999995</c:v>
                </c:pt>
                <c:pt idx="40">
                  <c:v>0.58099999999999996</c:v>
                </c:pt>
                <c:pt idx="41">
                  <c:v>0.59199999999999997</c:v>
                </c:pt>
                <c:pt idx="42">
                  <c:v>0.60299999999999998</c:v>
                </c:pt>
                <c:pt idx="43">
                  <c:v>0.61399999999999999</c:v>
                </c:pt>
                <c:pt idx="44">
                  <c:v>0.625</c:v>
                </c:pt>
                <c:pt idx="45">
                  <c:v>0.63600000000000001</c:v>
                </c:pt>
                <c:pt idx="46">
                  <c:v>0.64700000000000002</c:v>
                </c:pt>
                <c:pt idx="47">
                  <c:v>0.65800000000000003</c:v>
                </c:pt>
                <c:pt idx="48">
                  <c:v>0.66900000000000004</c:v>
                </c:pt>
                <c:pt idx="49">
                  <c:v>0.67900000000000005</c:v>
                </c:pt>
                <c:pt idx="50">
                  <c:v>0.69</c:v>
                </c:pt>
                <c:pt idx="51">
                  <c:v>0.70099999999999996</c:v>
                </c:pt>
                <c:pt idx="52">
                  <c:v>0.71199999999999997</c:v>
                </c:pt>
                <c:pt idx="53">
                  <c:v>0.72299999999999998</c:v>
                </c:pt>
                <c:pt idx="54">
                  <c:v>0.73399999999999999</c:v>
                </c:pt>
                <c:pt idx="55">
                  <c:v>0.745</c:v>
                </c:pt>
                <c:pt idx="56">
                  <c:v>0.75600000000000001</c:v>
                </c:pt>
                <c:pt idx="57">
                  <c:v>0.76700000000000002</c:v>
                </c:pt>
                <c:pt idx="58">
                  <c:v>0.77800000000000002</c:v>
                </c:pt>
                <c:pt idx="59">
                  <c:v>0.78900000000000003</c:v>
                </c:pt>
                <c:pt idx="60">
                  <c:v>0.8</c:v>
                </c:pt>
                <c:pt idx="61">
                  <c:v>0.81100000000000005</c:v>
                </c:pt>
                <c:pt idx="62">
                  <c:v>0.82199999999999995</c:v>
                </c:pt>
                <c:pt idx="63">
                  <c:v>0.83299999999999996</c:v>
                </c:pt>
                <c:pt idx="64">
                  <c:v>0.84399999999999997</c:v>
                </c:pt>
                <c:pt idx="65">
                  <c:v>0.85499999999999998</c:v>
                </c:pt>
                <c:pt idx="66">
                  <c:v>0.86599999999999999</c:v>
                </c:pt>
                <c:pt idx="67">
                  <c:v>0.876</c:v>
                </c:pt>
                <c:pt idx="68">
                  <c:v>0.88700000000000001</c:v>
                </c:pt>
                <c:pt idx="69">
                  <c:v>0.89800000000000002</c:v>
                </c:pt>
                <c:pt idx="70">
                  <c:v>0.90900000000000003</c:v>
                </c:pt>
                <c:pt idx="71">
                  <c:v>0.92</c:v>
                </c:pt>
                <c:pt idx="72">
                  <c:v>0.93100000000000005</c:v>
                </c:pt>
                <c:pt idx="73">
                  <c:v>0.94199999999999995</c:v>
                </c:pt>
                <c:pt idx="74">
                  <c:v>0.95299999999999996</c:v>
                </c:pt>
                <c:pt idx="75">
                  <c:v>0.96399999999999997</c:v>
                </c:pt>
                <c:pt idx="76">
                  <c:v>0.97499999999999998</c:v>
                </c:pt>
                <c:pt idx="77">
                  <c:v>0.98599999999999999</c:v>
                </c:pt>
                <c:pt idx="78">
                  <c:v>0.997</c:v>
                </c:pt>
                <c:pt idx="79">
                  <c:v>1.008</c:v>
                </c:pt>
                <c:pt idx="80">
                  <c:v>1.0189999999999999</c:v>
                </c:pt>
                <c:pt idx="81">
                  <c:v>1.03</c:v>
                </c:pt>
                <c:pt idx="82">
                  <c:v>1.0409999999999999</c:v>
                </c:pt>
                <c:pt idx="83">
                  <c:v>1.052</c:v>
                </c:pt>
                <c:pt idx="84">
                  <c:v>1.0629999999999999</c:v>
                </c:pt>
                <c:pt idx="85">
                  <c:v>1.0740000000000001</c:v>
                </c:pt>
                <c:pt idx="86">
                  <c:v>1.085</c:v>
                </c:pt>
                <c:pt idx="87">
                  <c:v>1.0960000000000001</c:v>
                </c:pt>
                <c:pt idx="88">
                  <c:v>1.107</c:v>
                </c:pt>
                <c:pt idx="89">
                  <c:v>1.117</c:v>
                </c:pt>
                <c:pt idx="90">
                  <c:v>1.129</c:v>
                </c:pt>
                <c:pt idx="91">
                  <c:v>1.1399999999999999</c:v>
                </c:pt>
                <c:pt idx="92">
                  <c:v>1.1499999999999999</c:v>
                </c:pt>
                <c:pt idx="93">
                  <c:v>1.161</c:v>
                </c:pt>
                <c:pt idx="94">
                  <c:v>1.1719999999999999</c:v>
                </c:pt>
                <c:pt idx="95">
                  <c:v>1.1830000000000001</c:v>
                </c:pt>
                <c:pt idx="96">
                  <c:v>1.194</c:v>
                </c:pt>
                <c:pt idx="97">
                  <c:v>1.2050000000000001</c:v>
                </c:pt>
                <c:pt idx="98">
                  <c:v>1.216</c:v>
                </c:pt>
                <c:pt idx="99">
                  <c:v>1.2270000000000001</c:v>
                </c:pt>
                <c:pt idx="100">
                  <c:v>1.238</c:v>
                </c:pt>
                <c:pt idx="101">
                  <c:v>1.2490000000000001</c:v>
                </c:pt>
                <c:pt idx="102">
                  <c:v>1.2589999999999999</c:v>
                </c:pt>
                <c:pt idx="103">
                  <c:v>1.27</c:v>
                </c:pt>
                <c:pt idx="104">
                  <c:v>1.282</c:v>
                </c:pt>
                <c:pt idx="105">
                  <c:v>1.2929999999999999</c:v>
                </c:pt>
                <c:pt idx="106">
                  <c:v>1.3029999999999999</c:v>
                </c:pt>
                <c:pt idx="107">
                  <c:v>1.3140000000000001</c:v>
                </c:pt>
                <c:pt idx="108">
                  <c:v>1.325</c:v>
                </c:pt>
                <c:pt idx="109">
                  <c:v>1.3360000000000001</c:v>
                </c:pt>
                <c:pt idx="110">
                  <c:v>1.347</c:v>
                </c:pt>
                <c:pt idx="111">
                  <c:v>1.3580000000000001</c:v>
                </c:pt>
                <c:pt idx="112">
                  <c:v>1.369</c:v>
                </c:pt>
                <c:pt idx="113">
                  <c:v>1.38</c:v>
                </c:pt>
                <c:pt idx="114">
                  <c:v>1.391</c:v>
                </c:pt>
                <c:pt idx="115">
                  <c:v>1.4019999999999999</c:v>
                </c:pt>
                <c:pt idx="116">
                  <c:v>1.413</c:v>
                </c:pt>
                <c:pt idx="117">
                  <c:v>1.4239999999999999</c:v>
                </c:pt>
                <c:pt idx="118">
                  <c:v>1.4350000000000001</c:v>
                </c:pt>
                <c:pt idx="119">
                  <c:v>1.446</c:v>
                </c:pt>
                <c:pt idx="120">
                  <c:v>1.4570000000000001</c:v>
                </c:pt>
                <c:pt idx="121">
                  <c:v>1.468</c:v>
                </c:pt>
                <c:pt idx="122">
                  <c:v>1.4790000000000001</c:v>
                </c:pt>
                <c:pt idx="123">
                  <c:v>1.49</c:v>
                </c:pt>
                <c:pt idx="124">
                  <c:v>1.5009999999999999</c:v>
                </c:pt>
                <c:pt idx="125">
                  <c:v>1.512</c:v>
                </c:pt>
                <c:pt idx="126">
                  <c:v>1.5229999999999999</c:v>
                </c:pt>
                <c:pt idx="127">
                  <c:v>1.534</c:v>
                </c:pt>
                <c:pt idx="128">
                  <c:v>1.5449999999999999</c:v>
                </c:pt>
                <c:pt idx="129">
                  <c:v>1.556</c:v>
                </c:pt>
                <c:pt idx="130">
                  <c:v>1.5669999999999999</c:v>
                </c:pt>
                <c:pt idx="131">
                  <c:v>1.5780000000000001</c:v>
                </c:pt>
                <c:pt idx="132">
                  <c:v>1.589</c:v>
                </c:pt>
                <c:pt idx="133">
                  <c:v>1.6</c:v>
                </c:pt>
                <c:pt idx="134">
                  <c:v>1.611</c:v>
                </c:pt>
                <c:pt idx="135">
                  <c:v>1.6220000000000001</c:v>
                </c:pt>
                <c:pt idx="136">
                  <c:v>1.633</c:v>
                </c:pt>
                <c:pt idx="137">
                  <c:v>1.6439999999999999</c:v>
                </c:pt>
                <c:pt idx="138">
                  <c:v>1.655</c:v>
                </c:pt>
                <c:pt idx="139">
                  <c:v>1.6659999999999999</c:v>
                </c:pt>
                <c:pt idx="140">
                  <c:v>1.677</c:v>
                </c:pt>
                <c:pt idx="141">
                  <c:v>1.6879999999999999</c:v>
                </c:pt>
                <c:pt idx="142">
                  <c:v>1.6990000000000001</c:v>
                </c:pt>
                <c:pt idx="143">
                  <c:v>1.71</c:v>
                </c:pt>
                <c:pt idx="144">
                  <c:v>1.7210000000000001</c:v>
                </c:pt>
                <c:pt idx="145">
                  <c:v>1.732</c:v>
                </c:pt>
                <c:pt idx="146">
                  <c:v>1.7430000000000001</c:v>
                </c:pt>
                <c:pt idx="147">
                  <c:v>1.754</c:v>
                </c:pt>
                <c:pt idx="148">
                  <c:v>1.7649999999999999</c:v>
                </c:pt>
                <c:pt idx="149">
                  <c:v>1.7749999999999999</c:v>
                </c:pt>
                <c:pt idx="150">
                  <c:v>1.7869999999999999</c:v>
                </c:pt>
                <c:pt idx="151">
                  <c:v>1.798</c:v>
                </c:pt>
                <c:pt idx="152">
                  <c:v>1.8089999999999999</c:v>
                </c:pt>
                <c:pt idx="153">
                  <c:v>1.819</c:v>
                </c:pt>
                <c:pt idx="154">
                  <c:v>1.831</c:v>
                </c:pt>
                <c:pt idx="155">
                  <c:v>1.8420000000000001</c:v>
                </c:pt>
                <c:pt idx="156">
                  <c:v>1.853</c:v>
                </c:pt>
                <c:pt idx="157">
                  <c:v>1.863</c:v>
                </c:pt>
                <c:pt idx="158">
                  <c:v>1.875</c:v>
                </c:pt>
                <c:pt idx="159">
                  <c:v>1.8859999999999999</c:v>
                </c:pt>
                <c:pt idx="160">
                  <c:v>1.897</c:v>
                </c:pt>
                <c:pt idx="161">
                  <c:v>1.9079999999999999</c:v>
                </c:pt>
                <c:pt idx="162">
                  <c:v>1.919</c:v>
                </c:pt>
                <c:pt idx="163">
                  <c:v>1.93</c:v>
                </c:pt>
                <c:pt idx="164">
                  <c:v>1.9410000000000001</c:v>
                </c:pt>
                <c:pt idx="165">
                  <c:v>1.952</c:v>
                </c:pt>
                <c:pt idx="166">
                  <c:v>1.9630000000000001</c:v>
                </c:pt>
                <c:pt idx="167">
                  <c:v>1.974</c:v>
                </c:pt>
                <c:pt idx="168">
                  <c:v>1.9850000000000001</c:v>
                </c:pt>
                <c:pt idx="169">
                  <c:v>1.9950000000000001</c:v>
                </c:pt>
                <c:pt idx="170">
                  <c:v>2.0059999999999998</c:v>
                </c:pt>
                <c:pt idx="171">
                  <c:v>2.0169999999999999</c:v>
                </c:pt>
                <c:pt idx="172">
                  <c:v>2.028</c:v>
                </c:pt>
                <c:pt idx="173">
                  <c:v>2.0390000000000001</c:v>
                </c:pt>
                <c:pt idx="174">
                  <c:v>2.0499999999999998</c:v>
                </c:pt>
                <c:pt idx="175">
                  <c:v>2.0619999999999998</c:v>
                </c:pt>
                <c:pt idx="176">
                  <c:v>2.0720000000000001</c:v>
                </c:pt>
                <c:pt idx="177">
                  <c:v>2.0830000000000002</c:v>
                </c:pt>
                <c:pt idx="178">
                  <c:v>2.0939999999999999</c:v>
                </c:pt>
                <c:pt idx="179">
                  <c:v>2.1040000000000001</c:v>
                </c:pt>
                <c:pt idx="180">
                  <c:v>2.1160000000000001</c:v>
                </c:pt>
                <c:pt idx="181">
                  <c:v>2.1269999999999998</c:v>
                </c:pt>
                <c:pt idx="182">
                  <c:v>2.1379999999999999</c:v>
                </c:pt>
                <c:pt idx="183">
                  <c:v>2.1480000000000001</c:v>
                </c:pt>
                <c:pt idx="184">
                  <c:v>2.1589999999999998</c:v>
                </c:pt>
                <c:pt idx="185">
                  <c:v>2.17</c:v>
                </c:pt>
                <c:pt idx="186">
                  <c:v>2.181</c:v>
                </c:pt>
                <c:pt idx="187">
                  <c:v>2.1909999999999998</c:v>
                </c:pt>
                <c:pt idx="188">
                  <c:v>2.202</c:v>
                </c:pt>
                <c:pt idx="189">
                  <c:v>2.214</c:v>
                </c:pt>
                <c:pt idx="190">
                  <c:v>2.2240000000000002</c:v>
                </c:pt>
                <c:pt idx="191">
                  <c:v>2.2349999999999999</c:v>
                </c:pt>
                <c:pt idx="192">
                  <c:v>2.246</c:v>
                </c:pt>
                <c:pt idx="193">
                  <c:v>2.2570000000000001</c:v>
                </c:pt>
                <c:pt idx="194">
                  <c:v>2.2669999999999999</c:v>
                </c:pt>
                <c:pt idx="195">
                  <c:v>2.278</c:v>
                </c:pt>
                <c:pt idx="196">
                  <c:v>2.2890000000000001</c:v>
                </c:pt>
                <c:pt idx="197">
                  <c:v>2.2999999999999998</c:v>
                </c:pt>
                <c:pt idx="198">
                  <c:v>2.3109999999999999</c:v>
                </c:pt>
                <c:pt idx="199">
                  <c:v>2.3210000000000002</c:v>
                </c:pt>
                <c:pt idx="200">
                  <c:v>2.3319999999999999</c:v>
                </c:pt>
                <c:pt idx="201">
                  <c:v>2.343</c:v>
                </c:pt>
                <c:pt idx="202">
                  <c:v>2.3540000000000001</c:v>
                </c:pt>
                <c:pt idx="203">
                  <c:v>2.3639999999999999</c:v>
                </c:pt>
                <c:pt idx="204">
                  <c:v>2.375</c:v>
                </c:pt>
                <c:pt idx="205">
                  <c:v>2.3860000000000001</c:v>
                </c:pt>
                <c:pt idx="206">
                  <c:v>2.3969999999999998</c:v>
                </c:pt>
                <c:pt idx="207">
                  <c:v>2.4079999999999999</c:v>
                </c:pt>
                <c:pt idx="208">
                  <c:v>2.4180000000000001</c:v>
                </c:pt>
                <c:pt idx="209">
                  <c:v>2.4289999999999998</c:v>
                </c:pt>
                <c:pt idx="210">
                  <c:v>2.44</c:v>
                </c:pt>
                <c:pt idx="211">
                  <c:v>2.4510000000000001</c:v>
                </c:pt>
                <c:pt idx="212">
                  <c:v>2.4630000000000001</c:v>
                </c:pt>
                <c:pt idx="213">
                  <c:v>2.4740000000000002</c:v>
                </c:pt>
                <c:pt idx="214">
                  <c:v>2.4849999999999999</c:v>
                </c:pt>
                <c:pt idx="215">
                  <c:v>2.4950000000000001</c:v>
                </c:pt>
                <c:pt idx="216">
                  <c:v>2.5070000000000001</c:v>
                </c:pt>
                <c:pt idx="217">
                  <c:v>2.5169999999999999</c:v>
                </c:pt>
                <c:pt idx="218">
                  <c:v>2.528</c:v>
                </c:pt>
                <c:pt idx="219">
                  <c:v>2.5390000000000001</c:v>
                </c:pt>
                <c:pt idx="220">
                  <c:v>2.5510000000000002</c:v>
                </c:pt>
                <c:pt idx="221">
                  <c:v>2.5619999999999998</c:v>
                </c:pt>
                <c:pt idx="222">
                  <c:v>2.5720000000000001</c:v>
                </c:pt>
                <c:pt idx="223">
                  <c:v>2.5830000000000002</c:v>
                </c:pt>
                <c:pt idx="224">
                  <c:v>2.5950000000000002</c:v>
                </c:pt>
                <c:pt idx="225">
                  <c:v>2.605</c:v>
                </c:pt>
                <c:pt idx="226">
                  <c:v>2.6160000000000001</c:v>
                </c:pt>
                <c:pt idx="227">
                  <c:v>2.6280000000000001</c:v>
                </c:pt>
                <c:pt idx="228">
                  <c:v>2.6379999999999999</c:v>
                </c:pt>
                <c:pt idx="229">
                  <c:v>2.649</c:v>
                </c:pt>
                <c:pt idx="230">
                  <c:v>2.66</c:v>
                </c:pt>
                <c:pt idx="231">
                  <c:v>2.6720000000000002</c:v>
                </c:pt>
                <c:pt idx="232">
                  <c:v>2.6819999999999999</c:v>
                </c:pt>
                <c:pt idx="233">
                  <c:v>2.6930000000000001</c:v>
                </c:pt>
                <c:pt idx="234">
                  <c:v>2.7040000000000002</c:v>
                </c:pt>
                <c:pt idx="235">
                  <c:v>2.7149999999999999</c:v>
                </c:pt>
                <c:pt idx="236">
                  <c:v>2.726</c:v>
                </c:pt>
                <c:pt idx="237">
                  <c:v>2.738</c:v>
                </c:pt>
                <c:pt idx="238">
                  <c:v>2.7480000000000002</c:v>
                </c:pt>
                <c:pt idx="239">
                  <c:v>2.7589999999999999</c:v>
                </c:pt>
                <c:pt idx="240">
                  <c:v>2.77</c:v>
                </c:pt>
                <c:pt idx="241">
                  <c:v>2.7810000000000001</c:v>
                </c:pt>
                <c:pt idx="242">
                  <c:v>2.7919999999999998</c:v>
                </c:pt>
                <c:pt idx="243">
                  <c:v>2.8029999999999999</c:v>
                </c:pt>
                <c:pt idx="244">
                  <c:v>2.8140000000000001</c:v>
                </c:pt>
                <c:pt idx="245">
                  <c:v>2.8250000000000002</c:v>
                </c:pt>
                <c:pt idx="246">
                  <c:v>2.8359999999999999</c:v>
                </c:pt>
                <c:pt idx="247">
                  <c:v>2.847</c:v>
                </c:pt>
                <c:pt idx="248">
                  <c:v>2.8580000000000001</c:v>
                </c:pt>
                <c:pt idx="249">
                  <c:v>2.8679999999999999</c:v>
                </c:pt>
                <c:pt idx="250">
                  <c:v>2.88</c:v>
                </c:pt>
                <c:pt idx="251">
                  <c:v>2.891</c:v>
                </c:pt>
                <c:pt idx="252">
                  <c:v>2.9020000000000001</c:v>
                </c:pt>
                <c:pt idx="253">
                  <c:v>2.9129999999999998</c:v>
                </c:pt>
                <c:pt idx="254">
                  <c:v>2.9239999999999999</c:v>
                </c:pt>
                <c:pt idx="255">
                  <c:v>2.9350000000000001</c:v>
                </c:pt>
                <c:pt idx="256">
                  <c:v>2.9449999999999998</c:v>
                </c:pt>
                <c:pt idx="257">
                  <c:v>2.9569999999999999</c:v>
                </c:pt>
                <c:pt idx="258">
                  <c:v>2.968</c:v>
                </c:pt>
                <c:pt idx="259">
                  <c:v>2.9790000000000001</c:v>
                </c:pt>
                <c:pt idx="260">
                  <c:v>2.9889999999999999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C6-432C-A199-93B67212C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765792"/>
        <c:axId val="983479120"/>
      </c:lineChart>
      <c:catAx>
        <c:axId val="132676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3479120"/>
        <c:crosses val="autoZero"/>
        <c:auto val="1"/>
        <c:lblAlgn val="ctr"/>
        <c:lblOffset val="100"/>
        <c:noMultiLvlLbl val="0"/>
      </c:catAx>
      <c:valAx>
        <c:axId val="9834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6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FLL 40-50M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'FLL Transition'!$C$3</c:f>
              <c:strCache>
                <c:ptCount val="1"/>
                <c:pt idx="0">
                  <c:v>IC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Transition'!$B$4:$B$253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Transition'!$C$4:$C$253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40.002000000000002</c:v>
                </c:pt>
                <c:pt idx="2">
                  <c:v>40.000999999999998</c:v>
                </c:pt>
                <c:pt idx="3">
                  <c:v>39.999000000000002</c:v>
                </c:pt>
                <c:pt idx="4">
                  <c:v>39.999000000000002</c:v>
                </c:pt>
                <c:pt idx="5">
                  <c:v>40.002000000000002</c:v>
                </c:pt>
                <c:pt idx="6">
                  <c:v>40.000999999999998</c:v>
                </c:pt>
                <c:pt idx="7">
                  <c:v>39.999000000000002</c:v>
                </c:pt>
                <c:pt idx="8">
                  <c:v>42.064</c:v>
                </c:pt>
                <c:pt idx="9">
                  <c:v>42.063000000000002</c:v>
                </c:pt>
                <c:pt idx="10">
                  <c:v>42.061</c:v>
                </c:pt>
                <c:pt idx="11">
                  <c:v>42.061999999999998</c:v>
                </c:pt>
                <c:pt idx="12">
                  <c:v>42.064</c:v>
                </c:pt>
                <c:pt idx="13">
                  <c:v>42.064999999999998</c:v>
                </c:pt>
                <c:pt idx="14">
                  <c:v>42.061</c:v>
                </c:pt>
                <c:pt idx="15">
                  <c:v>42.061999999999998</c:v>
                </c:pt>
                <c:pt idx="16">
                  <c:v>42.061999999999998</c:v>
                </c:pt>
                <c:pt idx="17">
                  <c:v>42.064</c:v>
                </c:pt>
                <c:pt idx="18">
                  <c:v>42.063000000000002</c:v>
                </c:pt>
                <c:pt idx="19">
                  <c:v>42.762999999999998</c:v>
                </c:pt>
                <c:pt idx="20">
                  <c:v>44.207000000000001</c:v>
                </c:pt>
                <c:pt idx="21">
                  <c:v>44.209000000000003</c:v>
                </c:pt>
                <c:pt idx="22">
                  <c:v>44.204999999999998</c:v>
                </c:pt>
                <c:pt idx="23">
                  <c:v>44.207000000000001</c:v>
                </c:pt>
                <c:pt idx="24">
                  <c:v>44.204000000000001</c:v>
                </c:pt>
                <c:pt idx="25">
                  <c:v>44.203000000000003</c:v>
                </c:pt>
                <c:pt idx="26">
                  <c:v>44.203000000000003</c:v>
                </c:pt>
                <c:pt idx="27">
                  <c:v>44.204000000000001</c:v>
                </c:pt>
                <c:pt idx="28">
                  <c:v>44.207000000000001</c:v>
                </c:pt>
                <c:pt idx="29">
                  <c:v>44.207999999999998</c:v>
                </c:pt>
                <c:pt idx="30">
                  <c:v>44.207999999999998</c:v>
                </c:pt>
                <c:pt idx="31">
                  <c:v>44.204999999999998</c:v>
                </c:pt>
                <c:pt idx="32">
                  <c:v>45.798000000000002</c:v>
                </c:pt>
                <c:pt idx="33">
                  <c:v>45.807000000000002</c:v>
                </c:pt>
                <c:pt idx="34">
                  <c:v>45.807000000000002</c:v>
                </c:pt>
                <c:pt idx="35">
                  <c:v>45.805</c:v>
                </c:pt>
                <c:pt idx="36">
                  <c:v>45.807000000000002</c:v>
                </c:pt>
                <c:pt idx="37">
                  <c:v>45.807000000000002</c:v>
                </c:pt>
                <c:pt idx="38">
                  <c:v>45.808999999999997</c:v>
                </c:pt>
                <c:pt idx="39">
                  <c:v>45.807000000000002</c:v>
                </c:pt>
                <c:pt idx="40">
                  <c:v>45.808999999999997</c:v>
                </c:pt>
                <c:pt idx="41">
                  <c:v>45.811</c:v>
                </c:pt>
                <c:pt idx="42">
                  <c:v>45.804000000000002</c:v>
                </c:pt>
                <c:pt idx="43">
                  <c:v>45.808</c:v>
                </c:pt>
                <c:pt idx="44">
                  <c:v>45.805</c:v>
                </c:pt>
                <c:pt idx="45">
                  <c:v>46.759</c:v>
                </c:pt>
                <c:pt idx="46">
                  <c:v>47.014000000000003</c:v>
                </c:pt>
                <c:pt idx="47">
                  <c:v>47.017000000000003</c:v>
                </c:pt>
                <c:pt idx="48">
                  <c:v>47.014000000000003</c:v>
                </c:pt>
                <c:pt idx="49">
                  <c:v>47.017000000000003</c:v>
                </c:pt>
                <c:pt idx="50">
                  <c:v>47.017000000000003</c:v>
                </c:pt>
                <c:pt idx="51">
                  <c:v>47.02</c:v>
                </c:pt>
                <c:pt idx="52">
                  <c:v>47.015999999999998</c:v>
                </c:pt>
                <c:pt idx="53">
                  <c:v>47.012999999999998</c:v>
                </c:pt>
                <c:pt idx="54">
                  <c:v>47.017000000000003</c:v>
                </c:pt>
                <c:pt idx="55">
                  <c:v>47.018999999999998</c:v>
                </c:pt>
                <c:pt idx="56">
                  <c:v>47.012999999999998</c:v>
                </c:pt>
                <c:pt idx="57">
                  <c:v>47.018999999999998</c:v>
                </c:pt>
                <c:pt idx="58">
                  <c:v>47.015999999999998</c:v>
                </c:pt>
                <c:pt idx="59">
                  <c:v>47.899000000000001</c:v>
                </c:pt>
                <c:pt idx="60">
                  <c:v>47.902000000000001</c:v>
                </c:pt>
                <c:pt idx="61">
                  <c:v>47.899000000000001</c:v>
                </c:pt>
                <c:pt idx="62">
                  <c:v>47.9</c:v>
                </c:pt>
                <c:pt idx="63">
                  <c:v>47.9</c:v>
                </c:pt>
                <c:pt idx="64">
                  <c:v>47.9</c:v>
                </c:pt>
                <c:pt idx="65">
                  <c:v>47.902000000000001</c:v>
                </c:pt>
                <c:pt idx="66">
                  <c:v>47.899000000000001</c:v>
                </c:pt>
                <c:pt idx="67">
                  <c:v>47.9</c:v>
                </c:pt>
                <c:pt idx="68">
                  <c:v>47.899000000000001</c:v>
                </c:pt>
                <c:pt idx="69">
                  <c:v>47.899000000000001</c:v>
                </c:pt>
                <c:pt idx="70">
                  <c:v>47.899000000000001</c:v>
                </c:pt>
                <c:pt idx="71">
                  <c:v>47.896999999999998</c:v>
                </c:pt>
                <c:pt idx="72">
                  <c:v>47.9</c:v>
                </c:pt>
                <c:pt idx="73">
                  <c:v>48.533999999999999</c:v>
                </c:pt>
                <c:pt idx="74">
                  <c:v>48.536999999999999</c:v>
                </c:pt>
                <c:pt idx="75">
                  <c:v>48.539000000000001</c:v>
                </c:pt>
                <c:pt idx="76">
                  <c:v>48.539000000000001</c:v>
                </c:pt>
                <c:pt idx="77">
                  <c:v>48.536999999999999</c:v>
                </c:pt>
                <c:pt idx="78">
                  <c:v>48.539000000000001</c:v>
                </c:pt>
                <c:pt idx="79">
                  <c:v>48.539000000000001</c:v>
                </c:pt>
                <c:pt idx="80">
                  <c:v>48.536999999999999</c:v>
                </c:pt>
                <c:pt idx="81">
                  <c:v>48.536000000000001</c:v>
                </c:pt>
                <c:pt idx="82">
                  <c:v>48.536999999999999</c:v>
                </c:pt>
                <c:pt idx="83">
                  <c:v>48.54</c:v>
                </c:pt>
                <c:pt idx="84">
                  <c:v>48.530999999999999</c:v>
                </c:pt>
                <c:pt idx="85">
                  <c:v>48.536999999999999</c:v>
                </c:pt>
                <c:pt idx="86">
                  <c:v>48.536999999999999</c:v>
                </c:pt>
                <c:pt idx="87">
                  <c:v>48.984000000000002</c:v>
                </c:pt>
                <c:pt idx="88">
                  <c:v>48.987000000000002</c:v>
                </c:pt>
                <c:pt idx="89">
                  <c:v>48.987000000000002</c:v>
                </c:pt>
                <c:pt idx="90">
                  <c:v>48.984000000000002</c:v>
                </c:pt>
                <c:pt idx="91">
                  <c:v>48.987000000000002</c:v>
                </c:pt>
                <c:pt idx="92">
                  <c:v>48.987000000000002</c:v>
                </c:pt>
                <c:pt idx="93">
                  <c:v>48.984999999999999</c:v>
                </c:pt>
                <c:pt idx="94">
                  <c:v>48.984999999999999</c:v>
                </c:pt>
                <c:pt idx="95">
                  <c:v>48.987000000000002</c:v>
                </c:pt>
                <c:pt idx="96">
                  <c:v>48.984999999999999</c:v>
                </c:pt>
                <c:pt idx="97">
                  <c:v>48.987000000000002</c:v>
                </c:pt>
                <c:pt idx="98">
                  <c:v>48.987000000000002</c:v>
                </c:pt>
                <c:pt idx="99">
                  <c:v>48.984999999999999</c:v>
                </c:pt>
                <c:pt idx="100">
                  <c:v>48.987000000000002</c:v>
                </c:pt>
                <c:pt idx="101">
                  <c:v>49.298000000000002</c:v>
                </c:pt>
                <c:pt idx="102">
                  <c:v>49.292999999999999</c:v>
                </c:pt>
                <c:pt idx="103">
                  <c:v>49.298000000000002</c:v>
                </c:pt>
                <c:pt idx="104">
                  <c:v>49.298000000000002</c:v>
                </c:pt>
                <c:pt idx="105">
                  <c:v>49.296999999999997</c:v>
                </c:pt>
                <c:pt idx="106">
                  <c:v>49.296999999999997</c:v>
                </c:pt>
                <c:pt idx="107">
                  <c:v>49.295000000000002</c:v>
                </c:pt>
                <c:pt idx="108">
                  <c:v>49.298000000000002</c:v>
                </c:pt>
                <c:pt idx="109">
                  <c:v>49.3</c:v>
                </c:pt>
                <c:pt idx="110">
                  <c:v>49.3</c:v>
                </c:pt>
                <c:pt idx="111">
                  <c:v>49.296999999999997</c:v>
                </c:pt>
                <c:pt idx="112">
                  <c:v>49.298000000000002</c:v>
                </c:pt>
                <c:pt idx="113">
                  <c:v>49.295000000000002</c:v>
                </c:pt>
                <c:pt idx="114">
                  <c:v>49.302</c:v>
                </c:pt>
                <c:pt idx="115">
                  <c:v>49.487000000000002</c:v>
                </c:pt>
                <c:pt idx="116">
                  <c:v>49.51</c:v>
                </c:pt>
                <c:pt idx="117">
                  <c:v>49.512</c:v>
                </c:pt>
                <c:pt idx="118">
                  <c:v>49.515000000000001</c:v>
                </c:pt>
                <c:pt idx="119">
                  <c:v>49.512999999999998</c:v>
                </c:pt>
                <c:pt idx="120">
                  <c:v>49.512999999999998</c:v>
                </c:pt>
                <c:pt idx="121">
                  <c:v>49.512999999999998</c:v>
                </c:pt>
                <c:pt idx="122">
                  <c:v>49.512999999999998</c:v>
                </c:pt>
                <c:pt idx="123">
                  <c:v>49.512</c:v>
                </c:pt>
                <c:pt idx="124">
                  <c:v>49.515000000000001</c:v>
                </c:pt>
                <c:pt idx="125">
                  <c:v>49.51</c:v>
                </c:pt>
                <c:pt idx="126">
                  <c:v>49.51</c:v>
                </c:pt>
                <c:pt idx="127">
                  <c:v>49.508000000000003</c:v>
                </c:pt>
                <c:pt idx="128">
                  <c:v>49.515000000000001</c:v>
                </c:pt>
                <c:pt idx="129">
                  <c:v>49.552</c:v>
                </c:pt>
                <c:pt idx="130">
                  <c:v>49.661999999999999</c:v>
                </c:pt>
                <c:pt idx="131">
                  <c:v>49.668999999999997</c:v>
                </c:pt>
                <c:pt idx="132">
                  <c:v>49.664999999999999</c:v>
                </c:pt>
                <c:pt idx="133">
                  <c:v>49.661999999999999</c:v>
                </c:pt>
                <c:pt idx="134">
                  <c:v>49.664000000000001</c:v>
                </c:pt>
                <c:pt idx="135">
                  <c:v>49.661999999999999</c:v>
                </c:pt>
                <c:pt idx="136">
                  <c:v>49.661999999999999</c:v>
                </c:pt>
                <c:pt idx="137">
                  <c:v>49.658999999999999</c:v>
                </c:pt>
                <c:pt idx="138">
                  <c:v>49.66</c:v>
                </c:pt>
                <c:pt idx="139">
                  <c:v>49.661999999999999</c:v>
                </c:pt>
                <c:pt idx="140">
                  <c:v>49.661999999999999</c:v>
                </c:pt>
                <c:pt idx="141">
                  <c:v>49.661999999999999</c:v>
                </c:pt>
                <c:pt idx="142">
                  <c:v>49.661999999999999</c:v>
                </c:pt>
                <c:pt idx="143">
                  <c:v>49.682000000000002</c:v>
                </c:pt>
                <c:pt idx="144">
                  <c:v>49.767000000000003</c:v>
                </c:pt>
                <c:pt idx="145">
                  <c:v>49.764000000000003</c:v>
                </c:pt>
                <c:pt idx="146">
                  <c:v>49.765999999999998</c:v>
                </c:pt>
                <c:pt idx="147">
                  <c:v>49.765999999999998</c:v>
                </c:pt>
                <c:pt idx="148">
                  <c:v>49.767000000000003</c:v>
                </c:pt>
                <c:pt idx="149">
                  <c:v>49.768999999999998</c:v>
                </c:pt>
                <c:pt idx="150">
                  <c:v>49.768999999999998</c:v>
                </c:pt>
                <c:pt idx="151">
                  <c:v>49.767000000000003</c:v>
                </c:pt>
                <c:pt idx="152">
                  <c:v>49.764000000000003</c:v>
                </c:pt>
                <c:pt idx="153">
                  <c:v>49.765999999999998</c:v>
                </c:pt>
                <c:pt idx="154">
                  <c:v>49.765999999999998</c:v>
                </c:pt>
                <c:pt idx="155">
                  <c:v>49.765999999999998</c:v>
                </c:pt>
                <c:pt idx="156">
                  <c:v>49.768999999999998</c:v>
                </c:pt>
                <c:pt idx="157">
                  <c:v>49.776000000000003</c:v>
                </c:pt>
                <c:pt idx="158">
                  <c:v>49.835999999999999</c:v>
                </c:pt>
                <c:pt idx="159">
                  <c:v>49.838000000000001</c:v>
                </c:pt>
                <c:pt idx="160">
                  <c:v>49.838000000000001</c:v>
                </c:pt>
                <c:pt idx="161">
                  <c:v>49.841000000000001</c:v>
                </c:pt>
                <c:pt idx="162">
                  <c:v>49.838000000000001</c:v>
                </c:pt>
                <c:pt idx="163">
                  <c:v>49.838000000000001</c:v>
                </c:pt>
                <c:pt idx="164">
                  <c:v>49.84</c:v>
                </c:pt>
                <c:pt idx="165">
                  <c:v>49.835000000000001</c:v>
                </c:pt>
                <c:pt idx="166">
                  <c:v>49.84</c:v>
                </c:pt>
                <c:pt idx="167">
                  <c:v>49.841000000000001</c:v>
                </c:pt>
                <c:pt idx="168">
                  <c:v>49.838000000000001</c:v>
                </c:pt>
                <c:pt idx="169">
                  <c:v>49.841000000000001</c:v>
                </c:pt>
                <c:pt idx="170">
                  <c:v>49.838000000000001</c:v>
                </c:pt>
                <c:pt idx="171">
                  <c:v>49.844999999999999</c:v>
                </c:pt>
                <c:pt idx="172">
                  <c:v>49.889000000000003</c:v>
                </c:pt>
                <c:pt idx="173">
                  <c:v>49.887</c:v>
                </c:pt>
                <c:pt idx="174">
                  <c:v>49.89</c:v>
                </c:pt>
                <c:pt idx="175">
                  <c:v>49.89</c:v>
                </c:pt>
                <c:pt idx="176">
                  <c:v>49.887</c:v>
                </c:pt>
                <c:pt idx="177">
                  <c:v>49.88</c:v>
                </c:pt>
                <c:pt idx="178">
                  <c:v>49.887</c:v>
                </c:pt>
                <c:pt idx="179">
                  <c:v>49.893999999999998</c:v>
                </c:pt>
                <c:pt idx="180">
                  <c:v>49.89</c:v>
                </c:pt>
                <c:pt idx="181">
                  <c:v>49.889000000000003</c:v>
                </c:pt>
                <c:pt idx="182">
                  <c:v>49.887</c:v>
                </c:pt>
                <c:pt idx="183">
                  <c:v>49.889000000000003</c:v>
                </c:pt>
                <c:pt idx="184">
                  <c:v>49.887</c:v>
                </c:pt>
                <c:pt idx="185">
                  <c:v>49.892000000000003</c:v>
                </c:pt>
                <c:pt idx="186">
                  <c:v>49.920999999999999</c:v>
                </c:pt>
                <c:pt idx="187">
                  <c:v>49.920999999999999</c:v>
                </c:pt>
                <c:pt idx="188">
                  <c:v>49.921999999999997</c:v>
                </c:pt>
                <c:pt idx="189">
                  <c:v>49.923999999999999</c:v>
                </c:pt>
                <c:pt idx="190">
                  <c:v>49.920999999999999</c:v>
                </c:pt>
                <c:pt idx="191">
                  <c:v>49.921999999999997</c:v>
                </c:pt>
                <c:pt idx="192">
                  <c:v>49.921999999999997</c:v>
                </c:pt>
                <c:pt idx="193">
                  <c:v>49.920999999999999</c:v>
                </c:pt>
                <c:pt idx="194">
                  <c:v>49.927999999999997</c:v>
                </c:pt>
                <c:pt idx="195">
                  <c:v>49.921999999999997</c:v>
                </c:pt>
                <c:pt idx="196">
                  <c:v>49.921999999999997</c:v>
                </c:pt>
                <c:pt idx="197">
                  <c:v>49.920999999999999</c:v>
                </c:pt>
                <c:pt idx="198">
                  <c:v>49.920999999999999</c:v>
                </c:pt>
                <c:pt idx="199">
                  <c:v>49.926000000000002</c:v>
                </c:pt>
                <c:pt idx="200">
                  <c:v>49.944000000000003</c:v>
                </c:pt>
                <c:pt idx="201">
                  <c:v>49.945999999999998</c:v>
                </c:pt>
                <c:pt idx="202">
                  <c:v>49.944000000000003</c:v>
                </c:pt>
                <c:pt idx="203">
                  <c:v>49.942999999999998</c:v>
                </c:pt>
                <c:pt idx="204">
                  <c:v>49.942999999999998</c:v>
                </c:pt>
                <c:pt idx="205">
                  <c:v>49.942999999999998</c:v>
                </c:pt>
                <c:pt idx="206">
                  <c:v>49.944000000000003</c:v>
                </c:pt>
                <c:pt idx="207">
                  <c:v>49.95</c:v>
                </c:pt>
                <c:pt idx="208">
                  <c:v>49.95</c:v>
                </c:pt>
                <c:pt idx="209">
                  <c:v>49.948</c:v>
                </c:pt>
                <c:pt idx="210">
                  <c:v>49.95</c:v>
                </c:pt>
                <c:pt idx="211">
                  <c:v>49.945999999999998</c:v>
                </c:pt>
                <c:pt idx="212">
                  <c:v>49.948</c:v>
                </c:pt>
                <c:pt idx="213">
                  <c:v>49.948</c:v>
                </c:pt>
                <c:pt idx="214">
                  <c:v>49.960999999999999</c:v>
                </c:pt>
                <c:pt idx="215">
                  <c:v>49.963000000000001</c:v>
                </c:pt>
                <c:pt idx="216">
                  <c:v>49.965000000000003</c:v>
                </c:pt>
                <c:pt idx="217">
                  <c:v>49.963000000000001</c:v>
                </c:pt>
                <c:pt idx="218">
                  <c:v>49.963000000000001</c:v>
                </c:pt>
                <c:pt idx="219">
                  <c:v>49.963000000000001</c:v>
                </c:pt>
                <c:pt idx="220">
                  <c:v>49.965000000000003</c:v>
                </c:pt>
                <c:pt idx="221">
                  <c:v>49.960999999999999</c:v>
                </c:pt>
                <c:pt idx="222">
                  <c:v>49.96</c:v>
                </c:pt>
                <c:pt idx="223">
                  <c:v>49.966000000000001</c:v>
                </c:pt>
                <c:pt idx="224">
                  <c:v>49.960999999999999</c:v>
                </c:pt>
                <c:pt idx="225">
                  <c:v>49.960999999999999</c:v>
                </c:pt>
                <c:pt idx="226">
                  <c:v>49.960999999999999</c:v>
                </c:pt>
                <c:pt idx="227">
                  <c:v>49.963000000000001</c:v>
                </c:pt>
                <c:pt idx="228">
                  <c:v>49.975000000000001</c:v>
                </c:pt>
                <c:pt idx="229">
                  <c:v>49.975000000000001</c:v>
                </c:pt>
                <c:pt idx="230">
                  <c:v>49.975000000000001</c:v>
                </c:pt>
                <c:pt idx="231">
                  <c:v>49.975000000000001</c:v>
                </c:pt>
                <c:pt idx="232">
                  <c:v>49.978000000000002</c:v>
                </c:pt>
                <c:pt idx="233">
                  <c:v>49.972999999999999</c:v>
                </c:pt>
                <c:pt idx="234">
                  <c:v>49.972999999999999</c:v>
                </c:pt>
                <c:pt idx="235">
                  <c:v>49.972999999999999</c:v>
                </c:pt>
                <c:pt idx="236">
                  <c:v>49.976999999999997</c:v>
                </c:pt>
                <c:pt idx="237">
                  <c:v>49.976999999999997</c:v>
                </c:pt>
                <c:pt idx="238">
                  <c:v>49.975000000000001</c:v>
                </c:pt>
                <c:pt idx="239">
                  <c:v>49.975000000000001</c:v>
                </c:pt>
                <c:pt idx="240">
                  <c:v>49.976999999999997</c:v>
                </c:pt>
                <c:pt idx="241">
                  <c:v>49.972999999999999</c:v>
                </c:pt>
                <c:pt idx="242">
                  <c:v>49.98</c:v>
                </c:pt>
                <c:pt idx="243">
                  <c:v>49.98</c:v>
                </c:pt>
                <c:pt idx="244">
                  <c:v>49.981999999999999</c:v>
                </c:pt>
                <c:pt idx="245">
                  <c:v>49.982999999999997</c:v>
                </c:pt>
                <c:pt idx="246">
                  <c:v>49.981999999999999</c:v>
                </c:pt>
                <c:pt idx="247">
                  <c:v>49.978000000000002</c:v>
                </c:pt>
                <c:pt idx="248">
                  <c:v>49.982999999999997</c:v>
                </c:pt>
                <c:pt idx="249">
                  <c:v>49.982999999999997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D9-441B-8789-E048C2AA3984}"/>
            </c:ext>
          </c:extLst>
        </c:ser>
        <c:ser>
          <c:idx val="1"/>
          <c:order val="1"/>
          <c:tx>
            <c:strRef>
              <c:f>'FLL Transition'!$D$3</c:f>
              <c:strCache>
                <c:ptCount val="1"/>
                <c:pt idx="0">
                  <c:v>IC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Transition'!$B$4:$B$253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Transition'!$D$4:$D$253</c:f>
              <c:numCache>
                <c:formatCode>General</c:formatCode>
                <c:ptCount val="250"/>
                <c:pt idx="0">
                  <c:v>39.999000000000002</c:v>
                </c:pt>
                <c:pt idx="1">
                  <c:v>39.999000000000002</c:v>
                </c:pt>
                <c:pt idx="2">
                  <c:v>39.999000000000002</c:v>
                </c:pt>
                <c:pt idx="3">
                  <c:v>40</c:v>
                </c:pt>
                <c:pt idx="4">
                  <c:v>40.000999999999998</c:v>
                </c:pt>
                <c:pt idx="5">
                  <c:v>40.002000000000002</c:v>
                </c:pt>
                <c:pt idx="6">
                  <c:v>40</c:v>
                </c:pt>
                <c:pt idx="7">
                  <c:v>40.057000000000002</c:v>
                </c:pt>
                <c:pt idx="8">
                  <c:v>42.085000000000001</c:v>
                </c:pt>
                <c:pt idx="9">
                  <c:v>42.082999999999998</c:v>
                </c:pt>
                <c:pt idx="10">
                  <c:v>42.085999999999999</c:v>
                </c:pt>
                <c:pt idx="11">
                  <c:v>42.082999999999998</c:v>
                </c:pt>
                <c:pt idx="12">
                  <c:v>42.085000000000001</c:v>
                </c:pt>
                <c:pt idx="13">
                  <c:v>42.082999999999998</c:v>
                </c:pt>
                <c:pt idx="14">
                  <c:v>42.081000000000003</c:v>
                </c:pt>
                <c:pt idx="15">
                  <c:v>42.082000000000001</c:v>
                </c:pt>
                <c:pt idx="16">
                  <c:v>42.082999999999998</c:v>
                </c:pt>
                <c:pt idx="17">
                  <c:v>42.085999999999999</c:v>
                </c:pt>
                <c:pt idx="18">
                  <c:v>42.085999999999999</c:v>
                </c:pt>
                <c:pt idx="19">
                  <c:v>42.768000000000001</c:v>
                </c:pt>
                <c:pt idx="20">
                  <c:v>44.231000000000002</c:v>
                </c:pt>
                <c:pt idx="21">
                  <c:v>44.234999999999999</c:v>
                </c:pt>
                <c:pt idx="22">
                  <c:v>44.231999999999999</c:v>
                </c:pt>
                <c:pt idx="23">
                  <c:v>44.228000000000002</c:v>
                </c:pt>
                <c:pt idx="24">
                  <c:v>44.228999999999999</c:v>
                </c:pt>
                <c:pt idx="25">
                  <c:v>44.228999999999999</c:v>
                </c:pt>
                <c:pt idx="26">
                  <c:v>44.228999999999999</c:v>
                </c:pt>
                <c:pt idx="27">
                  <c:v>44.228000000000002</c:v>
                </c:pt>
                <c:pt idx="28">
                  <c:v>44.231999999999999</c:v>
                </c:pt>
                <c:pt idx="29">
                  <c:v>44.228000000000002</c:v>
                </c:pt>
                <c:pt idx="30">
                  <c:v>44.231999999999999</c:v>
                </c:pt>
                <c:pt idx="31">
                  <c:v>44.231999999999999</c:v>
                </c:pt>
                <c:pt idx="32">
                  <c:v>45.820999999999998</c:v>
                </c:pt>
                <c:pt idx="33">
                  <c:v>45.826999999999998</c:v>
                </c:pt>
                <c:pt idx="34">
                  <c:v>45.828000000000003</c:v>
                </c:pt>
                <c:pt idx="35">
                  <c:v>45.829000000000001</c:v>
                </c:pt>
                <c:pt idx="36">
                  <c:v>45.832000000000001</c:v>
                </c:pt>
                <c:pt idx="37">
                  <c:v>45.828000000000003</c:v>
                </c:pt>
                <c:pt idx="38">
                  <c:v>45.829000000000001</c:v>
                </c:pt>
                <c:pt idx="39">
                  <c:v>45.828000000000003</c:v>
                </c:pt>
                <c:pt idx="40">
                  <c:v>45.825000000000003</c:v>
                </c:pt>
                <c:pt idx="41">
                  <c:v>45.826999999999998</c:v>
                </c:pt>
                <c:pt idx="42">
                  <c:v>45.831000000000003</c:v>
                </c:pt>
                <c:pt idx="43">
                  <c:v>45.829000000000001</c:v>
                </c:pt>
                <c:pt idx="44">
                  <c:v>45.828000000000003</c:v>
                </c:pt>
                <c:pt idx="45">
                  <c:v>46.764000000000003</c:v>
                </c:pt>
                <c:pt idx="46">
                  <c:v>47.030999999999999</c:v>
                </c:pt>
                <c:pt idx="47">
                  <c:v>47.031999999999996</c:v>
                </c:pt>
                <c:pt idx="48">
                  <c:v>47.029000000000003</c:v>
                </c:pt>
                <c:pt idx="49">
                  <c:v>47.029000000000003</c:v>
                </c:pt>
                <c:pt idx="50">
                  <c:v>47.031999999999996</c:v>
                </c:pt>
                <c:pt idx="51">
                  <c:v>47.033999999999999</c:v>
                </c:pt>
                <c:pt idx="52">
                  <c:v>47.030999999999999</c:v>
                </c:pt>
                <c:pt idx="53">
                  <c:v>47.033999999999999</c:v>
                </c:pt>
                <c:pt idx="54">
                  <c:v>47.029000000000003</c:v>
                </c:pt>
                <c:pt idx="55">
                  <c:v>47.029000000000003</c:v>
                </c:pt>
                <c:pt idx="56">
                  <c:v>47.030999999999999</c:v>
                </c:pt>
                <c:pt idx="57">
                  <c:v>47.031999999999996</c:v>
                </c:pt>
                <c:pt idx="58">
                  <c:v>47.027999999999999</c:v>
                </c:pt>
                <c:pt idx="59">
                  <c:v>47.91</c:v>
                </c:pt>
                <c:pt idx="60">
                  <c:v>47.91</c:v>
                </c:pt>
                <c:pt idx="61">
                  <c:v>47.911000000000001</c:v>
                </c:pt>
                <c:pt idx="62">
                  <c:v>47.912999999999997</c:v>
                </c:pt>
                <c:pt idx="63">
                  <c:v>47.905000000000001</c:v>
                </c:pt>
                <c:pt idx="64">
                  <c:v>47.911000000000001</c:v>
                </c:pt>
                <c:pt idx="65">
                  <c:v>47.911000000000001</c:v>
                </c:pt>
                <c:pt idx="66">
                  <c:v>47.912999999999997</c:v>
                </c:pt>
                <c:pt idx="67">
                  <c:v>47.908000000000001</c:v>
                </c:pt>
                <c:pt idx="68">
                  <c:v>47.908000000000001</c:v>
                </c:pt>
                <c:pt idx="69">
                  <c:v>47.91</c:v>
                </c:pt>
                <c:pt idx="70">
                  <c:v>47.91</c:v>
                </c:pt>
                <c:pt idx="71">
                  <c:v>47.91</c:v>
                </c:pt>
                <c:pt idx="72">
                  <c:v>47.908000000000001</c:v>
                </c:pt>
                <c:pt idx="73">
                  <c:v>48.539000000000001</c:v>
                </c:pt>
                <c:pt idx="74">
                  <c:v>48.54</c:v>
                </c:pt>
                <c:pt idx="75">
                  <c:v>48.543999999999997</c:v>
                </c:pt>
                <c:pt idx="76">
                  <c:v>48.543999999999997</c:v>
                </c:pt>
                <c:pt idx="77">
                  <c:v>48.54</c:v>
                </c:pt>
                <c:pt idx="78">
                  <c:v>48.54</c:v>
                </c:pt>
                <c:pt idx="79">
                  <c:v>48.542000000000002</c:v>
                </c:pt>
                <c:pt idx="80">
                  <c:v>48.542000000000002</c:v>
                </c:pt>
                <c:pt idx="81">
                  <c:v>48.542000000000002</c:v>
                </c:pt>
                <c:pt idx="82">
                  <c:v>48.54</c:v>
                </c:pt>
                <c:pt idx="83">
                  <c:v>48.539000000000001</c:v>
                </c:pt>
                <c:pt idx="84">
                  <c:v>48.536000000000001</c:v>
                </c:pt>
                <c:pt idx="85">
                  <c:v>48.536999999999999</c:v>
                </c:pt>
                <c:pt idx="86">
                  <c:v>48.539000000000001</c:v>
                </c:pt>
                <c:pt idx="87">
                  <c:v>48.988999999999997</c:v>
                </c:pt>
                <c:pt idx="88">
                  <c:v>48.987000000000002</c:v>
                </c:pt>
                <c:pt idx="89">
                  <c:v>48.987000000000002</c:v>
                </c:pt>
                <c:pt idx="90">
                  <c:v>48.984999999999999</c:v>
                </c:pt>
                <c:pt idx="91">
                  <c:v>48.987000000000002</c:v>
                </c:pt>
                <c:pt idx="92">
                  <c:v>48.988999999999997</c:v>
                </c:pt>
                <c:pt idx="93">
                  <c:v>48.984000000000002</c:v>
                </c:pt>
                <c:pt idx="94">
                  <c:v>48.987000000000002</c:v>
                </c:pt>
                <c:pt idx="95">
                  <c:v>48.988999999999997</c:v>
                </c:pt>
                <c:pt idx="96">
                  <c:v>48.984999999999999</c:v>
                </c:pt>
                <c:pt idx="97">
                  <c:v>48.984999999999999</c:v>
                </c:pt>
                <c:pt idx="98">
                  <c:v>48.984000000000002</c:v>
                </c:pt>
                <c:pt idx="99">
                  <c:v>48.991999999999997</c:v>
                </c:pt>
                <c:pt idx="100">
                  <c:v>48.984000000000002</c:v>
                </c:pt>
                <c:pt idx="101">
                  <c:v>49.292000000000002</c:v>
                </c:pt>
                <c:pt idx="102">
                  <c:v>49.298000000000002</c:v>
                </c:pt>
                <c:pt idx="103">
                  <c:v>49.296999999999997</c:v>
                </c:pt>
                <c:pt idx="104">
                  <c:v>49.292999999999999</c:v>
                </c:pt>
                <c:pt idx="105">
                  <c:v>49.29</c:v>
                </c:pt>
                <c:pt idx="106">
                  <c:v>49.295000000000002</c:v>
                </c:pt>
                <c:pt idx="107">
                  <c:v>49.292999999999999</c:v>
                </c:pt>
                <c:pt idx="108">
                  <c:v>49.295000000000002</c:v>
                </c:pt>
                <c:pt idx="109">
                  <c:v>49.295000000000002</c:v>
                </c:pt>
                <c:pt idx="110">
                  <c:v>49.292999999999999</c:v>
                </c:pt>
                <c:pt idx="111">
                  <c:v>49.292999999999999</c:v>
                </c:pt>
                <c:pt idx="112">
                  <c:v>49.292000000000002</c:v>
                </c:pt>
                <c:pt idx="113">
                  <c:v>49.296999999999997</c:v>
                </c:pt>
                <c:pt idx="114">
                  <c:v>49.296999999999997</c:v>
                </c:pt>
                <c:pt idx="115">
                  <c:v>49.488999999999997</c:v>
                </c:pt>
                <c:pt idx="116">
                  <c:v>49.518000000000001</c:v>
                </c:pt>
                <c:pt idx="117">
                  <c:v>49.518000000000001</c:v>
                </c:pt>
                <c:pt idx="118">
                  <c:v>49.517000000000003</c:v>
                </c:pt>
                <c:pt idx="119">
                  <c:v>49.51</c:v>
                </c:pt>
                <c:pt idx="120">
                  <c:v>49.517000000000003</c:v>
                </c:pt>
                <c:pt idx="121">
                  <c:v>49.512999999999998</c:v>
                </c:pt>
                <c:pt idx="122">
                  <c:v>49.515000000000001</c:v>
                </c:pt>
                <c:pt idx="123">
                  <c:v>49.512999999999998</c:v>
                </c:pt>
                <c:pt idx="124">
                  <c:v>49.515000000000001</c:v>
                </c:pt>
                <c:pt idx="125">
                  <c:v>49.515000000000001</c:v>
                </c:pt>
                <c:pt idx="126">
                  <c:v>49.52</c:v>
                </c:pt>
                <c:pt idx="127">
                  <c:v>49.512999999999998</c:v>
                </c:pt>
                <c:pt idx="128">
                  <c:v>49.512999999999998</c:v>
                </c:pt>
                <c:pt idx="129">
                  <c:v>49.552999999999997</c:v>
                </c:pt>
                <c:pt idx="130">
                  <c:v>49.664000000000001</c:v>
                </c:pt>
                <c:pt idx="131">
                  <c:v>49.661999999999999</c:v>
                </c:pt>
                <c:pt idx="132">
                  <c:v>49.658999999999999</c:v>
                </c:pt>
                <c:pt idx="133">
                  <c:v>49.664000000000001</c:v>
                </c:pt>
                <c:pt idx="134">
                  <c:v>49.658999999999999</c:v>
                </c:pt>
                <c:pt idx="135">
                  <c:v>49.664000000000001</c:v>
                </c:pt>
                <c:pt idx="136">
                  <c:v>49.66</c:v>
                </c:pt>
                <c:pt idx="137">
                  <c:v>49.661999999999999</c:v>
                </c:pt>
                <c:pt idx="138">
                  <c:v>49.664000000000001</c:v>
                </c:pt>
                <c:pt idx="139">
                  <c:v>49.66</c:v>
                </c:pt>
                <c:pt idx="140">
                  <c:v>49.664000000000001</c:v>
                </c:pt>
                <c:pt idx="141">
                  <c:v>49.664999999999999</c:v>
                </c:pt>
                <c:pt idx="142">
                  <c:v>49.664000000000001</c:v>
                </c:pt>
                <c:pt idx="143">
                  <c:v>49.68</c:v>
                </c:pt>
                <c:pt idx="144">
                  <c:v>49.765999999999998</c:v>
                </c:pt>
                <c:pt idx="145">
                  <c:v>49.767000000000003</c:v>
                </c:pt>
                <c:pt idx="146">
                  <c:v>49.768999999999998</c:v>
                </c:pt>
                <c:pt idx="147">
                  <c:v>49.771000000000001</c:v>
                </c:pt>
                <c:pt idx="148">
                  <c:v>49.765999999999998</c:v>
                </c:pt>
                <c:pt idx="149">
                  <c:v>49.768999999999998</c:v>
                </c:pt>
                <c:pt idx="150">
                  <c:v>49.767000000000003</c:v>
                </c:pt>
                <c:pt idx="151">
                  <c:v>49.768999999999998</c:v>
                </c:pt>
                <c:pt idx="152">
                  <c:v>49.767000000000003</c:v>
                </c:pt>
                <c:pt idx="153">
                  <c:v>49.767000000000003</c:v>
                </c:pt>
                <c:pt idx="154">
                  <c:v>49.764000000000003</c:v>
                </c:pt>
                <c:pt idx="155">
                  <c:v>49.771000000000001</c:v>
                </c:pt>
                <c:pt idx="156">
                  <c:v>49.765999999999998</c:v>
                </c:pt>
                <c:pt idx="157">
                  <c:v>49.780999999999999</c:v>
                </c:pt>
                <c:pt idx="158">
                  <c:v>49.841000000000001</c:v>
                </c:pt>
                <c:pt idx="159">
                  <c:v>49.84</c:v>
                </c:pt>
                <c:pt idx="160">
                  <c:v>49.838000000000001</c:v>
                </c:pt>
                <c:pt idx="161">
                  <c:v>49.841000000000001</c:v>
                </c:pt>
                <c:pt idx="162">
                  <c:v>49.84</c:v>
                </c:pt>
                <c:pt idx="163">
                  <c:v>49.835999999999999</c:v>
                </c:pt>
                <c:pt idx="164">
                  <c:v>49.838000000000001</c:v>
                </c:pt>
                <c:pt idx="165">
                  <c:v>49.84</c:v>
                </c:pt>
                <c:pt idx="166">
                  <c:v>49.84</c:v>
                </c:pt>
                <c:pt idx="167">
                  <c:v>49.843000000000004</c:v>
                </c:pt>
                <c:pt idx="168">
                  <c:v>49.841000000000001</c:v>
                </c:pt>
                <c:pt idx="169">
                  <c:v>49.84</c:v>
                </c:pt>
                <c:pt idx="170">
                  <c:v>49.838000000000001</c:v>
                </c:pt>
                <c:pt idx="171">
                  <c:v>49.844999999999999</c:v>
                </c:pt>
                <c:pt idx="172">
                  <c:v>49.89</c:v>
                </c:pt>
                <c:pt idx="173">
                  <c:v>49.889000000000003</c:v>
                </c:pt>
                <c:pt idx="174">
                  <c:v>49.884999999999998</c:v>
                </c:pt>
                <c:pt idx="175">
                  <c:v>49.884999999999998</c:v>
                </c:pt>
                <c:pt idx="176">
                  <c:v>49.884999999999998</c:v>
                </c:pt>
                <c:pt idx="177">
                  <c:v>49.884999999999998</c:v>
                </c:pt>
                <c:pt idx="178">
                  <c:v>49.887</c:v>
                </c:pt>
                <c:pt idx="179">
                  <c:v>49.884999999999998</c:v>
                </c:pt>
                <c:pt idx="180">
                  <c:v>49.884999999999998</c:v>
                </c:pt>
                <c:pt idx="181">
                  <c:v>49.884999999999998</c:v>
                </c:pt>
                <c:pt idx="182">
                  <c:v>49.89</c:v>
                </c:pt>
                <c:pt idx="183">
                  <c:v>49.887</c:v>
                </c:pt>
                <c:pt idx="184">
                  <c:v>49.881999999999998</c:v>
                </c:pt>
                <c:pt idx="185">
                  <c:v>49.887</c:v>
                </c:pt>
                <c:pt idx="186">
                  <c:v>49.923999999999999</c:v>
                </c:pt>
                <c:pt idx="187">
                  <c:v>49.921999999999997</c:v>
                </c:pt>
                <c:pt idx="188">
                  <c:v>49.921999999999997</c:v>
                </c:pt>
                <c:pt idx="189">
                  <c:v>49.923999999999999</c:v>
                </c:pt>
                <c:pt idx="190">
                  <c:v>49.923999999999999</c:v>
                </c:pt>
                <c:pt idx="191">
                  <c:v>49.921999999999997</c:v>
                </c:pt>
                <c:pt idx="192">
                  <c:v>49.926000000000002</c:v>
                </c:pt>
                <c:pt idx="193">
                  <c:v>49.923999999999999</c:v>
                </c:pt>
                <c:pt idx="194">
                  <c:v>49.920999999999999</c:v>
                </c:pt>
                <c:pt idx="195">
                  <c:v>49.921999999999997</c:v>
                </c:pt>
                <c:pt idx="196">
                  <c:v>49.920999999999999</c:v>
                </c:pt>
                <c:pt idx="197">
                  <c:v>49.921999999999997</c:v>
                </c:pt>
                <c:pt idx="198">
                  <c:v>49.923999999999999</c:v>
                </c:pt>
                <c:pt idx="199">
                  <c:v>49.923999999999999</c:v>
                </c:pt>
                <c:pt idx="200">
                  <c:v>49.951000000000001</c:v>
                </c:pt>
                <c:pt idx="201">
                  <c:v>49.948</c:v>
                </c:pt>
                <c:pt idx="202">
                  <c:v>49.95</c:v>
                </c:pt>
                <c:pt idx="203">
                  <c:v>49.948</c:v>
                </c:pt>
                <c:pt idx="204">
                  <c:v>49.948</c:v>
                </c:pt>
                <c:pt idx="205">
                  <c:v>49.948</c:v>
                </c:pt>
                <c:pt idx="206">
                  <c:v>49.948</c:v>
                </c:pt>
                <c:pt idx="207">
                  <c:v>49.948</c:v>
                </c:pt>
                <c:pt idx="208">
                  <c:v>49.944000000000003</c:v>
                </c:pt>
                <c:pt idx="209">
                  <c:v>49.944000000000003</c:v>
                </c:pt>
                <c:pt idx="210">
                  <c:v>49.945999999999998</c:v>
                </c:pt>
                <c:pt idx="211">
                  <c:v>49.948</c:v>
                </c:pt>
                <c:pt idx="212">
                  <c:v>49.948</c:v>
                </c:pt>
                <c:pt idx="213">
                  <c:v>49.95</c:v>
                </c:pt>
                <c:pt idx="214">
                  <c:v>49.965000000000003</c:v>
                </c:pt>
                <c:pt idx="215">
                  <c:v>49.965000000000003</c:v>
                </c:pt>
                <c:pt idx="216">
                  <c:v>49.963000000000001</c:v>
                </c:pt>
                <c:pt idx="217">
                  <c:v>49.960999999999999</c:v>
                </c:pt>
                <c:pt idx="218">
                  <c:v>49.96</c:v>
                </c:pt>
                <c:pt idx="219">
                  <c:v>49.957999999999998</c:v>
                </c:pt>
                <c:pt idx="220">
                  <c:v>49.960999999999999</c:v>
                </c:pt>
                <c:pt idx="221">
                  <c:v>49.960999999999999</c:v>
                </c:pt>
                <c:pt idx="222">
                  <c:v>49.960999999999999</c:v>
                </c:pt>
                <c:pt idx="223">
                  <c:v>49.960999999999999</c:v>
                </c:pt>
                <c:pt idx="224">
                  <c:v>49.96</c:v>
                </c:pt>
                <c:pt idx="225">
                  <c:v>49.963000000000001</c:v>
                </c:pt>
                <c:pt idx="226">
                  <c:v>49.966000000000001</c:v>
                </c:pt>
                <c:pt idx="227">
                  <c:v>49.960999999999999</c:v>
                </c:pt>
                <c:pt idx="228">
                  <c:v>49.975000000000001</c:v>
                </c:pt>
                <c:pt idx="229">
                  <c:v>49.972000000000001</c:v>
                </c:pt>
                <c:pt idx="230">
                  <c:v>49.972999999999999</c:v>
                </c:pt>
                <c:pt idx="231">
                  <c:v>49.978000000000002</c:v>
                </c:pt>
                <c:pt idx="232">
                  <c:v>49.975000000000001</c:v>
                </c:pt>
                <c:pt idx="233">
                  <c:v>49.976999999999997</c:v>
                </c:pt>
                <c:pt idx="234">
                  <c:v>49.978000000000002</c:v>
                </c:pt>
                <c:pt idx="235">
                  <c:v>49.975000000000001</c:v>
                </c:pt>
                <c:pt idx="236">
                  <c:v>49.972999999999999</c:v>
                </c:pt>
                <c:pt idx="237">
                  <c:v>49.972000000000001</c:v>
                </c:pt>
                <c:pt idx="238">
                  <c:v>49.972999999999999</c:v>
                </c:pt>
                <c:pt idx="239">
                  <c:v>49.978000000000002</c:v>
                </c:pt>
                <c:pt idx="240">
                  <c:v>49.972999999999999</c:v>
                </c:pt>
                <c:pt idx="241">
                  <c:v>49.975000000000001</c:v>
                </c:pt>
                <c:pt idx="242">
                  <c:v>49.982999999999997</c:v>
                </c:pt>
                <c:pt idx="243">
                  <c:v>49.982999999999997</c:v>
                </c:pt>
                <c:pt idx="244">
                  <c:v>49.98</c:v>
                </c:pt>
                <c:pt idx="245">
                  <c:v>49.981999999999999</c:v>
                </c:pt>
                <c:pt idx="246">
                  <c:v>49.981999999999999</c:v>
                </c:pt>
                <c:pt idx="247">
                  <c:v>49.982999999999997</c:v>
                </c:pt>
                <c:pt idx="248">
                  <c:v>49.982999999999997</c:v>
                </c:pt>
                <c:pt idx="249">
                  <c:v>49.98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D9-441B-8789-E048C2AA3984}"/>
            </c:ext>
          </c:extLst>
        </c:ser>
        <c:ser>
          <c:idx val="2"/>
          <c:order val="2"/>
          <c:tx>
            <c:strRef>
              <c:f>'FLL Transition'!$E$3</c:f>
              <c:strCache>
                <c:ptCount val="1"/>
                <c:pt idx="0">
                  <c:v>IC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Transition'!$B$4:$B$253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Transition'!$E$4:$E$253</c:f>
              <c:numCache>
                <c:formatCode>General</c:formatCode>
                <c:ptCount val="250"/>
                <c:pt idx="0">
                  <c:v>39.999000000000002</c:v>
                </c:pt>
                <c:pt idx="1">
                  <c:v>39.999000000000002</c:v>
                </c:pt>
                <c:pt idx="2">
                  <c:v>40</c:v>
                </c:pt>
                <c:pt idx="3">
                  <c:v>39.999000000000002</c:v>
                </c:pt>
                <c:pt idx="4">
                  <c:v>39.999000000000002</c:v>
                </c:pt>
                <c:pt idx="5">
                  <c:v>40.000999999999998</c:v>
                </c:pt>
                <c:pt idx="6">
                  <c:v>39.997999999999998</c:v>
                </c:pt>
                <c:pt idx="7">
                  <c:v>40.002000000000002</c:v>
                </c:pt>
                <c:pt idx="8">
                  <c:v>42.048999999999999</c:v>
                </c:pt>
                <c:pt idx="9">
                  <c:v>42.052</c:v>
                </c:pt>
                <c:pt idx="10">
                  <c:v>42.045999999999999</c:v>
                </c:pt>
                <c:pt idx="11">
                  <c:v>42.05</c:v>
                </c:pt>
                <c:pt idx="12">
                  <c:v>42.052</c:v>
                </c:pt>
                <c:pt idx="13">
                  <c:v>42.045999999999999</c:v>
                </c:pt>
                <c:pt idx="14">
                  <c:v>42.048999999999999</c:v>
                </c:pt>
                <c:pt idx="15">
                  <c:v>42.05</c:v>
                </c:pt>
                <c:pt idx="16">
                  <c:v>42.052999999999997</c:v>
                </c:pt>
                <c:pt idx="17">
                  <c:v>42.051000000000002</c:v>
                </c:pt>
                <c:pt idx="18">
                  <c:v>42.052999999999997</c:v>
                </c:pt>
                <c:pt idx="19">
                  <c:v>42.774000000000001</c:v>
                </c:pt>
                <c:pt idx="20">
                  <c:v>44.204000000000001</c:v>
                </c:pt>
                <c:pt idx="21">
                  <c:v>44.209000000000003</c:v>
                </c:pt>
                <c:pt idx="22">
                  <c:v>44.209000000000003</c:v>
                </c:pt>
                <c:pt idx="23">
                  <c:v>44.212000000000003</c:v>
                </c:pt>
                <c:pt idx="24">
                  <c:v>44.210999999999999</c:v>
                </c:pt>
                <c:pt idx="25">
                  <c:v>44.210999999999999</c:v>
                </c:pt>
                <c:pt idx="26">
                  <c:v>44.213000000000001</c:v>
                </c:pt>
                <c:pt idx="27">
                  <c:v>44.212000000000003</c:v>
                </c:pt>
                <c:pt idx="28">
                  <c:v>44.209000000000003</c:v>
                </c:pt>
                <c:pt idx="29">
                  <c:v>44.212000000000003</c:v>
                </c:pt>
                <c:pt idx="30">
                  <c:v>44.213000000000001</c:v>
                </c:pt>
                <c:pt idx="31">
                  <c:v>44.210999999999999</c:v>
                </c:pt>
                <c:pt idx="32">
                  <c:v>45.841999999999999</c:v>
                </c:pt>
                <c:pt idx="33">
                  <c:v>45.848999999999997</c:v>
                </c:pt>
                <c:pt idx="34">
                  <c:v>45.844999999999999</c:v>
                </c:pt>
                <c:pt idx="35">
                  <c:v>45.851999999999997</c:v>
                </c:pt>
                <c:pt idx="36">
                  <c:v>45.845999999999997</c:v>
                </c:pt>
                <c:pt idx="37">
                  <c:v>45.848999999999997</c:v>
                </c:pt>
                <c:pt idx="38">
                  <c:v>45.848999999999997</c:v>
                </c:pt>
                <c:pt idx="39">
                  <c:v>45.847999999999999</c:v>
                </c:pt>
                <c:pt idx="40">
                  <c:v>45.848999999999997</c:v>
                </c:pt>
                <c:pt idx="41">
                  <c:v>45.850999999999999</c:v>
                </c:pt>
                <c:pt idx="42">
                  <c:v>45.845999999999997</c:v>
                </c:pt>
                <c:pt idx="43">
                  <c:v>45.845999999999997</c:v>
                </c:pt>
                <c:pt idx="44">
                  <c:v>45.851999999999997</c:v>
                </c:pt>
                <c:pt idx="45">
                  <c:v>46.776000000000003</c:v>
                </c:pt>
                <c:pt idx="46">
                  <c:v>47.043999999999997</c:v>
                </c:pt>
                <c:pt idx="47">
                  <c:v>47.043999999999997</c:v>
                </c:pt>
                <c:pt idx="48">
                  <c:v>47.045999999999999</c:v>
                </c:pt>
                <c:pt idx="49">
                  <c:v>47.05</c:v>
                </c:pt>
                <c:pt idx="50">
                  <c:v>47.045999999999999</c:v>
                </c:pt>
                <c:pt idx="51">
                  <c:v>47.046999999999997</c:v>
                </c:pt>
                <c:pt idx="52">
                  <c:v>47.046999999999997</c:v>
                </c:pt>
                <c:pt idx="53">
                  <c:v>47.046999999999997</c:v>
                </c:pt>
                <c:pt idx="54">
                  <c:v>47.045999999999999</c:v>
                </c:pt>
                <c:pt idx="55">
                  <c:v>47.043999999999997</c:v>
                </c:pt>
                <c:pt idx="56">
                  <c:v>47.046999999999997</c:v>
                </c:pt>
                <c:pt idx="57">
                  <c:v>47.048999999999999</c:v>
                </c:pt>
                <c:pt idx="58">
                  <c:v>47.045999999999999</c:v>
                </c:pt>
                <c:pt idx="59">
                  <c:v>47.914000000000001</c:v>
                </c:pt>
                <c:pt idx="60">
                  <c:v>47.917000000000002</c:v>
                </c:pt>
                <c:pt idx="61">
                  <c:v>47.915999999999997</c:v>
                </c:pt>
                <c:pt idx="62">
                  <c:v>47.92</c:v>
                </c:pt>
                <c:pt idx="63">
                  <c:v>47.915999999999997</c:v>
                </c:pt>
                <c:pt idx="64">
                  <c:v>47.912999999999997</c:v>
                </c:pt>
                <c:pt idx="65">
                  <c:v>47.914000000000001</c:v>
                </c:pt>
                <c:pt idx="66">
                  <c:v>47.914000000000001</c:v>
                </c:pt>
                <c:pt idx="67">
                  <c:v>47.912999999999997</c:v>
                </c:pt>
                <c:pt idx="68">
                  <c:v>47.914000000000001</c:v>
                </c:pt>
                <c:pt idx="69">
                  <c:v>47.914000000000001</c:v>
                </c:pt>
                <c:pt idx="70">
                  <c:v>47.914000000000001</c:v>
                </c:pt>
                <c:pt idx="71">
                  <c:v>47.915999999999997</c:v>
                </c:pt>
                <c:pt idx="72">
                  <c:v>47.915999999999997</c:v>
                </c:pt>
                <c:pt idx="73">
                  <c:v>48.539000000000001</c:v>
                </c:pt>
                <c:pt idx="74">
                  <c:v>48.536999999999999</c:v>
                </c:pt>
                <c:pt idx="75">
                  <c:v>48.539000000000001</c:v>
                </c:pt>
                <c:pt idx="76">
                  <c:v>48.54</c:v>
                </c:pt>
                <c:pt idx="77">
                  <c:v>48.539000000000001</c:v>
                </c:pt>
                <c:pt idx="78">
                  <c:v>48.542000000000002</c:v>
                </c:pt>
                <c:pt idx="79">
                  <c:v>48.533999999999999</c:v>
                </c:pt>
                <c:pt idx="80">
                  <c:v>48.539000000000001</c:v>
                </c:pt>
                <c:pt idx="81">
                  <c:v>48.536999999999999</c:v>
                </c:pt>
                <c:pt idx="82">
                  <c:v>48.536999999999999</c:v>
                </c:pt>
                <c:pt idx="83">
                  <c:v>48.536999999999999</c:v>
                </c:pt>
                <c:pt idx="84">
                  <c:v>48.539000000000001</c:v>
                </c:pt>
                <c:pt idx="85">
                  <c:v>48.536999999999999</c:v>
                </c:pt>
                <c:pt idx="86">
                  <c:v>48.539000000000001</c:v>
                </c:pt>
                <c:pt idx="87">
                  <c:v>48.978999999999999</c:v>
                </c:pt>
                <c:pt idx="88">
                  <c:v>48.978999999999999</c:v>
                </c:pt>
                <c:pt idx="89">
                  <c:v>48.978999999999999</c:v>
                </c:pt>
                <c:pt idx="90">
                  <c:v>48.981999999999999</c:v>
                </c:pt>
                <c:pt idx="91">
                  <c:v>48.976999999999997</c:v>
                </c:pt>
                <c:pt idx="92">
                  <c:v>48.981999999999999</c:v>
                </c:pt>
                <c:pt idx="93">
                  <c:v>48.981000000000002</c:v>
                </c:pt>
                <c:pt idx="94">
                  <c:v>48.978999999999999</c:v>
                </c:pt>
                <c:pt idx="95">
                  <c:v>48.981000000000002</c:v>
                </c:pt>
                <c:pt idx="96">
                  <c:v>48.981999999999999</c:v>
                </c:pt>
                <c:pt idx="97">
                  <c:v>48.984999999999999</c:v>
                </c:pt>
                <c:pt idx="98">
                  <c:v>48.978999999999999</c:v>
                </c:pt>
                <c:pt idx="99">
                  <c:v>48.981000000000002</c:v>
                </c:pt>
                <c:pt idx="100">
                  <c:v>48.978999999999999</c:v>
                </c:pt>
                <c:pt idx="101">
                  <c:v>49.287999999999997</c:v>
                </c:pt>
                <c:pt idx="102">
                  <c:v>49.287999999999997</c:v>
                </c:pt>
                <c:pt idx="103">
                  <c:v>49.286999999999999</c:v>
                </c:pt>
                <c:pt idx="104">
                  <c:v>49.29</c:v>
                </c:pt>
                <c:pt idx="105">
                  <c:v>49.29</c:v>
                </c:pt>
                <c:pt idx="106">
                  <c:v>49.292000000000002</c:v>
                </c:pt>
                <c:pt idx="107">
                  <c:v>49.292000000000002</c:v>
                </c:pt>
                <c:pt idx="108">
                  <c:v>49.284999999999997</c:v>
                </c:pt>
                <c:pt idx="109">
                  <c:v>49.29</c:v>
                </c:pt>
                <c:pt idx="110">
                  <c:v>49.283000000000001</c:v>
                </c:pt>
                <c:pt idx="111">
                  <c:v>49.283000000000001</c:v>
                </c:pt>
                <c:pt idx="112">
                  <c:v>49.287999999999997</c:v>
                </c:pt>
                <c:pt idx="113">
                  <c:v>49.286999999999999</c:v>
                </c:pt>
                <c:pt idx="114">
                  <c:v>49.287999999999997</c:v>
                </c:pt>
                <c:pt idx="115">
                  <c:v>49.475000000000001</c:v>
                </c:pt>
                <c:pt idx="116">
                  <c:v>49.505000000000003</c:v>
                </c:pt>
                <c:pt idx="117">
                  <c:v>49.502000000000002</c:v>
                </c:pt>
                <c:pt idx="118">
                  <c:v>49.508000000000003</c:v>
                </c:pt>
                <c:pt idx="119">
                  <c:v>49.503</c:v>
                </c:pt>
                <c:pt idx="120">
                  <c:v>49.505000000000003</c:v>
                </c:pt>
                <c:pt idx="121">
                  <c:v>49.506999999999998</c:v>
                </c:pt>
                <c:pt idx="122">
                  <c:v>49.505000000000003</c:v>
                </c:pt>
                <c:pt idx="123">
                  <c:v>49.503</c:v>
                </c:pt>
                <c:pt idx="124">
                  <c:v>49.506999999999998</c:v>
                </c:pt>
                <c:pt idx="125">
                  <c:v>49.503</c:v>
                </c:pt>
                <c:pt idx="126">
                  <c:v>49.505000000000003</c:v>
                </c:pt>
                <c:pt idx="127">
                  <c:v>49.506999999999998</c:v>
                </c:pt>
                <c:pt idx="128">
                  <c:v>49.506999999999998</c:v>
                </c:pt>
                <c:pt idx="129">
                  <c:v>49.55</c:v>
                </c:pt>
                <c:pt idx="130">
                  <c:v>49.655000000000001</c:v>
                </c:pt>
                <c:pt idx="131">
                  <c:v>49.66</c:v>
                </c:pt>
                <c:pt idx="132">
                  <c:v>49.655000000000001</c:v>
                </c:pt>
                <c:pt idx="133">
                  <c:v>49.652000000000001</c:v>
                </c:pt>
                <c:pt idx="134">
                  <c:v>49.652999999999999</c:v>
                </c:pt>
                <c:pt idx="135">
                  <c:v>49.652999999999999</c:v>
                </c:pt>
                <c:pt idx="136">
                  <c:v>49.655000000000001</c:v>
                </c:pt>
                <c:pt idx="137">
                  <c:v>49.66</c:v>
                </c:pt>
                <c:pt idx="138">
                  <c:v>49.655000000000001</c:v>
                </c:pt>
                <c:pt idx="139">
                  <c:v>49.656999999999996</c:v>
                </c:pt>
                <c:pt idx="140">
                  <c:v>49.658999999999999</c:v>
                </c:pt>
                <c:pt idx="141">
                  <c:v>49.652000000000001</c:v>
                </c:pt>
                <c:pt idx="142">
                  <c:v>49.656999999999996</c:v>
                </c:pt>
                <c:pt idx="143">
                  <c:v>49.68</c:v>
                </c:pt>
                <c:pt idx="144">
                  <c:v>49.761000000000003</c:v>
                </c:pt>
                <c:pt idx="145">
                  <c:v>49.762</c:v>
                </c:pt>
                <c:pt idx="146">
                  <c:v>49.762</c:v>
                </c:pt>
                <c:pt idx="147">
                  <c:v>49.761000000000003</c:v>
                </c:pt>
                <c:pt idx="148">
                  <c:v>49.762</c:v>
                </c:pt>
                <c:pt idx="149">
                  <c:v>49.756999999999998</c:v>
                </c:pt>
                <c:pt idx="150">
                  <c:v>49.761000000000003</c:v>
                </c:pt>
                <c:pt idx="151">
                  <c:v>49.761000000000003</c:v>
                </c:pt>
                <c:pt idx="152">
                  <c:v>49.764000000000003</c:v>
                </c:pt>
                <c:pt idx="153">
                  <c:v>49.761000000000003</c:v>
                </c:pt>
                <c:pt idx="154">
                  <c:v>49.761000000000003</c:v>
                </c:pt>
                <c:pt idx="155">
                  <c:v>49.762</c:v>
                </c:pt>
                <c:pt idx="156">
                  <c:v>49.761000000000003</c:v>
                </c:pt>
                <c:pt idx="157">
                  <c:v>49.771000000000001</c:v>
                </c:pt>
                <c:pt idx="158">
                  <c:v>49.838000000000001</c:v>
                </c:pt>
                <c:pt idx="159">
                  <c:v>49.835999999999999</c:v>
                </c:pt>
                <c:pt idx="160">
                  <c:v>49.84</c:v>
                </c:pt>
                <c:pt idx="161">
                  <c:v>49.832999999999998</c:v>
                </c:pt>
                <c:pt idx="162">
                  <c:v>49.84</c:v>
                </c:pt>
                <c:pt idx="163">
                  <c:v>49.835000000000001</c:v>
                </c:pt>
                <c:pt idx="164">
                  <c:v>49.835999999999999</c:v>
                </c:pt>
                <c:pt idx="165">
                  <c:v>49.835999999999999</c:v>
                </c:pt>
                <c:pt idx="166">
                  <c:v>49.831000000000003</c:v>
                </c:pt>
                <c:pt idx="167">
                  <c:v>49.835000000000001</c:v>
                </c:pt>
                <c:pt idx="168">
                  <c:v>49.835000000000001</c:v>
                </c:pt>
                <c:pt idx="169">
                  <c:v>49.838000000000001</c:v>
                </c:pt>
                <c:pt idx="170">
                  <c:v>49.831000000000003</c:v>
                </c:pt>
                <c:pt idx="171">
                  <c:v>49.835999999999999</c:v>
                </c:pt>
                <c:pt idx="172">
                  <c:v>49.884999999999998</c:v>
                </c:pt>
                <c:pt idx="173">
                  <c:v>49.887</c:v>
                </c:pt>
                <c:pt idx="174">
                  <c:v>49.884999999999998</c:v>
                </c:pt>
                <c:pt idx="175">
                  <c:v>49.884</c:v>
                </c:pt>
                <c:pt idx="176">
                  <c:v>49.884999999999998</c:v>
                </c:pt>
                <c:pt idx="177">
                  <c:v>49.887</c:v>
                </c:pt>
                <c:pt idx="178">
                  <c:v>49.884999999999998</c:v>
                </c:pt>
                <c:pt idx="179">
                  <c:v>49.88</c:v>
                </c:pt>
                <c:pt idx="180">
                  <c:v>49.884999999999998</c:v>
                </c:pt>
                <c:pt idx="181">
                  <c:v>49.887</c:v>
                </c:pt>
                <c:pt idx="182">
                  <c:v>49.884999999999998</c:v>
                </c:pt>
                <c:pt idx="183">
                  <c:v>49.881999999999998</c:v>
                </c:pt>
                <c:pt idx="184">
                  <c:v>49.884999999999998</c:v>
                </c:pt>
                <c:pt idx="185">
                  <c:v>49.89</c:v>
                </c:pt>
                <c:pt idx="186">
                  <c:v>49.920999999999999</c:v>
                </c:pt>
                <c:pt idx="187">
                  <c:v>49.920999999999999</c:v>
                </c:pt>
                <c:pt idx="188">
                  <c:v>49.918999999999997</c:v>
                </c:pt>
                <c:pt idx="189">
                  <c:v>49.920999999999999</c:v>
                </c:pt>
                <c:pt idx="190">
                  <c:v>49.918999999999997</c:v>
                </c:pt>
                <c:pt idx="191">
                  <c:v>49.921999999999997</c:v>
                </c:pt>
                <c:pt idx="192">
                  <c:v>49.921999999999997</c:v>
                </c:pt>
                <c:pt idx="193">
                  <c:v>49.923999999999999</c:v>
                </c:pt>
                <c:pt idx="194">
                  <c:v>49.920999999999999</c:v>
                </c:pt>
                <c:pt idx="195">
                  <c:v>49.917000000000002</c:v>
                </c:pt>
                <c:pt idx="196">
                  <c:v>49.921999999999997</c:v>
                </c:pt>
                <c:pt idx="197">
                  <c:v>49.923999999999999</c:v>
                </c:pt>
                <c:pt idx="198">
                  <c:v>49.921999999999997</c:v>
                </c:pt>
                <c:pt idx="199">
                  <c:v>49.918999999999997</c:v>
                </c:pt>
                <c:pt idx="200">
                  <c:v>49.948</c:v>
                </c:pt>
                <c:pt idx="201">
                  <c:v>49.945999999999998</c:v>
                </c:pt>
                <c:pt idx="202">
                  <c:v>49.945999999999998</c:v>
                </c:pt>
                <c:pt idx="203">
                  <c:v>49.945999999999998</c:v>
                </c:pt>
                <c:pt idx="204">
                  <c:v>49.948</c:v>
                </c:pt>
                <c:pt idx="205">
                  <c:v>49.944000000000003</c:v>
                </c:pt>
                <c:pt idx="206">
                  <c:v>49.944000000000003</c:v>
                </c:pt>
                <c:pt idx="207">
                  <c:v>49.941000000000003</c:v>
                </c:pt>
                <c:pt idx="208">
                  <c:v>49.945999999999998</c:v>
                </c:pt>
                <c:pt idx="209">
                  <c:v>49.945999999999998</c:v>
                </c:pt>
                <c:pt idx="210">
                  <c:v>49.944000000000003</c:v>
                </c:pt>
                <c:pt idx="211">
                  <c:v>49.948</c:v>
                </c:pt>
                <c:pt idx="212">
                  <c:v>49.948</c:v>
                </c:pt>
                <c:pt idx="213">
                  <c:v>49.948</c:v>
                </c:pt>
                <c:pt idx="214">
                  <c:v>49.96</c:v>
                </c:pt>
                <c:pt idx="215">
                  <c:v>49.96</c:v>
                </c:pt>
                <c:pt idx="216">
                  <c:v>49.966000000000001</c:v>
                </c:pt>
                <c:pt idx="217">
                  <c:v>49.960999999999999</c:v>
                </c:pt>
                <c:pt idx="218">
                  <c:v>49.96</c:v>
                </c:pt>
                <c:pt idx="219">
                  <c:v>49.96</c:v>
                </c:pt>
                <c:pt idx="220">
                  <c:v>49.960999999999999</c:v>
                </c:pt>
                <c:pt idx="221">
                  <c:v>49.963000000000001</c:v>
                </c:pt>
                <c:pt idx="222">
                  <c:v>49.957999999999998</c:v>
                </c:pt>
                <c:pt idx="223">
                  <c:v>49.963000000000001</c:v>
                </c:pt>
                <c:pt idx="224">
                  <c:v>49.960999999999999</c:v>
                </c:pt>
                <c:pt idx="225">
                  <c:v>49.956000000000003</c:v>
                </c:pt>
                <c:pt idx="226">
                  <c:v>49.966000000000001</c:v>
                </c:pt>
                <c:pt idx="227">
                  <c:v>49.963000000000001</c:v>
                </c:pt>
                <c:pt idx="228">
                  <c:v>49.968000000000004</c:v>
                </c:pt>
                <c:pt idx="229">
                  <c:v>49.972000000000001</c:v>
                </c:pt>
                <c:pt idx="230">
                  <c:v>49.972000000000001</c:v>
                </c:pt>
                <c:pt idx="231">
                  <c:v>49.972999999999999</c:v>
                </c:pt>
                <c:pt idx="232">
                  <c:v>49.972000000000001</c:v>
                </c:pt>
                <c:pt idx="233">
                  <c:v>49.972000000000001</c:v>
                </c:pt>
                <c:pt idx="234">
                  <c:v>49.97</c:v>
                </c:pt>
                <c:pt idx="235">
                  <c:v>49.975000000000001</c:v>
                </c:pt>
                <c:pt idx="236">
                  <c:v>49.975000000000001</c:v>
                </c:pt>
                <c:pt idx="237">
                  <c:v>49.972999999999999</c:v>
                </c:pt>
                <c:pt idx="238">
                  <c:v>49.968000000000004</c:v>
                </c:pt>
                <c:pt idx="239">
                  <c:v>49.972000000000001</c:v>
                </c:pt>
                <c:pt idx="240">
                  <c:v>49.975000000000001</c:v>
                </c:pt>
                <c:pt idx="241">
                  <c:v>49.976999999999997</c:v>
                </c:pt>
                <c:pt idx="242">
                  <c:v>49.98</c:v>
                </c:pt>
                <c:pt idx="243">
                  <c:v>49.981999999999999</c:v>
                </c:pt>
                <c:pt idx="244">
                  <c:v>49.98</c:v>
                </c:pt>
                <c:pt idx="245">
                  <c:v>49.981999999999999</c:v>
                </c:pt>
                <c:pt idx="246">
                  <c:v>49.976999999999997</c:v>
                </c:pt>
                <c:pt idx="247">
                  <c:v>49.978000000000002</c:v>
                </c:pt>
                <c:pt idx="248">
                  <c:v>49.98</c:v>
                </c:pt>
                <c:pt idx="249">
                  <c:v>49.98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D9-441B-8789-E048C2AA3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545392"/>
        <c:axId val="1454575856"/>
      </c:scatterChart>
      <c:valAx>
        <c:axId val="85954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4575856"/>
        <c:crosses val="autoZero"/>
        <c:crossBetween val="midCat"/>
      </c:valAx>
      <c:valAx>
        <c:axId val="1454575856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954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FLL 50-40M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'FLL Transition'!$K$2:$K$3</c:f>
              <c:strCache>
                <c:ptCount val="2"/>
                <c:pt idx="0">
                  <c:v>FLL Transition (50 -&gt; 40MHz)</c:v>
                </c:pt>
                <c:pt idx="1">
                  <c:v>IC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Transition'!$K$4:$K$253</c:f>
              <c:numCache>
                <c:formatCode>General</c:formatCode>
                <c:ptCount val="250"/>
                <c:pt idx="0">
                  <c:v>49.999000000000002</c:v>
                </c:pt>
                <c:pt idx="1">
                  <c:v>50</c:v>
                </c:pt>
                <c:pt idx="2">
                  <c:v>50.003999999999998</c:v>
                </c:pt>
                <c:pt idx="3">
                  <c:v>49.997</c:v>
                </c:pt>
                <c:pt idx="4">
                  <c:v>50</c:v>
                </c:pt>
                <c:pt idx="5">
                  <c:v>50</c:v>
                </c:pt>
                <c:pt idx="6">
                  <c:v>50.002000000000002</c:v>
                </c:pt>
                <c:pt idx="7">
                  <c:v>50</c:v>
                </c:pt>
                <c:pt idx="8">
                  <c:v>49.999000000000002</c:v>
                </c:pt>
                <c:pt idx="9">
                  <c:v>49.997</c:v>
                </c:pt>
                <c:pt idx="10">
                  <c:v>47.601999999999997</c:v>
                </c:pt>
                <c:pt idx="11">
                  <c:v>47.603000000000002</c:v>
                </c:pt>
                <c:pt idx="12">
                  <c:v>47.601999999999997</c:v>
                </c:pt>
                <c:pt idx="13">
                  <c:v>47.601999999999997</c:v>
                </c:pt>
                <c:pt idx="14">
                  <c:v>47.603000000000002</c:v>
                </c:pt>
                <c:pt idx="15">
                  <c:v>47.604999999999997</c:v>
                </c:pt>
                <c:pt idx="16">
                  <c:v>47.601999999999997</c:v>
                </c:pt>
                <c:pt idx="17">
                  <c:v>47.604999999999997</c:v>
                </c:pt>
                <c:pt idx="18">
                  <c:v>47.601999999999997</c:v>
                </c:pt>
                <c:pt idx="19">
                  <c:v>47.603000000000002</c:v>
                </c:pt>
                <c:pt idx="20">
                  <c:v>47.604999999999997</c:v>
                </c:pt>
                <c:pt idx="21">
                  <c:v>47.601999999999997</c:v>
                </c:pt>
                <c:pt idx="22">
                  <c:v>47.6</c:v>
                </c:pt>
                <c:pt idx="23">
                  <c:v>45.412999999999997</c:v>
                </c:pt>
                <c:pt idx="24">
                  <c:v>45.41</c:v>
                </c:pt>
                <c:pt idx="25">
                  <c:v>45.408999999999999</c:v>
                </c:pt>
                <c:pt idx="26">
                  <c:v>45.411999999999999</c:v>
                </c:pt>
                <c:pt idx="27">
                  <c:v>45.411999999999999</c:v>
                </c:pt>
                <c:pt idx="28">
                  <c:v>45.411999999999999</c:v>
                </c:pt>
                <c:pt idx="29">
                  <c:v>45.411999999999999</c:v>
                </c:pt>
                <c:pt idx="30">
                  <c:v>45.408999999999999</c:v>
                </c:pt>
                <c:pt idx="31">
                  <c:v>45.406999999999996</c:v>
                </c:pt>
                <c:pt idx="32">
                  <c:v>45.408999999999999</c:v>
                </c:pt>
                <c:pt idx="33">
                  <c:v>45.405999999999999</c:v>
                </c:pt>
                <c:pt idx="34">
                  <c:v>45.411999999999999</c:v>
                </c:pt>
                <c:pt idx="35">
                  <c:v>45.405999999999999</c:v>
                </c:pt>
                <c:pt idx="36">
                  <c:v>43.954000000000001</c:v>
                </c:pt>
                <c:pt idx="37">
                  <c:v>43.923999999999999</c:v>
                </c:pt>
                <c:pt idx="38">
                  <c:v>43.920999999999999</c:v>
                </c:pt>
                <c:pt idx="39">
                  <c:v>43.923999999999999</c:v>
                </c:pt>
                <c:pt idx="40">
                  <c:v>43.920999999999999</c:v>
                </c:pt>
                <c:pt idx="41">
                  <c:v>43.92</c:v>
                </c:pt>
                <c:pt idx="42">
                  <c:v>43.917999999999999</c:v>
                </c:pt>
                <c:pt idx="43">
                  <c:v>43.920999999999999</c:v>
                </c:pt>
                <c:pt idx="44">
                  <c:v>43.921999999999997</c:v>
                </c:pt>
                <c:pt idx="45">
                  <c:v>43.923999999999999</c:v>
                </c:pt>
                <c:pt idx="46">
                  <c:v>43.921999999999997</c:v>
                </c:pt>
                <c:pt idx="47">
                  <c:v>43.921999999999997</c:v>
                </c:pt>
                <c:pt idx="48">
                  <c:v>43.923999999999999</c:v>
                </c:pt>
                <c:pt idx="49">
                  <c:v>42.850999999999999</c:v>
                </c:pt>
                <c:pt idx="50">
                  <c:v>42.853999999999999</c:v>
                </c:pt>
                <c:pt idx="51">
                  <c:v>42.85</c:v>
                </c:pt>
                <c:pt idx="52">
                  <c:v>42.85</c:v>
                </c:pt>
                <c:pt idx="53">
                  <c:v>42.85</c:v>
                </c:pt>
                <c:pt idx="54">
                  <c:v>42.850999999999999</c:v>
                </c:pt>
                <c:pt idx="55">
                  <c:v>42.85</c:v>
                </c:pt>
                <c:pt idx="56">
                  <c:v>42.85</c:v>
                </c:pt>
                <c:pt idx="57">
                  <c:v>42.853000000000002</c:v>
                </c:pt>
                <c:pt idx="58">
                  <c:v>42.850999999999999</c:v>
                </c:pt>
                <c:pt idx="59">
                  <c:v>42.848999999999997</c:v>
                </c:pt>
                <c:pt idx="60">
                  <c:v>42.85</c:v>
                </c:pt>
                <c:pt idx="61">
                  <c:v>42.076000000000001</c:v>
                </c:pt>
                <c:pt idx="62">
                  <c:v>42.079000000000001</c:v>
                </c:pt>
                <c:pt idx="63">
                  <c:v>42.073999999999998</c:v>
                </c:pt>
                <c:pt idx="64">
                  <c:v>42.08</c:v>
                </c:pt>
                <c:pt idx="65">
                  <c:v>42.076999999999998</c:v>
                </c:pt>
                <c:pt idx="66">
                  <c:v>42.076000000000001</c:v>
                </c:pt>
                <c:pt idx="67">
                  <c:v>42.076999999999998</c:v>
                </c:pt>
                <c:pt idx="68">
                  <c:v>42.075000000000003</c:v>
                </c:pt>
                <c:pt idx="69">
                  <c:v>42.075000000000003</c:v>
                </c:pt>
                <c:pt idx="70">
                  <c:v>42.076000000000001</c:v>
                </c:pt>
                <c:pt idx="71">
                  <c:v>42.076000000000001</c:v>
                </c:pt>
                <c:pt idx="72">
                  <c:v>41.89</c:v>
                </c:pt>
                <c:pt idx="73">
                  <c:v>41.523000000000003</c:v>
                </c:pt>
                <c:pt idx="74">
                  <c:v>41.521000000000001</c:v>
                </c:pt>
                <c:pt idx="75">
                  <c:v>41.521000000000001</c:v>
                </c:pt>
                <c:pt idx="76">
                  <c:v>41.518999999999998</c:v>
                </c:pt>
                <c:pt idx="77">
                  <c:v>41.523000000000003</c:v>
                </c:pt>
                <c:pt idx="78">
                  <c:v>41.521000000000001</c:v>
                </c:pt>
                <c:pt idx="79">
                  <c:v>41.524999999999999</c:v>
                </c:pt>
                <c:pt idx="80">
                  <c:v>41.521999999999998</c:v>
                </c:pt>
                <c:pt idx="81">
                  <c:v>41.523000000000003</c:v>
                </c:pt>
                <c:pt idx="82">
                  <c:v>41.521999999999998</c:v>
                </c:pt>
                <c:pt idx="83">
                  <c:v>41.521999999999998</c:v>
                </c:pt>
                <c:pt idx="84">
                  <c:v>41.276000000000003</c:v>
                </c:pt>
                <c:pt idx="85">
                  <c:v>41.118000000000002</c:v>
                </c:pt>
                <c:pt idx="86">
                  <c:v>41.116</c:v>
                </c:pt>
                <c:pt idx="87">
                  <c:v>41.119</c:v>
                </c:pt>
                <c:pt idx="88">
                  <c:v>41.119</c:v>
                </c:pt>
                <c:pt idx="89">
                  <c:v>41.118000000000002</c:v>
                </c:pt>
                <c:pt idx="90">
                  <c:v>41.12</c:v>
                </c:pt>
                <c:pt idx="91">
                  <c:v>41.119</c:v>
                </c:pt>
                <c:pt idx="92">
                  <c:v>41.116</c:v>
                </c:pt>
                <c:pt idx="93">
                  <c:v>41.119</c:v>
                </c:pt>
                <c:pt idx="94">
                  <c:v>41.12</c:v>
                </c:pt>
                <c:pt idx="95">
                  <c:v>41.118000000000002</c:v>
                </c:pt>
                <c:pt idx="96">
                  <c:v>40.886000000000003</c:v>
                </c:pt>
                <c:pt idx="97">
                  <c:v>40.823999999999998</c:v>
                </c:pt>
                <c:pt idx="98">
                  <c:v>40.823999999999998</c:v>
                </c:pt>
                <c:pt idx="99">
                  <c:v>40.826000000000001</c:v>
                </c:pt>
                <c:pt idx="100">
                  <c:v>40.826999999999998</c:v>
                </c:pt>
                <c:pt idx="101">
                  <c:v>40.823999999999998</c:v>
                </c:pt>
                <c:pt idx="102">
                  <c:v>40.823</c:v>
                </c:pt>
                <c:pt idx="103">
                  <c:v>40.828000000000003</c:v>
                </c:pt>
                <c:pt idx="104">
                  <c:v>40.825000000000003</c:v>
                </c:pt>
                <c:pt idx="105">
                  <c:v>40.823999999999998</c:v>
                </c:pt>
                <c:pt idx="106">
                  <c:v>40.826000000000001</c:v>
                </c:pt>
                <c:pt idx="107">
                  <c:v>40.823</c:v>
                </c:pt>
                <c:pt idx="108">
                  <c:v>40.61</c:v>
                </c:pt>
                <c:pt idx="109">
                  <c:v>40.613</c:v>
                </c:pt>
                <c:pt idx="110">
                  <c:v>40.61</c:v>
                </c:pt>
                <c:pt idx="111">
                  <c:v>40.609000000000002</c:v>
                </c:pt>
                <c:pt idx="112">
                  <c:v>40.613</c:v>
                </c:pt>
                <c:pt idx="113">
                  <c:v>40.607999999999997</c:v>
                </c:pt>
                <c:pt idx="114">
                  <c:v>40.610999999999997</c:v>
                </c:pt>
                <c:pt idx="115">
                  <c:v>40.609000000000002</c:v>
                </c:pt>
                <c:pt idx="116">
                  <c:v>40.61</c:v>
                </c:pt>
                <c:pt idx="117">
                  <c:v>40.609000000000002</c:v>
                </c:pt>
                <c:pt idx="118">
                  <c:v>40.606999999999999</c:v>
                </c:pt>
                <c:pt idx="119">
                  <c:v>40.606000000000002</c:v>
                </c:pt>
                <c:pt idx="120">
                  <c:v>40.451999999999998</c:v>
                </c:pt>
                <c:pt idx="121">
                  <c:v>40.454999999999998</c:v>
                </c:pt>
                <c:pt idx="122">
                  <c:v>40.451000000000001</c:v>
                </c:pt>
                <c:pt idx="123">
                  <c:v>40.450000000000003</c:v>
                </c:pt>
                <c:pt idx="124">
                  <c:v>40.454999999999998</c:v>
                </c:pt>
                <c:pt idx="125">
                  <c:v>40.451999999999998</c:v>
                </c:pt>
                <c:pt idx="126">
                  <c:v>40.450000000000003</c:v>
                </c:pt>
                <c:pt idx="127">
                  <c:v>40.451999999999998</c:v>
                </c:pt>
                <c:pt idx="128">
                  <c:v>40.451000000000001</c:v>
                </c:pt>
                <c:pt idx="129">
                  <c:v>40.450000000000003</c:v>
                </c:pt>
                <c:pt idx="130">
                  <c:v>40.451999999999998</c:v>
                </c:pt>
                <c:pt idx="131">
                  <c:v>40.337000000000003</c:v>
                </c:pt>
                <c:pt idx="132">
                  <c:v>40.334000000000003</c:v>
                </c:pt>
                <c:pt idx="133">
                  <c:v>40.334000000000003</c:v>
                </c:pt>
                <c:pt idx="134">
                  <c:v>40.334000000000003</c:v>
                </c:pt>
                <c:pt idx="135">
                  <c:v>40.335999999999999</c:v>
                </c:pt>
                <c:pt idx="136">
                  <c:v>40.332999999999998</c:v>
                </c:pt>
                <c:pt idx="137">
                  <c:v>40.334000000000003</c:v>
                </c:pt>
                <c:pt idx="138">
                  <c:v>40.334000000000003</c:v>
                </c:pt>
                <c:pt idx="139">
                  <c:v>40.335000000000001</c:v>
                </c:pt>
                <c:pt idx="140">
                  <c:v>40.332999999999998</c:v>
                </c:pt>
                <c:pt idx="141">
                  <c:v>40.335000000000001</c:v>
                </c:pt>
                <c:pt idx="142">
                  <c:v>40.335999999999999</c:v>
                </c:pt>
                <c:pt idx="143">
                  <c:v>40.247999999999998</c:v>
                </c:pt>
                <c:pt idx="144">
                  <c:v>40.25</c:v>
                </c:pt>
                <c:pt idx="145">
                  <c:v>40.247999999999998</c:v>
                </c:pt>
                <c:pt idx="146">
                  <c:v>40.247999999999998</c:v>
                </c:pt>
                <c:pt idx="147">
                  <c:v>40.247999999999998</c:v>
                </c:pt>
                <c:pt idx="148">
                  <c:v>40.249000000000002</c:v>
                </c:pt>
                <c:pt idx="149">
                  <c:v>40.246000000000002</c:v>
                </c:pt>
                <c:pt idx="150">
                  <c:v>40.249000000000002</c:v>
                </c:pt>
                <c:pt idx="151">
                  <c:v>40.247</c:v>
                </c:pt>
                <c:pt idx="152">
                  <c:v>40.25</c:v>
                </c:pt>
                <c:pt idx="153">
                  <c:v>40.247999999999998</c:v>
                </c:pt>
                <c:pt idx="154">
                  <c:v>40.218000000000004</c:v>
                </c:pt>
                <c:pt idx="155">
                  <c:v>40.183</c:v>
                </c:pt>
                <c:pt idx="156">
                  <c:v>40.183999999999997</c:v>
                </c:pt>
                <c:pt idx="157">
                  <c:v>40.185000000000002</c:v>
                </c:pt>
                <c:pt idx="158">
                  <c:v>40.183</c:v>
                </c:pt>
                <c:pt idx="159">
                  <c:v>40.186</c:v>
                </c:pt>
                <c:pt idx="160">
                  <c:v>40.185000000000002</c:v>
                </c:pt>
                <c:pt idx="161">
                  <c:v>40.186</c:v>
                </c:pt>
                <c:pt idx="162">
                  <c:v>40.185000000000002</c:v>
                </c:pt>
                <c:pt idx="163">
                  <c:v>40.183</c:v>
                </c:pt>
                <c:pt idx="164">
                  <c:v>40.183999999999997</c:v>
                </c:pt>
                <c:pt idx="165">
                  <c:v>40.183</c:v>
                </c:pt>
                <c:pt idx="166">
                  <c:v>40.134</c:v>
                </c:pt>
                <c:pt idx="167">
                  <c:v>40.134</c:v>
                </c:pt>
                <c:pt idx="168">
                  <c:v>40.134999999999998</c:v>
                </c:pt>
                <c:pt idx="169">
                  <c:v>40.133000000000003</c:v>
                </c:pt>
                <c:pt idx="170">
                  <c:v>40.137999999999998</c:v>
                </c:pt>
                <c:pt idx="171">
                  <c:v>40.134</c:v>
                </c:pt>
                <c:pt idx="172">
                  <c:v>40.137999999999998</c:v>
                </c:pt>
                <c:pt idx="173">
                  <c:v>40.134999999999998</c:v>
                </c:pt>
                <c:pt idx="174">
                  <c:v>40.137</c:v>
                </c:pt>
                <c:pt idx="175">
                  <c:v>40.134999999999998</c:v>
                </c:pt>
                <c:pt idx="176">
                  <c:v>40.136000000000003</c:v>
                </c:pt>
                <c:pt idx="177">
                  <c:v>40.133000000000003</c:v>
                </c:pt>
                <c:pt idx="178">
                  <c:v>40.101999999999997</c:v>
                </c:pt>
                <c:pt idx="179">
                  <c:v>40.103999999999999</c:v>
                </c:pt>
                <c:pt idx="180">
                  <c:v>40.101999999999997</c:v>
                </c:pt>
                <c:pt idx="181">
                  <c:v>40.1</c:v>
                </c:pt>
                <c:pt idx="182">
                  <c:v>40.100999999999999</c:v>
                </c:pt>
                <c:pt idx="183">
                  <c:v>40.103000000000002</c:v>
                </c:pt>
                <c:pt idx="184">
                  <c:v>40.101999999999997</c:v>
                </c:pt>
                <c:pt idx="185">
                  <c:v>40.101999999999997</c:v>
                </c:pt>
                <c:pt idx="186">
                  <c:v>40.101999999999997</c:v>
                </c:pt>
                <c:pt idx="187">
                  <c:v>40.103000000000002</c:v>
                </c:pt>
                <c:pt idx="188">
                  <c:v>40.101999999999997</c:v>
                </c:pt>
                <c:pt idx="189">
                  <c:v>40.073999999999998</c:v>
                </c:pt>
                <c:pt idx="190">
                  <c:v>40.075000000000003</c:v>
                </c:pt>
                <c:pt idx="191">
                  <c:v>40.075000000000003</c:v>
                </c:pt>
                <c:pt idx="192">
                  <c:v>40.073999999999998</c:v>
                </c:pt>
                <c:pt idx="193">
                  <c:v>40.072000000000003</c:v>
                </c:pt>
                <c:pt idx="194">
                  <c:v>40.073999999999998</c:v>
                </c:pt>
                <c:pt idx="195">
                  <c:v>40.076000000000001</c:v>
                </c:pt>
                <c:pt idx="196">
                  <c:v>40.073999999999998</c:v>
                </c:pt>
                <c:pt idx="197">
                  <c:v>40.075000000000003</c:v>
                </c:pt>
                <c:pt idx="198">
                  <c:v>40.076000000000001</c:v>
                </c:pt>
                <c:pt idx="199">
                  <c:v>40.073999999999998</c:v>
                </c:pt>
                <c:pt idx="200">
                  <c:v>40.073</c:v>
                </c:pt>
                <c:pt idx="201">
                  <c:v>40.057000000000002</c:v>
                </c:pt>
                <c:pt idx="202">
                  <c:v>40.055</c:v>
                </c:pt>
                <c:pt idx="203">
                  <c:v>40.051000000000002</c:v>
                </c:pt>
                <c:pt idx="204">
                  <c:v>40.058</c:v>
                </c:pt>
                <c:pt idx="205">
                  <c:v>40.058999999999997</c:v>
                </c:pt>
                <c:pt idx="206">
                  <c:v>40.057000000000002</c:v>
                </c:pt>
                <c:pt idx="207">
                  <c:v>40.058999999999997</c:v>
                </c:pt>
                <c:pt idx="208">
                  <c:v>40.057000000000002</c:v>
                </c:pt>
                <c:pt idx="209">
                  <c:v>40.057000000000002</c:v>
                </c:pt>
                <c:pt idx="210">
                  <c:v>40.058999999999997</c:v>
                </c:pt>
                <c:pt idx="211">
                  <c:v>40.057000000000002</c:v>
                </c:pt>
                <c:pt idx="212">
                  <c:v>40.039000000000001</c:v>
                </c:pt>
                <c:pt idx="213">
                  <c:v>40.039000000000001</c:v>
                </c:pt>
                <c:pt idx="214">
                  <c:v>40.045000000000002</c:v>
                </c:pt>
                <c:pt idx="215">
                  <c:v>40.04</c:v>
                </c:pt>
                <c:pt idx="216">
                  <c:v>40.042000000000002</c:v>
                </c:pt>
                <c:pt idx="217">
                  <c:v>40.040999999999997</c:v>
                </c:pt>
                <c:pt idx="218">
                  <c:v>40.039000000000001</c:v>
                </c:pt>
                <c:pt idx="219">
                  <c:v>40.042000000000002</c:v>
                </c:pt>
                <c:pt idx="220">
                  <c:v>40.040999999999997</c:v>
                </c:pt>
                <c:pt idx="221">
                  <c:v>40.042000000000002</c:v>
                </c:pt>
                <c:pt idx="222">
                  <c:v>40.040999999999997</c:v>
                </c:pt>
                <c:pt idx="223">
                  <c:v>40.040999999999997</c:v>
                </c:pt>
                <c:pt idx="224">
                  <c:v>40.030999999999999</c:v>
                </c:pt>
                <c:pt idx="225">
                  <c:v>40.03</c:v>
                </c:pt>
                <c:pt idx="226">
                  <c:v>40.029000000000003</c:v>
                </c:pt>
                <c:pt idx="227">
                  <c:v>40.030999999999999</c:v>
                </c:pt>
                <c:pt idx="228">
                  <c:v>40.03</c:v>
                </c:pt>
                <c:pt idx="229">
                  <c:v>40.030999999999999</c:v>
                </c:pt>
                <c:pt idx="230">
                  <c:v>40.027000000000001</c:v>
                </c:pt>
                <c:pt idx="231">
                  <c:v>40.029000000000003</c:v>
                </c:pt>
                <c:pt idx="232">
                  <c:v>40.029000000000003</c:v>
                </c:pt>
                <c:pt idx="233">
                  <c:v>40.030999999999999</c:v>
                </c:pt>
                <c:pt idx="234">
                  <c:v>40.030999999999999</c:v>
                </c:pt>
                <c:pt idx="235">
                  <c:v>40.023000000000003</c:v>
                </c:pt>
                <c:pt idx="236">
                  <c:v>40.024000000000001</c:v>
                </c:pt>
                <c:pt idx="237">
                  <c:v>40.027000000000001</c:v>
                </c:pt>
                <c:pt idx="238">
                  <c:v>40.024999999999999</c:v>
                </c:pt>
                <c:pt idx="239">
                  <c:v>40.023000000000003</c:v>
                </c:pt>
                <c:pt idx="240">
                  <c:v>40.021999999999998</c:v>
                </c:pt>
                <c:pt idx="241">
                  <c:v>40.021000000000001</c:v>
                </c:pt>
                <c:pt idx="242">
                  <c:v>40.024999999999999</c:v>
                </c:pt>
                <c:pt idx="243">
                  <c:v>40.020000000000003</c:v>
                </c:pt>
                <c:pt idx="244">
                  <c:v>40.023000000000003</c:v>
                </c:pt>
                <c:pt idx="245">
                  <c:v>40.024999999999999</c:v>
                </c:pt>
                <c:pt idx="246">
                  <c:v>40.021000000000001</c:v>
                </c:pt>
                <c:pt idx="247">
                  <c:v>40.015999999999998</c:v>
                </c:pt>
                <c:pt idx="248">
                  <c:v>40.018000000000001</c:v>
                </c:pt>
                <c:pt idx="249">
                  <c:v>40.018000000000001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FA-4770-B29D-56F42A34D120}"/>
            </c:ext>
          </c:extLst>
        </c:ser>
        <c:ser>
          <c:idx val="1"/>
          <c:order val="1"/>
          <c:tx>
            <c:strRef>
              <c:f>'FLL Transition'!$L$2:$L$3</c:f>
              <c:strCache>
                <c:ptCount val="2"/>
                <c:pt idx="0">
                  <c:v>FLL Transition (50 -&gt; 40MHz)</c:v>
                </c:pt>
                <c:pt idx="1">
                  <c:v>IC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Transition'!$L$4:$L$253</c:f>
              <c:numCache>
                <c:formatCode>General</c:formatCode>
                <c:ptCount val="250"/>
                <c:pt idx="0">
                  <c:v>50.002000000000002</c:v>
                </c:pt>
                <c:pt idx="1">
                  <c:v>50</c:v>
                </c:pt>
                <c:pt idx="2">
                  <c:v>50</c:v>
                </c:pt>
                <c:pt idx="3">
                  <c:v>50.002000000000002</c:v>
                </c:pt>
                <c:pt idx="4">
                  <c:v>50</c:v>
                </c:pt>
                <c:pt idx="5">
                  <c:v>49.997</c:v>
                </c:pt>
                <c:pt idx="6">
                  <c:v>49.999000000000002</c:v>
                </c:pt>
                <c:pt idx="7">
                  <c:v>49.999000000000002</c:v>
                </c:pt>
                <c:pt idx="8">
                  <c:v>49.999000000000002</c:v>
                </c:pt>
                <c:pt idx="9">
                  <c:v>47.613</c:v>
                </c:pt>
                <c:pt idx="10">
                  <c:v>47.601999999999997</c:v>
                </c:pt>
                <c:pt idx="11">
                  <c:v>47.604999999999997</c:v>
                </c:pt>
                <c:pt idx="12">
                  <c:v>47.607999999999997</c:v>
                </c:pt>
                <c:pt idx="13">
                  <c:v>47.601999999999997</c:v>
                </c:pt>
                <c:pt idx="14">
                  <c:v>47.607999999999997</c:v>
                </c:pt>
                <c:pt idx="15">
                  <c:v>47.604999999999997</c:v>
                </c:pt>
                <c:pt idx="16">
                  <c:v>47.606000000000002</c:v>
                </c:pt>
                <c:pt idx="17">
                  <c:v>47.597000000000001</c:v>
                </c:pt>
                <c:pt idx="18">
                  <c:v>47.606000000000002</c:v>
                </c:pt>
                <c:pt idx="19">
                  <c:v>47.606000000000002</c:v>
                </c:pt>
                <c:pt idx="20">
                  <c:v>47.607999999999997</c:v>
                </c:pt>
                <c:pt idx="21">
                  <c:v>47.607999999999997</c:v>
                </c:pt>
                <c:pt idx="22">
                  <c:v>47.606000000000002</c:v>
                </c:pt>
                <c:pt idx="23">
                  <c:v>45.412999999999997</c:v>
                </c:pt>
                <c:pt idx="24">
                  <c:v>45.414000000000001</c:v>
                </c:pt>
                <c:pt idx="25">
                  <c:v>45.414000000000001</c:v>
                </c:pt>
                <c:pt idx="26">
                  <c:v>45.414000000000001</c:v>
                </c:pt>
                <c:pt idx="27">
                  <c:v>45.414000000000001</c:v>
                </c:pt>
                <c:pt idx="28">
                  <c:v>45.412999999999997</c:v>
                </c:pt>
                <c:pt idx="29">
                  <c:v>45.417000000000002</c:v>
                </c:pt>
                <c:pt idx="30">
                  <c:v>45.417000000000002</c:v>
                </c:pt>
                <c:pt idx="31">
                  <c:v>45.412999999999997</c:v>
                </c:pt>
                <c:pt idx="32">
                  <c:v>45.415999999999997</c:v>
                </c:pt>
                <c:pt idx="33">
                  <c:v>45.417000000000002</c:v>
                </c:pt>
                <c:pt idx="34">
                  <c:v>45.415999999999997</c:v>
                </c:pt>
                <c:pt idx="35">
                  <c:v>44.677</c:v>
                </c:pt>
                <c:pt idx="36">
                  <c:v>43.923999999999999</c:v>
                </c:pt>
                <c:pt idx="37">
                  <c:v>43.92</c:v>
                </c:pt>
                <c:pt idx="38">
                  <c:v>43.923999999999999</c:v>
                </c:pt>
                <c:pt idx="39">
                  <c:v>43.921999999999997</c:v>
                </c:pt>
                <c:pt idx="40">
                  <c:v>43.923999999999999</c:v>
                </c:pt>
                <c:pt idx="41">
                  <c:v>43.921999999999997</c:v>
                </c:pt>
                <c:pt idx="42">
                  <c:v>43.921999999999997</c:v>
                </c:pt>
                <c:pt idx="43">
                  <c:v>43.921999999999997</c:v>
                </c:pt>
                <c:pt idx="44">
                  <c:v>43.926000000000002</c:v>
                </c:pt>
                <c:pt idx="45">
                  <c:v>43.923999999999999</c:v>
                </c:pt>
                <c:pt idx="46">
                  <c:v>43.920999999999999</c:v>
                </c:pt>
                <c:pt idx="47">
                  <c:v>43.921999999999997</c:v>
                </c:pt>
                <c:pt idx="48">
                  <c:v>42.843000000000004</c:v>
                </c:pt>
                <c:pt idx="49">
                  <c:v>42.844000000000001</c:v>
                </c:pt>
                <c:pt idx="50">
                  <c:v>42.844999999999999</c:v>
                </c:pt>
                <c:pt idx="51">
                  <c:v>42.844000000000001</c:v>
                </c:pt>
                <c:pt idx="52">
                  <c:v>42.844999999999999</c:v>
                </c:pt>
                <c:pt idx="53">
                  <c:v>42.843000000000004</c:v>
                </c:pt>
                <c:pt idx="54">
                  <c:v>42.841000000000001</c:v>
                </c:pt>
                <c:pt idx="55">
                  <c:v>42.844000000000001</c:v>
                </c:pt>
                <c:pt idx="56">
                  <c:v>42.844000000000001</c:v>
                </c:pt>
                <c:pt idx="57">
                  <c:v>42.843000000000004</c:v>
                </c:pt>
                <c:pt idx="58">
                  <c:v>42.844999999999999</c:v>
                </c:pt>
                <c:pt idx="59">
                  <c:v>42.845999999999997</c:v>
                </c:pt>
                <c:pt idx="60">
                  <c:v>42.48</c:v>
                </c:pt>
                <c:pt idx="61">
                  <c:v>42.073999999999998</c:v>
                </c:pt>
                <c:pt idx="62">
                  <c:v>42.070999999999998</c:v>
                </c:pt>
                <c:pt idx="63">
                  <c:v>42.070999999999998</c:v>
                </c:pt>
                <c:pt idx="64">
                  <c:v>42.073999999999998</c:v>
                </c:pt>
                <c:pt idx="65">
                  <c:v>42.073999999999998</c:v>
                </c:pt>
                <c:pt idx="66">
                  <c:v>42.070999999999998</c:v>
                </c:pt>
                <c:pt idx="67">
                  <c:v>42.073999999999998</c:v>
                </c:pt>
                <c:pt idx="68">
                  <c:v>42.073</c:v>
                </c:pt>
                <c:pt idx="69">
                  <c:v>42.073999999999998</c:v>
                </c:pt>
                <c:pt idx="70">
                  <c:v>42.076000000000001</c:v>
                </c:pt>
                <c:pt idx="71">
                  <c:v>42.073999999999998</c:v>
                </c:pt>
                <c:pt idx="72">
                  <c:v>41.884</c:v>
                </c:pt>
                <c:pt idx="73">
                  <c:v>41.514000000000003</c:v>
                </c:pt>
                <c:pt idx="74">
                  <c:v>41.515000000000001</c:v>
                </c:pt>
                <c:pt idx="75">
                  <c:v>41.515999999999998</c:v>
                </c:pt>
                <c:pt idx="76">
                  <c:v>41.515999999999998</c:v>
                </c:pt>
                <c:pt idx="77">
                  <c:v>41.515999999999998</c:v>
                </c:pt>
                <c:pt idx="78">
                  <c:v>41.515000000000001</c:v>
                </c:pt>
                <c:pt idx="79">
                  <c:v>41.515999999999998</c:v>
                </c:pt>
                <c:pt idx="80">
                  <c:v>41.514000000000003</c:v>
                </c:pt>
                <c:pt idx="81">
                  <c:v>41.518000000000001</c:v>
                </c:pt>
                <c:pt idx="82">
                  <c:v>41.517000000000003</c:v>
                </c:pt>
                <c:pt idx="83">
                  <c:v>41.512</c:v>
                </c:pt>
                <c:pt idx="84">
                  <c:v>41.27</c:v>
                </c:pt>
                <c:pt idx="85">
                  <c:v>41.107999999999997</c:v>
                </c:pt>
                <c:pt idx="86">
                  <c:v>41.106999999999999</c:v>
                </c:pt>
                <c:pt idx="87">
                  <c:v>41.106999999999999</c:v>
                </c:pt>
                <c:pt idx="88">
                  <c:v>41.107999999999997</c:v>
                </c:pt>
                <c:pt idx="89">
                  <c:v>41.106000000000002</c:v>
                </c:pt>
                <c:pt idx="90">
                  <c:v>41.106000000000002</c:v>
                </c:pt>
                <c:pt idx="91">
                  <c:v>41.107999999999997</c:v>
                </c:pt>
                <c:pt idx="92">
                  <c:v>41.11</c:v>
                </c:pt>
                <c:pt idx="93">
                  <c:v>41.11</c:v>
                </c:pt>
                <c:pt idx="94">
                  <c:v>41.11</c:v>
                </c:pt>
                <c:pt idx="95">
                  <c:v>41.11</c:v>
                </c:pt>
                <c:pt idx="96">
                  <c:v>40.878</c:v>
                </c:pt>
                <c:pt idx="97">
                  <c:v>40.816000000000003</c:v>
                </c:pt>
                <c:pt idx="98">
                  <c:v>40.814999999999998</c:v>
                </c:pt>
                <c:pt idx="99">
                  <c:v>40.819000000000003</c:v>
                </c:pt>
                <c:pt idx="100">
                  <c:v>40.814999999999998</c:v>
                </c:pt>
                <c:pt idx="101">
                  <c:v>40.817</c:v>
                </c:pt>
                <c:pt idx="102">
                  <c:v>40.817999999999998</c:v>
                </c:pt>
                <c:pt idx="103">
                  <c:v>40.814999999999998</c:v>
                </c:pt>
                <c:pt idx="104">
                  <c:v>40.817</c:v>
                </c:pt>
                <c:pt idx="105">
                  <c:v>40.814</c:v>
                </c:pt>
                <c:pt idx="106">
                  <c:v>40.819000000000003</c:v>
                </c:pt>
                <c:pt idx="107">
                  <c:v>40.817</c:v>
                </c:pt>
                <c:pt idx="108">
                  <c:v>40.600999999999999</c:v>
                </c:pt>
                <c:pt idx="109">
                  <c:v>40.600999999999999</c:v>
                </c:pt>
                <c:pt idx="110">
                  <c:v>40.600999999999999</c:v>
                </c:pt>
                <c:pt idx="111">
                  <c:v>40.600999999999999</c:v>
                </c:pt>
                <c:pt idx="112">
                  <c:v>40.601999999999997</c:v>
                </c:pt>
                <c:pt idx="113">
                  <c:v>40.604999999999997</c:v>
                </c:pt>
                <c:pt idx="114">
                  <c:v>40.598999999999997</c:v>
                </c:pt>
                <c:pt idx="115">
                  <c:v>40.600999999999999</c:v>
                </c:pt>
                <c:pt idx="116">
                  <c:v>40.600999999999999</c:v>
                </c:pt>
                <c:pt idx="117">
                  <c:v>40.600999999999999</c:v>
                </c:pt>
                <c:pt idx="118">
                  <c:v>40.603999999999999</c:v>
                </c:pt>
                <c:pt idx="119">
                  <c:v>40.591999999999999</c:v>
                </c:pt>
                <c:pt idx="120">
                  <c:v>40.444000000000003</c:v>
                </c:pt>
                <c:pt idx="121">
                  <c:v>40.442999999999998</c:v>
                </c:pt>
                <c:pt idx="122">
                  <c:v>40.442</c:v>
                </c:pt>
                <c:pt idx="123">
                  <c:v>40.442</c:v>
                </c:pt>
                <c:pt idx="124">
                  <c:v>40.442</c:v>
                </c:pt>
                <c:pt idx="125">
                  <c:v>40.442</c:v>
                </c:pt>
                <c:pt idx="126">
                  <c:v>40.442</c:v>
                </c:pt>
                <c:pt idx="127">
                  <c:v>40.444000000000003</c:v>
                </c:pt>
                <c:pt idx="128">
                  <c:v>40.442</c:v>
                </c:pt>
                <c:pt idx="129">
                  <c:v>40.441000000000003</c:v>
                </c:pt>
                <c:pt idx="130">
                  <c:v>40.441000000000003</c:v>
                </c:pt>
                <c:pt idx="131">
                  <c:v>40.326000000000001</c:v>
                </c:pt>
                <c:pt idx="132">
                  <c:v>40.329000000000001</c:v>
                </c:pt>
                <c:pt idx="133">
                  <c:v>40.326000000000001</c:v>
                </c:pt>
                <c:pt idx="134">
                  <c:v>40.326000000000001</c:v>
                </c:pt>
                <c:pt idx="135">
                  <c:v>40.326999999999998</c:v>
                </c:pt>
                <c:pt idx="136">
                  <c:v>40.326000000000001</c:v>
                </c:pt>
                <c:pt idx="137">
                  <c:v>40.325000000000003</c:v>
                </c:pt>
                <c:pt idx="138">
                  <c:v>40.326000000000001</c:v>
                </c:pt>
                <c:pt idx="139">
                  <c:v>40.326999999999998</c:v>
                </c:pt>
                <c:pt idx="140">
                  <c:v>40.33</c:v>
                </c:pt>
                <c:pt idx="141">
                  <c:v>40.329000000000001</c:v>
                </c:pt>
                <c:pt idx="142">
                  <c:v>40.326999999999998</c:v>
                </c:pt>
                <c:pt idx="143">
                  <c:v>40.243000000000002</c:v>
                </c:pt>
                <c:pt idx="144">
                  <c:v>40.241999999999997</c:v>
                </c:pt>
                <c:pt idx="145">
                  <c:v>40.241999999999997</c:v>
                </c:pt>
                <c:pt idx="146">
                  <c:v>40.244999999999997</c:v>
                </c:pt>
                <c:pt idx="147">
                  <c:v>40.241999999999997</c:v>
                </c:pt>
                <c:pt idx="148">
                  <c:v>40.241</c:v>
                </c:pt>
                <c:pt idx="149">
                  <c:v>40.241</c:v>
                </c:pt>
                <c:pt idx="150">
                  <c:v>40.241</c:v>
                </c:pt>
                <c:pt idx="151">
                  <c:v>40.243000000000002</c:v>
                </c:pt>
                <c:pt idx="152">
                  <c:v>40.244999999999997</c:v>
                </c:pt>
                <c:pt idx="153">
                  <c:v>40.243000000000002</c:v>
                </c:pt>
                <c:pt idx="154">
                  <c:v>40.213999999999999</c:v>
                </c:pt>
                <c:pt idx="155">
                  <c:v>40.179000000000002</c:v>
                </c:pt>
                <c:pt idx="156">
                  <c:v>40.177</c:v>
                </c:pt>
                <c:pt idx="157">
                  <c:v>40.177</c:v>
                </c:pt>
                <c:pt idx="158">
                  <c:v>40.174999999999997</c:v>
                </c:pt>
                <c:pt idx="159">
                  <c:v>40.174999999999997</c:v>
                </c:pt>
                <c:pt idx="160">
                  <c:v>40.179000000000002</c:v>
                </c:pt>
                <c:pt idx="161">
                  <c:v>40.174999999999997</c:v>
                </c:pt>
                <c:pt idx="162">
                  <c:v>40.177</c:v>
                </c:pt>
                <c:pt idx="163">
                  <c:v>40.177999999999997</c:v>
                </c:pt>
                <c:pt idx="164">
                  <c:v>40.179000000000002</c:v>
                </c:pt>
                <c:pt idx="165">
                  <c:v>40.177999999999997</c:v>
                </c:pt>
                <c:pt idx="166">
                  <c:v>40.136000000000003</c:v>
                </c:pt>
                <c:pt idx="167">
                  <c:v>40.131999999999998</c:v>
                </c:pt>
                <c:pt idx="168">
                  <c:v>40.134</c:v>
                </c:pt>
                <c:pt idx="169">
                  <c:v>40.134999999999998</c:v>
                </c:pt>
                <c:pt idx="170">
                  <c:v>40.134999999999998</c:v>
                </c:pt>
                <c:pt idx="171">
                  <c:v>40.131999999999998</c:v>
                </c:pt>
                <c:pt idx="172">
                  <c:v>40.134</c:v>
                </c:pt>
                <c:pt idx="173">
                  <c:v>40.134</c:v>
                </c:pt>
                <c:pt idx="174">
                  <c:v>40.136000000000003</c:v>
                </c:pt>
                <c:pt idx="175">
                  <c:v>40.133000000000003</c:v>
                </c:pt>
                <c:pt idx="176">
                  <c:v>40.134</c:v>
                </c:pt>
                <c:pt idx="177">
                  <c:v>40.131</c:v>
                </c:pt>
                <c:pt idx="178">
                  <c:v>40.097000000000001</c:v>
                </c:pt>
                <c:pt idx="179">
                  <c:v>40.097999999999999</c:v>
                </c:pt>
                <c:pt idx="180">
                  <c:v>40.1</c:v>
                </c:pt>
                <c:pt idx="181">
                  <c:v>40.097999999999999</c:v>
                </c:pt>
                <c:pt idx="182">
                  <c:v>40.097999999999999</c:v>
                </c:pt>
                <c:pt idx="183">
                  <c:v>40.1</c:v>
                </c:pt>
                <c:pt idx="184">
                  <c:v>40.1</c:v>
                </c:pt>
                <c:pt idx="185">
                  <c:v>40.100999999999999</c:v>
                </c:pt>
                <c:pt idx="186">
                  <c:v>40.100999999999999</c:v>
                </c:pt>
                <c:pt idx="187">
                  <c:v>40.098999999999997</c:v>
                </c:pt>
                <c:pt idx="188">
                  <c:v>40.1</c:v>
                </c:pt>
                <c:pt idx="189">
                  <c:v>40.076999999999998</c:v>
                </c:pt>
                <c:pt idx="190">
                  <c:v>40.073999999999998</c:v>
                </c:pt>
                <c:pt idx="191">
                  <c:v>40.073999999999998</c:v>
                </c:pt>
                <c:pt idx="192">
                  <c:v>40.076000000000001</c:v>
                </c:pt>
                <c:pt idx="193">
                  <c:v>40.072000000000003</c:v>
                </c:pt>
                <c:pt idx="194">
                  <c:v>40.073999999999998</c:v>
                </c:pt>
                <c:pt idx="195">
                  <c:v>40.073</c:v>
                </c:pt>
                <c:pt idx="196">
                  <c:v>40.076999999999998</c:v>
                </c:pt>
                <c:pt idx="197">
                  <c:v>40.073999999999998</c:v>
                </c:pt>
                <c:pt idx="198">
                  <c:v>40.076000000000001</c:v>
                </c:pt>
                <c:pt idx="199">
                  <c:v>40.076000000000001</c:v>
                </c:pt>
                <c:pt idx="200">
                  <c:v>40.072000000000003</c:v>
                </c:pt>
                <c:pt idx="201">
                  <c:v>40.055</c:v>
                </c:pt>
                <c:pt idx="202">
                  <c:v>40.057000000000002</c:v>
                </c:pt>
                <c:pt idx="203">
                  <c:v>40.055</c:v>
                </c:pt>
                <c:pt idx="204">
                  <c:v>40.055</c:v>
                </c:pt>
                <c:pt idx="205">
                  <c:v>40.052</c:v>
                </c:pt>
                <c:pt idx="206">
                  <c:v>40.055</c:v>
                </c:pt>
                <c:pt idx="207">
                  <c:v>40.051000000000002</c:v>
                </c:pt>
                <c:pt idx="208">
                  <c:v>40.054000000000002</c:v>
                </c:pt>
                <c:pt idx="209">
                  <c:v>40.052999999999997</c:v>
                </c:pt>
                <c:pt idx="210">
                  <c:v>40.052999999999997</c:v>
                </c:pt>
                <c:pt idx="211">
                  <c:v>40.055</c:v>
                </c:pt>
                <c:pt idx="212">
                  <c:v>40.040999999999997</c:v>
                </c:pt>
                <c:pt idx="213">
                  <c:v>40.039000000000001</c:v>
                </c:pt>
                <c:pt idx="214">
                  <c:v>40.04</c:v>
                </c:pt>
                <c:pt idx="215">
                  <c:v>40.040999999999997</c:v>
                </c:pt>
                <c:pt idx="216">
                  <c:v>40.04</c:v>
                </c:pt>
                <c:pt idx="217">
                  <c:v>40.04</c:v>
                </c:pt>
                <c:pt idx="218">
                  <c:v>40.039000000000001</c:v>
                </c:pt>
                <c:pt idx="219">
                  <c:v>40.040999999999997</c:v>
                </c:pt>
                <c:pt idx="220">
                  <c:v>40.039000000000001</c:v>
                </c:pt>
                <c:pt idx="221">
                  <c:v>40.042000000000002</c:v>
                </c:pt>
                <c:pt idx="222">
                  <c:v>40.040999999999997</c:v>
                </c:pt>
                <c:pt idx="223">
                  <c:v>40.039000000000001</c:v>
                </c:pt>
                <c:pt idx="224">
                  <c:v>40.027999999999999</c:v>
                </c:pt>
                <c:pt idx="225">
                  <c:v>40.027999999999999</c:v>
                </c:pt>
                <c:pt idx="226">
                  <c:v>40.027000000000001</c:v>
                </c:pt>
                <c:pt idx="227">
                  <c:v>40.03</c:v>
                </c:pt>
                <c:pt idx="228">
                  <c:v>40.03</c:v>
                </c:pt>
                <c:pt idx="229">
                  <c:v>40.027000000000001</c:v>
                </c:pt>
                <c:pt idx="230">
                  <c:v>40.03</c:v>
                </c:pt>
                <c:pt idx="231">
                  <c:v>40.029000000000003</c:v>
                </c:pt>
                <c:pt idx="232">
                  <c:v>40.027999999999999</c:v>
                </c:pt>
                <c:pt idx="233">
                  <c:v>40.033000000000001</c:v>
                </c:pt>
                <c:pt idx="234">
                  <c:v>40.03</c:v>
                </c:pt>
                <c:pt idx="235">
                  <c:v>40.021999999999998</c:v>
                </c:pt>
                <c:pt idx="236">
                  <c:v>40.024000000000001</c:v>
                </c:pt>
                <c:pt idx="237">
                  <c:v>40.023000000000003</c:v>
                </c:pt>
                <c:pt idx="238">
                  <c:v>40.023000000000003</c:v>
                </c:pt>
                <c:pt idx="239">
                  <c:v>40.023000000000003</c:v>
                </c:pt>
                <c:pt idx="240">
                  <c:v>40.020000000000003</c:v>
                </c:pt>
                <c:pt idx="241">
                  <c:v>40.023000000000003</c:v>
                </c:pt>
                <c:pt idx="242">
                  <c:v>40.021999999999998</c:v>
                </c:pt>
                <c:pt idx="243">
                  <c:v>40.024000000000001</c:v>
                </c:pt>
                <c:pt idx="244">
                  <c:v>40.024000000000001</c:v>
                </c:pt>
                <c:pt idx="245">
                  <c:v>40.021000000000001</c:v>
                </c:pt>
                <c:pt idx="246">
                  <c:v>40.021000000000001</c:v>
                </c:pt>
                <c:pt idx="247">
                  <c:v>40.014000000000003</c:v>
                </c:pt>
                <c:pt idx="248">
                  <c:v>40.014000000000003</c:v>
                </c:pt>
                <c:pt idx="249">
                  <c:v>40.014000000000003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FA-4770-B29D-56F42A34D120}"/>
            </c:ext>
          </c:extLst>
        </c:ser>
        <c:ser>
          <c:idx val="2"/>
          <c:order val="2"/>
          <c:tx>
            <c:strRef>
              <c:f>'FLL Transition'!$M$2:$M$3</c:f>
              <c:strCache>
                <c:ptCount val="2"/>
                <c:pt idx="0">
                  <c:v>FLL Transition (50 -&gt; 40MHz)</c:v>
                </c:pt>
                <c:pt idx="1">
                  <c:v>IC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Transition'!$M$4:$M$253</c:f>
              <c:numCache>
                <c:formatCode>General</c:formatCode>
                <c:ptCount val="250"/>
                <c:pt idx="0">
                  <c:v>49.997</c:v>
                </c:pt>
                <c:pt idx="1">
                  <c:v>49.999000000000002</c:v>
                </c:pt>
                <c:pt idx="2">
                  <c:v>49.999000000000002</c:v>
                </c:pt>
                <c:pt idx="3">
                  <c:v>50</c:v>
                </c:pt>
                <c:pt idx="4">
                  <c:v>50.002000000000002</c:v>
                </c:pt>
                <c:pt idx="5">
                  <c:v>50.003999999999998</c:v>
                </c:pt>
                <c:pt idx="6">
                  <c:v>50</c:v>
                </c:pt>
                <c:pt idx="7">
                  <c:v>50</c:v>
                </c:pt>
                <c:pt idx="8">
                  <c:v>49.997</c:v>
                </c:pt>
                <c:pt idx="9">
                  <c:v>47.628999999999998</c:v>
                </c:pt>
                <c:pt idx="10">
                  <c:v>47.628999999999998</c:v>
                </c:pt>
                <c:pt idx="11">
                  <c:v>47.628</c:v>
                </c:pt>
                <c:pt idx="12">
                  <c:v>47.628</c:v>
                </c:pt>
                <c:pt idx="13">
                  <c:v>47.631</c:v>
                </c:pt>
                <c:pt idx="14">
                  <c:v>47.633000000000003</c:v>
                </c:pt>
                <c:pt idx="15">
                  <c:v>47.628999999999998</c:v>
                </c:pt>
                <c:pt idx="16">
                  <c:v>47.628999999999998</c:v>
                </c:pt>
                <c:pt idx="17">
                  <c:v>47.631</c:v>
                </c:pt>
                <c:pt idx="18">
                  <c:v>47.628999999999998</c:v>
                </c:pt>
                <c:pt idx="19">
                  <c:v>47.628</c:v>
                </c:pt>
                <c:pt idx="20">
                  <c:v>47.625</c:v>
                </c:pt>
                <c:pt idx="21">
                  <c:v>47.628</c:v>
                </c:pt>
                <c:pt idx="22">
                  <c:v>47.634</c:v>
                </c:pt>
                <c:pt idx="23">
                  <c:v>45.427999999999997</c:v>
                </c:pt>
                <c:pt idx="24">
                  <c:v>45.427</c:v>
                </c:pt>
                <c:pt idx="25">
                  <c:v>45.423999999999999</c:v>
                </c:pt>
                <c:pt idx="26">
                  <c:v>45.43</c:v>
                </c:pt>
                <c:pt idx="27">
                  <c:v>45.426000000000002</c:v>
                </c:pt>
                <c:pt idx="28">
                  <c:v>45.427</c:v>
                </c:pt>
                <c:pt idx="29">
                  <c:v>45.427</c:v>
                </c:pt>
                <c:pt idx="30">
                  <c:v>45.427</c:v>
                </c:pt>
                <c:pt idx="31">
                  <c:v>45.427</c:v>
                </c:pt>
                <c:pt idx="32">
                  <c:v>45.427999999999997</c:v>
                </c:pt>
                <c:pt idx="33">
                  <c:v>45.427999999999997</c:v>
                </c:pt>
                <c:pt idx="34">
                  <c:v>45.427</c:v>
                </c:pt>
                <c:pt idx="35">
                  <c:v>44.68</c:v>
                </c:pt>
                <c:pt idx="36">
                  <c:v>43.896999999999998</c:v>
                </c:pt>
                <c:pt idx="37">
                  <c:v>43.899000000000001</c:v>
                </c:pt>
                <c:pt idx="38">
                  <c:v>43.896999999999998</c:v>
                </c:pt>
                <c:pt idx="39">
                  <c:v>43.899000000000001</c:v>
                </c:pt>
                <c:pt idx="40">
                  <c:v>43.899000000000001</c:v>
                </c:pt>
                <c:pt idx="41">
                  <c:v>43.899000000000001</c:v>
                </c:pt>
                <c:pt idx="42">
                  <c:v>43.9</c:v>
                </c:pt>
                <c:pt idx="43">
                  <c:v>43.896000000000001</c:v>
                </c:pt>
                <c:pt idx="44">
                  <c:v>43.899000000000001</c:v>
                </c:pt>
                <c:pt idx="45">
                  <c:v>43.896999999999998</c:v>
                </c:pt>
                <c:pt idx="46">
                  <c:v>43.896000000000001</c:v>
                </c:pt>
                <c:pt idx="47">
                  <c:v>43.896999999999998</c:v>
                </c:pt>
                <c:pt idx="48">
                  <c:v>42.822000000000003</c:v>
                </c:pt>
                <c:pt idx="49">
                  <c:v>42.822000000000003</c:v>
                </c:pt>
                <c:pt idx="50">
                  <c:v>42.82</c:v>
                </c:pt>
                <c:pt idx="51">
                  <c:v>42.822000000000003</c:v>
                </c:pt>
                <c:pt idx="52">
                  <c:v>42.823</c:v>
                </c:pt>
                <c:pt idx="53">
                  <c:v>42.819000000000003</c:v>
                </c:pt>
                <c:pt idx="54">
                  <c:v>42.819000000000003</c:v>
                </c:pt>
                <c:pt idx="55">
                  <c:v>42.82</c:v>
                </c:pt>
                <c:pt idx="56">
                  <c:v>42.82</c:v>
                </c:pt>
                <c:pt idx="57">
                  <c:v>42.823999999999998</c:v>
                </c:pt>
                <c:pt idx="58">
                  <c:v>42.82</c:v>
                </c:pt>
                <c:pt idx="59">
                  <c:v>42.817999999999998</c:v>
                </c:pt>
                <c:pt idx="60">
                  <c:v>42.45</c:v>
                </c:pt>
                <c:pt idx="61">
                  <c:v>42.055</c:v>
                </c:pt>
                <c:pt idx="62">
                  <c:v>42.055999999999997</c:v>
                </c:pt>
                <c:pt idx="63">
                  <c:v>42.057000000000002</c:v>
                </c:pt>
                <c:pt idx="64">
                  <c:v>42.057000000000002</c:v>
                </c:pt>
                <c:pt idx="65">
                  <c:v>42.057000000000002</c:v>
                </c:pt>
                <c:pt idx="66">
                  <c:v>42.057000000000002</c:v>
                </c:pt>
                <c:pt idx="67">
                  <c:v>42.055</c:v>
                </c:pt>
                <c:pt idx="68">
                  <c:v>42.057000000000002</c:v>
                </c:pt>
                <c:pt idx="69">
                  <c:v>42.052999999999997</c:v>
                </c:pt>
                <c:pt idx="70">
                  <c:v>42.055999999999997</c:v>
                </c:pt>
                <c:pt idx="71">
                  <c:v>42.055</c:v>
                </c:pt>
                <c:pt idx="72">
                  <c:v>41.868000000000002</c:v>
                </c:pt>
                <c:pt idx="73">
                  <c:v>41.511000000000003</c:v>
                </c:pt>
                <c:pt idx="74">
                  <c:v>41.509</c:v>
                </c:pt>
                <c:pt idx="75">
                  <c:v>41.51</c:v>
                </c:pt>
                <c:pt idx="76">
                  <c:v>41.506999999999998</c:v>
                </c:pt>
                <c:pt idx="77">
                  <c:v>41.514000000000003</c:v>
                </c:pt>
                <c:pt idx="78">
                  <c:v>41.512</c:v>
                </c:pt>
                <c:pt idx="79">
                  <c:v>41.509</c:v>
                </c:pt>
                <c:pt idx="80">
                  <c:v>41.51</c:v>
                </c:pt>
                <c:pt idx="81">
                  <c:v>41.51</c:v>
                </c:pt>
                <c:pt idx="82">
                  <c:v>41.51</c:v>
                </c:pt>
                <c:pt idx="83">
                  <c:v>41.508000000000003</c:v>
                </c:pt>
                <c:pt idx="84">
                  <c:v>41.267000000000003</c:v>
                </c:pt>
                <c:pt idx="85">
                  <c:v>41.113</c:v>
                </c:pt>
                <c:pt idx="86">
                  <c:v>41.116</c:v>
                </c:pt>
                <c:pt idx="87">
                  <c:v>41.113</c:v>
                </c:pt>
                <c:pt idx="88">
                  <c:v>41.113999999999997</c:v>
                </c:pt>
                <c:pt idx="89">
                  <c:v>41.113</c:v>
                </c:pt>
                <c:pt idx="90">
                  <c:v>41.113</c:v>
                </c:pt>
                <c:pt idx="91">
                  <c:v>41.115000000000002</c:v>
                </c:pt>
                <c:pt idx="92">
                  <c:v>41.113</c:v>
                </c:pt>
                <c:pt idx="93">
                  <c:v>41.113</c:v>
                </c:pt>
                <c:pt idx="94">
                  <c:v>41.112000000000002</c:v>
                </c:pt>
                <c:pt idx="95">
                  <c:v>41.107999999999997</c:v>
                </c:pt>
                <c:pt idx="96">
                  <c:v>40.881</c:v>
                </c:pt>
                <c:pt idx="97">
                  <c:v>40.823999999999998</c:v>
                </c:pt>
                <c:pt idx="98">
                  <c:v>40.825000000000003</c:v>
                </c:pt>
                <c:pt idx="99">
                  <c:v>40.823</c:v>
                </c:pt>
                <c:pt idx="100">
                  <c:v>40.826999999999998</c:v>
                </c:pt>
                <c:pt idx="101">
                  <c:v>40.825000000000003</c:v>
                </c:pt>
                <c:pt idx="102">
                  <c:v>40.823</c:v>
                </c:pt>
                <c:pt idx="103">
                  <c:v>40.823999999999998</c:v>
                </c:pt>
                <c:pt idx="104">
                  <c:v>40.825000000000003</c:v>
                </c:pt>
                <c:pt idx="105">
                  <c:v>40.826000000000001</c:v>
                </c:pt>
                <c:pt idx="106">
                  <c:v>40.822000000000003</c:v>
                </c:pt>
                <c:pt idx="107">
                  <c:v>40.823</c:v>
                </c:pt>
                <c:pt idx="108">
                  <c:v>40.613</c:v>
                </c:pt>
                <c:pt idx="109">
                  <c:v>40.615000000000002</c:v>
                </c:pt>
                <c:pt idx="110">
                  <c:v>40.613999999999997</c:v>
                </c:pt>
                <c:pt idx="111">
                  <c:v>40.61</c:v>
                </c:pt>
                <c:pt idx="112">
                  <c:v>40.609000000000002</c:v>
                </c:pt>
                <c:pt idx="113">
                  <c:v>40.607999999999997</c:v>
                </c:pt>
                <c:pt idx="114">
                  <c:v>40.610999999999997</c:v>
                </c:pt>
                <c:pt idx="115">
                  <c:v>40.613</c:v>
                </c:pt>
                <c:pt idx="116">
                  <c:v>40.61</c:v>
                </c:pt>
                <c:pt idx="117">
                  <c:v>40.607999999999997</c:v>
                </c:pt>
                <c:pt idx="118">
                  <c:v>40.610999999999997</c:v>
                </c:pt>
                <c:pt idx="119">
                  <c:v>40.606000000000002</c:v>
                </c:pt>
                <c:pt idx="120">
                  <c:v>40.453000000000003</c:v>
                </c:pt>
                <c:pt idx="121">
                  <c:v>40.451999999999998</c:v>
                </c:pt>
                <c:pt idx="122">
                  <c:v>40.451999999999998</c:v>
                </c:pt>
                <c:pt idx="123">
                  <c:v>40.454999999999998</c:v>
                </c:pt>
                <c:pt idx="124">
                  <c:v>40.457000000000001</c:v>
                </c:pt>
                <c:pt idx="125">
                  <c:v>40.451000000000001</c:v>
                </c:pt>
                <c:pt idx="126">
                  <c:v>40.453000000000003</c:v>
                </c:pt>
                <c:pt idx="127">
                  <c:v>40.454999999999998</c:v>
                </c:pt>
                <c:pt idx="128">
                  <c:v>40.457000000000001</c:v>
                </c:pt>
                <c:pt idx="129">
                  <c:v>40.453000000000003</c:v>
                </c:pt>
                <c:pt idx="130">
                  <c:v>40.454000000000001</c:v>
                </c:pt>
                <c:pt idx="131">
                  <c:v>40.338999999999999</c:v>
                </c:pt>
                <c:pt idx="132">
                  <c:v>40.334000000000003</c:v>
                </c:pt>
                <c:pt idx="133">
                  <c:v>40.338000000000001</c:v>
                </c:pt>
                <c:pt idx="134">
                  <c:v>40.338000000000001</c:v>
                </c:pt>
                <c:pt idx="135">
                  <c:v>40.338000000000001</c:v>
                </c:pt>
                <c:pt idx="136">
                  <c:v>40.335999999999999</c:v>
                </c:pt>
                <c:pt idx="137">
                  <c:v>40.338000000000001</c:v>
                </c:pt>
                <c:pt idx="138">
                  <c:v>40.335000000000001</c:v>
                </c:pt>
                <c:pt idx="139">
                  <c:v>40.334000000000003</c:v>
                </c:pt>
                <c:pt idx="140">
                  <c:v>40.338000000000001</c:v>
                </c:pt>
                <c:pt idx="141">
                  <c:v>40.338000000000001</c:v>
                </c:pt>
                <c:pt idx="142">
                  <c:v>40.337000000000003</c:v>
                </c:pt>
                <c:pt idx="143">
                  <c:v>40.249000000000002</c:v>
                </c:pt>
                <c:pt idx="144">
                  <c:v>40.249000000000002</c:v>
                </c:pt>
                <c:pt idx="145">
                  <c:v>40.247999999999998</c:v>
                </c:pt>
                <c:pt idx="146">
                  <c:v>40.25</c:v>
                </c:pt>
                <c:pt idx="147">
                  <c:v>40.25</c:v>
                </c:pt>
                <c:pt idx="148">
                  <c:v>40.249000000000002</c:v>
                </c:pt>
                <c:pt idx="149">
                  <c:v>40.247999999999998</c:v>
                </c:pt>
                <c:pt idx="150">
                  <c:v>40.250999999999998</c:v>
                </c:pt>
                <c:pt idx="151">
                  <c:v>40.250999999999998</c:v>
                </c:pt>
                <c:pt idx="152">
                  <c:v>40.252000000000002</c:v>
                </c:pt>
                <c:pt idx="153">
                  <c:v>40.25</c:v>
                </c:pt>
                <c:pt idx="154">
                  <c:v>40.219000000000001</c:v>
                </c:pt>
                <c:pt idx="155">
                  <c:v>40.185000000000002</c:v>
                </c:pt>
                <c:pt idx="156">
                  <c:v>40.186</c:v>
                </c:pt>
                <c:pt idx="157">
                  <c:v>40.186</c:v>
                </c:pt>
                <c:pt idx="158">
                  <c:v>40.185000000000002</c:v>
                </c:pt>
                <c:pt idx="159">
                  <c:v>40.188000000000002</c:v>
                </c:pt>
                <c:pt idx="160">
                  <c:v>40.186</c:v>
                </c:pt>
                <c:pt idx="161">
                  <c:v>40.188000000000002</c:v>
                </c:pt>
                <c:pt idx="162">
                  <c:v>40.188000000000002</c:v>
                </c:pt>
                <c:pt idx="163">
                  <c:v>40.188000000000002</c:v>
                </c:pt>
                <c:pt idx="164">
                  <c:v>40.188000000000002</c:v>
                </c:pt>
                <c:pt idx="165">
                  <c:v>40.185000000000002</c:v>
                </c:pt>
                <c:pt idx="166">
                  <c:v>40.137999999999998</c:v>
                </c:pt>
                <c:pt idx="167">
                  <c:v>40.14</c:v>
                </c:pt>
                <c:pt idx="168">
                  <c:v>40.137999999999998</c:v>
                </c:pt>
                <c:pt idx="169">
                  <c:v>40.14</c:v>
                </c:pt>
                <c:pt idx="170">
                  <c:v>40.136000000000003</c:v>
                </c:pt>
                <c:pt idx="171">
                  <c:v>40.137999999999998</c:v>
                </c:pt>
                <c:pt idx="172">
                  <c:v>40.139000000000003</c:v>
                </c:pt>
                <c:pt idx="173">
                  <c:v>40.136000000000003</c:v>
                </c:pt>
                <c:pt idx="174">
                  <c:v>40.137999999999998</c:v>
                </c:pt>
                <c:pt idx="175">
                  <c:v>40.137</c:v>
                </c:pt>
                <c:pt idx="176">
                  <c:v>40.137</c:v>
                </c:pt>
                <c:pt idx="177">
                  <c:v>40.134</c:v>
                </c:pt>
                <c:pt idx="178">
                  <c:v>40.103000000000002</c:v>
                </c:pt>
                <c:pt idx="179">
                  <c:v>40.103000000000002</c:v>
                </c:pt>
                <c:pt idx="180">
                  <c:v>40.100999999999999</c:v>
                </c:pt>
                <c:pt idx="181">
                  <c:v>40.103999999999999</c:v>
                </c:pt>
                <c:pt idx="182">
                  <c:v>40.103000000000002</c:v>
                </c:pt>
                <c:pt idx="183">
                  <c:v>40.103000000000002</c:v>
                </c:pt>
                <c:pt idx="184">
                  <c:v>40.100999999999999</c:v>
                </c:pt>
                <c:pt idx="185">
                  <c:v>40.103000000000002</c:v>
                </c:pt>
                <c:pt idx="186">
                  <c:v>40.101999999999997</c:v>
                </c:pt>
                <c:pt idx="187">
                  <c:v>40.100999999999999</c:v>
                </c:pt>
                <c:pt idx="188">
                  <c:v>40.103000000000002</c:v>
                </c:pt>
                <c:pt idx="189">
                  <c:v>40.073999999999998</c:v>
                </c:pt>
                <c:pt idx="190">
                  <c:v>40.076999999999998</c:v>
                </c:pt>
                <c:pt idx="191">
                  <c:v>40.076000000000001</c:v>
                </c:pt>
                <c:pt idx="192">
                  <c:v>40.073999999999998</c:v>
                </c:pt>
                <c:pt idx="193">
                  <c:v>40.076000000000001</c:v>
                </c:pt>
                <c:pt idx="194">
                  <c:v>40.075000000000003</c:v>
                </c:pt>
                <c:pt idx="195">
                  <c:v>40.076000000000001</c:v>
                </c:pt>
                <c:pt idx="196">
                  <c:v>40.072000000000003</c:v>
                </c:pt>
                <c:pt idx="197">
                  <c:v>40.076999999999998</c:v>
                </c:pt>
                <c:pt idx="198">
                  <c:v>40.078000000000003</c:v>
                </c:pt>
                <c:pt idx="199">
                  <c:v>40.075000000000003</c:v>
                </c:pt>
                <c:pt idx="200">
                  <c:v>40.070999999999998</c:v>
                </c:pt>
                <c:pt idx="201">
                  <c:v>40.052999999999997</c:v>
                </c:pt>
                <c:pt idx="202">
                  <c:v>40.054000000000002</c:v>
                </c:pt>
                <c:pt idx="203">
                  <c:v>40.057000000000002</c:v>
                </c:pt>
                <c:pt idx="204">
                  <c:v>40.055</c:v>
                </c:pt>
                <c:pt idx="205">
                  <c:v>40.054000000000002</c:v>
                </c:pt>
                <c:pt idx="206">
                  <c:v>40.054000000000002</c:v>
                </c:pt>
                <c:pt idx="207">
                  <c:v>40.058</c:v>
                </c:pt>
                <c:pt idx="208">
                  <c:v>40.058999999999997</c:v>
                </c:pt>
                <c:pt idx="209">
                  <c:v>40.055</c:v>
                </c:pt>
                <c:pt idx="210">
                  <c:v>40.055</c:v>
                </c:pt>
                <c:pt idx="211">
                  <c:v>40.055</c:v>
                </c:pt>
                <c:pt idx="212">
                  <c:v>40.040999999999997</c:v>
                </c:pt>
                <c:pt idx="213">
                  <c:v>40.039000000000001</c:v>
                </c:pt>
                <c:pt idx="214">
                  <c:v>40.042000000000002</c:v>
                </c:pt>
                <c:pt idx="215">
                  <c:v>40.037999999999997</c:v>
                </c:pt>
                <c:pt idx="216">
                  <c:v>40.040999999999997</c:v>
                </c:pt>
                <c:pt idx="217">
                  <c:v>40.042999999999999</c:v>
                </c:pt>
                <c:pt idx="218">
                  <c:v>40.04</c:v>
                </c:pt>
                <c:pt idx="219">
                  <c:v>40.04</c:v>
                </c:pt>
                <c:pt idx="220">
                  <c:v>40.040999999999997</c:v>
                </c:pt>
                <c:pt idx="221">
                  <c:v>40.04</c:v>
                </c:pt>
                <c:pt idx="222">
                  <c:v>40.04</c:v>
                </c:pt>
                <c:pt idx="223">
                  <c:v>40.039000000000001</c:v>
                </c:pt>
                <c:pt idx="224">
                  <c:v>40.027999999999999</c:v>
                </c:pt>
                <c:pt idx="225">
                  <c:v>40.03</c:v>
                </c:pt>
                <c:pt idx="226">
                  <c:v>40.030999999999999</c:v>
                </c:pt>
                <c:pt idx="227">
                  <c:v>40.030999999999999</c:v>
                </c:pt>
                <c:pt idx="228">
                  <c:v>40.027999999999999</c:v>
                </c:pt>
                <c:pt idx="229">
                  <c:v>40.029000000000003</c:v>
                </c:pt>
                <c:pt idx="230">
                  <c:v>40.027999999999999</c:v>
                </c:pt>
                <c:pt idx="231">
                  <c:v>40.03</c:v>
                </c:pt>
                <c:pt idx="232">
                  <c:v>40.033000000000001</c:v>
                </c:pt>
                <c:pt idx="233">
                  <c:v>40.033000000000001</c:v>
                </c:pt>
                <c:pt idx="234">
                  <c:v>40.030999999999999</c:v>
                </c:pt>
                <c:pt idx="235">
                  <c:v>40.023000000000003</c:v>
                </c:pt>
                <c:pt idx="236">
                  <c:v>40.021999999999998</c:v>
                </c:pt>
                <c:pt idx="237">
                  <c:v>40.024999999999999</c:v>
                </c:pt>
                <c:pt idx="238">
                  <c:v>40.026000000000003</c:v>
                </c:pt>
                <c:pt idx="239">
                  <c:v>40.024000000000001</c:v>
                </c:pt>
                <c:pt idx="240">
                  <c:v>40.024000000000001</c:v>
                </c:pt>
                <c:pt idx="241">
                  <c:v>40.021999999999998</c:v>
                </c:pt>
                <c:pt idx="242">
                  <c:v>40.021000000000001</c:v>
                </c:pt>
                <c:pt idx="243">
                  <c:v>40.021999999999998</c:v>
                </c:pt>
                <c:pt idx="244">
                  <c:v>40.021999999999998</c:v>
                </c:pt>
                <c:pt idx="245">
                  <c:v>40.023000000000003</c:v>
                </c:pt>
                <c:pt idx="246">
                  <c:v>40.023000000000003</c:v>
                </c:pt>
                <c:pt idx="247">
                  <c:v>40.015000000000001</c:v>
                </c:pt>
                <c:pt idx="248">
                  <c:v>40.015999999999998</c:v>
                </c:pt>
                <c:pt idx="249">
                  <c:v>40.015000000000001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FA-4770-B29D-56F42A34D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172592"/>
        <c:axId val="1454647376"/>
      </c:scatterChart>
      <c:valAx>
        <c:axId val="177717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4647376"/>
        <c:crosses val="autoZero"/>
        <c:crossBetween val="midCat"/>
      </c:valAx>
      <c:valAx>
        <c:axId val="1454647376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717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FLL 50-40M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'FLL Transition'!$AE$2:$AE$3</c:f>
              <c:strCache>
                <c:ptCount val="2"/>
                <c:pt idx="0">
                  <c:v>FLL Transition  (50 -&gt; 40MHz) (FLT_GAIN, ERROR_RANGE)</c:v>
                </c:pt>
                <c:pt idx="1">
                  <c:v>(0, 0)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Transition'!$AE$4:$AE$253</c:f>
              <c:numCache>
                <c:formatCode>General</c:formatCode>
                <c:ptCount val="250"/>
                <c:pt idx="0">
                  <c:v>49.999000000000002</c:v>
                </c:pt>
                <c:pt idx="1">
                  <c:v>50</c:v>
                </c:pt>
                <c:pt idx="2">
                  <c:v>49.999000000000002</c:v>
                </c:pt>
                <c:pt idx="3">
                  <c:v>50.003999999999998</c:v>
                </c:pt>
                <c:pt idx="4">
                  <c:v>50</c:v>
                </c:pt>
                <c:pt idx="5">
                  <c:v>50</c:v>
                </c:pt>
                <c:pt idx="6">
                  <c:v>49.997</c:v>
                </c:pt>
                <c:pt idx="7">
                  <c:v>50</c:v>
                </c:pt>
                <c:pt idx="8">
                  <c:v>50.002000000000002</c:v>
                </c:pt>
                <c:pt idx="9">
                  <c:v>48.789000000000001</c:v>
                </c:pt>
                <c:pt idx="10">
                  <c:v>48.783000000000001</c:v>
                </c:pt>
                <c:pt idx="11">
                  <c:v>48.783000000000001</c:v>
                </c:pt>
                <c:pt idx="12">
                  <c:v>48.780999999999999</c:v>
                </c:pt>
                <c:pt idx="13">
                  <c:v>48.787999999999997</c:v>
                </c:pt>
                <c:pt idx="14">
                  <c:v>48.783000000000001</c:v>
                </c:pt>
                <c:pt idx="15">
                  <c:v>48.780999999999999</c:v>
                </c:pt>
                <c:pt idx="16">
                  <c:v>48.783000000000001</c:v>
                </c:pt>
                <c:pt idx="17">
                  <c:v>48.783000000000001</c:v>
                </c:pt>
                <c:pt idx="18">
                  <c:v>48.776000000000003</c:v>
                </c:pt>
                <c:pt idx="19">
                  <c:v>48.78</c:v>
                </c:pt>
                <c:pt idx="20">
                  <c:v>48.783999999999999</c:v>
                </c:pt>
                <c:pt idx="21">
                  <c:v>48.783999999999999</c:v>
                </c:pt>
                <c:pt idx="22">
                  <c:v>48.783999999999999</c:v>
                </c:pt>
                <c:pt idx="23">
                  <c:v>47.579000000000001</c:v>
                </c:pt>
                <c:pt idx="24">
                  <c:v>47.582999999999998</c:v>
                </c:pt>
                <c:pt idx="25">
                  <c:v>47.58</c:v>
                </c:pt>
                <c:pt idx="26">
                  <c:v>47.585000000000001</c:v>
                </c:pt>
                <c:pt idx="27">
                  <c:v>47.582000000000001</c:v>
                </c:pt>
                <c:pt idx="28">
                  <c:v>47.582000000000001</c:v>
                </c:pt>
                <c:pt idx="29">
                  <c:v>47.582000000000001</c:v>
                </c:pt>
                <c:pt idx="30">
                  <c:v>47.585000000000001</c:v>
                </c:pt>
                <c:pt idx="31">
                  <c:v>47.585000000000001</c:v>
                </c:pt>
                <c:pt idx="32">
                  <c:v>47.582999999999998</c:v>
                </c:pt>
                <c:pt idx="33">
                  <c:v>47.58</c:v>
                </c:pt>
                <c:pt idx="34">
                  <c:v>47.585999999999999</c:v>
                </c:pt>
                <c:pt idx="35">
                  <c:v>47.585000000000001</c:v>
                </c:pt>
                <c:pt idx="36">
                  <c:v>47.588000000000001</c:v>
                </c:pt>
                <c:pt idx="37">
                  <c:v>46.46</c:v>
                </c:pt>
                <c:pt idx="38">
                  <c:v>46.463000000000001</c:v>
                </c:pt>
                <c:pt idx="39">
                  <c:v>46.462000000000003</c:v>
                </c:pt>
                <c:pt idx="40">
                  <c:v>46.46</c:v>
                </c:pt>
                <c:pt idx="41">
                  <c:v>46.463000000000001</c:v>
                </c:pt>
                <c:pt idx="42">
                  <c:v>46.462000000000003</c:v>
                </c:pt>
                <c:pt idx="43">
                  <c:v>46.46</c:v>
                </c:pt>
                <c:pt idx="44">
                  <c:v>46.459000000000003</c:v>
                </c:pt>
                <c:pt idx="45">
                  <c:v>46.466000000000001</c:v>
                </c:pt>
                <c:pt idx="46">
                  <c:v>46.46</c:v>
                </c:pt>
                <c:pt idx="47">
                  <c:v>46.465000000000003</c:v>
                </c:pt>
                <c:pt idx="48">
                  <c:v>46.463000000000001</c:v>
                </c:pt>
                <c:pt idx="49">
                  <c:v>46.457000000000001</c:v>
                </c:pt>
                <c:pt idx="50">
                  <c:v>45.536000000000001</c:v>
                </c:pt>
                <c:pt idx="51">
                  <c:v>45.534999999999997</c:v>
                </c:pt>
                <c:pt idx="52">
                  <c:v>45.536000000000001</c:v>
                </c:pt>
                <c:pt idx="53">
                  <c:v>45.531999999999996</c:v>
                </c:pt>
                <c:pt idx="54">
                  <c:v>45.536000000000001</c:v>
                </c:pt>
                <c:pt idx="55">
                  <c:v>45.537999999999997</c:v>
                </c:pt>
                <c:pt idx="56">
                  <c:v>45.536000000000001</c:v>
                </c:pt>
                <c:pt idx="57">
                  <c:v>45.534999999999997</c:v>
                </c:pt>
                <c:pt idx="58">
                  <c:v>45.536000000000001</c:v>
                </c:pt>
                <c:pt idx="59">
                  <c:v>45.534999999999997</c:v>
                </c:pt>
                <c:pt idx="60">
                  <c:v>45.536000000000001</c:v>
                </c:pt>
                <c:pt idx="61">
                  <c:v>45.534999999999997</c:v>
                </c:pt>
                <c:pt idx="62">
                  <c:v>45.194000000000003</c:v>
                </c:pt>
                <c:pt idx="63">
                  <c:v>44.76</c:v>
                </c:pt>
                <c:pt idx="64">
                  <c:v>44.76</c:v>
                </c:pt>
                <c:pt idx="65">
                  <c:v>44.756</c:v>
                </c:pt>
                <c:pt idx="66">
                  <c:v>44.758000000000003</c:v>
                </c:pt>
                <c:pt idx="67">
                  <c:v>44.756999999999998</c:v>
                </c:pt>
                <c:pt idx="68">
                  <c:v>44.753999999999998</c:v>
                </c:pt>
                <c:pt idx="69">
                  <c:v>44.761000000000003</c:v>
                </c:pt>
                <c:pt idx="70">
                  <c:v>44.76</c:v>
                </c:pt>
                <c:pt idx="71">
                  <c:v>44.756999999999998</c:v>
                </c:pt>
                <c:pt idx="72">
                  <c:v>44.76</c:v>
                </c:pt>
                <c:pt idx="73">
                  <c:v>44.756999999999998</c:v>
                </c:pt>
                <c:pt idx="74">
                  <c:v>44.76</c:v>
                </c:pt>
                <c:pt idx="75">
                  <c:v>44.223999999999997</c:v>
                </c:pt>
                <c:pt idx="76">
                  <c:v>44.095999999999997</c:v>
                </c:pt>
                <c:pt idx="77">
                  <c:v>44.093000000000004</c:v>
                </c:pt>
                <c:pt idx="78">
                  <c:v>44.094000000000001</c:v>
                </c:pt>
                <c:pt idx="79">
                  <c:v>44.09</c:v>
                </c:pt>
                <c:pt idx="80">
                  <c:v>44.093000000000004</c:v>
                </c:pt>
                <c:pt idx="81">
                  <c:v>44.091999999999999</c:v>
                </c:pt>
                <c:pt idx="82">
                  <c:v>44.094000000000001</c:v>
                </c:pt>
                <c:pt idx="83">
                  <c:v>44.09</c:v>
                </c:pt>
                <c:pt idx="84">
                  <c:v>44.093000000000004</c:v>
                </c:pt>
                <c:pt idx="85">
                  <c:v>44.094000000000001</c:v>
                </c:pt>
                <c:pt idx="86">
                  <c:v>44.094000000000001</c:v>
                </c:pt>
                <c:pt idx="87">
                  <c:v>44.094000000000001</c:v>
                </c:pt>
                <c:pt idx="88">
                  <c:v>43.52</c:v>
                </c:pt>
                <c:pt idx="89">
                  <c:v>43.52</c:v>
                </c:pt>
                <c:pt idx="90">
                  <c:v>43.521999999999998</c:v>
                </c:pt>
                <c:pt idx="91">
                  <c:v>43.523000000000003</c:v>
                </c:pt>
                <c:pt idx="92">
                  <c:v>43.52</c:v>
                </c:pt>
                <c:pt idx="93">
                  <c:v>43.523000000000003</c:v>
                </c:pt>
                <c:pt idx="94">
                  <c:v>43.521999999999998</c:v>
                </c:pt>
                <c:pt idx="95">
                  <c:v>43.523000000000003</c:v>
                </c:pt>
                <c:pt idx="96">
                  <c:v>43.523000000000003</c:v>
                </c:pt>
                <c:pt idx="97">
                  <c:v>43.52</c:v>
                </c:pt>
                <c:pt idx="98">
                  <c:v>43.518999999999998</c:v>
                </c:pt>
                <c:pt idx="99">
                  <c:v>43.518999999999998</c:v>
                </c:pt>
                <c:pt idx="100">
                  <c:v>43.279000000000003</c:v>
                </c:pt>
                <c:pt idx="101">
                  <c:v>43.033000000000001</c:v>
                </c:pt>
                <c:pt idx="102">
                  <c:v>43.030999999999999</c:v>
                </c:pt>
                <c:pt idx="103">
                  <c:v>43.03</c:v>
                </c:pt>
                <c:pt idx="104">
                  <c:v>43.036999999999999</c:v>
                </c:pt>
                <c:pt idx="105">
                  <c:v>43.029000000000003</c:v>
                </c:pt>
                <c:pt idx="106">
                  <c:v>43.027999999999999</c:v>
                </c:pt>
                <c:pt idx="107">
                  <c:v>43.03</c:v>
                </c:pt>
                <c:pt idx="108">
                  <c:v>43.03</c:v>
                </c:pt>
                <c:pt idx="109">
                  <c:v>43.03</c:v>
                </c:pt>
                <c:pt idx="110">
                  <c:v>43.033000000000001</c:v>
                </c:pt>
                <c:pt idx="111">
                  <c:v>43.033999999999999</c:v>
                </c:pt>
                <c:pt idx="112">
                  <c:v>43.030999999999999</c:v>
                </c:pt>
                <c:pt idx="113">
                  <c:v>42.610999999999997</c:v>
                </c:pt>
                <c:pt idx="114">
                  <c:v>42.609000000000002</c:v>
                </c:pt>
                <c:pt idx="115">
                  <c:v>42.606999999999999</c:v>
                </c:pt>
                <c:pt idx="116">
                  <c:v>42.610999999999997</c:v>
                </c:pt>
                <c:pt idx="117">
                  <c:v>42.610999999999997</c:v>
                </c:pt>
                <c:pt idx="118">
                  <c:v>42.609000000000002</c:v>
                </c:pt>
                <c:pt idx="119">
                  <c:v>42.610999999999997</c:v>
                </c:pt>
                <c:pt idx="120">
                  <c:v>42.61</c:v>
                </c:pt>
                <c:pt idx="121">
                  <c:v>42.606999999999999</c:v>
                </c:pt>
                <c:pt idx="122">
                  <c:v>42.606999999999999</c:v>
                </c:pt>
                <c:pt idx="123">
                  <c:v>42.610999999999997</c:v>
                </c:pt>
                <c:pt idx="124">
                  <c:v>42.61</c:v>
                </c:pt>
                <c:pt idx="125">
                  <c:v>42.264000000000003</c:v>
                </c:pt>
                <c:pt idx="126">
                  <c:v>42.247</c:v>
                </c:pt>
                <c:pt idx="127">
                  <c:v>42.25</c:v>
                </c:pt>
                <c:pt idx="128">
                  <c:v>42.249000000000002</c:v>
                </c:pt>
                <c:pt idx="129">
                  <c:v>42.246000000000002</c:v>
                </c:pt>
                <c:pt idx="130">
                  <c:v>42.250999999999998</c:v>
                </c:pt>
                <c:pt idx="131">
                  <c:v>42.25</c:v>
                </c:pt>
                <c:pt idx="132">
                  <c:v>42.244999999999997</c:v>
                </c:pt>
                <c:pt idx="133">
                  <c:v>42.244999999999997</c:v>
                </c:pt>
                <c:pt idx="134">
                  <c:v>42.247</c:v>
                </c:pt>
                <c:pt idx="135">
                  <c:v>42.25</c:v>
                </c:pt>
                <c:pt idx="136">
                  <c:v>42.249000000000002</c:v>
                </c:pt>
                <c:pt idx="137">
                  <c:v>42.015000000000001</c:v>
                </c:pt>
                <c:pt idx="138">
                  <c:v>41.94</c:v>
                </c:pt>
                <c:pt idx="139">
                  <c:v>41.94</c:v>
                </c:pt>
                <c:pt idx="140">
                  <c:v>41.941000000000003</c:v>
                </c:pt>
                <c:pt idx="141">
                  <c:v>41.941000000000003</c:v>
                </c:pt>
                <c:pt idx="142">
                  <c:v>41.94</c:v>
                </c:pt>
                <c:pt idx="143">
                  <c:v>41.941000000000003</c:v>
                </c:pt>
                <c:pt idx="144">
                  <c:v>41.94</c:v>
                </c:pt>
                <c:pt idx="145">
                  <c:v>41.941000000000003</c:v>
                </c:pt>
                <c:pt idx="146">
                  <c:v>41.941000000000003</c:v>
                </c:pt>
                <c:pt idx="147">
                  <c:v>41.941000000000003</c:v>
                </c:pt>
                <c:pt idx="148">
                  <c:v>41.94</c:v>
                </c:pt>
                <c:pt idx="149">
                  <c:v>41.703000000000003</c:v>
                </c:pt>
                <c:pt idx="150">
                  <c:v>41.674999999999997</c:v>
                </c:pt>
                <c:pt idx="151">
                  <c:v>41.677</c:v>
                </c:pt>
                <c:pt idx="152">
                  <c:v>41.679000000000002</c:v>
                </c:pt>
                <c:pt idx="153">
                  <c:v>41.674999999999997</c:v>
                </c:pt>
                <c:pt idx="154">
                  <c:v>41.679000000000002</c:v>
                </c:pt>
                <c:pt idx="155">
                  <c:v>41.677999999999997</c:v>
                </c:pt>
                <c:pt idx="156">
                  <c:v>41.677</c:v>
                </c:pt>
                <c:pt idx="157">
                  <c:v>41.679000000000002</c:v>
                </c:pt>
                <c:pt idx="158">
                  <c:v>41.674999999999997</c:v>
                </c:pt>
                <c:pt idx="159">
                  <c:v>41.677</c:v>
                </c:pt>
                <c:pt idx="160">
                  <c:v>41.674999999999997</c:v>
                </c:pt>
                <c:pt idx="161">
                  <c:v>41.448</c:v>
                </c:pt>
                <c:pt idx="162">
                  <c:v>41.445999999999998</c:v>
                </c:pt>
                <c:pt idx="163">
                  <c:v>41.447000000000003</c:v>
                </c:pt>
                <c:pt idx="164">
                  <c:v>41.447000000000003</c:v>
                </c:pt>
                <c:pt idx="165">
                  <c:v>41.447000000000003</c:v>
                </c:pt>
                <c:pt idx="166">
                  <c:v>41.447000000000003</c:v>
                </c:pt>
                <c:pt idx="167">
                  <c:v>41.448</c:v>
                </c:pt>
                <c:pt idx="168">
                  <c:v>41.448</c:v>
                </c:pt>
                <c:pt idx="169">
                  <c:v>41.447000000000003</c:v>
                </c:pt>
                <c:pt idx="170">
                  <c:v>41.445999999999998</c:v>
                </c:pt>
                <c:pt idx="171">
                  <c:v>41.444000000000003</c:v>
                </c:pt>
                <c:pt idx="172">
                  <c:v>41.448</c:v>
                </c:pt>
                <c:pt idx="173">
                  <c:v>41.250999999999998</c:v>
                </c:pt>
                <c:pt idx="174">
                  <c:v>41.250999999999998</c:v>
                </c:pt>
                <c:pt idx="175">
                  <c:v>41.250999999999998</c:v>
                </c:pt>
                <c:pt idx="176">
                  <c:v>41.252000000000002</c:v>
                </c:pt>
                <c:pt idx="177">
                  <c:v>41.250999999999998</c:v>
                </c:pt>
                <c:pt idx="178">
                  <c:v>41.250999999999998</c:v>
                </c:pt>
                <c:pt idx="179">
                  <c:v>41.252000000000002</c:v>
                </c:pt>
                <c:pt idx="180">
                  <c:v>41.255000000000003</c:v>
                </c:pt>
                <c:pt idx="181">
                  <c:v>41.252000000000002</c:v>
                </c:pt>
                <c:pt idx="182">
                  <c:v>41.252000000000002</c:v>
                </c:pt>
                <c:pt idx="183">
                  <c:v>41.250999999999998</c:v>
                </c:pt>
                <c:pt idx="184">
                  <c:v>41.253</c:v>
                </c:pt>
                <c:pt idx="185">
                  <c:v>41.084000000000003</c:v>
                </c:pt>
                <c:pt idx="186">
                  <c:v>41.084000000000003</c:v>
                </c:pt>
                <c:pt idx="187">
                  <c:v>41.082999999999998</c:v>
                </c:pt>
                <c:pt idx="188">
                  <c:v>41.082000000000001</c:v>
                </c:pt>
                <c:pt idx="189">
                  <c:v>41.082000000000001</c:v>
                </c:pt>
                <c:pt idx="190">
                  <c:v>41.082000000000001</c:v>
                </c:pt>
                <c:pt idx="191">
                  <c:v>41.08</c:v>
                </c:pt>
                <c:pt idx="192">
                  <c:v>41.082999999999998</c:v>
                </c:pt>
                <c:pt idx="193">
                  <c:v>41.082000000000001</c:v>
                </c:pt>
                <c:pt idx="194">
                  <c:v>41.082000000000001</c:v>
                </c:pt>
                <c:pt idx="195">
                  <c:v>41.085999999999999</c:v>
                </c:pt>
                <c:pt idx="196">
                  <c:v>41.082000000000001</c:v>
                </c:pt>
                <c:pt idx="197">
                  <c:v>40.938000000000002</c:v>
                </c:pt>
                <c:pt idx="198">
                  <c:v>40.938000000000002</c:v>
                </c:pt>
                <c:pt idx="199">
                  <c:v>40.936</c:v>
                </c:pt>
                <c:pt idx="200">
                  <c:v>40.936</c:v>
                </c:pt>
                <c:pt idx="201">
                  <c:v>40.942999999999998</c:v>
                </c:pt>
                <c:pt idx="202">
                  <c:v>40.94</c:v>
                </c:pt>
                <c:pt idx="203">
                  <c:v>40.938000000000002</c:v>
                </c:pt>
                <c:pt idx="204">
                  <c:v>40.94</c:v>
                </c:pt>
                <c:pt idx="205">
                  <c:v>40.936999999999998</c:v>
                </c:pt>
                <c:pt idx="206">
                  <c:v>40.933999999999997</c:v>
                </c:pt>
                <c:pt idx="207">
                  <c:v>40.938000000000002</c:v>
                </c:pt>
                <c:pt idx="208">
                  <c:v>40.938000000000002</c:v>
                </c:pt>
                <c:pt idx="209">
                  <c:v>40.814999999999998</c:v>
                </c:pt>
                <c:pt idx="210">
                  <c:v>40.814</c:v>
                </c:pt>
                <c:pt idx="211">
                  <c:v>40.814999999999998</c:v>
                </c:pt>
                <c:pt idx="212">
                  <c:v>40.814</c:v>
                </c:pt>
                <c:pt idx="213">
                  <c:v>40.814999999999998</c:v>
                </c:pt>
                <c:pt idx="214">
                  <c:v>40.813000000000002</c:v>
                </c:pt>
                <c:pt idx="215">
                  <c:v>40.813000000000002</c:v>
                </c:pt>
                <c:pt idx="216">
                  <c:v>40.813000000000002</c:v>
                </c:pt>
                <c:pt idx="217">
                  <c:v>40.814999999999998</c:v>
                </c:pt>
                <c:pt idx="218">
                  <c:v>40.811</c:v>
                </c:pt>
                <c:pt idx="219">
                  <c:v>40.814</c:v>
                </c:pt>
                <c:pt idx="220">
                  <c:v>40.816000000000003</c:v>
                </c:pt>
                <c:pt idx="221">
                  <c:v>40.704000000000001</c:v>
                </c:pt>
                <c:pt idx="222">
                  <c:v>40.703000000000003</c:v>
                </c:pt>
                <c:pt idx="223">
                  <c:v>40.707000000000001</c:v>
                </c:pt>
                <c:pt idx="224">
                  <c:v>40.707000000000001</c:v>
                </c:pt>
                <c:pt idx="225">
                  <c:v>40.704000000000001</c:v>
                </c:pt>
                <c:pt idx="226">
                  <c:v>40.704000000000001</c:v>
                </c:pt>
                <c:pt idx="227">
                  <c:v>40.704000000000001</c:v>
                </c:pt>
                <c:pt idx="228">
                  <c:v>40.709000000000003</c:v>
                </c:pt>
                <c:pt idx="229">
                  <c:v>40.706000000000003</c:v>
                </c:pt>
                <c:pt idx="230">
                  <c:v>40.707999999999998</c:v>
                </c:pt>
                <c:pt idx="231">
                  <c:v>40.701999999999998</c:v>
                </c:pt>
                <c:pt idx="232">
                  <c:v>40.613999999999997</c:v>
                </c:pt>
                <c:pt idx="233">
                  <c:v>40.613999999999997</c:v>
                </c:pt>
                <c:pt idx="234">
                  <c:v>40.613999999999997</c:v>
                </c:pt>
                <c:pt idx="235">
                  <c:v>40.609000000000002</c:v>
                </c:pt>
                <c:pt idx="236">
                  <c:v>40.613</c:v>
                </c:pt>
                <c:pt idx="237">
                  <c:v>40.610999999999997</c:v>
                </c:pt>
                <c:pt idx="238">
                  <c:v>40.61</c:v>
                </c:pt>
                <c:pt idx="239">
                  <c:v>40.613999999999997</c:v>
                </c:pt>
                <c:pt idx="240">
                  <c:v>40.610999999999997</c:v>
                </c:pt>
                <c:pt idx="241">
                  <c:v>40.610999999999997</c:v>
                </c:pt>
                <c:pt idx="242">
                  <c:v>40.61</c:v>
                </c:pt>
                <c:pt idx="243">
                  <c:v>40.61</c:v>
                </c:pt>
                <c:pt idx="244">
                  <c:v>40.530999999999999</c:v>
                </c:pt>
                <c:pt idx="245">
                  <c:v>40.529000000000003</c:v>
                </c:pt>
                <c:pt idx="246">
                  <c:v>40.527999999999999</c:v>
                </c:pt>
                <c:pt idx="247">
                  <c:v>40.529000000000003</c:v>
                </c:pt>
                <c:pt idx="248">
                  <c:v>40.527999999999999</c:v>
                </c:pt>
                <c:pt idx="249">
                  <c:v>40.53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9E-434E-86D5-B12FE4F03A69}"/>
            </c:ext>
          </c:extLst>
        </c:ser>
        <c:ser>
          <c:idx val="1"/>
          <c:order val="1"/>
          <c:tx>
            <c:strRef>
              <c:f>'FLL Transition'!$AF$2:$AF$3</c:f>
              <c:strCache>
                <c:ptCount val="2"/>
                <c:pt idx="0">
                  <c:v>FLL Transition  (50 -&gt; 40MHz) (FLT_GAIN, ERROR_RANGE)</c:v>
                </c:pt>
                <c:pt idx="1">
                  <c:v>(0, 3)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Transition'!$AF$4:$AF$253</c:f>
              <c:numCache>
                <c:formatCode>General</c:formatCode>
                <c:ptCount val="250"/>
                <c:pt idx="0">
                  <c:v>49.999000000000002</c:v>
                </c:pt>
                <c:pt idx="1">
                  <c:v>49.997</c:v>
                </c:pt>
                <c:pt idx="2">
                  <c:v>49.999000000000002</c:v>
                </c:pt>
                <c:pt idx="3">
                  <c:v>50</c:v>
                </c:pt>
                <c:pt idx="4">
                  <c:v>50.002000000000002</c:v>
                </c:pt>
                <c:pt idx="5">
                  <c:v>50.003999999999998</c:v>
                </c:pt>
                <c:pt idx="6">
                  <c:v>49.997</c:v>
                </c:pt>
                <c:pt idx="7">
                  <c:v>49.999000000000002</c:v>
                </c:pt>
                <c:pt idx="8">
                  <c:v>50</c:v>
                </c:pt>
                <c:pt idx="9">
                  <c:v>49.847999999999999</c:v>
                </c:pt>
                <c:pt idx="10">
                  <c:v>49.85</c:v>
                </c:pt>
                <c:pt idx="11">
                  <c:v>49.847999999999999</c:v>
                </c:pt>
                <c:pt idx="12">
                  <c:v>49.847999999999999</c:v>
                </c:pt>
                <c:pt idx="13">
                  <c:v>49.847000000000001</c:v>
                </c:pt>
                <c:pt idx="14">
                  <c:v>49.85</c:v>
                </c:pt>
                <c:pt idx="15">
                  <c:v>49.847999999999999</c:v>
                </c:pt>
                <c:pt idx="16">
                  <c:v>49.847000000000001</c:v>
                </c:pt>
                <c:pt idx="17">
                  <c:v>49.85</c:v>
                </c:pt>
                <c:pt idx="18">
                  <c:v>49.847999999999999</c:v>
                </c:pt>
                <c:pt idx="19">
                  <c:v>49.85</c:v>
                </c:pt>
                <c:pt idx="20">
                  <c:v>49.85</c:v>
                </c:pt>
                <c:pt idx="21">
                  <c:v>49.847000000000001</c:v>
                </c:pt>
                <c:pt idx="22">
                  <c:v>49.847000000000001</c:v>
                </c:pt>
                <c:pt idx="23">
                  <c:v>49.756999999999998</c:v>
                </c:pt>
                <c:pt idx="24">
                  <c:v>49.697000000000003</c:v>
                </c:pt>
                <c:pt idx="25">
                  <c:v>49.697000000000003</c:v>
                </c:pt>
                <c:pt idx="26">
                  <c:v>49.698999999999998</c:v>
                </c:pt>
                <c:pt idx="27">
                  <c:v>49.698999999999998</c:v>
                </c:pt>
                <c:pt idx="28">
                  <c:v>49.697000000000003</c:v>
                </c:pt>
                <c:pt idx="29">
                  <c:v>49.698999999999998</c:v>
                </c:pt>
                <c:pt idx="30">
                  <c:v>49.697000000000003</c:v>
                </c:pt>
                <c:pt idx="31">
                  <c:v>49.7</c:v>
                </c:pt>
                <c:pt idx="32">
                  <c:v>49.695</c:v>
                </c:pt>
                <c:pt idx="33">
                  <c:v>49.694000000000003</c:v>
                </c:pt>
                <c:pt idx="34">
                  <c:v>49.7</c:v>
                </c:pt>
                <c:pt idx="35">
                  <c:v>49.704000000000001</c:v>
                </c:pt>
                <c:pt idx="36">
                  <c:v>49.701999999999998</c:v>
                </c:pt>
                <c:pt idx="37">
                  <c:v>49.668999999999997</c:v>
                </c:pt>
                <c:pt idx="38">
                  <c:v>49.546999999999997</c:v>
                </c:pt>
                <c:pt idx="39">
                  <c:v>49.542999999999999</c:v>
                </c:pt>
                <c:pt idx="40">
                  <c:v>49.546999999999997</c:v>
                </c:pt>
                <c:pt idx="41">
                  <c:v>49.55</c:v>
                </c:pt>
                <c:pt idx="42">
                  <c:v>49.546999999999997</c:v>
                </c:pt>
                <c:pt idx="43">
                  <c:v>49.545000000000002</c:v>
                </c:pt>
                <c:pt idx="44">
                  <c:v>49.542999999999999</c:v>
                </c:pt>
                <c:pt idx="45">
                  <c:v>49.548000000000002</c:v>
                </c:pt>
                <c:pt idx="46">
                  <c:v>49.545000000000002</c:v>
                </c:pt>
                <c:pt idx="47">
                  <c:v>49.545000000000002</c:v>
                </c:pt>
                <c:pt idx="48">
                  <c:v>49.542999999999999</c:v>
                </c:pt>
                <c:pt idx="49">
                  <c:v>49.546999999999997</c:v>
                </c:pt>
                <c:pt idx="50">
                  <c:v>49.546999999999997</c:v>
                </c:pt>
                <c:pt idx="51">
                  <c:v>49.512</c:v>
                </c:pt>
                <c:pt idx="52">
                  <c:v>49.393999999999998</c:v>
                </c:pt>
                <c:pt idx="53">
                  <c:v>49.396000000000001</c:v>
                </c:pt>
                <c:pt idx="54">
                  <c:v>49.393999999999998</c:v>
                </c:pt>
                <c:pt idx="55">
                  <c:v>49.393999999999998</c:v>
                </c:pt>
                <c:pt idx="56">
                  <c:v>49.393999999999998</c:v>
                </c:pt>
                <c:pt idx="57">
                  <c:v>49.396000000000001</c:v>
                </c:pt>
                <c:pt idx="58">
                  <c:v>49.389000000000003</c:v>
                </c:pt>
                <c:pt idx="59">
                  <c:v>49.393999999999998</c:v>
                </c:pt>
                <c:pt idx="60">
                  <c:v>49.396000000000001</c:v>
                </c:pt>
                <c:pt idx="61">
                  <c:v>49.390999999999998</c:v>
                </c:pt>
                <c:pt idx="62">
                  <c:v>49.396000000000001</c:v>
                </c:pt>
                <c:pt idx="63">
                  <c:v>49.396999999999998</c:v>
                </c:pt>
                <c:pt idx="64">
                  <c:v>49.396999999999998</c:v>
                </c:pt>
                <c:pt idx="65">
                  <c:v>49.345999999999997</c:v>
                </c:pt>
                <c:pt idx="66">
                  <c:v>49.241</c:v>
                </c:pt>
                <c:pt idx="67">
                  <c:v>49.241999999999997</c:v>
                </c:pt>
                <c:pt idx="68">
                  <c:v>49.247</c:v>
                </c:pt>
                <c:pt idx="69">
                  <c:v>49.241</c:v>
                </c:pt>
                <c:pt idx="70">
                  <c:v>49.246000000000002</c:v>
                </c:pt>
                <c:pt idx="71">
                  <c:v>49.241</c:v>
                </c:pt>
                <c:pt idx="72">
                  <c:v>49.241999999999997</c:v>
                </c:pt>
                <c:pt idx="73">
                  <c:v>49.244</c:v>
                </c:pt>
                <c:pt idx="74">
                  <c:v>49.241999999999997</c:v>
                </c:pt>
                <c:pt idx="75">
                  <c:v>49.241</c:v>
                </c:pt>
                <c:pt idx="76">
                  <c:v>49.246000000000002</c:v>
                </c:pt>
                <c:pt idx="77">
                  <c:v>49.241999999999997</c:v>
                </c:pt>
                <c:pt idx="78">
                  <c:v>49.246000000000002</c:v>
                </c:pt>
                <c:pt idx="79">
                  <c:v>49.182000000000002</c:v>
                </c:pt>
                <c:pt idx="80">
                  <c:v>49.093000000000004</c:v>
                </c:pt>
                <c:pt idx="81">
                  <c:v>49.091000000000001</c:v>
                </c:pt>
                <c:pt idx="82">
                  <c:v>49.093000000000004</c:v>
                </c:pt>
                <c:pt idx="83">
                  <c:v>49.091000000000001</c:v>
                </c:pt>
                <c:pt idx="84">
                  <c:v>49.093000000000004</c:v>
                </c:pt>
                <c:pt idx="85">
                  <c:v>49.095999999999997</c:v>
                </c:pt>
                <c:pt idx="86">
                  <c:v>49.09</c:v>
                </c:pt>
                <c:pt idx="87">
                  <c:v>49.094999999999999</c:v>
                </c:pt>
                <c:pt idx="88">
                  <c:v>49.094999999999999</c:v>
                </c:pt>
                <c:pt idx="89">
                  <c:v>49.09</c:v>
                </c:pt>
                <c:pt idx="90">
                  <c:v>49.093000000000004</c:v>
                </c:pt>
                <c:pt idx="91">
                  <c:v>49.093000000000004</c:v>
                </c:pt>
                <c:pt idx="92">
                  <c:v>49.091000000000001</c:v>
                </c:pt>
                <c:pt idx="93">
                  <c:v>49.021000000000001</c:v>
                </c:pt>
                <c:pt idx="94">
                  <c:v>48.94</c:v>
                </c:pt>
                <c:pt idx="95">
                  <c:v>48.938000000000002</c:v>
                </c:pt>
                <c:pt idx="96">
                  <c:v>48.936999999999998</c:v>
                </c:pt>
                <c:pt idx="97">
                  <c:v>48.942</c:v>
                </c:pt>
                <c:pt idx="98">
                  <c:v>48.94</c:v>
                </c:pt>
                <c:pt idx="99">
                  <c:v>48.942999999999998</c:v>
                </c:pt>
                <c:pt idx="100">
                  <c:v>48.94</c:v>
                </c:pt>
                <c:pt idx="101">
                  <c:v>48.942999999999998</c:v>
                </c:pt>
                <c:pt idx="102">
                  <c:v>48.942999999999998</c:v>
                </c:pt>
                <c:pt idx="103">
                  <c:v>48.94</c:v>
                </c:pt>
                <c:pt idx="104">
                  <c:v>48.945</c:v>
                </c:pt>
                <c:pt idx="105">
                  <c:v>48.938000000000002</c:v>
                </c:pt>
                <c:pt idx="106">
                  <c:v>48.938000000000002</c:v>
                </c:pt>
                <c:pt idx="107">
                  <c:v>48.859000000000002</c:v>
                </c:pt>
                <c:pt idx="108">
                  <c:v>48.787999999999997</c:v>
                </c:pt>
                <c:pt idx="109">
                  <c:v>48.787999999999997</c:v>
                </c:pt>
                <c:pt idx="110">
                  <c:v>48.787999999999997</c:v>
                </c:pt>
                <c:pt idx="111">
                  <c:v>48.792999999999999</c:v>
                </c:pt>
                <c:pt idx="112">
                  <c:v>48.790999999999997</c:v>
                </c:pt>
                <c:pt idx="113">
                  <c:v>48.790999999999997</c:v>
                </c:pt>
                <c:pt idx="114">
                  <c:v>48.787999999999997</c:v>
                </c:pt>
                <c:pt idx="115">
                  <c:v>48.792999999999999</c:v>
                </c:pt>
                <c:pt idx="116">
                  <c:v>48.790999999999997</c:v>
                </c:pt>
                <c:pt idx="117">
                  <c:v>48.793999999999997</c:v>
                </c:pt>
                <c:pt idx="118">
                  <c:v>48.787999999999997</c:v>
                </c:pt>
                <c:pt idx="119">
                  <c:v>48.790999999999997</c:v>
                </c:pt>
                <c:pt idx="120">
                  <c:v>48.789000000000001</c:v>
                </c:pt>
                <c:pt idx="121">
                  <c:v>48.697000000000003</c:v>
                </c:pt>
                <c:pt idx="122">
                  <c:v>48.637999999999998</c:v>
                </c:pt>
                <c:pt idx="123">
                  <c:v>48.640999999999998</c:v>
                </c:pt>
                <c:pt idx="124">
                  <c:v>48.636000000000003</c:v>
                </c:pt>
                <c:pt idx="125">
                  <c:v>48.643000000000001</c:v>
                </c:pt>
                <c:pt idx="126">
                  <c:v>48.64</c:v>
                </c:pt>
                <c:pt idx="127">
                  <c:v>48.64</c:v>
                </c:pt>
                <c:pt idx="128">
                  <c:v>48.643000000000001</c:v>
                </c:pt>
                <c:pt idx="129">
                  <c:v>48.640999999999998</c:v>
                </c:pt>
                <c:pt idx="130">
                  <c:v>48.640999999999998</c:v>
                </c:pt>
                <c:pt idx="131">
                  <c:v>48.64</c:v>
                </c:pt>
                <c:pt idx="132">
                  <c:v>48.640999999999998</c:v>
                </c:pt>
                <c:pt idx="133">
                  <c:v>48.637999999999998</c:v>
                </c:pt>
                <c:pt idx="134">
                  <c:v>48.643000000000001</c:v>
                </c:pt>
                <c:pt idx="135">
                  <c:v>48.536999999999999</c:v>
                </c:pt>
                <c:pt idx="136">
                  <c:v>48.488</c:v>
                </c:pt>
                <c:pt idx="137">
                  <c:v>48.493000000000002</c:v>
                </c:pt>
                <c:pt idx="138">
                  <c:v>48.491</c:v>
                </c:pt>
                <c:pt idx="139">
                  <c:v>48.494</c:v>
                </c:pt>
                <c:pt idx="140">
                  <c:v>48.491</c:v>
                </c:pt>
                <c:pt idx="141">
                  <c:v>48.488999999999997</c:v>
                </c:pt>
                <c:pt idx="142">
                  <c:v>48.491</c:v>
                </c:pt>
                <c:pt idx="143">
                  <c:v>48.493000000000002</c:v>
                </c:pt>
                <c:pt idx="144">
                  <c:v>48.493000000000002</c:v>
                </c:pt>
                <c:pt idx="145">
                  <c:v>48.488999999999997</c:v>
                </c:pt>
                <c:pt idx="146">
                  <c:v>48.485999999999997</c:v>
                </c:pt>
                <c:pt idx="147">
                  <c:v>48.493000000000002</c:v>
                </c:pt>
                <c:pt idx="148">
                  <c:v>48.491</c:v>
                </c:pt>
                <c:pt idx="149">
                  <c:v>48.375</c:v>
                </c:pt>
                <c:pt idx="150">
                  <c:v>48.341000000000001</c:v>
                </c:pt>
                <c:pt idx="151">
                  <c:v>48.341000000000001</c:v>
                </c:pt>
                <c:pt idx="152">
                  <c:v>48.338000000000001</c:v>
                </c:pt>
                <c:pt idx="153">
                  <c:v>48.341000000000001</c:v>
                </c:pt>
                <c:pt idx="154">
                  <c:v>48.337000000000003</c:v>
                </c:pt>
                <c:pt idx="155">
                  <c:v>48.338000000000001</c:v>
                </c:pt>
                <c:pt idx="156">
                  <c:v>48.34</c:v>
                </c:pt>
                <c:pt idx="157">
                  <c:v>48.338000000000001</c:v>
                </c:pt>
                <c:pt idx="158">
                  <c:v>48.338000000000001</c:v>
                </c:pt>
                <c:pt idx="159">
                  <c:v>48.341000000000001</c:v>
                </c:pt>
                <c:pt idx="160">
                  <c:v>48.34</c:v>
                </c:pt>
                <c:pt idx="161">
                  <c:v>48.34</c:v>
                </c:pt>
                <c:pt idx="162">
                  <c:v>48.338000000000001</c:v>
                </c:pt>
                <c:pt idx="163">
                  <c:v>48.215000000000003</c:v>
                </c:pt>
                <c:pt idx="164">
                  <c:v>48.192999999999998</c:v>
                </c:pt>
                <c:pt idx="165">
                  <c:v>48.192999999999998</c:v>
                </c:pt>
                <c:pt idx="166">
                  <c:v>48.192999999999998</c:v>
                </c:pt>
                <c:pt idx="167">
                  <c:v>48.192999999999998</c:v>
                </c:pt>
                <c:pt idx="168">
                  <c:v>48.192999999999998</c:v>
                </c:pt>
                <c:pt idx="169">
                  <c:v>48.19</c:v>
                </c:pt>
                <c:pt idx="170">
                  <c:v>48.19</c:v>
                </c:pt>
                <c:pt idx="171">
                  <c:v>48.195999999999998</c:v>
                </c:pt>
                <c:pt idx="172">
                  <c:v>48.19</c:v>
                </c:pt>
                <c:pt idx="173">
                  <c:v>48.191000000000003</c:v>
                </c:pt>
                <c:pt idx="174">
                  <c:v>48.192999999999998</c:v>
                </c:pt>
                <c:pt idx="175">
                  <c:v>48.188000000000002</c:v>
                </c:pt>
                <c:pt idx="176">
                  <c:v>48.186999999999998</c:v>
                </c:pt>
                <c:pt idx="177">
                  <c:v>48.061</c:v>
                </c:pt>
                <c:pt idx="178">
                  <c:v>48.045000000000002</c:v>
                </c:pt>
                <c:pt idx="179">
                  <c:v>48.043999999999997</c:v>
                </c:pt>
                <c:pt idx="180">
                  <c:v>48.039000000000001</c:v>
                </c:pt>
                <c:pt idx="181">
                  <c:v>48.039000000000001</c:v>
                </c:pt>
                <c:pt idx="182">
                  <c:v>48.040999999999997</c:v>
                </c:pt>
                <c:pt idx="183">
                  <c:v>48.040999999999997</c:v>
                </c:pt>
                <c:pt idx="184">
                  <c:v>48.045000000000002</c:v>
                </c:pt>
                <c:pt idx="185">
                  <c:v>48.042000000000002</c:v>
                </c:pt>
                <c:pt idx="186">
                  <c:v>48.042000000000002</c:v>
                </c:pt>
                <c:pt idx="187">
                  <c:v>48.043999999999997</c:v>
                </c:pt>
                <c:pt idx="188">
                  <c:v>48.040999999999997</c:v>
                </c:pt>
                <c:pt idx="189">
                  <c:v>48.042000000000002</c:v>
                </c:pt>
                <c:pt idx="190">
                  <c:v>48.037999999999997</c:v>
                </c:pt>
                <c:pt idx="191">
                  <c:v>47.899000000000001</c:v>
                </c:pt>
                <c:pt idx="192">
                  <c:v>47.892000000000003</c:v>
                </c:pt>
                <c:pt idx="193">
                  <c:v>47.892000000000003</c:v>
                </c:pt>
                <c:pt idx="194">
                  <c:v>47.892000000000003</c:v>
                </c:pt>
                <c:pt idx="195">
                  <c:v>47.890999999999998</c:v>
                </c:pt>
                <c:pt idx="196">
                  <c:v>47.896999999999998</c:v>
                </c:pt>
                <c:pt idx="197">
                  <c:v>47.892000000000003</c:v>
                </c:pt>
                <c:pt idx="198">
                  <c:v>47.896000000000001</c:v>
                </c:pt>
                <c:pt idx="199">
                  <c:v>47.896999999999998</c:v>
                </c:pt>
                <c:pt idx="200">
                  <c:v>47.893999999999998</c:v>
                </c:pt>
                <c:pt idx="201">
                  <c:v>47.893999999999998</c:v>
                </c:pt>
                <c:pt idx="202">
                  <c:v>47.890999999999998</c:v>
                </c:pt>
                <c:pt idx="203">
                  <c:v>47.893999999999998</c:v>
                </c:pt>
                <c:pt idx="204">
                  <c:v>47.896999999999998</c:v>
                </c:pt>
                <c:pt idx="205">
                  <c:v>47.747</c:v>
                </c:pt>
                <c:pt idx="206">
                  <c:v>47.744999999999997</c:v>
                </c:pt>
                <c:pt idx="207">
                  <c:v>47.741999999999997</c:v>
                </c:pt>
                <c:pt idx="208">
                  <c:v>47.744999999999997</c:v>
                </c:pt>
                <c:pt idx="209">
                  <c:v>47.744999999999997</c:v>
                </c:pt>
                <c:pt idx="210">
                  <c:v>47.74</c:v>
                </c:pt>
                <c:pt idx="211">
                  <c:v>47.744999999999997</c:v>
                </c:pt>
                <c:pt idx="212">
                  <c:v>47.747</c:v>
                </c:pt>
                <c:pt idx="213">
                  <c:v>47.747</c:v>
                </c:pt>
                <c:pt idx="214">
                  <c:v>47.747</c:v>
                </c:pt>
                <c:pt idx="215">
                  <c:v>47.741999999999997</c:v>
                </c:pt>
                <c:pt idx="216">
                  <c:v>47.744999999999997</c:v>
                </c:pt>
                <c:pt idx="217">
                  <c:v>47.744</c:v>
                </c:pt>
                <c:pt idx="218">
                  <c:v>47.744</c:v>
                </c:pt>
                <c:pt idx="219">
                  <c:v>47.598999999999997</c:v>
                </c:pt>
                <c:pt idx="220">
                  <c:v>47.603000000000002</c:v>
                </c:pt>
                <c:pt idx="221">
                  <c:v>47.598999999999997</c:v>
                </c:pt>
                <c:pt idx="222">
                  <c:v>47.597000000000001</c:v>
                </c:pt>
                <c:pt idx="223">
                  <c:v>47.597000000000001</c:v>
                </c:pt>
                <c:pt idx="224">
                  <c:v>47.598999999999997</c:v>
                </c:pt>
                <c:pt idx="225">
                  <c:v>47.601999999999997</c:v>
                </c:pt>
                <c:pt idx="226">
                  <c:v>47.597000000000001</c:v>
                </c:pt>
                <c:pt idx="227">
                  <c:v>47.597000000000001</c:v>
                </c:pt>
                <c:pt idx="228">
                  <c:v>47.6</c:v>
                </c:pt>
                <c:pt idx="229">
                  <c:v>47.597000000000001</c:v>
                </c:pt>
                <c:pt idx="230">
                  <c:v>47.6</c:v>
                </c:pt>
                <c:pt idx="231">
                  <c:v>47.597000000000001</c:v>
                </c:pt>
                <c:pt idx="232">
                  <c:v>47.45</c:v>
                </c:pt>
                <c:pt idx="233">
                  <c:v>47.454999999999998</c:v>
                </c:pt>
                <c:pt idx="234">
                  <c:v>47.456000000000003</c:v>
                </c:pt>
                <c:pt idx="235">
                  <c:v>47.456000000000003</c:v>
                </c:pt>
                <c:pt idx="236">
                  <c:v>47.456000000000003</c:v>
                </c:pt>
                <c:pt idx="237">
                  <c:v>47.454999999999998</c:v>
                </c:pt>
                <c:pt idx="238">
                  <c:v>47.457999999999998</c:v>
                </c:pt>
                <c:pt idx="239">
                  <c:v>47.456000000000003</c:v>
                </c:pt>
                <c:pt idx="240">
                  <c:v>47.454999999999998</c:v>
                </c:pt>
                <c:pt idx="241">
                  <c:v>47.454999999999998</c:v>
                </c:pt>
                <c:pt idx="242">
                  <c:v>47.451999999999998</c:v>
                </c:pt>
                <c:pt idx="243">
                  <c:v>47.451999999999998</c:v>
                </c:pt>
                <c:pt idx="244">
                  <c:v>47.451999999999998</c:v>
                </c:pt>
                <c:pt idx="245">
                  <c:v>47.448999999999998</c:v>
                </c:pt>
                <c:pt idx="246">
                  <c:v>47.307000000000002</c:v>
                </c:pt>
                <c:pt idx="247">
                  <c:v>47.308999999999997</c:v>
                </c:pt>
                <c:pt idx="248">
                  <c:v>47.305999999999997</c:v>
                </c:pt>
                <c:pt idx="249">
                  <c:v>47.311999999999998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9E-434E-86D5-B12FE4F03A69}"/>
            </c:ext>
          </c:extLst>
        </c:ser>
        <c:ser>
          <c:idx val="2"/>
          <c:order val="2"/>
          <c:tx>
            <c:strRef>
              <c:f>'FLL Transition'!$AG$2:$AG$3</c:f>
              <c:strCache>
                <c:ptCount val="2"/>
                <c:pt idx="0">
                  <c:v>FLL Transition  (50 -&gt; 40MHz) (FLT_GAIN, ERROR_RANGE)</c:v>
                </c:pt>
                <c:pt idx="1">
                  <c:v>(2, 0)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Transition'!$AG$4:$AG$253</c:f>
              <c:numCache>
                <c:formatCode>General</c:formatCode>
                <c:ptCount val="250"/>
                <c:pt idx="0">
                  <c:v>49.997</c:v>
                </c:pt>
                <c:pt idx="1">
                  <c:v>50.002000000000002</c:v>
                </c:pt>
                <c:pt idx="2">
                  <c:v>50.005000000000003</c:v>
                </c:pt>
                <c:pt idx="3">
                  <c:v>50</c:v>
                </c:pt>
                <c:pt idx="4">
                  <c:v>49.999000000000002</c:v>
                </c:pt>
                <c:pt idx="5">
                  <c:v>50</c:v>
                </c:pt>
                <c:pt idx="6">
                  <c:v>50.002000000000002</c:v>
                </c:pt>
                <c:pt idx="7">
                  <c:v>49.999000000000002</c:v>
                </c:pt>
                <c:pt idx="8">
                  <c:v>50.002000000000002</c:v>
                </c:pt>
                <c:pt idx="9">
                  <c:v>50.005000000000003</c:v>
                </c:pt>
                <c:pt idx="10">
                  <c:v>45.341999999999999</c:v>
                </c:pt>
                <c:pt idx="11">
                  <c:v>45.338999999999999</c:v>
                </c:pt>
                <c:pt idx="12">
                  <c:v>45.34</c:v>
                </c:pt>
                <c:pt idx="13">
                  <c:v>45.338999999999999</c:v>
                </c:pt>
                <c:pt idx="14">
                  <c:v>45.338999999999999</c:v>
                </c:pt>
                <c:pt idx="15">
                  <c:v>45.338000000000001</c:v>
                </c:pt>
                <c:pt idx="16">
                  <c:v>45.338999999999999</c:v>
                </c:pt>
                <c:pt idx="17">
                  <c:v>45.34</c:v>
                </c:pt>
                <c:pt idx="18">
                  <c:v>45.338000000000001</c:v>
                </c:pt>
                <c:pt idx="19">
                  <c:v>45.335000000000001</c:v>
                </c:pt>
                <c:pt idx="20">
                  <c:v>45.335999999999999</c:v>
                </c:pt>
                <c:pt idx="21">
                  <c:v>45.335999999999999</c:v>
                </c:pt>
                <c:pt idx="22">
                  <c:v>43.768000000000001</c:v>
                </c:pt>
                <c:pt idx="23">
                  <c:v>42.412999999999997</c:v>
                </c:pt>
                <c:pt idx="24">
                  <c:v>42.412999999999997</c:v>
                </c:pt>
                <c:pt idx="25">
                  <c:v>42.412999999999997</c:v>
                </c:pt>
                <c:pt idx="26">
                  <c:v>42.411000000000001</c:v>
                </c:pt>
                <c:pt idx="27">
                  <c:v>42.411000000000001</c:v>
                </c:pt>
                <c:pt idx="28">
                  <c:v>42.411000000000001</c:v>
                </c:pt>
                <c:pt idx="29">
                  <c:v>42.414000000000001</c:v>
                </c:pt>
                <c:pt idx="30">
                  <c:v>42.411000000000001</c:v>
                </c:pt>
                <c:pt idx="31">
                  <c:v>42.414000000000001</c:v>
                </c:pt>
                <c:pt idx="32">
                  <c:v>42.412999999999997</c:v>
                </c:pt>
                <c:pt idx="33">
                  <c:v>42.411000000000001</c:v>
                </c:pt>
                <c:pt idx="34">
                  <c:v>42.183</c:v>
                </c:pt>
                <c:pt idx="35">
                  <c:v>41.115000000000002</c:v>
                </c:pt>
                <c:pt idx="36">
                  <c:v>41.119</c:v>
                </c:pt>
                <c:pt idx="37">
                  <c:v>41.12</c:v>
                </c:pt>
                <c:pt idx="38">
                  <c:v>41.12</c:v>
                </c:pt>
                <c:pt idx="39">
                  <c:v>41.122</c:v>
                </c:pt>
                <c:pt idx="40">
                  <c:v>41.12</c:v>
                </c:pt>
                <c:pt idx="41">
                  <c:v>41.121000000000002</c:v>
                </c:pt>
                <c:pt idx="42">
                  <c:v>41.12</c:v>
                </c:pt>
                <c:pt idx="43">
                  <c:v>41.12</c:v>
                </c:pt>
                <c:pt idx="44">
                  <c:v>41.12</c:v>
                </c:pt>
                <c:pt idx="45">
                  <c:v>41.118000000000002</c:v>
                </c:pt>
                <c:pt idx="46">
                  <c:v>40.651000000000003</c:v>
                </c:pt>
                <c:pt idx="47">
                  <c:v>40.531999999999996</c:v>
                </c:pt>
                <c:pt idx="48">
                  <c:v>40.533000000000001</c:v>
                </c:pt>
                <c:pt idx="49">
                  <c:v>40.533999999999999</c:v>
                </c:pt>
                <c:pt idx="50">
                  <c:v>40.533999999999999</c:v>
                </c:pt>
                <c:pt idx="51">
                  <c:v>40.533000000000001</c:v>
                </c:pt>
                <c:pt idx="52">
                  <c:v>40.533000000000001</c:v>
                </c:pt>
                <c:pt idx="53">
                  <c:v>40.530999999999999</c:v>
                </c:pt>
                <c:pt idx="54">
                  <c:v>40.531999999999996</c:v>
                </c:pt>
                <c:pt idx="55">
                  <c:v>40.533000000000001</c:v>
                </c:pt>
                <c:pt idx="56">
                  <c:v>40.531999999999996</c:v>
                </c:pt>
                <c:pt idx="57">
                  <c:v>40.531999999999996</c:v>
                </c:pt>
                <c:pt idx="58">
                  <c:v>40.258000000000003</c:v>
                </c:pt>
                <c:pt idx="59">
                  <c:v>40.256</c:v>
                </c:pt>
                <c:pt idx="60">
                  <c:v>40.256999999999998</c:v>
                </c:pt>
                <c:pt idx="61">
                  <c:v>40.259</c:v>
                </c:pt>
                <c:pt idx="62">
                  <c:v>40.256</c:v>
                </c:pt>
                <c:pt idx="63">
                  <c:v>40.259</c:v>
                </c:pt>
                <c:pt idx="64">
                  <c:v>40.258000000000003</c:v>
                </c:pt>
                <c:pt idx="65">
                  <c:v>40.258000000000003</c:v>
                </c:pt>
                <c:pt idx="66">
                  <c:v>40.256</c:v>
                </c:pt>
                <c:pt idx="67">
                  <c:v>40.253</c:v>
                </c:pt>
                <c:pt idx="68">
                  <c:v>40.258000000000003</c:v>
                </c:pt>
                <c:pt idx="69">
                  <c:v>40.210999999999999</c:v>
                </c:pt>
                <c:pt idx="70">
                  <c:v>40.125999999999998</c:v>
                </c:pt>
                <c:pt idx="71">
                  <c:v>40.124000000000002</c:v>
                </c:pt>
                <c:pt idx="72">
                  <c:v>40.122</c:v>
                </c:pt>
                <c:pt idx="73">
                  <c:v>40.125999999999998</c:v>
                </c:pt>
                <c:pt idx="74">
                  <c:v>40.122</c:v>
                </c:pt>
                <c:pt idx="75">
                  <c:v>40.124000000000002</c:v>
                </c:pt>
                <c:pt idx="76">
                  <c:v>40.125</c:v>
                </c:pt>
                <c:pt idx="77">
                  <c:v>40.122</c:v>
                </c:pt>
                <c:pt idx="78">
                  <c:v>40.125</c:v>
                </c:pt>
                <c:pt idx="79">
                  <c:v>40.124000000000002</c:v>
                </c:pt>
                <c:pt idx="80">
                  <c:v>40.122999999999998</c:v>
                </c:pt>
                <c:pt idx="81">
                  <c:v>40.058999999999997</c:v>
                </c:pt>
                <c:pt idx="82">
                  <c:v>40.06</c:v>
                </c:pt>
                <c:pt idx="83">
                  <c:v>40.061</c:v>
                </c:pt>
                <c:pt idx="84">
                  <c:v>40.06</c:v>
                </c:pt>
                <c:pt idx="85">
                  <c:v>40.06</c:v>
                </c:pt>
                <c:pt idx="86">
                  <c:v>40.063000000000002</c:v>
                </c:pt>
                <c:pt idx="87">
                  <c:v>40.063000000000002</c:v>
                </c:pt>
                <c:pt idx="88">
                  <c:v>40.061999999999998</c:v>
                </c:pt>
                <c:pt idx="89">
                  <c:v>40.063000000000002</c:v>
                </c:pt>
                <c:pt idx="90">
                  <c:v>40.058999999999997</c:v>
                </c:pt>
                <c:pt idx="91">
                  <c:v>40.063000000000002</c:v>
                </c:pt>
                <c:pt idx="92">
                  <c:v>40.057000000000002</c:v>
                </c:pt>
                <c:pt idx="93">
                  <c:v>40.029000000000003</c:v>
                </c:pt>
                <c:pt idx="94">
                  <c:v>40.027999999999999</c:v>
                </c:pt>
                <c:pt idx="95">
                  <c:v>40.03</c:v>
                </c:pt>
                <c:pt idx="96">
                  <c:v>40.033000000000001</c:v>
                </c:pt>
                <c:pt idx="97">
                  <c:v>40.027000000000001</c:v>
                </c:pt>
                <c:pt idx="98">
                  <c:v>40.029000000000003</c:v>
                </c:pt>
                <c:pt idx="99">
                  <c:v>40.03</c:v>
                </c:pt>
                <c:pt idx="100">
                  <c:v>40.033999999999999</c:v>
                </c:pt>
                <c:pt idx="101">
                  <c:v>40.027999999999999</c:v>
                </c:pt>
                <c:pt idx="102">
                  <c:v>40.027999999999999</c:v>
                </c:pt>
                <c:pt idx="103">
                  <c:v>40.03</c:v>
                </c:pt>
                <c:pt idx="104">
                  <c:v>40.012</c:v>
                </c:pt>
                <c:pt idx="105">
                  <c:v>40.015000000000001</c:v>
                </c:pt>
                <c:pt idx="106">
                  <c:v>40.015000000000001</c:v>
                </c:pt>
                <c:pt idx="107">
                  <c:v>40.012</c:v>
                </c:pt>
                <c:pt idx="108">
                  <c:v>40.015000000000001</c:v>
                </c:pt>
                <c:pt idx="109">
                  <c:v>40.012999999999998</c:v>
                </c:pt>
                <c:pt idx="110">
                  <c:v>40.015999999999998</c:v>
                </c:pt>
                <c:pt idx="111">
                  <c:v>40.014000000000003</c:v>
                </c:pt>
                <c:pt idx="112">
                  <c:v>40.011000000000003</c:v>
                </c:pt>
                <c:pt idx="113">
                  <c:v>40.014000000000003</c:v>
                </c:pt>
                <c:pt idx="114">
                  <c:v>40.015000000000001</c:v>
                </c:pt>
                <c:pt idx="115">
                  <c:v>40.011000000000003</c:v>
                </c:pt>
                <c:pt idx="116">
                  <c:v>40.005000000000003</c:v>
                </c:pt>
                <c:pt idx="117">
                  <c:v>40.006999999999998</c:v>
                </c:pt>
                <c:pt idx="118">
                  <c:v>40.01</c:v>
                </c:pt>
                <c:pt idx="119">
                  <c:v>40.008000000000003</c:v>
                </c:pt>
                <c:pt idx="120">
                  <c:v>40.005000000000003</c:v>
                </c:pt>
                <c:pt idx="121">
                  <c:v>40.011000000000003</c:v>
                </c:pt>
                <c:pt idx="122">
                  <c:v>40.008000000000003</c:v>
                </c:pt>
                <c:pt idx="123">
                  <c:v>40.008000000000003</c:v>
                </c:pt>
                <c:pt idx="124">
                  <c:v>40.006999999999998</c:v>
                </c:pt>
                <c:pt idx="125">
                  <c:v>40.005000000000003</c:v>
                </c:pt>
                <c:pt idx="126">
                  <c:v>40.008000000000003</c:v>
                </c:pt>
                <c:pt idx="127">
                  <c:v>40.003999999999998</c:v>
                </c:pt>
                <c:pt idx="128">
                  <c:v>40.006999999999998</c:v>
                </c:pt>
                <c:pt idx="129">
                  <c:v>40.003</c:v>
                </c:pt>
                <c:pt idx="130">
                  <c:v>40.003</c:v>
                </c:pt>
                <c:pt idx="131">
                  <c:v>40.006999999999998</c:v>
                </c:pt>
                <c:pt idx="132">
                  <c:v>40.000999999999998</c:v>
                </c:pt>
                <c:pt idx="133">
                  <c:v>40.003999999999998</c:v>
                </c:pt>
                <c:pt idx="134">
                  <c:v>40.005000000000003</c:v>
                </c:pt>
                <c:pt idx="135">
                  <c:v>40.003</c:v>
                </c:pt>
                <c:pt idx="136">
                  <c:v>40.000999999999998</c:v>
                </c:pt>
                <c:pt idx="137">
                  <c:v>40.000999999999998</c:v>
                </c:pt>
                <c:pt idx="138">
                  <c:v>40.000999999999998</c:v>
                </c:pt>
                <c:pt idx="139">
                  <c:v>40.003</c:v>
                </c:pt>
                <c:pt idx="140">
                  <c:v>40.002000000000002</c:v>
                </c:pt>
                <c:pt idx="141">
                  <c:v>40.003</c:v>
                </c:pt>
                <c:pt idx="142">
                  <c:v>40.002000000000002</c:v>
                </c:pt>
                <c:pt idx="143">
                  <c:v>40.002000000000002</c:v>
                </c:pt>
                <c:pt idx="144">
                  <c:v>39.999000000000002</c:v>
                </c:pt>
                <c:pt idx="145">
                  <c:v>40.002000000000002</c:v>
                </c:pt>
                <c:pt idx="146">
                  <c:v>40.003</c:v>
                </c:pt>
                <c:pt idx="147">
                  <c:v>40.002000000000002</c:v>
                </c:pt>
                <c:pt idx="148">
                  <c:v>40.003</c:v>
                </c:pt>
                <c:pt idx="149">
                  <c:v>40.000999999999998</c:v>
                </c:pt>
                <c:pt idx="150">
                  <c:v>40.002000000000002</c:v>
                </c:pt>
                <c:pt idx="151">
                  <c:v>39.997999999999998</c:v>
                </c:pt>
                <c:pt idx="152">
                  <c:v>40.000999999999998</c:v>
                </c:pt>
                <c:pt idx="153">
                  <c:v>39.997999999999998</c:v>
                </c:pt>
                <c:pt idx="154">
                  <c:v>40.003</c:v>
                </c:pt>
                <c:pt idx="155">
                  <c:v>40</c:v>
                </c:pt>
                <c:pt idx="156">
                  <c:v>40.000999999999998</c:v>
                </c:pt>
                <c:pt idx="157">
                  <c:v>39.999000000000002</c:v>
                </c:pt>
                <c:pt idx="158">
                  <c:v>40.003999999999998</c:v>
                </c:pt>
                <c:pt idx="159">
                  <c:v>40.000999999999998</c:v>
                </c:pt>
                <c:pt idx="160">
                  <c:v>40.003</c:v>
                </c:pt>
                <c:pt idx="161">
                  <c:v>40</c:v>
                </c:pt>
                <c:pt idx="162">
                  <c:v>40</c:v>
                </c:pt>
                <c:pt idx="163">
                  <c:v>39.999000000000002</c:v>
                </c:pt>
                <c:pt idx="164">
                  <c:v>40.003999999999998</c:v>
                </c:pt>
                <c:pt idx="165">
                  <c:v>40.000999999999998</c:v>
                </c:pt>
                <c:pt idx="166">
                  <c:v>40.000999999999998</c:v>
                </c:pt>
                <c:pt idx="167">
                  <c:v>40.003</c:v>
                </c:pt>
                <c:pt idx="168">
                  <c:v>40.002000000000002</c:v>
                </c:pt>
                <c:pt idx="169">
                  <c:v>40.000999999999998</c:v>
                </c:pt>
                <c:pt idx="170">
                  <c:v>40</c:v>
                </c:pt>
                <c:pt idx="171">
                  <c:v>40.002000000000002</c:v>
                </c:pt>
                <c:pt idx="172">
                  <c:v>40</c:v>
                </c:pt>
                <c:pt idx="173">
                  <c:v>39.997999999999998</c:v>
                </c:pt>
                <c:pt idx="174">
                  <c:v>40</c:v>
                </c:pt>
                <c:pt idx="175">
                  <c:v>40</c:v>
                </c:pt>
                <c:pt idx="176">
                  <c:v>40.000999999999998</c:v>
                </c:pt>
                <c:pt idx="177">
                  <c:v>40</c:v>
                </c:pt>
                <c:pt idx="178">
                  <c:v>40.000999999999998</c:v>
                </c:pt>
                <c:pt idx="179">
                  <c:v>40.003</c:v>
                </c:pt>
                <c:pt idx="180">
                  <c:v>40.003</c:v>
                </c:pt>
                <c:pt idx="181">
                  <c:v>40.000999999999998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39.997999999999998</c:v>
                </c:pt>
                <c:pt idx="186">
                  <c:v>39.997999999999998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40.000999999999998</c:v>
                </c:pt>
                <c:pt idx="192">
                  <c:v>39.997999999999998</c:v>
                </c:pt>
                <c:pt idx="193">
                  <c:v>39.997999999999998</c:v>
                </c:pt>
                <c:pt idx="194">
                  <c:v>39.999000000000002</c:v>
                </c:pt>
                <c:pt idx="195">
                  <c:v>40</c:v>
                </c:pt>
                <c:pt idx="196">
                  <c:v>39.999000000000002</c:v>
                </c:pt>
                <c:pt idx="197">
                  <c:v>40.000999999999998</c:v>
                </c:pt>
                <c:pt idx="198">
                  <c:v>40.002000000000002</c:v>
                </c:pt>
                <c:pt idx="199">
                  <c:v>40.003</c:v>
                </c:pt>
                <c:pt idx="200">
                  <c:v>40.000999999999998</c:v>
                </c:pt>
                <c:pt idx="201">
                  <c:v>39.997999999999998</c:v>
                </c:pt>
                <c:pt idx="202">
                  <c:v>39.999000000000002</c:v>
                </c:pt>
                <c:pt idx="203">
                  <c:v>40.000999999999998</c:v>
                </c:pt>
                <c:pt idx="204">
                  <c:v>40</c:v>
                </c:pt>
                <c:pt idx="205">
                  <c:v>39.999000000000002</c:v>
                </c:pt>
                <c:pt idx="206">
                  <c:v>40</c:v>
                </c:pt>
                <c:pt idx="207">
                  <c:v>39.999000000000002</c:v>
                </c:pt>
                <c:pt idx="208">
                  <c:v>40.002000000000002</c:v>
                </c:pt>
                <c:pt idx="209">
                  <c:v>40</c:v>
                </c:pt>
                <c:pt idx="210">
                  <c:v>40.000999999999998</c:v>
                </c:pt>
                <c:pt idx="211">
                  <c:v>40.002000000000002</c:v>
                </c:pt>
                <c:pt idx="212">
                  <c:v>40.002000000000002</c:v>
                </c:pt>
                <c:pt idx="213">
                  <c:v>40.003</c:v>
                </c:pt>
                <c:pt idx="214">
                  <c:v>39.999000000000002</c:v>
                </c:pt>
                <c:pt idx="215">
                  <c:v>40.000999999999998</c:v>
                </c:pt>
                <c:pt idx="216">
                  <c:v>40</c:v>
                </c:pt>
                <c:pt idx="217">
                  <c:v>40</c:v>
                </c:pt>
                <c:pt idx="218">
                  <c:v>39.999000000000002</c:v>
                </c:pt>
                <c:pt idx="219">
                  <c:v>40.000999999999998</c:v>
                </c:pt>
                <c:pt idx="220">
                  <c:v>40.000999999999998</c:v>
                </c:pt>
                <c:pt idx="221">
                  <c:v>40</c:v>
                </c:pt>
                <c:pt idx="222">
                  <c:v>40.002000000000002</c:v>
                </c:pt>
                <c:pt idx="223">
                  <c:v>39.999000000000002</c:v>
                </c:pt>
                <c:pt idx="224">
                  <c:v>39.999000000000002</c:v>
                </c:pt>
                <c:pt idx="225">
                  <c:v>40.000999999999998</c:v>
                </c:pt>
                <c:pt idx="226">
                  <c:v>39.999000000000002</c:v>
                </c:pt>
                <c:pt idx="227">
                  <c:v>40.002000000000002</c:v>
                </c:pt>
                <c:pt idx="228">
                  <c:v>40.003999999999998</c:v>
                </c:pt>
                <c:pt idx="229">
                  <c:v>40.002000000000002</c:v>
                </c:pt>
                <c:pt idx="230">
                  <c:v>40.002000000000002</c:v>
                </c:pt>
                <c:pt idx="231">
                  <c:v>40</c:v>
                </c:pt>
                <c:pt idx="232">
                  <c:v>40</c:v>
                </c:pt>
                <c:pt idx="233">
                  <c:v>39.997999999999998</c:v>
                </c:pt>
                <c:pt idx="234">
                  <c:v>39.999000000000002</c:v>
                </c:pt>
                <c:pt idx="235">
                  <c:v>39.999000000000002</c:v>
                </c:pt>
                <c:pt idx="236">
                  <c:v>39.997999999999998</c:v>
                </c:pt>
                <c:pt idx="237">
                  <c:v>40.002000000000002</c:v>
                </c:pt>
                <c:pt idx="238">
                  <c:v>39.999000000000002</c:v>
                </c:pt>
                <c:pt idx="239">
                  <c:v>40</c:v>
                </c:pt>
                <c:pt idx="240">
                  <c:v>40.002000000000002</c:v>
                </c:pt>
                <c:pt idx="241">
                  <c:v>40</c:v>
                </c:pt>
                <c:pt idx="242">
                  <c:v>40.000999999999998</c:v>
                </c:pt>
                <c:pt idx="243">
                  <c:v>40.003</c:v>
                </c:pt>
                <c:pt idx="244">
                  <c:v>39.997999999999998</c:v>
                </c:pt>
                <c:pt idx="245">
                  <c:v>40.000999999999998</c:v>
                </c:pt>
                <c:pt idx="246">
                  <c:v>39.999000000000002</c:v>
                </c:pt>
                <c:pt idx="247">
                  <c:v>40</c:v>
                </c:pt>
                <c:pt idx="248">
                  <c:v>39.997999999999998</c:v>
                </c:pt>
                <c:pt idx="24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9E-434E-86D5-B12FE4F03A69}"/>
            </c:ext>
          </c:extLst>
        </c:ser>
        <c:ser>
          <c:idx val="3"/>
          <c:order val="3"/>
          <c:tx>
            <c:strRef>
              <c:f>'FLL Transition'!$AH$2:$AH$3</c:f>
              <c:strCache>
                <c:ptCount val="2"/>
                <c:pt idx="0">
                  <c:v>FLL Transition  (50 -&gt; 40MHz) (FLT_GAIN, ERROR_RANGE)</c:v>
                </c:pt>
                <c:pt idx="1">
                  <c:v>(3, 0)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Transition'!$AH$4:$AH$253</c:f>
              <c:numCache>
                <c:formatCode>General</c:formatCode>
                <c:ptCount val="250"/>
                <c:pt idx="0">
                  <c:v>50</c:v>
                </c:pt>
                <c:pt idx="1">
                  <c:v>50.002000000000002</c:v>
                </c:pt>
                <c:pt idx="2">
                  <c:v>49.999000000000002</c:v>
                </c:pt>
                <c:pt idx="3">
                  <c:v>49.997</c:v>
                </c:pt>
                <c:pt idx="4">
                  <c:v>49.999000000000002</c:v>
                </c:pt>
                <c:pt idx="5">
                  <c:v>50</c:v>
                </c:pt>
                <c:pt idx="6">
                  <c:v>50.002000000000002</c:v>
                </c:pt>
                <c:pt idx="7">
                  <c:v>50.002000000000002</c:v>
                </c:pt>
                <c:pt idx="8">
                  <c:v>50</c:v>
                </c:pt>
                <c:pt idx="9">
                  <c:v>50.002000000000002</c:v>
                </c:pt>
                <c:pt idx="10">
                  <c:v>41.066000000000003</c:v>
                </c:pt>
                <c:pt idx="11">
                  <c:v>41.066000000000003</c:v>
                </c:pt>
                <c:pt idx="12">
                  <c:v>41.066000000000003</c:v>
                </c:pt>
                <c:pt idx="13">
                  <c:v>41.066000000000003</c:v>
                </c:pt>
                <c:pt idx="14">
                  <c:v>41.066000000000003</c:v>
                </c:pt>
                <c:pt idx="15">
                  <c:v>41.066000000000003</c:v>
                </c:pt>
                <c:pt idx="16">
                  <c:v>41.066000000000003</c:v>
                </c:pt>
                <c:pt idx="17">
                  <c:v>41.064</c:v>
                </c:pt>
                <c:pt idx="18">
                  <c:v>41.064999999999998</c:v>
                </c:pt>
                <c:pt idx="19">
                  <c:v>41.067</c:v>
                </c:pt>
                <c:pt idx="20">
                  <c:v>41.066000000000003</c:v>
                </c:pt>
                <c:pt idx="21">
                  <c:v>40.143999999999998</c:v>
                </c:pt>
                <c:pt idx="22">
                  <c:v>39.941000000000003</c:v>
                </c:pt>
                <c:pt idx="23">
                  <c:v>39.944000000000003</c:v>
                </c:pt>
                <c:pt idx="24">
                  <c:v>39.942999999999998</c:v>
                </c:pt>
                <c:pt idx="25">
                  <c:v>39.942999999999998</c:v>
                </c:pt>
                <c:pt idx="26">
                  <c:v>39.94</c:v>
                </c:pt>
                <c:pt idx="27">
                  <c:v>39.942999999999998</c:v>
                </c:pt>
                <c:pt idx="28">
                  <c:v>39.941000000000003</c:v>
                </c:pt>
                <c:pt idx="29">
                  <c:v>39.942999999999998</c:v>
                </c:pt>
                <c:pt idx="30">
                  <c:v>39.944000000000003</c:v>
                </c:pt>
                <c:pt idx="31">
                  <c:v>39.944000000000003</c:v>
                </c:pt>
                <c:pt idx="32">
                  <c:v>39.950000000000003</c:v>
                </c:pt>
                <c:pt idx="33">
                  <c:v>40.002000000000002</c:v>
                </c:pt>
                <c:pt idx="34">
                  <c:v>39.999000000000002</c:v>
                </c:pt>
                <c:pt idx="35">
                  <c:v>40</c:v>
                </c:pt>
                <c:pt idx="36">
                  <c:v>39.997</c:v>
                </c:pt>
                <c:pt idx="37">
                  <c:v>39.997999999999998</c:v>
                </c:pt>
                <c:pt idx="38">
                  <c:v>39.999000000000002</c:v>
                </c:pt>
                <c:pt idx="39">
                  <c:v>40.000999999999998</c:v>
                </c:pt>
                <c:pt idx="40">
                  <c:v>40</c:v>
                </c:pt>
                <c:pt idx="41">
                  <c:v>40</c:v>
                </c:pt>
                <c:pt idx="42">
                  <c:v>39.999000000000002</c:v>
                </c:pt>
                <c:pt idx="43">
                  <c:v>39.999000000000002</c:v>
                </c:pt>
                <c:pt idx="44">
                  <c:v>40</c:v>
                </c:pt>
                <c:pt idx="45">
                  <c:v>40.000999999999998</c:v>
                </c:pt>
                <c:pt idx="46">
                  <c:v>39.999000000000002</c:v>
                </c:pt>
                <c:pt idx="47">
                  <c:v>40.003</c:v>
                </c:pt>
                <c:pt idx="48">
                  <c:v>40.000999999999998</c:v>
                </c:pt>
                <c:pt idx="49">
                  <c:v>40.002000000000002</c:v>
                </c:pt>
                <c:pt idx="50">
                  <c:v>40</c:v>
                </c:pt>
                <c:pt idx="51">
                  <c:v>39.999000000000002</c:v>
                </c:pt>
                <c:pt idx="52">
                  <c:v>40</c:v>
                </c:pt>
                <c:pt idx="53">
                  <c:v>40.000999999999998</c:v>
                </c:pt>
                <c:pt idx="54">
                  <c:v>40.002000000000002</c:v>
                </c:pt>
                <c:pt idx="55">
                  <c:v>40.003999999999998</c:v>
                </c:pt>
                <c:pt idx="56">
                  <c:v>40</c:v>
                </c:pt>
                <c:pt idx="57">
                  <c:v>40.000999999999998</c:v>
                </c:pt>
                <c:pt idx="58">
                  <c:v>40.000999999999998</c:v>
                </c:pt>
                <c:pt idx="59">
                  <c:v>40.000999999999998</c:v>
                </c:pt>
                <c:pt idx="60">
                  <c:v>40.002000000000002</c:v>
                </c:pt>
                <c:pt idx="61">
                  <c:v>40</c:v>
                </c:pt>
                <c:pt idx="62">
                  <c:v>39.999000000000002</c:v>
                </c:pt>
                <c:pt idx="63">
                  <c:v>40</c:v>
                </c:pt>
                <c:pt idx="64">
                  <c:v>40.003</c:v>
                </c:pt>
                <c:pt idx="65">
                  <c:v>39.997</c:v>
                </c:pt>
                <c:pt idx="66">
                  <c:v>39.999000000000002</c:v>
                </c:pt>
                <c:pt idx="67">
                  <c:v>40.000999999999998</c:v>
                </c:pt>
                <c:pt idx="68">
                  <c:v>39.999000000000002</c:v>
                </c:pt>
                <c:pt idx="69">
                  <c:v>39.997999999999998</c:v>
                </c:pt>
                <c:pt idx="70">
                  <c:v>39.997999999999998</c:v>
                </c:pt>
                <c:pt idx="71">
                  <c:v>39.997999999999998</c:v>
                </c:pt>
                <c:pt idx="72">
                  <c:v>40</c:v>
                </c:pt>
                <c:pt idx="73">
                  <c:v>40</c:v>
                </c:pt>
                <c:pt idx="74">
                  <c:v>40.002000000000002</c:v>
                </c:pt>
                <c:pt idx="75">
                  <c:v>40</c:v>
                </c:pt>
                <c:pt idx="76">
                  <c:v>40</c:v>
                </c:pt>
                <c:pt idx="77">
                  <c:v>39.999000000000002</c:v>
                </c:pt>
                <c:pt idx="78">
                  <c:v>40</c:v>
                </c:pt>
                <c:pt idx="79">
                  <c:v>40.002000000000002</c:v>
                </c:pt>
                <c:pt idx="80">
                  <c:v>40.002000000000002</c:v>
                </c:pt>
                <c:pt idx="81">
                  <c:v>40.000999999999998</c:v>
                </c:pt>
                <c:pt idx="82">
                  <c:v>40.000999999999998</c:v>
                </c:pt>
                <c:pt idx="83">
                  <c:v>39.999000000000002</c:v>
                </c:pt>
                <c:pt idx="84">
                  <c:v>40.000999999999998</c:v>
                </c:pt>
                <c:pt idx="85">
                  <c:v>40</c:v>
                </c:pt>
                <c:pt idx="86">
                  <c:v>40.000999999999998</c:v>
                </c:pt>
                <c:pt idx="87">
                  <c:v>40.002000000000002</c:v>
                </c:pt>
                <c:pt idx="88">
                  <c:v>40.002000000000002</c:v>
                </c:pt>
                <c:pt idx="89">
                  <c:v>40.002000000000002</c:v>
                </c:pt>
                <c:pt idx="90">
                  <c:v>40.000999999999998</c:v>
                </c:pt>
                <c:pt idx="91">
                  <c:v>40</c:v>
                </c:pt>
                <c:pt idx="92">
                  <c:v>40</c:v>
                </c:pt>
                <c:pt idx="93">
                  <c:v>40.002000000000002</c:v>
                </c:pt>
                <c:pt idx="94">
                  <c:v>39.999000000000002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40.003</c:v>
                </c:pt>
                <c:pt idx="99">
                  <c:v>40.000999999999998</c:v>
                </c:pt>
                <c:pt idx="100">
                  <c:v>39.997999999999998</c:v>
                </c:pt>
                <c:pt idx="101">
                  <c:v>40.000999999999998</c:v>
                </c:pt>
                <c:pt idx="102">
                  <c:v>39.999000000000002</c:v>
                </c:pt>
                <c:pt idx="103">
                  <c:v>40.000999999999998</c:v>
                </c:pt>
                <c:pt idx="104">
                  <c:v>39.997999999999998</c:v>
                </c:pt>
                <c:pt idx="105">
                  <c:v>40.000999999999998</c:v>
                </c:pt>
                <c:pt idx="106">
                  <c:v>40</c:v>
                </c:pt>
                <c:pt idx="107">
                  <c:v>39.997</c:v>
                </c:pt>
                <c:pt idx="108">
                  <c:v>40.000999999999998</c:v>
                </c:pt>
                <c:pt idx="109">
                  <c:v>40</c:v>
                </c:pt>
                <c:pt idx="110">
                  <c:v>39.999000000000002</c:v>
                </c:pt>
                <c:pt idx="111">
                  <c:v>40</c:v>
                </c:pt>
                <c:pt idx="112">
                  <c:v>40.000999999999998</c:v>
                </c:pt>
                <c:pt idx="113">
                  <c:v>40.003</c:v>
                </c:pt>
                <c:pt idx="114">
                  <c:v>40</c:v>
                </c:pt>
                <c:pt idx="115">
                  <c:v>40.002000000000002</c:v>
                </c:pt>
                <c:pt idx="116">
                  <c:v>39.999000000000002</c:v>
                </c:pt>
                <c:pt idx="117">
                  <c:v>40</c:v>
                </c:pt>
                <c:pt idx="118">
                  <c:v>40.003</c:v>
                </c:pt>
                <c:pt idx="119">
                  <c:v>40</c:v>
                </c:pt>
                <c:pt idx="120">
                  <c:v>40.002000000000002</c:v>
                </c:pt>
                <c:pt idx="121">
                  <c:v>40.003</c:v>
                </c:pt>
                <c:pt idx="122">
                  <c:v>40</c:v>
                </c:pt>
                <c:pt idx="123">
                  <c:v>40.002000000000002</c:v>
                </c:pt>
                <c:pt idx="124">
                  <c:v>40</c:v>
                </c:pt>
                <c:pt idx="125">
                  <c:v>40</c:v>
                </c:pt>
                <c:pt idx="126">
                  <c:v>40.002000000000002</c:v>
                </c:pt>
                <c:pt idx="127">
                  <c:v>39.999000000000002</c:v>
                </c:pt>
                <c:pt idx="128">
                  <c:v>40.000999999999998</c:v>
                </c:pt>
                <c:pt idx="129">
                  <c:v>40.003</c:v>
                </c:pt>
                <c:pt idx="130">
                  <c:v>40.000999999999998</c:v>
                </c:pt>
                <c:pt idx="131">
                  <c:v>40</c:v>
                </c:pt>
                <c:pt idx="132">
                  <c:v>39.999000000000002</c:v>
                </c:pt>
                <c:pt idx="133">
                  <c:v>40.000999999999998</c:v>
                </c:pt>
                <c:pt idx="134">
                  <c:v>40.002000000000002</c:v>
                </c:pt>
                <c:pt idx="135">
                  <c:v>39.999000000000002</c:v>
                </c:pt>
                <c:pt idx="136">
                  <c:v>40.000999999999998</c:v>
                </c:pt>
                <c:pt idx="137">
                  <c:v>40.000999999999998</c:v>
                </c:pt>
                <c:pt idx="138">
                  <c:v>40</c:v>
                </c:pt>
                <c:pt idx="139">
                  <c:v>40.000999999999998</c:v>
                </c:pt>
                <c:pt idx="140">
                  <c:v>40</c:v>
                </c:pt>
                <c:pt idx="141">
                  <c:v>40.003</c:v>
                </c:pt>
                <c:pt idx="142">
                  <c:v>40.000999999999998</c:v>
                </c:pt>
                <c:pt idx="143">
                  <c:v>40</c:v>
                </c:pt>
                <c:pt idx="144">
                  <c:v>39.999000000000002</c:v>
                </c:pt>
                <c:pt idx="145">
                  <c:v>40.002000000000002</c:v>
                </c:pt>
                <c:pt idx="146">
                  <c:v>40.002000000000002</c:v>
                </c:pt>
                <c:pt idx="147">
                  <c:v>40.000999999999998</c:v>
                </c:pt>
                <c:pt idx="148">
                  <c:v>40</c:v>
                </c:pt>
                <c:pt idx="149">
                  <c:v>40.003</c:v>
                </c:pt>
                <c:pt idx="150">
                  <c:v>39.997</c:v>
                </c:pt>
                <c:pt idx="151">
                  <c:v>39.997999999999998</c:v>
                </c:pt>
                <c:pt idx="152">
                  <c:v>39.999000000000002</c:v>
                </c:pt>
                <c:pt idx="153">
                  <c:v>40</c:v>
                </c:pt>
                <c:pt idx="154">
                  <c:v>40.000999999999998</c:v>
                </c:pt>
                <c:pt idx="155">
                  <c:v>39.999000000000002</c:v>
                </c:pt>
                <c:pt idx="156">
                  <c:v>39.997999999999998</c:v>
                </c:pt>
                <c:pt idx="157">
                  <c:v>40</c:v>
                </c:pt>
                <c:pt idx="158">
                  <c:v>39.999000000000002</c:v>
                </c:pt>
                <c:pt idx="159">
                  <c:v>40.002000000000002</c:v>
                </c:pt>
                <c:pt idx="160">
                  <c:v>40.000999999999998</c:v>
                </c:pt>
                <c:pt idx="161">
                  <c:v>40.000999999999998</c:v>
                </c:pt>
                <c:pt idx="162">
                  <c:v>40</c:v>
                </c:pt>
                <c:pt idx="163">
                  <c:v>40.002000000000002</c:v>
                </c:pt>
                <c:pt idx="164">
                  <c:v>40.002000000000002</c:v>
                </c:pt>
                <c:pt idx="165">
                  <c:v>40</c:v>
                </c:pt>
                <c:pt idx="166">
                  <c:v>40.003999999999998</c:v>
                </c:pt>
                <c:pt idx="167">
                  <c:v>40.002000000000002</c:v>
                </c:pt>
                <c:pt idx="168">
                  <c:v>40</c:v>
                </c:pt>
                <c:pt idx="169">
                  <c:v>40.003</c:v>
                </c:pt>
                <c:pt idx="170">
                  <c:v>40.000999999999998</c:v>
                </c:pt>
                <c:pt idx="171">
                  <c:v>40</c:v>
                </c:pt>
                <c:pt idx="172">
                  <c:v>40</c:v>
                </c:pt>
                <c:pt idx="173">
                  <c:v>40.003</c:v>
                </c:pt>
                <c:pt idx="174">
                  <c:v>40.002000000000002</c:v>
                </c:pt>
                <c:pt idx="175">
                  <c:v>40.002000000000002</c:v>
                </c:pt>
                <c:pt idx="176">
                  <c:v>39.997999999999998</c:v>
                </c:pt>
                <c:pt idx="177">
                  <c:v>39.997999999999998</c:v>
                </c:pt>
                <c:pt idx="178">
                  <c:v>40.002000000000002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39.999000000000002</c:v>
                </c:pt>
                <c:pt idx="183">
                  <c:v>39.999000000000002</c:v>
                </c:pt>
                <c:pt idx="184">
                  <c:v>39.999000000000002</c:v>
                </c:pt>
                <c:pt idx="185">
                  <c:v>40.000999999999998</c:v>
                </c:pt>
                <c:pt idx="186">
                  <c:v>39.997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39.999000000000002</c:v>
                </c:pt>
                <c:pt idx="191">
                  <c:v>40.000999999999998</c:v>
                </c:pt>
                <c:pt idx="192">
                  <c:v>39.997999999999998</c:v>
                </c:pt>
                <c:pt idx="193">
                  <c:v>40</c:v>
                </c:pt>
                <c:pt idx="194">
                  <c:v>40.002000000000002</c:v>
                </c:pt>
                <c:pt idx="195">
                  <c:v>39.999000000000002</c:v>
                </c:pt>
                <c:pt idx="196">
                  <c:v>39.999000000000002</c:v>
                </c:pt>
                <c:pt idx="197">
                  <c:v>40</c:v>
                </c:pt>
                <c:pt idx="198">
                  <c:v>40</c:v>
                </c:pt>
                <c:pt idx="199">
                  <c:v>39.999000000000002</c:v>
                </c:pt>
                <c:pt idx="200">
                  <c:v>39.999000000000002</c:v>
                </c:pt>
                <c:pt idx="201">
                  <c:v>40.000999999999998</c:v>
                </c:pt>
                <c:pt idx="202">
                  <c:v>40.000999999999998</c:v>
                </c:pt>
                <c:pt idx="203">
                  <c:v>40.000999999999998</c:v>
                </c:pt>
                <c:pt idx="204">
                  <c:v>39.997999999999998</c:v>
                </c:pt>
                <c:pt idx="205">
                  <c:v>40.003</c:v>
                </c:pt>
                <c:pt idx="206">
                  <c:v>40.000999999999998</c:v>
                </c:pt>
                <c:pt idx="207">
                  <c:v>39.999000000000002</c:v>
                </c:pt>
                <c:pt idx="208">
                  <c:v>40.002000000000002</c:v>
                </c:pt>
                <c:pt idx="209">
                  <c:v>40.000999999999998</c:v>
                </c:pt>
                <c:pt idx="210">
                  <c:v>39.997999999999998</c:v>
                </c:pt>
                <c:pt idx="211">
                  <c:v>40.003</c:v>
                </c:pt>
                <c:pt idx="212">
                  <c:v>40.000999999999998</c:v>
                </c:pt>
                <c:pt idx="213">
                  <c:v>39.999000000000002</c:v>
                </c:pt>
                <c:pt idx="214">
                  <c:v>39.999000000000002</c:v>
                </c:pt>
                <c:pt idx="215">
                  <c:v>40.000999999999998</c:v>
                </c:pt>
                <c:pt idx="216">
                  <c:v>40</c:v>
                </c:pt>
                <c:pt idx="217">
                  <c:v>39.997999999999998</c:v>
                </c:pt>
                <c:pt idx="218">
                  <c:v>39.997</c:v>
                </c:pt>
                <c:pt idx="219">
                  <c:v>39.999000000000002</c:v>
                </c:pt>
                <c:pt idx="220">
                  <c:v>39.999000000000002</c:v>
                </c:pt>
                <c:pt idx="221">
                  <c:v>40</c:v>
                </c:pt>
                <c:pt idx="222">
                  <c:v>40.000999999999998</c:v>
                </c:pt>
                <c:pt idx="223">
                  <c:v>39.999000000000002</c:v>
                </c:pt>
                <c:pt idx="224">
                  <c:v>39.999000000000002</c:v>
                </c:pt>
                <c:pt idx="225">
                  <c:v>40</c:v>
                </c:pt>
                <c:pt idx="226">
                  <c:v>40</c:v>
                </c:pt>
                <c:pt idx="227">
                  <c:v>40.000999999999998</c:v>
                </c:pt>
                <c:pt idx="228">
                  <c:v>40</c:v>
                </c:pt>
                <c:pt idx="229">
                  <c:v>40.002000000000002</c:v>
                </c:pt>
                <c:pt idx="230">
                  <c:v>40.000999999999998</c:v>
                </c:pt>
                <c:pt idx="231">
                  <c:v>40.000999999999998</c:v>
                </c:pt>
                <c:pt idx="232">
                  <c:v>40.000999999999998</c:v>
                </c:pt>
                <c:pt idx="233">
                  <c:v>39.997</c:v>
                </c:pt>
                <c:pt idx="234">
                  <c:v>40.002000000000002</c:v>
                </c:pt>
                <c:pt idx="235">
                  <c:v>39.999000000000002</c:v>
                </c:pt>
                <c:pt idx="236">
                  <c:v>39.999000000000002</c:v>
                </c:pt>
                <c:pt idx="237">
                  <c:v>39.999000000000002</c:v>
                </c:pt>
                <c:pt idx="238">
                  <c:v>40</c:v>
                </c:pt>
                <c:pt idx="239">
                  <c:v>39.997999999999998</c:v>
                </c:pt>
                <c:pt idx="240">
                  <c:v>40.003</c:v>
                </c:pt>
                <c:pt idx="241">
                  <c:v>40.002000000000002</c:v>
                </c:pt>
                <c:pt idx="242">
                  <c:v>40</c:v>
                </c:pt>
                <c:pt idx="243">
                  <c:v>40.000999999999998</c:v>
                </c:pt>
                <c:pt idx="244">
                  <c:v>40.003</c:v>
                </c:pt>
                <c:pt idx="245">
                  <c:v>40.000999999999998</c:v>
                </c:pt>
                <c:pt idx="246">
                  <c:v>40.003</c:v>
                </c:pt>
                <c:pt idx="247">
                  <c:v>39.999000000000002</c:v>
                </c:pt>
                <c:pt idx="248">
                  <c:v>40.000999999999998</c:v>
                </c:pt>
                <c:pt idx="249">
                  <c:v>40.002000000000002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9E-434E-86D5-B12FE4F03A69}"/>
            </c:ext>
          </c:extLst>
        </c:ser>
        <c:ser>
          <c:idx val="4"/>
          <c:order val="4"/>
          <c:tx>
            <c:strRef>
              <c:f>'FLL Transition'!$AI$2:$AI$3</c:f>
              <c:strCache>
                <c:ptCount val="2"/>
                <c:pt idx="0">
                  <c:v>FLL Transition  (50 -&gt; 40MHz) (FLT_GAIN, ERROR_RANGE)</c:v>
                </c:pt>
                <c:pt idx="1">
                  <c:v>(3, 3)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Transition'!$AI$4:$AI$253</c:f>
              <c:numCache>
                <c:formatCode>General</c:formatCode>
                <c:ptCount val="250"/>
                <c:pt idx="0">
                  <c:v>49.997</c:v>
                </c:pt>
                <c:pt idx="1">
                  <c:v>49.994</c:v>
                </c:pt>
                <c:pt idx="2">
                  <c:v>49.999000000000002</c:v>
                </c:pt>
                <c:pt idx="3">
                  <c:v>49.997</c:v>
                </c:pt>
                <c:pt idx="4">
                  <c:v>50</c:v>
                </c:pt>
                <c:pt idx="5">
                  <c:v>49.999000000000002</c:v>
                </c:pt>
                <c:pt idx="6">
                  <c:v>49.999000000000002</c:v>
                </c:pt>
                <c:pt idx="7">
                  <c:v>49.999000000000002</c:v>
                </c:pt>
                <c:pt idx="8">
                  <c:v>49.997</c:v>
                </c:pt>
                <c:pt idx="9">
                  <c:v>49.999000000000002</c:v>
                </c:pt>
                <c:pt idx="10">
                  <c:v>48.789000000000001</c:v>
                </c:pt>
                <c:pt idx="11">
                  <c:v>48.789000000000001</c:v>
                </c:pt>
                <c:pt idx="12">
                  <c:v>48.786000000000001</c:v>
                </c:pt>
                <c:pt idx="13">
                  <c:v>48.790999999999997</c:v>
                </c:pt>
                <c:pt idx="14">
                  <c:v>48.789000000000001</c:v>
                </c:pt>
                <c:pt idx="15">
                  <c:v>48.786000000000001</c:v>
                </c:pt>
                <c:pt idx="16">
                  <c:v>48.789000000000001</c:v>
                </c:pt>
                <c:pt idx="17">
                  <c:v>48.786000000000001</c:v>
                </c:pt>
                <c:pt idx="18">
                  <c:v>48.789000000000001</c:v>
                </c:pt>
                <c:pt idx="19">
                  <c:v>48.786000000000001</c:v>
                </c:pt>
                <c:pt idx="20">
                  <c:v>48.786000000000001</c:v>
                </c:pt>
                <c:pt idx="21">
                  <c:v>48.789000000000001</c:v>
                </c:pt>
                <c:pt idx="22">
                  <c:v>48.786000000000001</c:v>
                </c:pt>
                <c:pt idx="23">
                  <c:v>48.05</c:v>
                </c:pt>
                <c:pt idx="24">
                  <c:v>47.598999999999997</c:v>
                </c:pt>
                <c:pt idx="25">
                  <c:v>47.594000000000001</c:v>
                </c:pt>
                <c:pt idx="26">
                  <c:v>47.6</c:v>
                </c:pt>
                <c:pt idx="27">
                  <c:v>47.6</c:v>
                </c:pt>
                <c:pt idx="28">
                  <c:v>47.598999999999997</c:v>
                </c:pt>
                <c:pt idx="29">
                  <c:v>47.598999999999997</c:v>
                </c:pt>
                <c:pt idx="30">
                  <c:v>47.6</c:v>
                </c:pt>
                <c:pt idx="31">
                  <c:v>47.595999999999997</c:v>
                </c:pt>
                <c:pt idx="32">
                  <c:v>47.597000000000001</c:v>
                </c:pt>
                <c:pt idx="33">
                  <c:v>47.6</c:v>
                </c:pt>
                <c:pt idx="34">
                  <c:v>47.595999999999997</c:v>
                </c:pt>
                <c:pt idx="35">
                  <c:v>47.6</c:v>
                </c:pt>
                <c:pt idx="36">
                  <c:v>47.598999999999997</c:v>
                </c:pt>
                <c:pt idx="37">
                  <c:v>46.447000000000003</c:v>
                </c:pt>
                <c:pt idx="38">
                  <c:v>46.447000000000003</c:v>
                </c:pt>
                <c:pt idx="39">
                  <c:v>46.444000000000003</c:v>
                </c:pt>
                <c:pt idx="40">
                  <c:v>46.447000000000003</c:v>
                </c:pt>
                <c:pt idx="41">
                  <c:v>46.448999999999998</c:v>
                </c:pt>
                <c:pt idx="42">
                  <c:v>46.445999999999998</c:v>
                </c:pt>
                <c:pt idx="43">
                  <c:v>46.447000000000003</c:v>
                </c:pt>
                <c:pt idx="44">
                  <c:v>46.444000000000003</c:v>
                </c:pt>
                <c:pt idx="45">
                  <c:v>46.447000000000003</c:v>
                </c:pt>
                <c:pt idx="46">
                  <c:v>46.447000000000003</c:v>
                </c:pt>
                <c:pt idx="47">
                  <c:v>46.447000000000003</c:v>
                </c:pt>
                <c:pt idx="48">
                  <c:v>46.448999999999998</c:v>
                </c:pt>
                <c:pt idx="49">
                  <c:v>46.445999999999998</c:v>
                </c:pt>
                <c:pt idx="50">
                  <c:v>45.895000000000003</c:v>
                </c:pt>
                <c:pt idx="51">
                  <c:v>45.335000000000001</c:v>
                </c:pt>
                <c:pt idx="52">
                  <c:v>45.338000000000001</c:v>
                </c:pt>
                <c:pt idx="53">
                  <c:v>45.335999999999999</c:v>
                </c:pt>
                <c:pt idx="54">
                  <c:v>45.332999999999998</c:v>
                </c:pt>
                <c:pt idx="55">
                  <c:v>45.335999999999999</c:v>
                </c:pt>
                <c:pt idx="56">
                  <c:v>45.335999999999999</c:v>
                </c:pt>
                <c:pt idx="57">
                  <c:v>45.338999999999999</c:v>
                </c:pt>
                <c:pt idx="58">
                  <c:v>45.338000000000001</c:v>
                </c:pt>
                <c:pt idx="59">
                  <c:v>45.335000000000001</c:v>
                </c:pt>
                <c:pt idx="60">
                  <c:v>45.335000000000001</c:v>
                </c:pt>
                <c:pt idx="61">
                  <c:v>45.338999999999999</c:v>
                </c:pt>
                <c:pt idx="62">
                  <c:v>45.332000000000001</c:v>
                </c:pt>
                <c:pt idx="63">
                  <c:v>44.765000000000001</c:v>
                </c:pt>
                <c:pt idx="64">
                  <c:v>44.253</c:v>
                </c:pt>
                <c:pt idx="65">
                  <c:v>44.250999999999998</c:v>
                </c:pt>
                <c:pt idx="66">
                  <c:v>44.253</c:v>
                </c:pt>
                <c:pt idx="67">
                  <c:v>44.253</c:v>
                </c:pt>
                <c:pt idx="68">
                  <c:v>44.253</c:v>
                </c:pt>
                <c:pt idx="69">
                  <c:v>44.252000000000002</c:v>
                </c:pt>
                <c:pt idx="70">
                  <c:v>44.253</c:v>
                </c:pt>
                <c:pt idx="71">
                  <c:v>44.255000000000003</c:v>
                </c:pt>
                <c:pt idx="72">
                  <c:v>44.247999999999998</c:v>
                </c:pt>
                <c:pt idx="73">
                  <c:v>44.256</c:v>
                </c:pt>
                <c:pt idx="74">
                  <c:v>44.255000000000003</c:v>
                </c:pt>
                <c:pt idx="75">
                  <c:v>44.255000000000003</c:v>
                </c:pt>
                <c:pt idx="76">
                  <c:v>43.185000000000002</c:v>
                </c:pt>
                <c:pt idx="77">
                  <c:v>43.177999999999997</c:v>
                </c:pt>
                <c:pt idx="78">
                  <c:v>43.176000000000002</c:v>
                </c:pt>
                <c:pt idx="79">
                  <c:v>43.177999999999997</c:v>
                </c:pt>
                <c:pt idx="80">
                  <c:v>43.176000000000002</c:v>
                </c:pt>
                <c:pt idx="81">
                  <c:v>43.173999999999999</c:v>
                </c:pt>
                <c:pt idx="82">
                  <c:v>43.174999999999997</c:v>
                </c:pt>
                <c:pt idx="83">
                  <c:v>43.18</c:v>
                </c:pt>
                <c:pt idx="84">
                  <c:v>43.177999999999997</c:v>
                </c:pt>
                <c:pt idx="85">
                  <c:v>43.177999999999997</c:v>
                </c:pt>
                <c:pt idx="86">
                  <c:v>43.177999999999997</c:v>
                </c:pt>
                <c:pt idx="87">
                  <c:v>43.179000000000002</c:v>
                </c:pt>
                <c:pt idx="88">
                  <c:v>42.847999999999999</c:v>
                </c:pt>
                <c:pt idx="89">
                  <c:v>42.11</c:v>
                </c:pt>
                <c:pt idx="90">
                  <c:v>42.11</c:v>
                </c:pt>
                <c:pt idx="91">
                  <c:v>42.104999999999997</c:v>
                </c:pt>
                <c:pt idx="92">
                  <c:v>42.110999999999997</c:v>
                </c:pt>
                <c:pt idx="93">
                  <c:v>42.110999999999997</c:v>
                </c:pt>
                <c:pt idx="94">
                  <c:v>42.109000000000002</c:v>
                </c:pt>
                <c:pt idx="95">
                  <c:v>42.109000000000002</c:v>
                </c:pt>
                <c:pt idx="96">
                  <c:v>42.11</c:v>
                </c:pt>
                <c:pt idx="97">
                  <c:v>42.110999999999997</c:v>
                </c:pt>
                <c:pt idx="98">
                  <c:v>42.112000000000002</c:v>
                </c:pt>
                <c:pt idx="99">
                  <c:v>42.110999999999997</c:v>
                </c:pt>
                <c:pt idx="100">
                  <c:v>41.774999999999999</c:v>
                </c:pt>
                <c:pt idx="101">
                  <c:v>41.064999999999998</c:v>
                </c:pt>
                <c:pt idx="102">
                  <c:v>41.064</c:v>
                </c:pt>
                <c:pt idx="103">
                  <c:v>41.063000000000002</c:v>
                </c:pt>
                <c:pt idx="104">
                  <c:v>41.064999999999998</c:v>
                </c:pt>
                <c:pt idx="105">
                  <c:v>41.064999999999998</c:v>
                </c:pt>
                <c:pt idx="106">
                  <c:v>41.06</c:v>
                </c:pt>
                <c:pt idx="107">
                  <c:v>41.063000000000002</c:v>
                </c:pt>
                <c:pt idx="108">
                  <c:v>41.064</c:v>
                </c:pt>
                <c:pt idx="109">
                  <c:v>41.066000000000003</c:v>
                </c:pt>
                <c:pt idx="110">
                  <c:v>41.064</c:v>
                </c:pt>
                <c:pt idx="111">
                  <c:v>41.064</c:v>
                </c:pt>
                <c:pt idx="112">
                  <c:v>40.223999999999997</c:v>
                </c:pt>
                <c:pt idx="113">
                  <c:v>40.045000000000002</c:v>
                </c:pt>
                <c:pt idx="114">
                  <c:v>40.045999999999999</c:v>
                </c:pt>
                <c:pt idx="115">
                  <c:v>40.045999999999999</c:v>
                </c:pt>
                <c:pt idx="116">
                  <c:v>40.045999999999999</c:v>
                </c:pt>
                <c:pt idx="117">
                  <c:v>40.042999999999999</c:v>
                </c:pt>
                <c:pt idx="118">
                  <c:v>40.045000000000002</c:v>
                </c:pt>
                <c:pt idx="119">
                  <c:v>40.045000000000002</c:v>
                </c:pt>
                <c:pt idx="120">
                  <c:v>40.045000000000002</c:v>
                </c:pt>
                <c:pt idx="121">
                  <c:v>40.045999999999999</c:v>
                </c:pt>
                <c:pt idx="122">
                  <c:v>40.045999999999999</c:v>
                </c:pt>
                <c:pt idx="123">
                  <c:v>40.042000000000002</c:v>
                </c:pt>
                <c:pt idx="124">
                  <c:v>39.997999999999998</c:v>
                </c:pt>
                <c:pt idx="125">
                  <c:v>39.996000000000002</c:v>
                </c:pt>
                <c:pt idx="126">
                  <c:v>39.994999999999997</c:v>
                </c:pt>
                <c:pt idx="127">
                  <c:v>39.994999999999997</c:v>
                </c:pt>
                <c:pt idx="128">
                  <c:v>39.994999999999997</c:v>
                </c:pt>
                <c:pt idx="129">
                  <c:v>39.994999999999997</c:v>
                </c:pt>
                <c:pt idx="130">
                  <c:v>39.997</c:v>
                </c:pt>
                <c:pt idx="131">
                  <c:v>39.997</c:v>
                </c:pt>
                <c:pt idx="132">
                  <c:v>39.997999999999998</c:v>
                </c:pt>
                <c:pt idx="133">
                  <c:v>39.994999999999997</c:v>
                </c:pt>
                <c:pt idx="134">
                  <c:v>39.997999999999998</c:v>
                </c:pt>
                <c:pt idx="135">
                  <c:v>39.999000000000002</c:v>
                </c:pt>
                <c:pt idx="136">
                  <c:v>40</c:v>
                </c:pt>
                <c:pt idx="137">
                  <c:v>40</c:v>
                </c:pt>
                <c:pt idx="138">
                  <c:v>40.000999999999998</c:v>
                </c:pt>
                <c:pt idx="139">
                  <c:v>40.002000000000002</c:v>
                </c:pt>
                <c:pt idx="140">
                  <c:v>40</c:v>
                </c:pt>
                <c:pt idx="141">
                  <c:v>40.003</c:v>
                </c:pt>
                <c:pt idx="142">
                  <c:v>40</c:v>
                </c:pt>
                <c:pt idx="143">
                  <c:v>40.000999999999998</c:v>
                </c:pt>
                <c:pt idx="144">
                  <c:v>40.002000000000002</c:v>
                </c:pt>
                <c:pt idx="145">
                  <c:v>39.997999999999998</c:v>
                </c:pt>
                <c:pt idx="146">
                  <c:v>40.002000000000002</c:v>
                </c:pt>
                <c:pt idx="147">
                  <c:v>40</c:v>
                </c:pt>
                <c:pt idx="148">
                  <c:v>40.002000000000002</c:v>
                </c:pt>
                <c:pt idx="149">
                  <c:v>40</c:v>
                </c:pt>
                <c:pt idx="150">
                  <c:v>39.997999999999998</c:v>
                </c:pt>
                <c:pt idx="151">
                  <c:v>40</c:v>
                </c:pt>
                <c:pt idx="152">
                  <c:v>40</c:v>
                </c:pt>
                <c:pt idx="153">
                  <c:v>39.999000000000002</c:v>
                </c:pt>
                <c:pt idx="154">
                  <c:v>40</c:v>
                </c:pt>
                <c:pt idx="155">
                  <c:v>40.000999999999998</c:v>
                </c:pt>
                <c:pt idx="156">
                  <c:v>39.999000000000002</c:v>
                </c:pt>
                <c:pt idx="157">
                  <c:v>39.999000000000002</c:v>
                </c:pt>
                <c:pt idx="158">
                  <c:v>39.997999999999998</c:v>
                </c:pt>
                <c:pt idx="159">
                  <c:v>39.999000000000002</c:v>
                </c:pt>
                <c:pt idx="160">
                  <c:v>40.000999999999998</c:v>
                </c:pt>
                <c:pt idx="161">
                  <c:v>40</c:v>
                </c:pt>
                <c:pt idx="162">
                  <c:v>40</c:v>
                </c:pt>
                <c:pt idx="163">
                  <c:v>39.999000000000002</c:v>
                </c:pt>
                <c:pt idx="164">
                  <c:v>39.997999999999998</c:v>
                </c:pt>
                <c:pt idx="165">
                  <c:v>39.997</c:v>
                </c:pt>
                <c:pt idx="166">
                  <c:v>40</c:v>
                </c:pt>
                <c:pt idx="167">
                  <c:v>40</c:v>
                </c:pt>
                <c:pt idx="168">
                  <c:v>39.999000000000002</c:v>
                </c:pt>
                <c:pt idx="169">
                  <c:v>40</c:v>
                </c:pt>
                <c:pt idx="170">
                  <c:v>40</c:v>
                </c:pt>
                <c:pt idx="171">
                  <c:v>40.000999999999998</c:v>
                </c:pt>
                <c:pt idx="172">
                  <c:v>39.997999999999998</c:v>
                </c:pt>
                <c:pt idx="173">
                  <c:v>40.003</c:v>
                </c:pt>
                <c:pt idx="174">
                  <c:v>39.999000000000002</c:v>
                </c:pt>
                <c:pt idx="175">
                  <c:v>39.997999999999998</c:v>
                </c:pt>
                <c:pt idx="176">
                  <c:v>39.997999999999998</c:v>
                </c:pt>
                <c:pt idx="177">
                  <c:v>40.000999999999998</c:v>
                </c:pt>
                <c:pt idx="178">
                  <c:v>40</c:v>
                </c:pt>
                <c:pt idx="179">
                  <c:v>40</c:v>
                </c:pt>
                <c:pt idx="180">
                  <c:v>40.000999999999998</c:v>
                </c:pt>
                <c:pt idx="181">
                  <c:v>40.000999999999998</c:v>
                </c:pt>
                <c:pt idx="182">
                  <c:v>40.002000000000002</c:v>
                </c:pt>
                <c:pt idx="183">
                  <c:v>40.000999999999998</c:v>
                </c:pt>
                <c:pt idx="184">
                  <c:v>40.000999999999998</c:v>
                </c:pt>
                <c:pt idx="185">
                  <c:v>39.997</c:v>
                </c:pt>
                <c:pt idx="186">
                  <c:v>40.002000000000002</c:v>
                </c:pt>
                <c:pt idx="187">
                  <c:v>40.002000000000002</c:v>
                </c:pt>
                <c:pt idx="188">
                  <c:v>40</c:v>
                </c:pt>
                <c:pt idx="189">
                  <c:v>40.000999999999998</c:v>
                </c:pt>
                <c:pt idx="190">
                  <c:v>40</c:v>
                </c:pt>
                <c:pt idx="191">
                  <c:v>40.003</c:v>
                </c:pt>
                <c:pt idx="192">
                  <c:v>40.000999999999998</c:v>
                </c:pt>
                <c:pt idx="193">
                  <c:v>40.003</c:v>
                </c:pt>
                <c:pt idx="194">
                  <c:v>39.999000000000002</c:v>
                </c:pt>
                <c:pt idx="195">
                  <c:v>40</c:v>
                </c:pt>
                <c:pt idx="196">
                  <c:v>39.999000000000002</c:v>
                </c:pt>
                <c:pt idx="197">
                  <c:v>39.999000000000002</c:v>
                </c:pt>
                <c:pt idx="198">
                  <c:v>39.997999999999998</c:v>
                </c:pt>
                <c:pt idx="199">
                  <c:v>40.003999999999998</c:v>
                </c:pt>
                <c:pt idx="200">
                  <c:v>39.997999999999998</c:v>
                </c:pt>
                <c:pt idx="201">
                  <c:v>39.999000000000002</c:v>
                </c:pt>
                <c:pt idx="202">
                  <c:v>40.002000000000002</c:v>
                </c:pt>
                <c:pt idx="203">
                  <c:v>40.000999999999998</c:v>
                </c:pt>
                <c:pt idx="204">
                  <c:v>40.000999999999998</c:v>
                </c:pt>
                <c:pt idx="205">
                  <c:v>40.002000000000002</c:v>
                </c:pt>
                <c:pt idx="206">
                  <c:v>39.997999999999998</c:v>
                </c:pt>
                <c:pt idx="207">
                  <c:v>40.003999999999998</c:v>
                </c:pt>
                <c:pt idx="208">
                  <c:v>40.002000000000002</c:v>
                </c:pt>
                <c:pt idx="209">
                  <c:v>40</c:v>
                </c:pt>
                <c:pt idx="210">
                  <c:v>40.000999999999998</c:v>
                </c:pt>
                <c:pt idx="211">
                  <c:v>40.000999999999998</c:v>
                </c:pt>
                <c:pt idx="212">
                  <c:v>39.999000000000002</c:v>
                </c:pt>
                <c:pt idx="213">
                  <c:v>40.000999999999998</c:v>
                </c:pt>
                <c:pt idx="214">
                  <c:v>40.000999999999998</c:v>
                </c:pt>
                <c:pt idx="215">
                  <c:v>40</c:v>
                </c:pt>
                <c:pt idx="216">
                  <c:v>39.999000000000002</c:v>
                </c:pt>
                <c:pt idx="217">
                  <c:v>39.996000000000002</c:v>
                </c:pt>
                <c:pt idx="218">
                  <c:v>39.999000000000002</c:v>
                </c:pt>
                <c:pt idx="219">
                  <c:v>39.999000000000002</c:v>
                </c:pt>
                <c:pt idx="220">
                  <c:v>39.999000000000002</c:v>
                </c:pt>
                <c:pt idx="221">
                  <c:v>40.002000000000002</c:v>
                </c:pt>
                <c:pt idx="222">
                  <c:v>40.002000000000002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39.999000000000002</c:v>
                </c:pt>
                <c:pt idx="227">
                  <c:v>40.000999999999998</c:v>
                </c:pt>
                <c:pt idx="228">
                  <c:v>40.000999999999998</c:v>
                </c:pt>
                <c:pt idx="229">
                  <c:v>40.000999999999998</c:v>
                </c:pt>
                <c:pt idx="230">
                  <c:v>40.000999999999998</c:v>
                </c:pt>
                <c:pt idx="231">
                  <c:v>39.997999999999998</c:v>
                </c:pt>
                <c:pt idx="232">
                  <c:v>39.999000000000002</c:v>
                </c:pt>
                <c:pt idx="233">
                  <c:v>40.002000000000002</c:v>
                </c:pt>
                <c:pt idx="234">
                  <c:v>39.999000000000002</c:v>
                </c:pt>
                <c:pt idx="235">
                  <c:v>40</c:v>
                </c:pt>
                <c:pt idx="236">
                  <c:v>40</c:v>
                </c:pt>
                <c:pt idx="237">
                  <c:v>40.002000000000002</c:v>
                </c:pt>
                <c:pt idx="238">
                  <c:v>39.999000000000002</c:v>
                </c:pt>
                <c:pt idx="239">
                  <c:v>40.002000000000002</c:v>
                </c:pt>
                <c:pt idx="240">
                  <c:v>40.002000000000002</c:v>
                </c:pt>
                <c:pt idx="241">
                  <c:v>40.000999999999998</c:v>
                </c:pt>
                <c:pt idx="242">
                  <c:v>40</c:v>
                </c:pt>
                <c:pt idx="243">
                  <c:v>40</c:v>
                </c:pt>
                <c:pt idx="244">
                  <c:v>39.999000000000002</c:v>
                </c:pt>
                <c:pt idx="245">
                  <c:v>40.002000000000002</c:v>
                </c:pt>
                <c:pt idx="246">
                  <c:v>40.000999999999998</c:v>
                </c:pt>
                <c:pt idx="247">
                  <c:v>39.999000000000002</c:v>
                </c:pt>
                <c:pt idx="248">
                  <c:v>40.000999999999998</c:v>
                </c:pt>
                <c:pt idx="249">
                  <c:v>40.002000000000002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9E-434E-86D5-B12FE4F03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368928"/>
        <c:axId val="1895158128"/>
      </c:scatterChart>
      <c:valAx>
        <c:axId val="94436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95158128"/>
        <c:crosses val="autoZero"/>
        <c:crossBetween val="midCat"/>
      </c:valAx>
      <c:valAx>
        <c:axId val="1895158128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36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FLL 40-50M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'FLL Transition'!$T$2:$T$3</c:f>
              <c:strCache>
                <c:ptCount val="2"/>
                <c:pt idx="0">
                  <c:v>FLL Transition  (40 -&gt; 50MHz) (FLT_GAIN, ERROR_RANGE)</c:v>
                </c:pt>
                <c:pt idx="1">
                  <c:v>(0, 0)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Transition'!$T$4:$T$253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40</c:v>
                </c:pt>
                <c:pt idx="2">
                  <c:v>39.999000000000002</c:v>
                </c:pt>
                <c:pt idx="3">
                  <c:v>40.003999999999998</c:v>
                </c:pt>
                <c:pt idx="4">
                  <c:v>40</c:v>
                </c:pt>
                <c:pt idx="5">
                  <c:v>40.002000000000002</c:v>
                </c:pt>
                <c:pt idx="6">
                  <c:v>40</c:v>
                </c:pt>
                <c:pt idx="7">
                  <c:v>40.283000000000001</c:v>
                </c:pt>
                <c:pt idx="8">
                  <c:v>42.103000000000002</c:v>
                </c:pt>
                <c:pt idx="9">
                  <c:v>42.103999999999999</c:v>
                </c:pt>
                <c:pt idx="10">
                  <c:v>42.104999999999997</c:v>
                </c:pt>
                <c:pt idx="11">
                  <c:v>42.103000000000002</c:v>
                </c:pt>
                <c:pt idx="12">
                  <c:v>42.103000000000002</c:v>
                </c:pt>
                <c:pt idx="13">
                  <c:v>42.106000000000002</c:v>
                </c:pt>
                <c:pt idx="14">
                  <c:v>42.103000000000002</c:v>
                </c:pt>
                <c:pt idx="15">
                  <c:v>42.103000000000002</c:v>
                </c:pt>
                <c:pt idx="16">
                  <c:v>42.103999999999999</c:v>
                </c:pt>
                <c:pt idx="17">
                  <c:v>42.100999999999999</c:v>
                </c:pt>
                <c:pt idx="18">
                  <c:v>42.104999999999997</c:v>
                </c:pt>
                <c:pt idx="19">
                  <c:v>42.789000000000001</c:v>
                </c:pt>
                <c:pt idx="20">
                  <c:v>44.293999999999997</c:v>
                </c:pt>
                <c:pt idx="21">
                  <c:v>44.289000000000001</c:v>
                </c:pt>
                <c:pt idx="22">
                  <c:v>44.287999999999997</c:v>
                </c:pt>
                <c:pt idx="23">
                  <c:v>44.287999999999997</c:v>
                </c:pt>
                <c:pt idx="24">
                  <c:v>44.29</c:v>
                </c:pt>
                <c:pt idx="25">
                  <c:v>44.287999999999997</c:v>
                </c:pt>
                <c:pt idx="26">
                  <c:v>44.292999999999999</c:v>
                </c:pt>
                <c:pt idx="27">
                  <c:v>44.292000000000002</c:v>
                </c:pt>
                <c:pt idx="28">
                  <c:v>44.29</c:v>
                </c:pt>
                <c:pt idx="29">
                  <c:v>44.287999999999997</c:v>
                </c:pt>
                <c:pt idx="30">
                  <c:v>44.289000000000001</c:v>
                </c:pt>
                <c:pt idx="31">
                  <c:v>44.286000000000001</c:v>
                </c:pt>
                <c:pt idx="32">
                  <c:v>45.878999999999998</c:v>
                </c:pt>
                <c:pt idx="33">
                  <c:v>45.893999999999998</c:v>
                </c:pt>
                <c:pt idx="34">
                  <c:v>45.892000000000003</c:v>
                </c:pt>
                <c:pt idx="35">
                  <c:v>45.892000000000003</c:v>
                </c:pt>
                <c:pt idx="36">
                  <c:v>45.892000000000003</c:v>
                </c:pt>
                <c:pt idx="37">
                  <c:v>45.893999999999998</c:v>
                </c:pt>
                <c:pt idx="38">
                  <c:v>45.893999999999998</c:v>
                </c:pt>
                <c:pt idx="39">
                  <c:v>45.898000000000003</c:v>
                </c:pt>
                <c:pt idx="40">
                  <c:v>45.896000000000001</c:v>
                </c:pt>
                <c:pt idx="41">
                  <c:v>45.892000000000003</c:v>
                </c:pt>
                <c:pt idx="42">
                  <c:v>45.893999999999998</c:v>
                </c:pt>
                <c:pt idx="43">
                  <c:v>45.896000000000001</c:v>
                </c:pt>
                <c:pt idx="44">
                  <c:v>45.893999999999998</c:v>
                </c:pt>
                <c:pt idx="45">
                  <c:v>46.787999999999997</c:v>
                </c:pt>
                <c:pt idx="46">
                  <c:v>47.091000000000001</c:v>
                </c:pt>
                <c:pt idx="47">
                  <c:v>47.094000000000001</c:v>
                </c:pt>
                <c:pt idx="48">
                  <c:v>47.091000000000001</c:v>
                </c:pt>
                <c:pt idx="49">
                  <c:v>47.091000000000001</c:v>
                </c:pt>
                <c:pt idx="50">
                  <c:v>47.088999999999999</c:v>
                </c:pt>
                <c:pt idx="51">
                  <c:v>47.088000000000001</c:v>
                </c:pt>
                <c:pt idx="52">
                  <c:v>47.088999999999999</c:v>
                </c:pt>
                <c:pt idx="53">
                  <c:v>47.088999999999999</c:v>
                </c:pt>
                <c:pt idx="54">
                  <c:v>47.088999999999999</c:v>
                </c:pt>
                <c:pt idx="55">
                  <c:v>47.091000000000001</c:v>
                </c:pt>
                <c:pt idx="56">
                  <c:v>47.088000000000001</c:v>
                </c:pt>
                <c:pt idx="57">
                  <c:v>47.091999999999999</c:v>
                </c:pt>
                <c:pt idx="58">
                  <c:v>47.088999999999999</c:v>
                </c:pt>
                <c:pt idx="59">
                  <c:v>47.966000000000001</c:v>
                </c:pt>
                <c:pt idx="60">
                  <c:v>47.959000000000003</c:v>
                </c:pt>
                <c:pt idx="61">
                  <c:v>47.960999999999999</c:v>
                </c:pt>
                <c:pt idx="62">
                  <c:v>47.959000000000003</c:v>
                </c:pt>
                <c:pt idx="63">
                  <c:v>47.959000000000003</c:v>
                </c:pt>
                <c:pt idx="64">
                  <c:v>47.959000000000003</c:v>
                </c:pt>
                <c:pt idx="65">
                  <c:v>47.959000000000003</c:v>
                </c:pt>
                <c:pt idx="66">
                  <c:v>47.960999999999999</c:v>
                </c:pt>
                <c:pt idx="67">
                  <c:v>47.960999999999999</c:v>
                </c:pt>
                <c:pt idx="68">
                  <c:v>47.959000000000003</c:v>
                </c:pt>
                <c:pt idx="69">
                  <c:v>47.959000000000003</c:v>
                </c:pt>
                <c:pt idx="70">
                  <c:v>47.963000000000001</c:v>
                </c:pt>
                <c:pt idx="71">
                  <c:v>47.960999999999999</c:v>
                </c:pt>
                <c:pt idx="72">
                  <c:v>47.959000000000003</c:v>
                </c:pt>
                <c:pt idx="73">
                  <c:v>48.588000000000001</c:v>
                </c:pt>
                <c:pt idx="74">
                  <c:v>48.587000000000003</c:v>
                </c:pt>
                <c:pt idx="75">
                  <c:v>48.587000000000003</c:v>
                </c:pt>
                <c:pt idx="76">
                  <c:v>48.591999999999999</c:v>
                </c:pt>
                <c:pt idx="77">
                  <c:v>48.585000000000001</c:v>
                </c:pt>
                <c:pt idx="78">
                  <c:v>48.587000000000003</c:v>
                </c:pt>
                <c:pt idx="79">
                  <c:v>48.588000000000001</c:v>
                </c:pt>
                <c:pt idx="80">
                  <c:v>48.588000000000001</c:v>
                </c:pt>
                <c:pt idx="81">
                  <c:v>48.584000000000003</c:v>
                </c:pt>
                <c:pt idx="82">
                  <c:v>48.587000000000003</c:v>
                </c:pt>
                <c:pt idx="83">
                  <c:v>48.587000000000003</c:v>
                </c:pt>
                <c:pt idx="84">
                  <c:v>48.587000000000003</c:v>
                </c:pt>
                <c:pt idx="85">
                  <c:v>48.59</c:v>
                </c:pt>
                <c:pt idx="86">
                  <c:v>48.585000000000001</c:v>
                </c:pt>
                <c:pt idx="87">
                  <c:v>49.027999999999999</c:v>
                </c:pt>
                <c:pt idx="88">
                  <c:v>49.026000000000003</c:v>
                </c:pt>
                <c:pt idx="89">
                  <c:v>49.024999999999999</c:v>
                </c:pt>
                <c:pt idx="90">
                  <c:v>49.021000000000001</c:v>
                </c:pt>
                <c:pt idx="91">
                  <c:v>49.026000000000003</c:v>
                </c:pt>
                <c:pt idx="92">
                  <c:v>49.024999999999999</c:v>
                </c:pt>
                <c:pt idx="93">
                  <c:v>49.023000000000003</c:v>
                </c:pt>
                <c:pt idx="94">
                  <c:v>49.021000000000001</c:v>
                </c:pt>
                <c:pt idx="95">
                  <c:v>49.023000000000003</c:v>
                </c:pt>
                <c:pt idx="96">
                  <c:v>49.023000000000003</c:v>
                </c:pt>
                <c:pt idx="97">
                  <c:v>49.023000000000003</c:v>
                </c:pt>
                <c:pt idx="98">
                  <c:v>49.023000000000003</c:v>
                </c:pt>
                <c:pt idx="99">
                  <c:v>49.021000000000001</c:v>
                </c:pt>
                <c:pt idx="100">
                  <c:v>49.026000000000003</c:v>
                </c:pt>
                <c:pt idx="101">
                  <c:v>49.317999999999998</c:v>
                </c:pt>
                <c:pt idx="102">
                  <c:v>49.32</c:v>
                </c:pt>
                <c:pt idx="103">
                  <c:v>49.320999999999998</c:v>
                </c:pt>
                <c:pt idx="104">
                  <c:v>49.320999999999998</c:v>
                </c:pt>
                <c:pt idx="105">
                  <c:v>49.325000000000003</c:v>
                </c:pt>
                <c:pt idx="106">
                  <c:v>49.323</c:v>
                </c:pt>
                <c:pt idx="107">
                  <c:v>49.326000000000001</c:v>
                </c:pt>
                <c:pt idx="108">
                  <c:v>49.320999999999998</c:v>
                </c:pt>
                <c:pt idx="109">
                  <c:v>49.325000000000003</c:v>
                </c:pt>
                <c:pt idx="110">
                  <c:v>49.326000000000001</c:v>
                </c:pt>
                <c:pt idx="111">
                  <c:v>49.323</c:v>
                </c:pt>
                <c:pt idx="112">
                  <c:v>49.325000000000003</c:v>
                </c:pt>
                <c:pt idx="113">
                  <c:v>49.32</c:v>
                </c:pt>
                <c:pt idx="114">
                  <c:v>49.317999999999998</c:v>
                </c:pt>
                <c:pt idx="115">
                  <c:v>49.503</c:v>
                </c:pt>
                <c:pt idx="116">
                  <c:v>49.534999999999997</c:v>
                </c:pt>
                <c:pt idx="117">
                  <c:v>49.533000000000001</c:v>
                </c:pt>
                <c:pt idx="118">
                  <c:v>49.533000000000001</c:v>
                </c:pt>
                <c:pt idx="119">
                  <c:v>49.533000000000001</c:v>
                </c:pt>
                <c:pt idx="120">
                  <c:v>49.536999999999999</c:v>
                </c:pt>
                <c:pt idx="121">
                  <c:v>49.533000000000001</c:v>
                </c:pt>
                <c:pt idx="122">
                  <c:v>49.533000000000001</c:v>
                </c:pt>
                <c:pt idx="123">
                  <c:v>49.533000000000001</c:v>
                </c:pt>
                <c:pt idx="124">
                  <c:v>49.534999999999997</c:v>
                </c:pt>
                <c:pt idx="125">
                  <c:v>49.534999999999997</c:v>
                </c:pt>
                <c:pt idx="126">
                  <c:v>49.534999999999997</c:v>
                </c:pt>
                <c:pt idx="127">
                  <c:v>49.531999999999996</c:v>
                </c:pt>
                <c:pt idx="128">
                  <c:v>49.536999999999999</c:v>
                </c:pt>
                <c:pt idx="129">
                  <c:v>49.572000000000003</c:v>
                </c:pt>
                <c:pt idx="130">
                  <c:v>49.677</c:v>
                </c:pt>
                <c:pt idx="131">
                  <c:v>49.679000000000002</c:v>
                </c:pt>
                <c:pt idx="132">
                  <c:v>49.68</c:v>
                </c:pt>
                <c:pt idx="133">
                  <c:v>49.683999999999997</c:v>
                </c:pt>
                <c:pt idx="134">
                  <c:v>49.68</c:v>
                </c:pt>
                <c:pt idx="135">
                  <c:v>49.677</c:v>
                </c:pt>
                <c:pt idx="136">
                  <c:v>49.682000000000002</c:v>
                </c:pt>
                <c:pt idx="137">
                  <c:v>49.682000000000002</c:v>
                </c:pt>
                <c:pt idx="138">
                  <c:v>49.682000000000002</c:v>
                </c:pt>
                <c:pt idx="139">
                  <c:v>49.68</c:v>
                </c:pt>
                <c:pt idx="140">
                  <c:v>49.679000000000002</c:v>
                </c:pt>
                <c:pt idx="141">
                  <c:v>49.682000000000002</c:v>
                </c:pt>
                <c:pt idx="142">
                  <c:v>49.68</c:v>
                </c:pt>
                <c:pt idx="143">
                  <c:v>49.701999999999998</c:v>
                </c:pt>
                <c:pt idx="144">
                  <c:v>49.779000000000003</c:v>
                </c:pt>
                <c:pt idx="145">
                  <c:v>49.777999999999999</c:v>
                </c:pt>
                <c:pt idx="146">
                  <c:v>49.779000000000003</c:v>
                </c:pt>
                <c:pt idx="147">
                  <c:v>49.779000000000003</c:v>
                </c:pt>
                <c:pt idx="148">
                  <c:v>49.777999999999999</c:v>
                </c:pt>
                <c:pt idx="149">
                  <c:v>49.780999999999999</c:v>
                </c:pt>
                <c:pt idx="150">
                  <c:v>49.777999999999999</c:v>
                </c:pt>
                <c:pt idx="151">
                  <c:v>49.777999999999999</c:v>
                </c:pt>
                <c:pt idx="152">
                  <c:v>49.780999999999999</c:v>
                </c:pt>
                <c:pt idx="153">
                  <c:v>49.777999999999999</c:v>
                </c:pt>
                <c:pt idx="154">
                  <c:v>49.777999999999999</c:v>
                </c:pt>
                <c:pt idx="155">
                  <c:v>49.780999999999999</c:v>
                </c:pt>
                <c:pt idx="156">
                  <c:v>49.780999999999999</c:v>
                </c:pt>
                <c:pt idx="157">
                  <c:v>49.787999999999997</c:v>
                </c:pt>
                <c:pt idx="158">
                  <c:v>49.85</c:v>
                </c:pt>
                <c:pt idx="159">
                  <c:v>49.847999999999999</c:v>
                </c:pt>
                <c:pt idx="160">
                  <c:v>49.847999999999999</c:v>
                </c:pt>
                <c:pt idx="161">
                  <c:v>49.847999999999999</c:v>
                </c:pt>
                <c:pt idx="162">
                  <c:v>49.847999999999999</c:v>
                </c:pt>
                <c:pt idx="163">
                  <c:v>49.847999999999999</c:v>
                </c:pt>
                <c:pt idx="164">
                  <c:v>49.847999999999999</c:v>
                </c:pt>
                <c:pt idx="165">
                  <c:v>49.847999999999999</c:v>
                </c:pt>
                <c:pt idx="166">
                  <c:v>49.847000000000001</c:v>
                </c:pt>
                <c:pt idx="167">
                  <c:v>49.85</c:v>
                </c:pt>
                <c:pt idx="168">
                  <c:v>49.847000000000001</c:v>
                </c:pt>
                <c:pt idx="169">
                  <c:v>49.85</c:v>
                </c:pt>
                <c:pt idx="170">
                  <c:v>49.847000000000001</c:v>
                </c:pt>
                <c:pt idx="171">
                  <c:v>49.853000000000002</c:v>
                </c:pt>
                <c:pt idx="172">
                  <c:v>49.896999999999998</c:v>
                </c:pt>
                <c:pt idx="173">
                  <c:v>49.895000000000003</c:v>
                </c:pt>
                <c:pt idx="174">
                  <c:v>49.895000000000003</c:v>
                </c:pt>
                <c:pt idx="175">
                  <c:v>49.895000000000003</c:v>
                </c:pt>
                <c:pt idx="176">
                  <c:v>49.896999999999998</c:v>
                </c:pt>
                <c:pt idx="177">
                  <c:v>49.893999999999998</c:v>
                </c:pt>
                <c:pt idx="178">
                  <c:v>49.896999999999998</c:v>
                </c:pt>
                <c:pt idx="179">
                  <c:v>49.893999999999998</c:v>
                </c:pt>
                <c:pt idx="180">
                  <c:v>49.893999999999998</c:v>
                </c:pt>
                <c:pt idx="181">
                  <c:v>49.899000000000001</c:v>
                </c:pt>
                <c:pt idx="182">
                  <c:v>49.896999999999998</c:v>
                </c:pt>
                <c:pt idx="183">
                  <c:v>49.899000000000001</c:v>
                </c:pt>
                <c:pt idx="184">
                  <c:v>49.892000000000003</c:v>
                </c:pt>
                <c:pt idx="185">
                  <c:v>49.892000000000003</c:v>
                </c:pt>
                <c:pt idx="186">
                  <c:v>49.927999999999997</c:v>
                </c:pt>
                <c:pt idx="187">
                  <c:v>49.927999999999997</c:v>
                </c:pt>
                <c:pt idx="188">
                  <c:v>49.930999999999997</c:v>
                </c:pt>
                <c:pt idx="189">
                  <c:v>49.927999999999997</c:v>
                </c:pt>
                <c:pt idx="190">
                  <c:v>49.933999999999997</c:v>
                </c:pt>
                <c:pt idx="191">
                  <c:v>49.929000000000002</c:v>
                </c:pt>
                <c:pt idx="192">
                  <c:v>49.929000000000002</c:v>
                </c:pt>
                <c:pt idx="193">
                  <c:v>49.929000000000002</c:v>
                </c:pt>
                <c:pt idx="194">
                  <c:v>49.926000000000002</c:v>
                </c:pt>
                <c:pt idx="195">
                  <c:v>49.930999999999997</c:v>
                </c:pt>
                <c:pt idx="196">
                  <c:v>49.930999999999997</c:v>
                </c:pt>
                <c:pt idx="197">
                  <c:v>49.927999999999997</c:v>
                </c:pt>
                <c:pt idx="198">
                  <c:v>49.929000000000002</c:v>
                </c:pt>
                <c:pt idx="199">
                  <c:v>49.930999999999997</c:v>
                </c:pt>
                <c:pt idx="200">
                  <c:v>49.951000000000001</c:v>
                </c:pt>
                <c:pt idx="201">
                  <c:v>49.953000000000003</c:v>
                </c:pt>
                <c:pt idx="202">
                  <c:v>49.948</c:v>
                </c:pt>
                <c:pt idx="203">
                  <c:v>49.95</c:v>
                </c:pt>
                <c:pt idx="204">
                  <c:v>49.951000000000001</c:v>
                </c:pt>
                <c:pt idx="205">
                  <c:v>49.95</c:v>
                </c:pt>
                <c:pt idx="206">
                  <c:v>49.953000000000003</c:v>
                </c:pt>
                <c:pt idx="207">
                  <c:v>49.95</c:v>
                </c:pt>
                <c:pt idx="208">
                  <c:v>49.948</c:v>
                </c:pt>
                <c:pt idx="209">
                  <c:v>49.942999999999998</c:v>
                </c:pt>
                <c:pt idx="210">
                  <c:v>49.948</c:v>
                </c:pt>
                <c:pt idx="211">
                  <c:v>49.951000000000001</c:v>
                </c:pt>
                <c:pt idx="212">
                  <c:v>49.95</c:v>
                </c:pt>
                <c:pt idx="213">
                  <c:v>49.95</c:v>
                </c:pt>
                <c:pt idx="214">
                  <c:v>49.966000000000001</c:v>
                </c:pt>
                <c:pt idx="215">
                  <c:v>49.963000000000001</c:v>
                </c:pt>
                <c:pt idx="216">
                  <c:v>49.960999999999999</c:v>
                </c:pt>
                <c:pt idx="217">
                  <c:v>49.966000000000001</c:v>
                </c:pt>
                <c:pt idx="218">
                  <c:v>49.965000000000003</c:v>
                </c:pt>
                <c:pt idx="219">
                  <c:v>49.963000000000001</c:v>
                </c:pt>
                <c:pt idx="220">
                  <c:v>49.965000000000003</c:v>
                </c:pt>
                <c:pt idx="221">
                  <c:v>49.963000000000001</c:v>
                </c:pt>
                <c:pt idx="222">
                  <c:v>49.963000000000001</c:v>
                </c:pt>
                <c:pt idx="223">
                  <c:v>49.963000000000001</c:v>
                </c:pt>
                <c:pt idx="224">
                  <c:v>49.97</c:v>
                </c:pt>
                <c:pt idx="225">
                  <c:v>49.966000000000001</c:v>
                </c:pt>
                <c:pt idx="226">
                  <c:v>49.963000000000001</c:v>
                </c:pt>
                <c:pt idx="227">
                  <c:v>49.968000000000004</c:v>
                </c:pt>
                <c:pt idx="228">
                  <c:v>49.978000000000002</c:v>
                </c:pt>
                <c:pt idx="229">
                  <c:v>49.976999999999997</c:v>
                </c:pt>
                <c:pt idx="230">
                  <c:v>49.976999999999997</c:v>
                </c:pt>
                <c:pt idx="231">
                  <c:v>49.978000000000002</c:v>
                </c:pt>
                <c:pt idx="232">
                  <c:v>49.976999999999997</c:v>
                </c:pt>
                <c:pt idx="233">
                  <c:v>49.978000000000002</c:v>
                </c:pt>
                <c:pt idx="234">
                  <c:v>49.978000000000002</c:v>
                </c:pt>
                <c:pt idx="235">
                  <c:v>49.975000000000001</c:v>
                </c:pt>
                <c:pt idx="236">
                  <c:v>49.972999999999999</c:v>
                </c:pt>
                <c:pt idx="237">
                  <c:v>49.976999999999997</c:v>
                </c:pt>
                <c:pt idx="238">
                  <c:v>49.978000000000002</c:v>
                </c:pt>
                <c:pt idx="239">
                  <c:v>49.975000000000001</c:v>
                </c:pt>
                <c:pt idx="240">
                  <c:v>49.98</c:v>
                </c:pt>
                <c:pt idx="241">
                  <c:v>49.978000000000002</c:v>
                </c:pt>
                <c:pt idx="242">
                  <c:v>49.984999999999999</c:v>
                </c:pt>
                <c:pt idx="243">
                  <c:v>49.987000000000002</c:v>
                </c:pt>
                <c:pt idx="244">
                  <c:v>49.98</c:v>
                </c:pt>
                <c:pt idx="245">
                  <c:v>49.982999999999997</c:v>
                </c:pt>
                <c:pt idx="246">
                  <c:v>49.981999999999999</c:v>
                </c:pt>
                <c:pt idx="247">
                  <c:v>49.982999999999997</c:v>
                </c:pt>
                <c:pt idx="248">
                  <c:v>49.984999999999999</c:v>
                </c:pt>
                <c:pt idx="249">
                  <c:v>49.98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E-4DDB-B48C-7EADBE27AF23}"/>
            </c:ext>
          </c:extLst>
        </c:ser>
        <c:ser>
          <c:idx val="1"/>
          <c:order val="1"/>
          <c:tx>
            <c:strRef>
              <c:f>'FLL Transition'!$U$2:$U$3</c:f>
              <c:strCache>
                <c:ptCount val="2"/>
                <c:pt idx="0">
                  <c:v>FLL Transition  (40 -&gt; 50MHz) (FLT_GAIN, ERROR_RANGE)</c:v>
                </c:pt>
                <c:pt idx="1">
                  <c:v>(0, 3)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Transition'!$U$4:$U$253</c:f>
              <c:numCache>
                <c:formatCode>General</c:formatCode>
                <c:ptCount val="250"/>
                <c:pt idx="0">
                  <c:v>40</c:v>
                </c:pt>
                <c:pt idx="1">
                  <c:v>40</c:v>
                </c:pt>
                <c:pt idx="2">
                  <c:v>40.002000000000002</c:v>
                </c:pt>
                <c:pt idx="3">
                  <c:v>40</c:v>
                </c:pt>
                <c:pt idx="4">
                  <c:v>39.996000000000002</c:v>
                </c:pt>
                <c:pt idx="5">
                  <c:v>40</c:v>
                </c:pt>
                <c:pt idx="6">
                  <c:v>40.000999999999998</c:v>
                </c:pt>
                <c:pt idx="7">
                  <c:v>39.997999999999998</c:v>
                </c:pt>
                <c:pt idx="8">
                  <c:v>42.097999999999999</c:v>
                </c:pt>
                <c:pt idx="9">
                  <c:v>42.097999999999999</c:v>
                </c:pt>
                <c:pt idx="10">
                  <c:v>42.098999999999997</c:v>
                </c:pt>
                <c:pt idx="11">
                  <c:v>42.098999999999997</c:v>
                </c:pt>
                <c:pt idx="12">
                  <c:v>42.103000000000002</c:v>
                </c:pt>
                <c:pt idx="13">
                  <c:v>42.098999999999997</c:v>
                </c:pt>
                <c:pt idx="14">
                  <c:v>42.097999999999999</c:v>
                </c:pt>
                <c:pt idx="15">
                  <c:v>42.097999999999999</c:v>
                </c:pt>
                <c:pt idx="16">
                  <c:v>42.094999999999999</c:v>
                </c:pt>
                <c:pt idx="17">
                  <c:v>42.1</c:v>
                </c:pt>
                <c:pt idx="18">
                  <c:v>42.097999999999999</c:v>
                </c:pt>
                <c:pt idx="19">
                  <c:v>42.779000000000003</c:v>
                </c:pt>
                <c:pt idx="20">
                  <c:v>44.280999999999999</c:v>
                </c:pt>
                <c:pt idx="21">
                  <c:v>44.280999999999999</c:v>
                </c:pt>
                <c:pt idx="22">
                  <c:v>44.28</c:v>
                </c:pt>
                <c:pt idx="23">
                  <c:v>44.280999999999999</c:v>
                </c:pt>
                <c:pt idx="24">
                  <c:v>44.280999999999999</c:v>
                </c:pt>
                <c:pt idx="25">
                  <c:v>44.280999999999999</c:v>
                </c:pt>
                <c:pt idx="26">
                  <c:v>44.277999999999999</c:v>
                </c:pt>
                <c:pt idx="27">
                  <c:v>44.281999999999996</c:v>
                </c:pt>
                <c:pt idx="28">
                  <c:v>44.28</c:v>
                </c:pt>
                <c:pt idx="29">
                  <c:v>44.280999999999999</c:v>
                </c:pt>
                <c:pt idx="30">
                  <c:v>44.277000000000001</c:v>
                </c:pt>
                <c:pt idx="31">
                  <c:v>44.280999999999999</c:v>
                </c:pt>
                <c:pt idx="32">
                  <c:v>45.874000000000002</c:v>
                </c:pt>
                <c:pt idx="33">
                  <c:v>45.887999999999998</c:v>
                </c:pt>
                <c:pt idx="34">
                  <c:v>45.887999999999998</c:v>
                </c:pt>
                <c:pt idx="35">
                  <c:v>45.887999999999998</c:v>
                </c:pt>
                <c:pt idx="36">
                  <c:v>45.886000000000003</c:v>
                </c:pt>
                <c:pt idx="37">
                  <c:v>45.884999999999998</c:v>
                </c:pt>
                <c:pt idx="38">
                  <c:v>45.884</c:v>
                </c:pt>
                <c:pt idx="39">
                  <c:v>45.886000000000003</c:v>
                </c:pt>
                <c:pt idx="40">
                  <c:v>45.884999999999998</c:v>
                </c:pt>
                <c:pt idx="41">
                  <c:v>45.886000000000003</c:v>
                </c:pt>
                <c:pt idx="42">
                  <c:v>45.886000000000003</c:v>
                </c:pt>
                <c:pt idx="43">
                  <c:v>45.884999999999998</c:v>
                </c:pt>
                <c:pt idx="44">
                  <c:v>45.892000000000003</c:v>
                </c:pt>
                <c:pt idx="45">
                  <c:v>46.789000000000001</c:v>
                </c:pt>
                <c:pt idx="46">
                  <c:v>47.082999999999998</c:v>
                </c:pt>
                <c:pt idx="47">
                  <c:v>47.085000000000001</c:v>
                </c:pt>
                <c:pt idx="48">
                  <c:v>47.085999999999999</c:v>
                </c:pt>
                <c:pt idx="49">
                  <c:v>47.085999999999999</c:v>
                </c:pt>
                <c:pt idx="50">
                  <c:v>47.085999999999999</c:v>
                </c:pt>
                <c:pt idx="51">
                  <c:v>47.085000000000001</c:v>
                </c:pt>
                <c:pt idx="52">
                  <c:v>47.082999999999998</c:v>
                </c:pt>
                <c:pt idx="53">
                  <c:v>47.085999999999999</c:v>
                </c:pt>
                <c:pt idx="54">
                  <c:v>47.085999999999999</c:v>
                </c:pt>
                <c:pt idx="55">
                  <c:v>47.085000000000001</c:v>
                </c:pt>
                <c:pt idx="56">
                  <c:v>47.085000000000001</c:v>
                </c:pt>
                <c:pt idx="57">
                  <c:v>47.085999999999999</c:v>
                </c:pt>
                <c:pt idx="58">
                  <c:v>47.088000000000001</c:v>
                </c:pt>
                <c:pt idx="59">
                  <c:v>47.956000000000003</c:v>
                </c:pt>
                <c:pt idx="60">
                  <c:v>47.956000000000003</c:v>
                </c:pt>
                <c:pt idx="61">
                  <c:v>47.959000000000003</c:v>
                </c:pt>
                <c:pt idx="62">
                  <c:v>47.954999999999998</c:v>
                </c:pt>
                <c:pt idx="63">
                  <c:v>47.956000000000003</c:v>
                </c:pt>
                <c:pt idx="64">
                  <c:v>47.959000000000003</c:v>
                </c:pt>
                <c:pt idx="65">
                  <c:v>47.959000000000003</c:v>
                </c:pt>
                <c:pt idx="66">
                  <c:v>47.957999999999998</c:v>
                </c:pt>
                <c:pt idx="67">
                  <c:v>47.957999999999998</c:v>
                </c:pt>
                <c:pt idx="68">
                  <c:v>47.954999999999998</c:v>
                </c:pt>
                <c:pt idx="69">
                  <c:v>47.960999999999999</c:v>
                </c:pt>
                <c:pt idx="70">
                  <c:v>47.959000000000003</c:v>
                </c:pt>
                <c:pt idx="71">
                  <c:v>47.956000000000003</c:v>
                </c:pt>
                <c:pt idx="72">
                  <c:v>47.956000000000003</c:v>
                </c:pt>
                <c:pt idx="73">
                  <c:v>48.58</c:v>
                </c:pt>
                <c:pt idx="74">
                  <c:v>48.585000000000001</c:v>
                </c:pt>
                <c:pt idx="75">
                  <c:v>48.584000000000003</c:v>
                </c:pt>
                <c:pt idx="76">
                  <c:v>48.58</c:v>
                </c:pt>
                <c:pt idx="77">
                  <c:v>48.582000000000001</c:v>
                </c:pt>
                <c:pt idx="78">
                  <c:v>48.58</c:v>
                </c:pt>
                <c:pt idx="79">
                  <c:v>48.584000000000003</c:v>
                </c:pt>
                <c:pt idx="80">
                  <c:v>48.584000000000003</c:v>
                </c:pt>
                <c:pt idx="81">
                  <c:v>48.587000000000003</c:v>
                </c:pt>
                <c:pt idx="82">
                  <c:v>48.58</c:v>
                </c:pt>
                <c:pt idx="83">
                  <c:v>48.584000000000003</c:v>
                </c:pt>
                <c:pt idx="84">
                  <c:v>48.584000000000003</c:v>
                </c:pt>
                <c:pt idx="85">
                  <c:v>48.587000000000003</c:v>
                </c:pt>
                <c:pt idx="86">
                  <c:v>48.584000000000003</c:v>
                </c:pt>
                <c:pt idx="87">
                  <c:v>49.018000000000001</c:v>
                </c:pt>
                <c:pt idx="88">
                  <c:v>49.023000000000003</c:v>
                </c:pt>
                <c:pt idx="89">
                  <c:v>49.02</c:v>
                </c:pt>
                <c:pt idx="90">
                  <c:v>49.021000000000001</c:v>
                </c:pt>
                <c:pt idx="91">
                  <c:v>49.021000000000001</c:v>
                </c:pt>
                <c:pt idx="92">
                  <c:v>49.021000000000001</c:v>
                </c:pt>
                <c:pt idx="93">
                  <c:v>49.023000000000003</c:v>
                </c:pt>
                <c:pt idx="94">
                  <c:v>49.024999999999999</c:v>
                </c:pt>
                <c:pt idx="95">
                  <c:v>49.02</c:v>
                </c:pt>
                <c:pt idx="96">
                  <c:v>49.023000000000003</c:v>
                </c:pt>
                <c:pt idx="97">
                  <c:v>49.021000000000001</c:v>
                </c:pt>
                <c:pt idx="98">
                  <c:v>49.021000000000001</c:v>
                </c:pt>
                <c:pt idx="99">
                  <c:v>49.021000000000001</c:v>
                </c:pt>
                <c:pt idx="100">
                  <c:v>49.023000000000003</c:v>
                </c:pt>
                <c:pt idx="101">
                  <c:v>49.32</c:v>
                </c:pt>
                <c:pt idx="102">
                  <c:v>49.323</c:v>
                </c:pt>
                <c:pt idx="103">
                  <c:v>49.32</c:v>
                </c:pt>
                <c:pt idx="104">
                  <c:v>49.325000000000003</c:v>
                </c:pt>
                <c:pt idx="105">
                  <c:v>49.320999999999998</c:v>
                </c:pt>
                <c:pt idx="106">
                  <c:v>49.323</c:v>
                </c:pt>
                <c:pt idx="107">
                  <c:v>49.320999999999998</c:v>
                </c:pt>
                <c:pt idx="108">
                  <c:v>49.323</c:v>
                </c:pt>
                <c:pt idx="109">
                  <c:v>49.317999999999998</c:v>
                </c:pt>
                <c:pt idx="110">
                  <c:v>49.325000000000003</c:v>
                </c:pt>
                <c:pt idx="111">
                  <c:v>49.325000000000003</c:v>
                </c:pt>
                <c:pt idx="112">
                  <c:v>49.323</c:v>
                </c:pt>
                <c:pt idx="113">
                  <c:v>49.325000000000003</c:v>
                </c:pt>
                <c:pt idx="114">
                  <c:v>49.320999999999998</c:v>
                </c:pt>
                <c:pt idx="115">
                  <c:v>49.502000000000002</c:v>
                </c:pt>
                <c:pt idx="116">
                  <c:v>49.53</c:v>
                </c:pt>
                <c:pt idx="117">
                  <c:v>49.531999999999996</c:v>
                </c:pt>
                <c:pt idx="118">
                  <c:v>49.527999999999999</c:v>
                </c:pt>
                <c:pt idx="119">
                  <c:v>49.531999999999996</c:v>
                </c:pt>
                <c:pt idx="120">
                  <c:v>49.531999999999996</c:v>
                </c:pt>
                <c:pt idx="121">
                  <c:v>49.534999999999997</c:v>
                </c:pt>
                <c:pt idx="122">
                  <c:v>49.531999999999996</c:v>
                </c:pt>
                <c:pt idx="123">
                  <c:v>49.527000000000001</c:v>
                </c:pt>
                <c:pt idx="124">
                  <c:v>49.527999999999999</c:v>
                </c:pt>
                <c:pt idx="125">
                  <c:v>49.534999999999997</c:v>
                </c:pt>
                <c:pt idx="126">
                  <c:v>49.53</c:v>
                </c:pt>
                <c:pt idx="127">
                  <c:v>49.53</c:v>
                </c:pt>
                <c:pt idx="128">
                  <c:v>49.536999999999999</c:v>
                </c:pt>
                <c:pt idx="129">
                  <c:v>49.572000000000003</c:v>
                </c:pt>
                <c:pt idx="130">
                  <c:v>49.679000000000002</c:v>
                </c:pt>
                <c:pt idx="131">
                  <c:v>49.68</c:v>
                </c:pt>
                <c:pt idx="132">
                  <c:v>49.679000000000002</c:v>
                </c:pt>
                <c:pt idx="133">
                  <c:v>49.679000000000002</c:v>
                </c:pt>
                <c:pt idx="134">
                  <c:v>49.68</c:v>
                </c:pt>
                <c:pt idx="135">
                  <c:v>49.68</c:v>
                </c:pt>
                <c:pt idx="136">
                  <c:v>49.682000000000002</c:v>
                </c:pt>
                <c:pt idx="137">
                  <c:v>49.682000000000002</c:v>
                </c:pt>
                <c:pt idx="138">
                  <c:v>49.677</c:v>
                </c:pt>
                <c:pt idx="139">
                  <c:v>49.673999999999999</c:v>
                </c:pt>
                <c:pt idx="140">
                  <c:v>49.682000000000002</c:v>
                </c:pt>
                <c:pt idx="141">
                  <c:v>49.674999999999997</c:v>
                </c:pt>
                <c:pt idx="142">
                  <c:v>49.677</c:v>
                </c:pt>
                <c:pt idx="143">
                  <c:v>49.7</c:v>
                </c:pt>
                <c:pt idx="144">
                  <c:v>49.776000000000003</c:v>
                </c:pt>
                <c:pt idx="145">
                  <c:v>49.777999999999999</c:v>
                </c:pt>
                <c:pt idx="146">
                  <c:v>49.779000000000003</c:v>
                </c:pt>
                <c:pt idx="147">
                  <c:v>49.776000000000003</c:v>
                </c:pt>
                <c:pt idx="148">
                  <c:v>49.777999999999999</c:v>
                </c:pt>
                <c:pt idx="149">
                  <c:v>49.776000000000003</c:v>
                </c:pt>
                <c:pt idx="150">
                  <c:v>49.776000000000003</c:v>
                </c:pt>
                <c:pt idx="151">
                  <c:v>49.777999999999999</c:v>
                </c:pt>
                <c:pt idx="152">
                  <c:v>49.776000000000003</c:v>
                </c:pt>
                <c:pt idx="153">
                  <c:v>49.777999999999999</c:v>
                </c:pt>
                <c:pt idx="154">
                  <c:v>49.779000000000003</c:v>
                </c:pt>
                <c:pt idx="155">
                  <c:v>49.779000000000003</c:v>
                </c:pt>
                <c:pt idx="156">
                  <c:v>49.776000000000003</c:v>
                </c:pt>
                <c:pt idx="157">
                  <c:v>49.787999999999997</c:v>
                </c:pt>
                <c:pt idx="158">
                  <c:v>49.85</c:v>
                </c:pt>
                <c:pt idx="159">
                  <c:v>49.847000000000001</c:v>
                </c:pt>
                <c:pt idx="160">
                  <c:v>49.847000000000001</c:v>
                </c:pt>
                <c:pt idx="161">
                  <c:v>49.847999999999999</c:v>
                </c:pt>
                <c:pt idx="162">
                  <c:v>49.847999999999999</c:v>
                </c:pt>
                <c:pt idx="163">
                  <c:v>49.847999999999999</c:v>
                </c:pt>
                <c:pt idx="164">
                  <c:v>49.847999999999999</c:v>
                </c:pt>
                <c:pt idx="165">
                  <c:v>49.85</c:v>
                </c:pt>
                <c:pt idx="166">
                  <c:v>49.847999999999999</c:v>
                </c:pt>
                <c:pt idx="167">
                  <c:v>49.85</c:v>
                </c:pt>
                <c:pt idx="168">
                  <c:v>49.844999999999999</c:v>
                </c:pt>
                <c:pt idx="169">
                  <c:v>49.843000000000004</c:v>
                </c:pt>
                <c:pt idx="170">
                  <c:v>49.847000000000001</c:v>
                </c:pt>
                <c:pt idx="171">
                  <c:v>49.851999999999997</c:v>
                </c:pt>
                <c:pt idx="172">
                  <c:v>49.899000000000001</c:v>
                </c:pt>
                <c:pt idx="173">
                  <c:v>49.893999999999998</c:v>
                </c:pt>
                <c:pt idx="174">
                  <c:v>49.893999999999998</c:v>
                </c:pt>
                <c:pt idx="175">
                  <c:v>49.893999999999998</c:v>
                </c:pt>
                <c:pt idx="176">
                  <c:v>49.899000000000001</c:v>
                </c:pt>
                <c:pt idx="177">
                  <c:v>49.893999999999998</c:v>
                </c:pt>
                <c:pt idx="178">
                  <c:v>49.895000000000003</c:v>
                </c:pt>
                <c:pt idx="179">
                  <c:v>49.893999999999998</c:v>
                </c:pt>
                <c:pt idx="180">
                  <c:v>49.896999999999998</c:v>
                </c:pt>
                <c:pt idx="181">
                  <c:v>49.892000000000003</c:v>
                </c:pt>
                <c:pt idx="182">
                  <c:v>49.892000000000003</c:v>
                </c:pt>
                <c:pt idx="183">
                  <c:v>49.893999999999998</c:v>
                </c:pt>
                <c:pt idx="184">
                  <c:v>49.899000000000001</c:v>
                </c:pt>
                <c:pt idx="185">
                  <c:v>49.899000000000001</c:v>
                </c:pt>
                <c:pt idx="186">
                  <c:v>49.921999999999997</c:v>
                </c:pt>
                <c:pt idx="187">
                  <c:v>49.921999999999997</c:v>
                </c:pt>
                <c:pt idx="188">
                  <c:v>49.927999999999997</c:v>
                </c:pt>
                <c:pt idx="189">
                  <c:v>49.926000000000002</c:v>
                </c:pt>
                <c:pt idx="190">
                  <c:v>49.923999999999999</c:v>
                </c:pt>
                <c:pt idx="191">
                  <c:v>49.923999999999999</c:v>
                </c:pt>
                <c:pt idx="192">
                  <c:v>49.927999999999997</c:v>
                </c:pt>
                <c:pt idx="193">
                  <c:v>49.920999999999999</c:v>
                </c:pt>
                <c:pt idx="194">
                  <c:v>49.923999999999999</c:v>
                </c:pt>
                <c:pt idx="195">
                  <c:v>49.921999999999997</c:v>
                </c:pt>
                <c:pt idx="196">
                  <c:v>49.929000000000002</c:v>
                </c:pt>
                <c:pt idx="197">
                  <c:v>49.926000000000002</c:v>
                </c:pt>
                <c:pt idx="198">
                  <c:v>49.926000000000002</c:v>
                </c:pt>
                <c:pt idx="199">
                  <c:v>49.921999999999997</c:v>
                </c:pt>
                <c:pt idx="200">
                  <c:v>49.951000000000001</c:v>
                </c:pt>
                <c:pt idx="201">
                  <c:v>49.95</c:v>
                </c:pt>
                <c:pt idx="202">
                  <c:v>49.945999999999998</c:v>
                </c:pt>
                <c:pt idx="203">
                  <c:v>49.945999999999998</c:v>
                </c:pt>
                <c:pt idx="204">
                  <c:v>49.954999999999998</c:v>
                </c:pt>
                <c:pt idx="205">
                  <c:v>49.951000000000001</c:v>
                </c:pt>
                <c:pt idx="206">
                  <c:v>49.953000000000003</c:v>
                </c:pt>
                <c:pt idx="207">
                  <c:v>49.945999999999998</c:v>
                </c:pt>
                <c:pt idx="208">
                  <c:v>49.95</c:v>
                </c:pt>
                <c:pt idx="209">
                  <c:v>49.945999999999998</c:v>
                </c:pt>
                <c:pt idx="210">
                  <c:v>49.95</c:v>
                </c:pt>
                <c:pt idx="211">
                  <c:v>49.951000000000001</c:v>
                </c:pt>
                <c:pt idx="212">
                  <c:v>49.951000000000001</c:v>
                </c:pt>
                <c:pt idx="213">
                  <c:v>49.951000000000001</c:v>
                </c:pt>
                <c:pt idx="214">
                  <c:v>49.966000000000001</c:v>
                </c:pt>
                <c:pt idx="215">
                  <c:v>49.960999999999999</c:v>
                </c:pt>
                <c:pt idx="216">
                  <c:v>49.965000000000003</c:v>
                </c:pt>
                <c:pt idx="217">
                  <c:v>49.963000000000001</c:v>
                </c:pt>
                <c:pt idx="218">
                  <c:v>49.963000000000001</c:v>
                </c:pt>
                <c:pt idx="219">
                  <c:v>49.966000000000001</c:v>
                </c:pt>
                <c:pt idx="220">
                  <c:v>49.965000000000003</c:v>
                </c:pt>
                <c:pt idx="221">
                  <c:v>49.965000000000003</c:v>
                </c:pt>
                <c:pt idx="222">
                  <c:v>49.968000000000004</c:v>
                </c:pt>
                <c:pt idx="223">
                  <c:v>49.965000000000003</c:v>
                </c:pt>
                <c:pt idx="224">
                  <c:v>49.963000000000001</c:v>
                </c:pt>
                <c:pt idx="225">
                  <c:v>49.965000000000003</c:v>
                </c:pt>
                <c:pt idx="226">
                  <c:v>49.966000000000001</c:v>
                </c:pt>
                <c:pt idx="227">
                  <c:v>49.960999999999999</c:v>
                </c:pt>
                <c:pt idx="228">
                  <c:v>49.97</c:v>
                </c:pt>
                <c:pt idx="229">
                  <c:v>49.968000000000004</c:v>
                </c:pt>
                <c:pt idx="230">
                  <c:v>49.976999999999997</c:v>
                </c:pt>
                <c:pt idx="231">
                  <c:v>49.972999999999999</c:v>
                </c:pt>
                <c:pt idx="232">
                  <c:v>49.975000000000001</c:v>
                </c:pt>
                <c:pt idx="233">
                  <c:v>49.975000000000001</c:v>
                </c:pt>
                <c:pt idx="234">
                  <c:v>49.972999999999999</c:v>
                </c:pt>
                <c:pt idx="235">
                  <c:v>49.972000000000001</c:v>
                </c:pt>
                <c:pt idx="236">
                  <c:v>49.972000000000001</c:v>
                </c:pt>
                <c:pt idx="237">
                  <c:v>49.975000000000001</c:v>
                </c:pt>
                <c:pt idx="238">
                  <c:v>49.97</c:v>
                </c:pt>
                <c:pt idx="239">
                  <c:v>49.975000000000001</c:v>
                </c:pt>
                <c:pt idx="240">
                  <c:v>49.972999999999999</c:v>
                </c:pt>
                <c:pt idx="241">
                  <c:v>49.975000000000001</c:v>
                </c:pt>
                <c:pt idx="242">
                  <c:v>49.982999999999997</c:v>
                </c:pt>
                <c:pt idx="243">
                  <c:v>49.981999999999999</c:v>
                </c:pt>
                <c:pt idx="244">
                  <c:v>49.981999999999999</c:v>
                </c:pt>
                <c:pt idx="245">
                  <c:v>49.98</c:v>
                </c:pt>
                <c:pt idx="246">
                  <c:v>49.981999999999999</c:v>
                </c:pt>
                <c:pt idx="247">
                  <c:v>49.981999999999999</c:v>
                </c:pt>
                <c:pt idx="248">
                  <c:v>49.982999999999997</c:v>
                </c:pt>
                <c:pt idx="249">
                  <c:v>49.981999999999999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AE-4DDB-B48C-7EADBE27AF23}"/>
            </c:ext>
          </c:extLst>
        </c:ser>
        <c:ser>
          <c:idx val="2"/>
          <c:order val="2"/>
          <c:tx>
            <c:strRef>
              <c:f>'FLL Transition'!$V$2:$V$3</c:f>
              <c:strCache>
                <c:ptCount val="2"/>
                <c:pt idx="0">
                  <c:v>FLL Transition  (40 -&gt; 50MHz) (FLT_GAIN, ERROR_RANGE)</c:v>
                </c:pt>
                <c:pt idx="1">
                  <c:v>(2, 0)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Transition'!$V$4:$V$253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39.999000000000002</c:v>
                </c:pt>
                <c:pt idx="2">
                  <c:v>40.000999999999998</c:v>
                </c:pt>
                <c:pt idx="3">
                  <c:v>40.002000000000002</c:v>
                </c:pt>
                <c:pt idx="4">
                  <c:v>40.003</c:v>
                </c:pt>
                <c:pt idx="5">
                  <c:v>40</c:v>
                </c:pt>
                <c:pt idx="6">
                  <c:v>40.000999999999998</c:v>
                </c:pt>
                <c:pt idx="7">
                  <c:v>40</c:v>
                </c:pt>
                <c:pt idx="8">
                  <c:v>44.28</c:v>
                </c:pt>
                <c:pt idx="9">
                  <c:v>44.28</c:v>
                </c:pt>
                <c:pt idx="10">
                  <c:v>44.280999999999999</c:v>
                </c:pt>
                <c:pt idx="11">
                  <c:v>44.277000000000001</c:v>
                </c:pt>
                <c:pt idx="12">
                  <c:v>44.277999999999999</c:v>
                </c:pt>
                <c:pt idx="13">
                  <c:v>44.277000000000001</c:v>
                </c:pt>
                <c:pt idx="14">
                  <c:v>44.277999999999999</c:v>
                </c:pt>
                <c:pt idx="15">
                  <c:v>44.277999999999999</c:v>
                </c:pt>
                <c:pt idx="16">
                  <c:v>44.280999999999999</c:v>
                </c:pt>
                <c:pt idx="17">
                  <c:v>44.277999999999999</c:v>
                </c:pt>
                <c:pt idx="18">
                  <c:v>44.277000000000001</c:v>
                </c:pt>
                <c:pt idx="19">
                  <c:v>44.277999999999999</c:v>
                </c:pt>
                <c:pt idx="20">
                  <c:v>47.533000000000001</c:v>
                </c:pt>
                <c:pt idx="21">
                  <c:v>47.567999999999998</c:v>
                </c:pt>
                <c:pt idx="22">
                  <c:v>47.566000000000003</c:v>
                </c:pt>
                <c:pt idx="23">
                  <c:v>47.566000000000003</c:v>
                </c:pt>
                <c:pt idx="24">
                  <c:v>47.564999999999998</c:v>
                </c:pt>
                <c:pt idx="25">
                  <c:v>47.567999999999998</c:v>
                </c:pt>
                <c:pt idx="26">
                  <c:v>47.564999999999998</c:v>
                </c:pt>
                <c:pt idx="27">
                  <c:v>47.57</c:v>
                </c:pt>
                <c:pt idx="28">
                  <c:v>47.57</c:v>
                </c:pt>
                <c:pt idx="29">
                  <c:v>47.563000000000002</c:v>
                </c:pt>
                <c:pt idx="30">
                  <c:v>47.564999999999998</c:v>
                </c:pt>
                <c:pt idx="31">
                  <c:v>47.563000000000002</c:v>
                </c:pt>
                <c:pt idx="32">
                  <c:v>47.564999999999998</c:v>
                </c:pt>
                <c:pt idx="33">
                  <c:v>47.564999999999998</c:v>
                </c:pt>
                <c:pt idx="34">
                  <c:v>49.06</c:v>
                </c:pt>
                <c:pt idx="35">
                  <c:v>49.057000000000002</c:v>
                </c:pt>
                <c:pt idx="36">
                  <c:v>49.057000000000002</c:v>
                </c:pt>
                <c:pt idx="37">
                  <c:v>49.06</c:v>
                </c:pt>
                <c:pt idx="38">
                  <c:v>49.06</c:v>
                </c:pt>
                <c:pt idx="39">
                  <c:v>49.058999999999997</c:v>
                </c:pt>
                <c:pt idx="40">
                  <c:v>49.064</c:v>
                </c:pt>
                <c:pt idx="41">
                  <c:v>49.058999999999997</c:v>
                </c:pt>
                <c:pt idx="42">
                  <c:v>49.06</c:v>
                </c:pt>
                <c:pt idx="43">
                  <c:v>49.058999999999997</c:v>
                </c:pt>
                <c:pt idx="44">
                  <c:v>49.054000000000002</c:v>
                </c:pt>
                <c:pt idx="45">
                  <c:v>49.057000000000002</c:v>
                </c:pt>
                <c:pt idx="46">
                  <c:v>49.054000000000002</c:v>
                </c:pt>
                <c:pt idx="47">
                  <c:v>49.338999999999999</c:v>
                </c:pt>
                <c:pt idx="48">
                  <c:v>49.642000000000003</c:v>
                </c:pt>
                <c:pt idx="49">
                  <c:v>49.645000000000003</c:v>
                </c:pt>
                <c:pt idx="50">
                  <c:v>49.637999999999998</c:v>
                </c:pt>
                <c:pt idx="51">
                  <c:v>49.645000000000003</c:v>
                </c:pt>
                <c:pt idx="52">
                  <c:v>49.642000000000003</c:v>
                </c:pt>
                <c:pt idx="53">
                  <c:v>49.643000000000001</c:v>
                </c:pt>
                <c:pt idx="54">
                  <c:v>49.642000000000003</c:v>
                </c:pt>
                <c:pt idx="55">
                  <c:v>49.643000000000001</c:v>
                </c:pt>
                <c:pt idx="56">
                  <c:v>49.646999999999998</c:v>
                </c:pt>
                <c:pt idx="57">
                  <c:v>49.642000000000003</c:v>
                </c:pt>
                <c:pt idx="58">
                  <c:v>49.643000000000001</c:v>
                </c:pt>
                <c:pt idx="59">
                  <c:v>49.643000000000001</c:v>
                </c:pt>
                <c:pt idx="60">
                  <c:v>49.643000000000001</c:v>
                </c:pt>
                <c:pt idx="61">
                  <c:v>49.69</c:v>
                </c:pt>
                <c:pt idx="62">
                  <c:v>49.868000000000002</c:v>
                </c:pt>
                <c:pt idx="63">
                  <c:v>49.866999999999997</c:v>
                </c:pt>
                <c:pt idx="64">
                  <c:v>49.865000000000002</c:v>
                </c:pt>
                <c:pt idx="65">
                  <c:v>49.87</c:v>
                </c:pt>
                <c:pt idx="66">
                  <c:v>49.865000000000002</c:v>
                </c:pt>
                <c:pt idx="67">
                  <c:v>49.862000000000002</c:v>
                </c:pt>
                <c:pt idx="68">
                  <c:v>49.868000000000002</c:v>
                </c:pt>
                <c:pt idx="69">
                  <c:v>49.865000000000002</c:v>
                </c:pt>
                <c:pt idx="70">
                  <c:v>49.866999999999997</c:v>
                </c:pt>
                <c:pt idx="71">
                  <c:v>49.866999999999997</c:v>
                </c:pt>
                <c:pt idx="72">
                  <c:v>49.866999999999997</c:v>
                </c:pt>
                <c:pt idx="73">
                  <c:v>49.866999999999997</c:v>
                </c:pt>
                <c:pt idx="74">
                  <c:v>49.868000000000002</c:v>
                </c:pt>
                <c:pt idx="75">
                  <c:v>49.875</c:v>
                </c:pt>
                <c:pt idx="76">
                  <c:v>49.954999999999998</c:v>
                </c:pt>
                <c:pt idx="77">
                  <c:v>49.951000000000001</c:v>
                </c:pt>
                <c:pt idx="78">
                  <c:v>49.953000000000003</c:v>
                </c:pt>
                <c:pt idx="79">
                  <c:v>49.95</c:v>
                </c:pt>
                <c:pt idx="80">
                  <c:v>49.95</c:v>
                </c:pt>
                <c:pt idx="81">
                  <c:v>49.945999999999998</c:v>
                </c:pt>
                <c:pt idx="82">
                  <c:v>49.951000000000001</c:v>
                </c:pt>
                <c:pt idx="83">
                  <c:v>49.954999999999998</c:v>
                </c:pt>
                <c:pt idx="84">
                  <c:v>49.954999999999998</c:v>
                </c:pt>
                <c:pt idx="85">
                  <c:v>49.951000000000001</c:v>
                </c:pt>
                <c:pt idx="86">
                  <c:v>49.954999999999998</c:v>
                </c:pt>
                <c:pt idx="87">
                  <c:v>49.951000000000001</c:v>
                </c:pt>
                <c:pt idx="88">
                  <c:v>49.95</c:v>
                </c:pt>
                <c:pt idx="89">
                  <c:v>49.953000000000003</c:v>
                </c:pt>
                <c:pt idx="90">
                  <c:v>49.982999999999997</c:v>
                </c:pt>
                <c:pt idx="91">
                  <c:v>49.981999999999999</c:v>
                </c:pt>
                <c:pt idx="92">
                  <c:v>49.98</c:v>
                </c:pt>
                <c:pt idx="93">
                  <c:v>49.976999999999997</c:v>
                </c:pt>
                <c:pt idx="94">
                  <c:v>49.976999999999997</c:v>
                </c:pt>
                <c:pt idx="95">
                  <c:v>49.978000000000002</c:v>
                </c:pt>
                <c:pt idx="96">
                  <c:v>49.976999999999997</c:v>
                </c:pt>
                <c:pt idx="97">
                  <c:v>49.98</c:v>
                </c:pt>
                <c:pt idx="98">
                  <c:v>49.98</c:v>
                </c:pt>
                <c:pt idx="99">
                  <c:v>49.976999999999997</c:v>
                </c:pt>
                <c:pt idx="100">
                  <c:v>49.982999999999997</c:v>
                </c:pt>
                <c:pt idx="101">
                  <c:v>49.987000000000002</c:v>
                </c:pt>
                <c:pt idx="102">
                  <c:v>49.978000000000002</c:v>
                </c:pt>
                <c:pt idx="103">
                  <c:v>49.978000000000002</c:v>
                </c:pt>
                <c:pt idx="104">
                  <c:v>49.994</c:v>
                </c:pt>
                <c:pt idx="105">
                  <c:v>49.99</c:v>
                </c:pt>
                <c:pt idx="106">
                  <c:v>49.994</c:v>
                </c:pt>
                <c:pt idx="107">
                  <c:v>49.99</c:v>
                </c:pt>
                <c:pt idx="108">
                  <c:v>49.994</c:v>
                </c:pt>
                <c:pt idx="109">
                  <c:v>49.997</c:v>
                </c:pt>
                <c:pt idx="110">
                  <c:v>49.999000000000002</c:v>
                </c:pt>
                <c:pt idx="111">
                  <c:v>49.997</c:v>
                </c:pt>
                <c:pt idx="112">
                  <c:v>49.99</c:v>
                </c:pt>
                <c:pt idx="113">
                  <c:v>49.997</c:v>
                </c:pt>
                <c:pt idx="114">
                  <c:v>49.994999999999997</c:v>
                </c:pt>
                <c:pt idx="115">
                  <c:v>49.99</c:v>
                </c:pt>
                <c:pt idx="116">
                  <c:v>49.99</c:v>
                </c:pt>
                <c:pt idx="117">
                  <c:v>49.991999999999997</c:v>
                </c:pt>
                <c:pt idx="118">
                  <c:v>49.994</c:v>
                </c:pt>
                <c:pt idx="119">
                  <c:v>49.997</c:v>
                </c:pt>
                <c:pt idx="120">
                  <c:v>49.997</c:v>
                </c:pt>
                <c:pt idx="121">
                  <c:v>49.994999999999997</c:v>
                </c:pt>
                <c:pt idx="122">
                  <c:v>49.994999999999997</c:v>
                </c:pt>
                <c:pt idx="123">
                  <c:v>49.999000000000002</c:v>
                </c:pt>
                <c:pt idx="124">
                  <c:v>50.002000000000002</c:v>
                </c:pt>
                <c:pt idx="125">
                  <c:v>49.999000000000002</c:v>
                </c:pt>
                <c:pt idx="126">
                  <c:v>49.999000000000002</c:v>
                </c:pt>
                <c:pt idx="127">
                  <c:v>49.997</c:v>
                </c:pt>
                <c:pt idx="128">
                  <c:v>49.997</c:v>
                </c:pt>
                <c:pt idx="129">
                  <c:v>49.997</c:v>
                </c:pt>
                <c:pt idx="130">
                  <c:v>49.994</c:v>
                </c:pt>
                <c:pt idx="131">
                  <c:v>49.994999999999997</c:v>
                </c:pt>
                <c:pt idx="132">
                  <c:v>49.999000000000002</c:v>
                </c:pt>
                <c:pt idx="133">
                  <c:v>49.997</c:v>
                </c:pt>
                <c:pt idx="134">
                  <c:v>50</c:v>
                </c:pt>
                <c:pt idx="135">
                  <c:v>50</c:v>
                </c:pt>
                <c:pt idx="136">
                  <c:v>49.999000000000002</c:v>
                </c:pt>
                <c:pt idx="137">
                  <c:v>49.997</c:v>
                </c:pt>
                <c:pt idx="138">
                  <c:v>50.002000000000002</c:v>
                </c:pt>
                <c:pt idx="139">
                  <c:v>50</c:v>
                </c:pt>
                <c:pt idx="140">
                  <c:v>49.999000000000002</c:v>
                </c:pt>
                <c:pt idx="141">
                  <c:v>50.002000000000002</c:v>
                </c:pt>
                <c:pt idx="142">
                  <c:v>49.999000000000002</c:v>
                </c:pt>
                <c:pt idx="143">
                  <c:v>49.997</c:v>
                </c:pt>
                <c:pt idx="144">
                  <c:v>50.002000000000002</c:v>
                </c:pt>
                <c:pt idx="145">
                  <c:v>49.999000000000002</c:v>
                </c:pt>
                <c:pt idx="146">
                  <c:v>50</c:v>
                </c:pt>
                <c:pt idx="147">
                  <c:v>49.999000000000002</c:v>
                </c:pt>
                <c:pt idx="148">
                  <c:v>50.005000000000003</c:v>
                </c:pt>
                <c:pt idx="149">
                  <c:v>49.997</c:v>
                </c:pt>
                <c:pt idx="150">
                  <c:v>50</c:v>
                </c:pt>
                <c:pt idx="151">
                  <c:v>49.999000000000002</c:v>
                </c:pt>
                <c:pt idx="152">
                  <c:v>50</c:v>
                </c:pt>
                <c:pt idx="153">
                  <c:v>49.997</c:v>
                </c:pt>
                <c:pt idx="154">
                  <c:v>49.999000000000002</c:v>
                </c:pt>
                <c:pt idx="155">
                  <c:v>49.994999999999997</c:v>
                </c:pt>
                <c:pt idx="156">
                  <c:v>49.997</c:v>
                </c:pt>
                <c:pt idx="157">
                  <c:v>49.999000000000002</c:v>
                </c:pt>
                <c:pt idx="158">
                  <c:v>49.997</c:v>
                </c:pt>
                <c:pt idx="159">
                  <c:v>49.997</c:v>
                </c:pt>
                <c:pt idx="160">
                  <c:v>50</c:v>
                </c:pt>
                <c:pt idx="161">
                  <c:v>50</c:v>
                </c:pt>
                <c:pt idx="162">
                  <c:v>49.999000000000002</c:v>
                </c:pt>
                <c:pt idx="163">
                  <c:v>50.002000000000002</c:v>
                </c:pt>
                <c:pt idx="164">
                  <c:v>49.999000000000002</c:v>
                </c:pt>
                <c:pt idx="165">
                  <c:v>50.002000000000002</c:v>
                </c:pt>
                <c:pt idx="166">
                  <c:v>50</c:v>
                </c:pt>
                <c:pt idx="167">
                  <c:v>50</c:v>
                </c:pt>
                <c:pt idx="168">
                  <c:v>49.999000000000002</c:v>
                </c:pt>
                <c:pt idx="169">
                  <c:v>50</c:v>
                </c:pt>
                <c:pt idx="170">
                  <c:v>50</c:v>
                </c:pt>
                <c:pt idx="171">
                  <c:v>49.997</c:v>
                </c:pt>
                <c:pt idx="172">
                  <c:v>50.002000000000002</c:v>
                </c:pt>
                <c:pt idx="173">
                  <c:v>50</c:v>
                </c:pt>
                <c:pt idx="174">
                  <c:v>50.002000000000002</c:v>
                </c:pt>
                <c:pt idx="175">
                  <c:v>50.002000000000002</c:v>
                </c:pt>
                <c:pt idx="176">
                  <c:v>50</c:v>
                </c:pt>
                <c:pt idx="177">
                  <c:v>50</c:v>
                </c:pt>
                <c:pt idx="178">
                  <c:v>49.999000000000002</c:v>
                </c:pt>
                <c:pt idx="179">
                  <c:v>50.003999999999998</c:v>
                </c:pt>
                <c:pt idx="180">
                  <c:v>49.999000000000002</c:v>
                </c:pt>
                <c:pt idx="181">
                  <c:v>50.003999999999998</c:v>
                </c:pt>
                <c:pt idx="182">
                  <c:v>49.997</c:v>
                </c:pt>
                <c:pt idx="183">
                  <c:v>49.999000000000002</c:v>
                </c:pt>
                <c:pt idx="184">
                  <c:v>50</c:v>
                </c:pt>
                <c:pt idx="185">
                  <c:v>49.999000000000002</c:v>
                </c:pt>
                <c:pt idx="186">
                  <c:v>50.002000000000002</c:v>
                </c:pt>
                <c:pt idx="187">
                  <c:v>49.999000000000002</c:v>
                </c:pt>
                <c:pt idx="188">
                  <c:v>49.999000000000002</c:v>
                </c:pt>
                <c:pt idx="189">
                  <c:v>50.002000000000002</c:v>
                </c:pt>
                <c:pt idx="190">
                  <c:v>49.994999999999997</c:v>
                </c:pt>
                <c:pt idx="191">
                  <c:v>49.994</c:v>
                </c:pt>
                <c:pt idx="192">
                  <c:v>49.994999999999997</c:v>
                </c:pt>
                <c:pt idx="193">
                  <c:v>50</c:v>
                </c:pt>
                <c:pt idx="194">
                  <c:v>50.002000000000002</c:v>
                </c:pt>
                <c:pt idx="195">
                  <c:v>49.999000000000002</c:v>
                </c:pt>
                <c:pt idx="196">
                  <c:v>50</c:v>
                </c:pt>
                <c:pt idx="197">
                  <c:v>49.999000000000002</c:v>
                </c:pt>
                <c:pt idx="198">
                  <c:v>50</c:v>
                </c:pt>
                <c:pt idx="199">
                  <c:v>49.994999999999997</c:v>
                </c:pt>
                <c:pt idx="200">
                  <c:v>50</c:v>
                </c:pt>
                <c:pt idx="201">
                  <c:v>49.997</c:v>
                </c:pt>
                <c:pt idx="202">
                  <c:v>50.002000000000002</c:v>
                </c:pt>
                <c:pt idx="203">
                  <c:v>50.002000000000002</c:v>
                </c:pt>
                <c:pt idx="204">
                  <c:v>50</c:v>
                </c:pt>
                <c:pt idx="205">
                  <c:v>50.002000000000002</c:v>
                </c:pt>
                <c:pt idx="206">
                  <c:v>50</c:v>
                </c:pt>
                <c:pt idx="207">
                  <c:v>49.999000000000002</c:v>
                </c:pt>
                <c:pt idx="208">
                  <c:v>50.002000000000002</c:v>
                </c:pt>
                <c:pt idx="209">
                  <c:v>50.002000000000002</c:v>
                </c:pt>
                <c:pt idx="210">
                  <c:v>50</c:v>
                </c:pt>
                <c:pt idx="211">
                  <c:v>49.999000000000002</c:v>
                </c:pt>
                <c:pt idx="212">
                  <c:v>49.999000000000002</c:v>
                </c:pt>
                <c:pt idx="213">
                  <c:v>49.999000000000002</c:v>
                </c:pt>
                <c:pt idx="214">
                  <c:v>49.997</c:v>
                </c:pt>
                <c:pt idx="215">
                  <c:v>49.999000000000002</c:v>
                </c:pt>
                <c:pt idx="216">
                  <c:v>50.002000000000002</c:v>
                </c:pt>
                <c:pt idx="217">
                  <c:v>49.999000000000002</c:v>
                </c:pt>
                <c:pt idx="218">
                  <c:v>50</c:v>
                </c:pt>
                <c:pt idx="219">
                  <c:v>50.002000000000002</c:v>
                </c:pt>
                <c:pt idx="220">
                  <c:v>49.999000000000002</c:v>
                </c:pt>
                <c:pt idx="221">
                  <c:v>49.994999999999997</c:v>
                </c:pt>
                <c:pt idx="222">
                  <c:v>49.999000000000002</c:v>
                </c:pt>
                <c:pt idx="223">
                  <c:v>50</c:v>
                </c:pt>
                <c:pt idx="224">
                  <c:v>50</c:v>
                </c:pt>
                <c:pt idx="225">
                  <c:v>49.994999999999997</c:v>
                </c:pt>
                <c:pt idx="226">
                  <c:v>49.999000000000002</c:v>
                </c:pt>
                <c:pt idx="227">
                  <c:v>50</c:v>
                </c:pt>
                <c:pt idx="228">
                  <c:v>50.003999999999998</c:v>
                </c:pt>
                <c:pt idx="229">
                  <c:v>49.997</c:v>
                </c:pt>
                <c:pt idx="230">
                  <c:v>49.999000000000002</c:v>
                </c:pt>
                <c:pt idx="231">
                  <c:v>50.003999999999998</c:v>
                </c:pt>
                <c:pt idx="232">
                  <c:v>49.999000000000002</c:v>
                </c:pt>
                <c:pt idx="233">
                  <c:v>50</c:v>
                </c:pt>
                <c:pt idx="234">
                  <c:v>49.999000000000002</c:v>
                </c:pt>
                <c:pt idx="235">
                  <c:v>49.997</c:v>
                </c:pt>
                <c:pt idx="236">
                  <c:v>50</c:v>
                </c:pt>
                <c:pt idx="237">
                  <c:v>49.997</c:v>
                </c:pt>
                <c:pt idx="238">
                  <c:v>50</c:v>
                </c:pt>
                <c:pt idx="239">
                  <c:v>49.999000000000002</c:v>
                </c:pt>
                <c:pt idx="240">
                  <c:v>50.002000000000002</c:v>
                </c:pt>
                <c:pt idx="241">
                  <c:v>50.003999999999998</c:v>
                </c:pt>
                <c:pt idx="242">
                  <c:v>50</c:v>
                </c:pt>
                <c:pt idx="243">
                  <c:v>49.999000000000002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50.002000000000002</c:v>
                </c:pt>
                <c:pt idx="248">
                  <c:v>50.003999999999998</c:v>
                </c:pt>
                <c:pt idx="24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AE-4DDB-B48C-7EADBE27AF23}"/>
            </c:ext>
          </c:extLst>
        </c:ser>
        <c:ser>
          <c:idx val="3"/>
          <c:order val="3"/>
          <c:tx>
            <c:strRef>
              <c:f>'FLL Transition'!$W$2:$W$3</c:f>
              <c:strCache>
                <c:ptCount val="2"/>
                <c:pt idx="0">
                  <c:v>FLL Transition  (40 -&gt; 50MHz) (FLT_GAIN, ERROR_RANGE)</c:v>
                </c:pt>
                <c:pt idx="1">
                  <c:v>(3, 0)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Transition'!$W$4:$W$253</c:f>
              <c:numCache>
                <c:formatCode>General</c:formatCode>
                <c:ptCount val="250"/>
                <c:pt idx="0">
                  <c:v>40.003</c:v>
                </c:pt>
                <c:pt idx="1">
                  <c:v>40.000999999999998</c:v>
                </c:pt>
                <c:pt idx="2">
                  <c:v>40.000999999999998</c:v>
                </c:pt>
                <c:pt idx="3">
                  <c:v>40</c:v>
                </c:pt>
                <c:pt idx="4">
                  <c:v>40.000999999999998</c:v>
                </c:pt>
                <c:pt idx="5">
                  <c:v>40.003999999999998</c:v>
                </c:pt>
                <c:pt idx="6">
                  <c:v>39.997999999999998</c:v>
                </c:pt>
                <c:pt idx="7">
                  <c:v>45.814999999999998</c:v>
                </c:pt>
                <c:pt idx="8">
                  <c:v>48.741</c:v>
                </c:pt>
                <c:pt idx="9">
                  <c:v>48.743000000000002</c:v>
                </c:pt>
                <c:pt idx="10">
                  <c:v>48.738999999999997</c:v>
                </c:pt>
                <c:pt idx="11">
                  <c:v>48.735999999999997</c:v>
                </c:pt>
                <c:pt idx="12">
                  <c:v>48.738999999999997</c:v>
                </c:pt>
                <c:pt idx="13">
                  <c:v>48.743000000000002</c:v>
                </c:pt>
                <c:pt idx="14">
                  <c:v>48.734999999999999</c:v>
                </c:pt>
                <c:pt idx="15">
                  <c:v>48.741</c:v>
                </c:pt>
                <c:pt idx="16">
                  <c:v>48.734999999999999</c:v>
                </c:pt>
                <c:pt idx="17">
                  <c:v>48.738999999999997</c:v>
                </c:pt>
                <c:pt idx="18">
                  <c:v>48.738</c:v>
                </c:pt>
                <c:pt idx="19">
                  <c:v>48.738</c:v>
                </c:pt>
                <c:pt idx="20">
                  <c:v>48.738999999999997</c:v>
                </c:pt>
                <c:pt idx="21">
                  <c:v>49.734000000000002</c:v>
                </c:pt>
                <c:pt idx="22">
                  <c:v>50.314</c:v>
                </c:pt>
                <c:pt idx="23">
                  <c:v>50.317999999999998</c:v>
                </c:pt>
                <c:pt idx="24">
                  <c:v>50.317999999999998</c:v>
                </c:pt>
                <c:pt idx="25">
                  <c:v>50.316000000000003</c:v>
                </c:pt>
                <c:pt idx="26">
                  <c:v>50.316000000000003</c:v>
                </c:pt>
                <c:pt idx="27">
                  <c:v>50.314</c:v>
                </c:pt>
                <c:pt idx="28">
                  <c:v>50.314</c:v>
                </c:pt>
                <c:pt idx="29">
                  <c:v>50.316000000000003</c:v>
                </c:pt>
                <c:pt idx="30">
                  <c:v>50.314</c:v>
                </c:pt>
                <c:pt idx="31">
                  <c:v>50.316000000000003</c:v>
                </c:pt>
                <c:pt idx="32">
                  <c:v>50.316000000000003</c:v>
                </c:pt>
                <c:pt idx="33">
                  <c:v>50.314</c:v>
                </c:pt>
                <c:pt idx="34">
                  <c:v>50.314</c:v>
                </c:pt>
                <c:pt idx="35">
                  <c:v>50.317999999999998</c:v>
                </c:pt>
                <c:pt idx="36">
                  <c:v>49.930999999999997</c:v>
                </c:pt>
                <c:pt idx="37">
                  <c:v>49.933999999999997</c:v>
                </c:pt>
                <c:pt idx="38">
                  <c:v>49.936</c:v>
                </c:pt>
                <c:pt idx="39">
                  <c:v>49.933</c:v>
                </c:pt>
                <c:pt idx="40">
                  <c:v>49.933999999999997</c:v>
                </c:pt>
                <c:pt idx="41">
                  <c:v>49.933</c:v>
                </c:pt>
                <c:pt idx="42">
                  <c:v>49.933</c:v>
                </c:pt>
                <c:pt idx="43">
                  <c:v>49.930999999999997</c:v>
                </c:pt>
                <c:pt idx="44">
                  <c:v>49.936</c:v>
                </c:pt>
                <c:pt idx="45">
                  <c:v>49.933</c:v>
                </c:pt>
                <c:pt idx="46">
                  <c:v>49.933999999999997</c:v>
                </c:pt>
                <c:pt idx="47">
                  <c:v>49.933999999999997</c:v>
                </c:pt>
                <c:pt idx="48">
                  <c:v>49.933</c:v>
                </c:pt>
                <c:pt idx="49">
                  <c:v>49.930999999999997</c:v>
                </c:pt>
                <c:pt idx="50">
                  <c:v>49.994999999999997</c:v>
                </c:pt>
                <c:pt idx="51">
                  <c:v>50.017000000000003</c:v>
                </c:pt>
                <c:pt idx="52">
                  <c:v>50.012</c:v>
                </c:pt>
                <c:pt idx="53">
                  <c:v>50.012</c:v>
                </c:pt>
                <c:pt idx="54">
                  <c:v>50.015999999999998</c:v>
                </c:pt>
                <c:pt idx="55">
                  <c:v>50.015999999999998</c:v>
                </c:pt>
                <c:pt idx="56">
                  <c:v>50.015999999999998</c:v>
                </c:pt>
                <c:pt idx="57">
                  <c:v>50.014000000000003</c:v>
                </c:pt>
                <c:pt idx="58">
                  <c:v>50.018999999999998</c:v>
                </c:pt>
                <c:pt idx="59">
                  <c:v>50.014000000000003</c:v>
                </c:pt>
                <c:pt idx="60">
                  <c:v>50.015999999999998</c:v>
                </c:pt>
                <c:pt idx="61">
                  <c:v>50.015999999999998</c:v>
                </c:pt>
                <c:pt idx="62">
                  <c:v>50.015999999999998</c:v>
                </c:pt>
                <c:pt idx="63">
                  <c:v>50.017000000000003</c:v>
                </c:pt>
                <c:pt idx="64">
                  <c:v>50.015999999999998</c:v>
                </c:pt>
                <c:pt idx="65">
                  <c:v>49.994999999999997</c:v>
                </c:pt>
                <c:pt idx="66">
                  <c:v>49.994</c:v>
                </c:pt>
                <c:pt idx="67">
                  <c:v>49.994999999999997</c:v>
                </c:pt>
                <c:pt idx="68">
                  <c:v>49.994999999999997</c:v>
                </c:pt>
                <c:pt idx="69">
                  <c:v>50</c:v>
                </c:pt>
                <c:pt idx="70">
                  <c:v>49.997</c:v>
                </c:pt>
                <c:pt idx="71">
                  <c:v>50</c:v>
                </c:pt>
                <c:pt idx="72">
                  <c:v>50</c:v>
                </c:pt>
                <c:pt idx="73">
                  <c:v>49.994999999999997</c:v>
                </c:pt>
                <c:pt idx="74">
                  <c:v>49.999000000000002</c:v>
                </c:pt>
                <c:pt idx="75">
                  <c:v>49.991999999999997</c:v>
                </c:pt>
                <c:pt idx="76">
                  <c:v>49.997</c:v>
                </c:pt>
                <c:pt idx="77">
                  <c:v>49.999000000000002</c:v>
                </c:pt>
                <c:pt idx="78">
                  <c:v>49.999000000000002</c:v>
                </c:pt>
                <c:pt idx="79">
                  <c:v>50</c:v>
                </c:pt>
                <c:pt idx="80">
                  <c:v>50.002000000000002</c:v>
                </c:pt>
                <c:pt idx="81">
                  <c:v>50.002000000000002</c:v>
                </c:pt>
                <c:pt idx="82">
                  <c:v>50.002000000000002</c:v>
                </c:pt>
                <c:pt idx="83">
                  <c:v>50.003999999999998</c:v>
                </c:pt>
                <c:pt idx="84">
                  <c:v>50.005000000000003</c:v>
                </c:pt>
                <c:pt idx="85">
                  <c:v>50.003999999999998</c:v>
                </c:pt>
                <c:pt idx="86">
                  <c:v>50.003999999999998</c:v>
                </c:pt>
                <c:pt idx="87">
                  <c:v>49.999000000000002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49.999000000000002</c:v>
                </c:pt>
                <c:pt idx="92">
                  <c:v>50.002000000000002</c:v>
                </c:pt>
                <c:pt idx="93">
                  <c:v>50.002000000000002</c:v>
                </c:pt>
                <c:pt idx="94">
                  <c:v>49.994999999999997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50.002000000000002</c:v>
                </c:pt>
                <c:pt idx="100">
                  <c:v>50</c:v>
                </c:pt>
                <c:pt idx="101">
                  <c:v>50.002000000000002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49.997</c:v>
                </c:pt>
                <c:pt idx="106">
                  <c:v>50</c:v>
                </c:pt>
                <c:pt idx="107">
                  <c:v>50</c:v>
                </c:pt>
                <c:pt idx="108">
                  <c:v>50.002000000000002</c:v>
                </c:pt>
                <c:pt idx="109">
                  <c:v>49.999000000000002</c:v>
                </c:pt>
                <c:pt idx="110">
                  <c:v>50</c:v>
                </c:pt>
                <c:pt idx="111">
                  <c:v>49.997</c:v>
                </c:pt>
                <c:pt idx="112">
                  <c:v>49.999000000000002</c:v>
                </c:pt>
                <c:pt idx="113">
                  <c:v>50</c:v>
                </c:pt>
                <c:pt idx="114">
                  <c:v>50.002000000000002</c:v>
                </c:pt>
                <c:pt idx="115">
                  <c:v>50.002000000000002</c:v>
                </c:pt>
                <c:pt idx="116">
                  <c:v>50.003999999999998</c:v>
                </c:pt>
                <c:pt idx="117">
                  <c:v>50</c:v>
                </c:pt>
                <c:pt idx="118">
                  <c:v>50</c:v>
                </c:pt>
                <c:pt idx="119">
                  <c:v>49.999000000000002</c:v>
                </c:pt>
                <c:pt idx="120">
                  <c:v>49.997</c:v>
                </c:pt>
                <c:pt idx="121">
                  <c:v>50</c:v>
                </c:pt>
                <c:pt idx="122">
                  <c:v>49.999000000000002</c:v>
                </c:pt>
                <c:pt idx="123">
                  <c:v>49.997</c:v>
                </c:pt>
                <c:pt idx="124">
                  <c:v>50</c:v>
                </c:pt>
                <c:pt idx="125">
                  <c:v>49.999000000000002</c:v>
                </c:pt>
                <c:pt idx="126">
                  <c:v>49.997</c:v>
                </c:pt>
                <c:pt idx="127">
                  <c:v>50</c:v>
                </c:pt>
                <c:pt idx="128">
                  <c:v>49.999000000000002</c:v>
                </c:pt>
                <c:pt idx="129">
                  <c:v>49.999000000000002</c:v>
                </c:pt>
                <c:pt idx="130">
                  <c:v>50</c:v>
                </c:pt>
                <c:pt idx="131">
                  <c:v>49.999000000000002</c:v>
                </c:pt>
                <c:pt idx="132">
                  <c:v>49.999000000000002</c:v>
                </c:pt>
                <c:pt idx="133">
                  <c:v>49.994999999999997</c:v>
                </c:pt>
                <c:pt idx="134">
                  <c:v>50</c:v>
                </c:pt>
                <c:pt idx="135">
                  <c:v>50.003999999999998</c:v>
                </c:pt>
                <c:pt idx="136">
                  <c:v>50.003999999999998</c:v>
                </c:pt>
                <c:pt idx="137">
                  <c:v>50</c:v>
                </c:pt>
                <c:pt idx="138">
                  <c:v>49.999000000000002</c:v>
                </c:pt>
                <c:pt idx="139">
                  <c:v>50.002000000000002</c:v>
                </c:pt>
                <c:pt idx="140">
                  <c:v>50.003999999999998</c:v>
                </c:pt>
                <c:pt idx="141">
                  <c:v>50</c:v>
                </c:pt>
                <c:pt idx="142">
                  <c:v>50.002000000000002</c:v>
                </c:pt>
                <c:pt idx="143">
                  <c:v>50</c:v>
                </c:pt>
                <c:pt idx="144">
                  <c:v>50.005000000000003</c:v>
                </c:pt>
                <c:pt idx="145">
                  <c:v>50</c:v>
                </c:pt>
                <c:pt idx="146">
                  <c:v>49.999000000000002</c:v>
                </c:pt>
                <c:pt idx="147">
                  <c:v>50.002000000000002</c:v>
                </c:pt>
                <c:pt idx="148">
                  <c:v>50.002000000000002</c:v>
                </c:pt>
                <c:pt idx="149">
                  <c:v>50.002000000000002</c:v>
                </c:pt>
                <c:pt idx="150">
                  <c:v>49.997</c:v>
                </c:pt>
                <c:pt idx="151">
                  <c:v>49.994999999999997</c:v>
                </c:pt>
                <c:pt idx="152">
                  <c:v>49.994</c:v>
                </c:pt>
                <c:pt idx="153">
                  <c:v>50.002000000000002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50.002000000000002</c:v>
                </c:pt>
                <c:pt idx="158">
                  <c:v>50.002000000000002</c:v>
                </c:pt>
                <c:pt idx="159">
                  <c:v>50</c:v>
                </c:pt>
                <c:pt idx="160">
                  <c:v>49.997</c:v>
                </c:pt>
                <c:pt idx="161">
                  <c:v>50.003999999999998</c:v>
                </c:pt>
                <c:pt idx="162">
                  <c:v>50</c:v>
                </c:pt>
                <c:pt idx="163">
                  <c:v>49.999000000000002</c:v>
                </c:pt>
                <c:pt idx="164">
                  <c:v>49.997</c:v>
                </c:pt>
                <c:pt idx="165">
                  <c:v>50</c:v>
                </c:pt>
                <c:pt idx="166">
                  <c:v>50</c:v>
                </c:pt>
                <c:pt idx="167">
                  <c:v>49.997</c:v>
                </c:pt>
                <c:pt idx="168">
                  <c:v>49.999000000000002</c:v>
                </c:pt>
                <c:pt idx="169">
                  <c:v>50.003999999999998</c:v>
                </c:pt>
                <c:pt idx="170">
                  <c:v>50</c:v>
                </c:pt>
                <c:pt idx="171">
                  <c:v>49.999000000000002</c:v>
                </c:pt>
                <c:pt idx="172">
                  <c:v>49.999000000000002</c:v>
                </c:pt>
                <c:pt idx="173">
                  <c:v>50.002000000000002</c:v>
                </c:pt>
                <c:pt idx="174">
                  <c:v>49.999000000000002</c:v>
                </c:pt>
                <c:pt idx="175">
                  <c:v>50.005000000000003</c:v>
                </c:pt>
                <c:pt idx="176">
                  <c:v>50.003999999999998</c:v>
                </c:pt>
                <c:pt idx="177">
                  <c:v>50</c:v>
                </c:pt>
                <c:pt idx="178">
                  <c:v>50</c:v>
                </c:pt>
                <c:pt idx="179">
                  <c:v>49.997</c:v>
                </c:pt>
                <c:pt idx="180">
                  <c:v>50.002000000000002</c:v>
                </c:pt>
                <c:pt idx="181">
                  <c:v>49.997</c:v>
                </c:pt>
                <c:pt idx="182">
                  <c:v>49.999000000000002</c:v>
                </c:pt>
                <c:pt idx="183">
                  <c:v>50.002000000000002</c:v>
                </c:pt>
                <c:pt idx="184">
                  <c:v>50</c:v>
                </c:pt>
                <c:pt idx="185">
                  <c:v>49.999000000000002</c:v>
                </c:pt>
                <c:pt idx="186">
                  <c:v>49.994999999999997</c:v>
                </c:pt>
                <c:pt idx="187">
                  <c:v>49.999000000000002</c:v>
                </c:pt>
                <c:pt idx="188">
                  <c:v>49.994999999999997</c:v>
                </c:pt>
                <c:pt idx="189">
                  <c:v>50.003999999999998</c:v>
                </c:pt>
                <c:pt idx="190">
                  <c:v>49.997</c:v>
                </c:pt>
                <c:pt idx="191">
                  <c:v>50.006999999999998</c:v>
                </c:pt>
                <c:pt idx="192">
                  <c:v>49.999000000000002</c:v>
                </c:pt>
                <c:pt idx="193">
                  <c:v>50.003999999999998</c:v>
                </c:pt>
                <c:pt idx="194">
                  <c:v>50</c:v>
                </c:pt>
                <c:pt idx="195">
                  <c:v>50.003999999999998</c:v>
                </c:pt>
                <c:pt idx="196">
                  <c:v>50</c:v>
                </c:pt>
                <c:pt idx="197">
                  <c:v>50.002000000000002</c:v>
                </c:pt>
                <c:pt idx="198">
                  <c:v>50.002000000000002</c:v>
                </c:pt>
                <c:pt idx="199">
                  <c:v>50.002000000000002</c:v>
                </c:pt>
                <c:pt idx="200">
                  <c:v>50.003999999999998</c:v>
                </c:pt>
                <c:pt idx="201">
                  <c:v>50</c:v>
                </c:pt>
                <c:pt idx="202">
                  <c:v>50.005000000000003</c:v>
                </c:pt>
                <c:pt idx="203">
                  <c:v>49.999000000000002</c:v>
                </c:pt>
                <c:pt idx="204">
                  <c:v>50.002000000000002</c:v>
                </c:pt>
                <c:pt idx="205">
                  <c:v>49.997</c:v>
                </c:pt>
                <c:pt idx="206">
                  <c:v>50</c:v>
                </c:pt>
                <c:pt idx="207">
                  <c:v>49.997</c:v>
                </c:pt>
                <c:pt idx="208">
                  <c:v>49.999000000000002</c:v>
                </c:pt>
                <c:pt idx="209">
                  <c:v>50.002000000000002</c:v>
                </c:pt>
                <c:pt idx="210">
                  <c:v>49.999000000000002</c:v>
                </c:pt>
                <c:pt idx="211">
                  <c:v>50</c:v>
                </c:pt>
                <c:pt idx="212">
                  <c:v>49.994999999999997</c:v>
                </c:pt>
                <c:pt idx="213">
                  <c:v>49.999000000000002</c:v>
                </c:pt>
                <c:pt idx="214">
                  <c:v>50</c:v>
                </c:pt>
                <c:pt idx="215">
                  <c:v>49.999000000000002</c:v>
                </c:pt>
                <c:pt idx="216">
                  <c:v>49.999000000000002</c:v>
                </c:pt>
                <c:pt idx="217">
                  <c:v>50.002000000000002</c:v>
                </c:pt>
                <c:pt idx="218">
                  <c:v>49.999000000000002</c:v>
                </c:pt>
                <c:pt idx="219">
                  <c:v>49.997</c:v>
                </c:pt>
                <c:pt idx="220">
                  <c:v>49.999000000000002</c:v>
                </c:pt>
                <c:pt idx="221">
                  <c:v>49.997</c:v>
                </c:pt>
                <c:pt idx="222">
                  <c:v>50</c:v>
                </c:pt>
                <c:pt idx="223">
                  <c:v>50</c:v>
                </c:pt>
                <c:pt idx="224">
                  <c:v>49.999000000000002</c:v>
                </c:pt>
                <c:pt idx="225">
                  <c:v>50.003999999999998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50.003999999999998</c:v>
                </c:pt>
                <c:pt idx="231">
                  <c:v>50.002000000000002</c:v>
                </c:pt>
                <c:pt idx="232">
                  <c:v>50</c:v>
                </c:pt>
                <c:pt idx="233">
                  <c:v>49.999000000000002</c:v>
                </c:pt>
                <c:pt idx="234">
                  <c:v>49.999000000000002</c:v>
                </c:pt>
                <c:pt idx="235">
                  <c:v>50</c:v>
                </c:pt>
                <c:pt idx="236">
                  <c:v>49.999000000000002</c:v>
                </c:pt>
                <c:pt idx="237">
                  <c:v>49.999000000000002</c:v>
                </c:pt>
                <c:pt idx="238">
                  <c:v>49.999000000000002</c:v>
                </c:pt>
                <c:pt idx="239">
                  <c:v>49.997</c:v>
                </c:pt>
                <c:pt idx="240">
                  <c:v>49.997</c:v>
                </c:pt>
                <c:pt idx="241">
                  <c:v>49.997</c:v>
                </c:pt>
                <c:pt idx="242">
                  <c:v>49.999000000000002</c:v>
                </c:pt>
                <c:pt idx="243">
                  <c:v>50</c:v>
                </c:pt>
                <c:pt idx="244">
                  <c:v>50</c:v>
                </c:pt>
                <c:pt idx="245">
                  <c:v>50.002000000000002</c:v>
                </c:pt>
                <c:pt idx="246">
                  <c:v>49.999000000000002</c:v>
                </c:pt>
                <c:pt idx="247">
                  <c:v>49.997</c:v>
                </c:pt>
                <c:pt idx="248">
                  <c:v>50</c:v>
                </c:pt>
                <c:pt idx="249">
                  <c:v>50.003999999999998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AE-4DDB-B48C-7EADBE27AF23}"/>
            </c:ext>
          </c:extLst>
        </c:ser>
        <c:ser>
          <c:idx val="4"/>
          <c:order val="4"/>
          <c:tx>
            <c:strRef>
              <c:f>'FLL Transition'!$X$2:$X$3</c:f>
              <c:strCache>
                <c:ptCount val="2"/>
                <c:pt idx="0">
                  <c:v>FLL Transition  (40 -&gt; 50MHz) (FLT_GAIN, ERROR_RANGE)</c:v>
                </c:pt>
                <c:pt idx="1">
                  <c:v>(3, 3)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Transition'!$X$4:$X$253</c:f>
              <c:numCache>
                <c:formatCode>General</c:formatCode>
                <c:ptCount val="250"/>
                <c:pt idx="0">
                  <c:v>40.003</c:v>
                </c:pt>
                <c:pt idx="1">
                  <c:v>39.997999999999998</c:v>
                </c:pt>
                <c:pt idx="2">
                  <c:v>40.000999999999998</c:v>
                </c:pt>
                <c:pt idx="3">
                  <c:v>40.002000000000002</c:v>
                </c:pt>
                <c:pt idx="4">
                  <c:v>39.997999999999998</c:v>
                </c:pt>
                <c:pt idx="5">
                  <c:v>39.997999999999998</c:v>
                </c:pt>
                <c:pt idx="6">
                  <c:v>39.999000000000002</c:v>
                </c:pt>
                <c:pt idx="7">
                  <c:v>40.514000000000003</c:v>
                </c:pt>
                <c:pt idx="8">
                  <c:v>41.030999999999999</c:v>
                </c:pt>
                <c:pt idx="9">
                  <c:v>41.033999999999999</c:v>
                </c:pt>
                <c:pt idx="10">
                  <c:v>41.033999999999999</c:v>
                </c:pt>
                <c:pt idx="11">
                  <c:v>41.033999999999999</c:v>
                </c:pt>
                <c:pt idx="12">
                  <c:v>41.036000000000001</c:v>
                </c:pt>
                <c:pt idx="13">
                  <c:v>41.030999999999999</c:v>
                </c:pt>
                <c:pt idx="14">
                  <c:v>41.031999999999996</c:v>
                </c:pt>
                <c:pt idx="15">
                  <c:v>41.036000000000001</c:v>
                </c:pt>
                <c:pt idx="16">
                  <c:v>41.033999999999999</c:v>
                </c:pt>
                <c:pt idx="17">
                  <c:v>41.033999999999999</c:v>
                </c:pt>
                <c:pt idx="18">
                  <c:v>41.034999999999997</c:v>
                </c:pt>
                <c:pt idx="19">
                  <c:v>41.918999999999997</c:v>
                </c:pt>
                <c:pt idx="20">
                  <c:v>42.097000000000001</c:v>
                </c:pt>
                <c:pt idx="21">
                  <c:v>42.097000000000001</c:v>
                </c:pt>
                <c:pt idx="22">
                  <c:v>42.097999999999999</c:v>
                </c:pt>
                <c:pt idx="23">
                  <c:v>42.097000000000001</c:v>
                </c:pt>
                <c:pt idx="24">
                  <c:v>42.094999999999999</c:v>
                </c:pt>
                <c:pt idx="25">
                  <c:v>42.098999999999997</c:v>
                </c:pt>
                <c:pt idx="26">
                  <c:v>42.097999999999999</c:v>
                </c:pt>
                <c:pt idx="27">
                  <c:v>42.098999999999997</c:v>
                </c:pt>
                <c:pt idx="28">
                  <c:v>42.097000000000001</c:v>
                </c:pt>
                <c:pt idx="29">
                  <c:v>42.1</c:v>
                </c:pt>
                <c:pt idx="30">
                  <c:v>42.097000000000001</c:v>
                </c:pt>
                <c:pt idx="31">
                  <c:v>42.988</c:v>
                </c:pt>
                <c:pt idx="32">
                  <c:v>43.183999999999997</c:v>
                </c:pt>
                <c:pt idx="33">
                  <c:v>43.183999999999997</c:v>
                </c:pt>
                <c:pt idx="34">
                  <c:v>43.185000000000002</c:v>
                </c:pt>
                <c:pt idx="35">
                  <c:v>43.18</c:v>
                </c:pt>
                <c:pt idx="36">
                  <c:v>43.180999999999997</c:v>
                </c:pt>
                <c:pt idx="37">
                  <c:v>43.18</c:v>
                </c:pt>
                <c:pt idx="38">
                  <c:v>43.18</c:v>
                </c:pt>
                <c:pt idx="39">
                  <c:v>43.180999999999997</c:v>
                </c:pt>
                <c:pt idx="40">
                  <c:v>43.180999999999997</c:v>
                </c:pt>
                <c:pt idx="41">
                  <c:v>43.180999999999997</c:v>
                </c:pt>
                <c:pt idx="42">
                  <c:v>43.180999999999997</c:v>
                </c:pt>
                <c:pt idx="43">
                  <c:v>43.511000000000003</c:v>
                </c:pt>
                <c:pt idx="44">
                  <c:v>44.277999999999999</c:v>
                </c:pt>
                <c:pt idx="45">
                  <c:v>44.277999999999999</c:v>
                </c:pt>
                <c:pt idx="46">
                  <c:v>44.280999999999999</c:v>
                </c:pt>
                <c:pt idx="47">
                  <c:v>44.276000000000003</c:v>
                </c:pt>
                <c:pt idx="48">
                  <c:v>44.277999999999999</c:v>
                </c:pt>
                <c:pt idx="49">
                  <c:v>44.280999999999999</c:v>
                </c:pt>
                <c:pt idx="50">
                  <c:v>44.28</c:v>
                </c:pt>
                <c:pt idx="51">
                  <c:v>44.28</c:v>
                </c:pt>
                <c:pt idx="52">
                  <c:v>44.28</c:v>
                </c:pt>
                <c:pt idx="53">
                  <c:v>44.281999999999996</c:v>
                </c:pt>
                <c:pt idx="54">
                  <c:v>44.281999999999996</c:v>
                </c:pt>
                <c:pt idx="55">
                  <c:v>44.280999999999999</c:v>
                </c:pt>
                <c:pt idx="56">
                  <c:v>45.368000000000002</c:v>
                </c:pt>
                <c:pt idx="57">
                  <c:v>45.378</c:v>
                </c:pt>
                <c:pt idx="58">
                  <c:v>45.375</c:v>
                </c:pt>
                <c:pt idx="59">
                  <c:v>45.377000000000002</c:v>
                </c:pt>
                <c:pt idx="60">
                  <c:v>45.377000000000002</c:v>
                </c:pt>
                <c:pt idx="61">
                  <c:v>45.378</c:v>
                </c:pt>
                <c:pt idx="62">
                  <c:v>45.378999999999998</c:v>
                </c:pt>
                <c:pt idx="63">
                  <c:v>45.372</c:v>
                </c:pt>
                <c:pt idx="64">
                  <c:v>45.381</c:v>
                </c:pt>
                <c:pt idx="65">
                  <c:v>45.378999999999998</c:v>
                </c:pt>
                <c:pt idx="66">
                  <c:v>45.378</c:v>
                </c:pt>
                <c:pt idx="67">
                  <c:v>45.378</c:v>
                </c:pt>
                <c:pt idx="68">
                  <c:v>45.378999999999998</c:v>
                </c:pt>
                <c:pt idx="69">
                  <c:v>46.481000000000002</c:v>
                </c:pt>
                <c:pt idx="70">
                  <c:v>46.503</c:v>
                </c:pt>
                <c:pt idx="71">
                  <c:v>46.503</c:v>
                </c:pt>
                <c:pt idx="72">
                  <c:v>46.503</c:v>
                </c:pt>
                <c:pt idx="73">
                  <c:v>46.503</c:v>
                </c:pt>
                <c:pt idx="74">
                  <c:v>46.503</c:v>
                </c:pt>
                <c:pt idx="75">
                  <c:v>46.503999999999998</c:v>
                </c:pt>
                <c:pt idx="76">
                  <c:v>46.500999999999998</c:v>
                </c:pt>
                <c:pt idx="77">
                  <c:v>46.5</c:v>
                </c:pt>
                <c:pt idx="78">
                  <c:v>46.500999999999998</c:v>
                </c:pt>
                <c:pt idx="79">
                  <c:v>46.503</c:v>
                </c:pt>
                <c:pt idx="80">
                  <c:v>46.503999999999998</c:v>
                </c:pt>
                <c:pt idx="81">
                  <c:v>46.500999999999998</c:v>
                </c:pt>
                <c:pt idx="82">
                  <c:v>47.031999999999996</c:v>
                </c:pt>
                <c:pt idx="83">
                  <c:v>47.662999999999997</c:v>
                </c:pt>
                <c:pt idx="84">
                  <c:v>47.665999999999997</c:v>
                </c:pt>
                <c:pt idx="85">
                  <c:v>47.665999999999997</c:v>
                </c:pt>
                <c:pt idx="86">
                  <c:v>47.667999999999999</c:v>
                </c:pt>
                <c:pt idx="87">
                  <c:v>47.664999999999999</c:v>
                </c:pt>
                <c:pt idx="88">
                  <c:v>47.665999999999997</c:v>
                </c:pt>
                <c:pt idx="89">
                  <c:v>47.661999999999999</c:v>
                </c:pt>
                <c:pt idx="90">
                  <c:v>47.662999999999997</c:v>
                </c:pt>
                <c:pt idx="91">
                  <c:v>47.665999999999997</c:v>
                </c:pt>
                <c:pt idx="92">
                  <c:v>47.664999999999999</c:v>
                </c:pt>
                <c:pt idx="93">
                  <c:v>47.664999999999999</c:v>
                </c:pt>
                <c:pt idx="94">
                  <c:v>47.665999999999997</c:v>
                </c:pt>
                <c:pt idx="95">
                  <c:v>47.665999999999997</c:v>
                </c:pt>
                <c:pt idx="96">
                  <c:v>48.865000000000002</c:v>
                </c:pt>
                <c:pt idx="97">
                  <c:v>48.863999999999997</c:v>
                </c:pt>
                <c:pt idx="98">
                  <c:v>48.87</c:v>
                </c:pt>
                <c:pt idx="99">
                  <c:v>48.865000000000002</c:v>
                </c:pt>
                <c:pt idx="100">
                  <c:v>48.866999999999997</c:v>
                </c:pt>
                <c:pt idx="101">
                  <c:v>48.865000000000002</c:v>
                </c:pt>
                <c:pt idx="102">
                  <c:v>48.866999999999997</c:v>
                </c:pt>
                <c:pt idx="103">
                  <c:v>48.865000000000002</c:v>
                </c:pt>
                <c:pt idx="104">
                  <c:v>48.866999999999997</c:v>
                </c:pt>
                <c:pt idx="105">
                  <c:v>48.865000000000002</c:v>
                </c:pt>
                <c:pt idx="106">
                  <c:v>48.866999999999997</c:v>
                </c:pt>
                <c:pt idx="107">
                  <c:v>48.863999999999997</c:v>
                </c:pt>
                <c:pt idx="108">
                  <c:v>48.869</c:v>
                </c:pt>
                <c:pt idx="109">
                  <c:v>48.869</c:v>
                </c:pt>
                <c:pt idx="110">
                  <c:v>50.082000000000001</c:v>
                </c:pt>
                <c:pt idx="111">
                  <c:v>50.085000000000001</c:v>
                </c:pt>
                <c:pt idx="112">
                  <c:v>50.082000000000001</c:v>
                </c:pt>
                <c:pt idx="113">
                  <c:v>50.085000000000001</c:v>
                </c:pt>
                <c:pt idx="114">
                  <c:v>50.084000000000003</c:v>
                </c:pt>
                <c:pt idx="115">
                  <c:v>50.08</c:v>
                </c:pt>
                <c:pt idx="116">
                  <c:v>50.082000000000001</c:v>
                </c:pt>
                <c:pt idx="117">
                  <c:v>50.085000000000001</c:v>
                </c:pt>
                <c:pt idx="118">
                  <c:v>50.082000000000001</c:v>
                </c:pt>
                <c:pt idx="119">
                  <c:v>50.085000000000001</c:v>
                </c:pt>
                <c:pt idx="120">
                  <c:v>50.085000000000001</c:v>
                </c:pt>
                <c:pt idx="121">
                  <c:v>50.084000000000003</c:v>
                </c:pt>
                <c:pt idx="122">
                  <c:v>50.084000000000003</c:v>
                </c:pt>
                <c:pt idx="123">
                  <c:v>50.084000000000003</c:v>
                </c:pt>
                <c:pt idx="124">
                  <c:v>50.033999999999999</c:v>
                </c:pt>
                <c:pt idx="125">
                  <c:v>49.98</c:v>
                </c:pt>
                <c:pt idx="126">
                  <c:v>49.982999999999997</c:v>
                </c:pt>
                <c:pt idx="127">
                  <c:v>49.981999999999999</c:v>
                </c:pt>
                <c:pt idx="128">
                  <c:v>49.982999999999997</c:v>
                </c:pt>
                <c:pt idx="129">
                  <c:v>49.981999999999999</c:v>
                </c:pt>
                <c:pt idx="130">
                  <c:v>49.98</c:v>
                </c:pt>
                <c:pt idx="131">
                  <c:v>49.982999999999997</c:v>
                </c:pt>
                <c:pt idx="132">
                  <c:v>49.984999999999999</c:v>
                </c:pt>
                <c:pt idx="133">
                  <c:v>49.984999999999999</c:v>
                </c:pt>
                <c:pt idx="134">
                  <c:v>49.982999999999997</c:v>
                </c:pt>
                <c:pt idx="135">
                  <c:v>49.982999999999997</c:v>
                </c:pt>
                <c:pt idx="136">
                  <c:v>49.987000000000002</c:v>
                </c:pt>
                <c:pt idx="137">
                  <c:v>49.982999999999997</c:v>
                </c:pt>
                <c:pt idx="138">
                  <c:v>49.982999999999997</c:v>
                </c:pt>
                <c:pt idx="139">
                  <c:v>50.005000000000003</c:v>
                </c:pt>
                <c:pt idx="140">
                  <c:v>50.009</c:v>
                </c:pt>
                <c:pt idx="141">
                  <c:v>50.003999999999998</c:v>
                </c:pt>
                <c:pt idx="142">
                  <c:v>50.003999999999998</c:v>
                </c:pt>
                <c:pt idx="143">
                  <c:v>50.005000000000003</c:v>
                </c:pt>
                <c:pt idx="144">
                  <c:v>50.006999999999998</c:v>
                </c:pt>
                <c:pt idx="145">
                  <c:v>50.002000000000002</c:v>
                </c:pt>
                <c:pt idx="146">
                  <c:v>50.002000000000002</c:v>
                </c:pt>
                <c:pt idx="147">
                  <c:v>50.005000000000003</c:v>
                </c:pt>
                <c:pt idx="148">
                  <c:v>50.006999999999998</c:v>
                </c:pt>
                <c:pt idx="149">
                  <c:v>50.006999999999998</c:v>
                </c:pt>
                <c:pt idx="150">
                  <c:v>50.006999999999998</c:v>
                </c:pt>
                <c:pt idx="151">
                  <c:v>50.009</c:v>
                </c:pt>
                <c:pt idx="152">
                  <c:v>50.003999999999998</c:v>
                </c:pt>
                <c:pt idx="153">
                  <c:v>49.999000000000002</c:v>
                </c:pt>
                <c:pt idx="154">
                  <c:v>49.994999999999997</c:v>
                </c:pt>
                <c:pt idx="155">
                  <c:v>49.997</c:v>
                </c:pt>
                <c:pt idx="156">
                  <c:v>50</c:v>
                </c:pt>
                <c:pt idx="157">
                  <c:v>49.999000000000002</c:v>
                </c:pt>
                <c:pt idx="158">
                  <c:v>49.999000000000002</c:v>
                </c:pt>
                <c:pt idx="159">
                  <c:v>49.997</c:v>
                </c:pt>
                <c:pt idx="160">
                  <c:v>49.997</c:v>
                </c:pt>
                <c:pt idx="161">
                  <c:v>49.999000000000002</c:v>
                </c:pt>
                <c:pt idx="162">
                  <c:v>49.997</c:v>
                </c:pt>
                <c:pt idx="163">
                  <c:v>50.002000000000002</c:v>
                </c:pt>
                <c:pt idx="164">
                  <c:v>49.994999999999997</c:v>
                </c:pt>
                <c:pt idx="165">
                  <c:v>49.994999999999997</c:v>
                </c:pt>
                <c:pt idx="166">
                  <c:v>49.994999999999997</c:v>
                </c:pt>
                <c:pt idx="167">
                  <c:v>50</c:v>
                </c:pt>
                <c:pt idx="168">
                  <c:v>50.003999999999998</c:v>
                </c:pt>
                <c:pt idx="169">
                  <c:v>50.005000000000003</c:v>
                </c:pt>
                <c:pt idx="170">
                  <c:v>50.003999999999998</c:v>
                </c:pt>
                <c:pt idx="171">
                  <c:v>49.997</c:v>
                </c:pt>
                <c:pt idx="172">
                  <c:v>50.002000000000002</c:v>
                </c:pt>
                <c:pt idx="173">
                  <c:v>50</c:v>
                </c:pt>
                <c:pt idx="174">
                  <c:v>49.999000000000002</c:v>
                </c:pt>
                <c:pt idx="175">
                  <c:v>50.002000000000002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50.002000000000002</c:v>
                </c:pt>
                <c:pt idx="180">
                  <c:v>49.999000000000002</c:v>
                </c:pt>
                <c:pt idx="181">
                  <c:v>50.003999999999998</c:v>
                </c:pt>
                <c:pt idx="182">
                  <c:v>50</c:v>
                </c:pt>
                <c:pt idx="183">
                  <c:v>50</c:v>
                </c:pt>
                <c:pt idx="184">
                  <c:v>49.999000000000002</c:v>
                </c:pt>
                <c:pt idx="185">
                  <c:v>50.002000000000002</c:v>
                </c:pt>
                <c:pt idx="186">
                  <c:v>50</c:v>
                </c:pt>
                <c:pt idx="187">
                  <c:v>50.005000000000003</c:v>
                </c:pt>
                <c:pt idx="188">
                  <c:v>50.002000000000002</c:v>
                </c:pt>
                <c:pt idx="189">
                  <c:v>50.003999999999998</c:v>
                </c:pt>
                <c:pt idx="190">
                  <c:v>49.999000000000002</c:v>
                </c:pt>
                <c:pt idx="191">
                  <c:v>49.999000000000002</c:v>
                </c:pt>
                <c:pt idx="192">
                  <c:v>50</c:v>
                </c:pt>
                <c:pt idx="193">
                  <c:v>50.002000000000002</c:v>
                </c:pt>
                <c:pt idx="194">
                  <c:v>50.002000000000002</c:v>
                </c:pt>
                <c:pt idx="195">
                  <c:v>49.999000000000002</c:v>
                </c:pt>
                <c:pt idx="196">
                  <c:v>50</c:v>
                </c:pt>
                <c:pt idx="197">
                  <c:v>49.999000000000002</c:v>
                </c:pt>
                <c:pt idx="198">
                  <c:v>49.997</c:v>
                </c:pt>
                <c:pt idx="199">
                  <c:v>49.997</c:v>
                </c:pt>
                <c:pt idx="200">
                  <c:v>49.999000000000002</c:v>
                </c:pt>
                <c:pt idx="201">
                  <c:v>49.994999999999997</c:v>
                </c:pt>
                <c:pt idx="202">
                  <c:v>49.997</c:v>
                </c:pt>
                <c:pt idx="203">
                  <c:v>49.997</c:v>
                </c:pt>
                <c:pt idx="204">
                  <c:v>49.997</c:v>
                </c:pt>
                <c:pt idx="205">
                  <c:v>50</c:v>
                </c:pt>
                <c:pt idx="206">
                  <c:v>50</c:v>
                </c:pt>
                <c:pt idx="207">
                  <c:v>49.997</c:v>
                </c:pt>
                <c:pt idx="208">
                  <c:v>49.999000000000002</c:v>
                </c:pt>
                <c:pt idx="209">
                  <c:v>49.997</c:v>
                </c:pt>
                <c:pt idx="210">
                  <c:v>50.003999999999998</c:v>
                </c:pt>
                <c:pt idx="211">
                  <c:v>50</c:v>
                </c:pt>
                <c:pt idx="212">
                  <c:v>50.002000000000002</c:v>
                </c:pt>
                <c:pt idx="213">
                  <c:v>50</c:v>
                </c:pt>
                <c:pt idx="214">
                  <c:v>50</c:v>
                </c:pt>
                <c:pt idx="215">
                  <c:v>50.002000000000002</c:v>
                </c:pt>
                <c:pt idx="216">
                  <c:v>49.997</c:v>
                </c:pt>
                <c:pt idx="217">
                  <c:v>49.994999999999997</c:v>
                </c:pt>
                <c:pt idx="218">
                  <c:v>49.999000000000002</c:v>
                </c:pt>
                <c:pt idx="219">
                  <c:v>49.999000000000002</c:v>
                </c:pt>
                <c:pt idx="220">
                  <c:v>49.999000000000002</c:v>
                </c:pt>
                <c:pt idx="221">
                  <c:v>50</c:v>
                </c:pt>
                <c:pt idx="222">
                  <c:v>50.003999999999998</c:v>
                </c:pt>
                <c:pt idx="223">
                  <c:v>50.003999999999998</c:v>
                </c:pt>
                <c:pt idx="224">
                  <c:v>50.003999999999998</c:v>
                </c:pt>
                <c:pt idx="225">
                  <c:v>50.002000000000002</c:v>
                </c:pt>
                <c:pt idx="226">
                  <c:v>50.005000000000003</c:v>
                </c:pt>
                <c:pt idx="227">
                  <c:v>50.002000000000002</c:v>
                </c:pt>
                <c:pt idx="228">
                  <c:v>49.999000000000002</c:v>
                </c:pt>
                <c:pt idx="229">
                  <c:v>49.994999999999997</c:v>
                </c:pt>
                <c:pt idx="230">
                  <c:v>49.997</c:v>
                </c:pt>
                <c:pt idx="231">
                  <c:v>50.002000000000002</c:v>
                </c:pt>
                <c:pt idx="232">
                  <c:v>50.003999999999998</c:v>
                </c:pt>
                <c:pt idx="233">
                  <c:v>50</c:v>
                </c:pt>
                <c:pt idx="234">
                  <c:v>50</c:v>
                </c:pt>
                <c:pt idx="235">
                  <c:v>50.002000000000002</c:v>
                </c:pt>
                <c:pt idx="236">
                  <c:v>50</c:v>
                </c:pt>
                <c:pt idx="237">
                  <c:v>49.999000000000002</c:v>
                </c:pt>
                <c:pt idx="238">
                  <c:v>50.002000000000002</c:v>
                </c:pt>
                <c:pt idx="239">
                  <c:v>50.002000000000002</c:v>
                </c:pt>
                <c:pt idx="240">
                  <c:v>50</c:v>
                </c:pt>
                <c:pt idx="241">
                  <c:v>50.005000000000003</c:v>
                </c:pt>
                <c:pt idx="242">
                  <c:v>50</c:v>
                </c:pt>
                <c:pt idx="243">
                  <c:v>50.002000000000002</c:v>
                </c:pt>
                <c:pt idx="244">
                  <c:v>50</c:v>
                </c:pt>
                <c:pt idx="245">
                  <c:v>50</c:v>
                </c:pt>
                <c:pt idx="246">
                  <c:v>49.999000000000002</c:v>
                </c:pt>
                <c:pt idx="247">
                  <c:v>49.999000000000002</c:v>
                </c:pt>
                <c:pt idx="248">
                  <c:v>49.994999999999997</c:v>
                </c:pt>
                <c:pt idx="249">
                  <c:v>49.997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AE-4DDB-B48C-7EADBE27A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866976"/>
        <c:axId val="1895115408"/>
      </c:scatterChart>
      <c:valAx>
        <c:axId val="182886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95115408"/>
        <c:crosses val="autoZero"/>
        <c:crossBetween val="midCat"/>
      </c:valAx>
      <c:valAx>
        <c:axId val="1895115408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886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40M - 50M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cat>
          <c:val>
            <c:numRef>
              <c:f>'FLL Transition'!$AS$4:$AS$253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40.002000000000002</c:v>
                </c:pt>
                <c:pt idx="2">
                  <c:v>40.000999999999998</c:v>
                </c:pt>
                <c:pt idx="3">
                  <c:v>39.999000000000002</c:v>
                </c:pt>
                <c:pt idx="4">
                  <c:v>39.999000000000002</c:v>
                </c:pt>
                <c:pt idx="5">
                  <c:v>40.002000000000002</c:v>
                </c:pt>
                <c:pt idx="6">
                  <c:v>40.000999999999998</c:v>
                </c:pt>
                <c:pt idx="7">
                  <c:v>39.999000000000002</c:v>
                </c:pt>
                <c:pt idx="8">
                  <c:v>42.064</c:v>
                </c:pt>
                <c:pt idx="9">
                  <c:v>42.063000000000002</c:v>
                </c:pt>
                <c:pt idx="10">
                  <c:v>42.061</c:v>
                </c:pt>
                <c:pt idx="11">
                  <c:v>42.061999999999998</c:v>
                </c:pt>
                <c:pt idx="12">
                  <c:v>42.064</c:v>
                </c:pt>
                <c:pt idx="13">
                  <c:v>42.064999999999998</c:v>
                </c:pt>
                <c:pt idx="14">
                  <c:v>42.061</c:v>
                </c:pt>
                <c:pt idx="15">
                  <c:v>42.061999999999998</c:v>
                </c:pt>
                <c:pt idx="16">
                  <c:v>42.061999999999998</c:v>
                </c:pt>
                <c:pt idx="17">
                  <c:v>42.064</c:v>
                </c:pt>
                <c:pt idx="18">
                  <c:v>42.063000000000002</c:v>
                </c:pt>
                <c:pt idx="19">
                  <c:v>42.762999999999998</c:v>
                </c:pt>
                <c:pt idx="20">
                  <c:v>44.207000000000001</c:v>
                </c:pt>
                <c:pt idx="21">
                  <c:v>44.209000000000003</c:v>
                </c:pt>
                <c:pt idx="22">
                  <c:v>44.204999999999998</c:v>
                </c:pt>
                <c:pt idx="23">
                  <c:v>44.207000000000001</c:v>
                </c:pt>
                <c:pt idx="24">
                  <c:v>44.204000000000001</c:v>
                </c:pt>
                <c:pt idx="25">
                  <c:v>44.203000000000003</c:v>
                </c:pt>
                <c:pt idx="26">
                  <c:v>44.203000000000003</c:v>
                </c:pt>
                <c:pt idx="27">
                  <c:v>44.204000000000001</c:v>
                </c:pt>
                <c:pt idx="28">
                  <c:v>44.207000000000001</c:v>
                </c:pt>
                <c:pt idx="29">
                  <c:v>44.207999999999998</c:v>
                </c:pt>
                <c:pt idx="30">
                  <c:v>44.207999999999998</c:v>
                </c:pt>
                <c:pt idx="31">
                  <c:v>44.204999999999998</c:v>
                </c:pt>
                <c:pt idx="32">
                  <c:v>45.798000000000002</c:v>
                </c:pt>
                <c:pt idx="33">
                  <c:v>45.807000000000002</c:v>
                </c:pt>
                <c:pt idx="34">
                  <c:v>45.807000000000002</c:v>
                </c:pt>
                <c:pt idx="35">
                  <c:v>45.805</c:v>
                </c:pt>
                <c:pt idx="36">
                  <c:v>45.807000000000002</c:v>
                </c:pt>
                <c:pt idx="37">
                  <c:v>45.807000000000002</c:v>
                </c:pt>
                <c:pt idx="38">
                  <c:v>45.808999999999997</c:v>
                </c:pt>
                <c:pt idx="39">
                  <c:v>45.807000000000002</c:v>
                </c:pt>
                <c:pt idx="40">
                  <c:v>45.808999999999997</c:v>
                </c:pt>
                <c:pt idx="41">
                  <c:v>45.811</c:v>
                </c:pt>
                <c:pt idx="42">
                  <c:v>45.804000000000002</c:v>
                </c:pt>
                <c:pt idx="43">
                  <c:v>45.808</c:v>
                </c:pt>
                <c:pt idx="44">
                  <c:v>45.805</c:v>
                </c:pt>
                <c:pt idx="45">
                  <c:v>46.759</c:v>
                </c:pt>
                <c:pt idx="46">
                  <c:v>47.014000000000003</c:v>
                </c:pt>
                <c:pt idx="47">
                  <c:v>47.017000000000003</c:v>
                </c:pt>
                <c:pt idx="48">
                  <c:v>47.014000000000003</c:v>
                </c:pt>
                <c:pt idx="49">
                  <c:v>47.017000000000003</c:v>
                </c:pt>
                <c:pt idx="50">
                  <c:v>47.017000000000003</c:v>
                </c:pt>
                <c:pt idx="51">
                  <c:v>47.02</c:v>
                </c:pt>
                <c:pt idx="52">
                  <c:v>47.015999999999998</c:v>
                </c:pt>
                <c:pt idx="53">
                  <c:v>47.012999999999998</c:v>
                </c:pt>
                <c:pt idx="54">
                  <c:v>47.017000000000003</c:v>
                </c:pt>
                <c:pt idx="55">
                  <c:v>47.018999999999998</c:v>
                </c:pt>
                <c:pt idx="56">
                  <c:v>47.012999999999998</c:v>
                </c:pt>
                <c:pt idx="57">
                  <c:v>47.018999999999998</c:v>
                </c:pt>
                <c:pt idx="58">
                  <c:v>47.015999999999998</c:v>
                </c:pt>
                <c:pt idx="59">
                  <c:v>47.899000000000001</c:v>
                </c:pt>
                <c:pt idx="60">
                  <c:v>47.902000000000001</c:v>
                </c:pt>
                <c:pt idx="61">
                  <c:v>47.899000000000001</c:v>
                </c:pt>
                <c:pt idx="62">
                  <c:v>47.9</c:v>
                </c:pt>
                <c:pt idx="63">
                  <c:v>47.9</c:v>
                </c:pt>
                <c:pt idx="64">
                  <c:v>47.9</c:v>
                </c:pt>
                <c:pt idx="65">
                  <c:v>47.902000000000001</c:v>
                </c:pt>
                <c:pt idx="66">
                  <c:v>47.899000000000001</c:v>
                </c:pt>
                <c:pt idx="67">
                  <c:v>47.9</c:v>
                </c:pt>
                <c:pt idx="68">
                  <c:v>47.899000000000001</c:v>
                </c:pt>
                <c:pt idx="69">
                  <c:v>47.899000000000001</c:v>
                </c:pt>
                <c:pt idx="70">
                  <c:v>47.899000000000001</c:v>
                </c:pt>
                <c:pt idx="71">
                  <c:v>47.896999999999998</c:v>
                </c:pt>
                <c:pt idx="72">
                  <c:v>47.9</c:v>
                </c:pt>
                <c:pt idx="73">
                  <c:v>48.533999999999999</c:v>
                </c:pt>
                <c:pt idx="74">
                  <c:v>48.536999999999999</c:v>
                </c:pt>
                <c:pt idx="75">
                  <c:v>48.539000000000001</c:v>
                </c:pt>
                <c:pt idx="76">
                  <c:v>48.539000000000001</c:v>
                </c:pt>
                <c:pt idx="77">
                  <c:v>48.536999999999999</c:v>
                </c:pt>
                <c:pt idx="78">
                  <c:v>48.539000000000001</c:v>
                </c:pt>
                <c:pt idx="79">
                  <c:v>48.539000000000001</c:v>
                </c:pt>
                <c:pt idx="80">
                  <c:v>48.536999999999999</c:v>
                </c:pt>
                <c:pt idx="81">
                  <c:v>48.536000000000001</c:v>
                </c:pt>
                <c:pt idx="82">
                  <c:v>48.536999999999999</c:v>
                </c:pt>
                <c:pt idx="83">
                  <c:v>48.54</c:v>
                </c:pt>
                <c:pt idx="84">
                  <c:v>48.530999999999999</c:v>
                </c:pt>
                <c:pt idx="85">
                  <c:v>48.536999999999999</c:v>
                </c:pt>
                <c:pt idx="86">
                  <c:v>48.536999999999999</c:v>
                </c:pt>
                <c:pt idx="87">
                  <c:v>48.984000000000002</c:v>
                </c:pt>
                <c:pt idx="88">
                  <c:v>48.987000000000002</c:v>
                </c:pt>
                <c:pt idx="89">
                  <c:v>48.987000000000002</c:v>
                </c:pt>
                <c:pt idx="90">
                  <c:v>48.984000000000002</c:v>
                </c:pt>
                <c:pt idx="91">
                  <c:v>48.987000000000002</c:v>
                </c:pt>
                <c:pt idx="92">
                  <c:v>48.987000000000002</c:v>
                </c:pt>
                <c:pt idx="93">
                  <c:v>48.984999999999999</c:v>
                </c:pt>
                <c:pt idx="94">
                  <c:v>48.984999999999999</c:v>
                </c:pt>
                <c:pt idx="95">
                  <c:v>48.987000000000002</c:v>
                </c:pt>
                <c:pt idx="96">
                  <c:v>48.984999999999999</c:v>
                </c:pt>
                <c:pt idx="97">
                  <c:v>48.987000000000002</c:v>
                </c:pt>
                <c:pt idx="98">
                  <c:v>48.987000000000002</c:v>
                </c:pt>
                <c:pt idx="99">
                  <c:v>48.984999999999999</c:v>
                </c:pt>
                <c:pt idx="100">
                  <c:v>48.987000000000002</c:v>
                </c:pt>
                <c:pt idx="101">
                  <c:v>49.298000000000002</c:v>
                </c:pt>
                <c:pt idx="102">
                  <c:v>49.292999999999999</c:v>
                </c:pt>
                <c:pt idx="103">
                  <c:v>49.298000000000002</c:v>
                </c:pt>
                <c:pt idx="104">
                  <c:v>49.298000000000002</c:v>
                </c:pt>
                <c:pt idx="105">
                  <c:v>49.296999999999997</c:v>
                </c:pt>
                <c:pt idx="106">
                  <c:v>49.296999999999997</c:v>
                </c:pt>
                <c:pt idx="107">
                  <c:v>49.295000000000002</c:v>
                </c:pt>
                <c:pt idx="108">
                  <c:v>49.298000000000002</c:v>
                </c:pt>
                <c:pt idx="109">
                  <c:v>49.3</c:v>
                </c:pt>
                <c:pt idx="110">
                  <c:v>49.3</c:v>
                </c:pt>
                <c:pt idx="111">
                  <c:v>49.296999999999997</c:v>
                </c:pt>
                <c:pt idx="112">
                  <c:v>49.298000000000002</c:v>
                </c:pt>
                <c:pt idx="113">
                  <c:v>49.295000000000002</c:v>
                </c:pt>
                <c:pt idx="114">
                  <c:v>49.302</c:v>
                </c:pt>
                <c:pt idx="115">
                  <c:v>49.487000000000002</c:v>
                </c:pt>
                <c:pt idx="116">
                  <c:v>49.51</c:v>
                </c:pt>
                <c:pt idx="117">
                  <c:v>49.512</c:v>
                </c:pt>
                <c:pt idx="118">
                  <c:v>49.515000000000001</c:v>
                </c:pt>
                <c:pt idx="119">
                  <c:v>49.512999999999998</c:v>
                </c:pt>
                <c:pt idx="120">
                  <c:v>49.512999999999998</c:v>
                </c:pt>
                <c:pt idx="121">
                  <c:v>49.512999999999998</c:v>
                </c:pt>
                <c:pt idx="122">
                  <c:v>49.512999999999998</c:v>
                </c:pt>
                <c:pt idx="123">
                  <c:v>49.512</c:v>
                </c:pt>
                <c:pt idx="124">
                  <c:v>49.515000000000001</c:v>
                </c:pt>
                <c:pt idx="125">
                  <c:v>49.51</c:v>
                </c:pt>
                <c:pt idx="126">
                  <c:v>49.51</c:v>
                </c:pt>
                <c:pt idx="127">
                  <c:v>49.508000000000003</c:v>
                </c:pt>
                <c:pt idx="128">
                  <c:v>49.515000000000001</c:v>
                </c:pt>
                <c:pt idx="129">
                  <c:v>49.552</c:v>
                </c:pt>
                <c:pt idx="130">
                  <c:v>49.661999999999999</c:v>
                </c:pt>
                <c:pt idx="131">
                  <c:v>49.668999999999997</c:v>
                </c:pt>
                <c:pt idx="132">
                  <c:v>49.664999999999999</c:v>
                </c:pt>
                <c:pt idx="133">
                  <c:v>49.661999999999999</c:v>
                </c:pt>
                <c:pt idx="134">
                  <c:v>49.664000000000001</c:v>
                </c:pt>
                <c:pt idx="135">
                  <c:v>49.661999999999999</c:v>
                </c:pt>
                <c:pt idx="136">
                  <c:v>49.661999999999999</c:v>
                </c:pt>
                <c:pt idx="137">
                  <c:v>49.658999999999999</c:v>
                </c:pt>
                <c:pt idx="138">
                  <c:v>49.66</c:v>
                </c:pt>
                <c:pt idx="139">
                  <c:v>49.661999999999999</c:v>
                </c:pt>
                <c:pt idx="140">
                  <c:v>49.661999999999999</c:v>
                </c:pt>
                <c:pt idx="141">
                  <c:v>49.661999999999999</c:v>
                </c:pt>
                <c:pt idx="142">
                  <c:v>49.661999999999999</c:v>
                </c:pt>
                <c:pt idx="143">
                  <c:v>49.682000000000002</c:v>
                </c:pt>
                <c:pt idx="144">
                  <c:v>49.767000000000003</c:v>
                </c:pt>
                <c:pt idx="145">
                  <c:v>49.764000000000003</c:v>
                </c:pt>
                <c:pt idx="146">
                  <c:v>49.765999999999998</c:v>
                </c:pt>
                <c:pt idx="147">
                  <c:v>49.765999999999998</c:v>
                </c:pt>
                <c:pt idx="148">
                  <c:v>49.767000000000003</c:v>
                </c:pt>
                <c:pt idx="149">
                  <c:v>49.768999999999998</c:v>
                </c:pt>
                <c:pt idx="150">
                  <c:v>49.768999999999998</c:v>
                </c:pt>
                <c:pt idx="151">
                  <c:v>49.767000000000003</c:v>
                </c:pt>
                <c:pt idx="152">
                  <c:v>49.764000000000003</c:v>
                </c:pt>
                <c:pt idx="153">
                  <c:v>49.765999999999998</c:v>
                </c:pt>
                <c:pt idx="154">
                  <c:v>49.765999999999998</c:v>
                </c:pt>
                <c:pt idx="155">
                  <c:v>49.765999999999998</c:v>
                </c:pt>
                <c:pt idx="156">
                  <c:v>49.768999999999998</c:v>
                </c:pt>
                <c:pt idx="157">
                  <c:v>49.776000000000003</c:v>
                </c:pt>
                <c:pt idx="158">
                  <c:v>49.835999999999999</c:v>
                </c:pt>
                <c:pt idx="159">
                  <c:v>49.838000000000001</c:v>
                </c:pt>
                <c:pt idx="160">
                  <c:v>49.838000000000001</c:v>
                </c:pt>
                <c:pt idx="161">
                  <c:v>49.841000000000001</c:v>
                </c:pt>
                <c:pt idx="162">
                  <c:v>49.838000000000001</c:v>
                </c:pt>
                <c:pt idx="163">
                  <c:v>49.838000000000001</c:v>
                </c:pt>
                <c:pt idx="164">
                  <c:v>49.84</c:v>
                </c:pt>
                <c:pt idx="165">
                  <c:v>49.835000000000001</c:v>
                </c:pt>
                <c:pt idx="166">
                  <c:v>49.84</c:v>
                </c:pt>
                <c:pt idx="167">
                  <c:v>49.841000000000001</c:v>
                </c:pt>
                <c:pt idx="168">
                  <c:v>49.838000000000001</c:v>
                </c:pt>
                <c:pt idx="169">
                  <c:v>49.841000000000001</c:v>
                </c:pt>
                <c:pt idx="170">
                  <c:v>49.838000000000001</c:v>
                </c:pt>
                <c:pt idx="171">
                  <c:v>49.844999999999999</c:v>
                </c:pt>
                <c:pt idx="172">
                  <c:v>49.889000000000003</c:v>
                </c:pt>
                <c:pt idx="173">
                  <c:v>49.887</c:v>
                </c:pt>
                <c:pt idx="174">
                  <c:v>49.89</c:v>
                </c:pt>
                <c:pt idx="175">
                  <c:v>49.89</c:v>
                </c:pt>
                <c:pt idx="176">
                  <c:v>49.887</c:v>
                </c:pt>
                <c:pt idx="177">
                  <c:v>49.88</c:v>
                </c:pt>
                <c:pt idx="178">
                  <c:v>49.887</c:v>
                </c:pt>
                <c:pt idx="179">
                  <c:v>49.893999999999998</c:v>
                </c:pt>
                <c:pt idx="180">
                  <c:v>49.89</c:v>
                </c:pt>
                <c:pt idx="181">
                  <c:v>49.889000000000003</c:v>
                </c:pt>
                <c:pt idx="182">
                  <c:v>49.887</c:v>
                </c:pt>
                <c:pt idx="183">
                  <c:v>49.889000000000003</c:v>
                </c:pt>
                <c:pt idx="184">
                  <c:v>49.887</c:v>
                </c:pt>
                <c:pt idx="185">
                  <c:v>49.892000000000003</c:v>
                </c:pt>
                <c:pt idx="186">
                  <c:v>49.920999999999999</c:v>
                </c:pt>
                <c:pt idx="187">
                  <c:v>49.920999999999999</c:v>
                </c:pt>
                <c:pt idx="188">
                  <c:v>49.921999999999997</c:v>
                </c:pt>
                <c:pt idx="189">
                  <c:v>49.923999999999999</c:v>
                </c:pt>
                <c:pt idx="190">
                  <c:v>49.920999999999999</c:v>
                </c:pt>
                <c:pt idx="191">
                  <c:v>49.921999999999997</c:v>
                </c:pt>
                <c:pt idx="192">
                  <c:v>49.921999999999997</c:v>
                </c:pt>
                <c:pt idx="193">
                  <c:v>49.920999999999999</c:v>
                </c:pt>
                <c:pt idx="194">
                  <c:v>49.927999999999997</c:v>
                </c:pt>
                <c:pt idx="195">
                  <c:v>49.921999999999997</c:v>
                </c:pt>
                <c:pt idx="196">
                  <c:v>49.921999999999997</c:v>
                </c:pt>
                <c:pt idx="197">
                  <c:v>49.920999999999999</c:v>
                </c:pt>
                <c:pt idx="198">
                  <c:v>49.920999999999999</c:v>
                </c:pt>
                <c:pt idx="199">
                  <c:v>49.926000000000002</c:v>
                </c:pt>
                <c:pt idx="200">
                  <c:v>49.944000000000003</c:v>
                </c:pt>
                <c:pt idx="201">
                  <c:v>49.945999999999998</c:v>
                </c:pt>
                <c:pt idx="202">
                  <c:v>49.944000000000003</c:v>
                </c:pt>
                <c:pt idx="203">
                  <c:v>49.942999999999998</c:v>
                </c:pt>
                <c:pt idx="204">
                  <c:v>49.942999999999998</c:v>
                </c:pt>
                <c:pt idx="205">
                  <c:v>49.942999999999998</c:v>
                </c:pt>
                <c:pt idx="206">
                  <c:v>49.944000000000003</c:v>
                </c:pt>
                <c:pt idx="207">
                  <c:v>49.95</c:v>
                </c:pt>
                <c:pt idx="208">
                  <c:v>49.95</c:v>
                </c:pt>
                <c:pt idx="209">
                  <c:v>49.948</c:v>
                </c:pt>
                <c:pt idx="210">
                  <c:v>49.95</c:v>
                </c:pt>
                <c:pt idx="211">
                  <c:v>49.945999999999998</c:v>
                </c:pt>
                <c:pt idx="212">
                  <c:v>49.948</c:v>
                </c:pt>
                <c:pt idx="213">
                  <c:v>49.948</c:v>
                </c:pt>
                <c:pt idx="214">
                  <c:v>49.960999999999999</c:v>
                </c:pt>
                <c:pt idx="215">
                  <c:v>49.963000000000001</c:v>
                </c:pt>
                <c:pt idx="216">
                  <c:v>49.965000000000003</c:v>
                </c:pt>
                <c:pt idx="217">
                  <c:v>49.963000000000001</c:v>
                </c:pt>
                <c:pt idx="218">
                  <c:v>49.963000000000001</c:v>
                </c:pt>
                <c:pt idx="219">
                  <c:v>49.963000000000001</c:v>
                </c:pt>
                <c:pt idx="220">
                  <c:v>49.965000000000003</c:v>
                </c:pt>
                <c:pt idx="221">
                  <c:v>49.960999999999999</c:v>
                </c:pt>
                <c:pt idx="222">
                  <c:v>49.96</c:v>
                </c:pt>
                <c:pt idx="223">
                  <c:v>49.966000000000001</c:v>
                </c:pt>
                <c:pt idx="224">
                  <c:v>49.960999999999999</c:v>
                </c:pt>
                <c:pt idx="225">
                  <c:v>49.960999999999999</c:v>
                </c:pt>
                <c:pt idx="226">
                  <c:v>49.960999999999999</c:v>
                </c:pt>
                <c:pt idx="227">
                  <c:v>49.963000000000001</c:v>
                </c:pt>
                <c:pt idx="228">
                  <c:v>49.975000000000001</c:v>
                </c:pt>
                <c:pt idx="229">
                  <c:v>49.975000000000001</c:v>
                </c:pt>
                <c:pt idx="230">
                  <c:v>49.975000000000001</c:v>
                </c:pt>
                <c:pt idx="231">
                  <c:v>49.975000000000001</c:v>
                </c:pt>
                <c:pt idx="232">
                  <c:v>49.978000000000002</c:v>
                </c:pt>
                <c:pt idx="233">
                  <c:v>49.972999999999999</c:v>
                </c:pt>
                <c:pt idx="234">
                  <c:v>49.972999999999999</c:v>
                </c:pt>
                <c:pt idx="235">
                  <c:v>49.972999999999999</c:v>
                </c:pt>
                <c:pt idx="236">
                  <c:v>49.976999999999997</c:v>
                </c:pt>
                <c:pt idx="237">
                  <c:v>49.976999999999997</c:v>
                </c:pt>
                <c:pt idx="238">
                  <c:v>49.975000000000001</c:v>
                </c:pt>
                <c:pt idx="239">
                  <c:v>49.975000000000001</c:v>
                </c:pt>
                <c:pt idx="240">
                  <c:v>49.976999999999997</c:v>
                </c:pt>
                <c:pt idx="241">
                  <c:v>49.972999999999999</c:v>
                </c:pt>
                <c:pt idx="242">
                  <c:v>49.98</c:v>
                </c:pt>
                <c:pt idx="243">
                  <c:v>49.98</c:v>
                </c:pt>
                <c:pt idx="244">
                  <c:v>49.981999999999999</c:v>
                </c:pt>
                <c:pt idx="245">
                  <c:v>49.982999999999997</c:v>
                </c:pt>
                <c:pt idx="246">
                  <c:v>49.981999999999999</c:v>
                </c:pt>
                <c:pt idx="247">
                  <c:v>49.978000000000002</c:v>
                </c:pt>
                <c:pt idx="248">
                  <c:v>49.982999999999997</c:v>
                </c:pt>
                <c:pt idx="249">
                  <c:v>49.982999999999997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C-4B76-8948-C7F162D4EF6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cat>
          <c:val>
            <c:numRef>
              <c:f>'FLL Transition'!$AT$4:$AT$253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39.999000000000002</c:v>
                </c:pt>
                <c:pt idx="2">
                  <c:v>40.000999999999998</c:v>
                </c:pt>
                <c:pt idx="3">
                  <c:v>40.002000000000002</c:v>
                </c:pt>
                <c:pt idx="4">
                  <c:v>40.003</c:v>
                </c:pt>
                <c:pt idx="5">
                  <c:v>40</c:v>
                </c:pt>
                <c:pt idx="6">
                  <c:v>40.000999999999998</c:v>
                </c:pt>
                <c:pt idx="7">
                  <c:v>40</c:v>
                </c:pt>
                <c:pt idx="8">
                  <c:v>44.28</c:v>
                </c:pt>
                <c:pt idx="9">
                  <c:v>44.28</c:v>
                </c:pt>
                <c:pt idx="10">
                  <c:v>44.280999999999999</c:v>
                </c:pt>
                <c:pt idx="11">
                  <c:v>44.277000000000001</c:v>
                </c:pt>
                <c:pt idx="12">
                  <c:v>44.277999999999999</c:v>
                </c:pt>
                <c:pt idx="13">
                  <c:v>44.277000000000001</c:v>
                </c:pt>
                <c:pt idx="14">
                  <c:v>44.277999999999999</c:v>
                </c:pt>
                <c:pt idx="15">
                  <c:v>44.277999999999999</c:v>
                </c:pt>
                <c:pt idx="16">
                  <c:v>44.280999999999999</c:v>
                </c:pt>
                <c:pt idx="17">
                  <c:v>44.277999999999999</c:v>
                </c:pt>
                <c:pt idx="18">
                  <c:v>44.277000000000001</c:v>
                </c:pt>
                <c:pt idx="19">
                  <c:v>44.277999999999999</c:v>
                </c:pt>
                <c:pt idx="20">
                  <c:v>47.533000000000001</c:v>
                </c:pt>
                <c:pt idx="21">
                  <c:v>47.567999999999998</c:v>
                </c:pt>
                <c:pt idx="22">
                  <c:v>47.566000000000003</c:v>
                </c:pt>
                <c:pt idx="23">
                  <c:v>47.566000000000003</c:v>
                </c:pt>
                <c:pt idx="24">
                  <c:v>47.564999999999998</c:v>
                </c:pt>
                <c:pt idx="25">
                  <c:v>47.567999999999998</c:v>
                </c:pt>
                <c:pt idx="26">
                  <c:v>47.564999999999998</c:v>
                </c:pt>
                <c:pt idx="27">
                  <c:v>47.57</c:v>
                </c:pt>
                <c:pt idx="28">
                  <c:v>47.57</c:v>
                </c:pt>
                <c:pt idx="29">
                  <c:v>47.563000000000002</c:v>
                </c:pt>
                <c:pt idx="30">
                  <c:v>47.564999999999998</c:v>
                </c:pt>
                <c:pt idx="31">
                  <c:v>47.563000000000002</c:v>
                </c:pt>
                <c:pt idx="32">
                  <c:v>47.564999999999998</c:v>
                </c:pt>
                <c:pt idx="33">
                  <c:v>47.564999999999998</c:v>
                </c:pt>
                <c:pt idx="34">
                  <c:v>49.06</c:v>
                </c:pt>
                <c:pt idx="35">
                  <c:v>49.057000000000002</c:v>
                </c:pt>
                <c:pt idx="36">
                  <c:v>49.057000000000002</c:v>
                </c:pt>
                <c:pt idx="37">
                  <c:v>49.06</c:v>
                </c:pt>
                <c:pt idx="38">
                  <c:v>49.06</c:v>
                </c:pt>
                <c:pt idx="39">
                  <c:v>49.058999999999997</c:v>
                </c:pt>
                <c:pt idx="40">
                  <c:v>49.064</c:v>
                </c:pt>
                <c:pt idx="41">
                  <c:v>49.058999999999997</c:v>
                </c:pt>
                <c:pt idx="42">
                  <c:v>49.06</c:v>
                </c:pt>
                <c:pt idx="43">
                  <c:v>49.058999999999997</c:v>
                </c:pt>
                <c:pt idx="44">
                  <c:v>49.054000000000002</c:v>
                </c:pt>
                <c:pt idx="45">
                  <c:v>49.057000000000002</c:v>
                </c:pt>
                <c:pt idx="46">
                  <c:v>49.054000000000002</c:v>
                </c:pt>
                <c:pt idx="47">
                  <c:v>49.338999999999999</c:v>
                </c:pt>
                <c:pt idx="48">
                  <c:v>49.642000000000003</c:v>
                </c:pt>
                <c:pt idx="49">
                  <c:v>49.645000000000003</c:v>
                </c:pt>
                <c:pt idx="50">
                  <c:v>49.637999999999998</c:v>
                </c:pt>
                <c:pt idx="51">
                  <c:v>49.645000000000003</c:v>
                </c:pt>
                <c:pt idx="52">
                  <c:v>49.642000000000003</c:v>
                </c:pt>
                <c:pt idx="53">
                  <c:v>49.643000000000001</c:v>
                </c:pt>
                <c:pt idx="54">
                  <c:v>49.642000000000003</c:v>
                </c:pt>
                <c:pt idx="55">
                  <c:v>49.643000000000001</c:v>
                </c:pt>
                <c:pt idx="56">
                  <c:v>49.646999999999998</c:v>
                </c:pt>
                <c:pt idx="57">
                  <c:v>49.642000000000003</c:v>
                </c:pt>
                <c:pt idx="58">
                  <c:v>49.643000000000001</c:v>
                </c:pt>
                <c:pt idx="59">
                  <c:v>49.643000000000001</c:v>
                </c:pt>
                <c:pt idx="60">
                  <c:v>49.643000000000001</c:v>
                </c:pt>
                <c:pt idx="61">
                  <c:v>49.69</c:v>
                </c:pt>
                <c:pt idx="62">
                  <c:v>49.868000000000002</c:v>
                </c:pt>
                <c:pt idx="63">
                  <c:v>49.866999999999997</c:v>
                </c:pt>
                <c:pt idx="64">
                  <c:v>49.865000000000002</c:v>
                </c:pt>
                <c:pt idx="65">
                  <c:v>49.87</c:v>
                </c:pt>
                <c:pt idx="66">
                  <c:v>49.865000000000002</c:v>
                </c:pt>
                <c:pt idx="67">
                  <c:v>49.862000000000002</c:v>
                </c:pt>
                <c:pt idx="68">
                  <c:v>49.868000000000002</c:v>
                </c:pt>
                <c:pt idx="69">
                  <c:v>49.865000000000002</c:v>
                </c:pt>
                <c:pt idx="70">
                  <c:v>49.866999999999997</c:v>
                </c:pt>
                <c:pt idx="71">
                  <c:v>49.866999999999997</c:v>
                </c:pt>
                <c:pt idx="72">
                  <c:v>49.866999999999997</c:v>
                </c:pt>
                <c:pt idx="73">
                  <c:v>49.866999999999997</c:v>
                </c:pt>
                <c:pt idx="74">
                  <c:v>49.868000000000002</c:v>
                </c:pt>
                <c:pt idx="75">
                  <c:v>49.875</c:v>
                </c:pt>
                <c:pt idx="76">
                  <c:v>49.954999999999998</c:v>
                </c:pt>
                <c:pt idx="77">
                  <c:v>49.951000000000001</c:v>
                </c:pt>
                <c:pt idx="78">
                  <c:v>49.953000000000003</c:v>
                </c:pt>
                <c:pt idx="79">
                  <c:v>49.95</c:v>
                </c:pt>
                <c:pt idx="80">
                  <c:v>49.95</c:v>
                </c:pt>
                <c:pt idx="81">
                  <c:v>49.945999999999998</c:v>
                </c:pt>
                <c:pt idx="82">
                  <c:v>49.951000000000001</c:v>
                </c:pt>
                <c:pt idx="83">
                  <c:v>49.954999999999998</c:v>
                </c:pt>
                <c:pt idx="84">
                  <c:v>49.954999999999998</c:v>
                </c:pt>
                <c:pt idx="85">
                  <c:v>49.951000000000001</c:v>
                </c:pt>
                <c:pt idx="86">
                  <c:v>49.954999999999998</c:v>
                </c:pt>
                <c:pt idx="87">
                  <c:v>49.951000000000001</c:v>
                </c:pt>
                <c:pt idx="88">
                  <c:v>49.95</c:v>
                </c:pt>
                <c:pt idx="89">
                  <c:v>49.953000000000003</c:v>
                </c:pt>
                <c:pt idx="90">
                  <c:v>49.982999999999997</c:v>
                </c:pt>
                <c:pt idx="91">
                  <c:v>49.981999999999999</c:v>
                </c:pt>
                <c:pt idx="92">
                  <c:v>49.98</c:v>
                </c:pt>
                <c:pt idx="93">
                  <c:v>49.976999999999997</c:v>
                </c:pt>
                <c:pt idx="94">
                  <c:v>49.976999999999997</c:v>
                </c:pt>
                <c:pt idx="95">
                  <c:v>49.978000000000002</c:v>
                </c:pt>
                <c:pt idx="96">
                  <c:v>49.976999999999997</c:v>
                </c:pt>
                <c:pt idx="97">
                  <c:v>49.98</c:v>
                </c:pt>
                <c:pt idx="98">
                  <c:v>49.98</c:v>
                </c:pt>
                <c:pt idx="99">
                  <c:v>49.976999999999997</c:v>
                </c:pt>
                <c:pt idx="100">
                  <c:v>49.982999999999997</c:v>
                </c:pt>
                <c:pt idx="101">
                  <c:v>49.987000000000002</c:v>
                </c:pt>
                <c:pt idx="102">
                  <c:v>49.978000000000002</c:v>
                </c:pt>
                <c:pt idx="103">
                  <c:v>49.978000000000002</c:v>
                </c:pt>
                <c:pt idx="104">
                  <c:v>49.994</c:v>
                </c:pt>
                <c:pt idx="105">
                  <c:v>49.99</c:v>
                </c:pt>
                <c:pt idx="106">
                  <c:v>49.994</c:v>
                </c:pt>
                <c:pt idx="107">
                  <c:v>49.99</c:v>
                </c:pt>
                <c:pt idx="108">
                  <c:v>49.994</c:v>
                </c:pt>
                <c:pt idx="109">
                  <c:v>49.997</c:v>
                </c:pt>
                <c:pt idx="110">
                  <c:v>49.999000000000002</c:v>
                </c:pt>
                <c:pt idx="111">
                  <c:v>49.997</c:v>
                </c:pt>
                <c:pt idx="112">
                  <c:v>49.99</c:v>
                </c:pt>
                <c:pt idx="113">
                  <c:v>49.997</c:v>
                </c:pt>
                <c:pt idx="114">
                  <c:v>49.994999999999997</c:v>
                </c:pt>
                <c:pt idx="115">
                  <c:v>49.99</c:v>
                </c:pt>
                <c:pt idx="116">
                  <c:v>49.99</c:v>
                </c:pt>
                <c:pt idx="117">
                  <c:v>49.991999999999997</c:v>
                </c:pt>
                <c:pt idx="118">
                  <c:v>49.994</c:v>
                </c:pt>
                <c:pt idx="119">
                  <c:v>49.997</c:v>
                </c:pt>
                <c:pt idx="120">
                  <c:v>49.997</c:v>
                </c:pt>
                <c:pt idx="121">
                  <c:v>49.994999999999997</c:v>
                </c:pt>
                <c:pt idx="122">
                  <c:v>49.994999999999997</c:v>
                </c:pt>
                <c:pt idx="123">
                  <c:v>49.999000000000002</c:v>
                </c:pt>
                <c:pt idx="124">
                  <c:v>50.002000000000002</c:v>
                </c:pt>
                <c:pt idx="125">
                  <c:v>49.999000000000002</c:v>
                </c:pt>
                <c:pt idx="126">
                  <c:v>49.999000000000002</c:v>
                </c:pt>
                <c:pt idx="127">
                  <c:v>49.997</c:v>
                </c:pt>
                <c:pt idx="128">
                  <c:v>49.997</c:v>
                </c:pt>
                <c:pt idx="129">
                  <c:v>49.997</c:v>
                </c:pt>
                <c:pt idx="130">
                  <c:v>49.994</c:v>
                </c:pt>
                <c:pt idx="131">
                  <c:v>49.994999999999997</c:v>
                </c:pt>
                <c:pt idx="132">
                  <c:v>49.999000000000002</c:v>
                </c:pt>
                <c:pt idx="133">
                  <c:v>49.997</c:v>
                </c:pt>
                <c:pt idx="134">
                  <c:v>50</c:v>
                </c:pt>
                <c:pt idx="135">
                  <c:v>50</c:v>
                </c:pt>
                <c:pt idx="136">
                  <c:v>49.999000000000002</c:v>
                </c:pt>
                <c:pt idx="137">
                  <c:v>49.997</c:v>
                </c:pt>
                <c:pt idx="138">
                  <c:v>50.002000000000002</c:v>
                </c:pt>
                <c:pt idx="139">
                  <c:v>50</c:v>
                </c:pt>
                <c:pt idx="140">
                  <c:v>49.999000000000002</c:v>
                </c:pt>
                <c:pt idx="141">
                  <c:v>50.002000000000002</c:v>
                </c:pt>
                <c:pt idx="142">
                  <c:v>49.999000000000002</c:v>
                </c:pt>
                <c:pt idx="143">
                  <c:v>49.997</c:v>
                </c:pt>
                <c:pt idx="144">
                  <c:v>50.002000000000002</c:v>
                </c:pt>
                <c:pt idx="145">
                  <c:v>49.999000000000002</c:v>
                </c:pt>
                <c:pt idx="146">
                  <c:v>50</c:v>
                </c:pt>
                <c:pt idx="147">
                  <c:v>49.999000000000002</c:v>
                </c:pt>
                <c:pt idx="148">
                  <c:v>50.005000000000003</c:v>
                </c:pt>
                <c:pt idx="149">
                  <c:v>49.997</c:v>
                </c:pt>
                <c:pt idx="150">
                  <c:v>50</c:v>
                </c:pt>
                <c:pt idx="151">
                  <c:v>49.999000000000002</c:v>
                </c:pt>
                <c:pt idx="152">
                  <c:v>50</c:v>
                </c:pt>
                <c:pt idx="153">
                  <c:v>49.997</c:v>
                </c:pt>
                <c:pt idx="154">
                  <c:v>49.999000000000002</c:v>
                </c:pt>
                <c:pt idx="155">
                  <c:v>49.994999999999997</c:v>
                </c:pt>
                <c:pt idx="156">
                  <c:v>49.997</c:v>
                </c:pt>
                <c:pt idx="157">
                  <c:v>49.999000000000002</c:v>
                </c:pt>
                <c:pt idx="158">
                  <c:v>49.997</c:v>
                </c:pt>
                <c:pt idx="159">
                  <c:v>49.997</c:v>
                </c:pt>
                <c:pt idx="160">
                  <c:v>50</c:v>
                </c:pt>
                <c:pt idx="161">
                  <c:v>50</c:v>
                </c:pt>
                <c:pt idx="162">
                  <c:v>49.999000000000002</c:v>
                </c:pt>
                <c:pt idx="163">
                  <c:v>50.002000000000002</c:v>
                </c:pt>
                <c:pt idx="164">
                  <c:v>49.999000000000002</c:v>
                </c:pt>
                <c:pt idx="165">
                  <c:v>50.002000000000002</c:v>
                </c:pt>
                <c:pt idx="166">
                  <c:v>50</c:v>
                </c:pt>
                <c:pt idx="167">
                  <c:v>50</c:v>
                </c:pt>
                <c:pt idx="168">
                  <c:v>49.999000000000002</c:v>
                </c:pt>
                <c:pt idx="169">
                  <c:v>50</c:v>
                </c:pt>
                <c:pt idx="170">
                  <c:v>50</c:v>
                </c:pt>
                <c:pt idx="171">
                  <c:v>49.997</c:v>
                </c:pt>
                <c:pt idx="172">
                  <c:v>50.002000000000002</c:v>
                </c:pt>
                <c:pt idx="173">
                  <c:v>50</c:v>
                </c:pt>
                <c:pt idx="174">
                  <c:v>50.002000000000002</c:v>
                </c:pt>
                <c:pt idx="175">
                  <c:v>50.002000000000002</c:v>
                </c:pt>
                <c:pt idx="176">
                  <c:v>50</c:v>
                </c:pt>
                <c:pt idx="177">
                  <c:v>50</c:v>
                </c:pt>
                <c:pt idx="178">
                  <c:v>49.999000000000002</c:v>
                </c:pt>
                <c:pt idx="179">
                  <c:v>50.003999999999998</c:v>
                </c:pt>
                <c:pt idx="180">
                  <c:v>49.999000000000002</c:v>
                </c:pt>
                <c:pt idx="181">
                  <c:v>50.003999999999998</c:v>
                </c:pt>
                <c:pt idx="182">
                  <c:v>49.997</c:v>
                </c:pt>
                <c:pt idx="183">
                  <c:v>49.999000000000002</c:v>
                </c:pt>
                <c:pt idx="184">
                  <c:v>50</c:v>
                </c:pt>
                <c:pt idx="185">
                  <c:v>49.999000000000002</c:v>
                </c:pt>
                <c:pt idx="186">
                  <c:v>50.002000000000002</c:v>
                </c:pt>
                <c:pt idx="187">
                  <c:v>49.999000000000002</c:v>
                </c:pt>
                <c:pt idx="188">
                  <c:v>49.999000000000002</c:v>
                </c:pt>
                <c:pt idx="189">
                  <c:v>50.002000000000002</c:v>
                </c:pt>
                <c:pt idx="190">
                  <c:v>49.994999999999997</c:v>
                </c:pt>
                <c:pt idx="191">
                  <c:v>49.994</c:v>
                </c:pt>
                <c:pt idx="192">
                  <c:v>49.994999999999997</c:v>
                </c:pt>
                <c:pt idx="193">
                  <c:v>50</c:v>
                </c:pt>
                <c:pt idx="194">
                  <c:v>50.002000000000002</c:v>
                </c:pt>
                <c:pt idx="195">
                  <c:v>49.999000000000002</c:v>
                </c:pt>
                <c:pt idx="196">
                  <c:v>50</c:v>
                </c:pt>
                <c:pt idx="197">
                  <c:v>49.999000000000002</c:v>
                </c:pt>
                <c:pt idx="198">
                  <c:v>50</c:v>
                </c:pt>
                <c:pt idx="199">
                  <c:v>49.994999999999997</c:v>
                </c:pt>
                <c:pt idx="200">
                  <c:v>50</c:v>
                </c:pt>
                <c:pt idx="201">
                  <c:v>49.997</c:v>
                </c:pt>
                <c:pt idx="202">
                  <c:v>50.002000000000002</c:v>
                </c:pt>
                <c:pt idx="203">
                  <c:v>50.002000000000002</c:v>
                </c:pt>
                <c:pt idx="204">
                  <c:v>50</c:v>
                </c:pt>
                <c:pt idx="205">
                  <c:v>50.002000000000002</c:v>
                </c:pt>
                <c:pt idx="206">
                  <c:v>50</c:v>
                </c:pt>
                <c:pt idx="207">
                  <c:v>49.999000000000002</c:v>
                </c:pt>
                <c:pt idx="208">
                  <c:v>50.002000000000002</c:v>
                </c:pt>
                <c:pt idx="209">
                  <c:v>50.002000000000002</c:v>
                </c:pt>
                <c:pt idx="210">
                  <c:v>50</c:v>
                </c:pt>
                <c:pt idx="211">
                  <c:v>49.999000000000002</c:v>
                </c:pt>
                <c:pt idx="212">
                  <c:v>49.999000000000002</c:v>
                </c:pt>
                <c:pt idx="213">
                  <c:v>49.999000000000002</c:v>
                </c:pt>
                <c:pt idx="214">
                  <c:v>49.997</c:v>
                </c:pt>
                <c:pt idx="215">
                  <c:v>49.999000000000002</c:v>
                </c:pt>
                <c:pt idx="216">
                  <c:v>50.002000000000002</c:v>
                </c:pt>
                <c:pt idx="217">
                  <c:v>49.999000000000002</c:v>
                </c:pt>
                <c:pt idx="218">
                  <c:v>50</c:v>
                </c:pt>
                <c:pt idx="219">
                  <c:v>50.002000000000002</c:v>
                </c:pt>
                <c:pt idx="220">
                  <c:v>49.999000000000002</c:v>
                </c:pt>
                <c:pt idx="221">
                  <c:v>49.994999999999997</c:v>
                </c:pt>
                <c:pt idx="222">
                  <c:v>49.999000000000002</c:v>
                </c:pt>
                <c:pt idx="223">
                  <c:v>50</c:v>
                </c:pt>
                <c:pt idx="224">
                  <c:v>50</c:v>
                </c:pt>
                <c:pt idx="225">
                  <c:v>49.994999999999997</c:v>
                </c:pt>
                <c:pt idx="226">
                  <c:v>49.999000000000002</c:v>
                </c:pt>
                <c:pt idx="227">
                  <c:v>50</c:v>
                </c:pt>
                <c:pt idx="228">
                  <c:v>50.003999999999998</c:v>
                </c:pt>
                <c:pt idx="229">
                  <c:v>49.997</c:v>
                </c:pt>
                <c:pt idx="230">
                  <c:v>49.999000000000002</c:v>
                </c:pt>
                <c:pt idx="231">
                  <c:v>50.003999999999998</c:v>
                </c:pt>
                <c:pt idx="232">
                  <c:v>49.999000000000002</c:v>
                </c:pt>
                <c:pt idx="233">
                  <c:v>50</c:v>
                </c:pt>
                <c:pt idx="234">
                  <c:v>49.999000000000002</c:v>
                </c:pt>
                <c:pt idx="235">
                  <c:v>49.997</c:v>
                </c:pt>
                <c:pt idx="236">
                  <c:v>50</c:v>
                </c:pt>
                <c:pt idx="237">
                  <c:v>49.997</c:v>
                </c:pt>
                <c:pt idx="238">
                  <c:v>50</c:v>
                </c:pt>
                <c:pt idx="239">
                  <c:v>49.999000000000002</c:v>
                </c:pt>
                <c:pt idx="240">
                  <c:v>50.002000000000002</c:v>
                </c:pt>
                <c:pt idx="241">
                  <c:v>50.003999999999998</c:v>
                </c:pt>
                <c:pt idx="242">
                  <c:v>50</c:v>
                </c:pt>
                <c:pt idx="243">
                  <c:v>49.999000000000002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50.002000000000002</c:v>
                </c:pt>
                <c:pt idx="248">
                  <c:v>50.003999999999998</c:v>
                </c:pt>
                <c:pt idx="24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BC-4B76-8948-C7F162D4E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682319"/>
        <c:axId val="562696239"/>
      </c:lineChart>
      <c:catAx>
        <c:axId val="56268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696239"/>
        <c:crosses val="autoZero"/>
        <c:auto val="1"/>
        <c:lblAlgn val="ctr"/>
        <c:lblOffset val="100"/>
        <c:noMultiLvlLbl val="0"/>
      </c:catAx>
      <c:valAx>
        <c:axId val="562696239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68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2779059</xdr:colOff>
      <xdr:row>8</xdr:row>
      <xdr:rowOff>2164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9E68D38-253E-025F-53F3-CFBCDF212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4265" y="1568824"/>
          <a:ext cx="2779059" cy="219878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</xdr:colOff>
      <xdr:row>33</xdr:row>
      <xdr:rowOff>27214</xdr:rowOff>
    </xdr:from>
    <xdr:to>
      <xdr:col>4</xdr:col>
      <xdr:colOff>1780911</xdr:colOff>
      <xdr:row>33</xdr:row>
      <xdr:rowOff>180974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755E450-185F-3FA1-A4D9-5F98726B2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4285" y="7429500"/>
          <a:ext cx="4611197" cy="1601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44160</xdr:colOff>
      <xdr:row>16</xdr:row>
      <xdr:rowOff>140567</xdr:rowOff>
    </xdr:from>
    <xdr:to>
      <xdr:col>53</xdr:col>
      <xdr:colOff>581601</xdr:colOff>
      <xdr:row>67</xdr:row>
      <xdr:rowOff>177512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122FF18-1C69-4FC4-8B36-9F9E07A8E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507419</xdr:colOff>
      <xdr:row>36</xdr:row>
      <xdr:rowOff>47231</xdr:rowOff>
    </xdr:from>
    <xdr:to>
      <xdr:col>43</xdr:col>
      <xdr:colOff>435429</xdr:colOff>
      <xdr:row>70</xdr:row>
      <xdr:rowOff>63500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B7D2E94-F33A-4860-BBBA-C5FB438D1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526143</xdr:colOff>
      <xdr:row>1</xdr:row>
      <xdr:rowOff>120649</xdr:rowOff>
    </xdr:from>
    <xdr:to>
      <xdr:col>43</xdr:col>
      <xdr:colOff>390072</xdr:colOff>
      <xdr:row>34</xdr:row>
      <xdr:rowOff>108858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4229A94-34D4-C990-C209-031D2286C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244928</xdr:colOff>
      <xdr:row>4</xdr:row>
      <xdr:rowOff>90715</xdr:rowOff>
    </xdr:from>
    <xdr:to>
      <xdr:col>13</xdr:col>
      <xdr:colOff>0</xdr:colOff>
      <xdr:row>35</xdr:row>
      <xdr:rowOff>108858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6B584AA-1A47-407A-9423-8EB3371B5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154212</xdr:colOff>
      <xdr:row>4</xdr:row>
      <xdr:rowOff>115793</xdr:rowOff>
    </xdr:from>
    <xdr:to>
      <xdr:col>23</xdr:col>
      <xdr:colOff>758798</xdr:colOff>
      <xdr:row>35</xdr:row>
      <xdr:rowOff>124865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FA0B5F5-DE4D-4723-B3AC-085044332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0</xdr:colOff>
      <xdr:row>1</xdr:row>
      <xdr:rowOff>0</xdr:rowOff>
    </xdr:from>
    <xdr:ext cx="1744452" cy="60901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D9A53F-7C82-41CE-B70A-9B551EF7AC43}"/>
            </a:ext>
          </a:extLst>
        </xdr:cNvPr>
        <xdr:cNvSpPr txBox="1"/>
      </xdr:nvSpPr>
      <xdr:spPr>
        <a:xfrm>
          <a:off x="2584450" y="209550"/>
          <a:ext cx="1744452" cy="60901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/>
            <a:t>(FLT_GAIN,</a:t>
          </a:r>
          <a:r>
            <a:rPr lang="en-US" altLang="ko-KR" sz="1100" baseline="0"/>
            <a:t> ERROR_RANGE)</a:t>
          </a:r>
        </a:p>
        <a:p>
          <a:pPr algn="ctr"/>
          <a:r>
            <a:rPr lang="en-US" altLang="ko-KR" sz="1100" baseline="0"/>
            <a:t>=</a:t>
          </a:r>
        </a:p>
        <a:p>
          <a:pPr algn="ctr"/>
          <a:r>
            <a:rPr lang="en-US" altLang="ko-KR" sz="1100" baseline="0"/>
            <a:t>(1, 0)</a:t>
          </a:r>
        </a:p>
      </xdr:txBody>
    </xdr:sp>
    <xdr:clientData/>
  </xdr:oneCellAnchor>
  <xdr:oneCellAnchor>
    <xdr:from>
      <xdr:col>13</xdr:col>
      <xdr:colOff>0</xdr:colOff>
      <xdr:row>1</xdr:row>
      <xdr:rowOff>0</xdr:rowOff>
    </xdr:from>
    <xdr:ext cx="1744452" cy="60901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FF1EC4-16E7-49F8-B559-F99A8670DBF8}"/>
            </a:ext>
          </a:extLst>
        </xdr:cNvPr>
        <xdr:cNvSpPr txBox="1"/>
      </xdr:nvSpPr>
      <xdr:spPr>
        <a:xfrm>
          <a:off x="7308850" y="209550"/>
          <a:ext cx="1744452" cy="60901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/>
            <a:t>(FLT_GAIN,</a:t>
          </a:r>
          <a:r>
            <a:rPr lang="en-US" altLang="ko-KR" sz="1100" baseline="0"/>
            <a:t> ERROR_RANGE)</a:t>
          </a:r>
        </a:p>
        <a:p>
          <a:pPr algn="ctr"/>
          <a:r>
            <a:rPr lang="en-US" altLang="ko-KR" sz="1100" baseline="0"/>
            <a:t>=</a:t>
          </a:r>
        </a:p>
        <a:p>
          <a:pPr algn="ctr"/>
          <a:r>
            <a:rPr lang="en-US" altLang="ko-KR" sz="1100" baseline="0"/>
            <a:t>(1, 0)</a:t>
          </a:r>
        </a:p>
      </xdr:txBody>
    </xdr:sp>
    <xdr:clientData/>
  </xdr:oneCellAnchor>
  <xdr:twoCellAnchor>
    <xdr:from>
      <xdr:col>35</xdr:col>
      <xdr:colOff>462641</xdr:colOff>
      <xdr:row>4</xdr:row>
      <xdr:rowOff>127001</xdr:rowOff>
    </xdr:from>
    <xdr:to>
      <xdr:col>49</xdr:col>
      <xdr:colOff>453570</xdr:colOff>
      <xdr:row>42</xdr:row>
      <xdr:rowOff>63501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6839344-06C3-4B40-8F2B-6F1517796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36288</xdr:colOff>
      <xdr:row>4</xdr:row>
      <xdr:rowOff>126999</xdr:rowOff>
    </xdr:from>
    <xdr:to>
      <xdr:col>35</xdr:col>
      <xdr:colOff>353787</xdr:colOff>
      <xdr:row>42</xdr:row>
      <xdr:rowOff>63500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4394C46A-94F4-4DDB-9B70-E471FF7F0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367394</xdr:colOff>
      <xdr:row>212</xdr:row>
      <xdr:rowOff>11794</xdr:rowOff>
    </xdr:from>
    <xdr:to>
      <xdr:col>31</xdr:col>
      <xdr:colOff>54429</xdr:colOff>
      <xdr:row>254</xdr:row>
      <xdr:rowOff>54428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BE193FD-20B5-47C9-9D13-6FAC7E978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199885</xdr:colOff>
      <xdr:row>44</xdr:row>
      <xdr:rowOff>163286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1175E2-6918-4C8E-AB60-A1DD2DFAF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150" y="203200"/>
          <a:ext cx="13611085" cy="8900886"/>
        </a:xfrm>
        <a:prstGeom prst="rect">
          <a:avLst/>
        </a:prstGeom>
      </xdr:spPr>
    </xdr:pic>
    <xdr:clientData/>
  </xdr:twoCellAnchor>
  <xdr:twoCellAnchor>
    <xdr:from>
      <xdr:col>11</xdr:col>
      <xdr:colOff>145597</xdr:colOff>
      <xdr:row>22</xdr:row>
      <xdr:rowOff>105683</xdr:rowOff>
    </xdr:from>
    <xdr:to>
      <xdr:col>11</xdr:col>
      <xdr:colOff>217597</xdr:colOff>
      <xdr:row>22</xdr:row>
      <xdr:rowOff>174508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4BD38A45-F752-476E-8E73-59FB987B14D6}"/>
            </a:ext>
          </a:extLst>
        </xdr:cNvPr>
        <xdr:cNvSpPr/>
      </xdr:nvSpPr>
      <xdr:spPr>
        <a:xfrm>
          <a:off x="6425747" y="4576083"/>
          <a:ext cx="72000" cy="6882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52898</xdr:colOff>
      <xdr:row>22</xdr:row>
      <xdr:rowOff>177801</xdr:rowOff>
    </xdr:from>
    <xdr:to>
      <xdr:col>11</xdr:col>
      <xdr:colOff>118548</xdr:colOff>
      <xdr:row>23</xdr:row>
      <xdr:rowOff>55149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89F8F8E3-F573-4984-8A4B-8EE249FF1BE0}"/>
            </a:ext>
          </a:extLst>
        </xdr:cNvPr>
        <xdr:cNvSpPr/>
      </xdr:nvSpPr>
      <xdr:spPr>
        <a:xfrm>
          <a:off x="6333048" y="4648201"/>
          <a:ext cx="65650" cy="80548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535102</xdr:colOff>
      <xdr:row>23</xdr:row>
      <xdr:rowOff>58512</xdr:rowOff>
    </xdr:from>
    <xdr:to>
      <xdr:col>10</xdr:col>
      <xdr:colOff>603927</xdr:colOff>
      <xdr:row>23</xdr:row>
      <xdr:rowOff>130512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92097AA7-6FC0-47C3-BC21-8B8E30B46514}"/>
            </a:ext>
          </a:extLst>
        </xdr:cNvPr>
        <xdr:cNvSpPr/>
      </xdr:nvSpPr>
      <xdr:spPr>
        <a:xfrm>
          <a:off x="6205652" y="4732112"/>
          <a:ext cx="68825" cy="720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294824</xdr:colOff>
      <xdr:row>23</xdr:row>
      <xdr:rowOff>132445</xdr:rowOff>
    </xdr:from>
    <xdr:to>
      <xdr:col>10</xdr:col>
      <xdr:colOff>366824</xdr:colOff>
      <xdr:row>24</xdr:row>
      <xdr:rowOff>9793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D631419C-660A-4CA6-97D6-5ED2282ECA1F}"/>
            </a:ext>
          </a:extLst>
        </xdr:cNvPr>
        <xdr:cNvSpPr/>
      </xdr:nvSpPr>
      <xdr:spPr>
        <a:xfrm>
          <a:off x="5965374" y="4806045"/>
          <a:ext cx="72000" cy="80548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331305</xdr:colOff>
      <xdr:row>23</xdr:row>
      <xdr:rowOff>182218</xdr:rowOff>
    </xdr:from>
    <xdr:to>
      <xdr:col>10</xdr:col>
      <xdr:colOff>331305</xdr:colOff>
      <xdr:row>28</xdr:row>
      <xdr:rowOff>162478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C9813125-C729-4EDF-8368-23BA74232DDA}"/>
            </a:ext>
          </a:extLst>
        </xdr:cNvPr>
        <xdr:cNvCxnSpPr/>
      </xdr:nvCxnSpPr>
      <xdr:spPr>
        <a:xfrm>
          <a:off x="6001855" y="4855818"/>
          <a:ext cx="0" cy="9962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561285</xdr:colOff>
      <xdr:row>23</xdr:row>
      <xdr:rowOff>124240</xdr:rowOff>
    </xdr:from>
    <xdr:to>
      <xdr:col>10</xdr:col>
      <xdr:colOff>561285</xdr:colOff>
      <xdr:row>35</xdr:row>
      <xdr:rowOff>0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13D36128-322B-4E94-95C4-2214B86C20EE}"/>
            </a:ext>
          </a:extLst>
        </xdr:cNvPr>
        <xdr:cNvCxnSpPr/>
      </xdr:nvCxnSpPr>
      <xdr:spPr>
        <a:xfrm>
          <a:off x="6231835" y="4797840"/>
          <a:ext cx="0" cy="23141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75786</xdr:colOff>
      <xdr:row>18</xdr:row>
      <xdr:rowOff>40171</xdr:rowOff>
    </xdr:from>
    <xdr:to>
      <xdr:col>11</xdr:col>
      <xdr:colOff>75786</xdr:colOff>
      <xdr:row>23</xdr:row>
      <xdr:rowOff>26781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43FE9A0C-A9EE-4BB2-9A1A-2FE4A3AA627C}"/>
            </a:ext>
          </a:extLst>
        </xdr:cNvPr>
        <xdr:cNvCxnSpPr/>
      </xdr:nvCxnSpPr>
      <xdr:spPr>
        <a:xfrm flipV="1">
          <a:off x="6355936" y="3697771"/>
          <a:ext cx="0" cy="100261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198092</xdr:colOff>
      <xdr:row>11</xdr:row>
      <xdr:rowOff>54804</xdr:rowOff>
    </xdr:from>
    <xdr:to>
      <xdr:col>11</xdr:col>
      <xdr:colOff>198092</xdr:colOff>
      <xdr:row>22</xdr:row>
      <xdr:rowOff>138872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35D11CBE-DBA6-4C1B-BD02-140C3F91F7EC}"/>
            </a:ext>
          </a:extLst>
        </xdr:cNvPr>
        <xdr:cNvCxnSpPr/>
      </xdr:nvCxnSpPr>
      <xdr:spPr>
        <a:xfrm flipV="1">
          <a:off x="6478242" y="2290004"/>
          <a:ext cx="0" cy="231926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392206</xdr:colOff>
      <xdr:row>10</xdr:row>
      <xdr:rowOff>11205</xdr:rowOff>
    </xdr:from>
    <xdr:ext cx="857286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578C7DE-3B85-4ABB-B142-4AE1450AB8A2}"/>
            </a:ext>
          </a:extLst>
        </xdr:cNvPr>
        <xdr:cNvSpPr txBox="1"/>
      </xdr:nvSpPr>
      <xdr:spPr>
        <a:xfrm>
          <a:off x="6062756" y="2043205"/>
          <a:ext cx="85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chemeClr val="bg1"/>
              </a:solidFill>
            </a:rPr>
            <a:t>O_SLEW</a:t>
          </a:r>
          <a:r>
            <a:rPr lang="en-US" altLang="ko-KR" sz="1100" baseline="0">
              <a:solidFill>
                <a:schemeClr val="bg1"/>
              </a:solidFill>
            </a:rPr>
            <a:t> = 0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254561</xdr:colOff>
      <xdr:row>17</xdr:row>
      <xdr:rowOff>0</xdr:rowOff>
    </xdr:from>
    <xdr:ext cx="857286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77222DF-C2E6-4FAA-859A-C683D76B82B0}"/>
            </a:ext>
          </a:extLst>
        </xdr:cNvPr>
        <xdr:cNvSpPr txBox="1"/>
      </xdr:nvSpPr>
      <xdr:spPr>
        <a:xfrm>
          <a:off x="5925111" y="3454400"/>
          <a:ext cx="85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chemeClr val="bg1"/>
              </a:solidFill>
            </a:rPr>
            <a:t>O_SLEW</a:t>
          </a:r>
          <a:r>
            <a:rPr lang="en-US" altLang="ko-KR" sz="1100" baseline="0">
              <a:solidFill>
                <a:schemeClr val="bg1"/>
              </a:solidFill>
            </a:rPr>
            <a:t> = 1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190501</xdr:colOff>
      <xdr:row>34</xdr:row>
      <xdr:rowOff>168088</xdr:rowOff>
    </xdr:from>
    <xdr:ext cx="857286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F7C3F2E-74A7-4368-9F2D-C4B6B20B2975}"/>
            </a:ext>
          </a:extLst>
        </xdr:cNvPr>
        <xdr:cNvSpPr txBox="1"/>
      </xdr:nvSpPr>
      <xdr:spPr>
        <a:xfrm>
          <a:off x="5861051" y="7076888"/>
          <a:ext cx="85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chemeClr val="bg1"/>
              </a:solidFill>
            </a:rPr>
            <a:t>O_SLEW</a:t>
          </a:r>
          <a:r>
            <a:rPr lang="en-US" altLang="ko-KR" sz="1100" baseline="0">
              <a:solidFill>
                <a:schemeClr val="bg1"/>
              </a:solidFill>
            </a:rPr>
            <a:t> = 2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481853</xdr:colOff>
      <xdr:row>28</xdr:row>
      <xdr:rowOff>153707</xdr:rowOff>
    </xdr:from>
    <xdr:ext cx="857286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0A3A28C-A2CF-44C5-B4C8-997D1087D1EC}"/>
            </a:ext>
          </a:extLst>
        </xdr:cNvPr>
        <xdr:cNvSpPr txBox="1"/>
      </xdr:nvSpPr>
      <xdr:spPr>
        <a:xfrm>
          <a:off x="5542803" y="5843307"/>
          <a:ext cx="85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chemeClr val="bg1"/>
              </a:solidFill>
            </a:rPr>
            <a:t>O_SLEW</a:t>
          </a:r>
          <a:r>
            <a:rPr lang="en-US" altLang="ko-KR" sz="1100" baseline="0">
              <a:solidFill>
                <a:schemeClr val="bg1"/>
              </a:solidFill>
            </a:rPr>
            <a:t> = 3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17</xdr:col>
      <xdr:colOff>554182</xdr:colOff>
      <xdr:row>40</xdr:row>
      <xdr:rowOff>121228</xdr:rowOff>
    </xdr:from>
    <xdr:to>
      <xdr:col>19</xdr:col>
      <xdr:colOff>259773</xdr:colOff>
      <xdr:row>42</xdr:row>
      <xdr:rowOff>86591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7463875-E258-44DD-9FBF-6DC77E80ECE5}"/>
            </a:ext>
          </a:extLst>
        </xdr:cNvPr>
        <xdr:cNvSpPr/>
      </xdr:nvSpPr>
      <xdr:spPr>
        <a:xfrm>
          <a:off x="10491932" y="8249228"/>
          <a:ext cx="924791" cy="371763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8B3F-8BA3-4777-B80F-36F48A7CE683}">
  <dimension ref="B1:P38"/>
  <sheetViews>
    <sheetView zoomScale="85" zoomScaleNormal="85" workbookViewId="0">
      <selection activeCell="L46" sqref="L46"/>
    </sheetView>
  </sheetViews>
  <sheetFormatPr defaultRowHeight="16" x14ac:dyDescent="0.45"/>
  <cols>
    <col min="1" max="1" width="2.6328125" customWidth="1"/>
    <col min="2" max="2" width="8.453125" bestFit="1" customWidth="1"/>
    <col min="3" max="3" width="21" bestFit="1" customWidth="1"/>
    <col min="4" max="4" width="52.36328125" bestFit="1" customWidth="1"/>
    <col min="5" max="5" width="6.81640625" bestFit="1" customWidth="1"/>
    <col min="6" max="6" width="21.81640625" bestFit="1" customWidth="1"/>
    <col min="7" max="7" width="12.6328125" bestFit="1" customWidth="1"/>
    <col min="8" max="8" width="16.1796875" customWidth="1"/>
    <col min="10" max="10" width="8.36328125" bestFit="1" customWidth="1"/>
    <col min="11" max="11" width="17.6328125" bestFit="1" customWidth="1"/>
    <col min="12" max="12" width="51.54296875" bestFit="1" customWidth="1"/>
    <col min="13" max="13" width="6.7265625" bestFit="1" customWidth="1"/>
    <col min="14" max="14" width="21.08984375" bestFit="1" customWidth="1"/>
    <col min="15" max="15" width="12.6328125" bestFit="1" customWidth="1"/>
    <col min="16" max="16" width="16.08984375" bestFit="1" customWidth="1"/>
  </cols>
  <sheetData>
    <row r="1" spans="2:16" ht="16.5" thickBot="1" x14ac:dyDescent="0.5"/>
    <row r="2" spans="2:16" ht="16.5" thickBot="1" x14ac:dyDescent="0.5">
      <c r="B2" s="248" t="s">
        <v>347</v>
      </c>
      <c r="C2" s="249"/>
      <c r="D2" s="249"/>
      <c r="E2" s="249"/>
      <c r="F2" s="249"/>
      <c r="G2" s="249"/>
      <c r="H2" s="250"/>
      <c r="J2" s="251" t="s">
        <v>348</v>
      </c>
      <c r="K2" s="252"/>
      <c r="L2" s="252"/>
      <c r="M2" s="252"/>
      <c r="N2" s="252"/>
      <c r="O2" s="252"/>
      <c r="P2" s="253"/>
    </row>
    <row r="3" spans="2:16" ht="16.5" thickBot="1" x14ac:dyDescent="0.5">
      <c r="B3" s="188" t="s">
        <v>122</v>
      </c>
      <c r="C3" s="189" t="s">
        <v>123</v>
      </c>
      <c r="D3" s="190" t="s">
        <v>124</v>
      </c>
      <c r="E3" s="191" t="s">
        <v>69</v>
      </c>
      <c r="F3" s="191" t="s">
        <v>125</v>
      </c>
      <c r="G3" s="191" t="s">
        <v>126</v>
      </c>
      <c r="H3" s="192" t="s">
        <v>127</v>
      </c>
      <c r="J3" s="158" t="s">
        <v>122</v>
      </c>
      <c r="K3" s="53" t="s">
        <v>123</v>
      </c>
      <c r="L3" s="55" t="s">
        <v>124</v>
      </c>
      <c r="M3" s="159" t="s">
        <v>69</v>
      </c>
      <c r="N3" s="54" t="s">
        <v>125</v>
      </c>
      <c r="O3" s="56" t="s">
        <v>126</v>
      </c>
      <c r="P3" s="160" t="s">
        <v>127</v>
      </c>
    </row>
    <row r="4" spans="2:16" x14ac:dyDescent="0.45">
      <c r="B4" s="57" t="s">
        <v>128</v>
      </c>
      <c r="C4" s="31" t="s">
        <v>129</v>
      </c>
      <c r="D4" s="58" t="s">
        <v>130</v>
      </c>
      <c r="E4" s="59" t="s">
        <v>83</v>
      </c>
      <c r="F4" s="59" t="s">
        <v>83</v>
      </c>
      <c r="G4" s="59" t="s">
        <v>83</v>
      </c>
      <c r="H4" s="34" t="s">
        <v>131</v>
      </c>
      <c r="J4" s="161" t="s">
        <v>128</v>
      </c>
      <c r="K4" s="18" t="s">
        <v>129</v>
      </c>
      <c r="L4" s="19" t="s">
        <v>130</v>
      </c>
      <c r="M4" s="162" t="s">
        <v>83</v>
      </c>
      <c r="N4" s="163" t="s">
        <v>83</v>
      </c>
      <c r="O4" s="164" t="s">
        <v>83</v>
      </c>
      <c r="P4" s="165" t="s">
        <v>131</v>
      </c>
    </row>
    <row r="5" spans="2:16" ht="16.5" thickBot="1" x14ac:dyDescent="0.5">
      <c r="B5" s="60" t="s">
        <v>132</v>
      </c>
      <c r="C5" s="23" t="s">
        <v>133</v>
      </c>
      <c r="D5" s="1" t="s">
        <v>134</v>
      </c>
      <c r="E5" s="61" t="s">
        <v>83</v>
      </c>
      <c r="F5" s="61" t="s">
        <v>83</v>
      </c>
      <c r="G5" s="61" t="s">
        <v>83</v>
      </c>
      <c r="H5" s="21" t="s">
        <v>131</v>
      </c>
      <c r="J5" s="64" t="s">
        <v>132</v>
      </c>
      <c r="K5" s="27" t="s">
        <v>133</v>
      </c>
      <c r="L5" s="28" t="s">
        <v>134</v>
      </c>
      <c r="M5" s="166" t="s">
        <v>83</v>
      </c>
      <c r="N5" s="167" t="s">
        <v>83</v>
      </c>
      <c r="O5" s="168" t="s">
        <v>83</v>
      </c>
      <c r="P5" s="169" t="s">
        <v>131</v>
      </c>
    </row>
    <row r="6" spans="2:16" x14ac:dyDescent="0.45">
      <c r="B6" s="60" t="s">
        <v>135</v>
      </c>
      <c r="C6" s="23" t="s">
        <v>136</v>
      </c>
      <c r="D6" s="1" t="s">
        <v>137</v>
      </c>
      <c r="E6" s="62">
        <v>1.4</v>
      </c>
      <c r="F6" s="62">
        <v>1.4004000000000001</v>
      </c>
      <c r="G6" s="63">
        <f>(F6-$E6)/$E6</f>
        <v>2.8571428571441286E-4</v>
      </c>
      <c r="H6" s="21" t="s">
        <v>131</v>
      </c>
      <c r="J6" s="57" t="s">
        <v>135</v>
      </c>
      <c r="K6" s="33" t="s">
        <v>332</v>
      </c>
      <c r="L6" s="32" t="s">
        <v>140</v>
      </c>
      <c r="M6" s="170">
        <v>1.5</v>
      </c>
      <c r="N6" s="171"/>
      <c r="O6" s="172"/>
      <c r="P6" s="173"/>
    </row>
    <row r="7" spans="2:16" x14ac:dyDescent="0.45">
      <c r="B7" s="60" t="s">
        <v>138</v>
      </c>
      <c r="C7" s="23" t="s">
        <v>139</v>
      </c>
      <c r="D7" s="1" t="s">
        <v>140</v>
      </c>
      <c r="E7" s="62">
        <v>1.5</v>
      </c>
      <c r="F7" s="62">
        <v>1.5050000000000001</v>
      </c>
      <c r="G7" s="63">
        <f t="shared" ref="G7:G12" si="0">(F7-$E7)/$E7</f>
        <v>3.3333333333334103E-3</v>
      </c>
      <c r="H7" s="21" t="s">
        <v>131</v>
      </c>
      <c r="J7" s="60" t="s">
        <v>138</v>
      </c>
      <c r="K7" s="4" t="s">
        <v>333</v>
      </c>
      <c r="L7" s="24" t="s">
        <v>334</v>
      </c>
      <c r="M7" s="174">
        <v>3</v>
      </c>
      <c r="N7" s="7"/>
      <c r="O7" s="175"/>
      <c r="P7" s="176"/>
    </row>
    <row r="8" spans="2:16" x14ac:dyDescent="0.45">
      <c r="B8" s="60" t="s">
        <v>141</v>
      </c>
      <c r="C8" s="23" t="s">
        <v>142</v>
      </c>
      <c r="D8" s="1" t="s">
        <v>143</v>
      </c>
      <c r="E8" s="62">
        <v>1.5</v>
      </c>
      <c r="F8" s="62">
        <v>1.4990000000000001</v>
      </c>
      <c r="G8" s="63">
        <f t="shared" si="0"/>
        <v>-6.6666666666659324E-4</v>
      </c>
      <c r="H8" s="21" t="s">
        <v>131</v>
      </c>
      <c r="J8" s="60" t="s">
        <v>141</v>
      </c>
      <c r="K8" s="4" t="s">
        <v>335</v>
      </c>
      <c r="L8" s="24" t="s">
        <v>336</v>
      </c>
      <c r="M8" s="177">
        <v>0.14649999999999999</v>
      </c>
      <c r="N8" s="7"/>
      <c r="O8" s="175"/>
      <c r="P8" s="176"/>
    </row>
    <row r="9" spans="2:16" x14ac:dyDescent="0.45">
      <c r="B9" s="60" t="s">
        <v>144</v>
      </c>
      <c r="C9" s="23" t="s">
        <v>145</v>
      </c>
      <c r="D9" s="1" t="s">
        <v>146</v>
      </c>
      <c r="E9" s="62">
        <v>1.5</v>
      </c>
      <c r="F9" s="62">
        <v>1.5074000000000001</v>
      </c>
      <c r="G9" s="63">
        <f t="shared" si="0"/>
        <v>4.9333333333333824E-3</v>
      </c>
      <c r="H9" s="21" t="s">
        <v>131</v>
      </c>
      <c r="J9" s="60" t="s">
        <v>144</v>
      </c>
      <c r="K9" s="4" t="s">
        <v>337</v>
      </c>
      <c r="L9" s="24" t="s">
        <v>338</v>
      </c>
      <c r="M9" s="177">
        <v>0.14649999999999999</v>
      </c>
      <c r="N9" s="7"/>
      <c r="O9" s="175"/>
      <c r="P9" s="176"/>
    </row>
    <row r="10" spans="2:16" x14ac:dyDescent="0.45">
      <c r="B10" s="60" t="s">
        <v>147</v>
      </c>
      <c r="C10" s="23" t="s">
        <v>148</v>
      </c>
      <c r="D10" s="1" t="s">
        <v>149</v>
      </c>
      <c r="E10" s="62">
        <v>51</v>
      </c>
      <c r="F10" s="62">
        <v>51.044399999999996</v>
      </c>
      <c r="G10" s="63">
        <f t="shared" si="0"/>
        <v>8.7058823529403918E-4</v>
      </c>
      <c r="H10" s="21" t="s">
        <v>131</v>
      </c>
      <c r="J10" s="60" t="s">
        <v>147</v>
      </c>
      <c r="K10" s="4" t="s">
        <v>339</v>
      </c>
      <c r="L10" s="24" t="s">
        <v>340</v>
      </c>
      <c r="M10" s="177">
        <v>0.14649999999999999</v>
      </c>
      <c r="N10" s="7"/>
      <c r="O10" s="175"/>
      <c r="P10" s="176"/>
    </row>
    <row r="11" spans="2:16" x14ac:dyDescent="0.45">
      <c r="B11" s="60" t="s">
        <v>150</v>
      </c>
      <c r="C11" s="23" t="s">
        <v>151</v>
      </c>
      <c r="D11" s="1" t="s">
        <v>152</v>
      </c>
      <c r="E11" s="62">
        <v>5.8608058608058604</v>
      </c>
      <c r="F11" s="62">
        <v>5.8621833329999999</v>
      </c>
      <c r="G11" s="63">
        <f t="shared" si="0"/>
        <v>2.3503119312505706E-4</v>
      </c>
      <c r="H11" s="21" t="s">
        <v>131</v>
      </c>
      <c r="J11" s="60" t="s">
        <v>150</v>
      </c>
      <c r="K11" s="4" t="s">
        <v>341</v>
      </c>
      <c r="L11" s="24" t="s">
        <v>342</v>
      </c>
      <c r="M11" s="174">
        <v>1.5</v>
      </c>
      <c r="N11" s="7"/>
      <c r="O11" s="175"/>
      <c r="P11" s="176"/>
    </row>
    <row r="12" spans="2:16" x14ac:dyDescent="0.45">
      <c r="B12" s="60" t="s">
        <v>153</v>
      </c>
      <c r="C12" s="23" t="s">
        <v>154</v>
      </c>
      <c r="D12" s="1" t="s">
        <v>155</v>
      </c>
      <c r="E12" s="62">
        <v>1.4652014652014651</v>
      </c>
      <c r="F12" s="62">
        <v>1.465433333</v>
      </c>
      <c r="G12" s="63">
        <f t="shared" si="0"/>
        <v>1.5824977250007035E-4</v>
      </c>
      <c r="H12" s="21" t="s">
        <v>131</v>
      </c>
      <c r="J12" s="60" t="s">
        <v>153</v>
      </c>
      <c r="K12" s="4" t="s">
        <v>343</v>
      </c>
      <c r="L12" s="24" t="s">
        <v>344</v>
      </c>
      <c r="M12" s="174">
        <v>35</v>
      </c>
      <c r="N12" s="7"/>
      <c r="O12" s="175"/>
      <c r="P12" s="176"/>
    </row>
    <row r="13" spans="2:16" ht="16.5" thickBot="1" x14ac:dyDescent="0.5">
      <c r="B13" s="64" t="s">
        <v>156</v>
      </c>
      <c r="C13" s="27" t="s">
        <v>157</v>
      </c>
      <c r="D13" s="65" t="s">
        <v>158</v>
      </c>
      <c r="E13" s="66" t="s">
        <v>83</v>
      </c>
      <c r="F13" s="66" t="s">
        <v>83</v>
      </c>
      <c r="G13" s="66" t="s">
        <v>83</v>
      </c>
      <c r="H13" s="67" t="s">
        <v>131</v>
      </c>
      <c r="J13" s="60" t="s">
        <v>156</v>
      </c>
      <c r="K13" s="4" t="s">
        <v>345</v>
      </c>
      <c r="L13" s="24" t="s">
        <v>344</v>
      </c>
      <c r="M13" s="178">
        <v>35</v>
      </c>
      <c r="N13" s="179"/>
      <c r="O13" s="180"/>
      <c r="P13" s="176"/>
    </row>
    <row r="14" spans="2:16" ht="16.5" thickBot="1" x14ac:dyDescent="0.5">
      <c r="B14" s="57" t="s">
        <v>159</v>
      </c>
      <c r="C14" s="31" t="s">
        <v>82</v>
      </c>
      <c r="D14" s="58" t="s">
        <v>160</v>
      </c>
      <c r="E14" s="68" t="s">
        <v>83</v>
      </c>
      <c r="F14" s="58">
        <v>1.7452000000000001</v>
      </c>
      <c r="G14" s="68" t="s">
        <v>83</v>
      </c>
      <c r="H14" s="69" t="s">
        <v>83</v>
      </c>
      <c r="J14" s="72" t="s">
        <v>159</v>
      </c>
      <c r="K14" s="37" t="s">
        <v>346</v>
      </c>
      <c r="L14" s="36" t="s">
        <v>158</v>
      </c>
      <c r="M14" s="181" t="s">
        <v>83</v>
      </c>
      <c r="N14" s="73" t="s">
        <v>83</v>
      </c>
      <c r="O14" s="182" t="s">
        <v>83</v>
      </c>
      <c r="P14" s="183"/>
    </row>
    <row r="15" spans="2:16" x14ac:dyDescent="0.45">
      <c r="B15" s="60" t="s">
        <v>161</v>
      </c>
      <c r="C15" s="23" t="s">
        <v>90</v>
      </c>
      <c r="D15" s="1" t="s">
        <v>162</v>
      </c>
      <c r="E15" s="1">
        <v>40</v>
      </c>
      <c r="F15" s="7">
        <v>39.970599999999997</v>
      </c>
      <c r="G15" s="70">
        <f t="shared" ref="G15:G36" si="1">(F15-$E15)/$E15</f>
        <v>-7.350000000000634E-4</v>
      </c>
      <c r="H15" s="25"/>
      <c r="J15" s="161" t="s">
        <v>161</v>
      </c>
      <c r="K15" s="18"/>
      <c r="L15" s="19"/>
      <c r="M15" s="20"/>
      <c r="N15" s="184"/>
      <c r="O15" s="185"/>
      <c r="P15" s="165"/>
    </row>
    <row r="16" spans="2:16" x14ac:dyDescent="0.45">
      <c r="B16" s="60" t="s">
        <v>163</v>
      </c>
      <c r="C16" s="23" t="s">
        <v>91</v>
      </c>
      <c r="D16" s="1" t="s">
        <v>164</v>
      </c>
      <c r="E16" s="1">
        <v>50</v>
      </c>
      <c r="F16" s="7">
        <v>49.967199999999998</v>
      </c>
      <c r="G16" s="70">
        <f t="shared" si="1"/>
        <v>-6.5600000000003438E-4</v>
      </c>
      <c r="H16" s="25"/>
      <c r="J16" s="60" t="s">
        <v>163</v>
      </c>
      <c r="K16" s="23"/>
      <c r="L16" s="24"/>
      <c r="M16" s="4"/>
      <c r="N16" s="7"/>
      <c r="O16" s="175"/>
      <c r="P16" s="176"/>
    </row>
    <row r="17" spans="2:16" x14ac:dyDescent="0.45">
      <c r="B17" s="60" t="s">
        <v>165</v>
      </c>
      <c r="C17" s="23" t="s">
        <v>92</v>
      </c>
      <c r="D17" s="1" t="s">
        <v>166</v>
      </c>
      <c r="E17" s="1">
        <v>60</v>
      </c>
      <c r="F17" s="7">
        <v>59.959199999999996</v>
      </c>
      <c r="G17" s="70">
        <f t="shared" si="1"/>
        <v>-6.8000000000007312E-4</v>
      </c>
      <c r="H17" s="25"/>
      <c r="J17" s="60" t="s">
        <v>165</v>
      </c>
      <c r="K17" s="23"/>
      <c r="L17" s="24"/>
      <c r="M17" s="4"/>
      <c r="N17" s="7"/>
      <c r="O17" s="175"/>
      <c r="P17" s="176"/>
    </row>
    <row r="18" spans="2:16" x14ac:dyDescent="0.45">
      <c r="B18" s="60" t="s">
        <v>167</v>
      </c>
      <c r="C18" s="23" t="s">
        <v>93</v>
      </c>
      <c r="D18" s="1" t="s">
        <v>168</v>
      </c>
      <c r="E18" s="1">
        <v>1.7582417582417582</v>
      </c>
      <c r="F18" s="1">
        <v>1.75665</v>
      </c>
      <c r="G18" s="70">
        <f t="shared" si="1"/>
        <v>-9.0531249999995791E-4</v>
      </c>
      <c r="H18" s="25"/>
      <c r="J18" s="60" t="s">
        <v>167</v>
      </c>
      <c r="K18" s="23"/>
      <c r="L18" s="24"/>
      <c r="M18" s="4"/>
      <c r="N18" s="1"/>
      <c r="O18" s="175"/>
      <c r="P18" s="176"/>
    </row>
    <row r="19" spans="2:16" x14ac:dyDescent="0.45">
      <c r="B19" s="60" t="s">
        <v>169</v>
      </c>
      <c r="C19" s="23" t="s">
        <v>94</v>
      </c>
      <c r="D19" s="1" t="s">
        <v>170</v>
      </c>
      <c r="E19" s="1">
        <v>4.1025641025641022</v>
      </c>
      <c r="F19" s="1">
        <v>4.1064000000000007</v>
      </c>
      <c r="G19" s="70">
        <f t="shared" si="1"/>
        <v>9.3500000000026353E-4</v>
      </c>
      <c r="H19" s="25"/>
      <c r="J19" s="60" t="s">
        <v>169</v>
      </c>
      <c r="K19" s="23"/>
      <c r="L19" s="24"/>
      <c r="M19" s="4"/>
      <c r="N19" s="1"/>
      <c r="O19" s="175"/>
      <c r="P19" s="176"/>
    </row>
    <row r="20" spans="2:16" x14ac:dyDescent="0.45">
      <c r="B20" s="60" t="s">
        <v>171</v>
      </c>
      <c r="C20" s="23" t="s">
        <v>95</v>
      </c>
      <c r="D20" s="1" t="s">
        <v>172</v>
      </c>
      <c r="E20" s="1">
        <v>17.582417582417584</v>
      </c>
      <c r="F20" s="1">
        <v>17.566116666666666</v>
      </c>
      <c r="G20" s="70">
        <f t="shared" si="1"/>
        <v>-9.2711458333345927E-4</v>
      </c>
      <c r="H20" s="25"/>
      <c r="J20" s="60" t="s">
        <v>171</v>
      </c>
      <c r="K20" s="23"/>
      <c r="L20" s="24"/>
      <c r="M20" s="4"/>
      <c r="N20" s="1"/>
      <c r="O20" s="175"/>
      <c r="P20" s="176"/>
    </row>
    <row r="21" spans="2:16" x14ac:dyDescent="0.45">
      <c r="B21" s="60" t="s">
        <v>173</v>
      </c>
      <c r="C21" s="23" t="s">
        <v>96</v>
      </c>
      <c r="D21" s="1" t="s">
        <v>174</v>
      </c>
      <c r="E21" s="1">
        <v>0.29304029304029305</v>
      </c>
      <c r="F21" s="1">
        <v>0.2944666666666666</v>
      </c>
      <c r="G21" s="70">
        <f t="shared" si="1"/>
        <v>4.8674999999997219E-3</v>
      </c>
      <c r="H21" s="25"/>
      <c r="J21" s="60" t="s">
        <v>173</v>
      </c>
      <c r="K21" s="23"/>
      <c r="L21" s="24"/>
      <c r="M21" s="4"/>
      <c r="N21" s="1"/>
      <c r="O21" s="175"/>
      <c r="P21" s="176"/>
    </row>
    <row r="22" spans="2:16" x14ac:dyDescent="0.45">
      <c r="B22" s="60" t="s">
        <v>175</v>
      </c>
      <c r="C22" s="23" t="s">
        <v>97</v>
      </c>
      <c r="D22" s="1" t="s">
        <v>176</v>
      </c>
      <c r="E22" s="1">
        <v>0.58608058608058611</v>
      </c>
      <c r="F22" s="1">
        <v>0.58721666666666661</v>
      </c>
      <c r="G22" s="70">
        <f t="shared" si="1"/>
        <v>1.9384374999998552E-3</v>
      </c>
      <c r="H22" s="25"/>
      <c r="J22" s="60" t="s">
        <v>175</v>
      </c>
      <c r="K22" s="23"/>
      <c r="L22" s="24"/>
      <c r="M22" s="4"/>
      <c r="N22" s="1"/>
      <c r="O22" s="175"/>
      <c r="P22" s="176"/>
    </row>
    <row r="23" spans="2:16" x14ac:dyDescent="0.45">
      <c r="B23" s="60" t="s">
        <v>177</v>
      </c>
      <c r="C23" s="23" t="s">
        <v>98</v>
      </c>
      <c r="D23" s="1" t="s">
        <v>178</v>
      </c>
      <c r="E23" s="1">
        <v>0.87912087912087911</v>
      </c>
      <c r="F23" s="1">
        <v>0.88213333333333377</v>
      </c>
      <c r="G23" s="70">
        <f t="shared" si="1"/>
        <v>3.426666666667179E-3</v>
      </c>
      <c r="H23" s="25"/>
      <c r="J23" s="60" t="s">
        <v>177</v>
      </c>
      <c r="K23" s="23"/>
      <c r="L23" s="24"/>
      <c r="M23" s="4"/>
      <c r="N23" s="1"/>
      <c r="O23" s="175"/>
      <c r="P23" s="176"/>
    </row>
    <row r="24" spans="2:16" x14ac:dyDescent="0.45">
      <c r="B24" s="60" t="s">
        <v>179</v>
      </c>
      <c r="C24" s="23" t="s">
        <v>99</v>
      </c>
      <c r="D24" s="1" t="s">
        <v>180</v>
      </c>
      <c r="E24" s="1">
        <v>1.1721611721611722</v>
      </c>
      <c r="F24" s="1">
        <v>1.1737333333333335</v>
      </c>
      <c r="G24" s="70">
        <f t="shared" si="1"/>
        <v>1.3412500000001104E-3</v>
      </c>
      <c r="H24" s="25"/>
      <c r="J24" s="60" t="s">
        <v>179</v>
      </c>
      <c r="K24" s="23"/>
      <c r="L24" s="24"/>
      <c r="M24" s="4"/>
      <c r="N24" s="1"/>
      <c r="O24" s="175"/>
      <c r="P24" s="176"/>
    </row>
    <row r="25" spans="2:16" x14ac:dyDescent="0.45">
      <c r="B25" s="60" t="s">
        <v>181</v>
      </c>
      <c r="C25" s="23" t="s">
        <v>100</v>
      </c>
      <c r="D25" s="1" t="s">
        <v>182</v>
      </c>
      <c r="E25" s="1">
        <v>1.4652014652014653</v>
      </c>
      <c r="F25" s="1">
        <v>1.4665833333333327</v>
      </c>
      <c r="G25" s="70">
        <f t="shared" si="1"/>
        <v>9.4312499999947227E-4</v>
      </c>
      <c r="H25" s="25"/>
      <c r="J25" s="60" t="s">
        <v>181</v>
      </c>
      <c r="K25" s="23"/>
      <c r="L25" s="24"/>
      <c r="M25" s="4"/>
      <c r="N25" s="1"/>
      <c r="O25" s="175"/>
      <c r="P25" s="176"/>
    </row>
    <row r="26" spans="2:16" x14ac:dyDescent="0.45">
      <c r="B26" s="60" t="s">
        <v>183</v>
      </c>
      <c r="C26" s="23" t="s">
        <v>101</v>
      </c>
      <c r="D26" s="1" t="s">
        <v>184</v>
      </c>
      <c r="E26" s="1">
        <v>1.7582417582417582</v>
      </c>
      <c r="F26" s="1">
        <v>1.7564833333333332</v>
      </c>
      <c r="G26" s="70">
        <f t="shared" si="1"/>
        <v>-1.0001041666667404E-3</v>
      </c>
      <c r="H26" s="25"/>
      <c r="J26" s="60" t="s">
        <v>183</v>
      </c>
      <c r="K26" s="23"/>
      <c r="L26" s="24"/>
      <c r="M26" s="4"/>
      <c r="N26" s="1"/>
      <c r="O26" s="175"/>
      <c r="P26" s="176"/>
    </row>
    <row r="27" spans="2:16" x14ac:dyDescent="0.45">
      <c r="B27" s="60" t="s">
        <v>185</v>
      </c>
      <c r="C27" s="23" t="s">
        <v>102</v>
      </c>
      <c r="D27" s="1" t="s">
        <v>186</v>
      </c>
      <c r="E27" s="1">
        <v>2.0512820512820515</v>
      </c>
      <c r="F27" s="1">
        <v>2.0473500000000011</v>
      </c>
      <c r="G27" s="70">
        <f t="shared" si="1"/>
        <v>-1.9168749999995847E-3</v>
      </c>
      <c r="H27" s="25"/>
      <c r="J27" s="60" t="s">
        <v>185</v>
      </c>
      <c r="K27" s="23"/>
      <c r="L27" s="24"/>
      <c r="M27" s="4"/>
      <c r="N27" s="1"/>
      <c r="O27" s="175"/>
      <c r="P27" s="176"/>
    </row>
    <row r="28" spans="2:16" x14ac:dyDescent="0.45">
      <c r="B28" s="60" t="s">
        <v>187</v>
      </c>
      <c r="C28" s="23" t="s">
        <v>103</v>
      </c>
      <c r="D28" s="1" t="s">
        <v>188</v>
      </c>
      <c r="E28" s="1">
        <v>2.3443223443223444</v>
      </c>
      <c r="F28" s="1">
        <v>2.3383166666666662</v>
      </c>
      <c r="G28" s="70">
        <f t="shared" si="1"/>
        <v>-2.5617968750002648E-3</v>
      </c>
      <c r="H28" s="25"/>
      <c r="J28" s="60" t="s">
        <v>187</v>
      </c>
      <c r="K28" s="23"/>
      <c r="L28" s="24"/>
      <c r="M28" s="4"/>
      <c r="N28" s="1"/>
      <c r="O28" s="175"/>
      <c r="P28" s="176"/>
    </row>
    <row r="29" spans="2:16" x14ac:dyDescent="0.45">
      <c r="B29" s="60" t="s">
        <v>189</v>
      </c>
      <c r="C29" s="23" t="s">
        <v>104</v>
      </c>
      <c r="D29" s="1" t="s">
        <v>190</v>
      </c>
      <c r="E29" s="1">
        <v>2.6373626373626373</v>
      </c>
      <c r="F29" s="1">
        <v>2.6317833333333338</v>
      </c>
      <c r="G29" s="70">
        <f t="shared" si="1"/>
        <v>-2.1154861111109145E-3</v>
      </c>
      <c r="H29" s="25"/>
      <c r="J29" s="60" t="s">
        <v>189</v>
      </c>
      <c r="K29" s="23"/>
      <c r="L29" s="24"/>
      <c r="M29" s="4"/>
      <c r="N29" s="1"/>
      <c r="O29" s="175"/>
      <c r="P29" s="176"/>
    </row>
    <row r="30" spans="2:16" x14ac:dyDescent="0.45">
      <c r="B30" s="60" t="s">
        <v>191</v>
      </c>
      <c r="C30" s="23" t="s">
        <v>105</v>
      </c>
      <c r="D30" s="1" t="s">
        <v>192</v>
      </c>
      <c r="E30" s="1">
        <v>2.9304029304029307</v>
      </c>
      <c r="F30" s="1">
        <v>2.9201166666666665</v>
      </c>
      <c r="G30" s="70">
        <f t="shared" si="1"/>
        <v>-3.5101875000001508E-3</v>
      </c>
      <c r="H30" s="25"/>
      <c r="J30" s="60" t="s">
        <v>191</v>
      </c>
      <c r="K30" s="23"/>
      <c r="L30" s="24"/>
      <c r="M30" s="4"/>
      <c r="N30" s="1"/>
      <c r="O30" s="175"/>
      <c r="P30" s="176"/>
    </row>
    <row r="31" spans="2:16" x14ac:dyDescent="0.45">
      <c r="B31" s="60" t="s">
        <v>193</v>
      </c>
      <c r="C31" s="23" t="s">
        <v>106</v>
      </c>
      <c r="D31" s="1" t="s">
        <v>194</v>
      </c>
      <c r="E31" s="1">
        <v>3.2234432234432235</v>
      </c>
      <c r="F31" s="1">
        <v>3.2114333333333334</v>
      </c>
      <c r="G31" s="70">
        <f t="shared" si="1"/>
        <v>-3.7257954545454747E-3</v>
      </c>
      <c r="H31" s="25"/>
      <c r="J31" s="60" t="s">
        <v>193</v>
      </c>
      <c r="K31" s="23"/>
      <c r="L31" s="24"/>
      <c r="M31" s="4"/>
      <c r="N31" s="1"/>
      <c r="O31" s="175"/>
      <c r="P31" s="176"/>
    </row>
    <row r="32" spans="2:16" x14ac:dyDescent="0.45">
      <c r="B32" s="60" t="s">
        <v>195</v>
      </c>
      <c r="C32" s="23" t="s">
        <v>107</v>
      </c>
      <c r="D32" s="1" t="s">
        <v>196</v>
      </c>
      <c r="E32" s="1">
        <v>3.5164835164835164</v>
      </c>
      <c r="F32" s="1">
        <v>3.5010833333333324</v>
      </c>
      <c r="G32" s="70">
        <f t="shared" si="1"/>
        <v>-4.3794270833335718E-3</v>
      </c>
      <c r="H32" s="25"/>
      <c r="J32" s="60" t="s">
        <v>195</v>
      </c>
      <c r="K32" s="23"/>
      <c r="L32" s="24"/>
      <c r="M32" s="4"/>
      <c r="N32" s="1"/>
      <c r="O32" s="175"/>
      <c r="P32" s="176"/>
    </row>
    <row r="33" spans="2:16" x14ac:dyDescent="0.45">
      <c r="B33" s="60" t="s">
        <v>197</v>
      </c>
      <c r="C33" s="23" t="s">
        <v>108</v>
      </c>
      <c r="D33" s="1" t="s">
        <v>198</v>
      </c>
      <c r="E33" s="1">
        <v>3.8095238095238098</v>
      </c>
      <c r="F33" s="1">
        <v>3.7910833333333325</v>
      </c>
      <c r="G33" s="70">
        <f t="shared" si="1"/>
        <v>-4.8406250000002865E-3</v>
      </c>
      <c r="H33" s="25"/>
      <c r="J33" s="60" t="s">
        <v>197</v>
      </c>
      <c r="K33" s="23"/>
      <c r="L33" s="24"/>
      <c r="M33" s="4"/>
      <c r="N33" s="1"/>
      <c r="O33" s="175"/>
      <c r="P33" s="176"/>
    </row>
    <row r="34" spans="2:16" x14ac:dyDescent="0.45">
      <c r="B34" s="60" t="s">
        <v>199</v>
      </c>
      <c r="C34" s="23" t="s">
        <v>109</v>
      </c>
      <c r="D34" s="1" t="s">
        <v>200</v>
      </c>
      <c r="E34" s="1">
        <v>4.1025641025641031</v>
      </c>
      <c r="F34" s="1">
        <v>4.0790500000000005</v>
      </c>
      <c r="G34" s="70">
        <f t="shared" si="1"/>
        <v>-5.7315625000000031E-3</v>
      </c>
      <c r="H34" s="25"/>
      <c r="J34" s="60" t="s">
        <v>199</v>
      </c>
      <c r="K34" s="23"/>
      <c r="L34" s="24"/>
      <c r="M34" s="4"/>
      <c r="N34" s="1"/>
      <c r="O34" s="175"/>
      <c r="P34" s="176"/>
    </row>
    <row r="35" spans="2:16" x14ac:dyDescent="0.45">
      <c r="B35" s="60" t="s">
        <v>201</v>
      </c>
      <c r="C35" s="23" t="s">
        <v>110</v>
      </c>
      <c r="D35" s="1" t="s">
        <v>202</v>
      </c>
      <c r="E35" s="1">
        <v>4.395604395604396</v>
      </c>
      <c r="F35" s="1">
        <v>4.3650666666666655</v>
      </c>
      <c r="G35" s="70">
        <f t="shared" si="1"/>
        <v>-6.9473333333336731E-3</v>
      </c>
      <c r="H35" s="25"/>
      <c r="J35" s="60" t="s">
        <v>201</v>
      </c>
      <c r="K35" s="23"/>
      <c r="L35" s="24"/>
      <c r="M35" s="4"/>
      <c r="N35" s="1"/>
      <c r="O35" s="175"/>
      <c r="P35" s="176"/>
    </row>
    <row r="36" spans="2:16" ht="16.5" thickBot="1" x14ac:dyDescent="0.5">
      <c r="B36" s="64" t="s">
        <v>203</v>
      </c>
      <c r="C36" s="27" t="s">
        <v>111</v>
      </c>
      <c r="D36" s="1" t="s">
        <v>204</v>
      </c>
      <c r="E36" s="65">
        <v>4.6886446886446889</v>
      </c>
      <c r="F36" s="65">
        <v>4.6499833333333322</v>
      </c>
      <c r="G36" s="71">
        <f t="shared" si="1"/>
        <v>-8.2457421875002778E-3</v>
      </c>
      <c r="H36" s="30"/>
      <c r="J36" s="60" t="s">
        <v>203</v>
      </c>
      <c r="K36" s="23"/>
      <c r="L36" s="24"/>
      <c r="M36" s="4"/>
      <c r="N36" s="1"/>
      <c r="O36" s="175"/>
      <c r="P36" s="176"/>
    </row>
    <row r="37" spans="2:16" x14ac:dyDescent="0.45">
      <c r="B37" s="57" t="s">
        <v>205</v>
      </c>
      <c r="C37" s="31" t="s">
        <v>206</v>
      </c>
      <c r="D37" s="58" t="s">
        <v>207</v>
      </c>
      <c r="E37" s="68" t="s">
        <v>83</v>
      </c>
      <c r="F37" s="68" t="s">
        <v>83</v>
      </c>
      <c r="G37" s="68" t="s">
        <v>83</v>
      </c>
      <c r="H37" s="34"/>
      <c r="J37" s="60" t="s">
        <v>205</v>
      </c>
      <c r="K37" s="23"/>
      <c r="L37" s="24"/>
      <c r="M37" s="186"/>
      <c r="N37" s="179"/>
      <c r="O37" s="180"/>
      <c r="P37" s="176"/>
    </row>
    <row r="38" spans="2:16" ht="16.5" thickBot="1" x14ac:dyDescent="0.5">
      <c r="B38" s="72" t="s">
        <v>208</v>
      </c>
      <c r="C38" s="35" t="s">
        <v>209</v>
      </c>
      <c r="D38" s="44" t="s">
        <v>210</v>
      </c>
      <c r="E38" s="44" t="s">
        <v>83</v>
      </c>
      <c r="F38" s="73" t="s">
        <v>83</v>
      </c>
      <c r="G38" s="73" t="s">
        <v>83</v>
      </c>
      <c r="H38" s="38"/>
      <c r="J38" s="72" t="s">
        <v>208</v>
      </c>
      <c r="K38" s="35"/>
      <c r="L38" s="36"/>
      <c r="M38" s="37"/>
      <c r="N38" s="73"/>
      <c r="O38" s="182"/>
      <c r="P38" s="187"/>
    </row>
  </sheetData>
  <mergeCells count="2">
    <mergeCell ref="B2:H2"/>
    <mergeCell ref="J2:P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B3BD-DDB5-43DF-9AF0-6C41FAC5082B}">
  <dimension ref="A1:Q50"/>
  <sheetViews>
    <sheetView tabSelected="1" topLeftCell="A15" zoomScale="70" zoomScaleNormal="70" workbookViewId="0">
      <selection activeCell="A43" sqref="A43"/>
    </sheetView>
  </sheetViews>
  <sheetFormatPr defaultRowHeight="17" x14ac:dyDescent="0.45"/>
  <cols>
    <col min="1" max="1" width="8.7265625" style="75"/>
    <col min="2" max="2" width="11.90625" style="75" customWidth="1"/>
    <col min="3" max="3" width="41.1796875" style="75" bestFit="1" customWidth="1"/>
    <col min="4" max="4" width="41.1796875" style="75" customWidth="1"/>
    <col min="5" max="5" width="59.26953125" style="75" customWidth="1"/>
    <col min="6" max="6" width="12.453125" style="75" customWidth="1"/>
    <col min="7" max="7" width="11.54296875" style="75" customWidth="1"/>
    <col min="8" max="8" width="43.54296875" style="75" bestFit="1" customWidth="1"/>
    <col min="9" max="10" width="11.54296875" style="75" customWidth="1"/>
    <col min="11" max="11" width="45.90625" style="75" bestFit="1" customWidth="1"/>
    <col min="12" max="12" width="11.54296875" style="75" customWidth="1"/>
    <col min="13" max="13" width="16.08984375" style="75" customWidth="1"/>
    <col min="14" max="14" width="64.453125" style="75" customWidth="1"/>
    <col min="15" max="16384" width="8.7265625" style="75"/>
  </cols>
  <sheetData>
    <row r="1" spans="1:17" ht="17.5" thickBot="1" x14ac:dyDescent="0.5"/>
    <row r="2" spans="1:17" ht="17.5" thickBot="1" x14ac:dyDescent="0.5">
      <c r="A2" s="76"/>
      <c r="B2" s="77"/>
      <c r="C2" s="78"/>
      <c r="D2" s="78" t="s">
        <v>382</v>
      </c>
      <c r="E2" s="78"/>
      <c r="F2" s="78"/>
      <c r="G2" s="235" t="s">
        <v>211</v>
      </c>
      <c r="H2" s="236"/>
      <c r="I2" s="237"/>
      <c r="J2" s="235" t="s">
        <v>212</v>
      </c>
      <c r="K2" s="236"/>
      <c r="L2" s="237"/>
      <c r="M2" s="79" t="s">
        <v>213</v>
      </c>
      <c r="N2" s="193" t="s">
        <v>214</v>
      </c>
      <c r="O2" s="80"/>
      <c r="P2" s="80"/>
      <c r="Q2" s="81"/>
    </row>
    <row r="3" spans="1:17" ht="17.5" thickBot="1" x14ac:dyDescent="0.5">
      <c r="A3" s="76"/>
      <c r="B3" s="229" t="s">
        <v>215</v>
      </c>
      <c r="C3" s="82"/>
      <c r="D3" s="82"/>
      <c r="E3" s="83"/>
      <c r="F3" s="84" t="s">
        <v>216</v>
      </c>
      <c r="G3" s="85" t="s">
        <v>217</v>
      </c>
      <c r="H3" s="86" t="s">
        <v>218</v>
      </c>
      <c r="I3" s="87" t="s">
        <v>219</v>
      </c>
      <c r="J3" s="85" t="s">
        <v>217</v>
      </c>
      <c r="K3" s="86" t="s">
        <v>218</v>
      </c>
      <c r="L3" s="87" t="s">
        <v>219</v>
      </c>
      <c r="M3" s="213"/>
      <c r="N3" s="214"/>
      <c r="O3" s="80"/>
      <c r="P3" s="80"/>
      <c r="Q3" s="81"/>
    </row>
    <row r="4" spans="1:17" x14ac:dyDescent="0.45">
      <c r="A4" s="76"/>
      <c r="B4" s="241"/>
      <c r="C4" s="89" t="s">
        <v>220</v>
      </c>
      <c r="D4" s="89"/>
      <c r="E4" s="89" t="s">
        <v>221</v>
      </c>
      <c r="F4" s="88">
        <v>10</v>
      </c>
      <c r="G4" s="90" t="s">
        <v>222</v>
      </c>
      <c r="H4" s="91" t="s">
        <v>223</v>
      </c>
      <c r="I4" s="92" t="s">
        <v>224</v>
      </c>
      <c r="J4" s="93"/>
      <c r="K4" s="91"/>
      <c r="L4" s="94"/>
      <c r="M4" s="200"/>
      <c r="N4" s="194"/>
      <c r="O4" s="80"/>
      <c r="P4" s="80"/>
      <c r="Q4" s="81"/>
    </row>
    <row r="5" spans="1:17" x14ac:dyDescent="0.45">
      <c r="A5" s="76"/>
      <c r="B5" s="230"/>
      <c r="C5" s="96" t="s">
        <v>225</v>
      </c>
      <c r="D5" s="96"/>
      <c r="E5" s="97" t="s">
        <v>226</v>
      </c>
      <c r="F5" s="95">
        <v>10</v>
      </c>
      <c r="G5" s="98" t="s">
        <v>227</v>
      </c>
      <c r="H5" s="99" t="s">
        <v>228</v>
      </c>
      <c r="I5" s="100" t="s">
        <v>229</v>
      </c>
      <c r="J5" s="101"/>
      <c r="K5" s="99"/>
      <c r="L5" s="102"/>
      <c r="M5" s="201"/>
      <c r="N5" s="195"/>
      <c r="O5" s="80"/>
      <c r="P5" s="80"/>
      <c r="Q5" s="81"/>
    </row>
    <row r="6" spans="1:17" x14ac:dyDescent="0.45">
      <c r="A6" s="76"/>
      <c r="B6" s="230"/>
      <c r="C6" s="96" t="s">
        <v>230</v>
      </c>
      <c r="D6" s="96"/>
      <c r="E6" s="96" t="s">
        <v>231</v>
      </c>
      <c r="F6" s="95">
        <v>5</v>
      </c>
      <c r="G6" s="98"/>
      <c r="H6" s="99" t="s">
        <v>232</v>
      </c>
      <c r="I6" s="100"/>
      <c r="J6" s="101"/>
      <c r="K6" s="99" t="s">
        <v>322</v>
      </c>
      <c r="L6" s="102"/>
      <c r="M6" s="202" t="s">
        <v>321</v>
      </c>
      <c r="N6" s="195"/>
      <c r="O6" s="80"/>
      <c r="P6" s="80"/>
      <c r="Q6" s="81"/>
    </row>
    <row r="7" spans="1:17" x14ac:dyDescent="0.45">
      <c r="A7" s="76"/>
      <c r="B7" s="230"/>
      <c r="C7" s="96" t="s">
        <v>233</v>
      </c>
      <c r="D7" s="103" t="s">
        <v>383</v>
      </c>
      <c r="E7" s="259" t="s">
        <v>234</v>
      </c>
      <c r="F7" s="95">
        <v>5</v>
      </c>
      <c r="G7" s="98"/>
      <c r="H7" s="99" t="s">
        <v>232</v>
      </c>
      <c r="I7" s="100"/>
      <c r="J7" s="101"/>
      <c r="K7" s="99"/>
      <c r="L7" s="102"/>
      <c r="M7" s="203"/>
      <c r="N7" s="195"/>
      <c r="O7" s="80"/>
      <c r="P7" s="80"/>
      <c r="Q7" s="81"/>
    </row>
    <row r="8" spans="1:17" x14ac:dyDescent="0.45">
      <c r="A8" s="76"/>
      <c r="B8" s="230"/>
      <c r="C8" s="96" t="s">
        <v>235</v>
      </c>
      <c r="D8" s="104"/>
      <c r="E8" s="247"/>
      <c r="F8" s="95">
        <v>5</v>
      </c>
      <c r="G8" s="98"/>
      <c r="H8" s="99" t="s">
        <v>232</v>
      </c>
      <c r="I8" s="100"/>
      <c r="J8" s="101"/>
      <c r="K8" s="99"/>
      <c r="L8" s="102"/>
      <c r="M8" s="203"/>
      <c r="N8" s="195"/>
      <c r="O8" s="80"/>
      <c r="P8" s="80"/>
      <c r="Q8" s="81"/>
    </row>
    <row r="9" spans="1:17" x14ac:dyDescent="0.45">
      <c r="A9" s="76"/>
      <c r="B9" s="230"/>
      <c r="C9" s="96" t="s">
        <v>236</v>
      </c>
      <c r="D9" s="104"/>
      <c r="E9" s="104" t="s">
        <v>237</v>
      </c>
      <c r="F9" s="105">
        <v>10</v>
      </c>
      <c r="G9" s="98"/>
      <c r="H9" s="99" t="s">
        <v>238</v>
      </c>
      <c r="I9" s="100"/>
      <c r="J9" s="101"/>
      <c r="K9" s="99"/>
      <c r="L9" s="102"/>
      <c r="M9" s="203"/>
      <c r="N9" s="195"/>
      <c r="O9" s="80"/>
      <c r="P9" s="80"/>
      <c r="Q9" s="81"/>
    </row>
    <row r="10" spans="1:17" x14ac:dyDescent="0.45">
      <c r="A10" s="76"/>
      <c r="B10" s="230"/>
      <c r="C10" s="96" t="s">
        <v>312</v>
      </c>
      <c r="D10" s="96"/>
      <c r="E10" s="96" t="s">
        <v>240</v>
      </c>
      <c r="F10" s="105">
        <v>1</v>
      </c>
      <c r="G10" s="98"/>
      <c r="H10" s="99" t="s">
        <v>313</v>
      </c>
      <c r="I10" s="100"/>
      <c r="J10" s="101"/>
      <c r="K10" s="141">
        <v>1.4004000000000001</v>
      </c>
      <c r="L10" s="102"/>
      <c r="M10" s="202" t="s">
        <v>321</v>
      </c>
      <c r="N10" s="196" t="s">
        <v>323</v>
      </c>
      <c r="O10" s="80"/>
      <c r="P10" s="80"/>
      <c r="Q10" s="81"/>
    </row>
    <row r="11" spans="1:17" x14ac:dyDescent="0.45">
      <c r="A11" s="76"/>
      <c r="B11" s="230"/>
      <c r="C11" s="96" t="s">
        <v>239</v>
      </c>
      <c r="D11" s="96"/>
      <c r="E11" s="96" t="s">
        <v>240</v>
      </c>
      <c r="F11" s="95">
        <v>1</v>
      </c>
      <c r="G11" s="98"/>
      <c r="H11" s="99" t="s">
        <v>241</v>
      </c>
      <c r="I11" s="100"/>
      <c r="J11" s="101"/>
      <c r="K11" s="141">
        <v>1.5050000000000001</v>
      </c>
      <c r="L11" s="102"/>
      <c r="M11" s="202" t="s">
        <v>321</v>
      </c>
      <c r="N11" s="195"/>
      <c r="O11" s="80"/>
      <c r="P11" s="80"/>
      <c r="Q11" s="81"/>
    </row>
    <row r="12" spans="1:17" x14ac:dyDescent="0.45">
      <c r="A12" s="76"/>
      <c r="B12" s="230"/>
      <c r="C12" s="96" t="s">
        <v>242</v>
      </c>
      <c r="D12" s="96"/>
      <c r="E12" s="96" t="s">
        <v>240</v>
      </c>
      <c r="F12" s="95">
        <v>1</v>
      </c>
      <c r="G12" s="98"/>
      <c r="H12" s="99" t="s">
        <v>241</v>
      </c>
      <c r="I12" s="100"/>
      <c r="J12" s="101"/>
      <c r="K12" s="141">
        <v>1.4990000000000001</v>
      </c>
      <c r="L12" s="102"/>
      <c r="M12" s="202" t="s">
        <v>321</v>
      </c>
      <c r="N12" s="195"/>
      <c r="O12" s="80"/>
      <c r="P12" s="80"/>
      <c r="Q12" s="81"/>
    </row>
    <row r="13" spans="1:17" x14ac:dyDescent="0.45">
      <c r="A13" s="76"/>
      <c r="B13" s="230"/>
      <c r="C13" s="96" t="s">
        <v>243</v>
      </c>
      <c r="D13" s="96"/>
      <c r="E13" s="96" t="s">
        <v>240</v>
      </c>
      <c r="F13" s="95">
        <v>1</v>
      </c>
      <c r="G13" s="98"/>
      <c r="H13" s="99" t="s">
        <v>241</v>
      </c>
      <c r="I13" s="100"/>
      <c r="J13" s="101"/>
      <c r="K13" s="141">
        <v>1.5074000000000001</v>
      </c>
      <c r="L13" s="102"/>
      <c r="M13" s="202" t="s">
        <v>321</v>
      </c>
      <c r="N13" s="195"/>
      <c r="O13" s="80"/>
      <c r="P13" s="80"/>
      <c r="Q13" s="81"/>
    </row>
    <row r="14" spans="1:17" x14ac:dyDescent="0.45">
      <c r="A14" s="76"/>
      <c r="B14" s="230"/>
      <c r="C14" s="96" t="s">
        <v>379</v>
      </c>
      <c r="D14" s="96"/>
      <c r="E14" s="96" t="s">
        <v>380</v>
      </c>
      <c r="F14" s="95">
        <v>1</v>
      </c>
      <c r="G14" s="98"/>
      <c r="H14" s="99"/>
      <c r="I14" s="100"/>
      <c r="J14" s="101"/>
      <c r="K14" s="99"/>
      <c r="L14" s="102"/>
      <c r="M14" s="203"/>
      <c r="N14" s="195"/>
      <c r="O14" s="80"/>
      <c r="P14" s="80"/>
      <c r="Q14" s="81"/>
    </row>
    <row r="15" spans="1:17" ht="17.5" thickBot="1" x14ac:dyDescent="0.5">
      <c r="A15" s="76"/>
      <c r="B15" s="231"/>
      <c r="C15" s="120" t="s">
        <v>377</v>
      </c>
      <c r="D15" s="120"/>
      <c r="E15" s="120" t="s">
        <v>378</v>
      </c>
      <c r="F15" s="127">
        <v>1</v>
      </c>
      <c r="G15" s="121"/>
      <c r="H15" s="122"/>
      <c r="I15" s="123"/>
      <c r="J15" s="124"/>
      <c r="K15" s="122"/>
      <c r="L15" s="125"/>
      <c r="M15" s="204"/>
      <c r="N15" s="212"/>
      <c r="O15" s="80"/>
      <c r="P15" s="80"/>
      <c r="Q15" s="81"/>
    </row>
    <row r="16" spans="1:17" x14ac:dyDescent="0.45">
      <c r="A16" s="76"/>
      <c r="B16" s="260" t="s">
        <v>245</v>
      </c>
      <c r="C16" s="89" t="s">
        <v>246</v>
      </c>
      <c r="D16" s="89"/>
      <c r="E16" s="89" t="s">
        <v>247</v>
      </c>
      <c r="F16" s="88">
        <v>5</v>
      </c>
      <c r="G16" s="90"/>
      <c r="H16" s="91" t="s">
        <v>248</v>
      </c>
      <c r="I16" s="92"/>
      <c r="J16" s="93"/>
      <c r="K16" s="91" t="s">
        <v>350</v>
      </c>
      <c r="L16" s="92"/>
      <c r="M16" s="202" t="s">
        <v>321</v>
      </c>
      <c r="N16" s="194"/>
      <c r="O16" s="80"/>
      <c r="P16" s="80"/>
      <c r="Q16" s="81"/>
    </row>
    <row r="17" spans="1:17" x14ac:dyDescent="0.45">
      <c r="A17" s="76"/>
      <c r="B17" s="261"/>
      <c r="C17" s="96" t="s">
        <v>249</v>
      </c>
      <c r="D17" s="96"/>
      <c r="E17" s="96" t="s">
        <v>250</v>
      </c>
      <c r="F17" s="95">
        <v>5</v>
      </c>
      <c r="G17" s="98"/>
      <c r="H17" s="99" t="s">
        <v>251</v>
      </c>
      <c r="I17" s="100"/>
      <c r="J17" s="101"/>
      <c r="K17" s="99" t="s">
        <v>352</v>
      </c>
      <c r="L17" s="100"/>
      <c r="M17" s="202" t="s">
        <v>321</v>
      </c>
      <c r="N17" s="195"/>
      <c r="O17" s="80"/>
      <c r="P17" s="80"/>
      <c r="Q17" s="81"/>
    </row>
    <row r="18" spans="1:17" ht="34" x14ac:dyDescent="0.45">
      <c r="A18" s="76"/>
      <c r="B18" s="261"/>
      <c r="C18" s="96" t="s">
        <v>252</v>
      </c>
      <c r="D18" s="96"/>
      <c r="E18" s="96" t="s">
        <v>253</v>
      </c>
      <c r="F18" s="95">
        <v>5</v>
      </c>
      <c r="G18" s="98"/>
      <c r="H18" s="99" t="s">
        <v>254</v>
      </c>
      <c r="I18" s="100"/>
      <c r="J18" s="101"/>
      <c r="K18" s="99" t="s">
        <v>351</v>
      </c>
      <c r="L18" s="100"/>
      <c r="M18" s="202" t="s">
        <v>321</v>
      </c>
      <c r="N18" s="223" t="s">
        <v>353</v>
      </c>
      <c r="O18" s="80"/>
      <c r="P18" s="80"/>
      <c r="Q18" s="81"/>
    </row>
    <row r="19" spans="1:17" ht="17.5" thickBot="1" x14ac:dyDescent="0.5">
      <c r="A19" s="76"/>
      <c r="B19" s="262"/>
      <c r="C19" s="120" t="s">
        <v>255</v>
      </c>
      <c r="D19" s="120"/>
      <c r="E19" s="120" t="s">
        <v>256</v>
      </c>
      <c r="F19" s="127">
        <v>5</v>
      </c>
      <c r="G19" s="121"/>
      <c r="H19" s="122" t="s">
        <v>257</v>
      </c>
      <c r="I19" s="123"/>
      <c r="J19" s="124"/>
      <c r="K19" s="122"/>
      <c r="L19" s="123"/>
      <c r="M19" s="204"/>
      <c r="N19" s="212"/>
      <c r="O19" s="80"/>
      <c r="P19" s="80"/>
      <c r="Q19" s="81"/>
    </row>
    <row r="20" spans="1:17" ht="17.5" thickBot="1" x14ac:dyDescent="0.5">
      <c r="A20" s="76"/>
      <c r="B20" s="210" t="s">
        <v>258</v>
      </c>
      <c r="C20" s="83" t="s">
        <v>259</v>
      </c>
      <c r="D20" s="83"/>
      <c r="E20" s="83" t="s">
        <v>260</v>
      </c>
      <c r="F20" s="215">
        <v>1</v>
      </c>
      <c r="G20" s="216"/>
      <c r="H20" s="217" t="s">
        <v>232</v>
      </c>
      <c r="I20" s="218"/>
      <c r="J20" s="85"/>
      <c r="K20" s="217"/>
      <c r="L20" s="87"/>
      <c r="M20" s="219"/>
      <c r="N20" s="220"/>
      <c r="O20" s="80"/>
      <c r="P20" s="80"/>
      <c r="Q20" s="81"/>
    </row>
    <row r="21" spans="1:17" x14ac:dyDescent="0.45">
      <c r="A21" s="76"/>
      <c r="B21" s="243" t="s">
        <v>261</v>
      </c>
      <c r="C21" s="89" t="s">
        <v>262</v>
      </c>
      <c r="D21" s="89"/>
      <c r="E21" s="257" t="s">
        <v>263</v>
      </c>
      <c r="F21" s="88">
        <v>5</v>
      </c>
      <c r="G21" s="90"/>
      <c r="H21" s="91"/>
      <c r="I21" s="92" t="s">
        <v>264</v>
      </c>
      <c r="J21" s="93"/>
      <c r="K21" s="91"/>
      <c r="L21" s="94"/>
      <c r="M21" s="200"/>
      <c r="N21" s="254" t="s">
        <v>325</v>
      </c>
      <c r="O21" s="80"/>
      <c r="P21" s="80"/>
      <c r="Q21" s="81"/>
    </row>
    <row r="22" spans="1:17" x14ac:dyDescent="0.45">
      <c r="A22" s="76"/>
      <c r="B22" s="243"/>
      <c r="C22" s="96" t="s">
        <v>265</v>
      </c>
      <c r="D22" s="96"/>
      <c r="E22" s="258"/>
      <c r="F22" s="95">
        <v>5</v>
      </c>
      <c r="G22" s="98"/>
      <c r="H22" s="99"/>
      <c r="I22" s="100" t="s">
        <v>264</v>
      </c>
      <c r="J22" s="101"/>
      <c r="K22" s="99"/>
      <c r="L22" s="100" t="s">
        <v>324</v>
      </c>
      <c r="M22" s="202" t="s">
        <v>321</v>
      </c>
      <c r="N22" s="255"/>
      <c r="O22" s="80"/>
      <c r="P22" s="80"/>
      <c r="Q22" s="81"/>
    </row>
    <row r="23" spans="1:17" x14ac:dyDescent="0.45">
      <c r="A23" s="76"/>
      <c r="B23" s="243"/>
      <c r="C23" s="96" t="s">
        <v>266</v>
      </c>
      <c r="D23" s="96"/>
      <c r="E23" s="258"/>
      <c r="F23" s="95">
        <v>5</v>
      </c>
      <c r="G23" s="98"/>
      <c r="H23" s="99"/>
      <c r="I23" s="100" t="s">
        <v>264</v>
      </c>
      <c r="J23" s="101"/>
      <c r="K23" s="99"/>
      <c r="L23" s="118"/>
      <c r="M23" s="203"/>
      <c r="N23" s="255"/>
      <c r="O23" s="80"/>
      <c r="P23" s="80"/>
      <c r="Q23" s="81"/>
    </row>
    <row r="24" spans="1:17" x14ac:dyDescent="0.45">
      <c r="A24" s="76"/>
      <c r="B24" s="243"/>
      <c r="C24" s="96" t="s">
        <v>267</v>
      </c>
      <c r="D24" s="96"/>
      <c r="E24" s="258"/>
      <c r="F24" s="95">
        <v>5</v>
      </c>
      <c r="G24" s="98"/>
      <c r="H24" s="99"/>
      <c r="I24" s="100" t="s">
        <v>264</v>
      </c>
      <c r="J24" s="101"/>
      <c r="K24" s="99"/>
      <c r="L24" s="118"/>
      <c r="M24" s="203"/>
      <c r="N24" s="255"/>
      <c r="O24" s="80"/>
      <c r="P24" s="80"/>
      <c r="Q24" s="81"/>
    </row>
    <row r="25" spans="1:17" x14ac:dyDescent="0.45">
      <c r="A25" s="76"/>
      <c r="B25" s="243"/>
      <c r="C25" s="96" t="s">
        <v>268</v>
      </c>
      <c r="D25" s="96"/>
      <c r="E25" s="258"/>
      <c r="F25" s="95">
        <v>5</v>
      </c>
      <c r="G25" s="98"/>
      <c r="H25" s="99"/>
      <c r="I25" s="100" t="s">
        <v>264</v>
      </c>
      <c r="J25" s="101"/>
      <c r="K25" s="99"/>
      <c r="L25" s="118"/>
      <c r="M25" s="203"/>
      <c r="N25" s="255"/>
      <c r="O25" s="80"/>
      <c r="P25" s="80"/>
      <c r="Q25" s="81"/>
    </row>
    <row r="26" spans="1:17" x14ac:dyDescent="0.45">
      <c r="A26" s="76"/>
      <c r="B26" s="243"/>
      <c r="C26" s="96" t="s">
        <v>269</v>
      </c>
      <c r="D26" s="96"/>
      <c r="E26" s="258"/>
      <c r="F26" s="95">
        <v>5</v>
      </c>
      <c r="G26" s="98"/>
      <c r="H26" s="99"/>
      <c r="I26" s="100" t="s">
        <v>264</v>
      </c>
      <c r="J26" s="101"/>
      <c r="K26" s="99"/>
      <c r="L26" s="100"/>
      <c r="M26" s="203"/>
      <c r="N26" s="255"/>
      <c r="O26" s="80"/>
      <c r="P26" s="80"/>
      <c r="Q26" s="81"/>
    </row>
    <row r="27" spans="1:17" x14ac:dyDescent="0.45">
      <c r="A27" s="76"/>
      <c r="B27" s="243"/>
      <c r="C27" s="96" t="s">
        <v>270</v>
      </c>
      <c r="D27" s="96"/>
      <c r="E27" s="258"/>
      <c r="F27" s="95">
        <v>5</v>
      </c>
      <c r="G27" s="98"/>
      <c r="H27" s="99"/>
      <c r="I27" s="100" t="s">
        <v>264</v>
      </c>
      <c r="J27" s="101"/>
      <c r="K27" s="99"/>
      <c r="L27" s="100"/>
      <c r="M27" s="203"/>
      <c r="N27" s="255"/>
      <c r="O27" s="80"/>
      <c r="P27" s="80"/>
      <c r="Q27" s="81"/>
    </row>
    <row r="28" spans="1:17" x14ac:dyDescent="0.45">
      <c r="A28" s="76"/>
      <c r="B28" s="243"/>
      <c r="C28" s="96" t="s">
        <v>271</v>
      </c>
      <c r="D28" s="96"/>
      <c r="E28" s="258"/>
      <c r="F28" s="95">
        <v>5</v>
      </c>
      <c r="G28" s="98"/>
      <c r="H28" s="99"/>
      <c r="I28" s="100" t="s">
        <v>264</v>
      </c>
      <c r="J28" s="101"/>
      <c r="K28" s="99"/>
      <c r="L28" s="100"/>
      <c r="M28" s="203"/>
      <c r="N28" s="256"/>
      <c r="O28" s="80"/>
      <c r="P28" s="80"/>
      <c r="Q28" s="81"/>
    </row>
    <row r="29" spans="1:17" x14ac:dyDescent="0.45">
      <c r="A29" s="76"/>
      <c r="B29" s="243"/>
      <c r="C29" s="103" t="s">
        <v>272</v>
      </c>
      <c r="D29" s="103"/>
      <c r="E29" s="103" t="s">
        <v>273</v>
      </c>
      <c r="F29" s="107">
        <v>5</v>
      </c>
      <c r="G29" s="108"/>
      <c r="H29" s="106" t="s">
        <v>244</v>
      </c>
      <c r="I29" s="109"/>
      <c r="J29" s="110"/>
      <c r="K29" s="106" t="s">
        <v>244</v>
      </c>
      <c r="L29" s="111"/>
      <c r="M29" s="202" t="s">
        <v>321</v>
      </c>
      <c r="N29" s="195"/>
      <c r="O29" s="80"/>
      <c r="P29" s="80"/>
      <c r="Q29" s="81"/>
    </row>
    <row r="30" spans="1:17" x14ac:dyDescent="0.45">
      <c r="A30" s="76"/>
      <c r="B30" s="243"/>
      <c r="C30" s="103" t="s">
        <v>274</v>
      </c>
      <c r="D30" s="103"/>
      <c r="E30" s="103" t="s">
        <v>273</v>
      </c>
      <c r="F30" s="107">
        <v>5</v>
      </c>
      <c r="G30" s="108"/>
      <c r="H30" s="106" t="s">
        <v>244</v>
      </c>
      <c r="I30" s="109"/>
      <c r="J30" s="110"/>
      <c r="K30" s="106" t="s">
        <v>244</v>
      </c>
      <c r="L30" s="111"/>
      <c r="M30" s="202" t="s">
        <v>321</v>
      </c>
      <c r="N30" s="195"/>
      <c r="O30" s="80"/>
      <c r="P30" s="80"/>
      <c r="Q30" s="81"/>
    </row>
    <row r="31" spans="1:17" x14ac:dyDescent="0.45">
      <c r="A31" s="76"/>
      <c r="B31" s="243"/>
      <c r="C31" s="103" t="s">
        <v>275</v>
      </c>
      <c r="D31" s="103"/>
      <c r="E31" s="103" t="s">
        <v>276</v>
      </c>
      <c r="F31" s="107">
        <v>1</v>
      </c>
      <c r="G31" s="108"/>
      <c r="H31" s="106" t="s">
        <v>232</v>
      </c>
      <c r="I31" s="109"/>
      <c r="J31" s="110"/>
      <c r="K31" s="106"/>
      <c r="L31" s="111"/>
      <c r="M31" s="201"/>
      <c r="N31" s="195"/>
      <c r="O31" s="80"/>
      <c r="P31" s="80"/>
      <c r="Q31" s="81"/>
    </row>
    <row r="32" spans="1:17" x14ac:dyDescent="0.45">
      <c r="A32" s="76"/>
      <c r="B32" s="243"/>
      <c r="C32" s="103" t="s">
        <v>277</v>
      </c>
      <c r="D32" s="103"/>
      <c r="E32" s="103" t="s">
        <v>278</v>
      </c>
      <c r="F32" s="107">
        <v>1</v>
      </c>
      <c r="G32" s="108"/>
      <c r="H32" s="106" t="s">
        <v>232</v>
      </c>
      <c r="I32" s="109"/>
      <c r="J32" s="110"/>
      <c r="K32" s="106"/>
      <c r="L32" s="111"/>
      <c r="M32" s="201"/>
      <c r="N32" s="195"/>
      <c r="O32" s="80"/>
      <c r="P32" s="80"/>
      <c r="Q32" s="81"/>
    </row>
    <row r="33" spans="1:17" x14ac:dyDescent="0.45">
      <c r="A33" s="76"/>
      <c r="B33" s="243"/>
      <c r="C33" s="103" t="s">
        <v>279</v>
      </c>
      <c r="D33" s="103"/>
      <c r="E33" s="103" t="s">
        <v>280</v>
      </c>
      <c r="F33" s="107">
        <v>1</v>
      </c>
      <c r="G33" s="108"/>
      <c r="H33" s="106" t="s">
        <v>281</v>
      </c>
      <c r="I33" s="109"/>
      <c r="J33" s="110"/>
      <c r="K33" s="106"/>
      <c r="L33" s="111"/>
      <c r="M33" s="205"/>
      <c r="N33" s="197"/>
      <c r="O33" s="80"/>
      <c r="P33" s="80"/>
      <c r="Q33" s="81"/>
    </row>
    <row r="34" spans="1:17" x14ac:dyDescent="0.45">
      <c r="A34" s="76"/>
      <c r="B34" s="243"/>
      <c r="C34" s="103" t="s">
        <v>282</v>
      </c>
      <c r="D34" s="103"/>
      <c r="E34" s="103" t="s">
        <v>283</v>
      </c>
      <c r="F34" s="107">
        <v>5</v>
      </c>
      <c r="G34" s="108"/>
      <c r="H34" s="106" t="s">
        <v>284</v>
      </c>
      <c r="I34" s="109"/>
      <c r="J34" s="110"/>
      <c r="K34" s="106"/>
      <c r="L34" s="111"/>
      <c r="M34" s="203"/>
      <c r="N34" s="195"/>
      <c r="O34" s="80"/>
      <c r="P34" s="80"/>
      <c r="Q34" s="81"/>
    </row>
    <row r="35" spans="1:17" ht="17.5" thickBot="1" x14ac:dyDescent="0.5">
      <c r="A35" s="76"/>
      <c r="B35" s="244"/>
      <c r="C35" s="120" t="s">
        <v>285</v>
      </c>
      <c r="D35" s="120"/>
      <c r="E35" s="120" t="s">
        <v>286</v>
      </c>
      <c r="F35" s="127">
        <v>10</v>
      </c>
      <c r="G35" s="121"/>
      <c r="H35" s="122"/>
      <c r="I35" s="123" t="s">
        <v>287</v>
      </c>
      <c r="J35" s="124"/>
      <c r="K35" s="122"/>
      <c r="L35" s="125"/>
      <c r="M35" s="206"/>
      <c r="N35" s="212"/>
      <c r="O35" s="80"/>
      <c r="P35" s="80"/>
      <c r="Q35" s="81"/>
    </row>
    <row r="36" spans="1:17" x14ac:dyDescent="0.45">
      <c r="A36" s="76"/>
      <c r="B36" s="242" t="s">
        <v>288</v>
      </c>
      <c r="C36" s="89" t="s">
        <v>289</v>
      </c>
      <c r="D36" s="272"/>
      <c r="E36" s="245" t="s">
        <v>290</v>
      </c>
      <c r="F36" s="126">
        <v>1</v>
      </c>
      <c r="G36" s="90" t="s">
        <v>316</v>
      </c>
      <c r="H36" s="91" t="s">
        <v>314</v>
      </c>
      <c r="I36" s="92" t="s">
        <v>315</v>
      </c>
      <c r="J36" s="93"/>
      <c r="K36" s="222"/>
      <c r="L36" s="94"/>
      <c r="M36" s="200"/>
      <c r="N36" s="194"/>
      <c r="O36" s="80"/>
      <c r="P36" s="80"/>
      <c r="Q36" s="81"/>
    </row>
    <row r="37" spans="1:17" x14ac:dyDescent="0.45">
      <c r="A37" s="76"/>
      <c r="B37" s="243"/>
      <c r="C37" s="104" t="s">
        <v>291</v>
      </c>
      <c r="D37" s="83"/>
      <c r="E37" s="246"/>
      <c r="F37" s="119">
        <v>1</v>
      </c>
      <c r="G37" s="114" t="s">
        <v>292</v>
      </c>
      <c r="H37" s="115" t="s">
        <v>293</v>
      </c>
      <c r="I37" s="116" t="s">
        <v>294</v>
      </c>
      <c r="J37" s="117"/>
      <c r="K37" s="115"/>
      <c r="L37" s="118"/>
      <c r="M37" s="203"/>
      <c r="N37" s="195"/>
      <c r="O37" s="80"/>
      <c r="P37" s="80"/>
      <c r="Q37" s="81"/>
    </row>
    <row r="38" spans="1:17" x14ac:dyDescent="0.45">
      <c r="A38" s="76"/>
      <c r="B38" s="243"/>
      <c r="C38" s="96" t="s">
        <v>295</v>
      </c>
      <c r="D38" s="104"/>
      <c r="E38" s="247"/>
      <c r="F38" s="95">
        <v>1</v>
      </c>
      <c r="G38" s="98" t="s">
        <v>292</v>
      </c>
      <c r="H38" s="99" t="s">
        <v>293</v>
      </c>
      <c r="I38" s="100" t="s">
        <v>294</v>
      </c>
      <c r="J38" s="101" t="s">
        <v>326</v>
      </c>
      <c r="K38" s="99" t="s">
        <v>293</v>
      </c>
      <c r="L38" s="102" t="s">
        <v>327</v>
      </c>
      <c r="M38" s="202" t="s">
        <v>321</v>
      </c>
      <c r="N38" s="197"/>
      <c r="O38" s="80"/>
      <c r="P38" s="80"/>
      <c r="Q38" s="81"/>
    </row>
    <row r="39" spans="1:17" x14ac:dyDescent="0.45">
      <c r="A39" s="76"/>
      <c r="B39" s="243"/>
      <c r="C39" s="96" t="s">
        <v>296</v>
      </c>
      <c r="D39" s="104"/>
      <c r="E39" s="140" t="s">
        <v>318</v>
      </c>
      <c r="F39" s="105">
        <v>1</v>
      </c>
      <c r="G39" s="98"/>
      <c r="H39" s="99" t="s">
        <v>232</v>
      </c>
      <c r="I39" s="100"/>
      <c r="J39" s="101"/>
      <c r="K39" s="99"/>
      <c r="L39" s="102"/>
      <c r="M39" s="201"/>
      <c r="N39" s="195"/>
      <c r="O39" s="80"/>
      <c r="P39" s="80"/>
      <c r="Q39" s="81"/>
    </row>
    <row r="40" spans="1:17" x14ac:dyDescent="0.45">
      <c r="A40" s="76"/>
      <c r="B40" s="243"/>
      <c r="C40" s="96" t="s">
        <v>297</v>
      </c>
      <c r="D40" s="96"/>
      <c r="E40" s="96" t="s">
        <v>298</v>
      </c>
      <c r="F40" s="95">
        <v>1</v>
      </c>
      <c r="G40" s="98"/>
      <c r="H40" s="99"/>
      <c r="I40" s="100" t="s">
        <v>299</v>
      </c>
      <c r="J40" s="101"/>
      <c r="K40" s="99"/>
      <c r="L40" s="100" t="s">
        <v>299</v>
      </c>
      <c r="M40" s="202" t="s">
        <v>321</v>
      </c>
      <c r="N40" s="195"/>
      <c r="O40" s="80"/>
      <c r="P40" s="80"/>
      <c r="Q40" s="81"/>
    </row>
    <row r="41" spans="1:17" x14ac:dyDescent="0.45">
      <c r="A41" s="76"/>
      <c r="B41" s="243"/>
      <c r="C41" s="103" t="s">
        <v>319</v>
      </c>
      <c r="D41" s="103"/>
      <c r="E41" s="103" t="s">
        <v>300</v>
      </c>
      <c r="F41" s="107">
        <v>1</v>
      </c>
      <c r="G41" s="108"/>
      <c r="H41" s="106"/>
      <c r="I41" s="109" t="s">
        <v>317</v>
      </c>
      <c r="J41" s="110"/>
      <c r="K41" s="106">
        <v>15</v>
      </c>
      <c r="L41" s="111"/>
      <c r="M41" s="202" t="s">
        <v>321</v>
      </c>
      <c r="N41" s="195"/>
      <c r="O41" s="80"/>
      <c r="P41" s="80"/>
      <c r="Q41" s="81"/>
    </row>
    <row r="42" spans="1:17" x14ac:dyDescent="0.45">
      <c r="A42" s="76"/>
      <c r="B42" s="243"/>
      <c r="C42" s="103" t="s">
        <v>320</v>
      </c>
      <c r="D42" s="103"/>
      <c r="E42" s="103" t="s">
        <v>301</v>
      </c>
      <c r="F42" s="107">
        <v>1</v>
      </c>
      <c r="G42" s="108"/>
      <c r="H42" s="106"/>
      <c r="I42" s="109" t="s">
        <v>317</v>
      </c>
      <c r="J42" s="110"/>
      <c r="K42" s="106">
        <v>15</v>
      </c>
      <c r="L42" s="111"/>
      <c r="M42" s="202" t="s">
        <v>321</v>
      </c>
      <c r="N42" s="195"/>
      <c r="O42" s="80"/>
      <c r="P42" s="80"/>
      <c r="Q42" s="81"/>
    </row>
    <row r="43" spans="1:17" ht="51.5" thickBot="1" x14ac:dyDescent="0.5">
      <c r="A43" s="76"/>
      <c r="B43" s="243"/>
      <c r="C43" s="120" t="s">
        <v>302</v>
      </c>
      <c r="D43" s="273" t="s">
        <v>384</v>
      </c>
      <c r="E43" s="120" t="s">
        <v>303</v>
      </c>
      <c r="F43" s="127">
        <v>1</v>
      </c>
      <c r="G43" s="121"/>
      <c r="H43" s="122" t="s">
        <v>232</v>
      </c>
      <c r="I43" s="123"/>
      <c r="J43" s="124"/>
      <c r="K43" s="122"/>
      <c r="L43" s="125"/>
      <c r="M43" s="204"/>
      <c r="N43" s="212"/>
      <c r="O43" s="80"/>
      <c r="P43" s="80"/>
      <c r="Q43" s="81"/>
    </row>
    <row r="44" spans="1:17" x14ac:dyDescent="0.45">
      <c r="A44" s="76"/>
      <c r="B44" s="229" t="s">
        <v>304</v>
      </c>
      <c r="C44" s="232" t="s">
        <v>305</v>
      </c>
      <c r="D44" s="274" t="s">
        <v>385</v>
      </c>
      <c r="E44" s="104" t="s">
        <v>306</v>
      </c>
      <c r="F44" s="105">
        <v>20</v>
      </c>
      <c r="G44" s="114"/>
      <c r="H44" s="115" t="s">
        <v>232</v>
      </c>
      <c r="I44" s="116"/>
      <c r="J44" s="117"/>
      <c r="K44" s="115"/>
      <c r="L44" s="116"/>
      <c r="M44" s="221"/>
      <c r="N44" s="211"/>
      <c r="O44" s="80"/>
      <c r="P44" s="80"/>
      <c r="Q44" s="81"/>
    </row>
    <row r="45" spans="1:17" ht="34" x14ac:dyDescent="0.45">
      <c r="A45" s="76"/>
      <c r="B45" s="230"/>
      <c r="C45" s="233"/>
      <c r="D45" s="275" t="s">
        <v>387</v>
      </c>
      <c r="E45" s="96" t="s">
        <v>307</v>
      </c>
      <c r="F45" s="95">
        <v>20</v>
      </c>
      <c r="G45" s="98"/>
      <c r="H45" s="99" t="s">
        <v>232</v>
      </c>
      <c r="I45" s="100"/>
      <c r="J45" s="101"/>
      <c r="K45" s="99"/>
      <c r="L45" s="100"/>
      <c r="M45" s="207"/>
      <c r="N45" s="198"/>
      <c r="O45" s="76"/>
      <c r="P45" s="76"/>
    </row>
    <row r="46" spans="1:17" ht="17.5" thickBot="1" x14ac:dyDescent="0.5">
      <c r="B46" s="231"/>
      <c r="C46" s="234"/>
      <c r="D46" s="103" t="s">
        <v>386</v>
      </c>
      <c r="E46" s="103" t="s">
        <v>308</v>
      </c>
      <c r="F46" s="107">
        <v>20</v>
      </c>
      <c r="G46" s="128"/>
      <c r="H46" s="106" t="s">
        <v>232</v>
      </c>
      <c r="I46" s="129"/>
      <c r="J46" s="130"/>
      <c r="K46" s="106"/>
      <c r="L46" s="129"/>
      <c r="M46" s="208"/>
      <c r="N46" s="199"/>
    </row>
    <row r="47" spans="1:17" ht="17.5" thickBot="1" x14ac:dyDescent="0.5">
      <c r="B47" s="112" t="s">
        <v>309</v>
      </c>
      <c r="C47" s="113" t="s">
        <v>310</v>
      </c>
      <c r="D47" s="113"/>
      <c r="E47" s="131"/>
      <c r="F47" s="113">
        <v>1</v>
      </c>
      <c r="G47" s="132" t="s">
        <v>311</v>
      </c>
      <c r="H47" s="133"/>
      <c r="I47" s="134"/>
      <c r="J47" s="135"/>
      <c r="K47" s="136" t="s">
        <v>349</v>
      </c>
      <c r="L47" s="134"/>
      <c r="M47" s="209" t="s">
        <v>321</v>
      </c>
      <c r="N47" s="137"/>
    </row>
    <row r="50" spans="9:10" x14ac:dyDescent="0.45">
      <c r="I50" s="138"/>
      <c r="J50" s="139"/>
    </row>
  </sheetData>
  <mergeCells count="12">
    <mergeCell ref="G2:I2"/>
    <mergeCell ref="J2:L2"/>
    <mergeCell ref="B3:B15"/>
    <mergeCell ref="E7:E8"/>
    <mergeCell ref="B16:B19"/>
    <mergeCell ref="B36:B43"/>
    <mergeCell ref="E36:E38"/>
    <mergeCell ref="B44:B46"/>
    <mergeCell ref="C44:C46"/>
    <mergeCell ref="N21:N28"/>
    <mergeCell ref="B21:B35"/>
    <mergeCell ref="E21:E2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C196-9B58-4C16-A718-B1DF7B31E587}">
  <dimension ref="A1:P33"/>
  <sheetViews>
    <sheetView zoomScale="85" zoomScaleNormal="85" workbookViewId="0">
      <selection activeCell="C18" sqref="C18"/>
    </sheetView>
  </sheetViews>
  <sheetFormatPr defaultRowHeight="17" x14ac:dyDescent="0.45"/>
  <cols>
    <col min="1" max="1" width="8.7265625" style="75"/>
    <col min="2" max="2" width="11.90625" style="75" customWidth="1"/>
    <col min="3" max="3" width="41.1796875" style="75" bestFit="1" customWidth="1"/>
    <col min="4" max="4" width="59.26953125" style="75" customWidth="1"/>
    <col min="5" max="5" width="12.453125" style="75" customWidth="1"/>
    <col min="6" max="6" width="11.54296875" style="75" customWidth="1"/>
    <col min="7" max="7" width="43.54296875" style="75" bestFit="1" customWidth="1"/>
    <col min="8" max="9" width="11.54296875" style="75" customWidth="1"/>
    <col min="10" max="10" width="45.90625" style="75" bestFit="1" customWidth="1"/>
    <col min="11" max="11" width="11.54296875" style="75" customWidth="1"/>
    <col min="12" max="12" width="16.08984375" style="75" customWidth="1"/>
    <col min="13" max="13" width="76.1796875" style="75" customWidth="1"/>
    <col min="14" max="16384" width="8.7265625" style="75"/>
  </cols>
  <sheetData>
    <row r="1" spans="1:16" ht="17.5" thickBot="1" x14ac:dyDescent="0.5"/>
    <row r="2" spans="1:16" ht="17.5" thickBot="1" x14ac:dyDescent="0.5">
      <c r="A2" s="76"/>
      <c r="B2" s="77"/>
      <c r="C2" s="78"/>
      <c r="D2" s="78"/>
      <c r="E2" s="78"/>
      <c r="F2" s="235" t="s">
        <v>211</v>
      </c>
      <c r="G2" s="236"/>
      <c r="H2" s="237"/>
      <c r="I2" s="235" t="s">
        <v>212</v>
      </c>
      <c r="J2" s="236"/>
      <c r="K2" s="237"/>
      <c r="L2" s="79" t="s">
        <v>213</v>
      </c>
      <c r="M2" s="193" t="s">
        <v>214</v>
      </c>
      <c r="N2" s="80"/>
      <c r="O2" s="80"/>
      <c r="P2" s="81"/>
    </row>
    <row r="3" spans="1:16" ht="17.5" thickBot="1" x14ac:dyDescent="0.5">
      <c r="A3" s="76"/>
      <c r="B3" s="229" t="s">
        <v>215</v>
      </c>
      <c r="C3" s="82"/>
      <c r="D3" s="83"/>
      <c r="E3" s="84" t="s">
        <v>216</v>
      </c>
      <c r="F3" s="85" t="s">
        <v>217</v>
      </c>
      <c r="G3" s="86" t="s">
        <v>218</v>
      </c>
      <c r="H3" s="87" t="s">
        <v>219</v>
      </c>
      <c r="I3" s="85" t="s">
        <v>217</v>
      </c>
      <c r="J3" s="86" t="s">
        <v>218</v>
      </c>
      <c r="K3" s="87" t="s">
        <v>219</v>
      </c>
      <c r="L3" s="213"/>
      <c r="M3" s="214"/>
      <c r="N3" s="80"/>
      <c r="O3" s="80"/>
      <c r="P3" s="81"/>
    </row>
    <row r="4" spans="1:16" x14ac:dyDescent="0.45">
      <c r="A4" s="76"/>
      <c r="B4" s="241"/>
      <c r="C4" s="89" t="s">
        <v>220</v>
      </c>
      <c r="D4" s="88" t="s">
        <v>221</v>
      </c>
      <c r="E4" s="194">
        <v>10</v>
      </c>
      <c r="F4" s="90" t="s">
        <v>222</v>
      </c>
      <c r="G4" s="91" t="s">
        <v>223</v>
      </c>
      <c r="H4" s="92" t="s">
        <v>224</v>
      </c>
      <c r="I4" s="93"/>
      <c r="J4" s="91"/>
      <c r="K4" s="94"/>
      <c r="L4" s="200"/>
      <c r="M4" s="194"/>
      <c r="N4" s="80"/>
      <c r="O4" s="80"/>
      <c r="P4" s="81"/>
    </row>
    <row r="5" spans="1:16" x14ac:dyDescent="0.45">
      <c r="A5" s="76"/>
      <c r="B5" s="230"/>
      <c r="C5" s="96" t="s">
        <v>225</v>
      </c>
      <c r="D5" s="224" t="s">
        <v>226</v>
      </c>
      <c r="E5" s="195">
        <v>10</v>
      </c>
      <c r="F5" s="98" t="s">
        <v>227</v>
      </c>
      <c r="G5" s="99" t="s">
        <v>228</v>
      </c>
      <c r="H5" s="100" t="s">
        <v>229</v>
      </c>
      <c r="I5" s="101"/>
      <c r="J5" s="99"/>
      <c r="K5" s="102"/>
      <c r="L5" s="201"/>
      <c r="M5" s="195"/>
      <c r="N5" s="80"/>
      <c r="O5" s="80"/>
      <c r="P5" s="81"/>
    </row>
    <row r="6" spans="1:16" x14ac:dyDescent="0.45">
      <c r="A6" s="76"/>
      <c r="B6" s="230"/>
      <c r="C6" s="96" t="s">
        <v>230</v>
      </c>
      <c r="D6" s="95" t="s">
        <v>231</v>
      </c>
      <c r="E6" s="195">
        <v>5</v>
      </c>
      <c r="F6" s="98"/>
      <c r="G6" s="99" t="s">
        <v>232</v>
      </c>
      <c r="H6" s="100"/>
      <c r="I6" s="101"/>
      <c r="J6" s="99" t="s">
        <v>356</v>
      </c>
      <c r="K6" s="102"/>
      <c r="L6" s="202" t="s">
        <v>321</v>
      </c>
      <c r="M6" s="195"/>
      <c r="N6" s="80"/>
      <c r="O6" s="80"/>
      <c r="P6" s="81"/>
    </row>
    <row r="7" spans="1:16" x14ac:dyDescent="0.45">
      <c r="A7" s="76"/>
      <c r="B7" s="230"/>
      <c r="C7" s="96" t="s">
        <v>354</v>
      </c>
      <c r="D7" s="95" t="s">
        <v>355</v>
      </c>
      <c r="E7" s="195">
        <v>5</v>
      </c>
      <c r="F7" s="98"/>
      <c r="G7" s="99" t="s">
        <v>232</v>
      </c>
      <c r="H7" s="100"/>
      <c r="I7" s="101"/>
      <c r="J7" s="99"/>
      <c r="K7" s="102"/>
      <c r="L7" s="203"/>
      <c r="M7" s="195"/>
      <c r="N7" s="80"/>
      <c r="O7" s="80"/>
      <c r="P7" s="81"/>
    </row>
    <row r="8" spans="1:16" x14ac:dyDescent="0.45">
      <c r="A8" s="76"/>
      <c r="B8" s="230"/>
      <c r="C8" s="96" t="s">
        <v>236</v>
      </c>
      <c r="D8" s="95" t="s">
        <v>237</v>
      </c>
      <c r="E8" s="211">
        <v>10</v>
      </c>
      <c r="F8" s="98"/>
      <c r="G8" s="99" t="s">
        <v>238</v>
      </c>
      <c r="H8" s="100"/>
      <c r="I8" s="101"/>
      <c r="J8" s="99"/>
      <c r="K8" s="102"/>
      <c r="L8" s="203"/>
      <c r="M8" s="195"/>
      <c r="N8" s="80"/>
      <c r="O8" s="80"/>
      <c r="P8" s="81"/>
    </row>
    <row r="9" spans="1:16" x14ac:dyDescent="0.45">
      <c r="A9" s="76"/>
      <c r="B9" s="230"/>
      <c r="C9" s="96" t="s">
        <v>357</v>
      </c>
      <c r="D9" s="95" t="s">
        <v>240</v>
      </c>
      <c r="E9" s="211">
        <v>1</v>
      </c>
      <c r="F9" s="98"/>
      <c r="G9" s="99" t="s">
        <v>241</v>
      </c>
      <c r="H9" s="100"/>
      <c r="I9" s="101"/>
      <c r="J9" s="141">
        <v>1.502</v>
      </c>
      <c r="K9" s="102"/>
      <c r="L9" s="202" t="s">
        <v>321</v>
      </c>
      <c r="M9" s="228"/>
      <c r="N9" s="80"/>
      <c r="O9" s="80"/>
      <c r="P9" s="81"/>
    </row>
    <row r="10" spans="1:16" x14ac:dyDescent="0.45">
      <c r="A10" s="76"/>
      <c r="B10" s="230"/>
      <c r="C10" s="96" t="s">
        <v>358</v>
      </c>
      <c r="D10" s="95" t="s">
        <v>240</v>
      </c>
      <c r="E10" s="195">
        <v>1</v>
      </c>
      <c r="F10" s="98"/>
      <c r="G10" s="99" t="s">
        <v>241</v>
      </c>
      <c r="H10" s="100"/>
      <c r="I10" s="101"/>
      <c r="J10" s="141">
        <v>1.496</v>
      </c>
      <c r="K10" s="102"/>
      <c r="L10" s="202" t="s">
        <v>321</v>
      </c>
      <c r="M10" s="195"/>
      <c r="N10" s="80"/>
      <c r="O10" s="80"/>
      <c r="P10" s="81"/>
    </row>
    <row r="11" spans="1:16" x14ac:dyDescent="0.45">
      <c r="A11" s="76"/>
      <c r="B11" s="230"/>
      <c r="C11" s="96" t="s">
        <v>359</v>
      </c>
      <c r="D11" s="95" t="s">
        <v>240</v>
      </c>
      <c r="E11" s="195">
        <v>1</v>
      </c>
      <c r="F11" s="98"/>
      <c r="G11" s="99" t="s">
        <v>241</v>
      </c>
      <c r="H11" s="100"/>
      <c r="I11" s="101"/>
      <c r="J11" s="141">
        <v>1.496</v>
      </c>
      <c r="K11" s="102"/>
      <c r="L11" s="202" t="s">
        <v>321</v>
      </c>
      <c r="M11" s="195"/>
      <c r="N11" s="80"/>
      <c r="O11" s="80"/>
      <c r="P11" s="81"/>
    </row>
    <row r="12" spans="1:16" x14ac:dyDescent="0.45">
      <c r="A12" s="76"/>
      <c r="B12" s="230"/>
      <c r="C12" s="96" t="s">
        <v>377</v>
      </c>
      <c r="D12" s="95" t="s">
        <v>378</v>
      </c>
      <c r="E12" s="195">
        <v>1</v>
      </c>
      <c r="F12" s="98"/>
      <c r="G12" s="99"/>
      <c r="H12" s="100"/>
      <c r="I12" s="101"/>
      <c r="J12" s="99"/>
      <c r="K12" s="102"/>
      <c r="L12" s="203"/>
      <c r="M12" s="195"/>
      <c r="N12" s="80"/>
      <c r="O12" s="80"/>
      <c r="P12" s="81"/>
    </row>
    <row r="13" spans="1:16" ht="17.5" thickBot="1" x14ac:dyDescent="0.5">
      <c r="A13" s="76"/>
      <c r="B13" s="231"/>
      <c r="C13" s="120" t="s">
        <v>377</v>
      </c>
      <c r="D13" s="127" t="s">
        <v>378</v>
      </c>
      <c r="E13" s="212">
        <v>1</v>
      </c>
      <c r="F13" s="121"/>
      <c r="G13" s="122"/>
      <c r="H13" s="123"/>
      <c r="I13" s="124"/>
      <c r="J13" s="122"/>
      <c r="K13" s="125"/>
      <c r="L13" s="204"/>
      <c r="M13" s="212"/>
      <c r="N13" s="80"/>
      <c r="O13" s="80"/>
      <c r="P13" s="81"/>
    </row>
    <row r="14" spans="1:16" x14ac:dyDescent="0.45">
      <c r="A14" s="76"/>
      <c r="B14" s="242" t="s">
        <v>360</v>
      </c>
      <c r="C14" s="89" t="s">
        <v>361</v>
      </c>
      <c r="D14" s="89" t="s">
        <v>263</v>
      </c>
      <c r="E14" s="88">
        <v>5</v>
      </c>
      <c r="F14" s="90"/>
      <c r="G14" s="91"/>
      <c r="H14" s="92" t="s">
        <v>264</v>
      </c>
      <c r="I14" s="93"/>
      <c r="J14" s="91"/>
      <c r="K14" s="94" t="s">
        <v>373</v>
      </c>
      <c r="L14" s="202" t="s">
        <v>321</v>
      </c>
      <c r="M14" s="227"/>
      <c r="N14" s="80"/>
      <c r="O14" s="80"/>
      <c r="P14" s="81"/>
    </row>
    <row r="15" spans="1:16" x14ac:dyDescent="0.45">
      <c r="A15" s="76"/>
      <c r="B15" s="243"/>
      <c r="C15" s="103" t="s">
        <v>272</v>
      </c>
      <c r="D15" s="103" t="s">
        <v>273</v>
      </c>
      <c r="E15" s="107">
        <v>5</v>
      </c>
      <c r="F15" s="108"/>
      <c r="G15" s="106" t="s">
        <v>244</v>
      </c>
      <c r="H15" s="109"/>
      <c r="I15" s="110"/>
      <c r="J15" s="106" t="s">
        <v>244</v>
      </c>
      <c r="K15" s="111"/>
      <c r="L15" s="202" t="s">
        <v>321</v>
      </c>
      <c r="M15" s="195"/>
      <c r="N15" s="80"/>
      <c r="O15" s="80"/>
      <c r="P15" s="81"/>
    </row>
    <row r="16" spans="1:16" x14ac:dyDescent="0.45">
      <c r="A16" s="76"/>
      <c r="B16" s="243"/>
      <c r="C16" s="103" t="s">
        <v>274</v>
      </c>
      <c r="D16" s="103" t="s">
        <v>273</v>
      </c>
      <c r="E16" s="107">
        <v>5</v>
      </c>
      <c r="F16" s="108"/>
      <c r="G16" s="106" t="s">
        <v>244</v>
      </c>
      <c r="H16" s="109"/>
      <c r="I16" s="110"/>
      <c r="J16" s="106" t="s">
        <v>244</v>
      </c>
      <c r="K16" s="111"/>
      <c r="L16" s="202" t="s">
        <v>321</v>
      </c>
      <c r="M16" s="195"/>
      <c r="N16" s="80"/>
      <c r="O16" s="80"/>
      <c r="P16" s="81"/>
    </row>
    <row r="17" spans="1:16" x14ac:dyDescent="0.45">
      <c r="A17" s="76"/>
      <c r="B17" s="243"/>
      <c r="C17" s="103" t="s">
        <v>362</v>
      </c>
      <c r="D17" s="103" t="s">
        <v>364</v>
      </c>
      <c r="E17" s="107">
        <v>1</v>
      </c>
      <c r="F17" s="108"/>
      <c r="G17" s="106" t="s">
        <v>281</v>
      </c>
      <c r="H17" s="109"/>
      <c r="I17" s="110"/>
      <c r="J17" s="106"/>
      <c r="K17" s="111"/>
      <c r="L17" s="205"/>
      <c r="M17" s="197"/>
      <c r="N17" s="80"/>
      <c r="O17" s="80"/>
      <c r="P17" s="81"/>
    </row>
    <row r="18" spans="1:16" ht="17.5" thickBot="1" x14ac:dyDescent="0.5">
      <c r="A18" s="76"/>
      <c r="B18" s="244"/>
      <c r="C18" s="120" t="s">
        <v>363</v>
      </c>
      <c r="D18" s="225" t="s">
        <v>286</v>
      </c>
      <c r="E18" s="127">
        <v>10</v>
      </c>
      <c r="F18" s="121"/>
      <c r="G18" s="122"/>
      <c r="H18" s="123" t="s">
        <v>287</v>
      </c>
      <c r="I18" s="124"/>
      <c r="J18" s="122"/>
      <c r="K18" s="125"/>
      <c r="L18" s="206"/>
      <c r="M18" s="212"/>
      <c r="N18" s="80"/>
      <c r="O18" s="80"/>
      <c r="P18" s="81"/>
    </row>
    <row r="19" spans="1:16" x14ac:dyDescent="0.45">
      <c r="A19" s="76"/>
      <c r="B19" s="242" t="s">
        <v>288</v>
      </c>
      <c r="C19" s="89" t="s">
        <v>289</v>
      </c>
      <c r="D19" s="245" t="s">
        <v>290</v>
      </c>
      <c r="E19" s="126">
        <v>1</v>
      </c>
      <c r="F19" s="90" t="s">
        <v>368</v>
      </c>
      <c r="G19" s="91" t="s">
        <v>367</v>
      </c>
      <c r="H19" s="92" t="s">
        <v>369</v>
      </c>
      <c r="I19" s="93" t="s">
        <v>375</v>
      </c>
      <c r="J19" s="91" t="s">
        <v>367</v>
      </c>
      <c r="K19" s="94" t="s">
        <v>374</v>
      </c>
      <c r="L19" s="202" t="s">
        <v>321</v>
      </c>
      <c r="M19" s="238" t="s">
        <v>381</v>
      </c>
      <c r="N19" s="80"/>
      <c r="O19" s="80"/>
      <c r="P19" s="81"/>
    </row>
    <row r="20" spans="1:16" x14ac:dyDescent="0.45">
      <c r="A20" s="76"/>
      <c r="B20" s="243"/>
      <c r="C20" s="104" t="s">
        <v>291</v>
      </c>
      <c r="D20" s="246"/>
      <c r="E20" s="119">
        <v>1</v>
      </c>
      <c r="F20" s="114" t="s">
        <v>366</v>
      </c>
      <c r="G20" s="115" t="s">
        <v>365</v>
      </c>
      <c r="H20" s="116" t="s">
        <v>293</v>
      </c>
      <c r="I20" s="117"/>
      <c r="J20" s="115"/>
      <c r="K20" s="118"/>
      <c r="L20" s="226"/>
      <c r="M20" s="239"/>
      <c r="N20" s="80"/>
      <c r="O20" s="80"/>
      <c r="P20" s="81"/>
    </row>
    <row r="21" spans="1:16" x14ac:dyDescent="0.45">
      <c r="A21" s="76"/>
      <c r="B21" s="243"/>
      <c r="C21" s="96" t="s">
        <v>295</v>
      </c>
      <c r="D21" s="247"/>
      <c r="E21" s="95">
        <v>1</v>
      </c>
      <c r="F21" s="98" t="s">
        <v>366</v>
      </c>
      <c r="G21" s="99" t="s">
        <v>365</v>
      </c>
      <c r="H21" s="100" t="s">
        <v>293</v>
      </c>
      <c r="I21" s="101"/>
      <c r="J21" s="99" t="s">
        <v>376</v>
      </c>
      <c r="K21" s="102"/>
      <c r="L21" s="202" t="s">
        <v>321</v>
      </c>
      <c r="M21" s="239"/>
      <c r="N21" s="80"/>
      <c r="O21" s="80"/>
      <c r="P21" s="81"/>
    </row>
    <row r="22" spans="1:16" x14ac:dyDescent="0.45">
      <c r="A22" s="76"/>
      <c r="B22" s="243"/>
      <c r="C22" s="96" t="s">
        <v>296</v>
      </c>
      <c r="D22" s="140" t="s">
        <v>318</v>
      </c>
      <c r="E22" s="105">
        <v>1</v>
      </c>
      <c r="F22" s="98"/>
      <c r="G22" s="99" t="s">
        <v>232</v>
      </c>
      <c r="H22" s="100"/>
      <c r="I22" s="101"/>
      <c r="J22" s="99"/>
      <c r="K22" s="102"/>
      <c r="L22" s="226"/>
      <c r="M22" s="239"/>
      <c r="N22" s="80"/>
      <c r="O22" s="80"/>
      <c r="P22" s="81"/>
    </row>
    <row r="23" spans="1:16" x14ac:dyDescent="0.45">
      <c r="A23" s="76"/>
      <c r="B23" s="243"/>
      <c r="C23" s="96" t="s">
        <v>297</v>
      </c>
      <c r="D23" s="96" t="s">
        <v>298</v>
      </c>
      <c r="E23" s="95">
        <v>1</v>
      </c>
      <c r="F23" s="98"/>
      <c r="G23" s="99"/>
      <c r="H23" s="100" t="s">
        <v>299</v>
      </c>
      <c r="I23" s="101"/>
      <c r="J23" s="99"/>
      <c r="K23" s="102"/>
      <c r="L23" s="226"/>
      <c r="M23" s="239"/>
      <c r="N23" s="80"/>
      <c r="O23" s="80"/>
      <c r="P23" s="81"/>
    </row>
    <row r="24" spans="1:16" x14ac:dyDescent="0.45">
      <c r="A24" s="76"/>
      <c r="B24" s="243"/>
      <c r="C24" s="103" t="s">
        <v>370</v>
      </c>
      <c r="D24" s="103" t="s">
        <v>300</v>
      </c>
      <c r="E24" s="107">
        <v>1</v>
      </c>
      <c r="F24" s="108"/>
      <c r="G24" s="106"/>
      <c r="H24" s="109" t="s">
        <v>317</v>
      </c>
      <c r="I24" s="110"/>
      <c r="J24" s="106"/>
      <c r="K24" s="111"/>
      <c r="L24" s="226"/>
      <c r="M24" s="239"/>
      <c r="N24" s="80"/>
      <c r="O24" s="80"/>
      <c r="P24" s="81"/>
    </row>
    <row r="25" spans="1:16" x14ac:dyDescent="0.45">
      <c r="A25" s="76"/>
      <c r="B25" s="243"/>
      <c r="C25" s="103" t="s">
        <v>371</v>
      </c>
      <c r="D25" s="103" t="s">
        <v>301</v>
      </c>
      <c r="E25" s="107">
        <v>1</v>
      </c>
      <c r="F25" s="108"/>
      <c r="G25" s="106"/>
      <c r="H25" s="109" t="s">
        <v>317</v>
      </c>
      <c r="I25" s="110"/>
      <c r="J25" s="106"/>
      <c r="K25" s="111"/>
      <c r="L25" s="226"/>
      <c r="M25" s="239"/>
      <c r="N25" s="80"/>
      <c r="O25" s="80"/>
      <c r="P25" s="81"/>
    </row>
    <row r="26" spans="1:16" ht="17.5" thickBot="1" x14ac:dyDescent="0.5">
      <c r="A26" s="76"/>
      <c r="B26" s="243"/>
      <c r="C26" s="120" t="s">
        <v>302</v>
      </c>
      <c r="D26" s="120" t="s">
        <v>303</v>
      </c>
      <c r="E26" s="127">
        <v>1</v>
      </c>
      <c r="F26" s="121"/>
      <c r="G26" s="122" t="s">
        <v>232</v>
      </c>
      <c r="H26" s="123"/>
      <c r="I26" s="124"/>
      <c r="J26" s="122"/>
      <c r="K26" s="125"/>
      <c r="L26" s="204"/>
      <c r="M26" s="240"/>
      <c r="N26" s="80"/>
      <c r="O26" s="80"/>
      <c r="P26" s="81"/>
    </row>
    <row r="27" spans="1:16" x14ac:dyDescent="0.45">
      <c r="A27" s="76"/>
      <c r="B27" s="229" t="s">
        <v>304</v>
      </c>
      <c r="C27" s="232" t="s">
        <v>305</v>
      </c>
      <c r="D27" s="104" t="s">
        <v>306</v>
      </c>
      <c r="E27" s="105">
        <v>20</v>
      </c>
      <c r="F27" s="114"/>
      <c r="G27" s="115" t="s">
        <v>232</v>
      </c>
      <c r="H27" s="116"/>
      <c r="I27" s="117"/>
      <c r="J27" s="115"/>
      <c r="K27" s="116"/>
      <c r="L27" s="221"/>
      <c r="M27" s="211"/>
      <c r="N27" s="80"/>
      <c r="O27" s="80"/>
      <c r="P27" s="81"/>
    </row>
    <row r="28" spans="1:16" x14ac:dyDescent="0.45">
      <c r="A28" s="76"/>
      <c r="B28" s="230"/>
      <c r="C28" s="233"/>
      <c r="D28" s="96" t="s">
        <v>307</v>
      </c>
      <c r="E28" s="95">
        <v>20</v>
      </c>
      <c r="F28" s="98"/>
      <c r="G28" s="99" t="s">
        <v>232</v>
      </c>
      <c r="H28" s="100"/>
      <c r="I28" s="101"/>
      <c r="J28" s="99"/>
      <c r="K28" s="100"/>
      <c r="L28" s="207"/>
      <c r="M28" s="198"/>
      <c r="N28" s="76"/>
      <c r="O28" s="76"/>
    </row>
    <row r="29" spans="1:16" ht="17.5" thickBot="1" x14ac:dyDescent="0.5">
      <c r="B29" s="231"/>
      <c r="C29" s="234"/>
      <c r="D29" s="103" t="s">
        <v>308</v>
      </c>
      <c r="E29" s="107">
        <v>20</v>
      </c>
      <c r="F29" s="128"/>
      <c r="G29" s="106" t="s">
        <v>232</v>
      </c>
      <c r="H29" s="129"/>
      <c r="I29" s="130"/>
      <c r="J29" s="106"/>
      <c r="K29" s="129"/>
      <c r="L29" s="208"/>
      <c r="M29" s="199"/>
    </row>
    <row r="30" spans="1:16" ht="17.5" thickBot="1" x14ac:dyDescent="0.5">
      <c r="B30" s="112" t="s">
        <v>309</v>
      </c>
      <c r="C30" s="113" t="s">
        <v>310</v>
      </c>
      <c r="D30" s="131"/>
      <c r="E30" s="113">
        <v>1</v>
      </c>
      <c r="F30" s="132" t="s">
        <v>311</v>
      </c>
      <c r="G30" s="133"/>
      <c r="H30" s="134"/>
      <c r="I30" s="135"/>
      <c r="J30" s="136" t="s">
        <v>372</v>
      </c>
      <c r="K30" s="134"/>
      <c r="L30" s="209" t="s">
        <v>321</v>
      </c>
      <c r="M30" s="137"/>
    </row>
    <row r="33" spans="8:9" x14ac:dyDescent="0.45">
      <c r="H33" s="138"/>
      <c r="I33" s="139"/>
    </row>
  </sheetData>
  <mergeCells count="9">
    <mergeCell ref="B27:B29"/>
    <mergeCell ref="C27:C29"/>
    <mergeCell ref="F2:H2"/>
    <mergeCell ref="M19:M26"/>
    <mergeCell ref="I2:K2"/>
    <mergeCell ref="B3:B13"/>
    <mergeCell ref="B14:B18"/>
    <mergeCell ref="B19:B26"/>
    <mergeCell ref="D19:D2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386A-8032-4BC9-BD1B-012553508C68}">
  <dimension ref="B1:L32"/>
  <sheetViews>
    <sheetView zoomScale="130" zoomScaleNormal="130" workbookViewId="0">
      <selection activeCell="N28" sqref="N28"/>
    </sheetView>
  </sheetViews>
  <sheetFormatPr defaultRowHeight="16" x14ac:dyDescent="0.45"/>
  <cols>
    <col min="1" max="1" width="2.6328125" customWidth="1"/>
    <col min="2" max="2" width="18.90625" bestFit="1" customWidth="1"/>
  </cols>
  <sheetData>
    <row r="1" spans="2:12" ht="16.5" thickBot="1" x14ac:dyDescent="0.5"/>
    <row r="2" spans="2:12" x14ac:dyDescent="0.45">
      <c r="B2" s="11"/>
      <c r="C2" s="263" t="s">
        <v>0</v>
      </c>
      <c r="D2" s="264"/>
      <c r="E2" s="265" t="s">
        <v>1</v>
      </c>
      <c r="F2" s="266"/>
      <c r="G2" s="263" t="s">
        <v>2</v>
      </c>
      <c r="H2" s="264"/>
      <c r="I2" s="265" t="s">
        <v>35</v>
      </c>
      <c r="J2" s="266"/>
      <c r="K2" s="263" t="s">
        <v>36</v>
      </c>
      <c r="L2" s="266"/>
    </row>
    <row r="3" spans="2:12" ht="16.5" thickBot="1" x14ac:dyDescent="0.5">
      <c r="B3" s="12" t="s">
        <v>37</v>
      </c>
      <c r="C3" s="13" t="s">
        <v>38</v>
      </c>
      <c r="D3" s="14" t="s">
        <v>39</v>
      </c>
      <c r="E3" s="15" t="s">
        <v>38</v>
      </c>
      <c r="F3" s="16" t="s">
        <v>39</v>
      </c>
      <c r="G3" s="13" t="s">
        <v>38</v>
      </c>
      <c r="H3" s="14" t="s">
        <v>39</v>
      </c>
      <c r="I3" s="15" t="s">
        <v>38</v>
      </c>
      <c r="J3" s="16" t="s">
        <v>39</v>
      </c>
      <c r="K3" s="13" t="s">
        <v>38</v>
      </c>
      <c r="L3" s="16" t="s">
        <v>39</v>
      </c>
    </row>
    <row r="4" spans="2:12" x14ac:dyDescent="0.45">
      <c r="B4" s="17" t="s">
        <v>40</v>
      </c>
      <c r="C4" s="18">
        <v>11</v>
      </c>
      <c r="D4" s="19">
        <v>1.4</v>
      </c>
      <c r="E4" s="20">
        <v>13</v>
      </c>
      <c r="F4" s="21">
        <v>1.401</v>
      </c>
      <c r="G4" s="18">
        <v>12</v>
      </c>
      <c r="H4" s="19">
        <v>1.4</v>
      </c>
      <c r="I4" s="20">
        <v>9</v>
      </c>
      <c r="J4" s="21">
        <v>1.4</v>
      </c>
      <c r="K4" s="18">
        <v>13</v>
      </c>
      <c r="L4" s="21">
        <v>1.401</v>
      </c>
    </row>
    <row r="5" spans="2:12" x14ac:dyDescent="0.45">
      <c r="B5" s="22" t="s">
        <v>41</v>
      </c>
      <c r="C5" s="23">
        <v>15</v>
      </c>
      <c r="D5" s="24">
        <v>1.512</v>
      </c>
      <c r="E5" s="4">
        <v>15</v>
      </c>
      <c r="F5" s="25">
        <v>1.5069999999999999</v>
      </c>
      <c r="G5" s="23">
        <v>15</v>
      </c>
      <c r="H5" s="24">
        <v>1.5129999999999999</v>
      </c>
      <c r="I5" s="4">
        <v>14</v>
      </c>
      <c r="J5" s="25">
        <v>1.4870000000000001</v>
      </c>
      <c r="K5" s="23">
        <v>15</v>
      </c>
      <c r="L5" s="25">
        <v>1.506</v>
      </c>
    </row>
    <row r="6" spans="2:12" x14ac:dyDescent="0.45">
      <c r="B6" s="22" t="s">
        <v>42</v>
      </c>
      <c r="C6" s="23">
        <v>16</v>
      </c>
      <c r="D6" s="24">
        <v>1.5</v>
      </c>
      <c r="E6" s="4">
        <v>16</v>
      </c>
      <c r="F6" s="25">
        <v>1.502</v>
      </c>
      <c r="G6" s="23">
        <v>16</v>
      </c>
      <c r="H6" s="24">
        <v>1.506</v>
      </c>
      <c r="I6" s="4">
        <v>15</v>
      </c>
      <c r="J6" s="25">
        <v>1.4930000000000001</v>
      </c>
      <c r="K6" s="23">
        <v>15</v>
      </c>
      <c r="L6" s="25">
        <v>1.494</v>
      </c>
    </row>
    <row r="7" spans="2:12" x14ac:dyDescent="0.45">
      <c r="B7" s="22" t="s">
        <v>43</v>
      </c>
      <c r="C7" s="23">
        <v>8</v>
      </c>
      <c r="D7" s="24">
        <v>1.5029999999999999</v>
      </c>
      <c r="E7" s="4">
        <v>8</v>
      </c>
      <c r="F7" s="25">
        <v>1.504</v>
      </c>
      <c r="G7" s="23">
        <v>8</v>
      </c>
      <c r="H7" s="24">
        <v>1.5089999999999999</v>
      </c>
      <c r="I7" s="4">
        <v>8</v>
      </c>
      <c r="J7" s="25">
        <v>1.512</v>
      </c>
      <c r="K7" s="23">
        <v>8</v>
      </c>
      <c r="L7" s="25">
        <v>1.5089999999999999</v>
      </c>
    </row>
    <row r="8" spans="2:12" ht="16.5" thickBot="1" x14ac:dyDescent="0.5">
      <c r="B8" s="26" t="s">
        <v>44</v>
      </c>
      <c r="C8" s="27">
        <v>20</v>
      </c>
      <c r="D8" s="28">
        <v>50.451999999999998</v>
      </c>
      <c r="E8" s="29">
        <v>20</v>
      </c>
      <c r="F8" s="30">
        <v>50.924999999999997</v>
      </c>
      <c r="G8" s="27">
        <v>20</v>
      </c>
      <c r="H8" s="28">
        <v>51.585999999999999</v>
      </c>
      <c r="I8" s="29">
        <v>19</v>
      </c>
      <c r="J8" s="30">
        <v>49.981000000000002</v>
      </c>
      <c r="K8" s="27">
        <v>20</v>
      </c>
      <c r="L8" s="30">
        <v>52.277999999999999</v>
      </c>
    </row>
    <row r="9" spans="2:12" x14ac:dyDescent="0.45">
      <c r="B9" s="11" t="s">
        <v>45</v>
      </c>
      <c r="C9" s="31">
        <v>61</v>
      </c>
      <c r="D9" s="32">
        <v>5.8609999999999998</v>
      </c>
      <c r="E9" s="33">
        <v>60</v>
      </c>
      <c r="F9" s="34">
        <v>5.8540000000000001</v>
      </c>
      <c r="G9" s="31">
        <v>58</v>
      </c>
      <c r="H9" s="32">
        <v>5.8570000000000002</v>
      </c>
      <c r="I9" s="33">
        <v>58</v>
      </c>
      <c r="J9" s="34">
        <v>5.8529999999999998</v>
      </c>
      <c r="K9" s="31">
        <v>60</v>
      </c>
      <c r="L9" s="34">
        <v>5.8579999999999997</v>
      </c>
    </row>
    <row r="10" spans="2:12" x14ac:dyDescent="0.45">
      <c r="B10" s="22" t="s">
        <v>46</v>
      </c>
      <c r="C10" s="23">
        <v>61</v>
      </c>
      <c r="D10" s="24">
        <v>5.8620000000000001</v>
      </c>
      <c r="E10" s="4">
        <v>60</v>
      </c>
      <c r="F10" s="25">
        <v>5.8540000000000001</v>
      </c>
      <c r="G10" s="23">
        <v>58</v>
      </c>
      <c r="H10" s="24">
        <v>5.8609999999999998</v>
      </c>
      <c r="I10" s="4">
        <v>59</v>
      </c>
      <c r="J10" s="25">
        <v>5.8689999999999998</v>
      </c>
      <c r="K10" s="23">
        <v>59</v>
      </c>
      <c r="L10" s="25">
        <v>5.85</v>
      </c>
    </row>
    <row r="11" spans="2:12" x14ac:dyDescent="0.45">
      <c r="B11" s="22" t="s">
        <v>47</v>
      </c>
      <c r="C11" s="23">
        <v>62</v>
      </c>
      <c r="D11" s="24">
        <v>5.8769999999999998</v>
      </c>
      <c r="E11" s="4">
        <v>60</v>
      </c>
      <c r="F11" s="25">
        <v>5.8529999999999998</v>
      </c>
      <c r="G11" s="23">
        <v>58</v>
      </c>
      <c r="H11" s="24">
        <v>5.8719999999999999</v>
      </c>
      <c r="I11" s="4">
        <v>59</v>
      </c>
      <c r="J11" s="25">
        <v>5.8719999999999999</v>
      </c>
      <c r="K11" s="23">
        <v>60</v>
      </c>
      <c r="L11" s="25">
        <v>5.8620000000000001</v>
      </c>
    </row>
    <row r="12" spans="2:12" x14ac:dyDescent="0.45">
      <c r="B12" s="22" t="s">
        <v>48</v>
      </c>
      <c r="C12" s="23">
        <v>61</v>
      </c>
      <c r="D12" s="24">
        <v>5.8719999999999999</v>
      </c>
      <c r="E12" s="4">
        <v>61</v>
      </c>
      <c r="F12" s="25">
        <v>5.8609999999999998</v>
      </c>
      <c r="G12" s="23">
        <v>58</v>
      </c>
      <c r="H12" s="24">
        <v>5.8760000000000003</v>
      </c>
      <c r="I12" s="4">
        <v>58</v>
      </c>
      <c r="J12" s="25">
        <v>5.8609999999999998</v>
      </c>
      <c r="K12" s="23">
        <v>59</v>
      </c>
      <c r="L12" s="25">
        <v>5.8550000000000004</v>
      </c>
    </row>
    <row r="13" spans="2:12" x14ac:dyDescent="0.45">
      <c r="B13" s="22" t="s">
        <v>49</v>
      </c>
      <c r="C13" s="23">
        <v>61</v>
      </c>
      <c r="D13" s="24">
        <v>5.8449999999999998</v>
      </c>
      <c r="E13" s="4">
        <v>61</v>
      </c>
      <c r="F13" s="25">
        <v>5.8760000000000003</v>
      </c>
      <c r="G13" s="23">
        <v>58</v>
      </c>
      <c r="H13" s="24">
        <v>5.8579999999999997</v>
      </c>
      <c r="I13" s="4">
        <v>59</v>
      </c>
      <c r="J13" s="25">
        <v>5.8760000000000003</v>
      </c>
      <c r="K13" s="23">
        <v>60</v>
      </c>
      <c r="L13" s="25">
        <v>5.8739999999999997</v>
      </c>
    </row>
    <row r="14" spans="2:12" x14ac:dyDescent="0.45">
      <c r="B14" s="22" t="s">
        <v>50</v>
      </c>
      <c r="C14" s="23">
        <v>60</v>
      </c>
      <c r="D14" s="24">
        <v>5.843</v>
      </c>
      <c r="E14" s="4">
        <v>60</v>
      </c>
      <c r="F14" s="25">
        <v>5.8620000000000001</v>
      </c>
      <c r="G14" s="23">
        <v>57</v>
      </c>
      <c r="H14" s="24">
        <v>5.8650000000000002</v>
      </c>
      <c r="I14" s="4">
        <v>58</v>
      </c>
      <c r="J14" s="25">
        <v>5.87</v>
      </c>
      <c r="K14" s="23">
        <v>60</v>
      </c>
      <c r="L14" s="25">
        <v>5.8620000000000001</v>
      </c>
    </row>
    <row r="15" spans="2:12" x14ac:dyDescent="0.45">
      <c r="B15" s="22" t="s">
        <v>51</v>
      </c>
      <c r="C15" s="23">
        <v>61</v>
      </c>
      <c r="D15" s="24">
        <v>5.86</v>
      </c>
      <c r="E15" s="4">
        <v>60</v>
      </c>
      <c r="F15" s="25">
        <v>5.8449999999999998</v>
      </c>
      <c r="G15" s="23">
        <v>57</v>
      </c>
      <c r="H15" s="24">
        <v>5.8570000000000002</v>
      </c>
      <c r="I15" s="4">
        <v>58</v>
      </c>
      <c r="J15" s="25">
        <v>5.8460000000000001</v>
      </c>
      <c r="K15" s="23">
        <v>60</v>
      </c>
      <c r="L15" s="25">
        <v>5.8609999999999998</v>
      </c>
    </row>
    <row r="16" spans="2:12" x14ac:dyDescent="0.45">
      <c r="B16" s="22" t="s">
        <v>52</v>
      </c>
      <c r="C16" s="23">
        <v>59</v>
      </c>
      <c r="D16" s="24">
        <v>5.8730000000000002</v>
      </c>
      <c r="E16" s="4">
        <v>58</v>
      </c>
      <c r="F16" s="25">
        <v>5.8540000000000001</v>
      </c>
      <c r="G16" s="23">
        <v>56</v>
      </c>
      <c r="H16" s="24">
        <v>5.8760000000000003</v>
      </c>
      <c r="I16" s="4">
        <v>56</v>
      </c>
      <c r="J16" s="25">
        <v>5.8639999999999999</v>
      </c>
      <c r="K16" s="23">
        <v>57</v>
      </c>
      <c r="L16" s="25">
        <v>5.8570000000000002</v>
      </c>
    </row>
    <row r="17" spans="2:12" x14ac:dyDescent="0.45">
      <c r="B17" s="22" t="s">
        <v>53</v>
      </c>
      <c r="C17" s="23">
        <v>61</v>
      </c>
      <c r="D17" s="24">
        <v>5.8719999999999999</v>
      </c>
      <c r="E17" s="4">
        <v>60</v>
      </c>
      <c r="F17" s="25">
        <v>5.851</v>
      </c>
      <c r="G17" s="23">
        <v>58</v>
      </c>
      <c r="H17" s="24">
        <v>5.8719999999999999</v>
      </c>
      <c r="I17" s="4">
        <v>59</v>
      </c>
      <c r="J17" s="25">
        <v>5.8739999999999997</v>
      </c>
      <c r="K17" s="23">
        <v>60</v>
      </c>
      <c r="L17" s="25">
        <v>5.8689999999999998</v>
      </c>
    </row>
    <row r="18" spans="2:12" x14ac:dyDescent="0.45">
      <c r="B18" s="22" t="s">
        <v>54</v>
      </c>
      <c r="C18" s="23">
        <v>62</v>
      </c>
      <c r="D18" s="24">
        <v>5.8650000000000002</v>
      </c>
      <c r="E18" s="4">
        <v>61</v>
      </c>
      <c r="F18" s="25">
        <v>5.8639999999999999</v>
      </c>
      <c r="G18" s="23">
        <v>57</v>
      </c>
      <c r="H18" s="24">
        <v>5.8490000000000002</v>
      </c>
      <c r="I18" s="4">
        <v>59</v>
      </c>
      <c r="J18" s="25">
        <v>5.8570000000000002</v>
      </c>
      <c r="K18" s="23">
        <v>60</v>
      </c>
      <c r="L18" s="25">
        <v>5.8760000000000003</v>
      </c>
    </row>
    <row r="19" spans="2:12" x14ac:dyDescent="0.45">
      <c r="B19" s="22" t="s">
        <v>55</v>
      </c>
      <c r="C19" s="23">
        <v>61</v>
      </c>
      <c r="D19" s="24">
        <v>5.8689999999999998</v>
      </c>
      <c r="E19" s="4">
        <v>61</v>
      </c>
      <c r="F19" s="25">
        <v>5.8689999999999998</v>
      </c>
      <c r="G19" s="23">
        <v>58</v>
      </c>
      <c r="H19" s="24">
        <v>5.8570000000000002</v>
      </c>
      <c r="I19" s="4">
        <v>59</v>
      </c>
      <c r="J19" s="25">
        <v>5.8460000000000001</v>
      </c>
      <c r="K19" s="23">
        <v>59</v>
      </c>
      <c r="L19" s="25">
        <v>5.8730000000000002</v>
      </c>
    </row>
    <row r="20" spans="2:12" ht="16.5" thickBot="1" x14ac:dyDescent="0.5">
      <c r="B20" s="12" t="s">
        <v>56</v>
      </c>
      <c r="C20" s="35">
        <v>61</v>
      </c>
      <c r="D20" s="36">
        <v>5.8760000000000003</v>
      </c>
      <c r="E20" s="37">
        <v>61</v>
      </c>
      <c r="F20" s="38">
        <v>5.8529999999999998</v>
      </c>
      <c r="G20" s="35">
        <v>58</v>
      </c>
      <c r="H20" s="36">
        <v>5.86</v>
      </c>
      <c r="I20" s="37">
        <v>58</v>
      </c>
      <c r="J20" s="38">
        <v>5.8650000000000002</v>
      </c>
      <c r="K20" s="35">
        <v>58</v>
      </c>
      <c r="L20" s="38">
        <v>5.85</v>
      </c>
    </row>
    <row r="21" spans="2:12" x14ac:dyDescent="0.45">
      <c r="B21" s="17" t="s">
        <v>57</v>
      </c>
      <c r="C21" s="18">
        <v>11</v>
      </c>
      <c r="D21" s="19">
        <v>1.464</v>
      </c>
      <c r="E21" s="20">
        <v>262</v>
      </c>
      <c r="F21" s="21">
        <v>1.4650000000000001</v>
      </c>
      <c r="G21" s="18">
        <v>5</v>
      </c>
      <c r="H21" s="19">
        <v>1.4650000000000001</v>
      </c>
      <c r="I21" s="20">
        <v>264</v>
      </c>
      <c r="J21" s="21">
        <v>1.466</v>
      </c>
      <c r="K21" s="18">
        <v>265</v>
      </c>
      <c r="L21" s="21">
        <v>1.466</v>
      </c>
    </row>
    <row r="22" spans="2:12" x14ac:dyDescent="0.45">
      <c r="B22" s="22" t="s">
        <v>58</v>
      </c>
      <c r="C22" s="23">
        <v>264</v>
      </c>
      <c r="D22" s="24">
        <v>1.468</v>
      </c>
      <c r="E22" s="4">
        <v>15</v>
      </c>
      <c r="F22" s="25">
        <v>1.466</v>
      </c>
      <c r="G22" s="23">
        <v>5</v>
      </c>
      <c r="H22" s="24">
        <v>1.466</v>
      </c>
      <c r="I22" s="4">
        <v>264</v>
      </c>
      <c r="J22" s="25">
        <v>1.466</v>
      </c>
      <c r="K22" s="23">
        <v>259</v>
      </c>
      <c r="L22" s="25">
        <v>1.466</v>
      </c>
    </row>
    <row r="23" spans="2:12" x14ac:dyDescent="0.45">
      <c r="B23" s="22" t="s">
        <v>59</v>
      </c>
      <c r="C23" s="23">
        <v>4</v>
      </c>
      <c r="D23" s="24">
        <v>1.4650000000000001</v>
      </c>
      <c r="E23" s="4">
        <v>10</v>
      </c>
      <c r="F23" s="25">
        <v>1.4650000000000001</v>
      </c>
      <c r="G23" s="23">
        <v>265</v>
      </c>
      <c r="H23" s="24">
        <v>1.4650000000000001</v>
      </c>
      <c r="I23" s="4">
        <v>270</v>
      </c>
      <c r="J23" s="25">
        <v>1.466</v>
      </c>
      <c r="K23" s="23">
        <v>262</v>
      </c>
      <c r="L23" s="25">
        <v>1.4650000000000001</v>
      </c>
    </row>
    <row r="24" spans="2:12" x14ac:dyDescent="0.45">
      <c r="B24" s="22" t="s">
        <v>60</v>
      </c>
      <c r="C24" s="23">
        <v>257</v>
      </c>
      <c r="D24" s="24">
        <v>1.466</v>
      </c>
      <c r="E24" s="4">
        <v>2</v>
      </c>
      <c r="F24" s="25">
        <v>1.464</v>
      </c>
      <c r="G24" s="23">
        <v>258</v>
      </c>
      <c r="H24" s="24">
        <v>1.466</v>
      </c>
      <c r="I24" s="4">
        <v>11</v>
      </c>
      <c r="J24" s="25">
        <v>1.466</v>
      </c>
      <c r="K24" s="23">
        <v>7</v>
      </c>
      <c r="L24" s="25">
        <v>1.4630000000000001</v>
      </c>
    </row>
    <row r="25" spans="2:12" x14ac:dyDescent="0.45">
      <c r="B25" s="22" t="s">
        <v>61</v>
      </c>
      <c r="C25" s="23">
        <v>3</v>
      </c>
      <c r="D25" s="24">
        <v>1.4670000000000001</v>
      </c>
      <c r="E25" s="4">
        <v>258</v>
      </c>
      <c r="F25" s="25">
        <v>1.464</v>
      </c>
      <c r="G25" s="23">
        <v>264</v>
      </c>
      <c r="H25" s="24">
        <v>1.4650000000000001</v>
      </c>
      <c r="I25" s="4">
        <v>15</v>
      </c>
      <c r="J25" s="25">
        <v>1.4650000000000001</v>
      </c>
      <c r="K25" s="23">
        <v>5</v>
      </c>
      <c r="L25" s="25">
        <v>1.4670000000000001</v>
      </c>
    </row>
    <row r="26" spans="2:12" x14ac:dyDescent="0.45">
      <c r="B26" s="22" t="s">
        <v>62</v>
      </c>
      <c r="C26" s="23">
        <v>5</v>
      </c>
      <c r="D26" s="24">
        <v>1.4670000000000001</v>
      </c>
      <c r="E26" s="4">
        <v>261</v>
      </c>
      <c r="F26" s="25">
        <v>1.4650000000000001</v>
      </c>
      <c r="G26" s="23">
        <v>6</v>
      </c>
      <c r="H26" s="24">
        <v>1.466</v>
      </c>
      <c r="I26" s="4">
        <v>7</v>
      </c>
      <c r="J26" s="25">
        <v>1.4650000000000001</v>
      </c>
      <c r="K26" s="23">
        <v>261</v>
      </c>
      <c r="L26" s="25">
        <v>1.466</v>
      </c>
    </row>
    <row r="27" spans="2:12" x14ac:dyDescent="0.45">
      <c r="B27" s="22" t="s">
        <v>63</v>
      </c>
      <c r="C27" s="23">
        <v>257</v>
      </c>
      <c r="D27" s="24">
        <v>1.466</v>
      </c>
      <c r="E27" s="4">
        <v>21</v>
      </c>
      <c r="F27" s="25">
        <v>1.4650000000000001</v>
      </c>
      <c r="G27" s="23">
        <v>260</v>
      </c>
      <c r="H27" s="24">
        <v>1.4650000000000001</v>
      </c>
      <c r="I27" s="4">
        <v>264</v>
      </c>
      <c r="J27" s="25">
        <v>1.4630000000000001</v>
      </c>
      <c r="K27" s="23">
        <v>257</v>
      </c>
      <c r="L27" s="25">
        <v>1.4630000000000001</v>
      </c>
    </row>
    <row r="28" spans="2:12" x14ac:dyDescent="0.45">
      <c r="B28" s="22" t="s">
        <v>64</v>
      </c>
      <c r="C28" s="23">
        <v>293</v>
      </c>
      <c r="D28" s="24">
        <v>1.464</v>
      </c>
      <c r="E28" s="4">
        <v>273</v>
      </c>
      <c r="F28" s="25">
        <v>1.466</v>
      </c>
      <c r="G28" s="23">
        <v>285</v>
      </c>
      <c r="H28" s="24">
        <v>1.464</v>
      </c>
      <c r="I28" s="4">
        <v>268</v>
      </c>
      <c r="J28" s="25">
        <v>1.464</v>
      </c>
      <c r="K28" s="23">
        <v>13</v>
      </c>
      <c r="L28" s="25">
        <v>1.466</v>
      </c>
    </row>
    <row r="29" spans="2:12" x14ac:dyDescent="0.45">
      <c r="B29" s="22" t="s">
        <v>65</v>
      </c>
      <c r="C29" s="23">
        <v>259</v>
      </c>
      <c r="D29" s="24">
        <v>1.464</v>
      </c>
      <c r="E29" s="4">
        <v>4</v>
      </c>
      <c r="F29" s="25">
        <v>1.468</v>
      </c>
      <c r="G29" s="23">
        <v>8</v>
      </c>
      <c r="H29" s="24">
        <v>1.4670000000000001</v>
      </c>
      <c r="I29" s="4">
        <v>258</v>
      </c>
      <c r="J29" s="25">
        <v>1.4630000000000001</v>
      </c>
      <c r="K29" s="23">
        <v>7</v>
      </c>
      <c r="L29" s="25">
        <v>1.4670000000000001</v>
      </c>
    </row>
    <row r="30" spans="2:12" x14ac:dyDescent="0.45">
      <c r="B30" s="22" t="s">
        <v>66</v>
      </c>
      <c r="C30" s="23">
        <v>3</v>
      </c>
      <c r="D30" s="24">
        <v>1.4630000000000001</v>
      </c>
      <c r="E30" s="4">
        <v>7</v>
      </c>
      <c r="F30" s="25">
        <v>1.4650000000000001</v>
      </c>
      <c r="G30" s="23">
        <v>10</v>
      </c>
      <c r="H30" s="24">
        <v>1.4650000000000001</v>
      </c>
      <c r="I30" s="4">
        <v>257</v>
      </c>
      <c r="J30" s="25">
        <v>1.466</v>
      </c>
      <c r="K30" s="23">
        <v>260</v>
      </c>
      <c r="L30" s="25">
        <v>1.4630000000000001</v>
      </c>
    </row>
    <row r="31" spans="2:12" x14ac:dyDescent="0.45">
      <c r="B31" s="22" t="s">
        <v>67</v>
      </c>
      <c r="C31" s="23">
        <v>6</v>
      </c>
      <c r="D31" s="24">
        <v>1.4670000000000001</v>
      </c>
      <c r="E31" s="4">
        <v>1</v>
      </c>
      <c r="F31" s="25">
        <v>1.4670000000000001</v>
      </c>
      <c r="G31" s="23">
        <v>265</v>
      </c>
      <c r="H31" s="24">
        <v>1.4670000000000001</v>
      </c>
      <c r="I31" s="4">
        <v>5</v>
      </c>
      <c r="J31" s="25">
        <v>1.468</v>
      </c>
      <c r="K31" s="23">
        <v>5</v>
      </c>
      <c r="L31" s="25">
        <v>1.4650000000000001</v>
      </c>
    </row>
    <row r="32" spans="2:12" ht="16.5" thickBot="1" x14ac:dyDescent="0.5">
      <c r="B32" s="12" t="s">
        <v>68</v>
      </c>
      <c r="C32" s="35">
        <v>4</v>
      </c>
      <c r="D32" s="36">
        <v>1.464</v>
      </c>
      <c r="E32" s="37">
        <v>264</v>
      </c>
      <c r="F32" s="38">
        <v>1.464</v>
      </c>
      <c r="G32" s="35">
        <v>13</v>
      </c>
      <c r="H32" s="36">
        <v>1.4670000000000001</v>
      </c>
      <c r="I32" s="37">
        <v>261</v>
      </c>
      <c r="J32" s="38">
        <v>1.466</v>
      </c>
      <c r="K32" s="35">
        <v>17</v>
      </c>
      <c r="L32" s="38">
        <v>1.468</v>
      </c>
    </row>
  </sheetData>
  <mergeCells count="5">
    <mergeCell ref="C2:D2"/>
    <mergeCell ref="E2:F2"/>
    <mergeCell ref="G2:H2"/>
    <mergeCell ref="I2:J2"/>
    <mergeCell ref="K2:L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11EB-88F7-431A-8DB8-C967136E05E9}">
  <dimension ref="B2:DW284"/>
  <sheetViews>
    <sheetView zoomScale="40" zoomScaleNormal="40" workbookViewId="0">
      <selection activeCell="AZ88" sqref="AZ88"/>
    </sheetView>
  </sheetViews>
  <sheetFormatPr defaultRowHeight="16" x14ac:dyDescent="0.45"/>
  <cols>
    <col min="1" max="1" width="2.6328125" customWidth="1"/>
    <col min="2" max="2" width="11.7265625" bestFit="1" customWidth="1"/>
    <col min="3" max="3" width="6.81640625" bestFit="1" customWidth="1"/>
  </cols>
  <sheetData>
    <row r="2" spans="2:127" x14ac:dyDescent="0.45">
      <c r="B2" t="s">
        <v>29</v>
      </c>
      <c r="C2">
        <v>24</v>
      </c>
    </row>
    <row r="3" spans="2:127" x14ac:dyDescent="0.45">
      <c r="B3" t="s">
        <v>30</v>
      </c>
      <c r="C3">
        <v>300</v>
      </c>
      <c r="D3" t="s">
        <v>31</v>
      </c>
      <c r="E3">
        <v>200</v>
      </c>
    </row>
    <row r="4" spans="2:127" x14ac:dyDescent="0.45">
      <c r="B4" t="s">
        <v>30</v>
      </c>
      <c r="C4">
        <v>1300</v>
      </c>
      <c r="D4" t="s">
        <v>32</v>
      </c>
      <c r="E4">
        <v>300</v>
      </c>
    </row>
    <row r="5" spans="2:127" x14ac:dyDescent="0.45">
      <c r="B5" t="s">
        <v>33</v>
      </c>
      <c r="C5" s="6">
        <f>24*(C4-C3)/4095</f>
        <v>5.8608058608058604</v>
      </c>
      <c r="D5" t="s">
        <v>34</v>
      </c>
      <c r="E5" s="6">
        <f>24*(E3+E4)/2/4095</f>
        <v>1.4652014652014651</v>
      </c>
    </row>
    <row r="7" spans="2:127" x14ac:dyDescent="0.45">
      <c r="B7" s="1"/>
      <c r="C7" s="1"/>
      <c r="D7" s="1"/>
      <c r="E7" s="267" t="s">
        <v>0</v>
      </c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 t="s">
        <v>1</v>
      </c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7" t="s">
        <v>2</v>
      </c>
      <c r="AD7" s="267"/>
      <c r="AE7" s="267"/>
      <c r="AF7" s="267"/>
      <c r="AG7" s="267"/>
      <c r="AH7" s="267"/>
      <c r="AI7" s="267"/>
      <c r="AJ7" s="267"/>
      <c r="AK7" s="267"/>
      <c r="AL7" s="267"/>
      <c r="AM7" s="267"/>
      <c r="AN7" s="267"/>
      <c r="AO7" s="267" t="s">
        <v>35</v>
      </c>
      <c r="AP7" s="267"/>
      <c r="AQ7" s="267"/>
      <c r="AR7" s="267"/>
      <c r="AS7" s="267"/>
      <c r="AT7" s="267"/>
      <c r="AU7" s="267"/>
      <c r="AV7" s="267"/>
      <c r="AW7" s="267"/>
      <c r="AX7" s="267"/>
      <c r="AY7" s="267"/>
      <c r="AZ7" s="267"/>
      <c r="BA7" s="267" t="s">
        <v>36</v>
      </c>
      <c r="BB7" s="267"/>
      <c r="BC7" s="267"/>
      <c r="BD7" s="267"/>
      <c r="BE7" s="267"/>
      <c r="BF7" s="267"/>
      <c r="BG7" s="267"/>
      <c r="BH7" s="267"/>
      <c r="BI7" s="267"/>
      <c r="BJ7" s="267"/>
      <c r="BK7" s="267"/>
      <c r="BL7" s="267"/>
      <c r="BM7" s="8"/>
      <c r="BN7" s="1"/>
      <c r="BO7" s="1"/>
      <c r="BP7" s="267" t="s">
        <v>0</v>
      </c>
      <c r="BQ7" s="267"/>
      <c r="BR7" s="267"/>
      <c r="BS7" s="267"/>
      <c r="BT7" s="267"/>
      <c r="BU7" s="267"/>
      <c r="BV7" s="267"/>
      <c r="BW7" s="267"/>
      <c r="BX7" s="267"/>
      <c r="BY7" s="267"/>
      <c r="BZ7" s="267"/>
      <c r="CA7" s="267"/>
      <c r="CB7" s="267" t="s">
        <v>1</v>
      </c>
      <c r="CC7" s="267"/>
      <c r="CD7" s="267"/>
      <c r="CE7" s="267"/>
      <c r="CF7" s="267"/>
      <c r="CG7" s="267"/>
      <c r="CH7" s="267"/>
      <c r="CI7" s="267"/>
      <c r="CJ7" s="267"/>
      <c r="CK7" s="267"/>
      <c r="CL7" s="267"/>
      <c r="CM7" s="267"/>
      <c r="CN7" s="267" t="s">
        <v>2</v>
      </c>
      <c r="CO7" s="267"/>
      <c r="CP7" s="267"/>
      <c r="CQ7" s="267"/>
      <c r="CR7" s="267"/>
      <c r="CS7" s="267"/>
      <c r="CT7" s="267"/>
      <c r="CU7" s="267"/>
      <c r="CV7" s="267"/>
      <c r="CW7" s="267"/>
      <c r="CX7" s="267"/>
      <c r="CY7" s="267"/>
      <c r="CZ7" s="267" t="s">
        <v>35</v>
      </c>
      <c r="DA7" s="267"/>
      <c r="DB7" s="267"/>
      <c r="DC7" s="267"/>
      <c r="DD7" s="267"/>
      <c r="DE7" s="267"/>
      <c r="DF7" s="267"/>
      <c r="DG7" s="267"/>
      <c r="DH7" s="267"/>
      <c r="DI7" s="267"/>
      <c r="DJ7" s="267"/>
      <c r="DK7" s="267"/>
      <c r="DL7" s="267" t="s">
        <v>36</v>
      </c>
      <c r="DM7" s="267"/>
      <c r="DN7" s="267"/>
      <c r="DO7" s="267"/>
      <c r="DP7" s="267"/>
      <c r="DQ7" s="267"/>
      <c r="DR7" s="267"/>
      <c r="DS7" s="267"/>
      <c r="DT7" s="267"/>
      <c r="DU7" s="267"/>
      <c r="DV7" s="267"/>
      <c r="DW7" s="267"/>
    </row>
    <row r="8" spans="2:127" x14ac:dyDescent="0.45">
      <c r="B8" s="1"/>
      <c r="C8" s="1" t="s">
        <v>28</v>
      </c>
      <c r="D8" s="1" t="s">
        <v>27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1" t="s">
        <v>15</v>
      </c>
      <c r="R8" s="1" t="s">
        <v>16</v>
      </c>
      <c r="S8" s="1" t="s">
        <v>17</v>
      </c>
      <c r="T8" s="1" t="s">
        <v>18</v>
      </c>
      <c r="U8" s="1" t="s">
        <v>19</v>
      </c>
      <c r="V8" s="1" t="s">
        <v>20</v>
      </c>
      <c r="W8" s="1" t="s">
        <v>21</v>
      </c>
      <c r="X8" s="1" t="s">
        <v>22</v>
      </c>
      <c r="Y8" s="1" t="s">
        <v>23</v>
      </c>
      <c r="Z8" s="1" t="s">
        <v>24</v>
      </c>
      <c r="AA8" s="1" t="s">
        <v>25</v>
      </c>
      <c r="AB8" s="1" t="s">
        <v>26</v>
      </c>
      <c r="AC8" s="1" t="s">
        <v>15</v>
      </c>
      <c r="AD8" s="1" t="s">
        <v>16</v>
      </c>
      <c r="AE8" s="1" t="s">
        <v>17</v>
      </c>
      <c r="AF8" s="1" t="s">
        <v>18</v>
      </c>
      <c r="AG8" s="1" t="s">
        <v>19</v>
      </c>
      <c r="AH8" s="1" t="s">
        <v>20</v>
      </c>
      <c r="AI8" s="1" t="s">
        <v>21</v>
      </c>
      <c r="AJ8" s="1" t="s">
        <v>22</v>
      </c>
      <c r="AK8" s="1" t="s">
        <v>23</v>
      </c>
      <c r="AL8" s="1" t="s">
        <v>24</v>
      </c>
      <c r="AM8" s="1" t="s">
        <v>25</v>
      </c>
      <c r="AN8" s="1" t="s">
        <v>26</v>
      </c>
      <c r="AO8" s="1" t="s">
        <v>15</v>
      </c>
      <c r="AP8" s="1" t="s">
        <v>16</v>
      </c>
      <c r="AQ8" s="1" t="s">
        <v>17</v>
      </c>
      <c r="AR8" s="1" t="s">
        <v>18</v>
      </c>
      <c r="AS8" s="1" t="s">
        <v>19</v>
      </c>
      <c r="AT8" s="1" t="s">
        <v>20</v>
      </c>
      <c r="AU8" s="1" t="s">
        <v>21</v>
      </c>
      <c r="AV8" s="1" t="s">
        <v>22</v>
      </c>
      <c r="AW8" s="1" t="s">
        <v>23</v>
      </c>
      <c r="AX8" s="1" t="s">
        <v>24</v>
      </c>
      <c r="AY8" s="1" t="s">
        <v>25</v>
      </c>
      <c r="AZ8" s="1" t="s">
        <v>26</v>
      </c>
      <c r="BA8" s="1" t="s">
        <v>15</v>
      </c>
      <c r="BB8" s="1" t="s">
        <v>16</v>
      </c>
      <c r="BC8" s="1" t="s">
        <v>17</v>
      </c>
      <c r="BD8" s="1" t="s">
        <v>18</v>
      </c>
      <c r="BE8" s="1" t="s">
        <v>19</v>
      </c>
      <c r="BF8" s="1" t="s">
        <v>20</v>
      </c>
      <c r="BG8" s="1" t="s">
        <v>21</v>
      </c>
      <c r="BH8" s="1" t="s">
        <v>22</v>
      </c>
      <c r="BI8" s="1" t="s">
        <v>23</v>
      </c>
      <c r="BJ8" s="1" t="s">
        <v>24</v>
      </c>
      <c r="BK8" s="1" t="s">
        <v>25</v>
      </c>
      <c r="BL8" s="1" t="s">
        <v>26</v>
      </c>
      <c r="BN8" s="1"/>
      <c r="BO8" s="1" t="s">
        <v>28</v>
      </c>
      <c r="BP8" s="1" t="s">
        <v>3</v>
      </c>
      <c r="BQ8" s="1" t="s">
        <v>4</v>
      </c>
      <c r="BR8" s="1" t="s">
        <v>5</v>
      </c>
      <c r="BS8" s="1" t="s">
        <v>6</v>
      </c>
      <c r="BT8" s="1" t="s">
        <v>7</v>
      </c>
      <c r="BU8" s="1" t="s">
        <v>8</v>
      </c>
      <c r="BV8" s="1" t="s">
        <v>9</v>
      </c>
      <c r="BW8" s="1" t="s">
        <v>10</v>
      </c>
      <c r="BX8" s="1" t="s">
        <v>11</v>
      </c>
      <c r="BY8" s="1" t="s">
        <v>12</v>
      </c>
      <c r="BZ8" s="1" t="s">
        <v>13</v>
      </c>
      <c r="CA8" s="1" t="s">
        <v>14</v>
      </c>
      <c r="CB8" s="1" t="s">
        <v>3</v>
      </c>
      <c r="CC8" s="1" t="s">
        <v>4</v>
      </c>
      <c r="CD8" s="1" t="s">
        <v>5</v>
      </c>
      <c r="CE8" s="1" t="s">
        <v>6</v>
      </c>
      <c r="CF8" s="1" t="s">
        <v>7</v>
      </c>
      <c r="CG8" s="1" t="s">
        <v>8</v>
      </c>
      <c r="CH8" s="1" t="s">
        <v>9</v>
      </c>
      <c r="CI8" s="1" t="s">
        <v>10</v>
      </c>
      <c r="CJ8" s="1" t="s">
        <v>11</v>
      </c>
      <c r="CK8" s="1" t="s">
        <v>12</v>
      </c>
      <c r="CL8" s="1" t="s">
        <v>13</v>
      </c>
      <c r="CM8" s="1" t="s">
        <v>14</v>
      </c>
      <c r="CN8" s="1" t="s">
        <v>3</v>
      </c>
      <c r="CO8" s="1" t="s">
        <v>4</v>
      </c>
      <c r="CP8" s="1" t="s">
        <v>5</v>
      </c>
      <c r="CQ8" s="1" t="s">
        <v>6</v>
      </c>
      <c r="CR8" s="1" t="s">
        <v>7</v>
      </c>
      <c r="CS8" s="1" t="s">
        <v>8</v>
      </c>
      <c r="CT8" s="1" t="s">
        <v>9</v>
      </c>
      <c r="CU8" s="1" t="s">
        <v>10</v>
      </c>
      <c r="CV8" s="1" t="s">
        <v>11</v>
      </c>
      <c r="CW8" s="1" t="s">
        <v>12</v>
      </c>
      <c r="CX8" s="1" t="s">
        <v>13</v>
      </c>
      <c r="CY8" s="1" t="s">
        <v>14</v>
      </c>
      <c r="CZ8" s="1" t="s">
        <v>3</v>
      </c>
      <c r="DA8" s="1" t="s">
        <v>4</v>
      </c>
      <c r="DB8" s="1" t="s">
        <v>5</v>
      </c>
      <c r="DC8" s="1" t="s">
        <v>6</v>
      </c>
      <c r="DD8" s="1" t="s">
        <v>7</v>
      </c>
      <c r="DE8" s="1" t="s">
        <v>8</v>
      </c>
      <c r="DF8" s="1" t="s">
        <v>9</v>
      </c>
      <c r="DG8" s="1" t="s">
        <v>10</v>
      </c>
      <c r="DH8" s="1" t="s">
        <v>11</v>
      </c>
      <c r="DI8" s="1" t="s">
        <v>12</v>
      </c>
      <c r="DJ8" s="1" t="s">
        <v>13</v>
      </c>
      <c r="DK8" s="1" t="s">
        <v>14</v>
      </c>
      <c r="DL8" s="1" t="s">
        <v>3</v>
      </c>
      <c r="DM8" s="1" t="s">
        <v>4</v>
      </c>
      <c r="DN8" s="1" t="s">
        <v>5</v>
      </c>
      <c r="DO8" s="1" t="s">
        <v>6</v>
      </c>
      <c r="DP8" s="1" t="s">
        <v>7</v>
      </c>
      <c r="DQ8" s="1" t="s">
        <v>8</v>
      </c>
      <c r="DR8" s="1" t="s">
        <v>9</v>
      </c>
      <c r="DS8" s="1" t="s">
        <v>10</v>
      </c>
      <c r="DT8" s="1" t="s">
        <v>11</v>
      </c>
      <c r="DU8" s="1" t="s">
        <v>12</v>
      </c>
      <c r="DV8" s="1" t="s">
        <v>13</v>
      </c>
      <c r="DW8" s="1" t="s">
        <v>14</v>
      </c>
    </row>
    <row r="9" spans="2:127" x14ac:dyDescent="0.45">
      <c r="B9" s="1">
        <v>24</v>
      </c>
      <c r="C9" s="1">
        <v>0</v>
      </c>
      <c r="D9" s="7">
        <f>24*C9/4095</f>
        <v>0</v>
      </c>
      <c r="E9" s="1">
        <v>2.1999999999999999E-2</v>
      </c>
      <c r="F9" s="1">
        <v>0</v>
      </c>
      <c r="G9" s="1">
        <v>2.7E-2</v>
      </c>
      <c r="H9" s="1">
        <v>1.6E-2</v>
      </c>
      <c r="I9" s="1">
        <v>5.0000000000000001E-3</v>
      </c>
      <c r="J9" s="1">
        <v>5.2999999999999999E-2</v>
      </c>
      <c r="K9" s="1">
        <v>0</v>
      </c>
      <c r="L9" s="1">
        <v>0</v>
      </c>
      <c r="M9" s="1">
        <v>4.0000000000000001E-3</v>
      </c>
      <c r="N9" s="1">
        <v>1.4E-2</v>
      </c>
      <c r="O9" s="1">
        <v>0.05</v>
      </c>
      <c r="P9" s="1">
        <v>2.1999999999999999E-2</v>
      </c>
      <c r="Q9" s="1">
        <v>8.9999999999999993E-3</v>
      </c>
      <c r="R9" s="1">
        <v>3.6999999999999998E-2</v>
      </c>
      <c r="S9" s="1">
        <v>7.0000000000000001E-3</v>
      </c>
      <c r="T9" s="1">
        <v>0</v>
      </c>
      <c r="U9" s="1">
        <v>3.1E-2</v>
      </c>
      <c r="V9" s="1">
        <v>1E-3</v>
      </c>
      <c r="W9" s="1">
        <v>7.0000000000000001E-3</v>
      </c>
      <c r="X9" s="1">
        <v>3.5000000000000003E-2</v>
      </c>
      <c r="Y9" s="1">
        <v>0</v>
      </c>
      <c r="Z9" s="1">
        <v>1.4999999999999999E-2</v>
      </c>
      <c r="AA9" s="1">
        <v>1.2E-2</v>
      </c>
      <c r="AB9" s="1">
        <v>3.0000000000000001E-3</v>
      </c>
      <c r="AC9" s="1">
        <v>5.6000000000000001E-2</v>
      </c>
      <c r="AD9" s="1">
        <v>1.4E-2</v>
      </c>
      <c r="AE9" s="1">
        <v>3.0000000000000001E-3</v>
      </c>
      <c r="AF9" s="1">
        <v>4.0000000000000001E-3</v>
      </c>
      <c r="AG9" s="1">
        <v>1E-3</v>
      </c>
      <c r="AH9" s="1">
        <v>1E-3</v>
      </c>
      <c r="AI9" s="1">
        <v>0</v>
      </c>
      <c r="AJ9" s="1">
        <v>0</v>
      </c>
      <c r="AK9" s="1">
        <v>1.6E-2</v>
      </c>
      <c r="AL9" s="1">
        <v>1E-3</v>
      </c>
      <c r="AM9" s="1">
        <v>1E-3</v>
      </c>
      <c r="AN9" s="1">
        <v>1.7999999999999999E-2</v>
      </c>
      <c r="AO9" s="1">
        <v>0</v>
      </c>
      <c r="AP9" s="1">
        <v>1E-3</v>
      </c>
      <c r="AQ9" s="1">
        <v>8.9999999999999993E-3</v>
      </c>
      <c r="AR9" s="1">
        <v>7.0000000000000001E-3</v>
      </c>
      <c r="AS9" s="1">
        <v>3.0000000000000001E-3</v>
      </c>
      <c r="AT9" s="1">
        <v>8.0000000000000002E-3</v>
      </c>
      <c r="AU9" s="1">
        <v>0</v>
      </c>
      <c r="AV9" s="1">
        <v>0</v>
      </c>
      <c r="AW9" s="1">
        <v>1.4999999999999999E-2</v>
      </c>
      <c r="AX9" s="1">
        <v>2.5999999999999999E-2</v>
      </c>
      <c r="AY9" s="1">
        <v>1E-3</v>
      </c>
      <c r="AZ9" s="1">
        <v>0</v>
      </c>
      <c r="BA9" s="1">
        <v>1.6E-2</v>
      </c>
      <c r="BB9" s="1">
        <v>8.9999999999999993E-3</v>
      </c>
      <c r="BC9" s="1">
        <v>0</v>
      </c>
      <c r="BD9" s="1">
        <v>8.9999999999999993E-3</v>
      </c>
      <c r="BE9" s="1">
        <v>0</v>
      </c>
      <c r="BF9" s="1">
        <v>0</v>
      </c>
      <c r="BG9" s="1">
        <v>1E-3</v>
      </c>
      <c r="BH9" s="1">
        <v>1E-3</v>
      </c>
      <c r="BI9" s="1">
        <v>8.0000000000000002E-3</v>
      </c>
      <c r="BJ9" s="1">
        <v>1E-3</v>
      </c>
      <c r="BK9" s="1">
        <v>2.1999999999999999E-2</v>
      </c>
      <c r="BL9" s="1">
        <v>8.9999999999999993E-3</v>
      </c>
      <c r="BN9" s="1">
        <v>24</v>
      </c>
      <c r="BO9" s="1">
        <v>0</v>
      </c>
      <c r="BP9" s="3" t="e">
        <f t="shared" ref="BP9:BP72" si="0">(E9-$D9)/$D9</f>
        <v>#DIV/0!</v>
      </c>
      <c r="BQ9" s="3" t="e">
        <f t="shared" ref="BQ9:BQ72" si="1">(F9-$D9)/$D9</f>
        <v>#DIV/0!</v>
      </c>
      <c r="BR9" s="3" t="e">
        <f t="shared" ref="BR9:BR72" si="2">(G9-$D9)/$D9</f>
        <v>#DIV/0!</v>
      </c>
      <c r="BS9" s="3" t="e">
        <f t="shared" ref="BS9:BS72" si="3">(H9-$D9)/$D9</f>
        <v>#DIV/0!</v>
      </c>
      <c r="BT9" s="3" t="e">
        <f t="shared" ref="BT9:BT72" si="4">(I9-$D9)/$D9</f>
        <v>#DIV/0!</v>
      </c>
      <c r="BU9" s="3" t="e">
        <f t="shared" ref="BU9:BU72" si="5">(J9-$D9)/$D9</f>
        <v>#DIV/0!</v>
      </c>
      <c r="BV9" s="3" t="e">
        <f t="shared" ref="BV9:BV72" si="6">(K9-$D9)/$D9</f>
        <v>#DIV/0!</v>
      </c>
      <c r="BW9" s="3" t="e">
        <f t="shared" ref="BW9:BW72" si="7">(L9-$D9)/$D9</f>
        <v>#DIV/0!</v>
      </c>
      <c r="BX9" s="3" t="e">
        <f t="shared" ref="BX9:BX72" si="8">(M9-$D9)/$D9</f>
        <v>#DIV/0!</v>
      </c>
      <c r="BY9" s="3" t="e">
        <f t="shared" ref="BY9:BY72" si="9">(N9-$D9)/$D9</f>
        <v>#DIV/0!</v>
      </c>
      <c r="BZ9" s="3" t="e">
        <f t="shared" ref="BZ9:BZ72" si="10">(O9-$D9)/$D9</f>
        <v>#DIV/0!</v>
      </c>
      <c r="CA9" s="3" t="e">
        <f t="shared" ref="CA9:CA72" si="11">(P9-$D9)/$D9</f>
        <v>#DIV/0!</v>
      </c>
      <c r="CB9" s="3" t="e">
        <f t="shared" ref="CB9:CB72" si="12">(Q9-$D9)/$D9</f>
        <v>#DIV/0!</v>
      </c>
      <c r="CC9" s="3" t="e">
        <f t="shared" ref="CC9:CC72" si="13">(R9-$D9)/$D9</f>
        <v>#DIV/0!</v>
      </c>
      <c r="CD9" s="3" t="e">
        <f t="shared" ref="CD9:CD72" si="14">(S9-$D9)/$D9</f>
        <v>#DIV/0!</v>
      </c>
      <c r="CE9" s="3" t="e">
        <f t="shared" ref="CE9:CE72" si="15">(T9-$D9)/$D9</f>
        <v>#DIV/0!</v>
      </c>
      <c r="CF9" s="3" t="e">
        <f t="shared" ref="CF9:CF72" si="16">(U9-$D9)/$D9</f>
        <v>#DIV/0!</v>
      </c>
      <c r="CG9" s="3" t="e">
        <f t="shared" ref="CG9:CG72" si="17">(V9-$D9)/$D9</f>
        <v>#DIV/0!</v>
      </c>
      <c r="CH9" s="3" t="e">
        <f t="shared" ref="CH9:CH72" si="18">(W9-$D9)/$D9</f>
        <v>#DIV/0!</v>
      </c>
      <c r="CI9" s="3" t="e">
        <f t="shared" ref="CI9:CI72" si="19">(X9-$D9)/$D9</f>
        <v>#DIV/0!</v>
      </c>
      <c r="CJ9" s="3" t="e">
        <f t="shared" ref="CJ9:CJ72" si="20">(Y9-$D9)/$D9</f>
        <v>#DIV/0!</v>
      </c>
      <c r="CK9" s="3" t="e">
        <f t="shared" ref="CK9:CK72" si="21">(Z9-$D9)/$D9</f>
        <v>#DIV/0!</v>
      </c>
      <c r="CL9" s="3" t="e">
        <f t="shared" ref="CL9:CL72" si="22">(AA9-$D9)/$D9</f>
        <v>#DIV/0!</v>
      </c>
      <c r="CM9" s="3" t="e">
        <f t="shared" ref="CM9:CM72" si="23">(AB9-$D9)/$D9</f>
        <v>#DIV/0!</v>
      </c>
      <c r="CN9" s="3" t="e">
        <f t="shared" ref="CN9:CN72" si="24">(AC9-$D9)/$D9</f>
        <v>#DIV/0!</v>
      </c>
      <c r="CO9" s="3" t="e">
        <f t="shared" ref="CO9:CO72" si="25">(AD9-$D9)/$D9</f>
        <v>#DIV/0!</v>
      </c>
      <c r="CP9" s="3" t="e">
        <f t="shared" ref="CP9:CP72" si="26">(AE9-$D9)/$D9</f>
        <v>#DIV/0!</v>
      </c>
      <c r="CQ9" s="3" t="e">
        <f t="shared" ref="CQ9:CQ72" si="27">(AF9-$D9)/$D9</f>
        <v>#DIV/0!</v>
      </c>
      <c r="CR9" s="3" t="e">
        <f t="shared" ref="CR9:CR72" si="28">(AG9-$D9)/$D9</f>
        <v>#DIV/0!</v>
      </c>
      <c r="CS9" s="3" t="e">
        <f t="shared" ref="CS9:CS72" si="29">(AH9-$D9)/$D9</f>
        <v>#DIV/0!</v>
      </c>
      <c r="CT9" s="3" t="e">
        <f t="shared" ref="CT9:CT72" si="30">(AI9-$D9)/$D9</f>
        <v>#DIV/0!</v>
      </c>
      <c r="CU9" s="3" t="e">
        <f t="shared" ref="CU9:CU72" si="31">(AJ9-$D9)/$D9</f>
        <v>#DIV/0!</v>
      </c>
      <c r="CV9" s="3" t="e">
        <f t="shared" ref="CV9:CV72" si="32">(AK9-$D9)/$D9</f>
        <v>#DIV/0!</v>
      </c>
      <c r="CW9" s="3" t="e">
        <f t="shared" ref="CW9:CW72" si="33">(AL9-$D9)/$D9</f>
        <v>#DIV/0!</v>
      </c>
      <c r="CX9" s="3" t="e">
        <f t="shared" ref="CX9:CX72" si="34">(AM9-$D9)/$D9</f>
        <v>#DIV/0!</v>
      </c>
      <c r="CY9" s="3" t="e">
        <f t="shared" ref="CY9:CY72" si="35">(AN9-$D9)/$D9</f>
        <v>#DIV/0!</v>
      </c>
      <c r="CZ9" s="3" t="e">
        <f t="shared" ref="CZ9:CZ72" si="36">(AO9-$D9)/$D9</f>
        <v>#DIV/0!</v>
      </c>
      <c r="DA9" s="3" t="e">
        <f t="shared" ref="DA9:DA72" si="37">(AP9-$D9)/$D9</f>
        <v>#DIV/0!</v>
      </c>
      <c r="DB9" s="3" t="e">
        <f t="shared" ref="DB9:DB72" si="38">(AQ9-$D9)/$D9</f>
        <v>#DIV/0!</v>
      </c>
      <c r="DC9" s="3" t="e">
        <f t="shared" ref="DC9:DC72" si="39">(AR9-$D9)/$D9</f>
        <v>#DIV/0!</v>
      </c>
      <c r="DD9" s="3" t="e">
        <f t="shared" ref="DD9:DD72" si="40">(AS9-$D9)/$D9</f>
        <v>#DIV/0!</v>
      </c>
      <c r="DE9" s="3" t="e">
        <f t="shared" ref="DE9:DE72" si="41">(AT9-$D9)/$D9</f>
        <v>#DIV/0!</v>
      </c>
      <c r="DF9" s="3" t="e">
        <f t="shared" ref="DF9:DF72" si="42">(AU9-$D9)/$D9</f>
        <v>#DIV/0!</v>
      </c>
      <c r="DG9" s="3" t="e">
        <f t="shared" ref="DG9:DG72" si="43">(AV9-$D9)/$D9</f>
        <v>#DIV/0!</v>
      </c>
      <c r="DH9" s="3" t="e">
        <f t="shared" ref="DH9:DH72" si="44">(AW9-$D9)/$D9</f>
        <v>#DIV/0!</v>
      </c>
      <c r="DI9" s="3" t="e">
        <f t="shared" ref="DI9:DI72" si="45">(AX9-$D9)/$D9</f>
        <v>#DIV/0!</v>
      </c>
      <c r="DJ9" s="3" t="e">
        <f t="shared" ref="DJ9:DJ72" si="46">(AY9-$D9)/$D9</f>
        <v>#DIV/0!</v>
      </c>
      <c r="DK9" s="3" t="e">
        <f t="shared" ref="DK9:DK72" si="47">(AZ9-$D9)/$D9</f>
        <v>#DIV/0!</v>
      </c>
      <c r="DL9" s="3" t="e">
        <f t="shared" ref="DL9:DL72" si="48">(BA9-$D9)/$D9</f>
        <v>#DIV/0!</v>
      </c>
      <c r="DM9" s="3" t="e">
        <f t="shared" ref="DM9:DM72" si="49">(BB9-$D9)/$D9</f>
        <v>#DIV/0!</v>
      </c>
      <c r="DN9" s="3" t="e">
        <f t="shared" ref="DN9:DN72" si="50">(BC9-$D9)/$D9</f>
        <v>#DIV/0!</v>
      </c>
      <c r="DO9" s="3" t="e">
        <f t="shared" ref="DO9:DO72" si="51">(BD9-$D9)/$D9</f>
        <v>#DIV/0!</v>
      </c>
      <c r="DP9" s="3" t="e">
        <f t="shared" ref="DP9:DP72" si="52">(BE9-$D9)/$D9</f>
        <v>#DIV/0!</v>
      </c>
      <c r="DQ9" s="3" t="e">
        <f t="shared" ref="DQ9:DQ72" si="53">(BF9-$D9)/$D9</f>
        <v>#DIV/0!</v>
      </c>
      <c r="DR9" s="3" t="e">
        <f t="shared" ref="DR9:DR72" si="54">(BG9-$D9)/$D9</f>
        <v>#DIV/0!</v>
      </c>
      <c r="DS9" s="3" t="e">
        <f t="shared" ref="DS9:DS72" si="55">(BH9-$D9)/$D9</f>
        <v>#DIV/0!</v>
      </c>
      <c r="DT9" s="3" t="e">
        <f t="shared" ref="DT9:DT72" si="56">(BI9-$D9)/$D9</f>
        <v>#DIV/0!</v>
      </c>
      <c r="DU9" s="3" t="e">
        <f t="shared" ref="DU9:DU72" si="57">(BJ9-$D9)/$D9</f>
        <v>#DIV/0!</v>
      </c>
      <c r="DV9" s="3" t="e">
        <f t="shared" ref="DV9:DV72" si="58">(BK9-$D9)/$D9</f>
        <v>#DIV/0!</v>
      </c>
      <c r="DW9" s="3" t="e">
        <f t="shared" ref="DW9:DW72" si="59">(BL9-$D9)/$D9</f>
        <v>#DIV/0!</v>
      </c>
    </row>
    <row r="10" spans="2:127" x14ac:dyDescent="0.45">
      <c r="B10" s="1">
        <v>24</v>
      </c>
      <c r="C10" s="1">
        <v>15</v>
      </c>
      <c r="D10" s="7">
        <f t="shared" ref="D10:D73" si="60">24*C10/4095</f>
        <v>8.7912087912087919E-2</v>
      </c>
      <c r="E10" s="1">
        <v>0.106</v>
      </c>
      <c r="F10" s="1">
        <v>7.6999999999999999E-2</v>
      </c>
      <c r="G10" s="1">
        <v>9.5000000000000001E-2</v>
      </c>
      <c r="H10" s="1">
        <v>9.5000000000000001E-2</v>
      </c>
      <c r="I10" s="1">
        <v>9.0999999999999998E-2</v>
      </c>
      <c r="J10" s="1">
        <v>8.1000000000000003E-2</v>
      </c>
      <c r="K10" s="1">
        <v>7.2999999999999995E-2</v>
      </c>
      <c r="L10" s="1">
        <v>4.1000000000000002E-2</v>
      </c>
      <c r="M10" s="1">
        <v>0.09</v>
      </c>
      <c r="N10" s="1">
        <v>7.5999999999999998E-2</v>
      </c>
      <c r="O10" s="1">
        <v>8.5000000000000006E-2</v>
      </c>
      <c r="P10" s="1">
        <v>0.107</v>
      </c>
      <c r="Q10" s="1">
        <v>8.3000000000000004E-2</v>
      </c>
      <c r="R10" s="1">
        <v>9.0999999999999998E-2</v>
      </c>
      <c r="S10" s="1">
        <v>7.4999999999999997E-2</v>
      </c>
      <c r="T10" s="1">
        <v>8.1000000000000003E-2</v>
      </c>
      <c r="U10" s="1">
        <v>8.4000000000000005E-2</v>
      </c>
      <c r="V10" s="1">
        <v>8.6999999999999994E-2</v>
      </c>
      <c r="W10" s="1">
        <v>9.1999999999999998E-2</v>
      </c>
      <c r="X10" s="1">
        <v>3.9E-2</v>
      </c>
      <c r="Y10" s="1">
        <v>7.9000000000000001E-2</v>
      </c>
      <c r="Z10" s="1">
        <v>0.10199999999999999</v>
      </c>
      <c r="AA10" s="1">
        <v>9.8000000000000004E-2</v>
      </c>
      <c r="AB10" s="1">
        <v>8.7999999999999995E-2</v>
      </c>
      <c r="AC10" s="1">
        <v>8.5000000000000006E-2</v>
      </c>
      <c r="AD10" s="1">
        <v>0.09</v>
      </c>
      <c r="AE10" s="1">
        <v>0.09</v>
      </c>
      <c r="AF10" s="1">
        <v>0.09</v>
      </c>
      <c r="AG10" s="1">
        <v>7.5999999999999998E-2</v>
      </c>
      <c r="AH10" s="1">
        <v>8.1000000000000003E-2</v>
      </c>
      <c r="AI10" s="1">
        <v>7.0999999999999994E-2</v>
      </c>
      <c r="AJ10" s="1">
        <v>5.3999999999999999E-2</v>
      </c>
      <c r="AK10" s="1">
        <v>0.10199999999999999</v>
      </c>
      <c r="AL10" s="1">
        <v>8.4000000000000005E-2</v>
      </c>
      <c r="AM10" s="1">
        <v>8.5000000000000006E-2</v>
      </c>
      <c r="AN10" s="1">
        <v>8.3000000000000004E-2</v>
      </c>
      <c r="AO10" s="1">
        <v>8.6999999999999994E-2</v>
      </c>
      <c r="AP10" s="1">
        <v>8.4000000000000005E-2</v>
      </c>
      <c r="AQ10" s="1">
        <v>9.1999999999999998E-2</v>
      </c>
      <c r="AR10" s="1">
        <v>9.4E-2</v>
      </c>
      <c r="AS10" s="1">
        <v>0.09</v>
      </c>
      <c r="AT10" s="1">
        <v>9.4E-2</v>
      </c>
      <c r="AU10" s="1">
        <v>7.5999999999999998E-2</v>
      </c>
      <c r="AV10" s="1">
        <v>5.3999999999999999E-2</v>
      </c>
      <c r="AW10" s="1">
        <v>0.10199999999999999</v>
      </c>
      <c r="AX10" s="1">
        <v>8.4000000000000005E-2</v>
      </c>
      <c r="AY10" s="1">
        <v>8.6999999999999994E-2</v>
      </c>
      <c r="AZ10" s="1">
        <v>0.08</v>
      </c>
      <c r="BA10" s="1">
        <v>0.10199999999999999</v>
      </c>
      <c r="BB10" s="1">
        <v>9.8000000000000004E-2</v>
      </c>
      <c r="BC10" s="1">
        <v>7.6999999999999999E-2</v>
      </c>
      <c r="BD10" s="1">
        <v>9.5000000000000001E-2</v>
      </c>
      <c r="BE10" s="1">
        <v>7.9000000000000001E-2</v>
      </c>
      <c r="BF10" s="1">
        <v>8.1000000000000003E-2</v>
      </c>
      <c r="BG10" s="1">
        <v>8.3000000000000004E-2</v>
      </c>
      <c r="BH10" s="1">
        <v>0.05</v>
      </c>
      <c r="BI10" s="1">
        <v>9.6000000000000002E-2</v>
      </c>
      <c r="BJ10" s="1">
        <v>0.08</v>
      </c>
      <c r="BK10" s="1">
        <v>8.3000000000000004E-2</v>
      </c>
      <c r="BL10" s="1">
        <v>9.5000000000000001E-2</v>
      </c>
      <c r="BN10" s="1">
        <v>24</v>
      </c>
      <c r="BO10" s="1">
        <v>15</v>
      </c>
      <c r="BP10" s="3">
        <f t="shared" si="0"/>
        <v>0.20574999999999988</v>
      </c>
      <c r="BQ10" s="3">
        <f t="shared" si="1"/>
        <v>-0.12412500000000008</v>
      </c>
      <c r="BR10" s="3">
        <f t="shared" si="2"/>
        <v>8.0624999999999933E-2</v>
      </c>
      <c r="BS10" s="3">
        <f t="shared" si="3"/>
        <v>8.0624999999999933E-2</v>
      </c>
      <c r="BT10" s="3">
        <f t="shared" si="4"/>
        <v>3.5124999999999892E-2</v>
      </c>
      <c r="BU10" s="3">
        <f t="shared" si="5"/>
        <v>-7.8625000000000042E-2</v>
      </c>
      <c r="BV10" s="3">
        <f t="shared" si="6"/>
        <v>-0.16962500000000011</v>
      </c>
      <c r="BW10" s="3">
        <f t="shared" si="7"/>
        <v>-0.53362500000000002</v>
      </c>
      <c r="BX10" s="3">
        <f t="shared" si="8"/>
        <v>2.3749999999999882E-2</v>
      </c>
      <c r="BY10" s="3">
        <f t="shared" si="9"/>
        <v>-0.13550000000000009</v>
      </c>
      <c r="BZ10" s="3">
        <f t="shared" si="10"/>
        <v>-3.3125000000000009E-2</v>
      </c>
      <c r="CA10" s="3">
        <f t="shared" si="11"/>
        <v>0.21712499999999987</v>
      </c>
      <c r="CB10" s="3">
        <f t="shared" si="12"/>
        <v>-5.5875000000000022E-2</v>
      </c>
      <c r="CC10" s="3">
        <f t="shared" si="13"/>
        <v>3.5124999999999892E-2</v>
      </c>
      <c r="CD10" s="3">
        <f t="shared" si="14"/>
        <v>-0.14687500000000009</v>
      </c>
      <c r="CE10" s="3">
        <f t="shared" si="15"/>
        <v>-7.8625000000000042E-2</v>
      </c>
      <c r="CF10" s="3">
        <f t="shared" si="16"/>
        <v>-4.4500000000000012E-2</v>
      </c>
      <c r="CG10" s="3">
        <f t="shared" si="17"/>
        <v>-1.0375000000000146E-2</v>
      </c>
      <c r="CH10" s="3">
        <f t="shared" si="18"/>
        <v>4.6499999999999903E-2</v>
      </c>
      <c r="CI10" s="3">
        <f t="shared" si="19"/>
        <v>-0.55637500000000006</v>
      </c>
      <c r="CJ10" s="3">
        <f t="shared" si="20"/>
        <v>-0.10137500000000006</v>
      </c>
      <c r="CK10" s="3">
        <f t="shared" si="21"/>
        <v>0.16024999999999984</v>
      </c>
      <c r="CL10" s="3">
        <f t="shared" si="22"/>
        <v>0.11474999999999995</v>
      </c>
      <c r="CM10" s="3">
        <f t="shared" si="23"/>
        <v>9.9999999999986385E-4</v>
      </c>
      <c r="CN10" s="3">
        <f t="shared" si="24"/>
        <v>-3.3125000000000009E-2</v>
      </c>
      <c r="CO10" s="3">
        <f t="shared" si="25"/>
        <v>2.3749999999999882E-2</v>
      </c>
      <c r="CP10" s="3">
        <f t="shared" si="26"/>
        <v>2.3749999999999882E-2</v>
      </c>
      <c r="CQ10" s="3">
        <f t="shared" si="27"/>
        <v>2.3749999999999882E-2</v>
      </c>
      <c r="CR10" s="3">
        <f t="shared" si="28"/>
        <v>-0.13550000000000009</v>
      </c>
      <c r="CS10" s="3">
        <f t="shared" si="29"/>
        <v>-7.8625000000000042E-2</v>
      </c>
      <c r="CT10" s="3">
        <f t="shared" si="30"/>
        <v>-0.19237500000000013</v>
      </c>
      <c r="CU10" s="3">
        <f t="shared" si="31"/>
        <v>-0.38575000000000004</v>
      </c>
      <c r="CV10" s="3">
        <f t="shared" si="32"/>
        <v>0.16024999999999984</v>
      </c>
      <c r="CW10" s="3">
        <f t="shared" si="33"/>
        <v>-4.4500000000000012E-2</v>
      </c>
      <c r="CX10" s="3">
        <f t="shared" si="34"/>
        <v>-3.3125000000000009E-2</v>
      </c>
      <c r="CY10" s="3">
        <f t="shared" si="35"/>
        <v>-5.5875000000000022E-2</v>
      </c>
      <c r="CZ10" s="3">
        <f t="shared" si="36"/>
        <v>-1.0375000000000146E-2</v>
      </c>
      <c r="DA10" s="3">
        <f t="shared" si="37"/>
        <v>-4.4500000000000012E-2</v>
      </c>
      <c r="DB10" s="3">
        <f t="shared" si="38"/>
        <v>4.6499999999999903E-2</v>
      </c>
      <c r="DC10" s="3">
        <f t="shared" si="39"/>
        <v>6.9249999999999923E-2</v>
      </c>
      <c r="DD10" s="3">
        <f t="shared" si="40"/>
        <v>2.3749999999999882E-2</v>
      </c>
      <c r="DE10" s="3">
        <f t="shared" si="41"/>
        <v>6.9249999999999923E-2</v>
      </c>
      <c r="DF10" s="3">
        <f t="shared" si="42"/>
        <v>-0.13550000000000009</v>
      </c>
      <c r="DG10" s="3">
        <f t="shared" si="43"/>
        <v>-0.38575000000000004</v>
      </c>
      <c r="DH10" s="3">
        <f t="shared" si="44"/>
        <v>0.16024999999999984</v>
      </c>
      <c r="DI10" s="3">
        <f t="shared" si="45"/>
        <v>-4.4500000000000012E-2</v>
      </c>
      <c r="DJ10" s="3">
        <f t="shared" si="46"/>
        <v>-1.0375000000000146E-2</v>
      </c>
      <c r="DK10" s="3">
        <f t="shared" si="47"/>
        <v>-9.0000000000000052E-2</v>
      </c>
      <c r="DL10" s="3">
        <f t="shared" si="48"/>
        <v>0.16024999999999984</v>
      </c>
      <c r="DM10" s="3">
        <f t="shared" si="49"/>
        <v>0.11474999999999995</v>
      </c>
      <c r="DN10" s="3">
        <f t="shared" si="50"/>
        <v>-0.12412500000000008</v>
      </c>
      <c r="DO10" s="3">
        <f t="shared" si="51"/>
        <v>8.0624999999999933E-2</v>
      </c>
      <c r="DP10" s="3">
        <f t="shared" si="52"/>
        <v>-0.10137500000000006</v>
      </c>
      <c r="DQ10" s="3">
        <f t="shared" si="53"/>
        <v>-7.8625000000000042E-2</v>
      </c>
      <c r="DR10" s="3">
        <f t="shared" si="54"/>
        <v>-5.5875000000000022E-2</v>
      </c>
      <c r="DS10" s="3">
        <f t="shared" si="55"/>
        <v>-0.43125000000000002</v>
      </c>
      <c r="DT10" s="3">
        <f t="shared" si="56"/>
        <v>9.1999999999999943E-2</v>
      </c>
      <c r="DU10" s="3">
        <f t="shared" si="57"/>
        <v>-9.0000000000000052E-2</v>
      </c>
      <c r="DV10" s="3">
        <f t="shared" si="58"/>
        <v>-5.5875000000000022E-2</v>
      </c>
      <c r="DW10" s="3">
        <f t="shared" si="59"/>
        <v>8.0624999999999933E-2</v>
      </c>
    </row>
    <row r="11" spans="2:127" x14ac:dyDescent="0.45">
      <c r="B11" s="1">
        <v>24</v>
      </c>
      <c r="C11" s="1">
        <v>30</v>
      </c>
      <c r="D11" s="7">
        <f t="shared" si="60"/>
        <v>0.17582417582417584</v>
      </c>
      <c r="E11" s="1">
        <v>0.193</v>
      </c>
      <c r="F11" s="1">
        <v>0.16500000000000001</v>
      </c>
      <c r="G11" s="1">
        <v>0.182</v>
      </c>
      <c r="H11" s="1">
        <v>0.182</v>
      </c>
      <c r="I11" s="1">
        <v>0.17799999999999999</v>
      </c>
      <c r="J11" s="1">
        <v>0.16800000000000001</v>
      </c>
      <c r="K11" s="1">
        <v>0.161</v>
      </c>
      <c r="L11" s="1">
        <v>0.13200000000000001</v>
      </c>
      <c r="M11" s="1">
        <v>0.17799999999999999</v>
      </c>
      <c r="N11" s="1">
        <v>0.16400000000000001</v>
      </c>
      <c r="O11" s="1">
        <v>0.17199999999999999</v>
      </c>
      <c r="P11" s="1">
        <v>0.193</v>
      </c>
      <c r="Q11" s="1">
        <v>0.17100000000000001</v>
      </c>
      <c r="R11" s="1">
        <v>0.17799999999999999</v>
      </c>
      <c r="S11" s="1">
        <v>0.16400000000000001</v>
      </c>
      <c r="T11" s="1">
        <v>0.17</v>
      </c>
      <c r="U11" s="1">
        <v>0.17199999999999999</v>
      </c>
      <c r="V11" s="1">
        <v>0.17499999999999999</v>
      </c>
      <c r="W11" s="1">
        <v>0.17899999999999999</v>
      </c>
      <c r="X11" s="1">
        <v>0.114</v>
      </c>
      <c r="Y11" s="1">
        <v>0.161</v>
      </c>
      <c r="Z11" s="1">
        <v>0.189</v>
      </c>
      <c r="AA11" s="1">
        <v>0.186</v>
      </c>
      <c r="AB11" s="1">
        <v>0.17499999999999999</v>
      </c>
      <c r="AC11" s="1">
        <v>0.17399999999999999</v>
      </c>
      <c r="AD11" s="1">
        <v>0.17799999999999999</v>
      </c>
      <c r="AE11" s="1">
        <v>0.17599999999999999</v>
      </c>
      <c r="AF11" s="1">
        <v>0.17599999999999999</v>
      </c>
      <c r="AG11" s="1">
        <v>0.16300000000000001</v>
      </c>
      <c r="AH11" s="1">
        <v>0.16800000000000001</v>
      </c>
      <c r="AI11" s="1">
        <v>0.16300000000000001</v>
      </c>
      <c r="AJ11" s="1">
        <v>0.14499999999999999</v>
      </c>
      <c r="AK11" s="1">
        <v>0.189</v>
      </c>
      <c r="AL11" s="1">
        <v>0.17199999999999999</v>
      </c>
      <c r="AM11" s="1">
        <v>0.17399999999999999</v>
      </c>
      <c r="AN11" s="1">
        <v>0.17199999999999999</v>
      </c>
      <c r="AO11" s="1">
        <v>0.17599999999999999</v>
      </c>
      <c r="AP11" s="1">
        <v>0.17199999999999999</v>
      </c>
      <c r="AQ11" s="1">
        <v>0.18</v>
      </c>
      <c r="AR11" s="1">
        <v>0.17899999999999999</v>
      </c>
      <c r="AS11" s="1">
        <v>0.17499999999999999</v>
      </c>
      <c r="AT11" s="1">
        <v>0.18</v>
      </c>
      <c r="AU11" s="1">
        <v>0.16300000000000001</v>
      </c>
      <c r="AV11" s="1">
        <v>0.14199999999999999</v>
      </c>
      <c r="AW11" s="1">
        <v>0.189</v>
      </c>
      <c r="AX11" s="1">
        <v>0.17199999999999999</v>
      </c>
      <c r="AY11" s="1">
        <v>0.17599999999999999</v>
      </c>
      <c r="AZ11" s="1">
        <v>0.16800000000000001</v>
      </c>
      <c r="BA11" s="1">
        <v>0.189</v>
      </c>
      <c r="BB11" s="1">
        <v>0.184</v>
      </c>
      <c r="BC11" s="1">
        <v>0.16500000000000001</v>
      </c>
      <c r="BD11" s="1">
        <v>0.18</v>
      </c>
      <c r="BE11" s="1">
        <v>0.16500000000000001</v>
      </c>
      <c r="BF11" s="1">
        <v>0.16800000000000001</v>
      </c>
      <c r="BG11" s="1">
        <v>0.17</v>
      </c>
      <c r="BH11" s="1">
        <v>0.13700000000000001</v>
      </c>
      <c r="BI11" s="1">
        <v>0.186</v>
      </c>
      <c r="BJ11" s="1">
        <v>0.16800000000000001</v>
      </c>
      <c r="BK11" s="1">
        <v>0.17100000000000001</v>
      </c>
      <c r="BL11" s="1">
        <v>0.18</v>
      </c>
      <c r="BN11" s="1">
        <v>24</v>
      </c>
      <c r="BO11" s="1">
        <v>30</v>
      </c>
      <c r="BP11" s="3">
        <f t="shared" si="0"/>
        <v>9.7687499999999941E-2</v>
      </c>
      <c r="BQ11" s="3">
        <f t="shared" si="1"/>
        <v>-6.1562500000000027E-2</v>
      </c>
      <c r="BR11" s="3">
        <f t="shared" si="2"/>
        <v>3.5124999999999892E-2</v>
      </c>
      <c r="BS11" s="3">
        <f t="shared" si="3"/>
        <v>3.5124999999999892E-2</v>
      </c>
      <c r="BT11" s="3">
        <f t="shared" si="4"/>
        <v>1.2374999999999872E-2</v>
      </c>
      <c r="BU11" s="3">
        <f t="shared" si="5"/>
        <v>-4.4500000000000012E-2</v>
      </c>
      <c r="BV11" s="3">
        <f t="shared" si="6"/>
        <v>-8.4312500000000054E-2</v>
      </c>
      <c r="BW11" s="3">
        <f t="shared" si="7"/>
        <v>-0.24925000000000003</v>
      </c>
      <c r="BX11" s="3">
        <f t="shared" si="8"/>
        <v>1.2374999999999872E-2</v>
      </c>
      <c r="BY11" s="3">
        <f t="shared" si="9"/>
        <v>-6.7250000000000032E-2</v>
      </c>
      <c r="BZ11" s="3">
        <f t="shared" si="10"/>
        <v>-2.1750000000000155E-2</v>
      </c>
      <c r="CA11" s="3">
        <f t="shared" si="11"/>
        <v>9.7687499999999941E-2</v>
      </c>
      <c r="CB11" s="3">
        <f t="shared" si="12"/>
        <v>-2.74375E-2</v>
      </c>
      <c r="CC11" s="3">
        <f t="shared" si="13"/>
        <v>1.2374999999999872E-2</v>
      </c>
      <c r="CD11" s="3">
        <f t="shared" si="14"/>
        <v>-6.7250000000000032E-2</v>
      </c>
      <c r="CE11" s="3">
        <f t="shared" si="15"/>
        <v>-3.3125000000000009E-2</v>
      </c>
      <c r="CF11" s="3">
        <f t="shared" si="16"/>
        <v>-2.1750000000000155E-2</v>
      </c>
      <c r="CG11" s="3">
        <f t="shared" si="17"/>
        <v>-4.6875000000001412E-3</v>
      </c>
      <c r="CH11" s="3">
        <f t="shared" si="18"/>
        <v>1.8062499999999877E-2</v>
      </c>
      <c r="CI11" s="3">
        <f t="shared" si="19"/>
        <v>-0.35162500000000002</v>
      </c>
      <c r="CJ11" s="3">
        <f t="shared" si="20"/>
        <v>-8.4312500000000054E-2</v>
      </c>
      <c r="CK11" s="3">
        <f t="shared" si="21"/>
        <v>7.4937499999999921E-2</v>
      </c>
      <c r="CL11" s="3">
        <f t="shared" si="22"/>
        <v>5.7874999999999913E-2</v>
      </c>
      <c r="CM11" s="3">
        <f t="shared" si="23"/>
        <v>-4.6875000000001412E-3</v>
      </c>
      <c r="CN11" s="3">
        <f t="shared" si="24"/>
        <v>-1.0375000000000146E-2</v>
      </c>
      <c r="CO11" s="3">
        <f t="shared" si="25"/>
        <v>1.2374999999999872E-2</v>
      </c>
      <c r="CP11" s="3">
        <f t="shared" si="26"/>
        <v>9.9999999999986385E-4</v>
      </c>
      <c r="CQ11" s="3">
        <f t="shared" si="27"/>
        <v>9.9999999999986385E-4</v>
      </c>
      <c r="CR11" s="3">
        <f t="shared" si="28"/>
        <v>-7.2937500000000044E-2</v>
      </c>
      <c r="CS11" s="3">
        <f t="shared" si="29"/>
        <v>-4.4500000000000012E-2</v>
      </c>
      <c r="CT11" s="3">
        <f t="shared" si="30"/>
        <v>-7.2937500000000044E-2</v>
      </c>
      <c r="CU11" s="3">
        <f t="shared" si="31"/>
        <v>-0.17531250000000012</v>
      </c>
      <c r="CV11" s="3">
        <f t="shared" si="32"/>
        <v>7.4937499999999921E-2</v>
      </c>
      <c r="CW11" s="3">
        <f t="shared" si="33"/>
        <v>-2.1750000000000155E-2</v>
      </c>
      <c r="CX11" s="3">
        <f t="shared" si="34"/>
        <v>-1.0375000000000146E-2</v>
      </c>
      <c r="CY11" s="3">
        <f t="shared" si="35"/>
        <v>-2.1750000000000155E-2</v>
      </c>
      <c r="CZ11" s="3">
        <f t="shared" si="36"/>
        <v>9.9999999999986385E-4</v>
      </c>
      <c r="DA11" s="3">
        <f t="shared" si="37"/>
        <v>-2.1750000000000155E-2</v>
      </c>
      <c r="DB11" s="3">
        <f t="shared" si="38"/>
        <v>2.3749999999999882E-2</v>
      </c>
      <c r="DC11" s="3">
        <f t="shared" si="39"/>
        <v>1.8062499999999877E-2</v>
      </c>
      <c r="DD11" s="3">
        <f t="shared" si="40"/>
        <v>-4.6875000000001412E-3</v>
      </c>
      <c r="DE11" s="3">
        <f t="shared" si="41"/>
        <v>2.3749999999999882E-2</v>
      </c>
      <c r="DF11" s="3">
        <f t="shared" si="42"/>
        <v>-7.2937500000000044E-2</v>
      </c>
      <c r="DG11" s="3">
        <f t="shared" si="43"/>
        <v>-0.19237500000000013</v>
      </c>
      <c r="DH11" s="3">
        <f t="shared" si="44"/>
        <v>7.4937499999999921E-2</v>
      </c>
      <c r="DI11" s="3">
        <f t="shared" si="45"/>
        <v>-2.1750000000000155E-2</v>
      </c>
      <c r="DJ11" s="3">
        <f t="shared" si="46"/>
        <v>9.9999999999986385E-4</v>
      </c>
      <c r="DK11" s="3">
        <f t="shared" si="47"/>
        <v>-4.4500000000000012E-2</v>
      </c>
      <c r="DL11" s="3">
        <f t="shared" si="48"/>
        <v>7.4937499999999921E-2</v>
      </c>
      <c r="DM11" s="3">
        <f t="shared" si="49"/>
        <v>4.6499999999999903E-2</v>
      </c>
      <c r="DN11" s="3">
        <f t="shared" si="50"/>
        <v>-6.1562500000000027E-2</v>
      </c>
      <c r="DO11" s="3">
        <f t="shared" si="51"/>
        <v>2.3749999999999882E-2</v>
      </c>
      <c r="DP11" s="3">
        <f t="shared" si="52"/>
        <v>-6.1562500000000027E-2</v>
      </c>
      <c r="DQ11" s="3">
        <f t="shared" si="53"/>
        <v>-4.4500000000000012E-2</v>
      </c>
      <c r="DR11" s="3">
        <f t="shared" si="54"/>
        <v>-3.3125000000000009E-2</v>
      </c>
      <c r="DS11" s="3">
        <f t="shared" si="55"/>
        <v>-0.22081249999999999</v>
      </c>
      <c r="DT11" s="3">
        <f t="shared" si="56"/>
        <v>5.7874999999999913E-2</v>
      </c>
      <c r="DU11" s="3">
        <f t="shared" si="57"/>
        <v>-4.4500000000000012E-2</v>
      </c>
      <c r="DV11" s="3">
        <f t="shared" si="58"/>
        <v>-2.74375E-2</v>
      </c>
      <c r="DW11" s="3">
        <f t="shared" si="59"/>
        <v>2.3749999999999882E-2</v>
      </c>
    </row>
    <row r="12" spans="2:127" x14ac:dyDescent="0.45">
      <c r="B12" s="1">
        <v>24</v>
      </c>
      <c r="C12" s="1">
        <v>45</v>
      </c>
      <c r="D12" s="7">
        <f t="shared" si="60"/>
        <v>0.26373626373626374</v>
      </c>
      <c r="E12" s="1">
        <v>0.27800000000000002</v>
      </c>
      <c r="F12" s="1">
        <v>0.255</v>
      </c>
      <c r="G12" s="1">
        <v>0.27100000000000002</v>
      </c>
      <c r="H12" s="1">
        <v>0.27</v>
      </c>
      <c r="I12" s="1">
        <v>0.26600000000000001</v>
      </c>
      <c r="J12" s="1">
        <v>0.25600000000000001</v>
      </c>
      <c r="K12" s="1">
        <v>0.25</v>
      </c>
      <c r="L12" s="1">
        <v>0.221</v>
      </c>
      <c r="M12" s="1">
        <v>0.26600000000000001</v>
      </c>
      <c r="N12" s="1">
        <v>0.254</v>
      </c>
      <c r="O12" s="1">
        <v>0.25900000000000001</v>
      </c>
      <c r="P12" s="1">
        <v>0.27900000000000003</v>
      </c>
      <c r="Q12" s="1">
        <v>0.25900000000000001</v>
      </c>
      <c r="R12" s="1">
        <v>0.26700000000000002</v>
      </c>
      <c r="S12" s="1">
        <v>0.254</v>
      </c>
      <c r="T12" s="1">
        <v>0.25800000000000001</v>
      </c>
      <c r="U12" s="1">
        <v>0.25900000000000001</v>
      </c>
      <c r="V12" s="1">
        <v>0.26400000000000001</v>
      </c>
      <c r="W12" s="1">
        <v>0.26700000000000002</v>
      </c>
      <c r="X12" s="1">
        <v>0.20799999999999999</v>
      </c>
      <c r="Y12" s="1">
        <v>0.255</v>
      </c>
      <c r="Z12" s="1">
        <v>0.27500000000000002</v>
      </c>
      <c r="AA12" s="1">
        <v>0.27100000000000002</v>
      </c>
      <c r="AB12" s="1">
        <v>0.26300000000000001</v>
      </c>
      <c r="AC12" s="1">
        <v>0.26</v>
      </c>
      <c r="AD12" s="1">
        <v>0.26600000000000001</v>
      </c>
      <c r="AE12" s="1">
        <v>0.26600000000000001</v>
      </c>
      <c r="AF12" s="1">
        <v>0.26400000000000001</v>
      </c>
      <c r="AG12" s="1">
        <v>0.251</v>
      </c>
      <c r="AH12" s="1">
        <v>0.25800000000000001</v>
      </c>
      <c r="AI12" s="1">
        <v>0.254</v>
      </c>
      <c r="AJ12" s="1">
        <v>0.23200000000000001</v>
      </c>
      <c r="AK12" s="1">
        <v>0.27500000000000002</v>
      </c>
      <c r="AL12" s="1">
        <v>0.25900000000000001</v>
      </c>
      <c r="AM12" s="1">
        <v>0.26</v>
      </c>
      <c r="AN12" s="1">
        <v>0.26</v>
      </c>
      <c r="AO12" s="1">
        <v>0.26400000000000001</v>
      </c>
      <c r="AP12" s="1">
        <v>0.25900000000000001</v>
      </c>
      <c r="AQ12" s="1">
        <v>0.26600000000000001</v>
      </c>
      <c r="AR12" s="1">
        <v>0.26700000000000002</v>
      </c>
      <c r="AS12" s="1">
        <v>0.26300000000000001</v>
      </c>
      <c r="AT12" s="1">
        <v>0.26600000000000001</v>
      </c>
      <c r="AU12" s="1">
        <v>0.252</v>
      </c>
      <c r="AV12" s="1">
        <v>0.23100000000000001</v>
      </c>
      <c r="AW12" s="1">
        <v>0.27500000000000002</v>
      </c>
      <c r="AX12" s="1">
        <v>0.25900000000000001</v>
      </c>
      <c r="AY12" s="1">
        <v>0.26200000000000001</v>
      </c>
      <c r="AZ12" s="1">
        <v>0.25900000000000001</v>
      </c>
      <c r="BA12" s="1">
        <v>0.27500000000000002</v>
      </c>
      <c r="BB12" s="1">
        <v>0.27100000000000002</v>
      </c>
      <c r="BC12" s="1">
        <v>0.25600000000000001</v>
      </c>
      <c r="BD12" s="1">
        <v>0.26900000000000002</v>
      </c>
      <c r="BE12" s="1">
        <v>0.254</v>
      </c>
      <c r="BF12" s="1">
        <v>0.25600000000000001</v>
      </c>
      <c r="BG12" s="1">
        <v>0.26200000000000001</v>
      </c>
      <c r="BH12" s="1">
        <v>0.22900000000000001</v>
      </c>
      <c r="BI12" s="1">
        <v>0.27400000000000002</v>
      </c>
      <c r="BJ12" s="1">
        <v>0.25600000000000001</v>
      </c>
      <c r="BK12" s="1">
        <v>0.25900000000000001</v>
      </c>
      <c r="BL12" s="1">
        <v>0.27</v>
      </c>
      <c r="BN12" s="1">
        <v>24</v>
      </c>
      <c r="BO12" s="1">
        <v>45</v>
      </c>
      <c r="BP12" s="3">
        <f t="shared" si="0"/>
        <v>5.40833333333334E-2</v>
      </c>
      <c r="BQ12" s="3">
        <f t="shared" si="1"/>
        <v>-3.3125000000000009E-2</v>
      </c>
      <c r="BR12" s="3">
        <f t="shared" si="2"/>
        <v>2.7541666666666711E-2</v>
      </c>
      <c r="BS12" s="3">
        <f t="shared" si="3"/>
        <v>2.3750000000000042E-2</v>
      </c>
      <c r="BT12" s="3">
        <f t="shared" si="4"/>
        <v>8.5833333333333612E-3</v>
      </c>
      <c r="BU12" s="3">
        <f t="shared" si="5"/>
        <v>-2.9333333333333336E-2</v>
      </c>
      <c r="BV12" s="3">
        <f t="shared" si="6"/>
        <v>-5.2083333333333356E-2</v>
      </c>
      <c r="BW12" s="3">
        <f t="shared" si="7"/>
        <v>-0.16204166666666667</v>
      </c>
      <c r="BX12" s="3">
        <f t="shared" si="8"/>
        <v>8.5833333333333612E-3</v>
      </c>
      <c r="BY12" s="3">
        <f t="shared" si="9"/>
        <v>-3.6916666666666681E-2</v>
      </c>
      <c r="BZ12" s="3">
        <f t="shared" si="10"/>
        <v>-1.795833333333333E-2</v>
      </c>
      <c r="CA12" s="3">
        <f t="shared" si="11"/>
        <v>5.7875000000000072E-2</v>
      </c>
      <c r="CB12" s="3">
        <f t="shared" si="12"/>
        <v>-1.795833333333333E-2</v>
      </c>
      <c r="CC12" s="3">
        <f t="shared" si="13"/>
        <v>1.2375000000000032E-2</v>
      </c>
      <c r="CD12" s="3">
        <f t="shared" si="14"/>
        <v>-3.6916666666666681E-2</v>
      </c>
      <c r="CE12" s="3">
        <f t="shared" si="15"/>
        <v>-2.1749999999999999E-2</v>
      </c>
      <c r="CF12" s="3">
        <f t="shared" si="16"/>
        <v>-1.795833333333333E-2</v>
      </c>
      <c r="CG12" s="3">
        <f t="shared" si="17"/>
        <v>1.0000000000000217E-3</v>
      </c>
      <c r="CH12" s="3">
        <f t="shared" si="18"/>
        <v>1.2375000000000032E-2</v>
      </c>
      <c r="CI12" s="3">
        <f t="shared" si="19"/>
        <v>-0.2113333333333334</v>
      </c>
      <c r="CJ12" s="3">
        <f t="shared" si="20"/>
        <v>-3.3125000000000009E-2</v>
      </c>
      <c r="CK12" s="3">
        <f t="shared" si="21"/>
        <v>4.270833333333339E-2</v>
      </c>
      <c r="CL12" s="3">
        <f t="shared" si="22"/>
        <v>2.7541666666666711E-2</v>
      </c>
      <c r="CM12" s="3">
        <f t="shared" si="23"/>
        <v>-2.7916666666666485E-3</v>
      </c>
      <c r="CN12" s="3">
        <f t="shared" si="24"/>
        <v>-1.4166666666666657E-2</v>
      </c>
      <c r="CO12" s="3">
        <f t="shared" si="25"/>
        <v>8.5833333333333612E-3</v>
      </c>
      <c r="CP12" s="3">
        <f t="shared" si="26"/>
        <v>8.5833333333333612E-3</v>
      </c>
      <c r="CQ12" s="3">
        <f t="shared" si="27"/>
        <v>1.0000000000000217E-3</v>
      </c>
      <c r="CR12" s="3">
        <f t="shared" si="28"/>
        <v>-4.8291666666666684E-2</v>
      </c>
      <c r="CS12" s="3">
        <f t="shared" si="29"/>
        <v>-2.1749999999999999E-2</v>
      </c>
      <c r="CT12" s="3">
        <f t="shared" si="30"/>
        <v>-3.6916666666666681E-2</v>
      </c>
      <c r="CU12" s="3">
        <f t="shared" si="31"/>
        <v>-0.12033333333333331</v>
      </c>
      <c r="CV12" s="3">
        <f t="shared" si="32"/>
        <v>4.270833333333339E-2</v>
      </c>
      <c r="CW12" s="3">
        <f t="shared" si="33"/>
        <v>-1.795833333333333E-2</v>
      </c>
      <c r="CX12" s="3">
        <f t="shared" si="34"/>
        <v>-1.4166666666666657E-2</v>
      </c>
      <c r="CY12" s="3">
        <f t="shared" si="35"/>
        <v>-1.4166666666666657E-2</v>
      </c>
      <c r="CZ12" s="3">
        <f t="shared" si="36"/>
        <v>1.0000000000000217E-3</v>
      </c>
      <c r="DA12" s="3">
        <f t="shared" si="37"/>
        <v>-1.795833333333333E-2</v>
      </c>
      <c r="DB12" s="3">
        <f t="shared" si="38"/>
        <v>8.5833333333333612E-3</v>
      </c>
      <c r="DC12" s="3">
        <f t="shared" si="39"/>
        <v>1.2375000000000032E-2</v>
      </c>
      <c r="DD12" s="3">
        <f t="shared" si="40"/>
        <v>-2.7916666666666485E-3</v>
      </c>
      <c r="DE12" s="3">
        <f t="shared" si="41"/>
        <v>8.5833333333333612E-3</v>
      </c>
      <c r="DF12" s="3">
        <f t="shared" si="42"/>
        <v>-4.4500000000000019E-2</v>
      </c>
      <c r="DG12" s="3">
        <f t="shared" si="43"/>
        <v>-0.12412499999999999</v>
      </c>
      <c r="DH12" s="3">
        <f t="shared" si="44"/>
        <v>4.270833333333339E-2</v>
      </c>
      <c r="DI12" s="3">
        <f t="shared" si="45"/>
        <v>-1.795833333333333E-2</v>
      </c>
      <c r="DJ12" s="3">
        <f t="shared" si="46"/>
        <v>-6.5833333333333178E-3</v>
      </c>
      <c r="DK12" s="3">
        <f t="shared" si="47"/>
        <v>-1.795833333333333E-2</v>
      </c>
      <c r="DL12" s="3">
        <f t="shared" si="48"/>
        <v>4.270833333333339E-2</v>
      </c>
      <c r="DM12" s="3">
        <f t="shared" si="49"/>
        <v>2.7541666666666711E-2</v>
      </c>
      <c r="DN12" s="3">
        <f t="shared" si="50"/>
        <v>-2.9333333333333336E-2</v>
      </c>
      <c r="DO12" s="3">
        <f t="shared" si="51"/>
        <v>1.9958333333333373E-2</v>
      </c>
      <c r="DP12" s="3">
        <f t="shared" si="52"/>
        <v>-3.6916666666666681E-2</v>
      </c>
      <c r="DQ12" s="3">
        <f t="shared" si="53"/>
        <v>-2.9333333333333336E-2</v>
      </c>
      <c r="DR12" s="3">
        <f t="shared" si="54"/>
        <v>-6.5833333333333178E-3</v>
      </c>
      <c r="DS12" s="3">
        <f t="shared" si="55"/>
        <v>-0.13170833333333332</v>
      </c>
      <c r="DT12" s="3">
        <f t="shared" si="56"/>
        <v>3.8916666666666724E-2</v>
      </c>
      <c r="DU12" s="3">
        <f t="shared" si="57"/>
        <v>-2.9333333333333336E-2</v>
      </c>
      <c r="DV12" s="3">
        <f t="shared" si="58"/>
        <v>-1.795833333333333E-2</v>
      </c>
      <c r="DW12" s="3">
        <f t="shared" si="59"/>
        <v>2.3750000000000042E-2</v>
      </c>
    </row>
    <row r="13" spans="2:127" x14ac:dyDescent="0.45">
      <c r="B13" s="1">
        <v>24</v>
      </c>
      <c r="C13" s="1">
        <v>60</v>
      </c>
      <c r="D13" s="7">
        <f t="shared" si="60"/>
        <v>0.35164835164835168</v>
      </c>
      <c r="E13" s="1">
        <v>0.36599999999999999</v>
      </c>
      <c r="F13" s="1">
        <v>0.34499999999999997</v>
      </c>
      <c r="G13" s="1">
        <v>0.35699999999999998</v>
      </c>
      <c r="H13" s="1">
        <v>0.35899999999999999</v>
      </c>
      <c r="I13" s="1">
        <v>0.35099999999999998</v>
      </c>
      <c r="J13" s="1">
        <v>0.34300000000000003</v>
      </c>
      <c r="K13" s="1">
        <v>0.33800000000000002</v>
      </c>
      <c r="L13" s="1">
        <v>0.312</v>
      </c>
      <c r="M13" s="1">
        <v>0.35299999999999998</v>
      </c>
      <c r="N13" s="1">
        <v>0.34300000000000003</v>
      </c>
      <c r="O13" s="1">
        <v>0.34699999999999998</v>
      </c>
      <c r="P13" s="1">
        <v>0.36599999999999999</v>
      </c>
      <c r="Q13" s="1">
        <v>0.34899999999999998</v>
      </c>
      <c r="R13" s="1">
        <v>0.35499999999999998</v>
      </c>
      <c r="S13" s="1">
        <v>0.34200000000000003</v>
      </c>
      <c r="T13" s="1">
        <v>0.34699999999999998</v>
      </c>
      <c r="U13" s="1">
        <v>0.34899999999999998</v>
      </c>
      <c r="V13" s="1">
        <v>0.35299999999999998</v>
      </c>
      <c r="W13" s="1">
        <v>0.35499999999999998</v>
      </c>
      <c r="X13" s="1">
        <v>0.30199999999999999</v>
      </c>
      <c r="Y13" s="1">
        <v>0.33800000000000002</v>
      </c>
      <c r="Z13" s="1">
        <v>0.36199999999999999</v>
      </c>
      <c r="AA13" s="1">
        <v>0.35899999999999999</v>
      </c>
      <c r="AB13" s="1">
        <v>0.35</v>
      </c>
      <c r="AC13" s="1">
        <v>0.34599999999999997</v>
      </c>
      <c r="AD13" s="1">
        <v>0.35499999999999998</v>
      </c>
      <c r="AE13" s="1">
        <v>0.35399999999999998</v>
      </c>
      <c r="AF13" s="1">
        <v>0.35299999999999998</v>
      </c>
      <c r="AG13" s="1">
        <v>0.33900000000000002</v>
      </c>
      <c r="AH13" s="1">
        <v>0.34599999999999997</v>
      </c>
      <c r="AI13" s="1">
        <v>0.34300000000000003</v>
      </c>
      <c r="AJ13" s="1">
        <v>0.32600000000000001</v>
      </c>
      <c r="AK13" s="1">
        <v>0.36399999999999999</v>
      </c>
      <c r="AL13" s="1">
        <v>0.34599999999999997</v>
      </c>
      <c r="AM13" s="1">
        <v>0.34899999999999998</v>
      </c>
      <c r="AN13" s="1">
        <v>0.34899999999999998</v>
      </c>
      <c r="AO13" s="1">
        <v>0.35099999999999998</v>
      </c>
      <c r="AP13" s="1">
        <v>0.34499999999999997</v>
      </c>
      <c r="AQ13" s="1">
        <v>0.35099999999999998</v>
      </c>
      <c r="AR13" s="1">
        <v>0.35499999999999998</v>
      </c>
      <c r="AS13" s="1">
        <v>0.35099999999999998</v>
      </c>
      <c r="AT13" s="1">
        <v>0.35299999999999998</v>
      </c>
      <c r="AU13" s="1">
        <v>0.34200000000000003</v>
      </c>
      <c r="AV13" s="1">
        <v>0.32400000000000001</v>
      </c>
      <c r="AW13" s="1">
        <v>0.36099999999999999</v>
      </c>
      <c r="AX13" s="1">
        <v>0.34699999999999998</v>
      </c>
      <c r="AY13" s="1">
        <v>0.34899999999999998</v>
      </c>
      <c r="AZ13" s="1">
        <v>0.34599999999999997</v>
      </c>
      <c r="BA13" s="1">
        <v>0.36199999999999999</v>
      </c>
      <c r="BB13" s="1">
        <v>0.35799999999999998</v>
      </c>
      <c r="BC13" s="1">
        <v>0.34499999999999997</v>
      </c>
      <c r="BD13" s="1">
        <v>0.35499999999999998</v>
      </c>
      <c r="BE13" s="1">
        <v>0.34</v>
      </c>
      <c r="BF13" s="1">
        <v>0.34200000000000003</v>
      </c>
      <c r="BG13" s="1">
        <v>0.34699999999999998</v>
      </c>
      <c r="BH13" s="1">
        <v>0.31900000000000001</v>
      </c>
      <c r="BI13" s="1">
        <v>0.36199999999999999</v>
      </c>
      <c r="BJ13" s="1">
        <v>0.34499999999999997</v>
      </c>
      <c r="BK13" s="1">
        <v>0.35399999999999998</v>
      </c>
      <c r="BL13" s="1">
        <v>0.35399999999999998</v>
      </c>
      <c r="BN13" s="1">
        <v>24</v>
      </c>
      <c r="BO13" s="1">
        <v>60</v>
      </c>
      <c r="BP13" s="3">
        <f t="shared" si="0"/>
        <v>4.0812499999999897E-2</v>
      </c>
      <c r="BQ13" s="3">
        <f t="shared" si="1"/>
        <v>-1.8906250000000152E-2</v>
      </c>
      <c r="BR13" s="3">
        <f t="shared" si="2"/>
        <v>1.5218749999999875E-2</v>
      </c>
      <c r="BS13" s="3">
        <f t="shared" si="3"/>
        <v>2.090624999999988E-2</v>
      </c>
      <c r="BT13" s="3">
        <f t="shared" si="4"/>
        <v>-1.8437500000001385E-3</v>
      </c>
      <c r="BU13" s="3">
        <f t="shared" si="5"/>
        <v>-2.4593749999999998E-2</v>
      </c>
      <c r="BV13" s="3">
        <f t="shared" si="6"/>
        <v>-3.8812500000000014E-2</v>
      </c>
      <c r="BW13" s="3">
        <f t="shared" si="7"/>
        <v>-0.11275000000000007</v>
      </c>
      <c r="BX13" s="3">
        <f t="shared" si="8"/>
        <v>3.8437499999998659E-3</v>
      </c>
      <c r="BY13" s="3">
        <f t="shared" si="9"/>
        <v>-2.4593749999999998E-2</v>
      </c>
      <c r="BZ13" s="3">
        <f t="shared" si="10"/>
        <v>-1.3218750000000147E-2</v>
      </c>
      <c r="CA13" s="3">
        <f t="shared" si="11"/>
        <v>4.0812499999999897E-2</v>
      </c>
      <c r="CB13" s="3">
        <f t="shared" si="12"/>
        <v>-7.5312500000001429E-3</v>
      </c>
      <c r="CC13" s="3">
        <f t="shared" si="13"/>
        <v>9.5312499999998714E-3</v>
      </c>
      <c r="CD13" s="3">
        <f t="shared" si="14"/>
        <v>-2.74375E-2</v>
      </c>
      <c r="CE13" s="3">
        <f t="shared" si="15"/>
        <v>-1.3218750000000147E-2</v>
      </c>
      <c r="CF13" s="3">
        <f t="shared" si="16"/>
        <v>-7.5312500000001429E-3</v>
      </c>
      <c r="CG13" s="3">
        <f t="shared" si="17"/>
        <v>3.8437499999998659E-3</v>
      </c>
      <c r="CH13" s="3">
        <f t="shared" si="18"/>
        <v>9.5312499999998714E-3</v>
      </c>
      <c r="CI13" s="3">
        <f t="shared" si="19"/>
        <v>-0.1411875000000001</v>
      </c>
      <c r="CJ13" s="3">
        <f t="shared" si="20"/>
        <v>-3.8812500000000014E-2</v>
      </c>
      <c r="CK13" s="3">
        <f t="shared" si="21"/>
        <v>2.9437499999999887E-2</v>
      </c>
      <c r="CL13" s="3">
        <f t="shared" si="22"/>
        <v>2.090624999999988E-2</v>
      </c>
      <c r="CM13" s="3">
        <f t="shared" si="23"/>
        <v>-4.6875000000001412E-3</v>
      </c>
      <c r="CN13" s="3">
        <f t="shared" si="24"/>
        <v>-1.606250000000015E-2</v>
      </c>
      <c r="CO13" s="3">
        <f t="shared" si="25"/>
        <v>9.5312499999998714E-3</v>
      </c>
      <c r="CP13" s="3">
        <f t="shared" si="26"/>
        <v>6.687499999999868E-3</v>
      </c>
      <c r="CQ13" s="3">
        <f t="shared" si="27"/>
        <v>3.8437499999998659E-3</v>
      </c>
      <c r="CR13" s="3">
        <f t="shared" si="28"/>
        <v>-3.5968750000000008E-2</v>
      </c>
      <c r="CS13" s="3">
        <f t="shared" si="29"/>
        <v>-1.606250000000015E-2</v>
      </c>
      <c r="CT13" s="3">
        <f t="shared" si="30"/>
        <v>-2.4593749999999998E-2</v>
      </c>
      <c r="CU13" s="3">
        <f t="shared" si="31"/>
        <v>-7.2937500000000044E-2</v>
      </c>
      <c r="CV13" s="3">
        <f t="shared" si="32"/>
        <v>3.5124999999999892E-2</v>
      </c>
      <c r="CW13" s="3">
        <f t="shared" si="33"/>
        <v>-1.606250000000015E-2</v>
      </c>
      <c r="CX13" s="3">
        <f t="shared" si="34"/>
        <v>-7.5312500000001429E-3</v>
      </c>
      <c r="CY13" s="3">
        <f t="shared" si="35"/>
        <v>-7.5312500000001429E-3</v>
      </c>
      <c r="CZ13" s="3">
        <f t="shared" si="36"/>
        <v>-1.8437500000001385E-3</v>
      </c>
      <c r="DA13" s="3">
        <f t="shared" si="37"/>
        <v>-1.8906250000000152E-2</v>
      </c>
      <c r="DB13" s="3">
        <f t="shared" si="38"/>
        <v>-1.8437500000001385E-3</v>
      </c>
      <c r="DC13" s="3">
        <f t="shared" si="39"/>
        <v>9.5312499999998714E-3</v>
      </c>
      <c r="DD13" s="3">
        <f t="shared" si="40"/>
        <v>-1.8437500000001385E-3</v>
      </c>
      <c r="DE13" s="3">
        <f t="shared" si="41"/>
        <v>3.8437499999998659E-3</v>
      </c>
      <c r="DF13" s="3">
        <f t="shared" si="42"/>
        <v>-2.74375E-2</v>
      </c>
      <c r="DG13" s="3">
        <f t="shared" si="43"/>
        <v>-7.8625000000000042E-2</v>
      </c>
      <c r="DH13" s="3">
        <f t="shared" si="44"/>
        <v>2.6593749999999885E-2</v>
      </c>
      <c r="DI13" s="3">
        <f t="shared" si="45"/>
        <v>-1.3218750000000147E-2</v>
      </c>
      <c r="DJ13" s="3">
        <f t="shared" si="46"/>
        <v>-7.5312500000001429E-3</v>
      </c>
      <c r="DK13" s="3">
        <f t="shared" si="47"/>
        <v>-1.606250000000015E-2</v>
      </c>
      <c r="DL13" s="3">
        <f t="shared" si="48"/>
        <v>2.9437499999999887E-2</v>
      </c>
      <c r="DM13" s="3">
        <f t="shared" si="49"/>
        <v>1.8062499999999877E-2</v>
      </c>
      <c r="DN13" s="3">
        <f t="shared" si="50"/>
        <v>-1.8906250000000152E-2</v>
      </c>
      <c r="DO13" s="3">
        <f t="shared" si="51"/>
        <v>9.5312499999998714E-3</v>
      </c>
      <c r="DP13" s="3">
        <f t="shared" si="52"/>
        <v>-3.3125000000000009E-2</v>
      </c>
      <c r="DQ13" s="3">
        <f t="shared" si="53"/>
        <v>-2.74375E-2</v>
      </c>
      <c r="DR13" s="3">
        <f t="shared" si="54"/>
        <v>-1.3218750000000147E-2</v>
      </c>
      <c r="DS13" s="3">
        <f t="shared" si="55"/>
        <v>-9.2843750000000058E-2</v>
      </c>
      <c r="DT13" s="3">
        <f t="shared" si="56"/>
        <v>2.9437499999999887E-2</v>
      </c>
      <c r="DU13" s="3">
        <f t="shared" si="57"/>
        <v>-1.8906250000000152E-2</v>
      </c>
      <c r="DV13" s="3">
        <f t="shared" si="58"/>
        <v>6.687499999999868E-3</v>
      </c>
      <c r="DW13" s="3">
        <f t="shared" si="59"/>
        <v>6.687499999999868E-3</v>
      </c>
    </row>
    <row r="14" spans="2:127" x14ac:dyDescent="0.45">
      <c r="B14" s="1">
        <v>24</v>
      </c>
      <c r="C14" s="1">
        <v>75</v>
      </c>
      <c r="D14" s="7">
        <f t="shared" si="60"/>
        <v>0.43956043956043955</v>
      </c>
      <c r="E14" s="1">
        <v>0.45400000000000001</v>
      </c>
      <c r="F14" s="1">
        <v>0.433</v>
      </c>
      <c r="G14" s="1">
        <v>0.44500000000000001</v>
      </c>
      <c r="H14" s="1">
        <v>0.44800000000000001</v>
      </c>
      <c r="I14" s="1">
        <v>0.438</v>
      </c>
      <c r="J14" s="1">
        <v>0.433</v>
      </c>
      <c r="K14" s="1">
        <v>0.42599999999999999</v>
      </c>
      <c r="L14" s="1">
        <v>0.40400000000000003</v>
      </c>
      <c r="M14" s="1">
        <v>0.441</v>
      </c>
      <c r="N14" s="1">
        <v>0.433</v>
      </c>
      <c r="O14" s="1">
        <v>0.433</v>
      </c>
      <c r="P14" s="1">
        <v>0.45300000000000001</v>
      </c>
      <c r="Q14" s="1">
        <v>0.435</v>
      </c>
      <c r="R14" s="1">
        <v>0.44500000000000001</v>
      </c>
      <c r="S14" s="1">
        <v>0.43</v>
      </c>
      <c r="T14" s="1">
        <v>0.437</v>
      </c>
      <c r="U14" s="1">
        <v>0.437</v>
      </c>
      <c r="V14" s="1">
        <v>0.442</v>
      </c>
      <c r="W14" s="1">
        <v>0.442</v>
      </c>
      <c r="X14" s="1">
        <v>0.39500000000000002</v>
      </c>
      <c r="Y14" s="1">
        <v>0.42699999999999999</v>
      </c>
      <c r="Z14" s="1">
        <v>0.45</v>
      </c>
      <c r="AA14" s="1">
        <v>0.44600000000000001</v>
      </c>
      <c r="AB14" s="1">
        <v>0.438</v>
      </c>
      <c r="AC14" s="1">
        <v>0.433</v>
      </c>
      <c r="AD14" s="1">
        <v>0.442</v>
      </c>
      <c r="AE14" s="1">
        <v>0.442</v>
      </c>
      <c r="AF14" s="1">
        <v>0.438</v>
      </c>
      <c r="AG14" s="1">
        <v>0.42599999999999999</v>
      </c>
      <c r="AH14" s="1">
        <v>0.433</v>
      </c>
      <c r="AI14" s="1">
        <v>0.434</v>
      </c>
      <c r="AJ14" s="1">
        <v>0.41399999999999998</v>
      </c>
      <c r="AK14" s="1">
        <v>0.45</v>
      </c>
      <c r="AL14" s="1">
        <v>0.434</v>
      </c>
      <c r="AM14" s="1">
        <v>0.437</v>
      </c>
      <c r="AN14" s="1">
        <v>0.437</v>
      </c>
      <c r="AO14" s="1">
        <v>0.441</v>
      </c>
      <c r="AP14" s="1">
        <v>0.433</v>
      </c>
      <c r="AQ14" s="1">
        <v>0.442</v>
      </c>
      <c r="AR14" s="1">
        <v>0.44400000000000001</v>
      </c>
      <c r="AS14" s="1">
        <v>0.438</v>
      </c>
      <c r="AT14" s="1">
        <v>0.442</v>
      </c>
      <c r="AU14" s="1">
        <v>0.43099999999999999</v>
      </c>
      <c r="AV14" s="1">
        <v>0.41599999999999998</v>
      </c>
      <c r="AW14" s="1">
        <v>0.44900000000000001</v>
      </c>
      <c r="AX14" s="1">
        <v>0.435</v>
      </c>
      <c r="AY14" s="1">
        <v>0.437</v>
      </c>
      <c r="AZ14" s="1">
        <v>0.434</v>
      </c>
      <c r="BA14" s="1">
        <v>0.44900000000000001</v>
      </c>
      <c r="BB14" s="1">
        <v>0.44600000000000001</v>
      </c>
      <c r="BC14" s="1">
        <v>0.435</v>
      </c>
      <c r="BD14" s="1">
        <v>0.44400000000000001</v>
      </c>
      <c r="BE14" s="1">
        <v>0.42899999999999999</v>
      </c>
      <c r="BF14" s="1">
        <v>0.43</v>
      </c>
      <c r="BG14" s="1">
        <v>0.438</v>
      </c>
      <c r="BH14" s="1">
        <v>0.41</v>
      </c>
      <c r="BI14" s="1">
        <v>0.45</v>
      </c>
      <c r="BJ14" s="1">
        <v>0.433</v>
      </c>
      <c r="BK14" s="1">
        <v>0.434</v>
      </c>
      <c r="BL14" s="1">
        <v>0.442</v>
      </c>
      <c r="BN14" s="1">
        <v>24</v>
      </c>
      <c r="BO14" s="1">
        <v>75</v>
      </c>
      <c r="BP14" s="3">
        <f t="shared" si="0"/>
        <v>3.2850000000000053E-2</v>
      </c>
      <c r="BQ14" s="3">
        <f t="shared" si="1"/>
        <v>-1.4924999999999992E-2</v>
      </c>
      <c r="BR14" s="3">
        <f t="shared" si="2"/>
        <v>1.2375000000000032E-2</v>
      </c>
      <c r="BS14" s="3">
        <f t="shared" si="3"/>
        <v>1.9200000000000036E-2</v>
      </c>
      <c r="BT14" s="3">
        <f t="shared" si="4"/>
        <v>-3.5499999999999824E-3</v>
      </c>
      <c r="BU14" s="3">
        <f t="shared" si="5"/>
        <v>-1.4924999999999992E-2</v>
      </c>
      <c r="BV14" s="3">
        <f t="shared" si="6"/>
        <v>-3.0850000000000006E-2</v>
      </c>
      <c r="BW14" s="3">
        <f t="shared" si="7"/>
        <v>-8.089999999999993E-2</v>
      </c>
      <c r="BX14" s="3">
        <f t="shared" si="8"/>
        <v>3.275000000000024E-3</v>
      </c>
      <c r="BY14" s="3">
        <f t="shared" si="9"/>
        <v>-1.4924999999999992E-2</v>
      </c>
      <c r="BZ14" s="3">
        <f t="shared" si="10"/>
        <v>-1.4924999999999992E-2</v>
      </c>
      <c r="CA14" s="3">
        <f t="shared" si="11"/>
        <v>3.057500000000005E-2</v>
      </c>
      <c r="CB14" s="3">
        <f t="shared" si="12"/>
        <v>-1.0374999999999988E-2</v>
      </c>
      <c r="CC14" s="3">
        <f t="shared" si="13"/>
        <v>1.2375000000000032E-2</v>
      </c>
      <c r="CD14" s="3">
        <f t="shared" si="14"/>
        <v>-2.1749999999999999E-2</v>
      </c>
      <c r="CE14" s="3">
        <f t="shared" si="15"/>
        <v>-5.8249999999999847E-3</v>
      </c>
      <c r="CF14" s="3">
        <f t="shared" si="16"/>
        <v>-5.8249999999999847E-3</v>
      </c>
      <c r="CG14" s="3">
        <f t="shared" si="17"/>
        <v>5.5500000000000263E-3</v>
      </c>
      <c r="CH14" s="3">
        <f t="shared" si="18"/>
        <v>5.5500000000000263E-3</v>
      </c>
      <c r="CI14" s="3">
        <f t="shared" si="19"/>
        <v>-0.10137499999999995</v>
      </c>
      <c r="CJ14" s="3">
        <f t="shared" si="20"/>
        <v>-2.8575000000000007E-2</v>
      </c>
      <c r="CK14" s="3">
        <f t="shared" si="21"/>
        <v>2.3750000000000042E-2</v>
      </c>
      <c r="CL14" s="3">
        <f t="shared" si="22"/>
        <v>1.4650000000000035E-2</v>
      </c>
      <c r="CM14" s="3">
        <f t="shared" si="23"/>
        <v>-3.5499999999999824E-3</v>
      </c>
      <c r="CN14" s="3">
        <f t="shared" si="24"/>
        <v>-1.4924999999999992E-2</v>
      </c>
      <c r="CO14" s="3">
        <f t="shared" si="25"/>
        <v>5.5500000000000263E-3</v>
      </c>
      <c r="CP14" s="3">
        <f t="shared" si="26"/>
        <v>5.5500000000000263E-3</v>
      </c>
      <c r="CQ14" s="3">
        <f t="shared" si="27"/>
        <v>-3.5499999999999824E-3</v>
      </c>
      <c r="CR14" s="3">
        <f t="shared" si="28"/>
        <v>-3.0850000000000006E-2</v>
      </c>
      <c r="CS14" s="3">
        <f t="shared" si="29"/>
        <v>-1.4924999999999992E-2</v>
      </c>
      <c r="CT14" s="3">
        <f t="shared" si="30"/>
        <v>-1.2649999999999991E-2</v>
      </c>
      <c r="CU14" s="3">
        <f t="shared" si="31"/>
        <v>-5.8150000000000035E-2</v>
      </c>
      <c r="CV14" s="3">
        <f t="shared" si="32"/>
        <v>2.3750000000000042E-2</v>
      </c>
      <c r="CW14" s="3">
        <f t="shared" si="33"/>
        <v>-1.2649999999999991E-2</v>
      </c>
      <c r="CX14" s="3">
        <f t="shared" si="34"/>
        <v>-5.8249999999999847E-3</v>
      </c>
      <c r="CY14" s="3">
        <f t="shared" si="35"/>
        <v>-5.8249999999999847E-3</v>
      </c>
      <c r="CZ14" s="3">
        <f t="shared" si="36"/>
        <v>3.275000000000024E-3</v>
      </c>
      <c r="DA14" s="3">
        <f t="shared" si="37"/>
        <v>-1.4924999999999992E-2</v>
      </c>
      <c r="DB14" s="3">
        <f t="shared" si="38"/>
        <v>5.5500000000000263E-3</v>
      </c>
      <c r="DC14" s="3">
        <f t="shared" si="39"/>
        <v>1.0100000000000029E-2</v>
      </c>
      <c r="DD14" s="3">
        <f t="shared" si="40"/>
        <v>-3.5499999999999824E-3</v>
      </c>
      <c r="DE14" s="3">
        <f t="shared" si="41"/>
        <v>5.5500000000000263E-3</v>
      </c>
      <c r="DF14" s="3">
        <f t="shared" si="42"/>
        <v>-1.9474999999999996E-2</v>
      </c>
      <c r="DG14" s="3">
        <f t="shared" si="43"/>
        <v>-5.360000000000003E-2</v>
      </c>
      <c r="DH14" s="3">
        <f t="shared" si="44"/>
        <v>2.1475000000000039E-2</v>
      </c>
      <c r="DI14" s="3">
        <f t="shared" si="45"/>
        <v>-1.0374999999999988E-2</v>
      </c>
      <c r="DJ14" s="3">
        <f t="shared" si="46"/>
        <v>-5.8249999999999847E-3</v>
      </c>
      <c r="DK14" s="3">
        <f t="shared" si="47"/>
        <v>-1.2649999999999991E-2</v>
      </c>
      <c r="DL14" s="3">
        <f t="shared" si="48"/>
        <v>2.1475000000000039E-2</v>
      </c>
      <c r="DM14" s="3">
        <f t="shared" si="49"/>
        <v>1.4650000000000035E-2</v>
      </c>
      <c r="DN14" s="3">
        <f t="shared" si="50"/>
        <v>-1.0374999999999988E-2</v>
      </c>
      <c r="DO14" s="3">
        <f t="shared" si="51"/>
        <v>1.0100000000000029E-2</v>
      </c>
      <c r="DP14" s="3">
        <f t="shared" si="52"/>
        <v>-2.4025000000000001E-2</v>
      </c>
      <c r="DQ14" s="3">
        <f t="shared" si="53"/>
        <v>-2.1749999999999999E-2</v>
      </c>
      <c r="DR14" s="3">
        <f t="shared" si="54"/>
        <v>-3.5499999999999824E-3</v>
      </c>
      <c r="DS14" s="3">
        <f t="shared" si="55"/>
        <v>-6.7250000000000046E-2</v>
      </c>
      <c r="DT14" s="3">
        <f t="shared" si="56"/>
        <v>2.3750000000000042E-2</v>
      </c>
      <c r="DU14" s="3">
        <f t="shared" si="57"/>
        <v>-1.4924999999999992E-2</v>
      </c>
      <c r="DV14" s="3">
        <f t="shared" si="58"/>
        <v>-1.2649999999999991E-2</v>
      </c>
      <c r="DW14" s="3">
        <f t="shared" si="59"/>
        <v>5.5500000000000263E-3</v>
      </c>
    </row>
    <row r="15" spans="2:127" x14ac:dyDescent="0.45">
      <c r="B15" s="1">
        <v>24</v>
      </c>
      <c r="C15" s="1">
        <v>90</v>
      </c>
      <c r="D15" s="7">
        <f t="shared" si="60"/>
        <v>0.52747252747252749</v>
      </c>
      <c r="E15" s="1">
        <v>0.54300000000000004</v>
      </c>
      <c r="F15" s="1">
        <v>0.51900000000000002</v>
      </c>
      <c r="G15" s="1">
        <v>0.53200000000000003</v>
      </c>
      <c r="H15" s="1">
        <v>0.53600000000000003</v>
      </c>
      <c r="I15" s="1">
        <v>0.52800000000000002</v>
      </c>
      <c r="J15" s="1">
        <v>0.52200000000000002</v>
      </c>
      <c r="K15" s="1">
        <v>0.51700000000000002</v>
      </c>
      <c r="L15" s="1">
        <v>0.49399999999999999</v>
      </c>
      <c r="M15" s="1">
        <v>0.52800000000000002</v>
      </c>
      <c r="N15" s="1">
        <v>0.51900000000000002</v>
      </c>
      <c r="O15" s="1">
        <v>0.52200000000000002</v>
      </c>
      <c r="P15" s="1">
        <v>0.54</v>
      </c>
      <c r="Q15" s="1">
        <v>0.52400000000000002</v>
      </c>
      <c r="R15" s="1">
        <v>0.53200000000000003</v>
      </c>
      <c r="S15" s="1">
        <v>0.51900000000000002</v>
      </c>
      <c r="T15" s="1">
        <v>0.52600000000000002</v>
      </c>
      <c r="U15" s="1">
        <v>0.52200000000000002</v>
      </c>
      <c r="V15" s="1">
        <v>0.53</v>
      </c>
      <c r="W15" s="1">
        <v>0.52900000000000003</v>
      </c>
      <c r="X15" s="1">
        <v>0.49099999999999999</v>
      </c>
      <c r="Y15" s="1">
        <v>0.51800000000000002</v>
      </c>
      <c r="Z15" s="1">
        <v>0.53700000000000003</v>
      </c>
      <c r="AA15" s="1">
        <v>0.53400000000000003</v>
      </c>
      <c r="AB15" s="1">
        <v>0.52400000000000002</v>
      </c>
      <c r="AC15" s="1">
        <v>0.52400000000000002</v>
      </c>
      <c r="AD15" s="1">
        <v>0.53</v>
      </c>
      <c r="AE15" s="1">
        <v>0.53</v>
      </c>
      <c r="AF15" s="1">
        <v>0.52900000000000003</v>
      </c>
      <c r="AG15" s="1">
        <v>0.51400000000000001</v>
      </c>
      <c r="AH15" s="1">
        <v>0.52200000000000002</v>
      </c>
      <c r="AI15" s="1">
        <v>0.52200000000000002</v>
      </c>
      <c r="AJ15" s="1">
        <v>0.503</v>
      </c>
      <c r="AK15" s="1">
        <v>0.53800000000000003</v>
      </c>
      <c r="AL15" s="1">
        <v>0.52100000000000002</v>
      </c>
      <c r="AM15" s="1">
        <v>0.52500000000000002</v>
      </c>
      <c r="AN15" s="1">
        <v>0.52400000000000002</v>
      </c>
      <c r="AO15" s="1">
        <v>0.52900000000000003</v>
      </c>
      <c r="AP15" s="1">
        <v>0.52400000000000002</v>
      </c>
      <c r="AQ15" s="1">
        <v>0.53</v>
      </c>
      <c r="AR15" s="1">
        <v>0.53200000000000003</v>
      </c>
      <c r="AS15" s="1">
        <v>0.52600000000000002</v>
      </c>
      <c r="AT15" s="1">
        <v>0.53</v>
      </c>
      <c r="AU15" s="1">
        <v>0.51800000000000002</v>
      </c>
      <c r="AV15" s="1">
        <v>0.505</v>
      </c>
      <c r="AW15" s="1">
        <v>0.53400000000000003</v>
      </c>
      <c r="AX15" s="1">
        <v>0.52400000000000002</v>
      </c>
      <c r="AY15" s="1">
        <v>0.52500000000000002</v>
      </c>
      <c r="AZ15" s="1">
        <v>0.52200000000000002</v>
      </c>
      <c r="BA15" s="1">
        <v>0.53600000000000003</v>
      </c>
      <c r="BB15" s="1">
        <v>0.53</v>
      </c>
      <c r="BC15" s="1">
        <v>0.52400000000000002</v>
      </c>
      <c r="BD15" s="1">
        <v>0.53</v>
      </c>
      <c r="BE15" s="1">
        <v>0.51700000000000002</v>
      </c>
      <c r="BF15" s="1">
        <v>0.52100000000000002</v>
      </c>
      <c r="BG15" s="1">
        <v>0.52600000000000002</v>
      </c>
      <c r="BH15" s="1">
        <v>0.501</v>
      </c>
      <c r="BI15" s="1">
        <v>0.53800000000000003</v>
      </c>
      <c r="BJ15" s="1">
        <v>0.52100000000000002</v>
      </c>
      <c r="BK15" s="1">
        <v>0.52900000000000003</v>
      </c>
      <c r="BL15" s="1">
        <v>0.53200000000000003</v>
      </c>
      <c r="BN15" s="1">
        <v>24</v>
      </c>
      <c r="BO15" s="1">
        <v>90</v>
      </c>
      <c r="BP15" s="3">
        <f t="shared" si="0"/>
        <v>2.9437500000000047E-2</v>
      </c>
      <c r="BQ15" s="3">
        <f t="shared" si="1"/>
        <v>-1.6062499999999993E-2</v>
      </c>
      <c r="BR15" s="3">
        <f t="shared" si="2"/>
        <v>8.5833333333333612E-3</v>
      </c>
      <c r="BS15" s="3">
        <f t="shared" si="3"/>
        <v>1.6166666666666701E-2</v>
      </c>
      <c r="BT15" s="3">
        <f t="shared" si="4"/>
        <v>1.0000000000000217E-3</v>
      </c>
      <c r="BU15" s="3">
        <f t="shared" si="5"/>
        <v>-1.0374999999999988E-2</v>
      </c>
      <c r="BV15" s="3">
        <f t="shared" si="6"/>
        <v>-1.9854166666666662E-2</v>
      </c>
      <c r="BW15" s="3">
        <f t="shared" si="7"/>
        <v>-6.3458333333333367E-2</v>
      </c>
      <c r="BX15" s="3">
        <f t="shared" si="8"/>
        <v>1.0000000000000217E-3</v>
      </c>
      <c r="BY15" s="3">
        <f t="shared" si="9"/>
        <v>-1.6062499999999993E-2</v>
      </c>
      <c r="BZ15" s="3">
        <f t="shared" si="10"/>
        <v>-1.0374999999999988E-2</v>
      </c>
      <c r="CA15" s="3">
        <f t="shared" si="11"/>
        <v>2.3750000000000042E-2</v>
      </c>
      <c r="CB15" s="3">
        <f t="shared" si="12"/>
        <v>-6.5833333333333178E-3</v>
      </c>
      <c r="CC15" s="3">
        <f t="shared" si="13"/>
        <v>8.5833333333333612E-3</v>
      </c>
      <c r="CD15" s="3">
        <f t="shared" si="14"/>
        <v>-1.6062499999999993E-2</v>
      </c>
      <c r="CE15" s="3">
        <f t="shared" si="15"/>
        <v>-2.7916666666666485E-3</v>
      </c>
      <c r="CF15" s="3">
        <f t="shared" si="16"/>
        <v>-1.0374999999999988E-2</v>
      </c>
      <c r="CG15" s="3">
        <f t="shared" si="17"/>
        <v>4.7916666666666915E-3</v>
      </c>
      <c r="CH15" s="3">
        <f t="shared" si="18"/>
        <v>2.8958333333333566E-3</v>
      </c>
      <c r="CI15" s="3">
        <f t="shared" si="19"/>
        <v>-6.9145833333333379E-2</v>
      </c>
      <c r="CJ15" s="3">
        <f t="shared" si="20"/>
        <v>-1.795833333333333E-2</v>
      </c>
      <c r="CK15" s="3">
        <f t="shared" si="21"/>
        <v>1.8062500000000037E-2</v>
      </c>
      <c r="CL15" s="3">
        <f t="shared" si="22"/>
        <v>1.2375000000000032E-2</v>
      </c>
      <c r="CM15" s="3">
        <f t="shared" si="23"/>
        <v>-6.5833333333333178E-3</v>
      </c>
      <c r="CN15" s="3">
        <f t="shared" si="24"/>
        <v>-6.5833333333333178E-3</v>
      </c>
      <c r="CO15" s="3">
        <f t="shared" si="25"/>
        <v>4.7916666666666915E-3</v>
      </c>
      <c r="CP15" s="3">
        <f t="shared" si="26"/>
        <v>4.7916666666666915E-3</v>
      </c>
      <c r="CQ15" s="3">
        <f t="shared" si="27"/>
        <v>2.8958333333333566E-3</v>
      </c>
      <c r="CR15" s="3">
        <f t="shared" si="28"/>
        <v>-2.5541666666666667E-2</v>
      </c>
      <c r="CS15" s="3">
        <f t="shared" si="29"/>
        <v>-1.0374999999999988E-2</v>
      </c>
      <c r="CT15" s="3">
        <f t="shared" si="30"/>
        <v>-1.0374999999999988E-2</v>
      </c>
      <c r="CU15" s="3">
        <f t="shared" si="31"/>
        <v>-4.6395833333333351E-2</v>
      </c>
      <c r="CV15" s="3">
        <f t="shared" si="32"/>
        <v>1.9958333333333373E-2</v>
      </c>
      <c r="CW15" s="3">
        <f t="shared" si="33"/>
        <v>-1.2270833333333323E-2</v>
      </c>
      <c r="CX15" s="3">
        <f t="shared" si="34"/>
        <v>-4.6874999999999833E-3</v>
      </c>
      <c r="CY15" s="3">
        <f t="shared" si="35"/>
        <v>-6.5833333333333178E-3</v>
      </c>
      <c r="CZ15" s="3">
        <f t="shared" si="36"/>
        <v>2.8958333333333566E-3</v>
      </c>
      <c r="DA15" s="3">
        <f t="shared" si="37"/>
        <v>-6.5833333333333178E-3</v>
      </c>
      <c r="DB15" s="3">
        <f t="shared" si="38"/>
        <v>4.7916666666666915E-3</v>
      </c>
      <c r="DC15" s="3">
        <f t="shared" si="39"/>
        <v>8.5833333333333612E-3</v>
      </c>
      <c r="DD15" s="3">
        <f t="shared" si="40"/>
        <v>-2.7916666666666485E-3</v>
      </c>
      <c r="DE15" s="3">
        <f t="shared" si="41"/>
        <v>4.7916666666666915E-3</v>
      </c>
      <c r="DF15" s="3">
        <f t="shared" si="42"/>
        <v>-1.795833333333333E-2</v>
      </c>
      <c r="DG15" s="3">
        <f t="shared" si="43"/>
        <v>-4.2604166666666686E-2</v>
      </c>
      <c r="DH15" s="3">
        <f t="shared" si="44"/>
        <v>1.2375000000000032E-2</v>
      </c>
      <c r="DI15" s="3">
        <f t="shared" si="45"/>
        <v>-6.5833333333333178E-3</v>
      </c>
      <c r="DJ15" s="3">
        <f t="shared" si="46"/>
        <v>-4.6874999999999833E-3</v>
      </c>
      <c r="DK15" s="3">
        <f t="shared" si="47"/>
        <v>-1.0374999999999988E-2</v>
      </c>
      <c r="DL15" s="3">
        <f t="shared" si="48"/>
        <v>1.6166666666666701E-2</v>
      </c>
      <c r="DM15" s="3">
        <f t="shared" si="49"/>
        <v>4.7916666666666915E-3</v>
      </c>
      <c r="DN15" s="3">
        <f t="shared" si="50"/>
        <v>-6.5833333333333178E-3</v>
      </c>
      <c r="DO15" s="3">
        <f t="shared" si="51"/>
        <v>4.7916666666666915E-3</v>
      </c>
      <c r="DP15" s="3">
        <f t="shared" si="52"/>
        <v>-1.9854166666666662E-2</v>
      </c>
      <c r="DQ15" s="3">
        <f t="shared" si="53"/>
        <v>-1.2270833333333323E-2</v>
      </c>
      <c r="DR15" s="3">
        <f t="shared" si="54"/>
        <v>-2.7916666666666485E-3</v>
      </c>
      <c r="DS15" s="3">
        <f t="shared" si="55"/>
        <v>-5.0187500000000024E-2</v>
      </c>
      <c r="DT15" s="3">
        <f t="shared" si="56"/>
        <v>1.9958333333333373E-2</v>
      </c>
      <c r="DU15" s="3">
        <f t="shared" si="57"/>
        <v>-1.2270833333333323E-2</v>
      </c>
      <c r="DV15" s="3">
        <f t="shared" si="58"/>
        <v>2.8958333333333566E-3</v>
      </c>
      <c r="DW15" s="3">
        <f t="shared" si="59"/>
        <v>8.5833333333333612E-3</v>
      </c>
    </row>
    <row r="16" spans="2:127" x14ac:dyDescent="0.45">
      <c r="B16" s="1">
        <v>24</v>
      </c>
      <c r="C16" s="1">
        <v>105</v>
      </c>
      <c r="D16" s="7">
        <f t="shared" si="60"/>
        <v>0.61538461538461542</v>
      </c>
      <c r="E16" s="1">
        <v>0.629</v>
      </c>
      <c r="F16" s="1">
        <v>0.60899999999999999</v>
      </c>
      <c r="G16" s="1">
        <v>0.62</v>
      </c>
      <c r="H16" s="1">
        <v>0.623</v>
      </c>
      <c r="I16" s="1">
        <v>0.61599999999999999</v>
      </c>
      <c r="J16" s="1">
        <v>0.61299999999999999</v>
      </c>
      <c r="K16" s="1">
        <v>0.60799999999999998</v>
      </c>
      <c r="L16" s="1">
        <v>0.58599999999999997</v>
      </c>
      <c r="M16" s="1">
        <v>0.61599999999999999</v>
      </c>
      <c r="N16" s="1">
        <v>0.60799999999999998</v>
      </c>
      <c r="O16" s="1">
        <v>0.61299999999999999</v>
      </c>
      <c r="P16" s="1">
        <v>0.627</v>
      </c>
      <c r="Q16" s="1">
        <v>0.61399999999999999</v>
      </c>
      <c r="R16" s="1">
        <v>0.62</v>
      </c>
      <c r="S16" s="1">
        <v>0.60799999999999998</v>
      </c>
      <c r="T16" s="1">
        <v>0.61599999999999999</v>
      </c>
      <c r="U16" s="1">
        <v>0.61</v>
      </c>
      <c r="V16" s="1">
        <v>0.61899999999999999</v>
      </c>
      <c r="W16" s="1">
        <v>0.61399999999999999</v>
      </c>
      <c r="X16" s="1">
        <v>0.58099999999999996</v>
      </c>
      <c r="Y16" s="1">
        <v>0.60599999999999998</v>
      </c>
      <c r="Z16" s="1">
        <v>0.624</v>
      </c>
      <c r="AA16" s="1">
        <v>0.621</v>
      </c>
      <c r="AB16" s="1">
        <v>0.61199999999999999</v>
      </c>
      <c r="AC16" s="1">
        <v>0.61299999999999999</v>
      </c>
      <c r="AD16" s="1">
        <v>0.61899999999999999</v>
      </c>
      <c r="AE16" s="1">
        <v>0.61899999999999999</v>
      </c>
      <c r="AF16" s="1">
        <v>0.61899999999999999</v>
      </c>
      <c r="AG16" s="1">
        <v>0.60599999999999998</v>
      </c>
      <c r="AH16" s="1">
        <v>0.61</v>
      </c>
      <c r="AI16" s="1">
        <v>0.61199999999999999</v>
      </c>
      <c r="AJ16" s="1">
        <v>0.59299999999999997</v>
      </c>
      <c r="AK16" s="1">
        <v>0.624</v>
      </c>
      <c r="AL16" s="1">
        <v>0.61</v>
      </c>
      <c r="AM16" s="1">
        <v>0.61299999999999999</v>
      </c>
      <c r="AN16" s="1">
        <v>0.61</v>
      </c>
      <c r="AO16" s="1">
        <v>0.61699999999999999</v>
      </c>
      <c r="AP16" s="1">
        <v>0.61199999999999999</v>
      </c>
      <c r="AQ16" s="1">
        <v>0.61899999999999999</v>
      </c>
      <c r="AR16" s="1">
        <v>0.62</v>
      </c>
      <c r="AS16" s="1">
        <v>0.61299999999999999</v>
      </c>
      <c r="AT16" s="1">
        <v>0.61899999999999999</v>
      </c>
      <c r="AU16" s="1">
        <v>0.60899999999999999</v>
      </c>
      <c r="AV16" s="1">
        <v>0.6</v>
      </c>
      <c r="AW16" s="1">
        <v>0.623</v>
      </c>
      <c r="AX16" s="1">
        <v>0.61199999999999999</v>
      </c>
      <c r="AY16" s="1">
        <v>0.61299999999999999</v>
      </c>
      <c r="AZ16" s="1">
        <v>0.61199999999999999</v>
      </c>
      <c r="BA16" s="1">
        <v>0.624</v>
      </c>
      <c r="BB16" s="1">
        <v>0.62</v>
      </c>
      <c r="BC16" s="1">
        <v>0.61299999999999999</v>
      </c>
      <c r="BD16" s="1">
        <v>0.61899999999999999</v>
      </c>
      <c r="BE16" s="1">
        <v>0.60899999999999999</v>
      </c>
      <c r="BF16" s="1">
        <v>0.60899999999999999</v>
      </c>
      <c r="BG16" s="1">
        <v>0.60899999999999999</v>
      </c>
      <c r="BH16" s="1">
        <v>0.59099999999999997</v>
      </c>
      <c r="BI16" s="1">
        <v>0.625</v>
      </c>
      <c r="BJ16" s="1">
        <v>0.60599999999999998</v>
      </c>
      <c r="BK16" s="1">
        <v>0.60899999999999999</v>
      </c>
      <c r="BL16" s="1">
        <v>0.62</v>
      </c>
      <c r="BN16" s="1">
        <v>24</v>
      </c>
      <c r="BO16" s="1">
        <v>105</v>
      </c>
      <c r="BP16" s="3">
        <f t="shared" si="0"/>
        <v>2.212499999999995E-2</v>
      </c>
      <c r="BQ16" s="3">
        <f t="shared" si="1"/>
        <v>-1.0375000000000079E-2</v>
      </c>
      <c r="BR16" s="3">
        <f t="shared" si="2"/>
        <v>7.4999999999999373E-3</v>
      </c>
      <c r="BS16" s="3">
        <f t="shared" si="3"/>
        <v>1.2374999999999942E-2</v>
      </c>
      <c r="BT16" s="3">
        <f t="shared" si="4"/>
        <v>9.999999999999315E-4</v>
      </c>
      <c r="BU16" s="3">
        <f t="shared" si="5"/>
        <v>-3.8750000000000728E-3</v>
      </c>
      <c r="BV16" s="3">
        <f t="shared" si="6"/>
        <v>-1.200000000000008E-2</v>
      </c>
      <c r="BW16" s="3">
        <f t="shared" si="7"/>
        <v>-4.7750000000000112E-2</v>
      </c>
      <c r="BX16" s="3">
        <f t="shared" si="8"/>
        <v>9.999999999999315E-4</v>
      </c>
      <c r="BY16" s="3">
        <f t="shared" si="9"/>
        <v>-1.200000000000008E-2</v>
      </c>
      <c r="BZ16" s="3">
        <f t="shared" si="10"/>
        <v>-3.8750000000000728E-3</v>
      </c>
      <c r="CA16" s="3">
        <f t="shared" si="11"/>
        <v>1.8874999999999947E-2</v>
      </c>
      <c r="CB16" s="3">
        <f t="shared" si="12"/>
        <v>-2.2500000000000714E-3</v>
      </c>
      <c r="CC16" s="3">
        <f t="shared" si="13"/>
        <v>7.4999999999999373E-3</v>
      </c>
      <c r="CD16" s="3">
        <f t="shared" si="14"/>
        <v>-1.200000000000008E-2</v>
      </c>
      <c r="CE16" s="3">
        <f t="shared" si="15"/>
        <v>9.999999999999315E-4</v>
      </c>
      <c r="CF16" s="3">
        <f t="shared" si="16"/>
        <v>-8.7500000000000772E-3</v>
      </c>
      <c r="CG16" s="3">
        <f t="shared" si="17"/>
        <v>5.8749999999999358E-3</v>
      </c>
      <c r="CH16" s="3">
        <f t="shared" si="18"/>
        <v>-2.2500000000000714E-3</v>
      </c>
      <c r="CI16" s="3">
        <f t="shared" si="19"/>
        <v>-5.5875000000000119E-2</v>
      </c>
      <c r="CJ16" s="3">
        <f t="shared" si="20"/>
        <v>-1.5250000000000083E-2</v>
      </c>
      <c r="CK16" s="3">
        <f t="shared" si="21"/>
        <v>1.3999999999999943E-2</v>
      </c>
      <c r="CL16" s="3">
        <f t="shared" si="22"/>
        <v>9.1249999999999387E-3</v>
      </c>
      <c r="CM16" s="3">
        <f t="shared" si="23"/>
        <v>-5.5000000000000743E-3</v>
      </c>
      <c r="CN16" s="3">
        <f t="shared" si="24"/>
        <v>-3.8750000000000728E-3</v>
      </c>
      <c r="CO16" s="3">
        <f t="shared" si="25"/>
        <v>5.8749999999999358E-3</v>
      </c>
      <c r="CP16" s="3">
        <f t="shared" si="26"/>
        <v>5.8749999999999358E-3</v>
      </c>
      <c r="CQ16" s="3">
        <f t="shared" si="27"/>
        <v>5.8749999999999358E-3</v>
      </c>
      <c r="CR16" s="3">
        <f t="shared" si="28"/>
        <v>-1.5250000000000083E-2</v>
      </c>
      <c r="CS16" s="3">
        <f t="shared" si="29"/>
        <v>-8.7500000000000772E-3</v>
      </c>
      <c r="CT16" s="3">
        <f t="shared" si="30"/>
        <v>-5.5000000000000743E-3</v>
      </c>
      <c r="CU16" s="3">
        <f t="shared" si="31"/>
        <v>-3.6375000000000102E-2</v>
      </c>
      <c r="CV16" s="3">
        <f t="shared" si="32"/>
        <v>1.3999999999999943E-2</v>
      </c>
      <c r="CW16" s="3">
        <f t="shared" si="33"/>
        <v>-8.7500000000000772E-3</v>
      </c>
      <c r="CX16" s="3">
        <f t="shared" si="34"/>
        <v>-3.8750000000000728E-3</v>
      </c>
      <c r="CY16" s="3">
        <f t="shared" si="35"/>
        <v>-8.7500000000000772E-3</v>
      </c>
      <c r="CZ16" s="3">
        <f t="shared" si="36"/>
        <v>2.6249999999999329E-3</v>
      </c>
      <c r="DA16" s="3">
        <f t="shared" si="37"/>
        <v>-5.5000000000000743E-3</v>
      </c>
      <c r="DB16" s="3">
        <f t="shared" si="38"/>
        <v>5.8749999999999358E-3</v>
      </c>
      <c r="DC16" s="3">
        <f t="shared" si="39"/>
        <v>7.4999999999999373E-3</v>
      </c>
      <c r="DD16" s="3">
        <f t="shared" si="40"/>
        <v>-3.8750000000000728E-3</v>
      </c>
      <c r="DE16" s="3">
        <f t="shared" si="41"/>
        <v>5.8749999999999358E-3</v>
      </c>
      <c r="DF16" s="3">
        <f t="shared" si="42"/>
        <v>-1.0375000000000079E-2</v>
      </c>
      <c r="DG16" s="3">
        <f t="shared" si="43"/>
        <v>-2.5000000000000092E-2</v>
      </c>
      <c r="DH16" s="3">
        <f t="shared" si="44"/>
        <v>1.2374999999999942E-2</v>
      </c>
      <c r="DI16" s="3">
        <f t="shared" si="45"/>
        <v>-5.5000000000000743E-3</v>
      </c>
      <c r="DJ16" s="3">
        <f t="shared" si="46"/>
        <v>-3.8750000000000728E-3</v>
      </c>
      <c r="DK16" s="3">
        <f t="shared" si="47"/>
        <v>-5.5000000000000743E-3</v>
      </c>
      <c r="DL16" s="3">
        <f t="shared" si="48"/>
        <v>1.3999999999999943E-2</v>
      </c>
      <c r="DM16" s="3">
        <f t="shared" si="49"/>
        <v>7.4999999999999373E-3</v>
      </c>
      <c r="DN16" s="3">
        <f t="shared" si="50"/>
        <v>-3.8750000000000728E-3</v>
      </c>
      <c r="DO16" s="3">
        <f t="shared" si="51"/>
        <v>5.8749999999999358E-3</v>
      </c>
      <c r="DP16" s="3">
        <f t="shared" si="52"/>
        <v>-1.0375000000000079E-2</v>
      </c>
      <c r="DQ16" s="3">
        <f t="shared" si="53"/>
        <v>-1.0375000000000079E-2</v>
      </c>
      <c r="DR16" s="3">
        <f t="shared" si="54"/>
        <v>-1.0375000000000079E-2</v>
      </c>
      <c r="DS16" s="3">
        <f t="shared" si="55"/>
        <v>-3.9625000000000105E-2</v>
      </c>
      <c r="DT16" s="3">
        <f t="shared" si="56"/>
        <v>1.5624999999999944E-2</v>
      </c>
      <c r="DU16" s="3">
        <f t="shared" si="57"/>
        <v>-1.5250000000000083E-2</v>
      </c>
      <c r="DV16" s="3">
        <f t="shared" si="58"/>
        <v>-1.0375000000000079E-2</v>
      </c>
      <c r="DW16" s="3">
        <f t="shared" si="59"/>
        <v>7.4999999999999373E-3</v>
      </c>
    </row>
    <row r="17" spans="2:127" x14ac:dyDescent="0.45">
      <c r="B17" s="1">
        <v>24</v>
      </c>
      <c r="C17" s="1">
        <v>120</v>
      </c>
      <c r="D17" s="7">
        <f t="shared" si="60"/>
        <v>0.70329670329670335</v>
      </c>
      <c r="E17" s="1">
        <v>0.71599999999999997</v>
      </c>
      <c r="F17" s="1">
        <v>0.69699999999999995</v>
      </c>
      <c r="G17" s="1">
        <v>0.70799999999999996</v>
      </c>
      <c r="H17" s="1">
        <v>0.70899999999999996</v>
      </c>
      <c r="I17" s="1">
        <v>0.70399999999999996</v>
      </c>
      <c r="J17" s="1">
        <v>0.70099999999999996</v>
      </c>
      <c r="K17" s="1">
        <v>0.69699999999999995</v>
      </c>
      <c r="L17" s="1">
        <v>0.67700000000000005</v>
      </c>
      <c r="M17" s="1">
        <v>0.70299999999999996</v>
      </c>
      <c r="N17" s="1">
        <v>0.69599999999999995</v>
      </c>
      <c r="O17" s="1">
        <v>0.70299999999999996</v>
      </c>
      <c r="P17" s="1">
        <v>0.71199999999999997</v>
      </c>
      <c r="Q17" s="1">
        <v>0.70099999999999996</v>
      </c>
      <c r="R17" s="1">
        <v>0.70699999999999996</v>
      </c>
      <c r="S17" s="1">
        <v>0.69399999999999995</v>
      </c>
      <c r="T17" s="1">
        <v>0.70299999999999996</v>
      </c>
      <c r="U17" s="1">
        <v>0.69599999999999995</v>
      </c>
      <c r="V17" s="1">
        <v>0.70699999999999996</v>
      </c>
      <c r="W17" s="1">
        <v>0.70099999999999996</v>
      </c>
      <c r="X17" s="1">
        <v>0.67</v>
      </c>
      <c r="Y17" s="1">
        <v>0.69399999999999995</v>
      </c>
      <c r="Z17" s="1">
        <v>0.71099999999999997</v>
      </c>
      <c r="AA17" s="1">
        <v>0.70699999999999996</v>
      </c>
      <c r="AB17" s="1">
        <v>0.70099999999999996</v>
      </c>
      <c r="AC17" s="1">
        <v>0.70299999999999996</v>
      </c>
      <c r="AD17" s="1">
        <v>0.70699999999999996</v>
      </c>
      <c r="AE17" s="1">
        <v>0.70699999999999996</v>
      </c>
      <c r="AF17" s="1">
        <v>0.70799999999999996</v>
      </c>
      <c r="AG17" s="1">
        <v>0.69699999999999995</v>
      </c>
      <c r="AH17" s="1">
        <v>0.69899999999999995</v>
      </c>
      <c r="AI17" s="1">
        <v>0.7</v>
      </c>
      <c r="AJ17" s="1">
        <v>0.68500000000000005</v>
      </c>
      <c r="AK17" s="1">
        <v>0.70899999999999996</v>
      </c>
      <c r="AL17" s="1">
        <v>0.7</v>
      </c>
      <c r="AM17" s="1">
        <v>0.70099999999999996</v>
      </c>
      <c r="AN17" s="1">
        <v>0.69899999999999995</v>
      </c>
      <c r="AO17" s="1">
        <v>0.70499999999999996</v>
      </c>
      <c r="AP17" s="1">
        <v>0.7</v>
      </c>
      <c r="AQ17" s="1">
        <v>0.70699999999999996</v>
      </c>
      <c r="AR17" s="1">
        <v>0.70799999999999996</v>
      </c>
      <c r="AS17" s="1">
        <v>0.7</v>
      </c>
      <c r="AT17" s="1">
        <v>0.70699999999999996</v>
      </c>
      <c r="AU17" s="1">
        <v>0.69699999999999995</v>
      </c>
      <c r="AV17" s="1">
        <v>0.68799999999999994</v>
      </c>
      <c r="AW17" s="1">
        <v>0.70899999999999996</v>
      </c>
      <c r="AX17" s="1">
        <v>0.7</v>
      </c>
      <c r="AY17" s="1">
        <v>0.7</v>
      </c>
      <c r="AZ17" s="1">
        <v>0.7</v>
      </c>
      <c r="BA17" s="1">
        <v>0.71099999999999997</v>
      </c>
      <c r="BB17" s="1">
        <v>0.70699999999999996</v>
      </c>
      <c r="BC17" s="1">
        <v>0.7</v>
      </c>
      <c r="BD17" s="1">
        <v>0.70399999999999996</v>
      </c>
      <c r="BE17" s="1">
        <v>0.69699999999999995</v>
      </c>
      <c r="BF17" s="1">
        <v>0.69599999999999995</v>
      </c>
      <c r="BG17" s="1">
        <v>0.69399999999999995</v>
      </c>
      <c r="BH17" s="1">
        <v>0.68400000000000005</v>
      </c>
      <c r="BI17" s="1">
        <v>0.71199999999999997</v>
      </c>
      <c r="BJ17" s="1">
        <v>0.69399999999999995</v>
      </c>
      <c r="BK17" s="1">
        <v>0.69699999999999995</v>
      </c>
      <c r="BL17" s="1">
        <v>0.70799999999999996</v>
      </c>
      <c r="BN17" s="1">
        <v>24</v>
      </c>
      <c r="BO17" s="1">
        <v>120</v>
      </c>
      <c r="BP17" s="3">
        <f t="shared" si="0"/>
        <v>1.8062499999999877E-2</v>
      </c>
      <c r="BQ17" s="3">
        <f t="shared" si="1"/>
        <v>-8.953125000000145E-3</v>
      </c>
      <c r="BR17" s="3">
        <f t="shared" si="2"/>
        <v>6.687499999999868E-3</v>
      </c>
      <c r="BS17" s="3">
        <f t="shared" si="3"/>
        <v>8.1093749999998702E-3</v>
      </c>
      <c r="BT17" s="3">
        <f t="shared" si="4"/>
        <v>9.9999999999986385E-4</v>
      </c>
      <c r="BU17" s="3">
        <f t="shared" si="5"/>
        <v>-3.2656250000001395E-3</v>
      </c>
      <c r="BV17" s="3">
        <f t="shared" si="6"/>
        <v>-8.953125000000145E-3</v>
      </c>
      <c r="BW17" s="3">
        <f t="shared" si="7"/>
        <v>-3.7390625000000011E-2</v>
      </c>
      <c r="BX17" s="3">
        <f t="shared" si="8"/>
        <v>-4.2187500000013736E-4</v>
      </c>
      <c r="BY17" s="3">
        <f t="shared" si="9"/>
        <v>-1.0375000000000146E-2</v>
      </c>
      <c r="BZ17" s="3">
        <f t="shared" si="10"/>
        <v>-4.2187500000013736E-4</v>
      </c>
      <c r="CA17" s="3">
        <f t="shared" si="11"/>
        <v>1.2374999999999872E-2</v>
      </c>
      <c r="CB17" s="3">
        <f t="shared" si="12"/>
        <v>-3.2656250000001395E-3</v>
      </c>
      <c r="CC17" s="3">
        <f t="shared" si="13"/>
        <v>5.2656249999998676E-3</v>
      </c>
      <c r="CD17" s="3">
        <f t="shared" si="14"/>
        <v>-1.3218750000000147E-2</v>
      </c>
      <c r="CE17" s="3">
        <f t="shared" si="15"/>
        <v>-4.2187500000013736E-4</v>
      </c>
      <c r="CF17" s="3">
        <f t="shared" si="16"/>
        <v>-1.0375000000000146E-2</v>
      </c>
      <c r="CG17" s="3">
        <f t="shared" si="17"/>
        <v>5.2656249999998676E-3</v>
      </c>
      <c r="CH17" s="3">
        <f t="shared" si="18"/>
        <v>-3.2656250000001395E-3</v>
      </c>
      <c r="CI17" s="3">
        <f t="shared" si="19"/>
        <v>-4.7343750000000018E-2</v>
      </c>
      <c r="CJ17" s="3">
        <f t="shared" si="20"/>
        <v>-1.3218750000000147E-2</v>
      </c>
      <c r="CK17" s="3">
        <f t="shared" si="21"/>
        <v>1.0953124999999873E-2</v>
      </c>
      <c r="CL17" s="3">
        <f t="shared" si="22"/>
        <v>5.2656249999998676E-3</v>
      </c>
      <c r="CM17" s="3">
        <f t="shared" si="23"/>
        <v>-3.2656250000001395E-3</v>
      </c>
      <c r="CN17" s="3">
        <f t="shared" si="24"/>
        <v>-4.2187500000013736E-4</v>
      </c>
      <c r="CO17" s="3">
        <f t="shared" si="25"/>
        <v>5.2656249999998676E-3</v>
      </c>
      <c r="CP17" s="3">
        <f t="shared" si="26"/>
        <v>5.2656249999998676E-3</v>
      </c>
      <c r="CQ17" s="3">
        <f t="shared" si="27"/>
        <v>6.687499999999868E-3</v>
      </c>
      <c r="CR17" s="3">
        <f t="shared" si="28"/>
        <v>-8.953125000000145E-3</v>
      </c>
      <c r="CS17" s="3">
        <f t="shared" si="29"/>
        <v>-6.1093750000001416E-3</v>
      </c>
      <c r="CT17" s="3">
        <f t="shared" si="30"/>
        <v>-4.6875000000001412E-3</v>
      </c>
      <c r="CU17" s="3">
        <f t="shared" si="31"/>
        <v>-2.6015625000000001E-2</v>
      </c>
      <c r="CV17" s="3">
        <f t="shared" si="32"/>
        <v>8.1093749999998702E-3</v>
      </c>
      <c r="CW17" s="3">
        <f t="shared" si="33"/>
        <v>-4.6875000000001412E-3</v>
      </c>
      <c r="CX17" s="3">
        <f t="shared" si="34"/>
        <v>-3.2656250000001395E-3</v>
      </c>
      <c r="CY17" s="3">
        <f t="shared" si="35"/>
        <v>-6.1093750000001416E-3</v>
      </c>
      <c r="CZ17" s="3">
        <f t="shared" si="36"/>
        <v>2.4218749999998651E-3</v>
      </c>
      <c r="DA17" s="3">
        <f t="shared" si="37"/>
        <v>-4.6875000000001412E-3</v>
      </c>
      <c r="DB17" s="3">
        <f t="shared" si="38"/>
        <v>5.2656249999998676E-3</v>
      </c>
      <c r="DC17" s="3">
        <f t="shared" si="39"/>
        <v>6.687499999999868E-3</v>
      </c>
      <c r="DD17" s="3">
        <f t="shared" si="40"/>
        <v>-4.6875000000001412E-3</v>
      </c>
      <c r="DE17" s="3">
        <f t="shared" si="41"/>
        <v>5.2656249999998676E-3</v>
      </c>
      <c r="DF17" s="3">
        <f t="shared" si="42"/>
        <v>-8.953125000000145E-3</v>
      </c>
      <c r="DG17" s="3">
        <f t="shared" si="43"/>
        <v>-2.1750000000000155E-2</v>
      </c>
      <c r="DH17" s="3">
        <f t="shared" si="44"/>
        <v>8.1093749999998702E-3</v>
      </c>
      <c r="DI17" s="3">
        <f t="shared" si="45"/>
        <v>-4.6875000000001412E-3</v>
      </c>
      <c r="DJ17" s="3">
        <f t="shared" si="46"/>
        <v>-4.6875000000001412E-3</v>
      </c>
      <c r="DK17" s="3">
        <f t="shared" si="47"/>
        <v>-4.6875000000001412E-3</v>
      </c>
      <c r="DL17" s="3">
        <f t="shared" si="48"/>
        <v>1.0953124999999873E-2</v>
      </c>
      <c r="DM17" s="3">
        <f t="shared" si="49"/>
        <v>5.2656249999998676E-3</v>
      </c>
      <c r="DN17" s="3">
        <f t="shared" si="50"/>
        <v>-4.6875000000001412E-3</v>
      </c>
      <c r="DO17" s="3">
        <f t="shared" si="51"/>
        <v>9.9999999999986385E-4</v>
      </c>
      <c r="DP17" s="3">
        <f t="shared" si="52"/>
        <v>-8.953125000000145E-3</v>
      </c>
      <c r="DQ17" s="3">
        <f t="shared" si="53"/>
        <v>-1.0375000000000146E-2</v>
      </c>
      <c r="DR17" s="3">
        <f t="shared" si="54"/>
        <v>-1.3218750000000147E-2</v>
      </c>
      <c r="DS17" s="3">
        <f t="shared" si="55"/>
        <v>-2.74375E-2</v>
      </c>
      <c r="DT17" s="3">
        <f t="shared" si="56"/>
        <v>1.2374999999999872E-2</v>
      </c>
      <c r="DU17" s="3">
        <f t="shared" si="57"/>
        <v>-1.3218750000000147E-2</v>
      </c>
      <c r="DV17" s="3">
        <f t="shared" si="58"/>
        <v>-8.953125000000145E-3</v>
      </c>
      <c r="DW17" s="3">
        <f t="shared" si="59"/>
        <v>6.687499999999868E-3</v>
      </c>
    </row>
    <row r="18" spans="2:127" x14ac:dyDescent="0.45">
      <c r="B18" s="1">
        <v>24</v>
      </c>
      <c r="C18" s="1">
        <v>135</v>
      </c>
      <c r="D18" s="7">
        <f t="shared" si="60"/>
        <v>0.79120879120879117</v>
      </c>
      <c r="E18" s="1">
        <v>0.80300000000000005</v>
      </c>
      <c r="F18" s="1">
        <v>0.78500000000000003</v>
      </c>
      <c r="G18" s="1">
        <v>0.79600000000000004</v>
      </c>
      <c r="H18" s="1">
        <v>0.79600000000000004</v>
      </c>
      <c r="I18" s="1">
        <v>0.79200000000000004</v>
      </c>
      <c r="J18" s="1">
        <v>0.78900000000000003</v>
      </c>
      <c r="K18" s="1">
        <v>0.78700000000000003</v>
      </c>
      <c r="L18" s="1">
        <v>0.76800000000000002</v>
      </c>
      <c r="M18" s="1">
        <v>0.78800000000000003</v>
      </c>
      <c r="N18" s="1">
        <v>0.78500000000000003</v>
      </c>
      <c r="O18" s="1">
        <v>0.79200000000000004</v>
      </c>
      <c r="P18" s="1">
        <v>0.79800000000000004</v>
      </c>
      <c r="Q18" s="1">
        <v>0.78800000000000003</v>
      </c>
      <c r="R18" s="1">
        <v>0.79300000000000004</v>
      </c>
      <c r="S18" s="1">
        <v>0.78100000000000003</v>
      </c>
      <c r="T18" s="1">
        <v>0.79100000000000004</v>
      </c>
      <c r="U18" s="1">
        <v>0.78400000000000003</v>
      </c>
      <c r="V18" s="1">
        <v>0.79300000000000004</v>
      </c>
      <c r="W18" s="1">
        <v>0.79100000000000004</v>
      </c>
      <c r="X18" s="1">
        <v>0.76200000000000001</v>
      </c>
      <c r="Y18" s="1">
        <v>0.78300000000000003</v>
      </c>
      <c r="Z18" s="1">
        <v>0.79600000000000004</v>
      </c>
      <c r="AA18" s="1">
        <v>0.79300000000000004</v>
      </c>
      <c r="AB18" s="1">
        <v>0.78900000000000003</v>
      </c>
      <c r="AC18" s="1">
        <v>0.79200000000000004</v>
      </c>
      <c r="AD18" s="1">
        <v>0.79300000000000004</v>
      </c>
      <c r="AE18" s="1">
        <v>0.79500000000000004</v>
      </c>
      <c r="AF18" s="1">
        <v>0.79600000000000004</v>
      </c>
      <c r="AG18" s="1">
        <v>0.78500000000000003</v>
      </c>
      <c r="AH18" s="1">
        <v>0.78700000000000003</v>
      </c>
      <c r="AI18" s="1">
        <v>0.78900000000000003</v>
      </c>
      <c r="AJ18" s="1">
        <v>0.77600000000000002</v>
      </c>
      <c r="AK18" s="1">
        <v>0.79800000000000004</v>
      </c>
      <c r="AL18" s="1">
        <v>0.78900000000000003</v>
      </c>
      <c r="AM18" s="1">
        <v>0.78800000000000003</v>
      </c>
      <c r="AN18" s="1">
        <v>0.78400000000000003</v>
      </c>
      <c r="AO18" s="1">
        <v>0.79200000000000004</v>
      </c>
      <c r="AP18" s="1">
        <v>0.78900000000000003</v>
      </c>
      <c r="AQ18" s="1">
        <v>0.79500000000000004</v>
      </c>
      <c r="AR18" s="1">
        <v>0.79600000000000004</v>
      </c>
      <c r="AS18" s="1">
        <v>0.78700000000000003</v>
      </c>
      <c r="AT18" s="1">
        <v>0.79500000000000004</v>
      </c>
      <c r="AU18" s="1">
        <v>0.78500000000000003</v>
      </c>
      <c r="AV18" s="1">
        <v>0.77600000000000002</v>
      </c>
      <c r="AW18" s="1">
        <v>0.79800000000000004</v>
      </c>
      <c r="AX18" s="1">
        <v>0.78700000000000003</v>
      </c>
      <c r="AY18" s="1">
        <v>0.78800000000000003</v>
      </c>
      <c r="AZ18" s="1">
        <v>0.78800000000000003</v>
      </c>
      <c r="BA18" s="1">
        <v>0.79800000000000004</v>
      </c>
      <c r="BB18" s="1">
        <v>0.79300000000000004</v>
      </c>
      <c r="BC18" s="1">
        <v>0.78900000000000003</v>
      </c>
      <c r="BD18" s="1">
        <v>0.79100000000000004</v>
      </c>
      <c r="BE18" s="1">
        <v>0.78700000000000003</v>
      </c>
      <c r="BF18" s="1">
        <v>0.78500000000000003</v>
      </c>
      <c r="BG18" s="1">
        <v>0.78500000000000003</v>
      </c>
      <c r="BH18" s="1">
        <v>0.77200000000000002</v>
      </c>
      <c r="BI18" s="1">
        <v>0.79900000000000004</v>
      </c>
      <c r="BJ18" s="1">
        <v>0.78400000000000003</v>
      </c>
      <c r="BK18" s="1">
        <v>0.78300000000000003</v>
      </c>
      <c r="BL18" s="1">
        <v>0.79500000000000004</v>
      </c>
      <c r="BN18" s="1">
        <v>24</v>
      </c>
      <c r="BO18" s="1">
        <v>135</v>
      </c>
      <c r="BP18" s="3">
        <f t="shared" si="0"/>
        <v>1.4902777777777883E-2</v>
      </c>
      <c r="BQ18" s="3">
        <f t="shared" si="1"/>
        <v>-7.8472222222221392E-3</v>
      </c>
      <c r="BR18" s="3">
        <f t="shared" si="2"/>
        <v>6.0555555555556525E-3</v>
      </c>
      <c r="BS18" s="3">
        <f t="shared" si="3"/>
        <v>6.0555555555556525E-3</v>
      </c>
      <c r="BT18" s="3">
        <f t="shared" si="4"/>
        <v>1.000000000000092E-3</v>
      </c>
      <c r="BU18" s="3">
        <f t="shared" si="5"/>
        <v>-2.7916666666665782E-3</v>
      </c>
      <c r="BV18" s="3">
        <f t="shared" si="6"/>
        <v>-5.3194444444443585E-3</v>
      </c>
      <c r="BW18" s="3">
        <f t="shared" si="7"/>
        <v>-2.933333333333327E-2</v>
      </c>
      <c r="BX18" s="3">
        <f t="shared" si="8"/>
        <v>-4.0555555555554686E-3</v>
      </c>
      <c r="BY18" s="3">
        <f t="shared" si="9"/>
        <v>-7.8472222222221392E-3</v>
      </c>
      <c r="BZ18" s="3">
        <f t="shared" si="10"/>
        <v>1.000000000000092E-3</v>
      </c>
      <c r="CA18" s="3">
        <f t="shared" si="11"/>
        <v>8.5833333333334323E-3</v>
      </c>
      <c r="CB18" s="3">
        <f t="shared" si="12"/>
        <v>-4.0555555555554686E-3</v>
      </c>
      <c r="CC18" s="3">
        <f t="shared" si="13"/>
        <v>2.2638888888889819E-3</v>
      </c>
      <c r="CD18" s="3">
        <f t="shared" si="14"/>
        <v>-1.2902777777777699E-2</v>
      </c>
      <c r="CE18" s="3">
        <f t="shared" si="15"/>
        <v>-2.6388888888879817E-4</v>
      </c>
      <c r="CF18" s="3">
        <f t="shared" si="16"/>
        <v>-9.1111111111110282E-3</v>
      </c>
      <c r="CG18" s="3">
        <f t="shared" si="17"/>
        <v>2.2638888888889819E-3</v>
      </c>
      <c r="CH18" s="3">
        <f t="shared" si="18"/>
        <v>-2.6388888888879817E-4</v>
      </c>
      <c r="CI18" s="3">
        <f t="shared" si="19"/>
        <v>-3.6916666666666612E-2</v>
      </c>
      <c r="CJ18" s="3">
        <f t="shared" si="20"/>
        <v>-1.0374999999999919E-2</v>
      </c>
      <c r="CK18" s="3">
        <f t="shared" si="21"/>
        <v>6.0555555555556525E-3</v>
      </c>
      <c r="CL18" s="3">
        <f t="shared" si="22"/>
        <v>2.2638888888889819E-3</v>
      </c>
      <c r="CM18" s="3">
        <f t="shared" si="23"/>
        <v>-2.7916666666665782E-3</v>
      </c>
      <c r="CN18" s="3">
        <f t="shared" si="24"/>
        <v>1.000000000000092E-3</v>
      </c>
      <c r="CO18" s="3">
        <f t="shared" si="25"/>
        <v>2.2638888888889819E-3</v>
      </c>
      <c r="CP18" s="3">
        <f t="shared" si="26"/>
        <v>4.7916666666667617E-3</v>
      </c>
      <c r="CQ18" s="3">
        <f t="shared" si="27"/>
        <v>6.0555555555556525E-3</v>
      </c>
      <c r="CR18" s="3">
        <f t="shared" si="28"/>
        <v>-7.8472222222221392E-3</v>
      </c>
      <c r="CS18" s="3">
        <f t="shared" si="29"/>
        <v>-5.3194444444443585E-3</v>
      </c>
      <c r="CT18" s="3">
        <f t="shared" si="30"/>
        <v>-2.7916666666665782E-3</v>
      </c>
      <c r="CU18" s="3">
        <f t="shared" si="31"/>
        <v>-1.9222222222222148E-2</v>
      </c>
      <c r="CV18" s="3">
        <f t="shared" si="32"/>
        <v>8.5833333333334323E-3</v>
      </c>
      <c r="CW18" s="3">
        <f t="shared" si="33"/>
        <v>-2.7916666666665782E-3</v>
      </c>
      <c r="CX18" s="3">
        <f t="shared" si="34"/>
        <v>-4.0555555555554686E-3</v>
      </c>
      <c r="CY18" s="3">
        <f t="shared" si="35"/>
        <v>-9.1111111111110282E-3</v>
      </c>
      <c r="CZ18" s="3">
        <f t="shared" si="36"/>
        <v>1.000000000000092E-3</v>
      </c>
      <c r="DA18" s="3">
        <f t="shared" si="37"/>
        <v>-2.7916666666665782E-3</v>
      </c>
      <c r="DB18" s="3">
        <f t="shared" si="38"/>
        <v>4.7916666666667617E-3</v>
      </c>
      <c r="DC18" s="3">
        <f t="shared" si="39"/>
        <v>6.0555555555556525E-3</v>
      </c>
      <c r="DD18" s="3">
        <f t="shared" si="40"/>
        <v>-5.3194444444443585E-3</v>
      </c>
      <c r="DE18" s="3">
        <f t="shared" si="41"/>
        <v>4.7916666666667617E-3</v>
      </c>
      <c r="DF18" s="3">
        <f t="shared" si="42"/>
        <v>-7.8472222222221392E-3</v>
      </c>
      <c r="DG18" s="3">
        <f t="shared" si="43"/>
        <v>-1.9222222222222148E-2</v>
      </c>
      <c r="DH18" s="3">
        <f t="shared" si="44"/>
        <v>8.5833333333334323E-3</v>
      </c>
      <c r="DI18" s="3">
        <f t="shared" si="45"/>
        <v>-5.3194444444443585E-3</v>
      </c>
      <c r="DJ18" s="3">
        <f t="shared" si="46"/>
        <v>-4.0555555555554686E-3</v>
      </c>
      <c r="DK18" s="3">
        <f t="shared" si="47"/>
        <v>-4.0555555555554686E-3</v>
      </c>
      <c r="DL18" s="3">
        <f t="shared" si="48"/>
        <v>8.5833333333334323E-3</v>
      </c>
      <c r="DM18" s="3">
        <f t="shared" si="49"/>
        <v>2.2638888888889819E-3</v>
      </c>
      <c r="DN18" s="3">
        <f t="shared" si="50"/>
        <v>-2.7916666666665782E-3</v>
      </c>
      <c r="DO18" s="3">
        <f t="shared" si="51"/>
        <v>-2.6388888888879817E-4</v>
      </c>
      <c r="DP18" s="3">
        <f t="shared" si="52"/>
        <v>-5.3194444444443585E-3</v>
      </c>
      <c r="DQ18" s="3">
        <f t="shared" si="53"/>
        <v>-7.8472222222221392E-3</v>
      </c>
      <c r="DR18" s="3">
        <f t="shared" si="54"/>
        <v>-7.8472222222221392E-3</v>
      </c>
      <c r="DS18" s="3">
        <f t="shared" si="55"/>
        <v>-2.4277777777777711E-2</v>
      </c>
      <c r="DT18" s="3">
        <f t="shared" si="56"/>
        <v>9.8472222222223231E-3</v>
      </c>
      <c r="DU18" s="3">
        <f t="shared" si="57"/>
        <v>-9.1111111111110282E-3</v>
      </c>
      <c r="DV18" s="3">
        <f t="shared" si="58"/>
        <v>-1.0374999999999919E-2</v>
      </c>
      <c r="DW18" s="3">
        <f t="shared" si="59"/>
        <v>4.7916666666667617E-3</v>
      </c>
    </row>
    <row r="19" spans="2:127" x14ac:dyDescent="0.45">
      <c r="B19" s="1">
        <v>24</v>
      </c>
      <c r="C19" s="1">
        <v>150</v>
      </c>
      <c r="D19" s="7">
        <f t="shared" si="60"/>
        <v>0.87912087912087911</v>
      </c>
      <c r="E19" s="1">
        <v>0.88800000000000001</v>
      </c>
      <c r="F19" s="1">
        <v>0.875</v>
      </c>
      <c r="G19" s="1">
        <v>0.88300000000000001</v>
      </c>
      <c r="H19" s="1">
        <v>0.88200000000000001</v>
      </c>
      <c r="I19" s="1">
        <v>0.88</v>
      </c>
      <c r="J19" s="1">
        <v>0.879</v>
      </c>
      <c r="K19" s="1">
        <v>0.876</v>
      </c>
      <c r="L19" s="1">
        <v>0.85699999999999998</v>
      </c>
      <c r="M19" s="1">
        <v>0.876</v>
      </c>
      <c r="N19" s="1">
        <v>0.86899999999999999</v>
      </c>
      <c r="O19" s="1">
        <v>0.88</v>
      </c>
      <c r="P19" s="1">
        <v>0.88300000000000001</v>
      </c>
      <c r="Q19" s="1">
        <v>0.875</v>
      </c>
      <c r="R19" s="1">
        <v>0.88300000000000001</v>
      </c>
      <c r="S19" s="1">
        <v>0.86899999999999999</v>
      </c>
      <c r="T19" s="1">
        <v>0.88</v>
      </c>
      <c r="U19" s="1">
        <v>0.875</v>
      </c>
      <c r="V19" s="1">
        <v>0.879</v>
      </c>
      <c r="W19" s="1">
        <v>0.879</v>
      </c>
      <c r="X19" s="1">
        <v>0.85899999999999999</v>
      </c>
      <c r="Y19" s="1">
        <v>0.872</v>
      </c>
      <c r="Z19" s="1">
        <v>0.88300000000000001</v>
      </c>
      <c r="AA19" s="1">
        <v>0.88300000000000001</v>
      </c>
      <c r="AB19" s="1">
        <v>0.878</v>
      </c>
      <c r="AC19" s="1">
        <v>0.88200000000000001</v>
      </c>
      <c r="AD19" s="1">
        <v>0.88200000000000001</v>
      </c>
      <c r="AE19" s="1">
        <v>0.88300000000000001</v>
      </c>
      <c r="AF19" s="1">
        <v>0.88600000000000001</v>
      </c>
      <c r="AG19" s="1">
        <v>0.875</v>
      </c>
      <c r="AH19" s="1">
        <v>0.874</v>
      </c>
      <c r="AI19" s="1">
        <v>0.878</v>
      </c>
      <c r="AJ19" s="1">
        <v>0.86499999999999999</v>
      </c>
      <c r="AK19" s="1">
        <v>0.88600000000000001</v>
      </c>
      <c r="AL19" s="1">
        <v>0.878</v>
      </c>
      <c r="AM19" s="1">
        <v>0.878</v>
      </c>
      <c r="AN19" s="1">
        <v>0.86899999999999999</v>
      </c>
      <c r="AO19" s="1">
        <v>0.879</v>
      </c>
      <c r="AP19" s="1">
        <v>0.876</v>
      </c>
      <c r="AQ19" s="1">
        <v>0.88200000000000001</v>
      </c>
      <c r="AR19" s="1">
        <v>0.88300000000000001</v>
      </c>
      <c r="AS19" s="1">
        <v>0.876</v>
      </c>
      <c r="AT19" s="1">
        <v>0.88300000000000001</v>
      </c>
      <c r="AU19" s="1">
        <v>0.874</v>
      </c>
      <c r="AV19" s="1">
        <v>0.86699999999999999</v>
      </c>
      <c r="AW19" s="1">
        <v>0.88300000000000001</v>
      </c>
      <c r="AX19" s="1">
        <v>0.875</v>
      </c>
      <c r="AY19" s="1">
        <v>0.878</v>
      </c>
      <c r="AZ19" s="1">
        <v>0.876</v>
      </c>
      <c r="BA19" s="1">
        <v>0.88600000000000001</v>
      </c>
      <c r="BB19" s="1">
        <v>0.879</v>
      </c>
      <c r="BC19" s="1">
        <v>0.879</v>
      </c>
      <c r="BD19" s="1">
        <v>0.88</v>
      </c>
      <c r="BE19" s="1">
        <v>0.876</v>
      </c>
      <c r="BF19" s="1">
        <v>0.875</v>
      </c>
      <c r="BG19" s="1">
        <v>0.876</v>
      </c>
      <c r="BH19" s="1">
        <v>0.86299999999999999</v>
      </c>
      <c r="BI19" s="1">
        <v>0.88600000000000001</v>
      </c>
      <c r="BJ19" s="1">
        <v>0.874</v>
      </c>
      <c r="BK19" s="1">
        <v>0.876</v>
      </c>
      <c r="BL19" s="1">
        <v>0.88300000000000001</v>
      </c>
      <c r="BN19" s="1">
        <v>24</v>
      </c>
      <c r="BO19" s="1">
        <v>150</v>
      </c>
      <c r="BP19" s="3">
        <f t="shared" si="0"/>
        <v>1.0100000000000029E-2</v>
      </c>
      <c r="BQ19" s="3">
        <f t="shared" si="1"/>
        <v>-4.6874999999999833E-3</v>
      </c>
      <c r="BR19" s="3">
        <f t="shared" si="2"/>
        <v>4.4125000000000249E-3</v>
      </c>
      <c r="BS19" s="3">
        <f t="shared" si="3"/>
        <v>3.275000000000024E-3</v>
      </c>
      <c r="BT19" s="3">
        <f t="shared" si="4"/>
        <v>1.0000000000000217E-3</v>
      </c>
      <c r="BU19" s="3">
        <f t="shared" si="5"/>
        <v>-1.374999999999793E-4</v>
      </c>
      <c r="BV19" s="3">
        <f t="shared" si="6"/>
        <v>-3.5499999999999824E-3</v>
      </c>
      <c r="BW19" s="3">
        <f t="shared" si="7"/>
        <v>-2.5162500000000001E-2</v>
      </c>
      <c r="BX19" s="3">
        <f t="shared" si="8"/>
        <v>-3.5499999999999824E-3</v>
      </c>
      <c r="BY19" s="3">
        <f t="shared" si="9"/>
        <v>-1.151249999999999E-2</v>
      </c>
      <c r="BZ19" s="3">
        <f t="shared" si="10"/>
        <v>1.0000000000000217E-3</v>
      </c>
      <c r="CA19" s="3">
        <f t="shared" si="11"/>
        <v>4.4125000000000249E-3</v>
      </c>
      <c r="CB19" s="3">
        <f t="shared" si="12"/>
        <v>-4.6874999999999833E-3</v>
      </c>
      <c r="CC19" s="3">
        <f t="shared" si="13"/>
        <v>4.4125000000000249E-3</v>
      </c>
      <c r="CD19" s="3">
        <f t="shared" si="14"/>
        <v>-1.151249999999999E-2</v>
      </c>
      <c r="CE19" s="3">
        <f t="shared" si="15"/>
        <v>1.0000000000000217E-3</v>
      </c>
      <c r="CF19" s="3">
        <f t="shared" si="16"/>
        <v>-4.6874999999999833E-3</v>
      </c>
      <c r="CG19" s="3">
        <f t="shared" si="17"/>
        <v>-1.374999999999793E-4</v>
      </c>
      <c r="CH19" s="3">
        <f t="shared" si="18"/>
        <v>-1.374999999999793E-4</v>
      </c>
      <c r="CI19" s="3">
        <f t="shared" si="19"/>
        <v>-2.2887500000000002E-2</v>
      </c>
      <c r="CJ19" s="3">
        <f t="shared" si="20"/>
        <v>-8.0999999999999857E-3</v>
      </c>
      <c r="CK19" s="3">
        <f t="shared" si="21"/>
        <v>4.4125000000000249E-3</v>
      </c>
      <c r="CL19" s="3">
        <f t="shared" si="22"/>
        <v>4.4125000000000249E-3</v>
      </c>
      <c r="CM19" s="3">
        <f t="shared" si="23"/>
        <v>-1.2749999999999804E-3</v>
      </c>
      <c r="CN19" s="3">
        <f t="shared" si="24"/>
        <v>3.275000000000024E-3</v>
      </c>
      <c r="CO19" s="3">
        <f t="shared" si="25"/>
        <v>3.275000000000024E-3</v>
      </c>
      <c r="CP19" s="3">
        <f t="shared" si="26"/>
        <v>4.4125000000000249E-3</v>
      </c>
      <c r="CQ19" s="3">
        <f t="shared" si="27"/>
        <v>7.8250000000000281E-3</v>
      </c>
      <c r="CR19" s="3">
        <f t="shared" si="28"/>
        <v>-4.6874999999999833E-3</v>
      </c>
      <c r="CS19" s="3">
        <f t="shared" si="29"/>
        <v>-5.8249999999999847E-3</v>
      </c>
      <c r="CT19" s="3">
        <f t="shared" si="30"/>
        <v>-1.2749999999999804E-3</v>
      </c>
      <c r="CU19" s="3">
        <f t="shared" si="31"/>
        <v>-1.6062499999999993E-2</v>
      </c>
      <c r="CV19" s="3">
        <f t="shared" si="32"/>
        <v>7.8250000000000281E-3</v>
      </c>
      <c r="CW19" s="3">
        <f t="shared" si="33"/>
        <v>-1.2749999999999804E-3</v>
      </c>
      <c r="CX19" s="3">
        <f t="shared" si="34"/>
        <v>-1.2749999999999804E-3</v>
      </c>
      <c r="CY19" s="3">
        <f t="shared" si="35"/>
        <v>-1.151249999999999E-2</v>
      </c>
      <c r="CZ19" s="3">
        <f t="shared" si="36"/>
        <v>-1.374999999999793E-4</v>
      </c>
      <c r="DA19" s="3">
        <f t="shared" si="37"/>
        <v>-3.5499999999999824E-3</v>
      </c>
      <c r="DB19" s="3">
        <f t="shared" si="38"/>
        <v>3.275000000000024E-3</v>
      </c>
      <c r="DC19" s="3">
        <f t="shared" si="39"/>
        <v>4.4125000000000249E-3</v>
      </c>
      <c r="DD19" s="3">
        <f t="shared" si="40"/>
        <v>-3.5499999999999824E-3</v>
      </c>
      <c r="DE19" s="3">
        <f t="shared" si="41"/>
        <v>4.4125000000000249E-3</v>
      </c>
      <c r="DF19" s="3">
        <f t="shared" si="42"/>
        <v>-5.8249999999999847E-3</v>
      </c>
      <c r="DG19" s="3">
        <f t="shared" si="43"/>
        <v>-1.3787499999999992E-2</v>
      </c>
      <c r="DH19" s="3">
        <f t="shared" si="44"/>
        <v>4.4125000000000249E-3</v>
      </c>
      <c r="DI19" s="3">
        <f t="shared" si="45"/>
        <v>-4.6874999999999833E-3</v>
      </c>
      <c r="DJ19" s="3">
        <f t="shared" si="46"/>
        <v>-1.2749999999999804E-3</v>
      </c>
      <c r="DK19" s="3">
        <f t="shared" si="47"/>
        <v>-3.5499999999999824E-3</v>
      </c>
      <c r="DL19" s="3">
        <f t="shared" si="48"/>
        <v>7.8250000000000281E-3</v>
      </c>
      <c r="DM19" s="3">
        <f t="shared" si="49"/>
        <v>-1.374999999999793E-4</v>
      </c>
      <c r="DN19" s="3">
        <f t="shared" si="50"/>
        <v>-1.374999999999793E-4</v>
      </c>
      <c r="DO19" s="3">
        <f t="shared" si="51"/>
        <v>1.0000000000000217E-3</v>
      </c>
      <c r="DP19" s="3">
        <f t="shared" si="52"/>
        <v>-3.5499999999999824E-3</v>
      </c>
      <c r="DQ19" s="3">
        <f t="shared" si="53"/>
        <v>-4.6874999999999833E-3</v>
      </c>
      <c r="DR19" s="3">
        <f t="shared" si="54"/>
        <v>-3.5499999999999824E-3</v>
      </c>
      <c r="DS19" s="3">
        <f t="shared" si="55"/>
        <v>-1.8337499999999996E-2</v>
      </c>
      <c r="DT19" s="3">
        <f t="shared" si="56"/>
        <v>7.8250000000000281E-3</v>
      </c>
      <c r="DU19" s="3">
        <f t="shared" si="57"/>
        <v>-5.8249999999999847E-3</v>
      </c>
      <c r="DV19" s="3">
        <f t="shared" si="58"/>
        <v>-3.5499999999999824E-3</v>
      </c>
      <c r="DW19" s="3">
        <f t="shared" si="59"/>
        <v>4.4125000000000249E-3</v>
      </c>
    </row>
    <row r="20" spans="2:127" x14ac:dyDescent="0.45">
      <c r="B20" s="1">
        <v>24</v>
      </c>
      <c r="C20" s="1">
        <v>165</v>
      </c>
      <c r="D20" s="7">
        <f t="shared" si="60"/>
        <v>0.96703296703296704</v>
      </c>
      <c r="E20" s="1">
        <v>0.97499999999999998</v>
      </c>
      <c r="F20" s="1">
        <v>0.96199999999999997</v>
      </c>
      <c r="G20" s="1">
        <v>0.96799999999999997</v>
      </c>
      <c r="H20" s="1">
        <v>0.96799999999999997</v>
      </c>
      <c r="I20" s="1">
        <v>0.96799999999999997</v>
      </c>
      <c r="J20" s="1">
        <v>0.96799999999999997</v>
      </c>
      <c r="K20" s="1">
        <v>0.96399999999999997</v>
      </c>
      <c r="L20" s="1">
        <v>0.94799999999999995</v>
      </c>
      <c r="M20" s="1">
        <v>0.96399999999999997</v>
      </c>
      <c r="N20" s="1">
        <v>0.95899999999999996</v>
      </c>
      <c r="O20" s="1">
        <v>0.96799999999999997</v>
      </c>
      <c r="P20" s="1">
        <v>0.97</v>
      </c>
      <c r="Q20" s="1">
        <v>0.96199999999999997</v>
      </c>
      <c r="R20" s="1">
        <v>0.97099999999999997</v>
      </c>
      <c r="S20" s="1">
        <v>0.95799999999999996</v>
      </c>
      <c r="T20" s="1">
        <v>0.96799999999999997</v>
      </c>
      <c r="U20" s="1">
        <v>0.96299999999999997</v>
      </c>
      <c r="V20" s="1">
        <v>0.96699999999999997</v>
      </c>
      <c r="W20" s="1">
        <v>0.96699999999999997</v>
      </c>
      <c r="X20" s="1">
        <v>0.94799999999999995</v>
      </c>
      <c r="Y20" s="1">
        <v>0.96199999999999997</v>
      </c>
      <c r="Z20" s="1">
        <v>0.97299999999999998</v>
      </c>
      <c r="AA20" s="1">
        <v>0.96799999999999997</v>
      </c>
      <c r="AB20" s="1">
        <v>0.96599999999999997</v>
      </c>
      <c r="AC20" s="1">
        <v>0.96799999999999997</v>
      </c>
      <c r="AD20" s="1">
        <v>0.96799999999999997</v>
      </c>
      <c r="AE20" s="1">
        <v>0.97099999999999997</v>
      </c>
      <c r="AF20" s="1">
        <v>0.97399999999999998</v>
      </c>
      <c r="AG20" s="1">
        <v>0.96199999999999997</v>
      </c>
      <c r="AH20" s="1">
        <v>0.96199999999999997</v>
      </c>
      <c r="AI20" s="1">
        <v>0.96599999999999997</v>
      </c>
      <c r="AJ20" s="1">
        <v>0.95799999999999996</v>
      </c>
      <c r="AK20" s="1">
        <v>0.97299999999999998</v>
      </c>
      <c r="AL20" s="1">
        <v>0.96599999999999997</v>
      </c>
      <c r="AM20" s="1">
        <v>0.96599999999999997</v>
      </c>
      <c r="AN20" s="1">
        <v>0.95599999999999996</v>
      </c>
      <c r="AO20" s="1">
        <v>0.96699999999999997</v>
      </c>
      <c r="AP20" s="1">
        <v>0.96399999999999997</v>
      </c>
      <c r="AQ20" s="1">
        <v>0.97</v>
      </c>
      <c r="AR20" s="1">
        <v>0.96799999999999997</v>
      </c>
      <c r="AS20" s="1">
        <v>0.96299999999999997</v>
      </c>
      <c r="AT20" s="1">
        <v>0.97099999999999997</v>
      </c>
      <c r="AU20" s="1">
        <v>0.96299999999999997</v>
      </c>
      <c r="AV20" s="1">
        <v>0.95199999999999996</v>
      </c>
      <c r="AW20" s="1">
        <v>0.97</v>
      </c>
      <c r="AX20" s="1">
        <v>0.96599999999999997</v>
      </c>
      <c r="AY20" s="1">
        <v>0.96599999999999997</v>
      </c>
      <c r="AZ20" s="1">
        <v>0.96399999999999997</v>
      </c>
      <c r="BA20" s="1">
        <v>0.97099999999999997</v>
      </c>
      <c r="BB20" s="1">
        <v>0.96699999999999997</v>
      </c>
      <c r="BC20" s="1">
        <v>0.96599999999999997</v>
      </c>
      <c r="BD20" s="1">
        <v>0.96799999999999997</v>
      </c>
      <c r="BE20" s="1">
        <v>0.96399999999999997</v>
      </c>
      <c r="BF20" s="1">
        <v>0.96299999999999997</v>
      </c>
      <c r="BG20" s="1">
        <v>0.96</v>
      </c>
      <c r="BH20" s="1">
        <v>0.95099999999999996</v>
      </c>
      <c r="BI20" s="1">
        <v>0.97099999999999997</v>
      </c>
      <c r="BJ20" s="1">
        <v>0.96199999999999997</v>
      </c>
      <c r="BK20" s="1">
        <v>0.96299999999999997</v>
      </c>
      <c r="BL20" s="1">
        <v>0.97</v>
      </c>
      <c r="BN20" s="1">
        <v>24</v>
      </c>
      <c r="BO20" s="1">
        <v>165</v>
      </c>
      <c r="BP20" s="3">
        <f t="shared" si="0"/>
        <v>8.2386363636363352E-3</v>
      </c>
      <c r="BQ20" s="3">
        <f t="shared" si="1"/>
        <v>-5.2045454545454955E-3</v>
      </c>
      <c r="BR20" s="3">
        <f t="shared" si="2"/>
        <v>9.9999999999996424E-4</v>
      </c>
      <c r="BS20" s="3">
        <f t="shared" si="3"/>
        <v>9.9999999999996424E-4</v>
      </c>
      <c r="BT20" s="3">
        <f t="shared" si="4"/>
        <v>9.9999999999996424E-4</v>
      </c>
      <c r="BU20" s="3">
        <f t="shared" si="5"/>
        <v>9.9999999999996424E-4</v>
      </c>
      <c r="BV20" s="3">
        <f t="shared" si="6"/>
        <v>-3.1363636363636758E-3</v>
      </c>
      <c r="BW20" s="3">
        <f t="shared" si="7"/>
        <v>-1.9681818181818234E-2</v>
      </c>
      <c r="BX20" s="3">
        <f t="shared" si="8"/>
        <v>-3.1363636363636758E-3</v>
      </c>
      <c r="BY20" s="3">
        <f t="shared" si="9"/>
        <v>-8.3068181818182259E-3</v>
      </c>
      <c r="BZ20" s="3">
        <f t="shared" si="10"/>
        <v>9.9999999999996424E-4</v>
      </c>
      <c r="CA20" s="3">
        <f t="shared" si="11"/>
        <v>3.0681818181817842E-3</v>
      </c>
      <c r="CB20" s="3">
        <f t="shared" si="12"/>
        <v>-5.2045454545454955E-3</v>
      </c>
      <c r="CC20" s="3">
        <f t="shared" si="13"/>
        <v>4.102272727272694E-3</v>
      </c>
      <c r="CD20" s="3">
        <f t="shared" si="14"/>
        <v>-9.3409090909091358E-3</v>
      </c>
      <c r="CE20" s="3">
        <f t="shared" si="15"/>
        <v>9.9999999999996424E-4</v>
      </c>
      <c r="CF20" s="3">
        <f t="shared" si="16"/>
        <v>-4.1704545454545857E-3</v>
      </c>
      <c r="CG20" s="3">
        <f t="shared" si="17"/>
        <v>-3.4090909090945711E-5</v>
      </c>
      <c r="CH20" s="3">
        <f t="shared" si="18"/>
        <v>-3.4090909090945711E-5</v>
      </c>
      <c r="CI20" s="3">
        <f t="shared" si="19"/>
        <v>-1.9681818181818234E-2</v>
      </c>
      <c r="CJ20" s="3">
        <f t="shared" si="20"/>
        <v>-5.2045454545454955E-3</v>
      </c>
      <c r="CK20" s="3">
        <f t="shared" si="21"/>
        <v>6.1704545454545146E-3</v>
      </c>
      <c r="CL20" s="3">
        <f t="shared" si="22"/>
        <v>9.9999999999996424E-4</v>
      </c>
      <c r="CM20" s="3">
        <f t="shared" si="23"/>
        <v>-1.0681818181818557E-3</v>
      </c>
      <c r="CN20" s="3">
        <f t="shared" si="24"/>
        <v>9.9999999999996424E-4</v>
      </c>
      <c r="CO20" s="3">
        <f t="shared" si="25"/>
        <v>9.9999999999996424E-4</v>
      </c>
      <c r="CP20" s="3">
        <f t="shared" si="26"/>
        <v>4.102272727272694E-3</v>
      </c>
      <c r="CQ20" s="3">
        <f t="shared" si="27"/>
        <v>7.2045454545454244E-3</v>
      </c>
      <c r="CR20" s="3">
        <f t="shared" si="28"/>
        <v>-5.2045454545454955E-3</v>
      </c>
      <c r="CS20" s="3">
        <f t="shared" si="29"/>
        <v>-5.2045454545454955E-3</v>
      </c>
      <c r="CT20" s="3">
        <f t="shared" si="30"/>
        <v>-1.0681818181818557E-3</v>
      </c>
      <c r="CU20" s="3">
        <f t="shared" si="31"/>
        <v>-9.3409090909091358E-3</v>
      </c>
      <c r="CV20" s="3">
        <f t="shared" si="32"/>
        <v>6.1704545454545146E-3</v>
      </c>
      <c r="CW20" s="3">
        <f t="shared" si="33"/>
        <v>-1.0681818181818557E-3</v>
      </c>
      <c r="CX20" s="3">
        <f t="shared" si="34"/>
        <v>-1.0681818181818557E-3</v>
      </c>
      <c r="CY20" s="3">
        <f t="shared" si="35"/>
        <v>-1.1409090909090955E-2</v>
      </c>
      <c r="CZ20" s="3">
        <f t="shared" si="36"/>
        <v>-3.4090909090945711E-5</v>
      </c>
      <c r="DA20" s="3">
        <f t="shared" si="37"/>
        <v>-3.1363636363636758E-3</v>
      </c>
      <c r="DB20" s="3">
        <f t="shared" si="38"/>
        <v>3.0681818181817842E-3</v>
      </c>
      <c r="DC20" s="3">
        <f t="shared" si="39"/>
        <v>9.9999999999996424E-4</v>
      </c>
      <c r="DD20" s="3">
        <f t="shared" si="40"/>
        <v>-4.1704545454545857E-3</v>
      </c>
      <c r="DE20" s="3">
        <f t="shared" si="41"/>
        <v>4.102272727272694E-3</v>
      </c>
      <c r="DF20" s="3">
        <f t="shared" si="42"/>
        <v>-4.1704545454545857E-3</v>
      </c>
      <c r="DG20" s="3">
        <f t="shared" si="43"/>
        <v>-1.5545454545454595E-2</v>
      </c>
      <c r="DH20" s="3">
        <f t="shared" si="44"/>
        <v>3.0681818181817842E-3</v>
      </c>
      <c r="DI20" s="3">
        <f t="shared" si="45"/>
        <v>-1.0681818181818557E-3</v>
      </c>
      <c r="DJ20" s="3">
        <f t="shared" si="46"/>
        <v>-1.0681818181818557E-3</v>
      </c>
      <c r="DK20" s="3">
        <f t="shared" si="47"/>
        <v>-3.1363636363636758E-3</v>
      </c>
      <c r="DL20" s="3">
        <f t="shared" si="48"/>
        <v>4.102272727272694E-3</v>
      </c>
      <c r="DM20" s="3">
        <f t="shared" si="49"/>
        <v>-3.4090909090945711E-5</v>
      </c>
      <c r="DN20" s="3">
        <f t="shared" si="50"/>
        <v>-1.0681818181818557E-3</v>
      </c>
      <c r="DO20" s="3">
        <f t="shared" si="51"/>
        <v>9.9999999999996424E-4</v>
      </c>
      <c r="DP20" s="3">
        <f t="shared" si="52"/>
        <v>-3.1363636363636758E-3</v>
      </c>
      <c r="DQ20" s="3">
        <f t="shared" si="53"/>
        <v>-4.1704545454545857E-3</v>
      </c>
      <c r="DR20" s="3">
        <f t="shared" si="54"/>
        <v>-7.2727272727273161E-3</v>
      </c>
      <c r="DS20" s="3">
        <f t="shared" si="55"/>
        <v>-1.6579545454545506E-2</v>
      </c>
      <c r="DT20" s="3">
        <f t="shared" si="56"/>
        <v>4.102272727272694E-3</v>
      </c>
      <c r="DU20" s="3">
        <f t="shared" si="57"/>
        <v>-5.2045454545454955E-3</v>
      </c>
      <c r="DV20" s="3">
        <f t="shared" si="58"/>
        <v>-4.1704545454545857E-3</v>
      </c>
      <c r="DW20" s="3">
        <f t="shared" si="59"/>
        <v>3.0681818181817842E-3</v>
      </c>
    </row>
    <row r="21" spans="2:127" x14ac:dyDescent="0.45">
      <c r="B21" s="1">
        <v>24</v>
      </c>
      <c r="C21" s="1">
        <v>180</v>
      </c>
      <c r="D21" s="7">
        <f t="shared" si="60"/>
        <v>1.054945054945055</v>
      </c>
      <c r="E21" s="1">
        <v>1.0609999999999999</v>
      </c>
      <c r="F21" s="1">
        <v>1.05</v>
      </c>
      <c r="G21" s="1">
        <v>1.054</v>
      </c>
      <c r="H21" s="1">
        <v>1.054</v>
      </c>
      <c r="I21" s="1">
        <v>1.0569999999999999</v>
      </c>
      <c r="J21" s="1">
        <v>1.0549999999999999</v>
      </c>
      <c r="K21" s="1">
        <v>1.054</v>
      </c>
      <c r="L21" s="1">
        <v>1.0389999999999999</v>
      </c>
      <c r="M21" s="1">
        <v>1.0529999999999999</v>
      </c>
      <c r="N21" s="1">
        <v>1.048</v>
      </c>
      <c r="O21" s="1">
        <v>1.0549999999999999</v>
      </c>
      <c r="P21" s="1">
        <v>1.0569999999999999</v>
      </c>
      <c r="Q21" s="1">
        <v>1.048</v>
      </c>
      <c r="R21" s="1">
        <v>1.0580000000000001</v>
      </c>
      <c r="S21" s="1">
        <v>1.046</v>
      </c>
      <c r="T21" s="1">
        <v>1.0549999999999999</v>
      </c>
      <c r="U21" s="1">
        <v>1.0529999999999999</v>
      </c>
      <c r="V21" s="1">
        <v>1.0529999999999999</v>
      </c>
      <c r="W21" s="1">
        <v>1.0549999999999999</v>
      </c>
      <c r="X21" s="1">
        <v>1.038</v>
      </c>
      <c r="Y21" s="1">
        <v>1.05</v>
      </c>
      <c r="Z21" s="1">
        <v>1.0609999999999999</v>
      </c>
      <c r="AA21" s="1">
        <v>1.0580000000000001</v>
      </c>
      <c r="AB21" s="1">
        <v>1.054</v>
      </c>
      <c r="AC21" s="1">
        <v>1.0569999999999999</v>
      </c>
      <c r="AD21" s="1">
        <v>1.054</v>
      </c>
      <c r="AE21" s="1">
        <v>1.0580000000000001</v>
      </c>
      <c r="AF21" s="1">
        <v>1.0620000000000001</v>
      </c>
      <c r="AG21" s="1">
        <v>1.05</v>
      </c>
      <c r="AH21" s="1">
        <v>1.048</v>
      </c>
      <c r="AI21" s="1">
        <v>1.054</v>
      </c>
      <c r="AJ21" s="1">
        <v>1.048</v>
      </c>
      <c r="AK21" s="1">
        <v>1.0589999999999999</v>
      </c>
      <c r="AL21" s="1">
        <v>1.054</v>
      </c>
      <c r="AM21" s="1">
        <v>1.0529999999999999</v>
      </c>
      <c r="AN21" s="1">
        <v>1.0469999999999999</v>
      </c>
      <c r="AO21" s="1">
        <v>1.054</v>
      </c>
      <c r="AP21" s="1">
        <v>1.0529999999999999</v>
      </c>
      <c r="AQ21" s="1">
        <v>1.0569999999999999</v>
      </c>
      <c r="AR21" s="1">
        <v>1.0549999999999999</v>
      </c>
      <c r="AS21" s="1">
        <v>1.0509999999999999</v>
      </c>
      <c r="AT21" s="1">
        <v>1.0580000000000001</v>
      </c>
      <c r="AU21" s="1">
        <v>1.0509999999999999</v>
      </c>
      <c r="AV21" s="1">
        <v>1.044</v>
      </c>
      <c r="AW21" s="1">
        <v>1.0580000000000001</v>
      </c>
      <c r="AX21" s="1">
        <v>1.054</v>
      </c>
      <c r="AY21" s="1">
        <v>1.054</v>
      </c>
      <c r="AZ21" s="1">
        <v>1.0529999999999999</v>
      </c>
      <c r="BA21" s="1">
        <v>1.0580000000000001</v>
      </c>
      <c r="BB21" s="1">
        <v>1.0549999999999999</v>
      </c>
      <c r="BC21" s="1">
        <v>1.054</v>
      </c>
      <c r="BD21" s="1">
        <v>1.0580000000000001</v>
      </c>
      <c r="BE21" s="1">
        <v>1.0529999999999999</v>
      </c>
      <c r="BF21" s="1">
        <v>1.0529999999999999</v>
      </c>
      <c r="BG21" s="1">
        <v>1.054</v>
      </c>
      <c r="BH21" s="1">
        <v>1.044</v>
      </c>
      <c r="BI21" s="1">
        <v>1.0569999999999999</v>
      </c>
      <c r="BJ21" s="1">
        <v>1.0509999999999999</v>
      </c>
      <c r="BK21" s="1">
        <v>1.046</v>
      </c>
      <c r="BL21" s="1">
        <v>1.0580000000000001</v>
      </c>
      <c r="BN21" s="1">
        <v>24</v>
      </c>
      <c r="BO21" s="1">
        <v>180</v>
      </c>
      <c r="BP21" s="3">
        <f t="shared" si="0"/>
        <v>5.7395833333332537E-3</v>
      </c>
      <c r="BQ21" s="3">
        <f t="shared" si="1"/>
        <v>-4.6874999999999833E-3</v>
      </c>
      <c r="BR21" s="3">
        <f t="shared" si="2"/>
        <v>-8.9583333333331328E-4</v>
      </c>
      <c r="BS21" s="3">
        <f t="shared" si="3"/>
        <v>-8.9583333333331328E-4</v>
      </c>
      <c r="BT21" s="3">
        <f t="shared" si="4"/>
        <v>1.947916666666584E-3</v>
      </c>
      <c r="BU21" s="3">
        <f t="shared" si="5"/>
        <v>5.2083333333248952E-5</v>
      </c>
      <c r="BV21" s="3">
        <f t="shared" si="6"/>
        <v>-8.9583333333331328E-4</v>
      </c>
      <c r="BW21" s="3">
        <f t="shared" si="7"/>
        <v>-1.5114583333333431E-2</v>
      </c>
      <c r="BX21" s="3">
        <f t="shared" si="8"/>
        <v>-1.843750000000086E-3</v>
      </c>
      <c r="BY21" s="3">
        <f t="shared" si="9"/>
        <v>-6.5833333333333178E-3</v>
      </c>
      <c r="BZ21" s="3">
        <f t="shared" si="10"/>
        <v>5.2083333333248952E-5</v>
      </c>
      <c r="CA21" s="3">
        <f t="shared" si="11"/>
        <v>1.947916666666584E-3</v>
      </c>
      <c r="CB21" s="3">
        <f t="shared" si="12"/>
        <v>-6.5833333333333178E-3</v>
      </c>
      <c r="CC21" s="3">
        <f t="shared" si="13"/>
        <v>2.8958333333333566E-3</v>
      </c>
      <c r="CD21" s="3">
        <f t="shared" si="14"/>
        <v>-8.479166666666654E-3</v>
      </c>
      <c r="CE21" s="3">
        <f t="shared" si="15"/>
        <v>5.2083333333248952E-5</v>
      </c>
      <c r="CF21" s="3">
        <f t="shared" si="16"/>
        <v>-1.843750000000086E-3</v>
      </c>
      <c r="CG21" s="3">
        <f t="shared" si="17"/>
        <v>-1.843750000000086E-3</v>
      </c>
      <c r="CH21" s="3">
        <f t="shared" si="18"/>
        <v>5.2083333333248952E-5</v>
      </c>
      <c r="CI21" s="3">
        <f t="shared" si="19"/>
        <v>-1.6062499999999993E-2</v>
      </c>
      <c r="CJ21" s="3">
        <f t="shared" si="20"/>
        <v>-4.6874999999999833E-3</v>
      </c>
      <c r="CK21" s="3">
        <f t="shared" si="21"/>
        <v>5.7395833333332537E-3</v>
      </c>
      <c r="CL21" s="3">
        <f t="shared" si="22"/>
        <v>2.8958333333333566E-3</v>
      </c>
      <c r="CM21" s="3">
        <f t="shared" si="23"/>
        <v>-8.9583333333331328E-4</v>
      </c>
      <c r="CN21" s="3">
        <f t="shared" si="24"/>
        <v>1.947916666666584E-3</v>
      </c>
      <c r="CO21" s="3">
        <f t="shared" si="25"/>
        <v>-8.9583333333331328E-4</v>
      </c>
      <c r="CP21" s="3">
        <f t="shared" si="26"/>
        <v>2.8958333333333566E-3</v>
      </c>
      <c r="CQ21" s="3">
        <f t="shared" si="27"/>
        <v>6.6875000000000268E-3</v>
      </c>
      <c r="CR21" s="3">
        <f t="shared" si="28"/>
        <v>-4.6874999999999833E-3</v>
      </c>
      <c r="CS21" s="3">
        <f t="shared" si="29"/>
        <v>-6.5833333333333178E-3</v>
      </c>
      <c r="CT21" s="3">
        <f t="shared" si="30"/>
        <v>-8.9583333333331328E-4</v>
      </c>
      <c r="CU21" s="3">
        <f t="shared" si="31"/>
        <v>-6.5833333333333178E-3</v>
      </c>
      <c r="CV21" s="3">
        <f t="shared" si="32"/>
        <v>3.8437499999999188E-3</v>
      </c>
      <c r="CW21" s="3">
        <f t="shared" si="33"/>
        <v>-8.9583333333331328E-4</v>
      </c>
      <c r="CX21" s="3">
        <f t="shared" si="34"/>
        <v>-1.843750000000086E-3</v>
      </c>
      <c r="CY21" s="3">
        <f t="shared" si="35"/>
        <v>-7.5312500000000908E-3</v>
      </c>
      <c r="CZ21" s="3">
        <f t="shared" si="36"/>
        <v>-8.9583333333331328E-4</v>
      </c>
      <c r="DA21" s="3">
        <f t="shared" si="37"/>
        <v>-1.843750000000086E-3</v>
      </c>
      <c r="DB21" s="3">
        <f t="shared" si="38"/>
        <v>1.947916666666584E-3</v>
      </c>
      <c r="DC21" s="3">
        <f t="shared" si="39"/>
        <v>5.2083333333248952E-5</v>
      </c>
      <c r="DD21" s="3">
        <f t="shared" si="40"/>
        <v>-3.7395833333334211E-3</v>
      </c>
      <c r="DE21" s="3">
        <f t="shared" si="41"/>
        <v>2.8958333333333566E-3</v>
      </c>
      <c r="DF21" s="3">
        <f t="shared" si="42"/>
        <v>-3.7395833333334211E-3</v>
      </c>
      <c r="DG21" s="3">
        <f t="shared" si="43"/>
        <v>-1.0374999999999988E-2</v>
      </c>
      <c r="DH21" s="3">
        <f t="shared" si="44"/>
        <v>2.8958333333333566E-3</v>
      </c>
      <c r="DI21" s="3">
        <f t="shared" si="45"/>
        <v>-8.9583333333331328E-4</v>
      </c>
      <c r="DJ21" s="3">
        <f t="shared" si="46"/>
        <v>-8.9583333333331328E-4</v>
      </c>
      <c r="DK21" s="3">
        <f t="shared" si="47"/>
        <v>-1.843750000000086E-3</v>
      </c>
      <c r="DL21" s="3">
        <f t="shared" si="48"/>
        <v>2.8958333333333566E-3</v>
      </c>
      <c r="DM21" s="3">
        <f t="shared" si="49"/>
        <v>5.2083333333248952E-5</v>
      </c>
      <c r="DN21" s="3">
        <f t="shared" si="50"/>
        <v>-8.9583333333331328E-4</v>
      </c>
      <c r="DO21" s="3">
        <f t="shared" si="51"/>
        <v>2.8958333333333566E-3</v>
      </c>
      <c r="DP21" s="3">
        <f t="shared" si="52"/>
        <v>-1.843750000000086E-3</v>
      </c>
      <c r="DQ21" s="3">
        <f t="shared" si="53"/>
        <v>-1.843750000000086E-3</v>
      </c>
      <c r="DR21" s="3">
        <f t="shared" si="54"/>
        <v>-8.9583333333331328E-4</v>
      </c>
      <c r="DS21" s="3">
        <f t="shared" si="55"/>
        <v>-1.0374999999999988E-2</v>
      </c>
      <c r="DT21" s="3">
        <f t="shared" si="56"/>
        <v>1.947916666666584E-3</v>
      </c>
      <c r="DU21" s="3">
        <f t="shared" si="57"/>
        <v>-3.7395833333334211E-3</v>
      </c>
      <c r="DV21" s="3">
        <f t="shared" si="58"/>
        <v>-8.479166666666654E-3</v>
      </c>
      <c r="DW21" s="3">
        <f t="shared" si="59"/>
        <v>2.8958333333333566E-3</v>
      </c>
    </row>
    <row r="22" spans="2:127" x14ac:dyDescent="0.45">
      <c r="B22" s="1">
        <v>24</v>
      </c>
      <c r="C22" s="1">
        <v>195</v>
      </c>
      <c r="D22" s="7">
        <f t="shared" si="60"/>
        <v>1.1428571428571428</v>
      </c>
      <c r="E22" s="1">
        <v>1.149</v>
      </c>
      <c r="F22" s="1">
        <v>1.1379999999999999</v>
      </c>
      <c r="G22" s="1">
        <v>1.1419999999999999</v>
      </c>
      <c r="H22" s="1">
        <v>1.1379999999999999</v>
      </c>
      <c r="I22" s="1">
        <v>1.145</v>
      </c>
      <c r="J22" s="1">
        <v>1.143</v>
      </c>
      <c r="K22" s="1">
        <v>1.143</v>
      </c>
      <c r="L22" s="1">
        <v>1.131</v>
      </c>
      <c r="M22" s="1">
        <v>1.141</v>
      </c>
      <c r="N22" s="1">
        <v>1.139</v>
      </c>
      <c r="O22" s="1">
        <v>1.145</v>
      </c>
      <c r="P22" s="1">
        <v>1.1419999999999999</v>
      </c>
      <c r="Q22" s="1">
        <v>1.1379999999999999</v>
      </c>
      <c r="R22" s="1">
        <v>1.1459999999999999</v>
      </c>
      <c r="S22" s="1">
        <v>1.137</v>
      </c>
      <c r="T22" s="1">
        <v>1.1419999999999999</v>
      </c>
      <c r="U22" s="1">
        <v>1.1419999999999999</v>
      </c>
      <c r="V22" s="1">
        <v>1.139</v>
      </c>
      <c r="W22" s="1">
        <v>1.143</v>
      </c>
      <c r="X22" s="1">
        <v>1.1299999999999999</v>
      </c>
      <c r="Y22" s="1">
        <v>1.1379999999999999</v>
      </c>
      <c r="Z22" s="1">
        <v>1.147</v>
      </c>
      <c r="AA22" s="1">
        <v>1.1459999999999999</v>
      </c>
      <c r="AB22" s="1">
        <v>1.141</v>
      </c>
      <c r="AC22" s="1">
        <v>1.1459999999999999</v>
      </c>
      <c r="AD22" s="1">
        <v>1.141</v>
      </c>
      <c r="AE22" s="1">
        <v>1.145</v>
      </c>
      <c r="AF22" s="1">
        <v>1.147</v>
      </c>
      <c r="AG22" s="1">
        <v>1.139</v>
      </c>
      <c r="AH22" s="1">
        <v>1.137</v>
      </c>
      <c r="AI22" s="1">
        <v>1.1419999999999999</v>
      </c>
      <c r="AJ22" s="1">
        <v>1.139</v>
      </c>
      <c r="AK22" s="1">
        <v>1.1459999999999999</v>
      </c>
      <c r="AL22" s="1">
        <v>1.143</v>
      </c>
      <c r="AM22" s="1">
        <v>1.141</v>
      </c>
      <c r="AN22" s="1">
        <v>1.137</v>
      </c>
      <c r="AO22" s="1">
        <v>1.139</v>
      </c>
      <c r="AP22" s="1">
        <v>1.1419999999999999</v>
      </c>
      <c r="AQ22" s="1">
        <v>1.145</v>
      </c>
      <c r="AR22" s="1">
        <v>1.145</v>
      </c>
      <c r="AS22" s="1">
        <v>1.1379999999999999</v>
      </c>
      <c r="AT22" s="1">
        <v>1.1459999999999999</v>
      </c>
      <c r="AU22" s="1">
        <v>1.139</v>
      </c>
      <c r="AV22" s="1">
        <v>1.137</v>
      </c>
      <c r="AW22" s="1">
        <v>1.1459999999999999</v>
      </c>
      <c r="AX22" s="1">
        <v>1.143</v>
      </c>
      <c r="AY22" s="1">
        <v>1.1419999999999999</v>
      </c>
      <c r="AZ22" s="1">
        <v>1.141</v>
      </c>
      <c r="BA22" s="1">
        <v>1.1419999999999999</v>
      </c>
      <c r="BB22" s="1">
        <v>1.1419999999999999</v>
      </c>
      <c r="BC22" s="1">
        <v>1.141</v>
      </c>
      <c r="BD22" s="1">
        <v>1.145</v>
      </c>
      <c r="BE22" s="1">
        <v>1.141</v>
      </c>
      <c r="BF22" s="1">
        <v>1.1419999999999999</v>
      </c>
      <c r="BG22" s="1">
        <v>1.1379999999999999</v>
      </c>
      <c r="BH22" s="1">
        <v>1.143</v>
      </c>
      <c r="BI22" s="1">
        <v>1.143</v>
      </c>
      <c r="BJ22" s="1">
        <v>1.141</v>
      </c>
      <c r="BK22" s="1">
        <v>1.135</v>
      </c>
      <c r="BL22" s="1">
        <v>1.1459999999999999</v>
      </c>
      <c r="BN22" s="9">
        <v>24</v>
      </c>
      <c r="BO22" s="9">
        <v>195</v>
      </c>
      <c r="BP22" s="10">
        <f t="shared" si="0"/>
        <v>5.3750000000000742E-3</v>
      </c>
      <c r="BQ22" s="10">
        <f t="shared" si="1"/>
        <v>-4.2500000000000315E-3</v>
      </c>
      <c r="BR22" s="10">
        <f t="shared" si="2"/>
        <v>-7.5000000000002842E-4</v>
      </c>
      <c r="BS22" s="10">
        <f t="shared" si="3"/>
        <v>-4.2500000000000315E-3</v>
      </c>
      <c r="BT22" s="10">
        <f t="shared" si="4"/>
        <v>1.8750000000000711E-3</v>
      </c>
      <c r="BU22" s="10">
        <f t="shared" si="5"/>
        <v>1.250000000000695E-4</v>
      </c>
      <c r="BV22" s="10">
        <f t="shared" si="6"/>
        <v>1.250000000000695E-4</v>
      </c>
      <c r="BW22" s="10">
        <f t="shared" si="7"/>
        <v>-1.037499999999994E-2</v>
      </c>
      <c r="BX22" s="10">
        <f t="shared" si="8"/>
        <v>-1.6249999999999321E-3</v>
      </c>
      <c r="BY22" s="10">
        <f t="shared" si="9"/>
        <v>-3.3749999999999336E-3</v>
      </c>
      <c r="BZ22" s="10">
        <f t="shared" si="10"/>
        <v>1.8750000000000711E-3</v>
      </c>
      <c r="CA22" s="10">
        <f t="shared" si="11"/>
        <v>-7.5000000000002842E-4</v>
      </c>
      <c r="CB22" s="10">
        <f t="shared" si="12"/>
        <v>-4.2500000000000315E-3</v>
      </c>
      <c r="CC22" s="10">
        <f t="shared" si="13"/>
        <v>2.7499999999999747E-3</v>
      </c>
      <c r="CD22" s="10">
        <f t="shared" si="14"/>
        <v>-5.1249999999999352E-3</v>
      </c>
      <c r="CE22" s="10">
        <f t="shared" si="15"/>
        <v>-7.5000000000002842E-4</v>
      </c>
      <c r="CF22" s="10">
        <f t="shared" si="16"/>
        <v>-7.5000000000002842E-4</v>
      </c>
      <c r="CG22" s="10">
        <f t="shared" si="17"/>
        <v>-3.3749999999999336E-3</v>
      </c>
      <c r="CH22" s="10">
        <f t="shared" si="18"/>
        <v>1.250000000000695E-4</v>
      </c>
      <c r="CI22" s="10">
        <f t="shared" si="19"/>
        <v>-1.1250000000000038E-2</v>
      </c>
      <c r="CJ22" s="10">
        <f t="shared" si="20"/>
        <v>-4.2500000000000315E-3</v>
      </c>
      <c r="CK22" s="10">
        <f t="shared" si="21"/>
        <v>3.6250000000000726E-3</v>
      </c>
      <c r="CL22" s="10">
        <f t="shared" si="22"/>
        <v>2.7499999999999747E-3</v>
      </c>
      <c r="CM22" s="10">
        <f t="shared" si="23"/>
        <v>-1.6249999999999321E-3</v>
      </c>
      <c r="CN22" s="10">
        <f t="shared" si="24"/>
        <v>2.7499999999999747E-3</v>
      </c>
      <c r="CO22" s="10">
        <f t="shared" si="25"/>
        <v>-1.6249999999999321E-3</v>
      </c>
      <c r="CP22" s="10">
        <f t="shared" si="26"/>
        <v>1.8750000000000711E-3</v>
      </c>
      <c r="CQ22" s="10">
        <f t="shared" si="27"/>
        <v>3.6250000000000726E-3</v>
      </c>
      <c r="CR22" s="10">
        <f t="shared" si="28"/>
        <v>-3.3749999999999336E-3</v>
      </c>
      <c r="CS22" s="10">
        <f t="shared" si="29"/>
        <v>-5.1249999999999352E-3</v>
      </c>
      <c r="CT22" s="10">
        <f t="shared" si="30"/>
        <v>-7.5000000000002842E-4</v>
      </c>
      <c r="CU22" s="10">
        <f t="shared" si="31"/>
        <v>-3.3749999999999336E-3</v>
      </c>
      <c r="CV22" s="10">
        <f t="shared" si="32"/>
        <v>2.7499999999999747E-3</v>
      </c>
      <c r="CW22" s="10">
        <f t="shared" si="33"/>
        <v>1.250000000000695E-4</v>
      </c>
      <c r="CX22" s="10">
        <f t="shared" si="34"/>
        <v>-1.6249999999999321E-3</v>
      </c>
      <c r="CY22" s="10">
        <f t="shared" si="35"/>
        <v>-5.1249999999999352E-3</v>
      </c>
      <c r="CZ22" s="10">
        <f t="shared" si="36"/>
        <v>-3.3749999999999336E-3</v>
      </c>
      <c r="DA22" s="10">
        <f t="shared" si="37"/>
        <v>-7.5000000000002842E-4</v>
      </c>
      <c r="DB22" s="10">
        <f t="shared" si="38"/>
        <v>1.8750000000000711E-3</v>
      </c>
      <c r="DC22" s="10">
        <f t="shared" si="39"/>
        <v>1.8750000000000711E-3</v>
      </c>
      <c r="DD22" s="10">
        <f t="shared" si="40"/>
        <v>-4.2500000000000315E-3</v>
      </c>
      <c r="DE22" s="10">
        <f t="shared" si="41"/>
        <v>2.7499999999999747E-3</v>
      </c>
      <c r="DF22" s="10">
        <f t="shared" si="42"/>
        <v>-3.3749999999999336E-3</v>
      </c>
      <c r="DG22" s="10">
        <f t="shared" si="43"/>
        <v>-5.1249999999999352E-3</v>
      </c>
      <c r="DH22" s="10">
        <f t="shared" si="44"/>
        <v>2.7499999999999747E-3</v>
      </c>
      <c r="DI22" s="10">
        <f t="shared" si="45"/>
        <v>1.250000000000695E-4</v>
      </c>
      <c r="DJ22" s="10">
        <f t="shared" si="46"/>
        <v>-7.5000000000002842E-4</v>
      </c>
      <c r="DK22" s="10">
        <f t="shared" si="47"/>
        <v>-1.6249999999999321E-3</v>
      </c>
      <c r="DL22" s="10">
        <f t="shared" si="48"/>
        <v>-7.5000000000002842E-4</v>
      </c>
      <c r="DM22" s="10">
        <f t="shared" si="49"/>
        <v>-7.5000000000002842E-4</v>
      </c>
      <c r="DN22" s="10">
        <f t="shared" si="50"/>
        <v>-1.6249999999999321E-3</v>
      </c>
      <c r="DO22" s="10">
        <f t="shared" si="51"/>
        <v>1.8750000000000711E-3</v>
      </c>
      <c r="DP22" s="10">
        <f t="shared" si="52"/>
        <v>-1.6249999999999321E-3</v>
      </c>
      <c r="DQ22" s="10">
        <f t="shared" si="53"/>
        <v>-7.5000000000002842E-4</v>
      </c>
      <c r="DR22" s="10">
        <f t="shared" si="54"/>
        <v>-4.2500000000000315E-3</v>
      </c>
      <c r="DS22" s="10">
        <f t="shared" si="55"/>
        <v>1.250000000000695E-4</v>
      </c>
      <c r="DT22" s="10">
        <f t="shared" si="56"/>
        <v>1.250000000000695E-4</v>
      </c>
      <c r="DU22" s="10">
        <f t="shared" si="57"/>
        <v>-1.6249999999999321E-3</v>
      </c>
      <c r="DV22" s="10">
        <f t="shared" si="58"/>
        <v>-6.8749999999999367E-3</v>
      </c>
      <c r="DW22" s="10">
        <f t="shared" si="59"/>
        <v>2.7499999999999747E-3</v>
      </c>
    </row>
    <row r="23" spans="2:127" x14ac:dyDescent="0.45">
      <c r="B23" s="1">
        <v>24</v>
      </c>
      <c r="C23" s="1">
        <v>210</v>
      </c>
      <c r="D23" s="7">
        <f t="shared" si="60"/>
        <v>1.2307692307692308</v>
      </c>
      <c r="E23" s="1">
        <v>1.236</v>
      </c>
      <c r="F23" s="1">
        <v>1.2230000000000001</v>
      </c>
      <c r="G23" s="1">
        <v>1.2330000000000001</v>
      </c>
      <c r="H23" s="1">
        <v>1.226</v>
      </c>
      <c r="I23" s="1">
        <v>1.2330000000000001</v>
      </c>
      <c r="J23" s="1">
        <v>1.23</v>
      </c>
      <c r="K23" s="1">
        <v>1.232</v>
      </c>
      <c r="L23" s="1">
        <v>1.2230000000000001</v>
      </c>
      <c r="M23" s="1">
        <v>1.228</v>
      </c>
      <c r="N23" s="1">
        <v>1.2290000000000001</v>
      </c>
      <c r="O23" s="1">
        <v>1.232</v>
      </c>
      <c r="P23" s="1">
        <v>1.228</v>
      </c>
      <c r="Q23" s="1">
        <v>1.228</v>
      </c>
      <c r="R23" s="1">
        <v>1.236</v>
      </c>
      <c r="S23" s="1">
        <v>1.226</v>
      </c>
      <c r="T23" s="1">
        <v>1.232</v>
      </c>
      <c r="U23" s="1">
        <v>1.23</v>
      </c>
      <c r="V23" s="1">
        <v>1.226</v>
      </c>
      <c r="W23" s="1">
        <v>1.232</v>
      </c>
      <c r="X23" s="1">
        <v>1.2150000000000001</v>
      </c>
      <c r="Y23" s="1">
        <v>1.226</v>
      </c>
      <c r="Z23" s="1">
        <v>1.236</v>
      </c>
      <c r="AA23" s="1">
        <v>1.234</v>
      </c>
      <c r="AB23" s="1">
        <v>1.2290000000000001</v>
      </c>
      <c r="AC23" s="1">
        <v>1.234</v>
      </c>
      <c r="AD23" s="1">
        <v>1.23</v>
      </c>
      <c r="AE23" s="1">
        <v>1.232</v>
      </c>
      <c r="AF23" s="1">
        <v>1.234</v>
      </c>
      <c r="AG23" s="1">
        <v>1.2290000000000001</v>
      </c>
      <c r="AH23" s="1">
        <v>1.228</v>
      </c>
      <c r="AI23" s="1">
        <v>1.2290000000000001</v>
      </c>
      <c r="AJ23" s="1">
        <v>1.228</v>
      </c>
      <c r="AK23" s="1">
        <v>1.234</v>
      </c>
      <c r="AL23" s="1">
        <v>1.232</v>
      </c>
      <c r="AM23" s="1">
        <v>1.228</v>
      </c>
      <c r="AN23" s="1">
        <v>1.226</v>
      </c>
      <c r="AO23" s="1">
        <v>1.228</v>
      </c>
      <c r="AP23" s="1">
        <v>1.23</v>
      </c>
      <c r="AQ23" s="1">
        <v>1.232</v>
      </c>
      <c r="AR23" s="1">
        <v>1.232</v>
      </c>
      <c r="AS23" s="1">
        <v>1.226</v>
      </c>
      <c r="AT23" s="1">
        <v>1.234</v>
      </c>
      <c r="AU23" s="1">
        <v>1.228</v>
      </c>
      <c r="AV23" s="1">
        <v>1.228</v>
      </c>
      <c r="AW23" s="1">
        <v>1.2330000000000001</v>
      </c>
      <c r="AX23" s="1">
        <v>1.232</v>
      </c>
      <c r="AY23" s="1">
        <v>1.23</v>
      </c>
      <c r="AZ23" s="1">
        <v>1.23</v>
      </c>
      <c r="BA23" s="1">
        <v>1.2290000000000001</v>
      </c>
      <c r="BB23" s="1">
        <v>1.23</v>
      </c>
      <c r="BC23" s="1">
        <v>1.228</v>
      </c>
      <c r="BD23" s="1">
        <v>1.2330000000000001</v>
      </c>
      <c r="BE23" s="1">
        <v>1.23</v>
      </c>
      <c r="BF23" s="1">
        <v>1.23</v>
      </c>
      <c r="BG23" s="1">
        <v>1.228</v>
      </c>
      <c r="BH23" s="1">
        <v>1.2230000000000001</v>
      </c>
      <c r="BI23" s="1">
        <v>1.2290000000000001</v>
      </c>
      <c r="BJ23" s="1">
        <v>1.23</v>
      </c>
      <c r="BK23" s="1">
        <v>1.2230000000000001</v>
      </c>
      <c r="BL23" s="1">
        <v>1.234</v>
      </c>
      <c r="BN23" s="9">
        <v>24</v>
      </c>
      <c r="BO23" s="9">
        <v>210</v>
      </c>
      <c r="BP23" s="10">
        <f t="shared" si="0"/>
        <v>4.2499999999999344E-3</v>
      </c>
      <c r="BQ23" s="10">
        <f t="shared" si="1"/>
        <v>-6.3124999999999848E-3</v>
      </c>
      <c r="BR23" s="10">
        <f t="shared" si="2"/>
        <v>1.8125000000000224E-3</v>
      </c>
      <c r="BS23" s="10">
        <f t="shared" si="3"/>
        <v>-3.8750000000000728E-3</v>
      </c>
      <c r="BT23" s="10">
        <f t="shared" si="4"/>
        <v>1.8125000000000224E-3</v>
      </c>
      <c r="BU23" s="10">
        <f t="shared" si="5"/>
        <v>-6.2500000000006994E-4</v>
      </c>
      <c r="BV23" s="10">
        <f t="shared" si="6"/>
        <v>9.999999999999315E-4</v>
      </c>
      <c r="BW23" s="10">
        <f t="shared" si="7"/>
        <v>-6.3124999999999848E-3</v>
      </c>
      <c r="BX23" s="10">
        <f t="shared" si="8"/>
        <v>-2.2500000000000714E-3</v>
      </c>
      <c r="BY23" s="10">
        <f t="shared" si="9"/>
        <v>-1.4374999999999805E-3</v>
      </c>
      <c r="BZ23" s="10">
        <f t="shared" si="10"/>
        <v>9.999999999999315E-4</v>
      </c>
      <c r="CA23" s="10">
        <f t="shared" si="11"/>
        <v>-2.2500000000000714E-3</v>
      </c>
      <c r="CB23" s="10">
        <f t="shared" si="12"/>
        <v>-2.2500000000000714E-3</v>
      </c>
      <c r="CC23" s="10">
        <f t="shared" si="13"/>
        <v>4.2499999999999344E-3</v>
      </c>
      <c r="CD23" s="10">
        <f t="shared" si="14"/>
        <v>-3.8750000000000728E-3</v>
      </c>
      <c r="CE23" s="10">
        <f t="shared" si="15"/>
        <v>9.999999999999315E-4</v>
      </c>
      <c r="CF23" s="10">
        <f t="shared" si="16"/>
        <v>-6.2500000000006994E-4</v>
      </c>
      <c r="CG23" s="10">
        <f t="shared" si="17"/>
        <v>-3.8750000000000728E-3</v>
      </c>
      <c r="CH23" s="10">
        <f t="shared" si="18"/>
        <v>9.999999999999315E-4</v>
      </c>
      <c r="CI23" s="10">
        <f t="shared" si="19"/>
        <v>-1.2812499999999991E-2</v>
      </c>
      <c r="CJ23" s="10">
        <f t="shared" si="20"/>
        <v>-3.8750000000000728E-3</v>
      </c>
      <c r="CK23" s="10">
        <f t="shared" si="21"/>
        <v>4.2499999999999344E-3</v>
      </c>
      <c r="CL23" s="10">
        <f t="shared" si="22"/>
        <v>2.6249999999999329E-3</v>
      </c>
      <c r="CM23" s="10">
        <f t="shared" si="23"/>
        <v>-1.4374999999999805E-3</v>
      </c>
      <c r="CN23" s="10">
        <f t="shared" si="24"/>
        <v>2.6249999999999329E-3</v>
      </c>
      <c r="CO23" s="10">
        <f t="shared" si="25"/>
        <v>-6.2500000000006994E-4</v>
      </c>
      <c r="CP23" s="10">
        <f t="shared" si="26"/>
        <v>9.999999999999315E-4</v>
      </c>
      <c r="CQ23" s="10">
        <f t="shared" si="27"/>
        <v>2.6249999999999329E-3</v>
      </c>
      <c r="CR23" s="10">
        <f t="shared" si="28"/>
        <v>-1.4374999999999805E-3</v>
      </c>
      <c r="CS23" s="10">
        <f t="shared" si="29"/>
        <v>-2.2500000000000714E-3</v>
      </c>
      <c r="CT23" s="10">
        <f t="shared" si="30"/>
        <v>-1.4374999999999805E-3</v>
      </c>
      <c r="CU23" s="10">
        <f t="shared" si="31"/>
        <v>-2.2500000000000714E-3</v>
      </c>
      <c r="CV23" s="10">
        <f t="shared" si="32"/>
        <v>2.6249999999999329E-3</v>
      </c>
      <c r="CW23" s="10">
        <f t="shared" si="33"/>
        <v>9.999999999999315E-4</v>
      </c>
      <c r="CX23" s="10">
        <f t="shared" si="34"/>
        <v>-2.2500000000000714E-3</v>
      </c>
      <c r="CY23" s="10">
        <f t="shared" si="35"/>
        <v>-3.8750000000000728E-3</v>
      </c>
      <c r="CZ23" s="10">
        <f t="shared" si="36"/>
        <v>-2.2500000000000714E-3</v>
      </c>
      <c r="DA23" s="10">
        <f t="shared" si="37"/>
        <v>-6.2500000000006994E-4</v>
      </c>
      <c r="DB23" s="10">
        <f t="shared" si="38"/>
        <v>9.999999999999315E-4</v>
      </c>
      <c r="DC23" s="10">
        <f t="shared" si="39"/>
        <v>9.999999999999315E-4</v>
      </c>
      <c r="DD23" s="10">
        <f t="shared" si="40"/>
        <v>-3.8750000000000728E-3</v>
      </c>
      <c r="DE23" s="10">
        <f t="shared" si="41"/>
        <v>2.6249999999999329E-3</v>
      </c>
      <c r="DF23" s="10">
        <f t="shared" si="42"/>
        <v>-2.2500000000000714E-3</v>
      </c>
      <c r="DG23" s="10">
        <f t="shared" si="43"/>
        <v>-2.2500000000000714E-3</v>
      </c>
      <c r="DH23" s="10">
        <f t="shared" si="44"/>
        <v>1.8125000000000224E-3</v>
      </c>
      <c r="DI23" s="10">
        <f t="shared" si="45"/>
        <v>9.999999999999315E-4</v>
      </c>
      <c r="DJ23" s="10">
        <f t="shared" si="46"/>
        <v>-6.2500000000006994E-4</v>
      </c>
      <c r="DK23" s="10">
        <f t="shared" si="47"/>
        <v>-6.2500000000006994E-4</v>
      </c>
      <c r="DL23" s="10">
        <f t="shared" si="48"/>
        <v>-1.4374999999999805E-3</v>
      </c>
      <c r="DM23" s="10">
        <f t="shared" si="49"/>
        <v>-6.2500000000006994E-4</v>
      </c>
      <c r="DN23" s="10">
        <f t="shared" si="50"/>
        <v>-2.2500000000000714E-3</v>
      </c>
      <c r="DO23" s="10">
        <f t="shared" si="51"/>
        <v>1.8125000000000224E-3</v>
      </c>
      <c r="DP23" s="10">
        <f t="shared" si="52"/>
        <v>-6.2500000000006994E-4</v>
      </c>
      <c r="DQ23" s="10">
        <f t="shared" si="53"/>
        <v>-6.2500000000006994E-4</v>
      </c>
      <c r="DR23" s="10">
        <f t="shared" si="54"/>
        <v>-2.2500000000000714E-3</v>
      </c>
      <c r="DS23" s="10">
        <f t="shared" si="55"/>
        <v>-6.3124999999999848E-3</v>
      </c>
      <c r="DT23" s="10">
        <f t="shared" si="56"/>
        <v>-1.4374999999999805E-3</v>
      </c>
      <c r="DU23" s="10">
        <f t="shared" si="57"/>
        <v>-6.2500000000006994E-4</v>
      </c>
      <c r="DV23" s="10">
        <f t="shared" si="58"/>
        <v>-6.3124999999999848E-3</v>
      </c>
      <c r="DW23" s="10">
        <f t="shared" si="59"/>
        <v>2.6249999999999329E-3</v>
      </c>
    </row>
    <row r="24" spans="2:127" x14ac:dyDescent="0.45">
      <c r="B24" s="1">
        <v>24</v>
      </c>
      <c r="C24" s="1">
        <v>225</v>
      </c>
      <c r="D24" s="7">
        <f t="shared" si="60"/>
        <v>1.3186813186813187</v>
      </c>
      <c r="E24" s="1">
        <v>1.3220000000000001</v>
      </c>
      <c r="F24" s="1">
        <v>1.31</v>
      </c>
      <c r="G24" s="1">
        <v>1.3220000000000001</v>
      </c>
      <c r="H24" s="1">
        <v>1.3140000000000001</v>
      </c>
      <c r="I24" s="1">
        <v>1.32</v>
      </c>
      <c r="J24" s="1">
        <v>1.3169999999999999</v>
      </c>
      <c r="K24" s="1">
        <v>1.321</v>
      </c>
      <c r="L24" s="1">
        <v>1.3160000000000001</v>
      </c>
      <c r="M24" s="1">
        <v>1.3140000000000001</v>
      </c>
      <c r="N24" s="1">
        <v>1.3180000000000001</v>
      </c>
      <c r="O24" s="1">
        <v>1.32</v>
      </c>
      <c r="P24" s="1">
        <v>1.3140000000000001</v>
      </c>
      <c r="Q24" s="1">
        <v>1.3169999999999999</v>
      </c>
      <c r="R24" s="1">
        <v>1.3220000000000001</v>
      </c>
      <c r="S24" s="1">
        <v>1.3140000000000001</v>
      </c>
      <c r="T24" s="1">
        <v>1.3169999999999999</v>
      </c>
      <c r="U24" s="1">
        <v>1.3180000000000001</v>
      </c>
      <c r="V24" s="1">
        <v>1.3129999999999999</v>
      </c>
      <c r="W24" s="1">
        <v>1.32</v>
      </c>
      <c r="X24" s="1">
        <v>1.3049999999999999</v>
      </c>
      <c r="Y24" s="1">
        <v>1.3129999999999999</v>
      </c>
      <c r="Z24" s="1">
        <v>1.3240000000000001</v>
      </c>
      <c r="AA24" s="1">
        <v>1.3240000000000001</v>
      </c>
      <c r="AB24" s="1">
        <v>1.3180000000000001</v>
      </c>
      <c r="AC24" s="1">
        <v>1.321</v>
      </c>
      <c r="AD24" s="1">
        <v>1.3180000000000001</v>
      </c>
      <c r="AE24" s="1">
        <v>1.32</v>
      </c>
      <c r="AF24" s="1">
        <v>1.321</v>
      </c>
      <c r="AG24" s="1">
        <v>1.3169999999999999</v>
      </c>
      <c r="AH24" s="1">
        <v>1.3140000000000001</v>
      </c>
      <c r="AI24" s="1">
        <v>1.3169999999999999</v>
      </c>
      <c r="AJ24" s="1">
        <v>1.3169999999999999</v>
      </c>
      <c r="AK24" s="1">
        <v>1.321</v>
      </c>
      <c r="AL24" s="1">
        <v>1.3180000000000001</v>
      </c>
      <c r="AM24" s="1">
        <v>1.3129999999999999</v>
      </c>
      <c r="AN24" s="1">
        <v>1.3129999999999999</v>
      </c>
      <c r="AO24" s="1">
        <v>1.3140000000000001</v>
      </c>
      <c r="AP24" s="1">
        <v>1.3180000000000001</v>
      </c>
      <c r="AQ24" s="1">
        <v>1.321</v>
      </c>
      <c r="AR24" s="1">
        <v>1.32</v>
      </c>
      <c r="AS24" s="1">
        <v>1.3129999999999999</v>
      </c>
      <c r="AT24" s="1">
        <v>1.321</v>
      </c>
      <c r="AU24" s="1">
        <v>1.3160000000000001</v>
      </c>
      <c r="AV24" s="1">
        <v>1.32</v>
      </c>
      <c r="AW24" s="1">
        <v>1.321</v>
      </c>
      <c r="AX24" s="1">
        <v>1.3180000000000001</v>
      </c>
      <c r="AY24" s="1">
        <v>1.32</v>
      </c>
      <c r="AZ24" s="1">
        <v>1.3160000000000001</v>
      </c>
      <c r="BA24" s="1">
        <v>1.3169999999999999</v>
      </c>
      <c r="BB24" s="1">
        <v>1.3169999999999999</v>
      </c>
      <c r="BC24" s="1">
        <v>1.3160000000000001</v>
      </c>
      <c r="BD24" s="1">
        <v>1.32</v>
      </c>
      <c r="BE24" s="1">
        <v>1.32</v>
      </c>
      <c r="BF24" s="1">
        <v>1.3169999999999999</v>
      </c>
      <c r="BG24" s="1">
        <v>1.3140000000000001</v>
      </c>
      <c r="BH24" s="1">
        <v>1.3169999999999999</v>
      </c>
      <c r="BI24" s="1">
        <v>1.3129999999999999</v>
      </c>
      <c r="BJ24" s="1">
        <v>1.3180000000000001</v>
      </c>
      <c r="BK24" s="1">
        <v>1.3120000000000001</v>
      </c>
      <c r="BL24" s="1">
        <v>1.3220000000000001</v>
      </c>
      <c r="BN24" s="9">
        <v>24</v>
      </c>
      <c r="BO24" s="9">
        <v>225</v>
      </c>
      <c r="BP24" s="10">
        <f t="shared" si="0"/>
        <v>2.5166666666667317E-3</v>
      </c>
      <c r="BQ24" s="10">
        <f t="shared" si="1"/>
        <v>-6.5833333333332762E-3</v>
      </c>
      <c r="BR24" s="10">
        <f t="shared" si="2"/>
        <v>2.5166666666667317E-3</v>
      </c>
      <c r="BS24" s="10">
        <f t="shared" si="3"/>
        <v>-3.5499999999999404E-3</v>
      </c>
      <c r="BT24" s="10">
        <f t="shared" si="4"/>
        <v>1.0000000000000638E-3</v>
      </c>
      <c r="BU24" s="10">
        <f t="shared" si="5"/>
        <v>-1.2750000000000224E-3</v>
      </c>
      <c r="BV24" s="10">
        <f t="shared" si="6"/>
        <v>1.7583333333333136E-3</v>
      </c>
      <c r="BW24" s="10">
        <f t="shared" si="7"/>
        <v>-2.0333333333332725E-3</v>
      </c>
      <c r="BX24" s="10">
        <f t="shared" si="8"/>
        <v>-3.5499999999999404E-3</v>
      </c>
      <c r="BY24" s="10">
        <f t="shared" si="9"/>
        <v>-5.1666666666660423E-4</v>
      </c>
      <c r="BZ24" s="10">
        <f t="shared" si="10"/>
        <v>1.0000000000000638E-3</v>
      </c>
      <c r="CA24" s="10">
        <f t="shared" si="11"/>
        <v>-3.5499999999999404E-3</v>
      </c>
      <c r="CB24" s="10">
        <f t="shared" si="12"/>
        <v>-1.2750000000000224E-3</v>
      </c>
      <c r="CC24" s="10">
        <f t="shared" si="13"/>
        <v>2.5166666666667317E-3</v>
      </c>
      <c r="CD24" s="10">
        <f t="shared" si="14"/>
        <v>-3.5499999999999404E-3</v>
      </c>
      <c r="CE24" s="10">
        <f t="shared" si="15"/>
        <v>-1.2750000000000224E-3</v>
      </c>
      <c r="CF24" s="10">
        <f t="shared" si="16"/>
        <v>-5.1666666666660423E-4</v>
      </c>
      <c r="CG24" s="10">
        <f t="shared" si="17"/>
        <v>-4.3083333333333584E-3</v>
      </c>
      <c r="CH24" s="10">
        <f t="shared" si="18"/>
        <v>1.0000000000000638E-3</v>
      </c>
      <c r="CI24" s="10">
        <f t="shared" si="19"/>
        <v>-1.037500000000003E-2</v>
      </c>
      <c r="CJ24" s="10">
        <f t="shared" si="20"/>
        <v>-4.3083333333333584E-3</v>
      </c>
      <c r="CK24" s="10">
        <f t="shared" si="21"/>
        <v>4.0333333333334E-3</v>
      </c>
      <c r="CL24" s="10">
        <f t="shared" si="22"/>
        <v>4.0333333333334E-3</v>
      </c>
      <c r="CM24" s="10">
        <f t="shared" si="23"/>
        <v>-5.1666666666660423E-4</v>
      </c>
      <c r="CN24" s="10">
        <f t="shared" si="24"/>
        <v>1.7583333333333136E-3</v>
      </c>
      <c r="CO24" s="10">
        <f t="shared" si="25"/>
        <v>-5.1666666666660423E-4</v>
      </c>
      <c r="CP24" s="10">
        <f t="shared" si="26"/>
        <v>1.0000000000000638E-3</v>
      </c>
      <c r="CQ24" s="10">
        <f t="shared" si="27"/>
        <v>1.7583333333333136E-3</v>
      </c>
      <c r="CR24" s="10">
        <f t="shared" si="28"/>
        <v>-1.2750000000000224E-3</v>
      </c>
      <c r="CS24" s="10">
        <f t="shared" si="29"/>
        <v>-3.5499999999999404E-3</v>
      </c>
      <c r="CT24" s="10">
        <f t="shared" si="30"/>
        <v>-1.2750000000000224E-3</v>
      </c>
      <c r="CU24" s="10">
        <f t="shared" si="31"/>
        <v>-1.2750000000000224E-3</v>
      </c>
      <c r="CV24" s="10">
        <f t="shared" si="32"/>
        <v>1.7583333333333136E-3</v>
      </c>
      <c r="CW24" s="10">
        <f t="shared" si="33"/>
        <v>-5.1666666666660423E-4</v>
      </c>
      <c r="CX24" s="10">
        <f t="shared" si="34"/>
        <v>-4.3083333333333584E-3</v>
      </c>
      <c r="CY24" s="10">
        <f t="shared" si="35"/>
        <v>-4.3083333333333584E-3</v>
      </c>
      <c r="CZ24" s="10">
        <f t="shared" si="36"/>
        <v>-3.5499999999999404E-3</v>
      </c>
      <c r="DA24" s="10">
        <f t="shared" si="37"/>
        <v>-5.1666666666660423E-4</v>
      </c>
      <c r="DB24" s="10">
        <f t="shared" si="38"/>
        <v>1.7583333333333136E-3</v>
      </c>
      <c r="DC24" s="10">
        <f t="shared" si="39"/>
        <v>1.0000000000000638E-3</v>
      </c>
      <c r="DD24" s="10">
        <f t="shared" si="40"/>
        <v>-4.3083333333333584E-3</v>
      </c>
      <c r="DE24" s="10">
        <f t="shared" si="41"/>
        <v>1.7583333333333136E-3</v>
      </c>
      <c r="DF24" s="10">
        <f t="shared" si="42"/>
        <v>-2.0333333333332725E-3</v>
      </c>
      <c r="DG24" s="10">
        <f t="shared" si="43"/>
        <v>1.0000000000000638E-3</v>
      </c>
      <c r="DH24" s="10">
        <f t="shared" si="44"/>
        <v>1.7583333333333136E-3</v>
      </c>
      <c r="DI24" s="10">
        <f t="shared" si="45"/>
        <v>-5.1666666666660423E-4</v>
      </c>
      <c r="DJ24" s="10">
        <f t="shared" si="46"/>
        <v>1.0000000000000638E-3</v>
      </c>
      <c r="DK24" s="10">
        <f t="shared" si="47"/>
        <v>-2.0333333333332725E-3</v>
      </c>
      <c r="DL24" s="10">
        <f t="shared" si="48"/>
        <v>-1.2750000000000224E-3</v>
      </c>
      <c r="DM24" s="10">
        <f t="shared" si="49"/>
        <v>-1.2750000000000224E-3</v>
      </c>
      <c r="DN24" s="10">
        <f t="shared" si="50"/>
        <v>-2.0333333333332725E-3</v>
      </c>
      <c r="DO24" s="10">
        <f t="shared" si="51"/>
        <v>1.0000000000000638E-3</v>
      </c>
      <c r="DP24" s="10">
        <f t="shared" si="52"/>
        <v>1.0000000000000638E-3</v>
      </c>
      <c r="DQ24" s="10">
        <f t="shared" si="53"/>
        <v>-1.2750000000000224E-3</v>
      </c>
      <c r="DR24" s="10">
        <f t="shared" si="54"/>
        <v>-3.5499999999999404E-3</v>
      </c>
      <c r="DS24" s="10">
        <f t="shared" si="55"/>
        <v>-1.2750000000000224E-3</v>
      </c>
      <c r="DT24" s="10">
        <f t="shared" si="56"/>
        <v>-4.3083333333333584E-3</v>
      </c>
      <c r="DU24" s="10">
        <f t="shared" si="57"/>
        <v>-5.1666666666660423E-4</v>
      </c>
      <c r="DV24" s="10">
        <f t="shared" si="58"/>
        <v>-5.0666666666666083E-3</v>
      </c>
      <c r="DW24" s="10">
        <f t="shared" si="59"/>
        <v>2.5166666666667317E-3</v>
      </c>
    </row>
    <row r="25" spans="2:127" x14ac:dyDescent="0.45">
      <c r="B25" s="1">
        <v>24</v>
      </c>
      <c r="C25" s="1">
        <v>240</v>
      </c>
      <c r="D25" s="7">
        <f t="shared" si="60"/>
        <v>1.4065934065934067</v>
      </c>
      <c r="E25" s="1">
        <v>1.4079999999999999</v>
      </c>
      <c r="F25" s="1">
        <v>1.401</v>
      </c>
      <c r="G25" s="1">
        <v>1.409</v>
      </c>
      <c r="H25" s="1">
        <v>1.4039999999999999</v>
      </c>
      <c r="I25" s="1">
        <v>1.409</v>
      </c>
      <c r="J25" s="1">
        <v>1.405</v>
      </c>
      <c r="K25" s="1">
        <v>1.411</v>
      </c>
      <c r="L25" s="1">
        <v>1.397</v>
      </c>
      <c r="M25" s="1">
        <v>1.4039999999999999</v>
      </c>
      <c r="N25" s="1">
        <v>1.407</v>
      </c>
      <c r="O25" s="1">
        <v>1.407</v>
      </c>
      <c r="P25" s="1">
        <v>1.4019999999999999</v>
      </c>
      <c r="Q25" s="1">
        <v>1.405</v>
      </c>
      <c r="R25" s="1">
        <v>1.411</v>
      </c>
      <c r="S25" s="1">
        <v>1.4019999999999999</v>
      </c>
      <c r="T25" s="1">
        <v>1.4039999999999999</v>
      </c>
      <c r="U25" s="1">
        <v>1.407</v>
      </c>
      <c r="V25" s="1">
        <v>1.4</v>
      </c>
      <c r="W25" s="1">
        <v>1.4079999999999999</v>
      </c>
      <c r="X25" s="1">
        <v>1.3959999999999999</v>
      </c>
      <c r="Y25" s="1">
        <v>1.4</v>
      </c>
      <c r="Z25" s="1">
        <v>1.409</v>
      </c>
      <c r="AA25" s="1">
        <v>1.4119999999999999</v>
      </c>
      <c r="AB25" s="1">
        <v>1.407</v>
      </c>
      <c r="AC25" s="1">
        <v>1.409</v>
      </c>
      <c r="AD25" s="1">
        <v>1.405</v>
      </c>
      <c r="AE25" s="1">
        <v>1.407</v>
      </c>
      <c r="AF25" s="1">
        <v>1.409</v>
      </c>
      <c r="AG25" s="1">
        <v>1.405</v>
      </c>
      <c r="AH25" s="1">
        <v>1.4019999999999999</v>
      </c>
      <c r="AI25" s="1">
        <v>1.4039999999999999</v>
      </c>
      <c r="AJ25" s="1">
        <v>1.407</v>
      </c>
      <c r="AK25" s="1">
        <v>1.409</v>
      </c>
      <c r="AL25" s="1">
        <v>1.405</v>
      </c>
      <c r="AM25" s="1">
        <v>1.4039999999999999</v>
      </c>
      <c r="AN25" s="1">
        <v>1.4019999999999999</v>
      </c>
      <c r="AO25" s="1">
        <v>1.4</v>
      </c>
      <c r="AP25" s="1">
        <v>1.405</v>
      </c>
      <c r="AQ25" s="1">
        <v>1.407</v>
      </c>
      <c r="AR25" s="1">
        <v>1.4079999999999999</v>
      </c>
      <c r="AS25" s="1">
        <v>1.4039999999999999</v>
      </c>
      <c r="AT25" s="1">
        <v>1.409</v>
      </c>
      <c r="AU25" s="1">
        <v>1.4039999999999999</v>
      </c>
      <c r="AV25" s="1">
        <v>1.4079999999999999</v>
      </c>
      <c r="AW25" s="1">
        <v>1.4079999999999999</v>
      </c>
      <c r="AX25" s="1">
        <v>1.405</v>
      </c>
      <c r="AY25" s="1">
        <v>1.4079999999999999</v>
      </c>
      <c r="AZ25" s="1">
        <v>1.4019999999999999</v>
      </c>
      <c r="BA25" s="1">
        <v>1.405</v>
      </c>
      <c r="BB25" s="1">
        <v>1.405</v>
      </c>
      <c r="BC25" s="1">
        <v>1.4019999999999999</v>
      </c>
      <c r="BD25" s="1">
        <v>1.4079999999999999</v>
      </c>
      <c r="BE25" s="1">
        <v>1.4079999999999999</v>
      </c>
      <c r="BF25" s="1">
        <v>1.405</v>
      </c>
      <c r="BG25" s="1">
        <v>1.405</v>
      </c>
      <c r="BH25" s="1">
        <v>1.4039999999999999</v>
      </c>
      <c r="BI25" s="1">
        <v>1.397</v>
      </c>
      <c r="BJ25" s="1">
        <v>1.407</v>
      </c>
      <c r="BK25" s="1">
        <v>1.4</v>
      </c>
      <c r="BL25" s="1">
        <v>1.407</v>
      </c>
      <c r="BN25" s="9">
        <v>24</v>
      </c>
      <c r="BO25" s="9">
        <v>240</v>
      </c>
      <c r="BP25" s="10">
        <f t="shared" si="0"/>
        <v>9.9999999999986385E-4</v>
      </c>
      <c r="BQ25" s="10">
        <f t="shared" si="1"/>
        <v>-3.9765625000000616E-3</v>
      </c>
      <c r="BR25" s="10">
        <f t="shared" si="2"/>
        <v>1.7109374999999432E-3</v>
      </c>
      <c r="BS25" s="10">
        <f t="shared" si="3"/>
        <v>-1.8437500000001385E-3</v>
      </c>
      <c r="BT25" s="10">
        <f t="shared" si="4"/>
        <v>1.7109374999999432E-3</v>
      </c>
      <c r="BU25" s="10">
        <f t="shared" si="5"/>
        <v>-1.1328125000000591E-3</v>
      </c>
      <c r="BV25" s="10">
        <f t="shared" si="6"/>
        <v>3.1328124999999442E-3</v>
      </c>
      <c r="BW25" s="10">
        <f t="shared" si="7"/>
        <v>-6.8203125000000633E-3</v>
      </c>
      <c r="BX25" s="10">
        <f t="shared" si="8"/>
        <v>-1.8437500000001385E-3</v>
      </c>
      <c r="BY25" s="10">
        <f t="shared" si="9"/>
        <v>2.8906249999994214E-4</v>
      </c>
      <c r="BZ25" s="10">
        <f t="shared" si="10"/>
        <v>2.8906249999994214E-4</v>
      </c>
      <c r="CA25" s="10">
        <f t="shared" si="11"/>
        <v>-3.2656250000001395E-3</v>
      </c>
      <c r="CB25" s="10">
        <f t="shared" si="12"/>
        <v>-1.1328125000000591E-3</v>
      </c>
      <c r="CC25" s="10">
        <f t="shared" si="13"/>
        <v>3.1328124999999442E-3</v>
      </c>
      <c r="CD25" s="10">
        <f t="shared" si="14"/>
        <v>-3.2656250000001395E-3</v>
      </c>
      <c r="CE25" s="10">
        <f t="shared" si="15"/>
        <v>-1.8437500000001385E-3</v>
      </c>
      <c r="CF25" s="10">
        <f t="shared" si="16"/>
        <v>2.8906249999994214E-4</v>
      </c>
      <c r="CG25" s="10">
        <f t="shared" si="17"/>
        <v>-4.6875000000001412E-3</v>
      </c>
      <c r="CH25" s="10">
        <f t="shared" si="18"/>
        <v>9.9999999999986385E-4</v>
      </c>
      <c r="CI25" s="10">
        <f t="shared" si="19"/>
        <v>-7.5312500000001429E-3</v>
      </c>
      <c r="CJ25" s="10">
        <f t="shared" si="20"/>
        <v>-4.6875000000001412E-3</v>
      </c>
      <c r="CK25" s="10">
        <f t="shared" si="21"/>
        <v>1.7109374999999432E-3</v>
      </c>
      <c r="CL25" s="10">
        <f t="shared" si="22"/>
        <v>3.8437499999998659E-3</v>
      </c>
      <c r="CM25" s="10">
        <f t="shared" si="23"/>
        <v>2.8906249999994214E-4</v>
      </c>
      <c r="CN25" s="10">
        <f t="shared" si="24"/>
        <v>1.7109374999999432E-3</v>
      </c>
      <c r="CO25" s="10">
        <f t="shared" si="25"/>
        <v>-1.1328125000000591E-3</v>
      </c>
      <c r="CP25" s="10">
        <f t="shared" si="26"/>
        <v>2.8906249999994214E-4</v>
      </c>
      <c r="CQ25" s="10">
        <f t="shared" si="27"/>
        <v>1.7109374999999432E-3</v>
      </c>
      <c r="CR25" s="10">
        <f t="shared" si="28"/>
        <v>-1.1328125000000591E-3</v>
      </c>
      <c r="CS25" s="10">
        <f t="shared" si="29"/>
        <v>-3.2656250000001395E-3</v>
      </c>
      <c r="CT25" s="10">
        <f t="shared" si="30"/>
        <v>-1.8437500000001385E-3</v>
      </c>
      <c r="CU25" s="10">
        <f t="shared" si="31"/>
        <v>2.8906249999994214E-4</v>
      </c>
      <c r="CV25" s="10">
        <f t="shared" si="32"/>
        <v>1.7109374999999432E-3</v>
      </c>
      <c r="CW25" s="10">
        <f t="shared" si="33"/>
        <v>-1.1328125000000591E-3</v>
      </c>
      <c r="CX25" s="10">
        <f t="shared" si="34"/>
        <v>-1.8437500000001385E-3</v>
      </c>
      <c r="CY25" s="10">
        <f t="shared" si="35"/>
        <v>-3.2656250000001395E-3</v>
      </c>
      <c r="CZ25" s="10">
        <f t="shared" si="36"/>
        <v>-4.6875000000001412E-3</v>
      </c>
      <c r="DA25" s="10">
        <f t="shared" si="37"/>
        <v>-1.1328125000000591E-3</v>
      </c>
      <c r="DB25" s="10">
        <f t="shared" si="38"/>
        <v>2.8906249999994214E-4</v>
      </c>
      <c r="DC25" s="10">
        <f t="shared" si="39"/>
        <v>9.9999999999986385E-4</v>
      </c>
      <c r="DD25" s="10">
        <f t="shared" si="40"/>
        <v>-1.8437500000001385E-3</v>
      </c>
      <c r="DE25" s="10">
        <f t="shared" si="41"/>
        <v>1.7109374999999432E-3</v>
      </c>
      <c r="DF25" s="10">
        <f t="shared" si="42"/>
        <v>-1.8437500000001385E-3</v>
      </c>
      <c r="DG25" s="10">
        <f t="shared" si="43"/>
        <v>9.9999999999986385E-4</v>
      </c>
      <c r="DH25" s="10">
        <f t="shared" si="44"/>
        <v>9.9999999999986385E-4</v>
      </c>
      <c r="DI25" s="10">
        <f t="shared" si="45"/>
        <v>-1.1328125000000591E-3</v>
      </c>
      <c r="DJ25" s="10">
        <f t="shared" si="46"/>
        <v>9.9999999999986385E-4</v>
      </c>
      <c r="DK25" s="10">
        <f t="shared" si="47"/>
        <v>-3.2656250000001395E-3</v>
      </c>
      <c r="DL25" s="10">
        <f t="shared" si="48"/>
        <v>-1.1328125000000591E-3</v>
      </c>
      <c r="DM25" s="10">
        <f t="shared" si="49"/>
        <v>-1.1328125000000591E-3</v>
      </c>
      <c r="DN25" s="10">
        <f t="shared" si="50"/>
        <v>-3.2656250000001395E-3</v>
      </c>
      <c r="DO25" s="10">
        <f t="shared" si="51"/>
        <v>9.9999999999986385E-4</v>
      </c>
      <c r="DP25" s="10">
        <f t="shared" si="52"/>
        <v>9.9999999999986385E-4</v>
      </c>
      <c r="DQ25" s="10">
        <f t="shared" si="53"/>
        <v>-1.1328125000000591E-3</v>
      </c>
      <c r="DR25" s="10">
        <f t="shared" si="54"/>
        <v>-1.1328125000000591E-3</v>
      </c>
      <c r="DS25" s="10">
        <f t="shared" si="55"/>
        <v>-1.8437500000001385E-3</v>
      </c>
      <c r="DT25" s="10">
        <f t="shared" si="56"/>
        <v>-6.8203125000000633E-3</v>
      </c>
      <c r="DU25" s="10">
        <f t="shared" si="57"/>
        <v>2.8906249999994214E-4</v>
      </c>
      <c r="DV25" s="10">
        <f t="shared" si="58"/>
        <v>-4.6875000000001412E-3</v>
      </c>
      <c r="DW25" s="10">
        <f t="shared" si="59"/>
        <v>2.8906249999994214E-4</v>
      </c>
    </row>
    <row r="26" spans="2:127" x14ac:dyDescent="0.45">
      <c r="B26" s="1">
        <v>24</v>
      </c>
      <c r="C26" s="1">
        <v>255</v>
      </c>
      <c r="D26" s="7">
        <f t="shared" si="60"/>
        <v>1.4945054945054945</v>
      </c>
      <c r="E26" s="1">
        <v>1.4930000000000001</v>
      </c>
      <c r="F26" s="1">
        <v>1.4890000000000001</v>
      </c>
      <c r="G26" s="1">
        <v>1.496</v>
      </c>
      <c r="H26" s="1">
        <v>1.492</v>
      </c>
      <c r="I26" s="1">
        <v>1.496</v>
      </c>
      <c r="J26" s="1">
        <v>1.4930000000000001</v>
      </c>
      <c r="K26" s="1">
        <v>1.502</v>
      </c>
      <c r="L26" s="1">
        <v>1.4930000000000001</v>
      </c>
      <c r="M26" s="1">
        <v>1.4890000000000001</v>
      </c>
      <c r="N26" s="1">
        <v>1.496</v>
      </c>
      <c r="O26" s="1">
        <v>1.4930000000000001</v>
      </c>
      <c r="P26" s="1">
        <v>1.4890000000000001</v>
      </c>
      <c r="Q26" s="1">
        <v>1.4950000000000001</v>
      </c>
      <c r="R26" s="1">
        <v>1.4990000000000001</v>
      </c>
      <c r="S26" s="1">
        <v>1.4910000000000001</v>
      </c>
      <c r="T26" s="1">
        <v>1.4950000000000001</v>
      </c>
      <c r="U26" s="1">
        <v>1.4950000000000001</v>
      </c>
      <c r="V26" s="1">
        <v>1.4890000000000001</v>
      </c>
      <c r="W26" s="1">
        <v>1.496</v>
      </c>
      <c r="X26" s="1">
        <v>1.4890000000000001</v>
      </c>
      <c r="Y26" s="1">
        <v>1.496</v>
      </c>
      <c r="Z26" s="1">
        <v>1.496</v>
      </c>
      <c r="AA26" s="1">
        <v>1.4990000000000001</v>
      </c>
      <c r="AB26" s="1">
        <v>1.4950000000000001</v>
      </c>
      <c r="AC26" s="1">
        <v>1.496</v>
      </c>
      <c r="AD26" s="1">
        <v>1.4950000000000001</v>
      </c>
      <c r="AE26" s="1">
        <v>1.4950000000000001</v>
      </c>
      <c r="AF26" s="1">
        <v>1.4970000000000001</v>
      </c>
      <c r="AG26" s="1">
        <v>1.4930000000000001</v>
      </c>
      <c r="AH26" s="1">
        <v>1.4910000000000001</v>
      </c>
      <c r="AI26" s="1">
        <v>1.4910000000000001</v>
      </c>
      <c r="AJ26" s="1">
        <v>1.496</v>
      </c>
      <c r="AK26" s="1">
        <v>1.4950000000000001</v>
      </c>
      <c r="AL26" s="1">
        <v>1.4930000000000001</v>
      </c>
      <c r="AM26" s="1">
        <v>1.492</v>
      </c>
      <c r="AN26" s="1">
        <v>1.4910000000000001</v>
      </c>
      <c r="AO26" s="1">
        <v>1.4870000000000001</v>
      </c>
      <c r="AP26" s="1">
        <v>1.492</v>
      </c>
      <c r="AQ26" s="1">
        <v>1.4950000000000001</v>
      </c>
      <c r="AR26" s="1">
        <v>1.496</v>
      </c>
      <c r="AS26" s="1">
        <v>1.492</v>
      </c>
      <c r="AT26" s="1">
        <v>1.4950000000000001</v>
      </c>
      <c r="AU26" s="1">
        <v>1.488</v>
      </c>
      <c r="AV26" s="1">
        <v>1.4950000000000001</v>
      </c>
      <c r="AW26" s="1">
        <v>1.4950000000000001</v>
      </c>
      <c r="AX26" s="1">
        <v>1.4930000000000001</v>
      </c>
      <c r="AY26" s="1">
        <v>1.4970000000000001</v>
      </c>
      <c r="AZ26" s="1">
        <v>1.4910000000000001</v>
      </c>
      <c r="BA26" s="1">
        <v>1.492</v>
      </c>
      <c r="BB26" s="1">
        <v>1.4890000000000001</v>
      </c>
      <c r="BC26" s="1">
        <v>1.4850000000000001</v>
      </c>
      <c r="BD26" s="1">
        <v>1.4950000000000001</v>
      </c>
      <c r="BE26" s="1">
        <v>1.4950000000000001</v>
      </c>
      <c r="BF26" s="1">
        <v>1.496</v>
      </c>
      <c r="BG26" s="1">
        <v>1.496</v>
      </c>
      <c r="BH26" s="1">
        <v>1.4990000000000001</v>
      </c>
      <c r="BI26" s="1">
        <v>1.4850000000000001</v>
      </c>
      <c r="BJ26" s="1">
        <v>1.496</v>
      </c>
      <c r="BK26" s="1">
        <v>1.4930000000000001</v>
      </c>
      <c r="BL26" s="1">
        <v>1.4930000000000001</v>
      </c>
      <c r="BN26" s="9">
        <v>24</v>
      </c>
      <c r="BO26" s="9">
        <v>255</v>
      </c>
      <c r="BP26" s="10">
        <f t="shared" si="0"/>
        <v>-1.0073529411764135E-3</v>
      </c>
      <c r="BQ26" s="10">
        <f t="shared" si="1"/>
        <v>-3.6838235294117099E-3</v>
      </c>
      <c r="BR26" s="10">
        <f t="shared" si="2"/>
        <v>9.9999999999998463E-4</v>
      </c>
      <c r="BS26" s="10">
        <f t="shared" si="3"/>
        <v>-1.6764705882353118E-3</v>
      </c>
      <c r="BT26" s="10">
        <f t="shared" si="4"/>
        <v>9.9999999999998463E-4</v>
      </c>
      <c r="BU26" s="10">
        <f t="shared" si="5"/>
        <v>-1.0073529411764135E-3</v>
      </c>
      <c r="BV26" s="10">
        <f t="shared" si="6"/>
        <v>5.0147058823529289E-3</v>
      </c>
      <c r="BW26" s="10">
        <f t="shared" si="7"/>
        <v>-1.0073529411764135E-3</v>
      </c>
      <c r="BX26" s="10">
        <f t="shared" si="8"/>
        <v>-3.6838235294117099E-3</v>
      </c>
      <c r="BY26" s="10">
        <f t="shared" si="9"/>
        <v>9.9999999999998463E-4</v>
      </c>
      <c r="BZ26" s="10">
        <f t="shared" si="10"/>
        <v>-1.0073529411764135E-3</v>
      </c>
      <c r="CA26" s="10">
        <f t="shared" si="11"/>
        <v>-3.6838235294117099E-3</v>
      </c>
      <c r="CB26" s="10">
        <f t="shared" si="12"/>
        <v>3.3088235294123473E-4</v>
      </c>
      <c r="CC26" s="10">
        <f t="shared" si="13"/>
        <v>3.0073529411765313E-3</v>
      </c>
      <c r="CD26" s="10">
        <f t="shared" si="14"/>
        <v>-2.3455882352940616E-3</v>
      </c>
      <c r="CE26" s="10">
        <f t="shared" si="15"/>
        <v>3.3088235294123473E-4</v>
      </c>
      <c r="CF26" s="10">
        <f t="shared" si="16"/>
        <v>3.3088235294123473E-4</v>
      </c>
      <c r="CG26" s="10">
        <f t="shared" si="17"/>
        <v>-3.6838235294117099E-3</v>
      </c>
      <c r="CH26" s="10">
        <f t="shared" si="18"/>
        <v>9.9999999999998463E-4</v>
      </c>
      <c r="CI26" s="10">
        <f t="shared" si="19"/>
        <v>-3.6838235294117099E-3</v>
      </c>
      <c r="CJ26" s="10">
        <f t="shared" si="20"/>
        <v>9.9999999999998463E-4</v>
      </c>
      <c r="CK26" s="10">
        <f t="shared" si="21"/>
        <v>9.9999999999998463E-4</v>
      </c>
      <c r="CL26" s="10">
        <f t="shared" si="22"/>
        <v>3.0073529411765313E-3</v>
      </c>
      <c r="CM26" s="10">
        <f t="shared" si="23"/>
        <v>3.3088235294123473E-4</v>
      </c>
      <c r="CN26" s="10">
        <f t="shared" si="24"/>
        <v>9.9999999999998463E-4</v>
      </c>
      <c r="CO26" s="10">
        <f t="shared" si="25"/>
        <v>3.3088235294123473E-4</v>
      </c>
      <c r="CP26" s="10">
        <f t="shared" si="26"/>
        <v>3.3088235294123473E-4</v>
      </c>
      <c r="CQ26" s="10">
        <f t="shared" si="27"/>
        <v>1.6691176470588829E-3</v>
      </c>
      <c r="CR26" s="10">
        <f t="shared" si="28"/>
        <v>-1.0073529411764135E-3</v>
      </c>
      <c r="CS26" s="10">
        <f t="shared" si="29"/>
        <v>-2.3455882352940616E-3</v>
      </c>
      <c r="CT26" s="10">
        <f t="shared" si="30"/>
        <v>-2.3455882352940616E-3</v>
      </c>
      <c r="CU26" s="10">
        <f t="shared" si="31"/>
        <v>9.9999999999998463E-4</v>
      </c>
      <c r="CV26" s="10">
        <f t="shared" si="32"/>
        <v>3.3088235294123473E-4</v>
      </c>
      <c r="CW26" s="10">
        <f t="shared" si="33"/>
        <v>-1.0073529411764135E-3</v>
      </c>
      <c r="CX26" s="10">
        <f t="shared" si="34"/>
        <v>-1.6764705882353118E-3</v>
      </c>
      <c r="CY26" s="10">
        <f t="shared" si="35"/>
        <v>-2.3455882352940616E-3</v>
      </c>
      <c r="CZ26" s="10">
        <f t="shared" si="36"/>
        <v>-5.0220588235293578E-3</v>
      </c>
      <c r="DA26" s="10">
        <f t="shared" si="37"/>
        <v>-1.6764705882353118E-3</v>
      </c>
      <c r="DB26" s="10">
        <f t="shared" si="38"/>
        <v>3.3088235294123473E-4</v>
      </c>
      <c r="DC26" s="10">
        <f t="shared" si="39"/>
        <v>9.9999999999998463E-4</v>
      </c>
      <c r="DD26" s="10">
        <f t="shared" si="40"/>
        <v>-1.6764705882353118E-3</v>
      </c>
      <c r="DE26" s="10">
        <f t="shared" si="41"/>
        <v>3.3088235294123473E-4</v>
      </c>
      <c r="DF26" s="10">
        <f t="shared" si="42"/>
        <v>-4.352941176470608E-3</v>
      </c>
      <c r="DG26" s="10">
        <f t="shared" si="43"/>
        <v>3.3088235294123473E-4</v>
      </c>
      <c r="DH26" s="10">
        <f t="shared" si="44"/>
        <v>3.3088235294123473E-4</v>
      </c>
      <c r="DI26" s="10">
        <f t="shared" si="45"/>
        <v>-1.0073529411764135E-3</v>
      </c>
      <c r="DJ26" s="10">
        <f t="shared" si="46"/>
        <v>1.6691176470588829E-3</v>
      </c>
      <c r="DK26" s="10">
        <f t="shared" si="47"/>
        <v>-2.3455882352940616E-3</v>
      </c>
      <c r="DL26" s="10">
        <f t="shared" si="48"/>
        <v>-1.6764705882353118E-3</v>
      </c>
      <c r="DM26" s="10">
        <f t="shared" si="49"/>
        <v>-3.6838235294117099E-3</v>
      </c>
      <c r="DN26" s="10">
        <f t="shared" si="50"/>
        <v>-6.3602941176470066E-3</v>
      </c>
      <c r="DO26" s="10">
        <f t="shared" si="51"/>
        <v>3.3088235294123473E-4</v>
      </c>
      <c r="DP26" s="10">
        <f t="shared" si="52"/>
        <v>3.3088235294123473E-4</v>
      </c>
      <c r="DQ26" s="10">
        <f t="shared" si="53"/>
        <v>9.9999999999998463E-4</v>
      </c>
      <c r="DR26" s="10">
        <f t="shared" si="54"/>
        <v>9.9999999999998463E-4</v>
      </c>
      <c r="DS26" s="10">
        <f t="shared" si="55"/>
        <v>3.0073529411765313E-3</v>
      </c>
      <c r="DT26" s="10">
        <f t="shared" si="56"/>
        <v>-6.3602941176470066E-3</v>
      </c>
      <c r="DU26" s="10">
        <f t="shared" si="57"/>
        <v>9.9999999999998463E-4</v>
      </c>
      <c r="DV26" s="10">
        <f t="shared" si="58"/>
        <v>-1.0073529411764135E-3</v>
      </c>
      <c r="DW26" s="10">
        <f t="shared" si="59"/>
        <v>-1.0073529411764135E-3</v>
      </c>
    </row>
    <row r="27" spans="2:127" x14ac:dyDescent="0.45">
      <c r="B27" s="1">
        <v>24</v>
      </c>
      <c r="C27" s="1">
        <v>270</v>
      </c>
      <c r="D27" s="7">
        <f t="shared" si="60"/>
        <v>1.5824175824175823</v>
      </c>
      <c r="E27" s="1">
        <v>1.579</v>
      </c>
      <c r="F27" s="1">
        <v>1.579</v>
      </c>
      <c r="G27" s="1">
        <v>1.5820000000000001</v>
      </c>
      <c r="H27" s="1">
        <v>1.58</v>
      </c>
      <c r="I27" s="1">
        <v>1.5840000000000001</v>
      </c>
      <c r="J27" s="1">
        <v>1.5820000000000001</v>
      </c>
      <c r="K27" s="1">
        <v>1.59</v>
      </c>
      <c r="L27" s="1">
        <v>1.575</v>
      </c>
      <c r="M27" s="1">
        <v>1.579</v>
      </c>
      <c r="N27" s="1">
        <v>1.5860000000000001</v>
      </c>
      <c r="O27" s="1">
        <v>1.579</v>
      </c>
      <c r="P27" s="1">
        <v>1.577</v>
      </c>
      <c r="Q27" s="1">
        <v>1.5840000000000001</v>
      </c>
      <c r="R27" s="1">
        <v>1.587</v>
      </c>
      <c r="S27" s="1">
        <v>1.58</v>
      </c>
      <c r="T27" s="1">
        <v>1.5840000000000001</v>
      </c>
      <c r="U27" s="1">
        <v>1.5840000000000001</v>
      </c>
      <c r="V27" s="1">
        <v>1.579</v>
      </c>
      <c r="W27" s="1">
        <v>1.583</v>
      </c>
      <c r="X27" s="1">
        <v>1.579</v>
      </c>
      <c r="Y27" s="1">
        <v>1.58</v>
      </c>
      <c r="Z27" s="1">
        <v>1.5840000000000001</v>
      </c>
      <c r="AA27" s="1">
        <v>1.5880000000000001</v>
      </c>
      <c r="AB27" s="1">
        <v>1.5820000000000001</v>
      </c>
      <c r="AC27" s="1">
        <v>1.5820000000000001</v>
      </c>
      <c r="AD27" s="1">
        <v>1.5820000000000001</v>
      </c>
      <c r="AE27" s="1">
        <v>1.583</v>
      </c>
      <c r="AF27" s="1">
        <v>1.5860000000000001</v>
      </c>
      <c r="AG27" s="1">
        <v>1.583</v>
      </c>
      <c r="AH27" s="1">
        <v>1.58</v>
      </c>
      <c r="AI27" s="1">
        <v>1.5840000000000001</v>
      </c>
      <c r="AJ27" s="1">
        <v>1.5860000000000001</v>
      </c>
      <c r="AK27" s="1">
        <v>1.5840000000000001</v>
      </c>
      <c r="AL27" s="1">
        <v>1.5820000000000001</v>
      </c>
      <c r="AM27" s="1">
        <v>1.58</v>
      </c>
      <c r="AN27" s="1">
        <v>1.579</v>
      </c>
      <c r="AO27" s="1">
        <v>1.577</v>
      </c>
      <c r="AP27" s="1">
        <v>1.58</v>
      </c>
      <c r="AQ27" s="1">
        <v>1.58</v>
      </c>
      <c r="AR27" s="1">
        <v>1.583</v>
      </c>
      <c r="AS27" s="1">
        <v>1.58</v>
      </c>
      <c r="AT27" s="1">
        <v>1.5840000000000001</v>
      </c>
      <c r="AU27" s="1">
        <v>1.5820000000000001</v>
      </c>
      <c r="AV27" s="1">
        <v>1.5840000000000001</v>
      </c>
      <c r="AW27" s="1">
        <v>1.583</v>
      </c>
      <c r="AX27" s="1">
        <v>1.5820000000000001</v>
      </c>
      <c r="AY27" s="1">
        <v>1.587</v>
      </c>
      <c r="AZ27" s="1">
        <v>1.5820000000000001</v>
      </c>
      <c r="BA27" s="1">
        <v>1.58</v>
      </c>
      <c r="BB27" s="1">
        <v>1.5820000000000001</v>
      </c>
      <c r="BC27" s="1">
        <v>1.577</v>
      </c>
      <c r="BD27" s="1">
        <v>1.583</v>
      </c>
      <c r="BE27" s="1">
        <v>1.583</v>
      </c>
      <c r="BF27" s="1">
        <v>1.5840000000000001</v>
      </c>
      <c r="BG27" s="1">
        <v>1.579</v>
      </c>
      <c r="BH27" s="1">
        <v>1.583</v>
      </c>
      <c r="BI27" s="1">
        <v>1.5760000000000001</v>
      </c>
      <c r="BJ27" s="1">
        <v>1.5840000000000001</v>
      </c>
      <c r="BK27" s="1">
        <v>1.583</v>
      </c>
      <c r="BL27" s="1">
        <v>1.5820000000000001</v>
      </c>
      <c r="BN27" s="9">
        <v>24</v>
      </c>
      <c r="BO27" s="9">
        <v>270</v>
      </c>
      <c r="BP27" s="10">
        <f t="shared" si="0"/>
        <v>-2.1597222222222035E-3</v>
      </c>
      <c r="BQ27" s="10">
        <f t="shared" si="1"/>
        <v>-2.1597222222222035E-3</v>
      </c>
      <c r="BR27" s="10">
        <f t="shared" si="2"/>
        <v>-2.6388888888879817E-4</v>
      </c>
      <c r="BS27" s="10">
        <f t="shared" si="3"/>
        <v>-1.5277777777776883E-3</v>
      </c>
      <c r="BT27" s="10">
        <f t="shared" si="4"/>
        <v>1.000000000000092E-3</v>
      </c>
      <c r="BU27" s="10">
        <f t="shared" si="5"/>
        <v>-2.6388888888879817E-4</v>
      </c>
      <c r="BV27" s="10">
        <f t="shared" si="6"/>
        <v>4.7916666666667617E-3</v>
      </c>
      <c r="BW27" s="10">
        <f t="shared" si="7"/>
        <v>-4.6874999999999833E-3</v>
      </c>
      <c r="BX27" s="10">
        <f t="shared" si="8"/>
        <v>-2.1597222222222035E-3</v>
      </c>
      <c r="BY27" s="10">
        <f t="shared" si="9"/>
        <v>2.2638888888889819E-3</v>
      </c>
      <c r="BZ27" s="10">
        <f t="shared" si="10"/>
        <v>-2.1597222222222035E-3</v>
      </c>
      <c r="CA27" s="10">
        <f t="shared" si="11"/>
        <v>-3.4236111111110934E-3</v>
      </c>
      <c r="CB27" s="10">
        <f t="shared" si="12"/>
        <v>1.000000000000092E-3</v>
      </c>
      <c r="CC27" s="10">
        <f t="shared" si="13"/>
        <v>2.895833333333357E-3</v>
      </c>
      <c r="CD27" s="10">
        <f t="shared" si="14"/>
        <v>-1.5277777777776883E-3</v>
      </c>
      <c r="CE27" s="10">
        <f t="shared" si="15"/>
        <v>1.000000000000092E-3</v>
      </c>
      <c r="CF27" s="10">
        <f t="shared" si="16"/>
        <v>1.000000000000092E-3</v>
      </c>
      <c r="CG27" s="10">
        <f t="shared" si="17"/>
        <v>-2.1597222222222035E-3</v>
      </c>
      <c r="CH27" s="10">
        <f t="shared" si="18"/>
        <v>3.6805555555557669E-4</v>
      </c>
      <c r="CI27" s="10">
        <f t="shared" si="19"/>
        <v>-2.1597222222222035E-3</v>
      </c>
      <c r="CJ27" s="10">
        <f t="shared" si="20"/>
        <v>-1.5277777777776883E-3</v>
      </c>
      <c r="CK27" s="10">
        <f t="shared" si="21"/>
        <v>1.000000000000092E-3</v>
      </c>
      <c r="CL27" s="10">
        <f t="shared" si="22"/>
        <v>3.5277777777778722E-3</v>
      </c>
      <c r="CM27" s="10">
        <f t="shared" si="23"/>
        <v>-2.6388888888879817E-4</v>
      </c>
      <c r="CN27" s="10">
        <f t="shared" si="24"/>
        <v>-2.6388888888879817E-4</v>
      </c>
      <c r="CO27" s="10">
        <f t="shared" si="25"/>
        <v>-2.6388888888879817E-4</v>
      </c>
      <c r="CP27" s="10">
        <f t="shared" si="26"/>
        <v>3.6805555555557669E-4</v>
      </c>
      <c r="CQ27" s="10">
        <f t="shared" si="27"/>
        <v>2.2638888888889819E-3</v>
      </c>
      <c r="CR27" s="10">
        <f t="shared" si="28"/>
        <v>3.6805555555557669E-4</v>
      </c>
      <c r="CS27" s="10">
        <f t="shared" si="29"/>
        <v>-1.5277777777776883E-3</v>
      </c>
      <c r="CT27" s="10">
        <f t="shared" si="30"/>
        <v>1.000000000000092E-3</v>
      </c>
      <c r="CU27" s="10">
        <f t="shared" si="31"/>
        <v>2.2638888888889819E-3</v>
      </c>
      <c r="CV27" s="10">
        <f t="shared" si="32"/>
        <v>1.000000000000092E-3</v>
      </c>
      <c r="CW27" s="10">
        <f t="shared" si="33"/>
        <v>-2.6388888888879817E-4</v>
      </c>
      <c r="CX27" s="10">
        <f t="shared" si="34"/>
        <v>-1.5277777777776883E-3</v>
      </c>
      <c r="CY27" s="10">
        <f t="shared" si="35"/>
        <v>-2.1597222222222035E-3</v>
      </c>
      <c r="CZ27" s="10">
        <f t="shared" si="36"/>
        <v>-3.4236111111110934E-3</v>
      </c>
      <c r="DA27" s="10">
        <f t="shared" si="37"/>
        <v>-1.5277777777776883E-3</v>
      </c>
      <c r="DB27" s="10">
        <f t="shared" si="38"/>
        <v>-1.5277777777776883E-3</v>
      </c>
      <c r="DC27" s="10">
        <f t="shared" si="39"/>
        <v>3.6805555555557669E-4</v>
      </c>
      <c r="DD27" s="10">
        <f t="shared" si="40"/>
        <v>-1.5277777777776883E-3</v>
      </c>
      <c r="DE27" s="10">
        <f t="shared" si="41"/>
        <v>1.000000000000092E-3</v>
      </c>
      <c r="DF27" s="10">
        <f t="shared" si="42"/>
        <v>-2.6388888888879817E-4</v>
      </c>
      <c r="DG27" s="10">
        <f t="shared" si="43"/>
        <v>1.000000000000092E-3</v>
      </c>
      <c r="DH27" s="10">
        <f t="shared" si="44"/>
        <v>3.6805555555557669E-4</v>
      </c>
      <c r="DI27" s="10">
        <f t="shared" si="45"/>
        <v>-2.6388888888879817E-4</v>
      </c>
      <c r="DJ27" s="10">
        <f t="shared" si="46"/>
        <v>2.895833333333357E-3</v>
      </c>
      <c r="DK27" s="10">
        <f t="shared" si="47"/>
        <v>-2.6388888888879817E-4</v>
      </c>
      <c r="DL27" s="10">
        <f t="shared" si="48"/>
        <v>-1.5277777777776883E-3</v>
      </c>
      <c r="DM27" s="10">
        <f t="shared" si="49"/>
        <v>-2.6388888888879817E-4</v>
      </c>
      <c r="DN27" s="10">
        <f t="shared" si="50"/>
        <v>-3.4236111111110934E-3</v>
      </c>
      <c r="DO27" s="10">
        <f t="shared" si="51"/>
        <v>3.6805555555557669E-4</v>
      </c>
      <c r="DP27" s="10">
        <f t="shared" si="52"/>
        <v>3.6805555555557669E-4</v>
      </c>
      <c r="DQ27" s="10">
        <f t="shared" si="53"/>
        <v>1.000000000000092E-3</v>
      </c>
      <c r="DR27" s="10">
        <f t="shared" si="54"/>
        <v>-2.1597222222222035E-3</v>
      </c>
      <c r="DS27" s="10">
        <f t="shared" si="55"/>
        <v>3.6805555555557669E-4</v>
      </c>
      <c r="DT27" s="10">
        <f t="shared" si="56"/>
        <v>-4.0555555555554686E-3</v>
      </c>
      <c r="DU27" s="10">
        <f t="shared" si="57"/>
        <v>1.000000000000092E-3</v>
      </c>
      <c r="DV27" s="10">
        <f t="shared" si="58"/>
        <v>3.6805555555557669E-4</v>
      </c>
      <c r="DW27" s="10">
        <f t="shared" si="59"/>
        <v>-2.6388888888879817E-4</v>
      </c>
    </row>
    <row r="28" spans="2:127" x14ac:dyDescent="0.45">
      <c r="B28" s="1">
        <v>24</v>
      </c>
      <c r="C28" s="1">
        <v>285</v>
      </c>
      <c r="D28" s="7">
        <f t="shared" si="60"/>
        <v>1.6703296703296704</v>
      </c>
      <c r="E28" s="1">
        <v>1.667</v>
      </c>
      <c r="F28" s="1">
        <v>1.6679999999999999</v>
      </c>
      <c r="G28" s="1">
        <v>1.671</v>
      </c>
      <c r="H28" s="1">
        <v>1.6679999999999999</v>
      </c>
      <c r="I28" s="1">
        <v>1.6719999999999999</v>
      </c>
      <c r="J28" s="1">
        <v>1.6679999999999999</v>
      </c>
      <c r="K28" s="1">
        <v>1.6759999999999999</v>
      </c>
      <c r="L28" s="1">
        <v>1.675</v>
      </c>
      <c r="M28" s="1">
        <v>1.667</v>
      </c>
      <c r="N28" s="1">
        <v>1.6739999999999999</v>
      </c>
      <c r="O28" s="1">
        <v>1.667</v>
      </c>
      <c r="P28" s="1">
        <v>1.6659999999999999</v>
      </c>
      <c r="Q28" s="1">
        <v>1.6719999999999999</v>
      </c>
      <c r="R28" s="1">
        <v>1.675</v>
      </c>
      <c r="S28" s="1">
        <v>1.67</v>
      </c>
      <c r="T28" s="1">
        <v>1.6739999999999999</v>
      </c>
      <c r="U28" s="1">
        <v>1.6719999999999999</v>
      </c>
      <c r="V28" s="1">
        <v>1.667</v>
      </c>
      <c r="W28" s="1">
        <v>1.671</v>
      </c>
      <c r="X28" s="1">
        <v>1.671</v>
      </c>
      <c r="Y28" s="1">
        <v>1.667</v>
      </c>
      <c r="Z28" s="1">
        <v>1.6719999999999999</v>
      </c>
      <c r="AA28" s="1">
        <v>1.6759999999999999</v>
      </c>
      <c r="AB28" s="1">
        <v>1.67</v>
      </c>
      <c r="AC28" s="1">
        <v>1.671</v>
      </c>
      <c r="AD28" s="1">
        <v>1.671</v>
      </c>
      <c r="AE28" s="1">
        <v>1.671</v>
      </c>
      <c r="AF28" s="1">
        <v>1.6719999999999999</v>
      </c>
      <c r="AG28" s="1">
        <v>1.67</v>
      </c>
      <c r="AH28" s="1">
        <v>1.6679999999999999</v>
      </c>
      <c r="AI28" s="1">
        <v>1.6739999999999999</v>
      </c>
      <c r="AJ28" s="1">
        <v>1.6779999999999999</v>
      </c>
      <c r="AK28" s="1">
        <v>1.671</v>
      </c>
      <c r="AL28" s="1">
        <v>1.6679999999999999</v>
      </c>
      <c r="AM28" s="1">
        <v>1.6679999999999999</v>
      </c>
      <c r="AN28" s="1">
        <v>1.6679999999999999</v>
      </c>
      <c r="AO28" s="1">
        <v>1.6679999999999999</v>
      </c>
      <c r="AP28" s="1">
        <v>1.6679999999999999</v>
      </c>
      <c r="AQ28" s="1">
        <v>1.667</v>
      </c>
      <c r="AR28" s="1">
        <v>1.671</v>
      </c>
      <c r="AS28" s="1">
        <v>1.667</v>
      </c>
      <c r="AT28" s="1">
        <v>1.67</v>
      </c>
      <c r="AU28" s="1">
        <v>1.671</v>
      </c>
      <c r="AV28" s="1">
        <v>1.6719999999999999</v>
      </c>
      <c r="AW28" s="1">
        <v>1.671</v>
      </c>
      <c r="AX28" s="1">
        <v>1.671</v>
      </c>
      <c r="AY28" s="1">
        <v>1.675</v>
      </c>
      <c r="AZ28" s="1">
        <v>1.67</v>
      </c>
      <c r="BA28" s="1">
        <v>1.6679999999999999</v>
      </c>
      <c r="BB28" s="1">
        <v>1.67</v>
      </c>
      <c r="BC28" s="1">
        <v>1.6679999999999999</v>
      </c>
      <c r="BD28" s="1">
        <v>1.67</v>
      </c>
      <c r="BE28" s="1">
        <v>1.6679999999999999</v>
      </c>
      <c r="BF28" s="1">
        <v>1.671</v>
      </c>
      <c r="BG28" s="1">
        <v>1.671</v>
      </c>
      <c r="BH28" s="1">
        <v>1.6719999999999999</v>
      </c>
      <c r="BI28" s="1">
        <v>1.6639999999999999</v>
      </c>
      <c r="BJ28" s="1">
        <v>1.6719999999999999</v>
      </c>
      <c r="BK28" s="1">
        <v>1.67</v>
      </c>
      <c r="BL28" s="1">
        <v>1.67</v>
      </c>
      <c r="BN28" s="9">
        <v>24</v>
      </c>
      <c r="BO28" s="9">
        <v>285</v>
      </c>
      <c r="BP28" s="10">
        <f t="shared" si="0"/>
        <v>-1.9934210526315931E-3</v>
      </c>
      <c r="BQ28" s="10">
        <f t="shared" si="1"/>
        <v>-1.3947368421053433E-3</v>
      </c>
      <c r="BR28" s="10">
        <f t="shared" si="2"/>
        <v>4.0131578947367216E-4</v>
      </c>
      <c r="BS28" s="10">
        <f t="shared" si="3"/>
        <v>-1.3947368421053433E-3</v>
      </c>
      <c r="BT28" s="10">
        <f t="shared" si="4"/>
        <v>9.9999999999992196E-4</v>
      </c>
      <c r="BU28" s="10">
        <f t="shared" si="5"/>
        <v>-1.3947368421053433E-3</v>
      </c>
      <c r="BV28" s="10">
        <f t="shared" si="6"/>
        <v>3.394736842105187E-3</v>
      </c>
      <c r="BW28" s="10">
        <f t="shared" si="7"/>
        <v>2.7960526315789374E-3</v>
      </c>
      <c r="BX28" s="10">
        <f t="shared" si="8"/>
        <v>-1.9934210526315931E-3</v>
      </c>
      <c r="BY28" s="10">
        <f t="shared" si="9"/>
        <v>2.1973684210525547E-3</v>
      </c>
      <c r="BZ28" s="10">
        <f t="shared" si="10"/>
        <v>-1.9934210526315931E-3</v>
      </c>
      <c r="CA28" s="10">
        <f t="shared" si="11"/>
        <v>-2.5921052631579758E-3</v>
      </c>
      <c r="CB28" s="10">
        <f t="shared" si="12"/>
        <v>9.9999999999992196E-4</v>
      </c>
      <c r="CC28" s="10">
        <f t="shared" si="13"/>
        <v>2.7960526315789374E-3</v>
      </c>
      <c r="CD28" s="10">
        <f t="shared" si="14"/>
        <v>-1.9736842105271064E-4</v>
      </c>
      <c r="CE28" s="10">
        <f t="shared" si="15"/>
        <v>2.1973684210525547E-3</v>
      </c>
      <c r="CF28" s="10">
        <f t="shared" si="16"/>
        <v>9.9999999999992196E-4</v>
      </c>
      <c r="CG28" s="10">
        <f t="shared" si="17"/>
        <v>-1.9934210526315931E-3</v>
      </c>
      <c r="CH28" s="10">
        <f t="shared" si="18"/>
        <v>4.0131578947367216E-4</v>
      </c>
      <c r="CI28" s="10">
        <f t="shared" si="19"/>
        <v>4.0131578947367216E-4</v>
      </c>
      <c r="CJ28" s="10">
        <f t="shared" si="20"/>
        <v>-1.9934210526315931E-3</v>
      </c>
      <c r="CK28" s="10">
        <f t="shared" si="21"/>
        <v>9.9999999999992196E-4</v>
      </c>
      <c r="CL28" s="10">
        <f t="shared" si="22"/>
        <v>3.394736842105187E-3</v>
      </c>
      <c r="CM28" s="10">
        <f t="shared" si="23"/>
        <v>-1.9736842105271064E-4</v>
      </c>
      <c r="CN28" s="10">
        <f t="shared" si="24"/>
        <v>4.0131578947367216E-4</v>
      </c>
      <c r="CO28" s="10">
        <f t="shared" si="25"/>
        <v>4.0131578947367216E-4</v>
      </c>
      <c r="CP28" s="10">
        <f t="shared" si="26"/>
        <v>4.0131578947367216E-4</v>
      </c>
      <c r="CQ28" s="10">
        <f t="shared" si="27"/>
        <v>9.9999999999992196E-4</v>
      </c>
      <c r="CR28" s="10">
        <f t="shared" si="28"/>
        <v>-1.9736842105271064E-4</v>
      </c>
      <c r="CS28" s="10">
        <f t="shared" si="29"/>
        <v>-1.3947368421053433E-3</v>
      </c>
      <c r="CT28" s="10">
        <f t="shared" si="30"/>
        <v>2.1973684210525547E-3</v>
      </c>
      <c r="CU28" s="10">
        <f t="shared" si="31"/>
        <v>4.5921052631578202E-3</v>
      </c>
      <c r="CV28" s="10">
        <f t="shared" si="32"/>
        <v>4.0131578947367216E-4</v>
      </c>
      <c r="CW28" s="10">
        <f t="shared" si="33"/>
        <v>-1.3947368421053433E-3</v>
      </c>
      <c r="CX28" s="10">
        <f t="shared" si="34"/>
        <v>-1.3947368421053433E-3</v>
      </c>
      <c r="CY28" s="10">
        <f t="shared" si="35"/>
        <v>-1.3947368421053433E-3</v>
      </c>
      <c r="CZ28" s="10">
        <f t="shared" si="36"/>
        <v>-1.3947368421053433E-3</v>
      </c>
      <c r="DA28" s="10">
        <f t="shared" si="37"/>
        <v>-1.3947368421053433E-3</v>
      </c>
      <c r="DB28" s="10">
        <f t="shared" si="38"/>
        <v>-1.9934210526315931E-3</v>
      </c>
      <c r="DC28" s="10">
        <f t="shared" si="39"/>
        <v>4.0131578947367216E-4</v>
      </c>
      <c r="DD28" s="10">
        <f t="shared" si="40"/>
        <v>-1.9934210526315931E-3</v>
      </c>
      <c r="DE28" s="10">
        <f t="shared" si="41"/>
        <v>-1.9736842105271064E-4</v>
      </c>
      <c r="DF28" s="10">
        <f t="shared" si="42"/>
        <v>4.0131578947367216E-4</v>
      </c>
      <c r="DG28" s="10">
        <f t="shared" si="43"/>
        <v>9.9999999999992196E-4</v>
      </c>
      <c r="DH28" s="10">
        <f t="shared" si="44"/>
        <v>4.0131578947367216E-4</v>
      </c>
      <c r="DI28" s="10">
        <f t="shared" si="45"/>
        <v>4.0131578947367216E-4</v>
      </c>
      <c r="DJ28" s="10">
        <f t="shared" si="46"/>
        <v>2.7960526315789374E-3</v>
      </c>
      <c r="DK28" s="10">
        <f t="shared" si="47"/>
        <v>-1.9736842105271064E-4</v>
      </c>
      <c r="DL28" s="10">
        <f t="shared" si="48"/>
        <v>-1.3947368421053433E-3</v>
      </c>
      <c r="DM28" s="10">
        <f t="shared" si="49"/>
        <v>-1.9736842105271064E-4</v>
      </c>
      <c r="DN28" s="10">
        <f t="shared" si="50"/>
        <v>-1.3947368421053433E-3</v>
      </c>
      <c r="DO28" s="10">
        <f t="shared" si="51"/>
        <v>-1.9736842105271064E-4</v>
      </c>
      <c r="DP28" s="10">
        <f t="shared" si="52"/>
        <v>-1.3947368421053433E-3</v>
      </c>
      <c r="DQ28" s="10">
        <f t="shared" si="53"/>
        <v>4.0131578947367216E-4</v>
      </c>
      <c r="DR28" s="10">
        <f t="shared" si="54"/>
        <v>4.0131578947367216E-4</v>
      </c>
      <c r="DS28" s="10">
        <f t="shared" si="55"/>
        <v>9.9999999999992196E-4</v>
      </c>
      <c r="DT28" s="10">
        <f t="shared" si="56"/>
        <v>-3.7894736842106085E-3</v>
      </c>
      <c r="DU28" s="10">
        <f t="shared" si="57"/>
        <v>9.9999999999992196E-4</v>
      </c>
      <c r="DV28" s="10">
        <f t="shared" si="58"/>
        <v>-1.9736842105271064E-4</v>
      </c>
      <c r="DW28" s="10">
        <f t="shared" si="59"/>
        <v>-1.9736842105271064E-4</v>
      </c>
    </row>
    <row r="29" spans="2:127" x14ac:dyDescent="0.45">
      <c r="B29" s="1">
        <v>24</v>
      </c>
      <c r="C29" s="1">
        <v>300</v>
      </c>
      <c r="D29" s="7">
        <f t="shared" si="60"/>
        <v>1.7582417582417582</v>
      </c>
      <c r="E29" s="1">
        <v>1.754</v>
      </c>
      <c r="F29" s="1">
        <v>1.7569999999999999</v>
      </c>
      <c r="G29" s="1">
        <v>1.7609999999999999</v>
      </c>
      <c r="H29" s="1">
        <v>1.7549999999999999</v>
      </c>
      <c r="I29" s="1">
        <v>1.758</v>
      </c>
      <c r="J29" s="1">
        <v>1.7569999999999999</v>
      </c>
      <c r="K29" s="1">
        <v>1.7629999999999999</v>
      </c>
      <c r="L29" s="1">
        <v>1.7569999999999999</v>
      </c>
      <c r="M29" s="1">
        <v>1.7569999999999999</v>
      </c>
      <c r="N29" s="1">
        <v>1.7629999999999999</v>
      </c>
      <c r="O29" s="1">
        <v>1.754</v>
      </c>
      <c r="P29" s="1">
        <v>1.754</v>
      </c>
      <c r="Q29" s="1">
        <v>1.7609999999999999</v>
      </c>
      <c r="R29" s="1">
        <v>1.7629999999999999</v>
      </c>
      <c r="S29" s="1">
        <v>1.758</v>
      </c>
      <c r="T29" s="1">
        <v>1.7629999999999999</v>
      </c>
      <c r="U29" s="1">
        <v>1.7609999999999999</v>
      </c>
      <c r="V29" s="1">
        <v>1.7569999999999999</v>
      </c>
      <c r="W29" s="1">
        <v>1.758</v>
      </c>
      <c r="X29" s="1">
        <v>1.7649999999999999</v>
      </c>
      <c r="Y29" s="1">
        <v>1.7549999999999999</v>
      </c>
      <c r="Z29" s="1">
        <v>1.7589999999999999</v>
      </c>
      <c r="AA29" s="1">
        <v>1.7629999999999999</v>
      </c>
      <c r="AB29" s="1">
        <v>1.7569999999999999</v>
      </c>
      <c r="AC29" s="1">
        <v>1.7569999999999999</v>
      </c>
      <c r="AD29" s="1">
        <v>1.7589999999999999</v>
      </c>
      <c r="AE29" s="1">
        <v>1.7609999999999999</v>
      </c>
      <c r="AF29" s="1">
        <v>1.7589999999999999</v>
      </c>
      <c r="AG29" s="1">
        <v>1.7589999999999999</v>
      </c>
      <c r="AH29" s="1">
        <v>1.758</v>
      </c>
      <c r="AI29" s="1">
        <v>1.7649999999999999</v>
      </c>
      <c r="AJ29" s="1">
        <v>1.7629999999999999</v>
      </c>
      <c r="AK29" s="1">
        <v>1.7589999999999999</v>
      </c>
      <c r="AL29" s="1">
        <v>1.7569999999999999</v>
      </c>
      <c r="AM29" s="1">
        <v>1.758</v>
      </c>
      <c r="AN29" s="1">
        <v>1.758</v>
      </c>
      <c r="AO29" s="1">
        <v>1.7569999999999999</v>
      </c>
      <c r="AP29" s="1">
        <v>1.7549999999999999</v>
      </c>
      <c r="AQ29" s="1">
        <v>1.7549999999999999</v>
      </c>
      <c r="AR29" s="1">
        <v>1.7589999999999999</v>
      </c>
      <c r="AS29" s="1">
        <v>1.7549999999999999</v>
      </c>
      <c r="AT29" s="1">
        <v>1.7589999999999999</v>
      </c>
      <c r="AU29" s="1">
        <v>1.762</v>
      </c>
      <c r="AV29" s="1">
        <v>1.7669999999999999</v>
      </c>
      <c r="AW29" s="1">
        <v>1.758</v>
      </c>
      <c r="AX29" s="1">
        <v>1.7589999999999999</v>
      </c>
      <c r="AY29" s="1">
        <v>1.762</v>
      </c>
      <c r="AZ29" s="1">
        <v>1.7589999999999999</v>
      </c>
      <c r="BA29" s="1">
        <v>1.7549999999999999</v>
      </c>
      <c r="BB29" s="1">
        <v>1.758</v>
      </c>
      <c r="BC29" s="1">
        <v>1.758</v>
      </c>
      <c r="BD29" s="1">
        <v>1.758</v>
      </c>
      <c r="BE29" s="1">
        <v>1.758</v>
      </c>
      <c r="BF29" s="1">
        <v>1.758</v>
      </c>
      <c r="BG29" s="1">
        <v>1.7589999999999999</v>
      </c>
      <c r="BH29" s="1">
        <v>1.762</v>
      </c>
      <c r="BI29" s="1">
        <v>1.7549999999999999</v>
      </c>
      <c r="BJ29" s="1">
        <v>1.7609999999999999</v>
      </c>
      <c r="BK29" s="1">
        <v>1.7509999999999999</v>
      </c>
      <c r="BL29" s="1">
        <v>1.758</v>
      </c>
      <c r="BN29" s="9">
        <v>24</v>
      </c>
      <c r="BO29" s="9">
        <v>300</v>
      </c>
      <c r="BP29" s="10">
        <f t="shared" si="0"/>
        <v>-2.4124999999999815E-3</v>
      </c>
      <c r="BQ29" s="10">
        <f t="shared" si="1"/>
        <v>-7.06250000000043E-4</v>
      </c>
      <c r="BR29" s="10">
        <f t="shared" si="2"/>
        <v>1.5687499999999591E-3</v>
      </c>
      <c r="BS29" s="10">
        <f t="shared" si="3"/>
        <v>-1.8437500000000439E-3</v>
      </c>
      <c r="BT29" s="10">
        <f t="shared" si="4"/>
        <v>-1.374999999999793E-4</v>
      </c>
      <c r="BU29" s="10">
        <f t="shared" si="5"/>
        <v>-7.06250000000043E-4</v>
      </c>
      <c r="BV29" s="10">
        <f t="shared" si="6"/>
        <v>2.70624999999996E-3</v>
      </c>
      <c r="BW29" s="10">
        <f t="shared" si="7"/>
        <v>-7.06250000000043E-4</v>
      </c>
      <c r="BX29" s="10">
        <f t="shared" si="8"/>
        <v>-7.06250000000043E-4</v>
      </c>
      <c r="BY29" s="10">
        <f t="shared" si="9"/>
        <v>2.70624999999996E-3</v>
      </c>
      <c r="BZ29" s="10">
        <f t="shared" si="10"/>
        <v>-2.4124999999999815E-3</v>
      </c>
      <c r="CA29" s="10">
        <f t="shared" si="11"/>
        <v>-2.4124999999999815E-3</v>
      </c>
      <c r="CB29" s="10">
        <f t="shared" si="12"/>
        <v>1.5687499999999591E-3</v>
      </c>
      <c r="CC29" s="10">
        <f t="shared" si="13"/>
        <v>2.70624999999996E-3</v>
      </c>
      <c r="CD29" s="10">
        <f t="shared" si="14"/>
        <v>-1.374999999999793E-4</v>
      </c>
      <c r="CE29" s="10">
        <f t="shared" si="15"/>
        <v>2.70624999999996E-3</v>
      </c>
      <c r="CF29" s="10">
        <f t="shared" si="16"/>
        <v>1.5687499999999591E-3</v>
      </c>
      <c r="CG29" s="10">
        <f t="shared" si="17"/>
        <v>-7.06250000000043E-4</v>
      </c>
      <c r="CH29" s="10">
        <f t="shared" si="18"/>
        <v>-1.374999999999793E-4</v>
      </c>
      <c r="CI29" s="10">
        <f t="shared" si="19"/>
        <v>3.8437499999999613E-3</v>
      </c>
      <c r="CJ29" s="10">
        <f t="shared" si="20"/>
        <v>-1.8437500000000439E-3</v>
      </c>
      <c r="CK29" s="10">
        <f t="shared" si="21"/>
        <v>4.3124999999995809E-4</v>
      </c>
      <c r="CL29" s="10">
        <f t="shared" si="22"/>
        <v>2.70624999999996E-3</v>
      </c>
      <c r="CM29" s="10">
        <f t="shared" si="23"/>
        <v>-7.06250000000043E-4</v>
      </c>
      <c r="CN29" s="10">
        <f t="shared" si="24"/>
        <v>-7.06250000000043E-4</v>
      </c>
      <c r="CO29" s="10">
        <f t="shared" si="25"/>
        <v>4.3124999999995809E-4</v>
      </c>
      <c r="CP29" s="10">
        <f t="shared" si="26"/>
        <v>1.5687499999999591E-3</v>
      </c>
      <c r="CQ29" s="10">
        <f t="shared" si="27"/>
        <v>4.3124999999995809E-4</v>
      </c>
      <c r="CR29" s="10">
        <f t="shared" si="28"/>
        <v>4.3124999999995809E-4</v>
      </c>
      <c r="CS29" s="10">
        <f t="shared" si="29"/>
        <v>-1.374999999999793E-4</v>
      </c>
      <c r="CT29" s="10">
        <f t="shared" si="30"/>
        <v>3.8437499999999613E-3</v>
      </c>
      <c r="CU29" s="10">
        <f t="shared" si="31"/>
        <v>2.70624999999996E-3</v>
      </c>
      <c r="CV29" s="10">
        <f t="shared" si="32"/>
        <v>4.3124999999995809E-4</v>
      </c>
      <c r="CW29" s="10">
        <f t="shared" si="33"/>
        <v>-7.06250000000043E-4</v>
      </c>
      <c r="CX29" s="10">
        <f t="shared" si="34"/>
        <v>-1.374999999999793E-4</v>
      </c>
      <c r="CY29" s="10">
        <f t="shared" si="35"/>
        <v>-1.374999999999793E-4</v>
      </c>
      <c r="CZ29" s="10">
        <f t="shared" si="36"/>
        <v>-7.06250000000043E-4</v>
      </c>
      <c r="DA29" s="10">
        <f t="shared" si="37"/>
        <v>-1.8437500000000439E-3</v>
      </c>
      <c r="DB29" s="10">
        <f t="shared" si="38"/>
        <v>-1.8437500000000439E-3</v>
      </c>
      <c r="DC29" s="10">
        <f t="shared" si="39"/>
        <v>4.3124999999995809E-4</v>
      </c>
      <c r="DD29" s="10">
        <f t="shared" si="40"/>
        <v>-1.8437500000000439E-3</v>
      </c>
      <c r="DE29" s="10">
        <f t="shared" si="41"/>
        <v>4.3124999999995809E-4</v>
      </c>
      <c r="DF29" s="10">
        <f t="shared" si="42"/>
        <v>2.1375000000000226E-3</v>
      </c>
      <c r="DG29" s="10">
        <f t="shared" si="43"/>
        <v>4.9812499999999623E-3</v>
      </c>
      <c r="DH29" s="10">
        <f t="shared" si="44"/>
        <v>-1.374999999999793E-4</v>
      </c>
      <c r="DI29" s="10">
        <f t="shared" si="45"/>
        <v>4.3124999999995809E-4</v>
      </c>
      <c r="DJ29" s="10">
        <f t="shared" si="46"/>
        <v>2.1375000000000226E-3</v>
      </c>
      <c r="DK29" s="10">
        <f t="shared" si="47"/>
        <v>4.3124999999995809E-4</v>
      </c>
      <c r="DL29" s="10">
        <f t="shared" si="48"/>
        <v>-1.8437500000000439E-3</v>
      </c>
      <c r="DM29" s="10">
        <f t="shared" si="49"/>
        <v>-1.374999999999793E-4</v>
      </c>
      <c r="DN29" s="10">
        <f t="shared" si="50"/>
        <v>-1.374999999999793E-4</v>
      </c>
      <c r="DO29" s="10">
        <f t="shared" si="51"/>
        <v>-1.374999999999793E-4</v>
      </c>
      <c r="DP29" s="10">
        <f t="shared" si="52"/>
        <v>-1.374999999999793E-4</v>
      </c>
      <c r="DQ29" s="10">
        <f t="shared" si="53"/>
        <v>-1.374999999999793E-4</v>
      </c>
      <c r="DR29" s="10">
        <f t="shared" si="54"/>
        <v>4.3124999999995809E-4</v>
      </c>
      <c r="DS29" s="10">
        <f t="shared" si="55"/>
        <v>2.1375000000000226E-3</v>
      </c>
      <c r="DT29" s="10">
        <f t="shared" si="56"/>
        <v>-1.8437500000000439E-3</v>
      </c>
      <c r="DU29" s="10">
        <f t="shared" si="57"/>
        <v>1.5687499999999591E-3</v>
      </c>
      <c r="DV29" s="10">
        <f t="shared" si="58"/>
        <v>-4.118750000000046E-3</v>
      </c>
      <c r="DW29" s="10">
        <f t="shared" si="59"/>
        <v>-1.374999999999793E-4</v>
      </c>
    </row>
    <row r="30" spans="2:127" x14ac:dyDescent="0.45">
      <c r="B30" s="1">
        <v>24</v>
      </c>
      <c r="C30" s="1">
        <v>315</v>
      </c>
      <c r="D30" s="7">
        <f t="shared" si="60"/>
        <v>1.8461538461538463</v>
      </c>
      <c r="E30" s="1">
        <v>1.8420000000000001</v>
      </c>
      <c r="F30" s="1">
        <v>1.8460000000000001</v>
      </c>
      <c r="G30" s="1">
        <v>1.847</v>
      </c>
      <c r="H30" s="1">
        <v>1.843</v>
      </c>
      <c r="I30" s="1">
        <v>1.845</v>
      </c>
      <c r="J30" s="1">
        <v>1.843</v>
      </c>
      <c r="K30" s="1">
        <v>1.853</v>
      </c>
      <c r="L30" s="1">
        <v>1.849</v>
      </c>
      <c r="M30" s="1">
        <v>1.845</v>
      </c>
      <c r="N30" s="1">
        <v>1.85</v>
      </c>
      <c r="O30" s="1">
        <v>1.8420000000000001</v>
      </c>
      <c r="P30" s="1">
        <v>1.841</v>
      </c>
      <c r="Q30" s="1">
        <v>1.847</v>
      </c>
      <c r="R30" s="1">
        <v>1.853</v>
      </c>
      <c r="S30" s="1">
        <v>1.8460000000000001</v>
      </c>
      <c r="T30" s="1">
        <v>1.851</v>
      </c>
      <c r="U30" s="1">
        <v>1.847</v>
      </c>
      <c r="V30" s="1">
        <v>1.845</v>
      </c>
      <c r="W30" s="1">
        <v>1.845</v>
      </c>
      <c r="X30" s="1">
        <v>1.853</v>
      </c>
      <c r="Y30" s="1">
        <v>1.843</v>
      </c>
      <c r="Z30" s="1">
        <v>1.847</v>
      </c>
      <c r="AA30" s="1">
        <v>1.851</v>
      </c>
      <c r="AB30" s="1">
        <v>1.845</v>
      </c>
      <c r="AC30" s="1">
        <v>1.843</v>
      </c>
      <c r="AD30" s="1">
        <v>1.849</v>
      </c>
      <c r="AE30" s="1">
        <v>1.849</v>
      </c>
      <c r="AF30" s="1">
        <v>1.8460000000000001</v>
      </c>
      <c r="AG30" s="1">
        <v>1.845</v>
      </c>
      <c r="AH30" s="1">
        <v>1.847</v>
      </c>
      <c r="AI30" s="1">
        <v>1.853</v>
      </c>
      <c r="AJ30" s="1">
        <v>1.853</v>
      </c>
      <c r="AK30" s="1">
        <v>1.847</v>
      </c>
      <c r="AL30" s="1">
        <v>1.8420000000000001</v>
      </c>
      <c r="AM30" s="1">
        <v>1.845</v>
      </c>
      <c r="AN30" s="1">
        <v>1.8460000000000001</v>
      </c>
      <c r="AO30" s="1">
        <v>1.845</v>
      </c>
      <c r="AP30" s="1">
        <v>1.8420000000000001</v>
      </c>
      <c r="AQ30" s="1">
        <v>1.845</v>
      </c>
      <c r="AR30" s="1">
        <v>1.8460000000000001</v>
      </c>
      <c r="AS30" s="1">
        <v>1.8420000000000001</v>
      </c>
      <c r="AT30" s="1">
        <v>1.85</v>
      </c>
      <c r="AU30" s="1">
        <v>1.851</v>
      </c>
      <c r="AV30" s="1">
        <v>1.853</v>
      </c>
      <c r="AW30" s="1">
        <v>1.8460000000000001</v>
      </c>
      <c r="AX30" s="1">
        <v>1.8460000000000001</v>
      </c>
      <c r="AY30" s="1">
        <v>1.849</v>
      </c>
      <c r="AZ30" s="1">
        <v>1.847</v>
      </c>
      <c r="BA30" s="1">
        <v>1.8420000000000001</v>
      </c>
      <c r="BB30" s="1">
        <v>1.845</v>
      </c>
      <c r="BC30" s="1">
        <v>1.847</v>
      </c>
      <c r="BD30" s="1">
        <v>1.8460000000000001</v>
      </c>
      <c r="BE30" s="1">
        <v>1.8460000000000001</v>
      </c>
      <c r="BF30" s="1">
        <v>1.845</v>
      </c>
      <c r="BG30" s="1">
        <v>1.847</v>
      </c>
      <c r="BH30" s="1">
        <v>1.8580000000000001</v>
      </c>
      <c r="BI30" s="1">
        <v>1.843</v>
      </c>
      <c r="BJ30" s="1">
        <v>1.849</v>
      </c>
      <c r="BK30" s="1">
        <v>1.839</v>
      </c>
      <c r="BL30" s="1">
        <v>1.843</v>
      </c>
      <c r="BN30" s="9">
        <v>24</v>
      </c>
      <c r="BO30" s="9">
        <v>315</v>
      </c>
      <c r="BP30" s="10">
        <f t="shared" si="0"/>
        <v>-2.2500000000000111E-3</v>
      </c>
      <c r="BQ30" s="10">
        <f t="shared" si="1"/>
        <v>-8.3333333333342655E-5</v>
      </c>
      <c r="BR30" s="10">
        <f t="shared" si="2"/>
        <v>4.5833333333326432E-4</v>
      </c>
      <c r="BS30" s="10">
        <f t="shared" si="3"/>
        <v>-1.7083333333334041E-3</v>
      </c>
      <c r="BT30" s="10">
        <f t="shared" si="4"/>
        <v>-6.2500000000006994E-4</v>
      </c>
      <c r="BU30" s="10">
        <f t="shared" si="5"/>
        <v>-1.7083333333334041E-3</v>
      </c>
      <c r="BV30" s="10">
        <f t="shared" si="6"/>
        <v>3.7083333333332671E-3</v>
      </c>
      <c r="BW30" s="10">
        <f t="shared" si="7"/>
        <v>1.5416666666665986E-3</v>
      </c>
      <c r="BX30" s="10">
        <f t="shared" si="8"/>
        <v>-6.2500000000006994E-4</v>
      </c>
      <c r="BY30" s="10">
        <f t="shared" si="9"/>
        <v>2.0833333333333259E-3</v>
      </c>
      <c r="BZ30" s="10">
        <f t="shared" si="10"/>
        <v>-2.2500000000000111E-3</v>
      </c>
      <c r="CA30" s="10">
        <f t="shared" si="11"/>
        <v>-2.7916666666667382E-3</v>
      </c>
      <c r="CB30" s="10">
        <f t="shared" si="12"/>
        <v>4.5833333333326432E-4</v>
      </c>
      <c r="CC30" s="10">
        <f t="shared" si="13"/>
        <v>3.7083333333332671E-3</v>
      </c>
      <c r="CD30" s="10">
        <f t="shared" si="14"/>
        <v>-8.3333333333342655E-5</v>
      </c>
      <c r="CE30" s="10">
        <f t="shared" si="15"/>
        <v>2.6249999999999329E-3</v>
      </c>
      <c r="CF30" s="10">
        <f t="shared" si="16"/>
        <v>4.5833333333326432E-4</v>
      </c>
      <c r="CG30" s="10">
        <f t="shared" si="17"/>
        <v>-6.2500000000006994E-4</v>
      </c>
      <c r="CH30" s="10">
        <f t="shared" si="18"/>
        <v>-6.2500000000006994E-4</v>
      </c>
      <c r="CI30" s="10">
        <f t="shared" si="19"/>
        <v>3.7083333333332671E-3</v>
      </c>
      <c r="CJ30" s="10">
        <f t="shared" si="20"/>
        <v>-1.7083333333334041E-3</v>
      </c>
      <c r="CK30" s="10">
        <f t="shared" si="21"/>
        <v>4.5833333333326432E-4</v>
      </c>
      <c r="CL30" s="10">
        <f t="shared" si="22"/>
        <v>2.6249999999999329E-3</v>
      </c>
      <c r="CM30" s="10">
        <f t="shared" si="23"/>
        <v>-6.2500000000006994E-4</v>
      </c>
      <c r="CN30" s="10">
        <f t="shared" si="24"/>
        <v>-1.7083333333334041E-3</v>
      </c>
      <c r="CO30" s="10">
        <f t="shared" si="25"/>
        <v>1.5416666666665986E-3</v>
      </c>
      <c r="CP30" s="10">
        <f t="shared" si="26"/>
        <v>1.5416666666665986E-3</v>
      </c>
      <c r="CQ30" s="10">
        <f t="shared" si="27"/>
        <v>-8.3333333333342655E-5</v>
      </c>
      <c r="CR30" s="10">
        <f t="shared" si="28"/>
        <v>-6.2500000000006994E-4</v>
      </c>
      <c r="CS30" s="10">
        <f t="shared" si="29"/>
        <v>4.5833333333326432E-4</v>
      </c>
      <c r="CT30" s="10">
        <f t="shared" si="30"/>
        <v>3.7083333333332671E-3</v>
      </c>
      <c r="CU30" s="10">
        <f t="shared" si="31"/>
        <v>3.7083333333332671E-3</v>
      </c>
      <c r="CV30" s="10">
        <f t="shared" si="32"/>
        <v>4.5833333333326432E-4</v>
      </c>
      <c r="CW30" s="10">
        <f t="shared" si="33"/>
        <v>-2.2500000000000111E-3</v>
      </c>
      <c r="CX30" s="10">
        <f t="shared" si="34"/>
        <v>-6.2500000000006994E-4</v>
      </c>
      <c r="CY30" s="10">
        <f t="shared" si="35"/>
        <v>-8.3333333333342655E-5</v>
      </c>
      <c r="CZ30" s="10">
        <f t="shared" si="36"/>
        <v>-6.2500000000006994E-4</v>
      </c>
      <c r="DA30" s="10">
        <f t="shared" si="37"/>
        <v>-2.2500000000000111E-3</v>
      </c>
      <c r="DB30" s="10">
        <f t="shared" si="38"/>
        <v>-6.2500000000006994E-4</v>
      </c>
      <c r="DC30" s="10">
        <f t="shared" si="39"/>
        <v>-8.3333333333342655E-5</v>
      </c>
      <c r="DD30" s="10">
        <f t="shared" si="40"/>
        <v>-2.2500000000000111E-3</v>
      </c>
      <c r="DE30" s="10">
        <f t="shared" si="41"/>
        <v>2.0833333333333259E-3</v>
      </c>
      <c r="DF30" s="10">
        <f t="shared" si="42"/>
        <v>2.6249999999999329E-3</v>
      </c>
      <c r="DG30" s="10">
        <f t="shared" si="43"/>
        <v>3.7083333333332671E-3</v>
      </c>
      <c r="DH30" s="10">
        <f t="shared" si="44"/>
        <v>-8.3333333333342655E-5</v>
      </c>
      <c r="DI30" s="10">
        <f t="shared" si="45"/>
        <v>-8.3333333333342655E-5</v>
      </c>
      <c r="DJ30" s="10">
        <f t="shared" si="46"/>
        <v>1.5416666666665986E-3</v>
      </c>
      <c r="DK30" s="10">
        <f t="shared" si="47"/>
        <v>4.5833333333326432E-4</v>
      </c>
      <c r="DL30" s="10">
        <f t="shared" si="48"/>
        <v>-2.2500000000000111E-3</v>
      </c>
      <c r="DM30" s="10">
        <f t="shared" si="49"/>
        <v>-6.2500000000006994E-4</v>
      </c>
      <c r="DN30" s="10">
        <f t="shared" si="50"/>
        <v>4.5833333333326432E-4</v>
      </c>
      <c r="DO30" s="10">
        <f t="shared" si="51"/>
        <v>-8.3333333333342655E-5</v>
      </c>
      <c r="DP30" s="10">
        <f t="shared" si="52"/>
        <v>-8.3333333333342655E-5</v>
      </c>
      <c r="DQ30" s="10">
        <f t="shared" si="53"/>
        <v>-6.2500000000006994E-4</v>
      </c>
      <c r="DR30" s="10">
        <f t="shared" si="54"/>
        <v>4.5833333333326432E-4</v>
      </c>
      <c r="DS30" s="10">
        <f t="shared" si="55"/>
        <v>6.4166666666666625E-3</v>
      </c>
      <c r="DT30" s="10">
        <f t="shared" si="56"/>
        <v>-1.7083333333334041E-3</v>
      </c>
      <c r="DU30" s="10">
        <f t="shared" si="57"/>
        <v>1.5416666666665986E-3</v>
      </c>
      <c r="DV30" s="10">
        <f t="shared" si="58"/>
        <v>-3.8750000000000728E-3</v>
      </c>
      <c r="DW30" s="10">
        <f t="shared" si="59"/>
        <v>-1.7083333333334041E-3</v>
      </c>
    </row>
    <row r="31" spans="2:127" x14ac:dyDescent="0.45">
      <c r="B31" s="1">
        <v>24</v>
      </c>
      <c r="C31" s="1">
        <v>330</v>
      </c>
      <c r="D31" s="7">
        <f t="shared" si="60"/>
        <v>1.9340659340659341</v>
      </c>
      <c r="E31" s="1">
        <v>1.931</v>
      </c>
      <c r="F31" s="1">
        <v>1.9330000000000001</v>
      </c>
      <c r="G31" s="1">
        <v>1.9359999999999999</v>
      </c>
      <c r="H31" s="1">
        <v>1.93</v>
      </c>
      <c r="I31" s="1">
        <v>1.9339999999999999</v>
      </c>
      <c r="J31" s="1">
        <v>1.9359999999999999</v>
      </c>
      <c r="K31" s="1">
        <v>1.9419999999999999</v>
      </c>
      <c r="L31" s="1">
        <v>1.9370000000000001</v>
      </c>
      <c r="M31" s="1">
        <v>1.9339999999999999</v>
      </c>
      <c r="N31" s="1">
        <v>1.9379999999999999</v>
      </c>
      <c r="O31" s="1">
        <v>1.93</v>
      </c>
      <c r="P31" s="1">
        <v>1.927</v>
      </c>
      <c r="Q31" s="1">
        <v>1.9370000000000001</v>
      </c>
      <c r="R31" s="1">
        <v>1.9410000000000001</v>
      </c>
      <c r="S31" s="1">
        <v>1.9330000000000001</v>
      </c>
      <c r="T31" s="1">
        <v>1.9410000000000001</v>
      </c>
      <c r="U31" s="1">
        <v>1.9339999999999999</v>
      </c>
      <c r="V31" s="1">
        <v>1.9359999999999999</v>
      </c>
      <c r="W31" s="1">
        <v>1.9330000000000001</v>
      </c>
      <c r="X31" s="1">
        <v>1.9419999999999999</v>
      </c>
      <c r="Y31" s="1">
        <v>1.9330000000000001</v>
      </c>
      <c r="Z31" s="1">
        <v>1.9339999999999999</v>
      </c>
      <c r="AA31" s="1">
        <v>1.9379999999999999</v>
      </c>
      <c r="AB31" s="1">
        <v>1.93</v>
      </c>
      <c r="AC31" s="1">
        <v>1.9339999999999999</v>
      </c>
      <c r="AD31" s="1">
        <v>1.9359999999999999</v>
      </c>
      <c r="AE31" s="1">
        <v>1.9370000000000001</v>
      </c>
      <c r="AF31" s="1">
        <v>1.9330000000000001</v>
      </c>
      <c r="AG31" s="1">
        <v>1.9330000000000001</v>
      </c>
      <c r="AH31" s="1">
        <v>1.9339999999999999</v>
      </c>
      <c r="AI31" s="1">
        <v>1.944</v>
      </c>
      <c r="AJ31" s="1">
        <v>1.944</v>
      </c>
      <c r="AK31" s="1">
        <v>1.9359999999999999</v>
      </c>
      <c r="AL31" s="1">
        <v>1.93</v>
      </c>
      <c r="AM31" s="1">
        <v>1.9339999999999999</v>
      </c>
      <c r="AN31" s="1">
        <v>1.9339999999999999</v>
      </c>
      <c r="AO31" s="1">
        <v>1.9339999999999999</v>
      </c>
      <c r="AP31" s="1">
        <v>1.9330000000000001</v>
      </c>
      <c r="AQ31" s="1">
        <v>1.9330000000000001</v>
      </c>
      <c r="AR31" s="1">
        <v>1.9339999999999999</v>
      </c>
      <c r="AS31" s="1">
        <v>1.93</v>
      </c>
      <c r="AT31" s="1">
        <v>1.94</v>
      </c>
      <c r="AU31" s="1">
        <v>1.9379999999999999</v>
      </c>
      <c r="AV31" s="1">
        <v>1.9410000000000001</v>
      </c>
      <c r="AW31" s="1">
        <v>1.9359999999999999</v>
      </c>
      <c r="AX31" s="1">
        <v>1.9339999999999999</v>
      </c>
      <c r="AY31" s="1">
        <v>1.9370000000000001</v>
      </c>
      <c r="AZ31" s="1">
        <v>1.9359999999999999</v>
      </c>
      <c r="BA31" s="1">
        <v>1.93</v>
      </c>
      <c r="BB31" s="1">
        <v>1.9330000000000001</v>
      </c>
      <c r="BC31" s="1">
        <v>1.9359999999999999</v>
      </c>
      <c r="BD31" s="1">
        <v>1.9339999999999999</v>
      </c>
      <c r="BE31" s="1">
        <v>1.9370000000000001</v>
      </c>
      <c r="BF31" s="1">
        <v>1.9330000000000001</v>
      </c>
      <c r="BG31" s="1">
        <v>1.9359999999999999</v>
      </c>
      <c r="BH31" s="1">
        <v>1.9410000000000001</v>
      </c>
      <c r="BI31" s="1">
        <v>1.93</v>
      </c>
      <c r="BJ31" s="1">
        <v>1.9379999999999999</v>
      </c>
      <c r="BK31" s="1">
        <v>1.929</v>
      </c>
      <c r="BL31" s="1">
        <v>1.9330000000000001</v>
      </c>
      <c r="BN31" s="9">
        <v>24</v>
      </c>
      <c r="BO31" s="9">
        <v>330</v>
      </c>
      <c r="BP31" s="10">
        <f t="shared" si="0"/>
        <v>-1.5852272727272534E-3</v>
      </c>
      <c r="BQ31" s="10">
        <f t="shared" si="1"/>
        <v>-5.5113636363634329E-4</v>
      </c>
      <c r="BR31" s="10">
        <f t="shared" si="2"/>
        <v>9.9999999999996424E-4</v>
      </c>
      <c r="BS31" s="10">
        <f t="shared" si="3"/>
        <v>-2.1022727272727655E-3</v>
      </c>
      <c r="BT31" s="10">
        <f t="shared" si="4"/>
        <v>-3.4090909090945711E-5</v>
      </c>
      <c r="BU31" s="10">
        <f t="shared" si="5"/>
        <v>9.9999999999996424E-4</v>
      </c>
      <c r="BV31" s="10">
        <f t="shared" si="6"/>
        <v>4.102272727272694E-3</v>
      </c>
      <c r="BW31" s="10">
        <f t="shared" si="7"/>
        <v>1.5170454545454766E-3</v>
      </c>
      <c r="BX31" s="10">
        <f t="shared" si="8"/>
        <v>-3.4090909090945711E-5</v>
      </c>
      <c r="BY31" s="10">
        <f t="shared" si="9"/>
        <v>2.0340909090908743E-3</v>
      </c>
      <c r="BZ31" s="10">
        <f t="shared" si="10"/>
        <v>-2.1022727272727655E-3</v>
      </c>
      <c r="CA31" s="10">
        <f t="shared" si="11"/>
        <v>-3.6534090909090735E-3</v>
      </c>
      <c r="CB31" s="10">
        <f t="shared" si="12"/>
        <v>1.5170454545454766E-3</v>
      </c>
      <c r="CC31" s="10">
        <f t="shared" si="13"/>
        <v>3.5852272727272968E-3</v>
      </c>
      <c r="CD31" s="10">
        <f t="shared" si="14"/>
        <v>-5.5113636363634329E-4</v>
      </c>
      <c r="CE31" s="10">
        <f t="shared" si="15"/>
        <v>3.5852272727272968E-3</v>
      </c>
      <c r="CF31" s="10">
        <f t="shared" si="16"/>
        <v>-3.4090909090945711E-5</v>
      </c>
      <c r="CG31" s="10">
        <f t="shared" si="17"/>
        <v>9.9999999999996424E-4</v>
      </c>
      <c r="CH31" s="10">
        <f t="shared" si="18"/>
        <v>-5.5113636363634329E-4</v>
      </c>
      <c r="CI31" s="10">
        <f t="shared" si="19"/>
        <v>4.102272727272694E-3</v>
      </c>
      <c r="CJ31" s="10">
        <f t="shared" si="20"/>
        <v>-5.5113636363634329E-4</v>
      </c>
      <c r="CK31" s="10">
        <f t="shared" si="21"/>
        <v>-3.4090909090945711E-5</v>
      </c>
      <c r="CL31" s="10">
        <f t="shared" si="22"/>
        <v>2.0340909090908743E-3</v>
      </c>
      <c r="CM31" s="10">
        <f t="shared" si="23"/>
        <v>-2.1022727272727655E-3</v>
      </c>
      <c r="CN31" s="10">
        <f t="shared" si="24"/>
        <v>-3.4090909090945711E-5</v>
      </c>
      <c r="CO31" s="10">
        <f t="shared" si="25"/>
        <v>9.9999999999996424E-4</v>
      </c>
      <c r="CP31" s="10">
        <f t="shared" si="26"/>
        <v>1.5170454545454766E-3</v>
      </c>
      <c r="CQ31" s="10">
        <f t="shared" si="27"/>
        <v>-5.5113636363634329E-4</v>
      </c>
      <c r="CR31" s="10">
        <f t="shared" si="28"/>
        <v>-5.5113636363634329E-4</v>
      </c>
      <c r="CS31" s="10">
        <f t="shared" si="29"/>
        <v>-3.4090909090945711E-5</v>
      </c>
      <c r="CT31" s="10">
        <f t="shared" si="30"/>
        <v>5.1363636363636047E-3</v>
      </c>
      <c r="CU31" s="10">
        <f t="shared" si="31"/>
        <v>5.1363636363636047E-3</v>
      </c>
      <c r="CV31" s="10">
        <f t="shared" si="32"/>
        <v>9.9999999999996424E-4</v>
      </c>
      <c r="CW31" s="10">
        <f t="shared" si="33"/>
        <v>-2.1022727272727655E-3</v>
      </c>
      <c r="CX31" s="10">
        <f t="shared" si="34"/>
        <v>-3.4090909090945711E-5</v>
      </c>
      <c r="CY31" s="10">
        <f t="shared" si="35"/>
        <v>-3.4090909090945711E-5</v>
      </c>
      <c r="CZ31" s="10">
        <f t="shared" si="36"/>
        <v>-3.4090909090945711E-5</v>
      </c>
      <c r="DA31" s="10">
        <f t="shared" si="37"/>
        <v>-5.5113636363634329E-4</v>
      </c>
      <c r="DB31" s="10">
        <f t="shared" si="38"/>
        <v>-5.5113636363634329E-4</v>
      </c>
      <c r="DC31" s="10">
        <f t="shared" si="39"/>
        <v>-3.4090909090945711E-5</v>
      </c>
      <c r="DD31" s="10">
        <f t="shared" si="40"/>
        <v>-2.1022727272727655E-3</v>
      </c>
      <c r="DE31" s="10">
        <f t="shared" si="41"/>
        <v>3.0681818181817842E-3</v>
      </c>
      <c r="DF31" s="10">
        <f t="shared" si="42"/>
        <v>2.0340909090908743E-3</v>
      </c>
      <c r="DG31" s="10">
        <f t="shared" si="43"/>
        <v>3.5852272727272968E-3</v>
      </c>
      <c r="DH31" s="10">
        <f t="shared" si="44"/>
        <v>9.9999999999996424E-4</v>
      </c>
      <c r="DI31" s="10">
        <f t="shared" si="45"/>
        <v>-3.4090909090945711E-5</v>
      </c>
      <c r="DJ31" s="10">
        <f t="shared" si="46"/>
        <v>1.5170454545454766E-3</v>
      </c>
      <c r="DK31" s="10">
        <f t="shared" si="47"/>
        <v>9.9999999999996424E-4</v>
      </c>
      <c r="DL31" s="10">
        <f t="shared" si="48"/>
        <v>-2.1022727272727655E-3</v>
      </c>
      <c r="DM31" s="10">
        <f t="shared" si="49"/>
        <v>-5.5113636363634329E-4</v>
      </c>
      <c r="DN31" s="10">
        <f t="shared" si="50"/>
        <v>9.9999999999996424E-4</v>
      </c>
      <c r="DO31" s="10">
        <f t="shared" si="51"/>
        <v>-3.4090909090945711E-5</v>
      </c>
      <c r="DP31" s="10">
        <f t="shared" si="52"/>
        <v>1.5170454545454766E-3</v>
      </c>
      <c r="DQ31" s="10">
        <f t="shared" si="53"/>
        <v>-5.5113636363634329E-4</v>
      </c>
      <c r="DR31" s="10">
        <f t="shared" si="54"/>
        <v>9.9999999999996424E-4</v>
      </c>
      <c r="DS31" s="10">
        <f t="shared" si="55"/>
        <v>3.5852272727272968E-3</v>
      </c>
      <c r="DT31" s="10">
        <f t="shared" si="56"/>
        <v>-2.1022727272727655E-3</v>
      </c>
      <c r="DU31" s="10">
        <f t="shared" si="57"/>
        <v>2.0340909090908743E-3</v>
      </c>
      <c r="DV31" s="10">
        <f t="shared" si="58"/>
        <v>-2.6193181818181632E-3</v>
      </c>
      <c r="DW31" s="10">
        <f t="shared" si="59"/>
        <v>-5.5113636363634329E-4</v>
      </c>
    </row>
    <row r="32" spans="2:127" x14ac:dyDescent="0.45">
      <c r="B32" s="1">
        <v>24</v>
      </c>
      <c r="C32" s="1">
        <v>345</v>
      </c>
      <c r="D32" s="7">
        <f t="shared" si="60"/>
        <v>2.0219780219780219</v>
      </c>
      <c r="E32" s="1">
        <v>2.0179999999999998</v>
      </c>
      <c r="F32" s="1">
        <v>2.0209999999999999</v>
      </c>
      <c r="G32" s="1">
        <v>2.0219999999999998</v>
      </c>
      <c r="H32" s="1">
        <v>2.0179999999999998</v>
      </c>
      <c r="I32" s="1">
        <v>2.0209999999999999</v>
      </c>
      <c r="J32" s="1">
        <v>2.0249999999999999</v>
      </c>
      <c r="K32" s="1">
        <v>2.0329999999999999</v>
      </c>
      <c r="L32" s="1">
        <v>2.032</v>
      </c>
      <c r="M32" s="1">
        <v>2.0219999999999998</v>
      </c>
      <c r="N32" s="1">
        <v>2.028</v>
      </c>
      <c r="O32" s="1">
        <v>2.0209999999999999</v>
      </c>
      <c r="P32" s="1">
        <v>2.016</v>
      </c>
      <c r="Q32" s="1">
        <v>2.024</v>
      </c>
      <c r="R32" s="1">
        <v>2.0289999999999999</v>
      </c>
      <c r="S32" s="1">
        <v>2.0209999999999999</v>
      </c>
      <c r="T32" s="1">
        <v>2.0289999999999999</v>
      </c>
      <c r="U32" s="1">
        <v>2.0209999999999999</v>
      </c>
      <c r="V32" s="1">
        <v>2.0219999999999998</v>
      </c>
      <c r="W32" s="1">
        <v>2.02</v>
      </c>
      <c r="X32" s="1">
        <v>2.0350000000000001</v>
      </c>
      <c r="Y32" s="1">
        <v>2.0209999999999999</v>
      </c>
      <c r="Z32" s="1">
        <v>2.0209999999999999</v>
      </c>
      <c r="AA32" s="1">
        <v>2.0259999999999998</v>
      </c>
      <c r="AB32" s="1">
        <v>2.0169999999999999</v>
      </c>
      <c r="AC32" s="1">
        <v>2.0249999999999999</v>
      </c>
      <c r="AD32" s="1">
        <v>2.024</v>
      </c>
      <c r="AE32" s="1">
        <v>2.0249999999999999</v>
      </c>
      <c r="AF32" s="1">
        <v>2.0249999999999999</v>
      </c>
      <c r="AG32" s="1">
        <v>2.024</v>
      </c>
      <c r="AH32" s="1">
        <v>2.024</v>
      </c>
      <c r="AI32" s="1">
        <v>2.0299999999999998</v>
      </c>
      <c r="AJ32" s="1">
        <v>2.032</v>
      </c>
      <c r="AK32" s="1">
        <v>2.0219999999999998</v>
      </c>
      <c r="AL32" s="1">
        <v>2.02</v>
      </c>
      <c r="AM32" s="1">
        <v>2.0219999999999998</v>
      </c>
      <c r="AN32" s="1">
        <v>2.0209999999999999</v>
      </c>
      <c r="AO32" s="1">
        <v>2.024</v>
      </c>
      <c r="AP32" s="1">
        <v>2.0209999999999999</v>
      </c>
      <c r="AQ32" s="1">
        <v>2.0219999999999998</v>
      </c>
      <c r="AR32" s="1">
        <v>2.0219999999999998</v>
      </c>
      <c r="AS32" s="1">
        <v>2.0169999999999999</v>
      </c>
      <c r="AT32" s="1">
        <v>2.028</v>
      </c>
      <c r="AU32" s="1">
        <v>2.028</v>
      </c>
      <c r="AV32" s="1">
        <v>2.036</v>
      </c>
      <c r="AW32" s="1">
        <v>2.0219999999999998</v>
      </c>
      <c r="AX32" s="1">
        <v>2.0219999999999998</v>
      </c>
      <c r="AY32" s="1">
        <v>2.024</v>
      </c>
      <c r="AZ32" s="1">
        <v>2.024</v>
      </c>
      <c r="BA32" s="1">
        <v>2.0179999999999998</v>
      </c>
      <c r="BB32" s="1">
        <v>2.0209999999999999</v>
      </c>
      <c r="BC32" s="1">
        <v>2.0259999999999998</v>
      </c>
      <c r="BD32" s="1">
        <v>2.02</v>
      </c>
      <c r="BE32" s="1">
        <v>2.0259999999999998</v>
      </c>
      <c r="BF32" s="1">
        <v>2.0219999999999998</v>
      </c>
      <c r="BG32" s="1">
        <v>2.0249999999999999</v>
      </c>
      <c r="BH32" s="1">
        <v>2.036</v>
      </c>
      <c r="BI32" s="1">
        <v>2.02</v>
      </c>
      <c r="BJ32" s="1">
        <v>2.024</v>
      </c>
      <c r="BK32" s="1">
        <v>2.0209999999999999</v>
      </c>
      <c r="BL32" s="1">
        <v>2.0219999999999998</v>
      </c>
      <c r="BN32" s="9">
        <v>24</v>
      </c>
      <c r="BO32" s="9">
        <v>345</v>
      </c>
      <c r="BP32" s="10">
        <f t="shared" si="0"/>
        <v>-1.9673913043478895E-3</v>
      </c>
      <c r="BQ32" s="10">
        <f t="shared" si="1"/>
        <v>-4.8369565217392014E-4</v>
      </c>
      <c r="BR32" s="10">
        <f t="shared" si="2"/>
        <v>1.086956521732977E-5</v>
      </c>
      <c r="BS32" s="10">
        <f t="shared" si="3"/>
        <v>-1.9673913043478895E-3</v>
      </c>
      <c r="BT32" s="10">
        <f t="shared" si="4"/>
        <v>-4.8369565217392014E-4</v>
      </c>
      <c r="BU32" s="10">
        <f t="shared" si="5"/>
        <v>1.4945652173912992E-3</v>
      </c>
      <c r="BV32" s="10">
        <f t="shared" si="6"/>
        <v>5.4510869565217376E-3</v>
      </c>
      <c r="BW32" s="10">
        <f t="shared" si="7"/>
        <v>4.9565217391304879E-3</v>
      </c>
      <c r="BX32" s="10">
        <f t="shared" si="8"/>
        <v>1.086956521732977E-5</v>
      </c>
      <c r="BY32" s="10">
        <f t="shared" si="9"/>
        <v>2.9782608695652683E-3</v>
      </c>
      <c r="BZ32" s="10">
        <f t="shared" si="10"/>
        <v>-4.8369565217392014E-4</v>
      </c>
      <c r="CA32" s="10">
        <f t="shared" si="11"/>
        <v>-2.9565217391303894E-3</v>
      </c>
      <c r="CB32" s="10">
        <f t="shared" si="12"/>
        <v>1.0000000000000492E-3</v>
      </c>
      <c r="CC32" s="10">
        <f t="shared" si="13"/>
        <v>3.4728260869565184E-3</v>
      </c>
      <c r="CD32" s="10">
        <f t="shared" si="14"/>
        <v>-4.8369565217392014E-4</v>
      </c>
      <c r="CE32" s="10">
        <f t="shared" si="15"/>
        <v>3.4728260869565184E-3</v>
      </c>
      <c r="CF32" s="10">
        <f t="shared" si="16"/>
        <v>-4.8369565217392014E-4</v>
      </c>
      <c r="CG32" s="10">
        <f t="shared" si="17"/>
        <v>1.086956521732977E-5</v>
      </c>
      <c r="CH32" s="10">
        <f t="shared" si="18"/>
        <v>-9.7826086956516998E-4</v>
      </c>
      <c r="CI32" s="10">
        <f t="shared" si="19"/>
        <v>6.4402173913044574E-3</v>
      </c>
      <c r="CJ32" s="10">
        <f t="shared" si="20"/>
        <v>-4.8369565217392014E-4</v>
      </c>
      <c r="CK32" s="10">
        <f t="shared" si="21"/>
        <v>-4.8369565217392014E-4</v>
      </c>
      <c r="CL32" s="10">
        <f t="shared" si="22"/>
        <v>1.9891304347825489E-3</v>
      </c>
      <c r="CM32" s="10">
        <f t="shared" si="23"/>
        <v>-2.4619565217391393E-3</v>
      </c>
      <c r="CN32" s="10">
        <f t="shared" si="24"/>
        <v>1.4945652173912992E-3</v>
      </c>
      <c r="CO32" s="10">
        <f t="shared" si="25"/>
        <v>1.0000000000000492E-3</v>
      </c>
      <c r="CP32" s="10">
        <f t="shared" si="26"/>
        <v>1.4945652173912992E-3</v>
      </c>
      <c r="CQ32" s="10">
        <f t="shared" si="27"/>
        <v>1.4945652173912992E-3</v>
      </c>
      <c r="CR32" s="10">
        <f t="shared" si="28"/>
        <v>1.0000000000000492E-3</v>
      </c>
      <c r="CS32" s="10">
        <f t="shared" si="29"/>
        <v>1.0000000000000492E-3</v>
      </c>
      <c r="CT32" s="10">
        <f t="shared" si="30"/>
        <v>3.9673913043477681E-3</v>
      </c>
      <c r="CU32" s="10">
        <f t="shared" si="31"/>
        <v>4.9565217391304879E-3</v>
      </c>
      <c r="CV32" s="10">
        <f t="shared" si="32"/>
        <v>1.086956521732977E-5</v>
      </c>
      <c r="CW32" s="10">
        <f t="shared" si="33"/>
        <v>-9.7826086956516998E-4</v>
      </c>
      <c r="CX32" s="10">
        <f t="shared" si="34"/>
        <v>1.086956521732977E-5</v>
      </c>
      <c r="CY32" s="10">
        <f t="shared" si="35"/>
        <v>-4.8369565217392014E-4</v>
      </c>
      <c r="CZ32" s="10">
        <f t="shared" si="36"/>
        <v>1.0000000000000492E-3</v>
      </c>
      <c r="DA32" s="10">
        <f t="shared" si="37"/>
        <v>-4.8369565217392014E-4</v>
      </c>
      <c r="DB32" s="10">
        <f t="shared" si="38"/>
        <v>1.086956521732977E-5</v>
      </c>
      <c r="DC32" s="10">
        <f t="shared" si="39"/>
        <v>1.086956521732977E-5</v>
      </c>
      <c r="DD32" s="10">
        <f t="shared" si="40"/>
        <v>-2.4619565217391393E-3</v>
      </c>
      <c r="DE32" s="10">
        <f t="shared" si="41"/>
        <v>2.9782608695652683E-3</v>
      </c>
      <c r="DF32" s="10">
        <f t="shared" si="42"/>
        <v>2.9782608695652683E-3</v>
      </c>
      <c r="DG32" s="10">
        <f t="shared" si="43"/>
        <v>6.9347826086957071E-3</v>
      </c>
      <c r="DH32" s="10">
        <f t="shared" si="44"/>
        <v>1.086956521732977E-5</v>
      </c>
      <c r="DI32" s="10">
        <f t="shared" si="45"/>
        <v>1.086956521732977E-5</v>
      </c>
      <c r="DJ32" s="10">
        <f t="shared" si="46"/>
        <v>1.0000000000000492E-3</v>
      </c>
      <c r="DK32" s="10">
        <f t="shared" si="47"/>
        <v>1.0000000000000492E-3</v>
      </c>
      <c r="DL32" s="10">
        <f t="shared" si="48"/>
        <v>-1.9673913043478895E-3</v>
      </c>
      <c r="DM32" s="10">
        <f t="shared" si="49"/>
        <v>-4.8369565217392014E-4</v>
      </c>
      <c r="DN32" s="10">
        <f t="shared" si="50"/>
        <v>1.9891304347825489E-3</v>
      </c>
      <c r="DO32" s="10">
        <f t="shared" si="51"/>
        <v>-9.7826086956516998E-4</v>
      </c>
      <c r="DP32" s="10">
        <f t="shared" si="52"/>
        <v>1.9891304347825489E-3</v>
      </c>
      <c r="DQ32" s="10">
        <f t="shared" si="53"/>
        <v>1.086956521732977E-5</v>
      </c>
      <c r="DR32" s="10">
        <f t="shared" si="54"/>
        <v>1.4945652173912992E-3</v>
      </c>
      <c r="DS32" s="10">
        <f t="shared" si="55"/>
        <v>6.9347826086957071E-3</v>
      </c>
      <c r="DT32" s="10">
        <f t="shared" si="56"/>
        <v>-9.7826086956516998E-4</v>
      </c>
      <c r="DU32" s="10">
        <f t="shared" si="57"/>
        <v>1.0000000000000492E-3</v>
      </c>
      <c r="DV32" s="10">
        <f t="shared" si="58"/>
        <v>-4.8369565217392014E-4</v>
      </c>
      <c r="DW32" s="10">
        <f t="shared" si="59"/>
        <v>1.086956521732977E-5</v>
      </c>
    </row>
    <row r="33" spans="2:127" x14ac:dyDescent="0.45">
      <c r="B33" s="1">
        <v>24</v>
      </c>
      <c r="C33" s="1">
        <v>360</v>
      </c>
      <c r="D33" s="7">
        <f t="shared" si="60"/>
        <v>2.1098901098901099</v>
      </c>
      <c r="E33" s="1">
        <v>2.1059999999999999</v>
      </c>
      <c r="F33" s="1">
        <v>2.109</v>
      </c>
      <c r="G33" s="1">
        <v>2.1120000000000001</v>
      </c>
      <c r="H33" s="1">
        <v>2.105</v>
      </c>
      <c r="I33" s="1">
        <v>2.109</v>
      </c>
      <c r="J33" s="1">
        <v>2.1150000000000002</v>
      </c>
      <c r="K33" s="1">
        <v>2.12</v>
      </c>
      <c r="L33" s="1">
        <v>2.117</v>
      </c>
      <c r="M33" s="1">
        <v>2.1110000000000002</v>
      </c>
      <c r="N33" s="1">
        <v>2.1150000000000002</v>
      </c>
      <c r="O33" s="1">
        <v>2.1110000000000002</v>
      </c>
      <c r="P33" s="1">
        <v>2.1019999999999999</v>
      </c>
      <c r="Q33" s="1">
        <v>2.1120000000000001</v>
      </c>
      <c r="R33" s="1">
        <v>2.1160000000000001</v>
      </c>
      <c r="S33" s="1">
        <v>2.109</v>
      </c>
      <c r="T33" s="1">
        <v>2.1190000000000002</v>
      </c>
      <c r="U33" s="1">
        <v>2.1059999999999999</v>
      </c>
      <c r="V33" s="1">
        <v>2.1110000000000002</v>
      </c>
      <c r="W33" s="1">
        <v>2.1080000000000001</v>
      </c>
      <c r="X33" s="1">
        <v>2.1230000000000002</v>
      </c>
      <c r="Y33" s="1">
        <v>2.1120000000000001</v>
      </c>
      <c r="Z33" s="1">
        <v>2.109</v>
      </c>
      <c r="AA33" s="1">
        <v>2.113</v>
      </c>
      <c r="AB33" s="1">
        <v>2.1059999999999999</v>
      </c>
      <c r="AC33" s="1">
        <v>2.1150000000000002</v>
      </c>
      <c r="AD33" s="1">
        <v>2.113</v>
      </c>
      <c r="AE33" s="1">
        <v>2.1150000000000002</v>
      </c>
      <c r="AF33" s="1">
        <v>2.1150000000000002</v>
      </c>
      <c r="AG33" s="1">
        <v>2.113</v>
      </c>
      <c r="AH33" s="1">
        <v>2.1120000000000001</v>
      </c>
      <c r="AI33" s="1">
        <v>2.12</v>
      </c>
      <c r="AJ33" s="1">
        <v>2.117</v>
      </c>
      <c r="AK33" s="1">
        <v>2.1110000000000002</v>
      </c>
      <c r="AL33" s="1">
        <v>2.1080000000000001</v>
      </c>
      <c r="AM33" s="1">
        <v>2.1120000000000001</v>
      </c>
      <c r="AN33" s="1">
        <v>2.109</v>
      </c>
      <c r="AO33" s="1">
        <v>2.113</v>
      </c>
      <c r="AP33" s="1">
        <v>2.1110000000000002</v>
      </c>
      <c r="AQ33" s="1">
        <v>2.113</v>
      </c>
      <c r="AR33" s="1">
        <v>2.109</v>
      </c>
      <c r="AS33" s="1">
        <v>2.1059999999999999</v>
      </c>
      <c r="AT33" s="1">
        <v>2.1160000000000001</v>
      </c>
      <c r="AU33" s="1">
        <v>2.1160000000000001</v>
      </c>
      <c r="AV33" s="1">
        <v>2.1230000000000002</v>
      </c>
      <c r="AW33" s="1">
        <v>2.1110000000000002</v>
      </c>
      <c r="AX33" s="1">
        <v>2.109</v>
      </c>
      <c r="AY33" s="1">
        <v>2.1120000000000001</v>
      </c>
      <c r="AZ33" s="1">
        <v>2.1120000000000001</v>
      </c>
      <c r="BA33" s="1">
        <v>2.1059999999999999</v>
      </c>
      <c r="BB33" s="1">
        <v>2.109</v>
      </c>
      <c r="BC33" s="1">
        <v>2.1150000000000002</v>
      </c>
      <c r="BD33" s="1">
        <v>2.1080000000000001</v>
      </c>
      <c r="BE33" s="1">
        <v>2.1160000000000001</v>
      </c>
      <c r="BF33" s="1">
        <v>2.109</v>
      </c>
      <c r="BG33" s="1">
        <v>2.1110000000000002</v>
      </c>
      <c r="BH33" s="1">
        <v>2.1190000000000002</v>
      </c>
      <c r="BI33" s="1">
        <v>2.1080000000000001</v>
      </c>
      <c r="BJ33" s="1">
        <v>2.1110000000000002</v>
      </c>
      <c r="BK33" s="1">
        <v>2.109</v>
      </c>
      <c r="BL33" s="1">
        <v>2.1110000000000002</v>
      </c>
      <c r="BN33" s="9">
        <v>24</v>
      </c>
      <c r="BO33" s="9">
        <v>360</v>
      </c>
      <c r="BP33" s="10">
        <f t="shared" si="0"/>
        <v>-1.843750000000086E-3</v>
      </c>
      <c r="BQ33" s="10">
        <f t="shared" si="1"/>
        <v>-4.2187500000003214E-4</v>
      </c>
      <c r="BR33" s="10">
        <f t="shared" si="2"/>
        <v>1.0000000000000217E-3</v>
      </c>
      <c r="BS33" s="10">
        <f t="shared" si="3"/>
        <v>-2.3177083333333673E-3</v>
      </c>
      <c r="BT33" s="10">
        <f t="shared" si="4"/>
        <v>-4.2187500000003214E-4</v>
      </c>
      <c r="BU33" s="10">
        <f t="shared" si="5"/>
        <v>2.4218750000000754E-3</v>
      </c>
      <c r="BV33" s="10">
        <f t="shared" si="6"/>
        <v>4.7916666666666915E-3</v>
      </c>
      <c r="BW33" s="10">
        <f t="shared" si="7"/>
        <v>3.3697916666666377E-3</v>
      </c>
      <c r="BX33" s="10">
        <f t="shared" si="8"/>
        <v>5.2604166666674057E-4</v>
      </c>
      <c r="BY33" s="10">
        <f t="shared" si="9"/>
        <v>2.4218750000000754E-3</v>
      </c>
      <c r="BZ33" s="10">
        <f t="shared" si="10"/>
        <v>5.2604166666674057E-4</v>
      </c>
      <c r="CA33" s="10">
        <f t="shared" si="11"/>
        <v>-3.7395833333334211E-3</v>
      </c>
      <c r="CB33" s="10">
        <f t="shared" si="12"/>
        <v>1.0000000000000217E-3</v>
      </c>
      <c r="CC33" s="10">
        <f t="shared" si="13"/>
        <v>2.8958333333333566E-3</v>
      </c>
      <c r="CD33" s="10">
        <f t="shared" si="14"/>
        <v>-4.2187500000003214E-4</v>
      </c>
      <c r="CE33" s="10">
        <f t="shared" si="15"/>
        <v>4.3177083333334103E-3</v>
      </c>
      <c r="CF33" s="10">
        <f t="shared" si="16"/>
        <v>-1.843750000000086E-3</v>
      </c>
      <c r="CG33" s="10">
        <f t="shared" si="17"/>
        <v>5.2604166666674057E-4</v>
      </c>
      <c r="CH33" s="10">
        <f t="shared" si="18"/>
        <v>-8.9583333333331328E-4</v>
      </c>
      <c r="CI33" s="10">
        <f t="shared" si="19"/>
        <v>6.2135416666667456E-3</v>
      </c>
      <c r="CJ33" s="10">
        <f t="shared" si="20"/>
        <v>1.0000000000000217E-3</v>
      </c>
      <c r="CK33" s="10">
        <f t="shared" si="21"/>
        <v>-4.2187500000003214E-4</v>
      </c>
      <c r="CL33" s="10">
        <f t="shared" si="22"/>
        <v>1.4739583333333028E-3</v>
      </c>
      <c r="CM33" s="10">
        <f t="shared" si="23"/>
        <v>-1.843750000000086E-3</v>
      </c>
      <c r="CN33" s="10">
        <f t="shared" si="24"/>
        <v>2.4218750000000754E-3</v>
      </c>
      <c r="CO33" s="10">
        <f t="shared" si="25"/>
        <v>1.4739583333333028E-3</v>
      </c>
      <c r="CP33" s="10">
        <f t="shared" si="26"/>
        <v>2.4218750000000754E-3</v>
      </c>
      <c r="CQ33" s="10">
        <f t="shared" si="27"/>
        <v>2.4218750000000754E-3</v>
      </c>
      <c r="CR33" s="10">
        <f t="shared" si="28"/>
        <v>1.4739583333333028E-3</v>
      </c>
      <c r="CS33" s="10">
        <f t="shared" si="29"/>
        <v>1.0000000000000217E-3</v>
      </c>
      <c r="CT33" s="10">
        <f t="shared" si="30"/>
        <v>4.7916666666666915E-3</v>
      </c>
      <c r="CU33" s="10">
        <f t="shared" si="31"/>
        <v>3.3697916666666377E-3</v>
      </c>
      <c r="CV33" s="10">
        <f t="shared" si="32"/>
        <v>5.2604166666674057E-4</v>
      </c>
      <c r="CW33" s="10">
        <f t="shared" si="33"/>
        <v>-8.9583333333331328E-4</v>
      </c>
      <c r="CX33" s="10">
        <f t="shared" si="34"/>
        <v>1.0000000000000217E-3</v>
      </c>
      <c r="CY33" s="10">
        <f t="shared" si="35"/>
        <v>-4.2187500000003214E-4</v>
      </c>
      <c r="CZ33" s="10">
        <f t="shared" si="36"/>
        <v>1.4739583333333028E-3</v>
      </c>
      <c r="DA33" s="10">
        <f t="shared" si="37"/>
        <v>5.2604166666674057E-4</v>
      </c>
      <c r="DB33" s="10">
        <f t="shared" si="38"/>
        <v>1.4739583333333028E-3</v>
      </c>
      <c r="DC33" s="10">
        <f t="shared" si="39"/>
        <v>-4.2187500000003214E-4</v>
      </c>
      <c r="DD33" s="10">
        <f t="shared" si="40"/>
        <v>-1.843750000000086E-3</v>
      </c>
      <c r="DE33" s="10">
        <f t="shared" si="41"/>
        <v>2.8958333333333566E-3</v>
      </c>
      <c r="DF33" s="10">
        <f t="shared" si="42"/>
        <v>2.8958333333333566E-3</v>
      </c>
      <c r="DG33" s="10">
        <f t="shared" si="43"/>
        <v>6.2135416666667456E-3</v>
      </c>
      <c r="DH33" s="10">
        <f t="shared" si="44"/>
        <v>5.2604166666674057E-4</v>
      </c>
      <c r="DI33" s="10">
        <f t="shared" si="45"/>
        <v>-4.2187500000003214E-4</v>
      </c>
      <c r="DJ33" s="10">
        <f t="shared" si="46"/>
        <v>1.0000000000000217E-3</v>
      </c>
      <c r="DK33" s="10">
        <f t="shared" si="47"/>
        <v>1.0000000000000217E-3</v>
      </c>
      <c r="DL33" s="10">
        <f t="shared" si="48"/>
        <v>-1.843750000000086E-3</v>
      </c>
      <c r="DM33" s="10">
        <f t="shared" si="49"/>
        <v>-4.2187500000003214E-4</v>
      </c>
      <c r="DN33" s="10">
        <f t="shared" si="50"/>
        <v>2.4218750000000754E-3</v>
      </c>
      <c r="DO33" s="10">
        <f t="shared" si="51"/>
        <v>-8.9583333333331328E-4</v>
      </c>
      <c r="DP33" s="10">
        <f t="shared" si="52"/>
        <v>2.8958333333333566E-3</v>
      </c>
      <c r="DQ33" s="10">
        <f t="shared" si="53"/>
        <v>-4.2187500000003214E-4</v>
      </c>
      <c r="DR33" s="10">
        <f t="shared" si="54"/>
        <v>5.2604166666674057E-4</v>
      </c>
      <c r="DS33" s="10">
        <f t="shared" si="55"/>
        <v>4.3177083333334103E-3</v>
      </c>
      <c r="DT33" s="10">
        <f t="shared" si="56"/>
        <v>-8.9583333333331328E-4</v>
      </c>
      <c r="DU33" s="10">
        <f t="shared" si="57"/>
        <v>5.2604166666674057E-4</v>
      </c>
      <c r="DV33" s="10">
        <f t="shared" si="58"/>
        <v>-4.2187500000003214E-4</v>
      </c>
      <c r="DW33" s="10">
        <f t="shared" si="59"/>
        <v>5.2604166666674057E-4</v>
      </c>
    </row>
    <row r="34" spans="2:127" x14ac:dyDescent="0.45">
      <c r="B34" s="1">
        <v>24</v>
      </c>
      <c r="C34" s="1">
        <v>375</v>
      </c>
      <c r="D34" s="7">
        <f t="shared" si="60"/>
        <v>2.197802197802198</v>
      </c>
      <c r="E34" s="1">
        <v>2.1949999999999998</v>
      </c>
      <c r="F34" s="1">
        <v>2.1970000000000001</v>
      </c>
      <c r="G34" s="1">
        <v>2.2000000000000002</v>
      </c>
      <c r="H34" s="1">
        <v>2.1909999999999998</v>
      </c>
      <c r="I34" s="1">
        <v>2.1970000000000001</v>
      </c>
      <c r="J34" s="1">
        <v>2.2040000000000002</v>
      </c>
      <c r="K34" s="1">
        <v>2.21</v>
      </c>
      <c r="L34" s="1">
        <v>2.21</v>
      </c>
      <c r="M34" s="1">
        <v>2.1970000000000001</v>
      </c>
      <c r="N34" s="1">
        <v>2.2029999999999998</v>
      </c>
      <c r="O34" s="1">
        <v>2.2000000000000002</v>
      </c>
      <c r="P34" s="1">
        <v>2.1909999999999998</v>
      </c>
      <c r="Q34" s="1">
        <v>2.1989999999999998</v>
      </c>
      <c r="R34" s="1">
        <v>2.2040000000000002</v>
      </c>
      <c r="S34" s="1">
        <v>2.1949999999999998</v>
      </c>
      <c r="T34" s="1">
        <v>2.2069999999999999</v>
      </c>
      <c r="U34" s="1">
        <v>2.1949999999999998</v>
      </c>
      <c r="V34" s="1">
        <v>2.2000000000000002</v>
      </c>
      <c r="W34" s="1">
        <v>2.1970000000000001</v>
      </c>
      <c r="X34" s="1">
        <v>2.214</v>
      </c>
      <c r="Y34" s="1">
        <v>2.1960000000000002</v>
      </c>
      <c r="Z34" s="1">
        <v>2.1960000000000002</v>
      </c>
      <c r="AA34" s="1">
        <v>2.2000000000000002</v>
      </c>
      <c r="AB34" s="1">
        <v>2.1960000000000002</v>
      </c>
      <c r="AC34" s="1">
        <v>2.2010000000000001</v>
      </c>
      <c r="AD34" s="1">
        <v>2.2000000000000002</v>
      </c>
      <c r="AE34" s="1">
        <v>2.2029999999999998</v>
      </c>
      <c r="AF34" s="1">
        <v>2.2010000000000001</v>
      </c>
      <c r="AG34" s="1">
        <v>2.2040000000000002</v>
      </c>
      <c r="AH34" s="1">
        <v>2.2000000000000002</v>
      </c>
      <c r="AI34" s="1">
        <v>2.2069999999999999</v>
      </c>
      <c r="AJ34" s="1">
        <v>2.21</v>
      </c>
      <c r="AK34" s="1">
        <v>2.1989999999999998</v>
      </c>
      <c r="AL34" s="1">
        <v>2.1970000000000001</v>
      </c>
      <c r="AM34" s="1">
        <v>2.2000000000000002</v>
      </c>
      <c r="AN34" s="1">
        <v>2.1930000000000001</v>
      </c>
      <c r="AO34" s="1">
        <v>2.2010000000000001</v>
      </c>
      <c r="AP34" s="1">
        <v>2.1989999999999998</v>
      </c>
      <c r="AQ34" s="1">
        <v>2.2000000000000002</v>
      </c>
      <c r="AR34" s="1">
        <v>2.1970000000000001</v>
      </c>
      <c r="AS34" s="1">
        <v>2.1920000000000002</v>
      </c>
      <c r="AT34" s="1">
        <v>2.2050000000000001</v>
      </c>
      <c r="AU34" s="1">
        <v>2.2040000000000002</v>
      </c>
      <c r="AV34" s="1">
        <v>2.2120000000000002</v>
      </c>
      <c r="AW34" s="1">
        <v>2.1970000000000001</v>
      </c>
      <c r="AX34" s="1">
        <v>2.1960000000000002</v>
      </c>
      <c r="AY34" s="1">
        <v>2.1989999999999998</v>
      </c>
      <c r="AZ34" s="1">
        <v>2.2000000000000002</v>
      </c>
      <c r="BA34" s="1">
        <v>2.1949999999999998</v>
      </c>
      <c r="BB34" s="1">
        <v>2.1960000000000002</v>
      </c>
      <c r="BC34" s="1">
        <v>2.2040000000000002</v>
      </c>
      <c r="BD34" s="1">
        <v>2.1949999999999998</v>
      </c>
      <c r="BE34" s="1">
        <v>2.2050000000000001</v>
      </c>
      <c r="BF34" s="1">
        <v>2.1960000000000002</v>
      </c>
      <c r="BG34" s="1">
        <v>2.1970000000000001</v>
      </c>
      <c r="BH34" s="1">
        <v>2.2149999999999999</v>
      </c>
      <c r="BI34" s="1">
        <v>2.1960000000000002</v>
      </c>
      <c r="BJ34" s="1">
        <v>2.1989999999999998</v>
      </c>
      <c r="BK34" s="1">
        <v>2.1890000000000001</v>
      </c>
      <c r="BL34" s="1">
        <v>2.1970000000000001</v>
      </c>
      <c r="BN34" s="9">
        <v>24</v>
      </c>
      <c r="BO34" s="9">
        <v>375</v>
      </c>
      <c r="BP34" s="10">
        <f t="shared" si="0"/>
        <v>-1.2750000000001571E-3</v>
      </c>
      <c r="BQ34" s="10">
        <f t="shared" si="1"/>
        <v>-3.6500000000005528E-4</v>
      </c>
      <c r="BR34" s="10">
        <f t="shared" si="2"/>
        <v>9.9999999999999633E-4</v>
      </c>
      <c r="BS34" s="10">
        <f t="shared" si="3"/>
        <v>-3.0950000000001584E-3</v>
      </c>
      <c r="BT34" s="10">
        <f t="shared" si="4"/>
        <v>-3.6500000000005528E-4</v>
      </c>
      <c r="BU34" s="10">
        <f t="shared" si="5"/>
        <v>2.8199999999999979E-3</v>
      </c>
      <c r="BV34" s="10">
        <f t="shared" si="6"/>
        <v>5.5499999999998988E-3</v>
      </c>
      <c r="BW34" s="10">
        <f t="shared" si="7"/>
        <v>5.5499999999998988E-3</v>
      </c>
      <c r="BX34" s="10">
        <f t="shared" si="8"/>
        <v>-3.6500000000005528E-4</v>
      </c>
      <c r="BY34" s="10">
        <f t="shared" si="9"/>
        <v>2.364999999999846E-3</v>
      </c>
      <c r="BZ34" s="10">
        <f t="shared" si="10"/>
        <v>9.9999999999999633E-4</v>
      </c>
      <c r="CA34" s="10">
        <f t="shared" si="11"/>
        <v>-3.0950000000001584E-3</v>
      </c>
      <c r="CB34" s="10">
        <f t="shared" si="12"/>
        <v>5.4499999999984444E-4</v>
      </c>
      <c r="CC34" s="10">
        <f t="shared" si="13"/>
        <v>2.8199999999999979E-3</v>
      </c>
      <c r="CD34" s="10">
        <f t="shared" si="14"/>
        <v>-1.2750000000001571E-3</v>
      </c>
      <c r="CE34" s="10">
        <f t="shared" si="15"/>
        <v>4.1849999999998477E-3</v>
      </c>
      <c r="CF34" s="10">
        <f t="shared" si="16"/>
        <v>-1.2750000000001571E-3</v>
      </c>
      <c r="CG34" s="10">
        <f t="shared" si="17"/>
        <v>9.9999999999999633E-4</v>
      </c>
      <c r="CH34" s="10">
        <f t="shared" si="18"/>
        <v>-3.6500000000005528E-4</v>
      </c>
      <c r="CI34" s="10">
        <f t="shared" si="19"/>
        <v>7.3699999999999001E-3</v>
      </c>
      <c r="CJ34" s="10">
        <f t="shared" si="20"/>
        <v>-8.2000000000000508E-4</v>
      </c>
      <c r="CK34" s="10">
        <f t="shared" si="21"/>
        <v>-8.2000000000000508E-4</v>
      </c>
      <c r="CL34" s="10">
        <f t="shared" si="22"/>
        <v>9.9999999999999633E-4</v>
      </c>
      <c r="CM34" s="10">
        <f t="shared" si="23"/>
        <v>-8.2000000000000508E-4</v>
      </c>
      <c r="CN34" s="10">
        <f t="shared" si="24"/>
        <v>1.4549999999999461E-3</v>
      </c>
      <c r="CO34" s="10">
        <f t="shared" si="25"/>
        <v>9.9999999999999633E-4</v>
      </c>
      <c r="CP34" s="10">
        <f t="shared" si="26"/>
        <v>2.364999999999846E-3</v>
      </c>
      <c r="CQ34" s="10">
        <f t="shared" si="27"/>
        <v>1.4549999999999461E-3</v>
      </c>
      <c r="CR34" s="10">
        <f t="shared" si="28"/>
        <v>2.8199999999999979E-3</v>
      </c>
      <c r="CS34" s="10">
        <f t="shared" si="29"/>
        <v>9.9999999999999633E-4</v>
      </c>
      <c r="CT34" s="10">
        <f t="shared" si="30"/>
        <v>4.1849999999998477E-3</v>
      </c>
      <c r="CU34" s="10">
        <f t="shared" si="31"/>
        <v>5.5499999999998988E-3</v>
      </c>
      <c r="CV34" s="10">
        <f t="shared" si="32"/>
        <v>5.4499999999984444E-4</v>
      </c>
      <c r="CW34" s="10">
        <f t="shared" si="33"/>
        <v>-3.6500000000005528E-4</v>
      </c>
      <c r="CX34" s="10">
        <f t="shared" si="34"/>
        <v>9.9999999999999633E-4</v>
      </c>
      <c r="CY34" s="10">
        <f t="shared" si="35"/>
        <v>-2.1850000000000567E-3</v>
      </c>
      <c r="CZ34" s="10">
        <f t="shared" si="36"/>
        <v>1.4549999999999461E-3</v>
      </c>
      <c r="DA34" s="10">
        <f t="shared" si="37"/>
        <v>5.4499999999984444E-4</v>
      </c>
      <c r="DB34" s="10">
        <f t="shared" si="38"/>
        <v>9.9999999999999633E-4</v>
      </c>
      <c r="DC34" s="10">
        <f t="shared" si="39"/>
        <v>-3.6500000000005528E-4</v>
      </c>
      <c r="DD34" s="10">
        <f t="shared" si="40"/>
        <v>-2.6400000000000065E-3</v>
      </c>
      <c r="DE34" s="10">
        <f t="shared" si="41"/>
        <v>3.2749999999999477E-3</v>
      </c>
      <c r="DF34" s="10">
        <f t="shared" si="42"/>
        <v>2.8199999999999979E-3</v>
      </c>
      <c r="DG34" s="10">
        <f t="shared" si="43"/>
        <v>6.4600000000000005E-3</v>
      </c>
      <c r="DH34" s="10">
        <f t="shared" si="44"/>
        <v>-3.6500000000005528E-4</v>
      </c>
      <c r="DI34" s="10">
        <f t="shared" si="45"/>
        <v>-8.2000000000000508E-4</v>
      </c>
      <c r="DJ34" s="10">
        <f t="shared" si="46"/>
        <v>5.4499999999984444E-4</v>
      </c>
      <c r="DK34" s="10">
        <f t="shared" si="47"/>
        <v>9.9999999999999633E-4</v>
      </c>
      <c r="DL34" s="10">
        <f t="shared" si="48"/>
        <v>-1.2750000000001571E-3</v>
      </c>
      <c r="DM34" s="10">
        <f t="shared" si="49"/>
        <v>-8.2000000000000508E-4</v>
      </c>
      <c r="DN34" s="10">
        <f t="shared" si="50"/>
        <v>2.8199999999999979E-3</v>
      </c>
      <c r="DO34" s="10">
        <f t="shared" si="51"/>
        <v>-1.2750000000001571E-3</v>
      </c>
      <c r="DP34" s="10">
        <f t="shared" si="52"/>
        <v>3.2749999999999477E-3</v>
      </c>
      <c r="DQ34" s="10">
        <f t="shared" si="53"/>
        <v>-8.2000000000000508E-4</v>
      </c>
      <c r="DR34" s="10">
        <f t="shared" si="54"/>
        <v>-3.6500000000005528E-4</v>
      </c>
      <c r="DS34" s="10">
        <f t="shared" si="55"/>
        <v>7.8249999999998494E-3</v>
      </c>
      <c r="DT34" s="10">
        <f t="shared" si="56"/>
        <v>-8.2000000000000508E-4</v>
      </c>
      <c r="DU34" s="10">
        <f t="shared" si="57"/>
        <v>5.4499999999984444E-4</v>
      </c>
      <c r="DV34" s="10">
        <f t="shared" si="58"/>
        <v>-4.005000000000058E-3</v>
      </c>
      <c r="DW34" s="10">
        <f t="shared" si="59"/>
        <v>-3.6500000000005528E-4</v>
      </c>
    </row>
    <row r="35" spans="2:127" x14ac:dyDescent="0.45">
      <c r="B35" s="1">
        <v>24</v>
      </c>
      <c r="C35" s="1">
        <v>390</v>
      </c>
      <c r="D35" s="7">
        <f t="shared" si="60"/>
        <v>2.2857142857142856</v>
      </c>
      <c r="E35" s="1">
        <v>2.2829999999999999</v>
      </c>
      <c r="F35" s="1">
        <v>2.2850000000000001</v>
      </c>
      <c r="G35" s="1">
        <v>2.2850000000000001</v>
      </c>
      <c r="H35" s="1">
        <v>2.2770000000000001</v>
      </c>
      <c r="I35" s="1">
        <v>2.2839999999999998</v>
      </c>
      <c r="J35" s="1">
        <v>2.2919999999999998</v>
      </c>
      <c r="K35" s="1">
        <v>2.298</v>
      </c>
      <c r="L35" s="1">
        <v>2.2999999999999998</v>
      </c>
      <c r="M35" s="1">
        <v>2.2850000000000001</v>
      </c>
      <c r="N35" s="1">
        <v>2.29</v>
      </c>
      <c r="O35" s="1">
        <v>2.2909999999999999</v>
      </c>
      <c r="P35" s="1">
        <v>2.2770000000000001</v>
      </c>
      <c r="Q35" s="1">
        <v>2.2850000000000001</v>
      </c>
      <c r="R35" s="1">
        <v>2.2949999999999999</v>
      </c>
      <c r="S35" s="1">
        <v>2.2810000000000001</v>
      </c>
      <c r="T35" s="1">
        <v>2.2949999999999999</v>
      </c>
      <c r="U35" s="1">
        <v>2.2850000000000001</v>
      </c>
      <c r="V35" s="1">
        <v>2.2869999999999999</v>
      </c>
      <c r="W35" s="1">
        <v>2.2850000000000001</v>
      </c>
      <c r="X35" s="1">
        <v>2.3029999999999999</v>
      </c>
      <c r="Y35" s="1">
        <v>2.2829999999999999</v>
      </c>
      <c r="Z35" s="1">
        <v>2.2810000000000001</v>
      </c>
      <c r="AA35" s="1">
        <v>2.2909999999999999</v>
      </c>
      <c r="AB35" s="1">
        <v>2.2839999999999998</v>
      </c>
      <c r="AC35" s="1">
        <v>2.2919999999999998</v>
      </c>
      <c r="AD35" s="1">
        <v>2.2879999999999998</v>
      </c>
      <c r="AE35" s="1">
        <v>2.2909999999999999</v>
      </c>
      <c r="AF35" s="1">
        <v>2.2909999999999999</v>
      </c>
      <c r="AG35" s="1">
        <v>2.2919999999999998</v>
      </c>
      <c r="AH35" s="1">
        <v>2.2879999999999998</v>
      </c>
      <c r="AI35" s="1">
        <v>2.2949999999999999</v>
      </c>
      <c r="AJ35" s="1">
        <v>2.2949999999999999</v>
      </c>
      <c r="AK35" s="1">
        <v>2.2879999999999998</v>
      </c>
      <c r="AL35" s="1">
        <v>2.2850000000000001</v>
      </c>
      <c r="AM35" s="1">
        <v>2.2879999999999998</v>
      </c>
      <c r="AN35" s="1">
        <v>2.2799999999999998</v>
      </c>
      <c r="AO35" s="1">
        <v>2.29</v>
      </c>
      <c r="AP35" s="1">
        <v>2.2869999999999999</v>
      </c>
      <c r="AQ35" s="1">
        <v>2.2879999999999998</v>
      </c>
      <c r="AR35" s="1">
        <v>2.2839999999999998</v>
      </c>
      <c r="AS35" s="1">
        <v>2.2770000000000001</v>
      </c>
      <c r="AT35" s="1">
        <v>2.2949999999999999</v>
      </c>
      <c r="AU35" s="1">
        <v>2.2919999999999998</v>
      </c>
      <c r="AV35" s="1">
        <v>2.2999999999999998</v>
      </c>
      <c r="AW35" s="1">
        <v>2.2850000000000001</v>
      </c>
      <c r="AX35" s="1">
        <v>2.2839999999999998</v>
      </c>
      <c r="AY35" s="1">
        <v>2.29</v>
      </c>
      <c r="AZ35" s="1">
        <v>2.29</v>
      </c>
      <c r="BA35" s="1">
        <v>2.2810000000000001</v>
      </c>
      <c r="BB35" s="1">
        <v>2.2829999999999999</v>
      </c>
      <c r="BC35" s="1">
        <v>2.2919999999999998</v>
      </c>
      <c r="BD35" s="1">
        <v>2.2839999999999998</v>
      </c>
      <c r="BE35" s="1">
        <v>2.294</v>
      </c>
      <c r="BF35" s="1">
        <v>2.2839999999999998</v>
      </c>
      <c r="BG35" s="1">
        <v>2.2869999999999999</v>
      </c>
      <c r="BH35" s="1">
        <v>2.298</v>
      </c>
      <c r="BI35" s="1">
        <v>2.2829999999999999</v>
      </c>
      <c r="BJ35" s="1">
        <v>2.2879999999999998</v>
      </c>
      <c r="BK35" s="1">
        <v>2.2749999999999999</v>
      </c>
      <c r="BL35" s="1">
        <v>2.2850000000000001</v>
      </c>
      <c r="BN35" s="9">
        <v>24</v>
      </c>
      <c r="BO35" s="9">
        <v>390</v>
      </c>
      <c r="BP35" s="10">
        <f t="shared" si="0"/>
        <v>-1.1874999999999802E-3</v>
      </c>
      <c r="BQ35" s="10">
        <f t="shared" si="1"/>
        <v>-3.1249999999988232E-4</v>
      </c>
      <c r="BR35" s="10">
        <f t="shared" si="2"/>
        <v>-3.1249999999988232E-4</v>
      </c>
      <c r="BS35" s="10">
        <f t="shared" si="3"/>
        <v>-3.8124999999998854E-3</v>
      </c>
      <c r="BT35" s="10">
        <f t="shared" si="4"/>
        <v>-7.5000000000002842E-4</v>
      </c>
      <c r="BU35" s="10">
        <f t="shared" si="5"/>
        <v>2.7499999999999747E-3</v>
      </c>
      <c r="BV35" s="10">
        <f t="shared" si="6"/>
        <v>5.3750000000000742E-3</v>
      </c>
      <c r="BW35" s="10">
        <f t="shared" si="7"/>
        <v>6.2499999999999778E-3</v>
      </c>
      <c r="BX35" s="10">
        <f t="shared" si="8"/>
        <v>-3.1249999999988232E-4</v>
      </c>
      <c r="BY35" s="10">
        <f t="shared" si="9"/>
        <v>1.8750000000000711E-3</v>
      </c>
      <c r="BZ35" s="10">
        <f t="shared" si="10"/>
        <v>2.3125000000000229E-3</v>
      </c>
      <c r="CA35" s="10">
        <f t="shared" si="11"/>
        <v>-3.8124999999998854E-3</v>
      </c>
      <c r="CB35" s="10">
        <f t="shared" si="12"/>
        <v>-3.1249999999988232E-4</v>
      </c>
      <c r="CC35" s="10">
        <f t="shared" si="13"/>
        <v>4.0625000000000244E-3</v>
      </c>
      <c r="CD35" s="10">
        <f t="shared" si="14"/>
        <v>-2.0624999999998839E-3</v>
      </c>
      <c r="CE35" s="10">
        <f t="shared" si="15"/>
        <v>4.0625000000000244E-3</v>
      </c>
      <c r="CF35" s="10">
        <f t="shared" si="16"/>
        <v>-3.1249999999988232E-4</v>
      </c>
      <c r="CG35" s="10">
        <f t="shared" si="17"/>
        <v>5.6250000000002132E-4</v>
      </c>
      <c r="CH35" s="10">
        <f t="shared" si="18"/>
        <v>-3.1249999999988232E-4</v>
      </c>
      <c r="CI35" s="10">
        <f t="shared" si="19"/>
        <v>7.5625000000000275E-3</v>
      </c>
      <c r="CJ35" s="10">
        <f t="shared" si="20"/>
        <v>-1.1874999999999802E-3</v>
      </c>
      <c r="CK35" s="10">
        <f t="shared" si="21"/>
        <v>-2.0624999999998839E-3</v>
      </c>
      <c r="CL35" s="10">
        <f t="shared" si="22"/>
        <v>2.3125000000000229E-3</v>
      </c>
      <c r="CM35" s="10">
        <f t="shared" si="23"/>
        <v>-7.5000000000002842E-4</v>
      </c>
      <c r="CN35" s="10">
        <f t="shared" si="24"/>
        <v>2.7499999999999747E-3</v>
      </c>
      <c r="CO35" s="10">
        <f t="shared" si="25"/>
        <v>9.9999999999997313E-4</v>
      </c>
      <c r="CP35" s="10">
        <f t="shared" si="26"/>
        <v>2.3125000000000229E-3</v>
      </c>
      <c r="CQ35" s="10">
        <f t="shared" si="27"/>
        <v>2.3125000000000229E-3</v>
      </c>
      <c r="CR35" s="10">
        <f t="shared" si="28"/>
        <v>2.7499999999999747E-3</v>
      </c>
      <c r="CS35" s="10">
        <f t="shared" si="29"/>
        <v>9.9999999999997313E-4</v>
      </c>
      <c r="CT35" s="10">
        <f t="shared" si="30"/>
        <v>4.0625000000000244E-3</v>
      </c>
      <c r="CU35" s="10">
        <f t="shared" si="31"/>
        <v>4.0625000000000244E-3</v>
      </c>
      <c r="CV35" s="10">
        <f t="shared" si="32"/>
        <v>9.9999999999997313E-4</v>
      </c>
      <c r="CW35" s="10">
        <f t="shared" si="33"/>
        <v>-3.1249999999988232E-4</v>
      </c>
      <c r="CX35" s="10">
        <f t="shared" si="34"/>
        <v>9.9999999999997313E-4</v>
      </c>
      <c r="CY35" s="10">
        <f t="shared" si="35"/>
        <v>-2.50000000000003E-3</v>
      </c>
      <c r="CZ35" s="10">
        <f t="shared" si="36"/>
        <v>1.8750000000000711E-3</v>
      </c>
      <c r="DA35" s="10">
        <f t="shared" si="37"/>
        <v>5.6250000000002132E-4</v>
      </c>
      <c r="DB35" s="10">
        <f t="shared" si="38"/>
        <v>9.9999999999997313E-4</v>
      </c>
      <c r="DC35" s="10">
        <f t="shared" si="39"/>
        <v>-7.5000000000002842E-4</v>
      </c>
      <c r="DD35" s="10">
        <f t="shared" si="40"/>
        <v>-3.8124999999998854E-3</v>
      </c>
      <c r="DE35" s="10">
        <f t="shared" si="41"/>
        <v>4.0625000000000244E-3</v>
      </c>
      <c r="DF35" s="10">
        <f t="shared" si="42"/>
        <v>2.7499999999999747E-3</v>
      </c>
      <c r="DG35" s="10">
        <f t="shared" si="43"/>
        <v>6.2499999999999778E-3</v>
      </c>
      <c r="DH35" s="10">
        <f t="shared" si="44"/>
        <v>-3.1249999999988232E-4</v>
      </c>
      <c r="DI35" s="10">
        <f t="shared" si="45"/>
        <v>-7.5000000000002842E-4</v>
      </c>
      <c r="DJ35" s="10">
        <f t="shared" si="46"/>
        <v>1.8750000000000711E-3</v>
      </c>
      <c r="DK35" s="10">
        <f t="shared" si="47"/>
        <v>1.8750000000000711E-3</v>
      </c>
      <c r="DL35" s="10">
        <f t="shared" si="48"/>
        <v>-2.0624999999998839E-3</v>
      </c>
      <c r="DM35" s="10">
        <f t="shared" si="49"/>
        <v>-1.1874999999999802E-3</v>
      </c>
      <c r="DN35" s="10">
        <f t="shared" si="50"/>
        <v>2.7499999999999747E-3</v>
      </c>
      <c r="DO35" s="10">
        <f t="shared" si="51"/>
        <v>-7.5000000000002842E-4</v>
      </c>
      <c r="DP35" s="10">
        <f t="shared" si="52"/>
        <v>3.6250000000000726E-3</v>
      </c>
      <c r="DQ35" s="10">
        <f t="shared" si="53"/>
        <v>-7.5000000000002842E-4</v>
      </c>
      <c r="DR35" s="10">
        <f t="shared" si="54"/>
        <v>5.6250000000002132E-4</v>
      </c>
      <c r="DS35" s="10">
        <f t="shared" si="55"/>
        <v>5.3750000000000742E-3</v>
      </c>
      <c r="DT35" s="10">
        <f t="shared" si="56"/>
        <v>-1.1874999999999802E-3</v>
      </c>
      <c r="DU35" s="10">
        <f t="shared" si="57"/>
        <v>9.9999999999997313E-4</v>
      </c>
      <c r="DV35" s="10">
        <f t="shared" si="58"/>
        <v>-4.6874999999999833E-3</v>
      </c>
      <c r="DW35" s="10">
        <f t="shared" si="59"/>
        <v>-3.1249999999988232E-4</v>
      </c>
    </row>
    <row r="36" spans="2:127" x14ac:dyDescent="0.45">
      <c r="B36" s="1">
        <v>24</v>
      </c>
      <c r="C36" s="1">
        <v>405</v>
      </c>
      <c r="D36" s="7">
        <f t="shared" si="60"/>
        <v>2.3736263736263736</v>
      </c>
      <c r="E36" s="1">
        <v>2.3679999999999999</v>
      </c>
      <c r="F36" s="1">
        <v>2.3740000000000001</v>
      </c>
      <c r="G36" s="1">
        <v>2.3719999999999999</v>
      </c>
      <c r="H36" s="1">
        <v>2.363</v>
      </c>
      <c r="I36" s="1">
        <v>2.3719999999999999</v>
      </c>
      <c r="J36" s="1">
        <v>2.3820000000000001</v>
      </c>
      <c r="K36" s="1">
        <v>2.387</v>
      </c>
      <c r="L36" s="1">
        <v>2.39</v>
      </c>
      <c r="M36" s="1">
        <v>2.3759999999999999</v>
      </c>
      <c r="N36" s="1">
        <v>2.3759999999999999</v>
      </c>
      <c r="O36" s="1">
        <v>2.379</v>
      </c>
      <c r="P36" s="1">
        <v>2.3639999999999999</v>
      </c>
      <c r="Q36" s="1">
        <v>2.3719999999999999</v>
      </c>
      <c r="R36" s="1">
        <v>2.383</v>
      </c>
      <c r="S36" s="1">
        <v>2.367</v>
      </c>
      <c r="T36" s="1">
        <v>2.383</v>
      </c>
      <c r="U36" s="1">
        <v>2.3740000000000001</v>
      </c>
      <c r="V36" s="1">
        <v>2.3740000000000001</v>
      </c>
      <c r="W36" s="1">
        <v>2.3719999999999999</v>
      </c>
      <c r="X36" s="1">
        <v>2.395</v>
      </c>
      <c r="Y36" s="1">
        <v>2.371</v>
      </c>
      <c r="Z36" s="1">
        <v>2.3719999999999999</v>
      </c>
      <c r="AA36" s="1">
        <v>2.379</v>
      </c>
      <c r="AB36" s="1">
        <v>2.3719999999999999</v>
      </c>
      <c r="AC36" s="1">
        <v>2.38</v>
      </c>
      <c r="AD36" s="1">
        <v>2.375</v>
      </c>
      <c r="AE36" s="1">
        <v>2.38</v>
      </c>
      <c r="AF36" s="1">
        <v>2.379</v>
      </c>
      <c r="AG36" s="1">
        <v>2.38</v>
      </c>
      <c r="AH36" s="1">
        <v>2.3759999999999999</v>
      </c>
      <c r="AI36" s="1">
        <v>2.383</v>
      </c>
      <c r="AJ36" s="1">
        <v>2.3849999999999998</v>
      </c>
      <c r="AK36" s="1">
        <v>2.3780000000000001</v>
      </c>
      <c r="AL36" s="1">
        <v>2.3740000000000001</v>
      </c>
      <c r="AM36" s="1">
        <v>2.3759999999999999</v>
      </c>
      <c r="AN36" s="1">
        <v>2.367</v>
      </c>
      <c r="AO36" s="1">
        <v>2.3780000000000001</v>
      </c>
      <c r="AP36" s="1">
        <v>2.375</v>
      </c>
      <c r="AQ36" s="1">
        <v>2.375</v>
      </c>
      <c r="AR36" s="1">
        <v>2.37</v>
      </c>
      <c r="AS36" s="1">
        <v>2.3660000000000001</v>
      </c>
      <c r="AT36" s="1">
        <v>2.383</v>
      </c>
      <c r="AU36" s="1">
        <v>2.38</v>
      </c>
      <c r="AV36" s="1">
        <v>2.387</v>
      </c>
      <c r="AW36" s="1">
        <v>2.3740000000000001</v>
      </c>
      <c r="AX36" s="1">
        <v>2.3740000000000001</v>
      </c>
      <c r="AY36" s="1">
        <v>2.3780000000000001</v>
      </c>
      <c r="AZ36" s="1">
        <v>2.3759999999999999</v>
      </c>
      <c r="BA36" s="1">
        <v>2.37</v>
      </c>
      <c r="BB36" s="1">
        <v>2.3719999999999999</v>
      </c>
      <c r="BC36" s="1">
        <v>2.38</v>
      </c>
      <c r="BD36" s="1">
        <v>2.3719999999999999</v>
      </c>
      <c r="BE36" s="1">
        <v>2.3820000000000001</v>
      </c>
      <c r="BF36" s="1">
        <v>2.3719999999999999</v>
      </c>
      <c r="BG36" s="1">
        <v>2.3719999999999999</v>
      </c>
      <c r="BH36" s="1">
        <v>2.3860000000000001</v>
      </c>
      <c r="BI36" s="1">
        <v>2.37</v>
      </c>
      <c r="BJ36" s="1">
        <v>2.3759999999999999</v>
      </c>
      <c r="BK36" s="1">
        <v>2.3660000000000001</v>
      </c>
      <c r="BL36" s="1">
        <v>2.3759999999999999</v>
      </c>
      <c r="BN36" s="9">
        <v>24</v>
      </c>
      <c r="BO36" s="9">
        <v>405</v>
      </c>
      <c r="BP36" s="10">
        <f t="shared" si="0"/>
        <v>-2.3703703703704219E-3</v>
      </c>
      <c r="BQ36" s="10">
        <f t="shared" si="1"/>
        <v>1.5740740740745175E-4</v>
      </c>
      <c r="BR36" s="10">
        <f t="shared" si="2"/>
        <v>-6.8518518518523514E-4</v>
      </c>
      <c r="BS36" s="10">
        <f t="shared" si="3"/>
        <v>-4.4768518518518586E-3</v>
      </c>
      <c r="BT36" s="10">
        <f t="shared" si="4"/>
        <v>-6.8518518518523514E-4</v>
      </c>
      <c r="BU36" s="10">
        <f t="shared" si="5"/>
        <v>3.527777777777825E-3</v>
      </c>
      <c r="BV36" s="10">
        <f t="shared" si="6"/>
        <v>5.6342592592592616E-3</v>
      </c>
      <c r="BW36" s="10">
        <f t="shared" si="7"/>
        <v>6.8981481481481983E-3</v>
      </c>
      <c r="BX36" s="10">
        <f t="shared" si="8"/>
        <v>9.9999999999995145E-4</v>
      </c>
      <c r="BY36" s="10">
        <f t="shared" si="9"/>
        <v>9.9999999999995145E-4</v>
      </c>
      <c r="BZ36" s="10">
        <f t="shared" si="10"/>
        <v>2.2638888888888882E-3</v>
      </c>
      <c r="CA36" s="10">
        <f t="shared" si="11"/>
        <v>-4.0555555555556082E-3</v>
      </c>
      <c r="CB36" s="10">
        <f t="shared" si="12"/>
        <v>-6.8518518518523514E-4</v>
      </c>
      <c r="CC36" s="10">
        <f t="shared" si="13"/>
        <v>3.9490740740740753E-3</v>
      </c>
      <c r="CD36" s="10">
        <f t="shared" si="14"/>
        <v>-2.7916666666666719E-3</v>
      </c>
      <c r="CE36" s="10">
        <f t="shared" si="15"/>
        <v>3.9490740740740753E-3</v>
      </c>
      <c r="CF36" s="10">
        <f t="shared" si="16"/>
        <v>1.5740740740745175E-4</v>
      </c>
      <c r="CG36" s="10">
        <f t="shared" si="17"/>
        <v>1.5740740740745175E-4</v>
      </c>
      <c r="CH36" s="10">
        <f t="shared" si="18"/>
        <v>-6.8518518518523514E-4</v>
      </c>
      <c r="CI36" s="10">
        <f t="shared" si="19"/>
        <v>9.004629629629635E-3</v>
      </c>
      <c r="CJ36" s="10">
        <f t="shared" si="20"/>
        <v>-1.106481481481485E-3</v>
      </c>
      <c r="CK36" s="10">
        <f t="shared" si="21"/>
        <v>-6.8518518518523514E-4</v>
      </c>
      <c r="CL36" s="10">
        <f t="shared" si="22"/>
        <v>2.2638888888888882E-3</v>
      </c>
      <c r="CM36" s="10">
        <f t="shared" si="23"/>
        <v>-6.8518518518523514E-4</v>
      </c>
      <c r="CN36" s="10">
        <f t="shared" si="24"/>
        <v>2.6851851851851381E-3</v>
      </c>
      <c r="CO36" s="10">
        <f t="shared" si="25"/>
        <v>5.7870370370370161E-4</v>
      </c>
      <c r="CP36" s="10">
        <f t="shared" si="26"/>
        <v>2.6851851851851381E-3</v>
      </c>
      <c r="CQ36" s="10">
        <f t="shared" si="27"/>
        <v>2.2638888888888882E-3</v>
      </c>
      <c r="CR36" s="10">
        <f t="shared" si="28"/>
        <v>2.6851851851851381E-3</v>
      </c>
      <c r="CS36" s="10">
        <f t="shared" si="29"/>
        <v>9.9999999999995145E-4</v>
      </c>
      <c r="CT36" s="10">
        <f t="shared" si="30"/>
        <v>3.9490740740740753E-3</v>
      </c>
      <c r="CU36" s="10">
        <f t="shared" si="31"/>
        <v>4.7916666666665752E-3</v>
      </c>
      <c r="CV36" s="10">
        <f t="shared" si="32"/>
        <v>1.8425925925926385E-3</v>
      </c>
      <c r="CW36" s="10">
        <f t="shared" si="33"/>
        <v>1.5740740740745175E-4</v>
      </c>
      <c r="CX36" s="10">
        <f t="shared" si="34"/>
        <v>9.9999999999995145E-4</v>
      </c>
      <c r="CY36" s="10">
        <f t="shared" si="35"/>
        <v>-2.7916666666666719E-3</v>
      </c>
      <c r="CZ36" s="10">
        <f t="shared" si="36"/>
        <v>1.8425925925926385E-3</v>
      </c>
      <c r="DA36" s="10">
        <f t="shared" si="37"/>
        <v>5.7870370370370161E-4</v>
      </c>
      <c r="DB36" s="10">
        <f t="shared" si="38"/>
        <v>5.7870370370370161E-4</v>
      </c>
      <c r="DC36" s="10">
        <f t="shared" si="39"/>
        <v>-1.5277777777777349E-3</v>
      </c>
      <c r="DD36" s="10">
        <f t="shared" si="40"/>
        <v>-3.2129629629629214E-3</v>
      </c>
      <c r="DE36" s="10">
        <f t="shared" si="41"/>
        <v>3.9490740740740753E-3</v>
      </c>
      <c r="DF36" s="10">
        <f t="shared" si="42"/>
        <v>2.6851851851851381E-3</v>
      </c>
      <c r="DG36" s="10">
        <f t="shared" si="43"/>
        <v>5.6342592592592616E-3</v>
      </c>
      <c r="DH36" s="10">
        <f t="shared" si="44"/>
        <v>1.5740740740745175E-4</v>
      </c>
      <c r="DI36" s="10">
        <f t="shared" si="45"/>
        <v>1.5740740740745175E-4</v>
      </c>
      <c r="DJ36" s="10">
        <f t="shared" si="46"/>
        <v>1.8425925925926385E-3</v>
      </c>
      <c r="DK36" s="10">
        <f t="shared" si="47"/>
        <v>9.9999999999995145E-4</v>
      </c>
      <c r="DL36" s="10">
        <f t="shared" si="48"/>
        <v>-1.5277777777777349E-3</v>
      </c>
      <c r="DM36" s="10">
        <f t="shared" si="49"/>
        <v>-6.8518518518523514E-4</v>
      </c>
      <c r="DN36" s="10">
        <f t="shared" si="50"/>
        <v>2.6851851851851381E-3</v>
      </c>
      <c r="DO36" s="10">
        <f t="shared" si="51"/>
        <v>-6.8518518518523514E-4</v>
      </c>
      <c r="DP36" s="10">
        <f t="shared" si="52"/>
        <v>3.527777777777825E-3</v>
      </c>
      <c r="DQ36" s="10">
        <f t="shared" si="53"/>
        <v>-6.8518518518523514E-4</v>
      </c>
      <c r="DR36" s="10">
        <f t="shared" si="54"/>
        <v>-6.8518518518523514E-4</v>
      </c>
      <c r="DS36" s="10">
        <f t="shared" si="55"/>
        <v>5.2129629629630121E-3</v>
      </c>
      <c r="DT36" s="10">
        <f t="shared" si="56"/>
        <v>-1.5277777777777349E-3</v>
      </c>
      <c r="DU36" s="10">
        <f t="shared" si="57"/>
        <v>9.9999999999995145E-4</v>
      </c>
      <c r="DV36" s="10">
        <f t="shared" si="58"/>
        <v>-3.2129629629629214E-3</v>
      </c>
      <c r="DW36" s="10">
        <f t="shared" si="59"/>
        <v>9.9999999999995145E-4</v>
      </c>
    </row>
    <row r="37" spans="2:127" x14ac:dyDescent="0.45">
      <c r="B37" s="1">
        <v>24</v>
      </c>
      <c r="C37" s="1">
        <v>420</v>
      </c>
      <c r="D37" s="7">
        <f t="shared" si="60"/>
        <v>2.4615384615384617</v>
      </c>
      <c r="E37" s="1">
        <v>2.4540000000000002</v>
      </c>
      <c r="F37" s="1">
        <v>2.4620000000000002</v>
      </c>
      <c r="G37" s="1">
        <v>2.46</v>
      </c>
      <c r="H37" s="1">
        <v>2.4470000000000001</v>
      </c>
      <c r="I37" s="1">
        <v>2.4620000000000002</v>
      </c>
      <c r="J37" s="1">
        <v>2.4700000000000002</v>
      </c>
      <c r="K37" s="1">
        <v>2.4740000000000002</v>
      </c>
      <c r="L37" s="1">
        <v>2.484</v>
      </c>
      <c r="M37" s="1">
        <v>2.4630000000000001</v>
      </c>
      <c r="N37" s="1">
        <v>2.4670000000000001</v>
      </c>
      <c r="O37" s="1">
        <v>2.4670000000000001</v>
      </c>
      <c r="P37" s="1">
        <v>2.4500000000000002</v>
      </c>
      <c r="Q37" s="1">
        <v>2.4550000000000001</v>
      </c>
      <c r="R37" s="1">
        <v>2.4710000000000001</v>
      </c>
      <c r="S37" s="1">
        <v>2.4550000000000001</v>
      </c>
      <c r="T37" s="1">
        <v>2.4710000000000001</v>
      </c>
      <c r="U37" s="1">
        <v>2.4620000000000002</v>
      </c>
      <c r="V37" s="1">
        <v>2.4620000000000002</v>
      </c>
      <c r="W37" s="1">
        <v>2.4620000000000002</v>
      </c>
      <c r="X37" s="1">
        <v>2.4849999999999999</v>
      </c>
      <c r="Y37" s="1">
        <v>2.46</v>
      </c>
      <c r="Z37" s="1">
        <v>2.46</v>
      </c>
      <c r="AA37" s="1">
        <v>2.4660000000000002</v>
      </c>
      <c r="AB37" s="1">
        <v>2.4590000000000001</v>
      </c>
      <c r="AC37" s="1">
        <v>2.4689999999999999</v>
      </c>
      <c r="AD37" s="1">
        <v>2.4620000000000002</v>
      </c>
      <c r="AE37" s="1">
        <v>2.4670000000000001</v>
      </c>
      <c r="AF37" s="1">
        <v>2.4670000000000001</v>
      </c>
      <c r="AG37" s="1">
        <v>2.4689999999999999</v>
      </c>
      <c r="AH37" s="1">
        <v>2.4630000000000001</v>
      </c>
      <c r="AI37" s="1">
        <v>2.4710000000000001</v>
      </c>
      <c r="AJ37" s="1">
        <v>2.4700000000000002</v>
      </c>
      <c r="AK37" s="1">
        <v>2.4649999999999999</v>
      </c>
      <c r="AL37" s="1">
        <v>2.4620000000000002</v>
      </c>
      <c r="AM37" s="1">
        <v>2.4660000000000002</v>
      </c>
      <c r="AN37" s="1">
        <v>2.456</v>
      </c>
      <c r="AO37" s="1">
        <v>2.4660000000000002</v>
      </c>
      <c r="AP37" s="1">
        <v>2.4630000000000001</v>
      </c>
      <c r="AQ37" s="1">
        <v>2.4620000000000002</v>
      </c>
      <c r="AR37" s="1">
        <v>2.456</v>
      </c>
      <c r="AS37" s="1">
        <v>2.452</v>
      </c>
      <c r="AT37" s="1">
        <v>2.4710000000000001</v>
      </c>
      <c r="AU37" s="1">
        <v>2.4689999999999999</v>
      </c>
      <c r="AV37" s="1">
        <v>2.4780000000000002</v>
      </c>
      <c r="AW37" s="1">
        <v>2.4630000000000001</v>
      </c>
      <c r="AX37" s="1">
        <v>2.4649999999999999</v>
      </c>
      <c r="AY37" s="1">
        <v>2.4660000000000002</v>
      </c>
      <c r="AZ37" s="1">
        <v>2.4649999999999999</v>
      </c>
      <c r="BA37" s="1">
        <v>2.4550000000000001</v>
      </c>
      <c r="BB37" s="1">
        <v>2.4620000000000002</v>
      </c>
      <c r="BC37" s="1">
        <v>2.4689999999999999</v>
      </c>
      <c r="BD37" s="1">
        <v>2.46</v>
      </c>
      <c r="BE37" s="1">
        <v>2.4689999999999999</v>
      </c>
      <c r="BF37" s="1">
        <v>2.46</v>
      </c>
      <c r="BG37" s="1">
        <v>2.46</v>
      </c>
      <c r="BH37" s="1">
        <v>2.4769999999999999</v>
      </c>
      <c r="BI37" s="1">
        <v>2.456</v>
      </c>
      <c r="BJ37" s="1">
        <v>2.4649999999999999</v>
      </c>
      <c r="BK37" s="1">
        <v>2.452</v>
      </c>
      <c r="BL37" s="1">
        <v>2.4590000000000001</v>
      </c>
      <c r="BN37" s="9">
        <v>24</v>
      </c>
      <c r="BO37" s="9">
        <v>420</v>
      </c>
      <c r="BP37" s="10">
        <f t="shared" si="0"/>
        <v>-3.0624999999999819E-3</v>
      </c>
      <c r="BQ37" s="10">
        <f t="shared" si="1"/>
        <v>1.8750000000002098E-4</v>
      </c>
      <c r="BR37" s="10">
        <f t="shared" si="2"/>
        <v>-6.2500000000006994E-4</v>
      </c>
      <c r="BS37" s="10">
        <f t="shared" si="3"/>
        <v>-5.9062500000000295E-3</v>
      </c>
      <c r="BT37" s="10">
        <f t="shared" si="4"/>
        <v>1.8750000000002098E-4</v>
      </c>
      <c r="BU37" s="10">
        <f t="shared" si="5"/>
        <v>3.4375000000000239E-3</v>
      </c>
      <c r="BV37" s="10">
        <f t="shared" si="6"/>
        <v>5.0625000000000253E-3</v>
      </c>
      <c r="BW37" s="10">
        <f t="shared" si="7"/>
        <v>9.1249999999999387E-3</v>
      </c>
      <c r="BX37" s="10">
        <f t="shared" si="8"/>
        <v>5.9374999999997624E-4</v>
      </c>
      <c r="BY37" s="10">
        <f t="shared" si="9"/>
        <v>2.2187499999999777E-3</v>
      </c>
      <c r="BZ37" s="10">
        <f t="shared" si="10"/>
        <v>2.2187499999999777E-3</v>
      </c>
      <c r="CA37" s="10">
        <f t="shared" si="11"/>
        <v>-4.6874999999999833E-3</v>
      </c>
      <c r="CB37" s="10">
        <f t="shared" si="12"/>
        <v>-2.6562500000000266E-3</v>
      </c>
      <c r="CC37" s="10">
        <f t="shared" si="13"/>
        <v>3.8437499999999791E-3</v>
      </c>
      <c r="CD37" s="10">
        <f t="shared" si="14"/>
        <v>-2.6562500000000266E-3</v>
      </c>
      <c r="CE37" s="10">
        <f t="shared" si="15"/>
        <v>3.8437499999999791E-3</v>
      </c>
      <c r="CF37" s="10">
        <f t="shared" si="16"/>
        <v>1.8750000000002098E-4</v>
      </c>
      <c r="CG37" s="10">
        <f t="shared" si="17"/>
        <v>1.8750000000002098E-4</v>
      </c>
      <c r="CH37" s="10">
        <f t="shared" si="18"/>
        <v>1.8750000000002098E-4</v>
      </c>
      <c r="CI37" s="10">
        <f t="shared" si="19"/>
        <v>9.531249999999894E-3</v>
      </c>
      <c r="CJ37" s="10">
        <f t="shared" si="20"/>
        <v>-6.2500000000006994E-4</v>
      </c>
      <c r="CK37" s="10">
        <f t="shared" si="21"/>
        <v>-6.2500000000006994E-4</v>
      </c>
      <c r="CL37" s="10">
        <f t="shared" si="22"/>
        <v>1.8125000000000224E-3</v>
      </c>
      <c r="CM37" s="10">
        <f t="shared" si="23"/>
        <v>-1.0312500000000252E-3</v>
      </c>
      <c r="CN37" s="10">
        <f t="shared" si="24"/>
        <v>3.0312499999998882E-3</v>
      </c>
      <c r="CO37" s="10">
        <f t="shared" si="25"/>
        <v>1.8750000000002098E-4</v>
      </c>
      <c r="CP37" s="10">
        <f t="shared" si="26"/>
        <v>2.2187499999999777E-3</v>
      </c>
      <c r="CQ37" s="10">
        <f t="shared" si="27"/>
        <v>2.2187499999999777E-3</v>
      </c>
      <c r="CR37" s="10">
        <f t="shared" si="28"/>
        <v>3.0312499999998882E-3</v>
      </c>
      <c r="CS37" s="10">
        <f t="shared" si="29"/>
        <v>5.9374999999997624E-4</v>
      </c>
      <c r="CT37" s="10">
        <f t="shared" si="30"/>
        <v>3.8437499999999791E-3</v>
      </c>
      <c r="CU37" s="10">
        <f t="shared" si="31"/>
        <v>3.4375000000000239E-3</v>
      </c>
      <c r="CV37" s="10">
        <f t="shared" si="32"/>
        <v>1.4062499999998868E-3</v>
      </c>
      <c r="CW37" s="10">
        <f t="shared" si="33"/>
        <v>1.8750000000002098E-4</v>
      </c>
      <c r="CX37" s="10">
        <f t="shared" si="34"/>
        <v>1.8125000000000224E-3</v>
      </c>
      <c r="CY37" s="10">
        <f t="shared" si="35"/>
        <v>-2.2500000000000714E-3</v>
      </c>
      <c r="CZ37" s="10">
        <f t="shared" si="36"/>
        <v>1.8125000000000224E-3</v>
      </c>
      <c r="DA37" s="10">
        <f t="shared" si="37"/>
        <v>5.9374999999997624E-4</v>
      </c>
      <c r="DB37" s="10">
        <f t="shared" si="38"/>
        <v>1.8750000000002098E-4</v>
      </c>
      <c r="DC37" s="10">
        <f t="shared" si="39"/>
        <v>-2.2500000000000714E-3</v>
      </c>
      <c r="DD37" s="10">
        <f t="shared" si="40"/>
        <v>-3.8750000000000728E-3</v>
      </c>
      <c r="DE37" s="10">
        <f t="shared" si="41"/>
        <v>3.8437499999999791E-3</v>
      </c>
      <c r="DF37" s="10">
        <f t="shared" si="42"/>
        <v>3.0312499999998882E-3</v>
      </c>
      <c r="DG37" s="10">
        <f t="shared" si="43"/>
        <v>6.6875000000000268E-3</v>
      </c>
      <c r="DH37" s="10">
        <f t="shared" si="44"/>
        <v>5.9374999999997624E-4</v>
      </c>
      <c r="DI37" s="10">
        <f t="shared" si="45"/>
        <v>1.4062499999998868E-3</v>
      </c>
      <c r="DJ37" s="10">
        <f t="shared" si="46"/>
        <v>1.8125000000000224E-3</v>
      </c>
      <c r="DK37" s="10">
        <f t="shared" si="47"/>
        <v>1.4062499999998868E-3</v>
      </c>
      <c r="DL37" s="10">
        <f t="shared" si="48"/>
        <v>-2.6562500000000266E-3</v>
      </c>
      <c r="DM37" s="10">
        <f t="shared" si="49"/>
        <v>1.8750000000002098E-4</v>
      </c>
      <c r="DN37" s="10">
        <f t="shared" si="50"/>
        <v>3.0312499999998882E-3</v>
      </c>
      <c r="DO37" s="10">
        <f t="shared" si="51"/>
        <v>-6.2500000000006994E-4</v>
      </c>
      <c r="DP37" s="10">
        <f t="shared" si="52"/>
        <v>3.0312499999998882E-3</v>
      </c>
      <c r="DQ37" s="10">
        <f t="shared" si="53"/>
        <v>-6.2500000000006994E-4</v>
      </c>
      <c r="DR37" s="10">
        <f t="shared" si="54"/>
        <v>-6.2500000000006994E-4</v>
      </c>
      <c r="DS37" s="10">
        <f t="shared" si="55"/>
        <v>6.2812499999998911E-3</v>
      </c>
      <c r="DT37" s="10">
        <f t="shared" si="56"/>
        <v>-2.2500000000000714E-3</v>
      </c>
      <c r="DU37" s="10">
        <f t="shared" si="57"/>
        <v>1.4062499999998868E-3</v>
      </c>
      <c r="DV37" s="10">
        <f t="shared" si="58"/>
        <v>-3.8750000000000728E-3</v>
      </c>
      <c r="DW37" s="10">
        <f t="shared" si="59"/>
        <v>-1.0312500000000252E-3</v>
      </c>
    </row>
    <row r="38" spans="2:127" x14ac:dyDescent="0.45">
      <c r="B38" s="1">
        <v>24</v>
      </c>
      <c r="C38" s="1">
        <v>435</v>
      </c>
      <c r="D38" s="7">
        <f t="shared" si="60"/>
        <v>2.5494505494505493</v>
      </c>
      <c r="E38" s="1">
        <v>2.54</v>
      </c>
      <c r="F38" s="1">
        <v>2.5489999999999999</v>
      </c>
      <c r="G38" s="1">
        <v>2.5489999999999999</v>
      </c>
      <c r="H38" s="1">
        <v>2.5310000000000001</v>
      </c>
      <c r="I38" s="1">
        <v>2.5489999999999999</v>
      </c>
      <c r="J38" s="1">
        <v>2.5569999999999999</v>
      </c>
      <c r="K38" s="1">
        <v>2.5619999999999998</v>
      </c>
      <c r="L38" s="1">
        <v>2.5649999999999999</v>
      </c>
      <c r="M38" s="1">
        <v>2.5529999999999999</v>
      </c>
      <c r="N38" s="1">
        <v>2.5550000000000002</v>
      </c>
      <c r="O38" s="1">
        <v>2.5550000000000002</v>
      </c>
      <c r="P38" s="1">
        <v>2.5390000000000001</v>
      </c>
      <c r="Q38" s="1">
        <v>2.5419999999999998</v>
      </c>
      <c r="R38" s="1">
        <v>2.5590000000000002</v>
      </c>
      <c r="S38" s="1">
        <v>2.5449999999999999</v>
      </c>
      <c r="T38" s="1">
        <v>2.5579999999999998</v>
      </c>
      <c r="U38" s="1">
        <v>2.5499999999999998</v>
      </c>
      <c r="V38" s="1">
        <v>2.5470000000000002</v>
      </c>
      <c r="W38" s="1">
        <v>2.5499999999999998</v>
      </c>
      <c r="X38" s="1">
        <v>2.573</v>
      </c>
      <c r="Y38" s="1">
        <v>2.5470000000000002</v>
      </c>
      <c r="Z38" s="1">
        <v>2.5470000000000002</v>
      </c>
      <c r="AA38" s="1">
        <v>2.5539999999999998</v>
      </c>
      <c r="AB38" s="1">
        <v>2.5470000000000002</v>
      </c>
      <c r="AC38" s="1">
        <v>2.5569999999999999</v>
      </c>
      <c r="AD38" s="1">
        <v>2.5489999999999999</v>
      </c>
      <c r="AE38" s="1">
        <v>2.5550000000000002</v>
      </c>
      <c r="AF38" s="1">
        <v>2.5539999999999998</v>
      </c>
      <c r="AG38" s="1">
        <v>2.5579999999999998</v>
      </c>
      <c r="AH38" s="1">
        <v>2.5489999999999999</v>
      </c>
      <c r="AI38" s="1">
        <v>2.5569999999999999</v>
      </c>
      <c r="AJ38" s="1">
        <v>2.5590000000000002</v>
      </c>
      <c r="AK38" s="1">
        <v>2.5529999999999999</v>
      </c>
      <c r="AL38" s="1">
        <v>2.5489999999999999</v>
      </c>
      <c r="AM38" s="1">
        <v>2.5529999999999999</v>
      </c>
      <c r="AN38" s="1">
        <v>2.5459999999999998</v>
      </c>
      <c r="AO38" s="1">
        <v>2.5529999999999999</v>
      </c>
      <c r="AP38" s="1">
        <v>2.5499999999999998</v>
      </c>
      <c r="AQ38" s="1">
        <v>2.5510000000000002</v>
      </c>
      <c r="AR38" s="1">
        <v>2.5430000000000001</v>
      </c>
      <c r="AS38" s="1">
        <v>2.5419999999999998</v>
      </c>
      <c r="AT38" s="1">
        <v>2.5590000000000002</v>
      </c>
      <c r="AU38" s="1">
        <v>2.5569999999999999</v>
      </c>
      <c r="AV38" s="1">
        <v>2.5680000000000001</v>
      </c>
      <c r="AW38" s="1">
        <v>2.5510000000000002</v>
      </c>
      <c r="AX38" s="1">
        <v>2.5529999999999999</v>
      </c>
      <c r="AY38" s="1">
        <v>2.5539999999999998</v>
      </c>
      <c r="AZ38" s="1">
        <v>2.5510000000000002</v>
      </c>
      <c r="BA38" s="1">
        <v>2.54</v>
      </c>
      <c r="BB38" s="1">
        <v>2.5470000000000002</v>
      </c>
      <c r="BC38" s="1">
        <v>2.5539999999999998</v>
      </c>
      <c r="BD38" s="1">
        <v>2.5489999999999999</v>
      </c>
      <c r="BE38" s="1">
        <v>2.5569999999999999</v>
      </c>
      <c r="BF38" s="1">
        <v>2.5470000000000002</v>
      </c>
      <c r="BG38" s="1">
        <v>2.5539999999999998</v>
      </c>
      <c r="BH38" s="1">
        <v>2.5640000000000001</v>
      </c>
      <c r="BI38" s="1">
        <v>2.5430000000000001</v>
      </c>
      <c r="BJ38" s="1">
        <v>2.5529999999999999</v>
      </c>
      <c r="BK38" s="1">
        <v>2.5470000000000002</v>
      </c>
      <c r="BL38" s="1">
        <v>2.5499999999999998</v>
      </c>
      <c r="BN38" s="9">
        <v>24</v>
      </c>
      <c r="BO38" s="9">
        <v>435</v>
      </c>
      <c r="BP38" s="10">
        <f t="shared" si="0"/>
        <v>-3.7068965517240552E-3</v>
      </c>
      <c r="BQ38" s="10">
        <f t="shared" si="1"/>
        <v>-1.7672413793099205E-4</v>
      </c>
      <c r="BR38" s="10">
        <f t="shared" si="2"/>
        <v>-1.7672413793099205E-4</v>
      </c>
      <c r="BS38" s="10">
        <f t="shared" si="3"/>
        <v>-7.2370689655171187E-3</v>
      </c>
      <c r="BT38" s="10">
        <f t="shared" si="4"/>
        <v>-1.7672413793099205E-4</v>
      </c>
      <c r="BU38" s="10">
        <f t="shared" si="5"/>
        <v>2.9612068965517695E-3</v>
      </c>
      <c r="BV38" s="10">
        <f t="shared" si="6"/>
        <v>4.9224137931034523E-3</v>
      </c>
      <c r="BW38" s="10">
        <f t="shared" si="7"/>
        <v>6.0991379310345309E-3</v>
      </c>
      <c r="BX38" s="10">
        <f t="shared" si="8"/>
        <v>1.3922413793103887E-3</v>
      </c>
      <c r="BY38" s="10">
        <f t="shared" si="9"/>
        <v>2.1767241379311662E-3</v>
      </c>
      <c r="BZ38" s="10">
        <f t="shared" si="10"/>
        <v>2.1767241379311662E-3</v>
      </c>
      <c r="CA38" s="10">
        <f t="shared" si="11"/>
        <v>-4.0991379310343573E-3</v>
      </c>
      <c r="CB38" s="10">
        <f t="shared" si="12"/>
        <v>-2.9224137931034518E-3</v>
      </c>
      <c r="CC38" s="10">
        <f t="shared" si="13"/>
        <v>3.7456896551725473E-3</v>
      </c>
      <c r="CD38" s="10">
        <f t="shared" si="14"/>
        <v>-1.7456896551723729E-3</v>
      </c>
      <c r="CE38" s="10">
        <f t="shared" si="15"/>
        <v>3.3534482758620712E-3</v>
      </c>
      <c r="CF38" s="10">
        <f t="shared" si="16"/>
        <v>2.1551724137930958E-4</v>
      </c>
      <c r="CG38" s="10">
        <f t="shared" si="17"/>
        <v>-9.6120689655159537E-4</v>
      </c>
      <c r="CH38" s="10">
        <f t="shared" si="18"/>
        <v>2.1551724137930958E-4</v>
      </c>
      <c r="CI38" s="10">
        <f t="shared" si="19"/>
        <v>9.2370689655172922E-3</v>
      </c>
      <c r="CJ38" s="10">
        <f t="shared" si="20"/>
        <v>-9.6120689655159537E-4</v>
      </c>
      <c r="CK38" s="10">
        <f t="shared" si="21"/>
        <v>-9.6120689655159537E-4</v>
      </c>
      <c r="CL38" s="10">
        <f t="shared" si="22"/>
        <v>1.7844827586206904E-3</v>
      </c>
      <c r="CM38" s="10">
        <f t="shared" si="23"/>
        <v>-9.6120689655159537E-4</v>
      </c>
      <c r="CN38" s="10">
        <f t="shared" si="24"/>
        <v>2.9612068965517695E-3</v>
      </c>
      <c r="CO38" s="10">
        <f t="shared" si="25"/>
        <v>-1.7672413793099205E-4</v>
      </c>
      <c r="CP38" s="10">
        <f t="shared" si="26"/>
        <v>2.1767241379311662E-3</v>
      </c>
      <c r="CQ38" s="10">
        <f t="shared" si="27"/>
        <v>1.7844827586206904E-3</v>
      </c>
      <c r="CR38" s="10">
        <f t="shared" si="28"/>
        <v>3.3534482758620712E-3</v>
      </c>
      <c r="CS38" s="10">
        <f t="shared" si="29"/>
        <v>-1.7672413793099205E-4</v>
      </c>
      <c r="CT38" s="10">
        <f t="shared" si="30"/>
        <v>2.9612068965517695E-3</v>
      </c>
      <c r="CU38" s="10">
        <f t="shared" si="31"/>
        <v>3.7456896551725473E-3</v>
      </c>
      <c r="CV38" s="10">
        <f t="shared" si="32"/>
        <v>1.3922413793103887E-3</v>
      </c>
      <c r="CW38" s="10">
        <f t="shared" si="33"/>
        <v>-1.7672413793099205E-4</v>
      </c>
      <c r="CX38" s="10">
        <f t="shared" si="34"/>
        <v>1.3922413793103887E-3</v>
      </c>
      <c r="CY38" s="10">
        <f t="shared" si="35"/>
        <v>-1.3534482758620712E-3</v>
      </c>
      <c r="CZ38" s="10">
        <f t="shared" si="36"/>
        <v>1.3922413793103887E-3</v>
      </c>
      <c r="DA38" s="10">
        <f t="shared" si="37"/>
        <v>2.1551724137930958E-4</v>
      </c>
      <c r="DB38" s="10">
        <f t="shared" si="38"/>
        <v>6.0775862068978539E-4</v>
      </c>
      <c r="DC38" s="10">
        <f t="shared" si="39"/>
        <v>-2.5301724137929762E-3</v>
      </c>
      <c r="DD38" s="10">
        <f t="shared" si="40"/>
        <v>-2.9224137931034518E-3</v>
      </c>
      <c r="DE38" s="10">
        <f t="shared" si="41"/>
        <v>3.7456896551725473E-3</v>
      </c>
      <c r="DF38" s="10">
        <f t="shared" si="42"/>
        <v>2.9612068965517695E-3</v>
      </c>
      <c r="DG38" s="10">
        <f t="shared" si="43"/>
        <v>7.2758620689656103E-3</v>
      </c>
      <c r="DH38" s="10">
        <f t="shared" si="44"/>
        <v>6.0775862068978539E-4</v>
      </c>
      <c r="DI38" s="10">
        <f t="shared" si="45"/>
        <v>1.3922413793103887E-3</v>
      </c>
      <c r="DJ38" s="10">
        <f t="shared" si="46"/>
        <v>1.7844827586206904E-3</v>
      </c>
      <c r="DK38" s="10">
        <f t="shared" si="47"/>
        <v>6.0775862068978539E-4</v>
      </c>
      <c r="DL38" s="10">
        <f t="shared" si="48"/>
        <v>-3.7068965517240552E-3</v>
      </c>
      <c r="DM38" s="10">
        <f t="shared" si="49"/>
        <v>-9.6120689655159537E-4</v>
      </c>
      <c r="DN38" s="10">
        <f t="shared" si="50"/>
        <v>1.7844827586206904E-3</v>
      </c>
      <c r="DO38" s="10">
        <f t="shared" si="51"/>
        <v>-1.7672413793099205E-4</v>
      </c>
      <c r="DP38" s="10">
        <f t="shared" si="52"/>
        <v>2.9612068965517695E-3</v>
      </c>
      <c r="DQ38" s="10">
        <f t="shared" si="53"/>
        <v>-9.6120689655159537E-4</v>
      </c>
      <c r="DR38" s="10">
        <f t="shared" si="54"/>
        <v>1.7844827586206904E-3</v>
      </c>
      <c r="DS38" s="10">
        <f t="shared" si="55"/>
        <v>5.7068965517242292E-3</v>
      </c>
      <c r="DT38" s="10">
        <f t="shared" si="56"/>
        <v>-2.5301724137929762E-3</v>
      </c>
      <c r="DU38" s="10">
        <f t="shared" si="57"/>
        <v>1.3922413793103887E-3</v>
      </c>
      <c r="DV38" s="10">
        <f t="shared" si="58"/>
        <v>-9.6120689655159537E-4</v>
      </c>
      <c r="DW38" s="10">
        <f t="shared" si="59"/>
        <v>2.1551724137930958E-4</v>
      </c>
    </row>
    <row r="39" spans="2:127" x14ac:dyDescent="0.45">
      <c r="B39" s="1">
        <v>24</v>
      </c>
      <c r="C39" s="1">
        <v>450</v>
      </c>
      <c r="D39" s="7">
        <f t="shared" si="60"/>
        <v>2.6373626373626373</v>
      </c>
      <c r="E39" s="1">
        <v>2.629</v>
      </c>
      <c r="F39" s="1">
        <v>2.6339999999999999</v>
      </c>
      <c r="G39" s="1">
        <v>2.6379999999999999</v>
      </c>
      <c r="H39" s="1">
        <v>2.6179999999999999</v>
      </c>
      <c r="I39" s="1">
        <v>2.637</v>
      </c>
      <c r="J39" s="1">
        <v>2.645</v>
      </c>
      <c r="K39" s="1">
        <v>2.65</v>
      </c>
      <c r="L39" s="1">
        <v>2.6539999999999999</v>
      </c>
      <c r="M39" s="1">
        <v>2.641</v>
      </c>
      <c r="N39" s="1">
        <v>2.645</v>
      </c>
      <c r="O39" s="1">
        <v>2.6440000000000001</v>
      </c>
      <c r="P39" s="1">
        <v>2.6230000000000002</v>
      </c>
      <c r="Q39" s="1">
        <v>2.633</v>
      </c>
      <c r="R39" s="1">
        <v>2.6459999999999999</v>
      </c>
      <c r="S39" s="1">
        <v>2.6339999999999999</v>
      </c>
      <c r="T39" s="1">
        <v>2.645</v>
      </c>
      <c r="U39" s="1">
        <v>2.637</v>
      </c>
      <c r="V39" s="1">
        <v>2.6339999999999999</v>
      </c>
      <c r="W39" s="1">
        <v>2.6379999999999999</v>
      </c>
      <c r="X39" s="1">
        <v>2.66</v>
      </c>
      <c r="Y39" s="1">
        <v>2.6339999999999999</v>
      </c>
      <c r="Z39" s="1">
        <v>2.6349999999999998</v>
      </c>
      <c r="AA39" s="1">
        <v>2.6419999999999999</v>
      </c>
      <c r="AB39" s="1">
        <v>2.6339999999999999</v>
      </c>
      <c r="AC39" s="1">
        <v>2.6440000000000001</v>
      </c>
      <c r="AD39" s="1">
        <v>2.6379999999999999</v>
      </c>
      <c r="AE39" s="1">
        <v>2.641</v>
      </c>
      <c r="AF39" s="1">
        <v>2.64</v>
      </c>
      <c r="AG39" s="1">
        <v>2.645</v>
      </c>
      <c r="AH39" s="1">
        <v>2.641</v>
      </c>
      <c r="AI39" s="1">
        <v>2.6440000000000001</v>
      </c>
      <c r="AJ39" s="1">
        <v>2.65</v>
      </c>
      <c r="AK39" s="1">
        <v>2.64</v>
      </c>
      <c r="AL39" s="1">
        <v>2.637</v>
      </c>
      <c r="AM39" s="1">
        <v>2.64</v>
      </c>
      <c r="AN39" s="1">
        <v>2.6349999999999998</v>
      </c>
      <c r="AO39" s="1">
        <v>2.641</v>
      </c>
      <c r="AP39" s="1">
        <v>2.6379999999999999</v>
      </c>
      <c r="AQ39" s="1">
        <v>2.637</v>
      </c>
      <c r="AR39" s="1">
        <v>2.6309999999999998</v>
      </c>
      <c r="AS39" s="1">
        <v>2.6269999999999998</v>
      </c>
      <c r="AT39" s="1">
        <v>2.649</v>
      </c>
      <c r="AU39" s="1">
        <v>2.645</v>
      </c>
      <c r="AV39" s="1">
        <v>2.653</v>
      </c>
      <c r="AW39" s="1">
        <v>2.641</v>
      </c>
      <c r="AX39" s="1">
        <v>2.641</v>
      </c>
      <c r="AY39" s="1">
        <v>2.6419999999999999</v>
      </c>
      <c r="AZ39" s="1">
        <v>2.64</v>
      </c>
      <c r="BA39" s="1">
        <v>2.6269999999999998</v>
      </c>
      <c r="BB39" s="1">
        <v>2.6379999999999999</v>
      </c>
      <c r="BC39" s="1">
        <v>2.641</v>
      </c>
      <c r="BD39" s="1">
        <v>2.637</v>
      </c>
      <c r="BE39" s="1">
        <v>2.6459999999999999</v>
      </c>
      <c r="BF39" s="1">
        <v>2.6349999999999998</v>
      </c>
      <c r="BG39" s="1">
        <v>2.6419999999999999</v>
      </c>
      <c r="BH39" s="1">
        <v>2.6539999999999999</v>
      </c>
      <c r="BI39" s="1">
        <v>2.63</v>
      </c>
      <c r="BJ39" s="1">
        <v>2.6419999999999999</v>
      </c>
      <c r="BK39" s="1">
        <v>2.6309999999999998</v>
      </c>
      <c r="BL39" s="1">
        <v>2.6349999999999998</v>
      </c>
      <c r="BN39" s="9">
        <v>24</v>
      </c>
      <c r="BO39" s="9">
        <v>450</v>
      </c>
      <c r="BP39" s="10">
        <f t="shared" si="0"/>
        <v>-3.1708333333333154E-3</v>
      </c>
      <c r="BQ39" s="10">
        <f t="shared" si="1"/>
        <v>-1.2750000000000224E-3</v>
      </c>
      <c r="BR39" s="10">
        <f t="shared" si="2"/>
        <v>2.4166666666664561E-4</v>
      </c>
      <c r="BS39" s="10">
        <f t="shared" si="3"/>
        <v>-7.3416666666666942E-3</v>
      </c>
      <c r="BT39" s="10">
        <f t="shared" si="4"/>
        <v>-1.374999999999793E-4</v>
      </c>
      <c r="BU39" s="10">
        <f t="shared" si="5"/>
        <v>2.8958333333333566E-3</v>
      </c>
      <c r="BV39" s="10">
        <f t="shared" si="6"/>
        <v>4.7916666666666498E-3</v>
      </c>
      <c r="BW39" s="10">
        <f t="shared" si="7"/>
        <v>6.3083333333333177E-3</v>
      </c>
      <c r="BX39" s="10">
        <f t="shared" si="8"/>
        <v>1.3791666666666887E-3</v>
      </c>
      <c r="BY39" s="10">
        <f t="shared" si="9"/>
        <v>2.8958333333333566E-3</v>
      </c>
      <c r="BZ39" s="10">
        <f t="shared" si="10"/>
        <v>2.5166666666667317E-3</v>
      </c>
      <c r="CA39" s="10">
        <f t="shared" si="11"/>
        <v>-5.4458333333332332E-3</v>
      </c>
      <c r="CB39" s="10">
        <f t="shared" si="12"/>
        <v>-1.6541666666666473E-3</v>
      </c>
      <c r="CC39" s="10">
        <f t="shared" si="13"/>
        <v>3.2749999999999815E-3</v>
      </c>
      <c r="CD39" s="10">
        <f t="shared" si="14"/>
        <v>-1.2750000000000224E-3</v>
      </c>
      <c r="CE39" s="10">
        <f t="shared" si="15"/>
        <v>2.8958333333333566E-3</v>
      </c>
      <c r="CF39" s="10">
        <f t="shared" si="16"/>
        <v>-1.374999999999793E-4</v>
      </c>
      <c r="CG39" s="10">
        <f t="shared" si="17"/>
        <v>-1.2750000000000224E-3</v>
      </c>
      <c r="CH39" s="10">
        <f t="shared" si="18"/>
        <v>2.4166666666664561E-4</v>
      </c>
      <c r="CI39" s="10">
        <f t="shared" si="19"/>
        <v>8.5833333333334046E-3</v>
      </c>
      <c r="CJ39" s="10">
        <f t="shared" si="20"/>
        <v>-1.2750000000000224E-3</v>
      </c>
      <c r="CK39" s="10">
        <f t="shared" si="21"/>
        <v>-8.9583333333339752E-4</v>
      </c>
      <c r="CL39" s="10">
        <f t="shared" si="22"/>
        <v>1.7583333333333136E-3</v>
      </c>
      <c r="CM39" s="10">
        <f t="shared" si="23"/>
        <v>-1.2750000000000224E-3</v>
      </c>
      <c r="CN39" s="10">
        <f t="shared" si="24"/>
        <v>2.5166666666667317E-3</v>
      </c>
      <c r="CO39" s="10">
        <f t="shared" si="25"/>
        <v>2.4166666666664561E-4</v>
      </c>
      <c r="CP39" s="10">
        <f t="shared" si="26"/>
        <v>1.3791666666666887E-3</v>
      </c>
      <c r="CQ39" s="10">
        <f t="shared" si="27"/>
        <v>1.0000000000000638E-3</v>
      </c>
      <c r="CR39" s="10">
        <f t="shared" si="28"/>
        <v>2.8958333333333566E-3</v>
      </c>
      <c r="CS39" s="10">
        <f t="shared" si="29"/>
        <v>1.3791666666666887E-3</v>
      </c>
      <c r="CT39" s="10">
        <f t="shared" si="30"/>
        <v>2.5166666666667317E-3</v>
      </c>
      <c r="CU39" s="10">
        <f t="shared" si="31"/>
        <v>4.7916666666666498E-3</v>
      </c>
      <c r="CV39" s="10">
        <f t="shared" si="32"/>
        <v>1.0000000000000638E-3</v>
      </c>
      <c r="CW39" s="10">
        <f t="shared" si="33"/>
        <v>-1.374999999999793E-4</v>
      </c>
      <c r="CX39" s="10">
        <f t="shared" si="34"/>
        <v>1.0000000000000638E-3</v>
      </c>
      <c r="CY39" s="10">
        <f t="shared" si="35"/>
        <v>-8.9583333333339752E-4</v>
      </c>
      <c r="CZ39" s="10">
        <f t="shared" si="36"/>
        <v>1.3791666666666887E-3</v>
      </c>
      <c r="DA39" s="10">
        <f t="shared" si="37"/>
        <v>2.4166666666664561E-4</v>
      </c>
      <c r="DB39" s="10">
        <f t="shared" si="38"/>
        <v>-1.374999999999793E-4</v>
      </c>
      <c r="DC39" s="10">
        <f t="shared" si="39"/>
        <v>-2.4125000000000656E-3</v>
      </c>
      <c r="DD39" s="10">
        <f t="shared" si="40"/>
        <v>-3.9291666666667335E-3</v>
      </c>
      <c r="DE39" s="10">
        <f t="shared" si="41"/>
        <v>4.4125000000000249E-3</v>
      </c>
      <c r="DF39" s="10">
        <f t="shared" si="42"/>
        <v>2.8958333333333566E-3</v>
      </c>
      <c r="DG39" s="10">
        <f t="shared" si="43"/>
        <v>5.9291666666666928E-3</v>
      </c>
      <c r="DH39" s="10">
        <f t="shared" si="44"/>
        <v>1.3791666666666887E-3</v>
      </c>
      <c r="DI39" s="10">
        <f t="shared" si="45"/>
        <v>1.3791666666666887E-3</v>
      </c>
      <c r="DJ39" s="10">
        <f t="shared" si="46"/>
        <v>1.7583333333333136E-3</v>
      </c>
      <c r="DK39" s="10">
        <f t="shared" si="47"/>
        <v>1.0000000000000638E-3</v>
      </c>
      <c r="DL39" s="10">
        <f t="shared" si="48"/>
        <v>-3.9291666666667335E-3</v>
      </c>
      <c r="DM39" s="10">
        <f t="shared" si="49"/>
        <v>2.4166666666664561E-4</v>
      </c>
      <c r="DN39" s="10">
        <f t="shared" si="50"/>
        <v>1.3791666666666887E-3</v>
      </c>
      <c r="DO39" s="10">
        <f t="shared" si="51"/>
        <v>-1.374999999999793E-4</v>
      </c>
      <c r="DP39" s="10">
        <f t="shared" si="52"/>
        <v>3.2749999999999815E-3</v>
      </c>
      <c r="DQ39" s="10">
        <f t="shared" si="53"/>
        <v>-8.9583333333339752E-4</v>
      </c>
      <c r="DR39" s="10">
        <f t="shared" si="54"/>
        <v>1.7583333333333136E-3</v>
      </c>
      <c r="DS39" s="10">
        <f t="shared" si="55"/>
        <v>6.3083333333333177E-3</v>
      </c>
      <c r="DT39" s="10">
        <f t="shared" si="56"/>
        <v>-2.7916666666666905E-3</v>
      </c>
      <c r="DU39" s="10">
        <f t="shared" si="57"/>
        <v>1.7583333333333136E-3</v>
      </c>
      <c r="DV39" s="10">
        <f t="shared" si="58"/>
        <v>-2.4125000000000656E-3</v>
      </c>
      <c r="DW39" s="10">
        <f t="shared" si="59"/>
        <v>-8.9583333333339752E-4</v>
      </c>
    </row>
    <row r="40" spans="2:127" x14ac:dyDescent="0.45">
      <c r="B40" s="1">
        <v>24</v>
      </c>
      <c r="C40" s="1">
        <v>465</v>
      </c>
      <c r="D40" s="7">
        <f t="shared" si="60"/>
        <v>2.7252747252747254</v>
      </c>
      <c r="E40" s="1">
        <v>2.7149999999999999</v>
      </c>
      <c r="F40" s="1">
        <v>2.722</v>
      </c>
      <c r="G40" s="1">
        <v>2.7280000000000002</v>
      </c>
      <c r="H40" s="1">
        <v>2.7069999999999999</v>
      </c>
      <c r="I40" s="1">
        <v>2.7250000000000001</v>
      </c>
      <c r="J40" s="1">
        <v>2.7330000000000001</v>
      </c>
      <c r="K40" s="1">
        <v>2.7389999999999999</v>
      </c>
      <c r="L40" s="1">
        <v>2.7469999999999999</v>
      </c>
      <c r="M40" s="1">
        <v>2.7290000000000001</v>
      </c>
      <c r="N40" s="1">
        <v>2.7330000000000001</v>
      </c>
      <c r="O40" s="1">
        <v>2.7320000000000002</v>
      </c>
      <c r="P40" s="1">
        <v>2.7109999999999999</v>
      </c>
      <c r="Q40" s="1">
        <v>2.7210000000000001</v>
      </c>
      <c r="R40" s="1">
        <v>2.734</v>
      </c>
      <c r="S40" s="1">
        <v>2.722</v>
      </c>
      <c r="T40" s="1">
        <v>2.7320000000000002</v>
      </c>
      <c r="U40" s="1">
        <v>2.7250000000000001</v>
      </c>
      <c r="V40" s="1">
        <v>2.72</v>
      </c>
      <c r="W40" s="1">
        <v>2.726</v>
      </c>
      <c r="X40" s="1">
        <v>2.7519999999999998</v>
      </c>
      <c r="Y40" s="1">
        <v>2.72</v>
      </c>
      <c r="Z40" s="1">
        <v>2.7240000000000002</v>
      </c>
      <c r="AA40" s="1">
        <v>2.7320000000000002</v>
      </c>
      <c r="AB40" s="1">
        <v>2.722</v>
      </c>
      <c r="AC40" s="1">
        <v>2.7330000000000001</v>
      </c>
      <c r="AD40" s="1">
        <v>2.726</v>
      </c>
      <c r="AE40" s="1">
        <v>2.7280000000000002</v>
      </c>
      <c r="AF40" s="1">
        <v>2.726</v>
      </c>
      <c r="AG40" s="1">
        <v>2.734</v>
      </c>
      <c r="AH40" s="1">
        <v>2.73</v>
      </c>
      <c r="AI40" s="1">
        <v>2.73</v>
      </c>
      <c r="AJ40" s="1">
        <v>2.7370000000000001</v>
      </c>
      <c r="AK40" s="1">
        <v>2.7280000000000002</v>
      </c>
      <c r="AL40" s="1">
        <v>2.7250000000000001</v>
      </c>
      <c r="AM40" s="1">
        <v>2.7290000000000001</v>
      </c>
      <c r="AN40" s="1">
        <v>2.7240000000000002</v>
      </c>
      <c r="AO40" s="1">
        <v>2.7280000000000002</v>
      </c>
      <c r="AP40" s="1">
        <v>2.726</v>
      </c>
      <c r="AQ40" s="1">
        <v>2.726</v>
      </c>
      <c r="AR40" s="1">
        <v>2.72</v>
      </c>
      <c r="AS40" s="1">
        <v>2.714</v>
      </c>
      <c r="AT40" s="1">
        <v>2.7370000000000001</v>
      </c>
      <c r="AU40" s="1">
        <v>2.7320000000000002</v>
      </c>
      <c r="AV40" s="1">
        <v>2.7440000000000002</v>
      </c>
      <c r="AW40" s="1">
        <v>2.7290000000000001</v>
      </c>
      <c r="AX40" s="1">
        <v>2.7280000000000002</v>
      </c>
      <c r="AY40" s="1">
        <v>2.7320000000000002</v>
      </c>
      <c r="AZ40" s="1">
        <v>2.726</v>
      </c>
      <c r="BA40" s="1">
        <v>2.7149999999999999</v>
      </c>
      <c r="BB40" s="1">
        <v>2.726</v>
      </c>
      <c r="BC40" s="1">
        <v>2.73</v>
      </c>
      <c r="BD40" s="1">
        <v>2.7240000000000002</v>
      </c>
      <c r="BE40" s="1">
        <v>2.734</v>
      </c>
      <c r="BF40" s="1">
        <v>2.722</v>
      </c>
      <c r="BG40" s="1">
        <v>2.7280000000000002</v>
      </c>
      <c r="BH40" s="1">
        <v>2.7469999999999999</v>
      </c>
      <c r="BI40" s="1">
        <v>2.7130000000000001</v>
      </c>
      <c r="BJ40" s="1">
        <v>2.7320000000000002</v>
      </c>
      <c r="BK40" s="1">
        <v>2.718</v>
      </c>
      <c r="BL40" s="1">
        <v>2.722</v>
      </c>
      <c r="BN40" s="9">
        <v>24</v>
      </c>
      <c r="BO40" s="9">
        <v>465</v>
      </c>
      <c r="BP40" s="10">
        <f t="shared" si="0"/>
        <v>-3.770161290322665E-3</v>
      </c>
      <c r="BQ40" s="10">
        <f t="shared" si="1"/>
        <v>-1.2016129032258478E-3</v>
      </c>
      <c r="BR40" s="10">
        <f t="shared" si="2"/>
        <v>1.0000000000000421E-3</v>
      </c>
      <c r="BS40" s="10">
        <f t="shared" si="3"/>
        <v>-6.7056451612904095E-3</v>
      </c>
      <c r="BT40" s="10">
        <f t="shared" si="4"/>
        <v>-1.0080645161290286E-4</v>
      </c>
      <c r="BU40" s="10">
        <f t="shared" si="5"/>
        <v>2.8346774193548415E-3</v>
      </c>
      <c r="BV40" s="10">
        <f t="shared" si="6"/>
        <v>5.0362903225805687E-3</v>
      </c>
      <c r="BW40" s="10">
        <f t="shared" si="7"/>
        <v>7.9717741935483137E-3</v>
      </c>
      <c r="BX40" s="10">
        <f t="shared" si="8"/>
        <v>1.3669354838709694E-3</v>
      </c>
      <c r="BY40" s="10">
        <f t="shared" si="9"/>
        <v>2.8346774193548415E-3</v>
      </c>
      <c r="BZ40" s="10">
        <f t="shared" si="10"/>
        <v>2.4677419354839141E-3</v>
      </c>
      <c r="CA40" s="10">
        <f t="shared" si="11"/>
        <v>-5.237903225806537E-3</v>
      </c>
      <c r="CB40" s="10">
        <f t="shared" si="12"/>
        <v>-1.5685483870967751E-3</v>
      </c>
      <c r="CC40" s="10">
        <f t="shared" si="13"/>
        <v>3.2016129032257689E-3</v>
      </c>
      <c r="CD40" s="10">
        <f t="shared" si="14"/>
        <v>-1.2016129032258478E-3</v>
      </c>
      <c r="CE40" s="10">
        <f t="shared" si="15"/>
        <v>2.4677419354839141E-3</v>
      </c>
      <c r="CF40" s="10">
        <f t="shared" si="16"/>
        <v>-1.0080645161290286E-4</v>
      </c>
      <c r="CG40" s="10">
        <f t="shared" si="17"/>
        <v>-1.9354838709677025E-3</v>
      </c>
      <c r="CH40" s="10">
        <f t="shared" si="18"/>
        <v>2.6612903225802447E-4</v>
      </c>
      <c r="CI40" s="10">
        <f t="shared" si="19"/>
        <v>9.8064516129031127E-3</v>
      </c>
      <c r="CJ40" s="10">
        <f t="shared" si="20"/>
        <v>-1.9354838709677025E-3</v>
      </c>
      <c r="CK40" s="10">
        <f t="shared" si="21"/>
        <v>-4.6774193548383019E-4</v>
      </c>
      <c r="CL40" s="10">
        <f t="shared" si="22"/>
        <v>2.4677419354839141E-3</v>
      </c>
      <c r="CM40" s="10">
        <f t="shared" si="23"/>
        <v>-1.2016129032258478E-3</v>
      </c>
      <c r="CN40" s="10">
        <f t="shared" si="24"/>
        <v>2.8346774193548415E-3</v>
      </c>
      <c r="CO40" s="10">
        <f t="shared" si="25"/>
        <v>2.6612903225802447E-4</v>
      </c>
      <c r="CP40" s="10">
        <f t="shared" si="26"/>
        <v>1.0000000000000421E-3</v>
      </c>
      <c r="CQ40" s="10">
        <f t="shared" si="27"/>
        <v>2.6612903225802447E-4</v>
      </c>
      <c r="CR40" s="10">
        <f t="shared" si="28"/>
        <v>3.2016129032257689E-3</v>
      </c>
      <c r="CS40" s="10">
        <f t="shared" si="29"/>
        <v>1.7338709677418966E-3</v>
      </c>
      <c r="CT40" s="10">
        <f t="shared" si="30"/>
        <v>1.7338709677418966E-3</v>
      </c>
      <c r="CU40" s="10">
        <f t="shared" si="31"/>
        <v>4.302419354838714E-3</v>
      </c>
      <c r="CV40" s="10">
        <f t="shared" si="32"/>
        <v>1.0000000000000421E-3</v>
      </c>
      <c r="CW40" s="10">
        <f t="shared" si="33"/>
        <v>-1.0080645161290286E-4</v>
      </c>
      <c r="CX40" s="10">
        <f t="shared" si="34"/>
        <v>1.3669354838709694E-3</v>
      </c>
      <c r="CY40" s="10">
        <f t="shared" si="35"/>
        <v>-4.6774193548383019E-4</v>
      </c>
      <c r="CZ40" s="10">
        <f t="shared" si="36"/>
        <v>1.0000000000000421E-3</v>
      </c>
      <c r="DA40" s="10">
        <f t="shared" si="37"/>
        <v>2.6612903225802447E-4</v>
      </c>
      <c r="DB40" s="10">
        <f t="shared" si="38"/>
        <v>2.6612903225802447E-4</v>
      </c>
      <c r="DC40" s="10">
        <f t="shared" si="39"/>
        <v>-1.9354838709677025E-3</v>
      </c>
      <c r="DD40" s="10">
        <f t="shared" si="40"/>
        <v>-4.1370967741935919E-3</v>
      </c>
      <c r="DE40" s="10">
        <f t="shared" si="41"/>
        <v>4.302419354838714E-3</v>
      </c>
      <c r="DF40" s="10">
        <f t="shared" si="42"/>
        <v>2.4677419354839141E-3</v>
      </c>
      <c r="DG40" s="10">
        <f t="shared" si="43"/>
        <v>6.8709677419355308E-3</v>
      </c>
      <c r="DH40" s="10">
        <f t="shared" si="44"/>
        <v>1.3669354838709694E-3</v>
      </c>
      <c r="DI40" s="10">
        <f t="shared" si="45"/>
        <v>1.0000000000000421E-3</v>
      </c>
      <c r="DJ40" s="10">
        <f t="shared" si="46"/>
        <v>2.4677419354839141E-3</v>
      </c>
      <c r="DK40" s="10">
        <f t="shared" si="47"/>
        <v>2.6612903225802447E-4</v>
      </c>
      <c r="DL40" s="10">
        <f t="shared" si="48"/>
        <v>-3.770161290322665E-3</v>
      </c>
      <c r="DM40" s="10">
        <f t="shared" si="49"/>
        <v>2.6612903225802447E-4</v>
      </c>
      <c r="DN40" s="10">
        <f t="shared" si="50"/>
        <v>1.7338709677418966E-3</v>
      </c>
      <c r="DO40" s="10">
        <f t="shared" si="51"/>
        <v>-4.6774193548383019E-4</v>
      </c>
      <c r="DP40" s="10">
        <f t="shared" si="52"/>
        <v>3.2016129032257689E-3</v>
      </c>
      <c r="DQ40" s="10">
        <f t="shared" si="53"/>
        <v>-1.2016129032258478E-3</v>
      </c>
      <c r="DR40" s="10">
        <f t="shared" si="54"/>
        <v>1.0000000000000421E-3</v>
      </c>
      <c r="DS40" s="10">
        <f t="shared" si="55"/>
        <v>7.9717741935483137E-3</v>
      </c>
      <c r="DT40" s="10">
        <f t="shared" si="56"/>
        <v>-4.5040322580645192E-3</v>
      </c>
      <c r="DU40" s="10">
        <f t="shared" si="57"/>
        <v>2.4677419354839141E-3</v>
      </c>
      <c r="DV40" s="10">
        <f t="shared" si="58"/>
        <v>-2.6693548387097198E-3</v>
      </c>
      <c r="DW40" s="10">
        <f t="shared" si="59"/>
        <v>-1.2016129032258478E-3</v>
      </c>
    </row>
    <row r="41" spans="2:127" x14ac:dyDescent="0.45">
      <c r="B41" s="1">
        <v>24</v>
      </c>
      <c r="C41" s="1">
        <v>480</v>
      </c>
      <c r="D41" s="7">
        <f t="shared" si="60"/>
        <v>2.8131868131868134</v>
      </c>
      <c r="E41" s="1">
        <v>2.802</v>
      </c>
      <c r="F41" s="1">
        <v>2.8119999999999998</v>
      </c>
      <c r="G41" s="1">
        <v>2.8170000000000002</v>
      </c>
      <c r="H41" s="1">
        <v>2.7949999999999999</v>
      </c>
      <c r="I41" s="1">
        <v>2.81</v>
      </c>
      <c r="J41" s="1">
        <v>2.819</v>
      </c>
      <c r="K41" s="1">
        <v>2.827</v>
      </c>
      <c r="L41" s="1">
        <v>2.84</v>
      </c>
      <c r="M41" s="1">
        <v>2.8170000000000002</v>
      </c>
      <c r="N41" s="1">
        <v>2.823</v>
      </c>
      <c r="O41" s="1">
        <v>2.819</v>
      </c>
      <c r="P41" s="1">
        <v>2.8010000000000002</v>
      </c>
      <c r="Q41" s="1">
        <v>2.81</v>
      </c>
      <c r="R41" s="1">
        <v>2.8210000000000002</v>
      </c>
      <c r="S41" s="1">
        <v>2.81</v>
      </c>
      <c r="T41" s="1">
        <v>2.819</v>
      </c>
      <c r="U41" s="1">
        <v>2.8130000000000002</v>
      </c>
      <c r="V41" s="1">
        <v>2.8079999999999998</v>
      </c>
      <c r="W41" s="1">
        <v>2.8140000000000001</v>
      </c>
      <c r="X41" s="1">
        <v>2.839</v>
      </c>
      <c r="Y41" s="1">
        <v>2.8079999999999998</v>
      </c>
      <c r="Z41" s="1">
        <v>2.81</v>
      </c>
      <c r="AA41" s="1">
        <v>2.82</v>
      </c>
      <c r="AB41" s="1">
        <v>2.8119999999999998</v>
      </c>
      <c r="AC41" s="1">
        <v>2.8210000000000002</v>
      </c>
      <c r="AD41" s="1">
        <v>2.8140000000000001</v>
      </c>
      <c r="AE41" s="1">
        <v>2.8140000000000001</v>
      </c>
      <c r="AF41" s="1">
        <v>2.8119999999999998</v>
      </c>
      <c r="AG41" s="1">
        <v>2.823</v>
      </c>
      <c r="AH41" s="1">
        <v>2.8170000000000002</v>
      </c>
      <c r="AI41" s="1">
        <v>2.8159999999999998</v>
      </c>
      <c r="AJ41" s="1">
        <v>2.827</v>
      </c>
      <c r="AK41" s="1">
        <v>2.8159999999999998</v>
      </c>
      <c r="AL41" s="1">
        <v>2.8119999999999998</v>
      </c>
      <c r="AM41" s="1">
        <v>2.819</v>
      </c>
      <c r="AN41" s="1">
        <v>2.8119999999999998</v>
      </c>
      <c r="AO41" s="1">
        <v>2.8140000000000001</v>
      </c>
      <c r="AP41" s="1">
        <v>2.8140000000000001</v>
      </c>
      <c r="AQ41" s="1">
        <v>2.8130000000000002</v>
      </c>
      <c r="AR41" s="1">
        <v>2.806</v>
      </c>
      <c r="AS41" s="1">
        <v>2.8050000000000002</v>
      </c>
      <c r="AT41" s="1">
        <v>2.827</v>
      </c>
      <c r="AU41" s="1">
        <v>2.82</v>
      </c>
      <c r="AV41" s="1">
        <v>2.8290000000000002</v>
      </c>
      <c r="AW41" s="1">
        <v>2.8170000000000002</v>
      </c>
      <c r="AX41" s="1">
        <v>2.8159999999999998</v>
      </c>
      <c r="AY41" s="1">
        <v>2.819</v>
      </c>
      <c r="AZ41" s="1">
        <v>2.8130000000000002</v>
      </c>
      <c r="BA41" s="1">
        <v>2.8039999999999998</v>
      </c>
      <c r="BB41" s="1">
        <v>2.8140000000000001</v>
      </c>
      <c r="BC41" s="1">
        <v>2.819</v>
      </c>
      <c r="BD41" s="1">
        <v>2.8119999999999998</v>
      </c>
      <c r="BE41" s="1">
        <v>2.8239999999999998</v>
      </c>
      <c r="BF41" s="1">
        <v>2.81</v>
      </c>
      <c r="BG41" s="1">
        <v>2.82</v>
      </c>
      <c r="BH41" s="1">
        <v>2.8319999999999999</v>
      </c>
      <c r="BI41" s="1">
        <v>2.8010000000000002</v>
      </c>
      <c r="BJ41" s="1">
        <v>2.82</v>
      </c>
      <c r="BK41" s="1">
        <v>2.8119999999999998</v>
      </c>
      <c r="BL41" s="1">
        <v>2.81</v>
      </c>
      <c r="BN41" s="9">
        <v>24</v>
      </c>
      <c r="BO41" s="9">
        <v>480</v>
      </c>
      <c r="BP41" s="10">
        <f t="shared" si="0"/>
        <v>-3.9765625000000616E-3</v>
      </c>
      <c r="BQ41" s="10">
        <f t="shared" si="1"/>
        <v>-4.2187500000013736E-4</v>
      </c>
      <c r="BR41" s="10">
        <f t="shared" si="2"/>
        <v>1.3554687499999826E-3</v>
      </c>
      <c r="BS41" s="10">
        <f t="shared" si="3"/>
        <v>-6.4648437500001025E-3</v>
      </c>
      <c r="BT41" s="10">
        <f t="shared" si="4"/>
        <v>-1.1328125000000591E-3</v>
      </c>
      <c r="BU41" s="10">
        <f t="shared" si="5"/>
        <v>2.0664062499999043E-3</v>
      </c>
      <c r="BV41" s="10">
        <f t="shared" si="6"/>
        <v>4.9101562499999068E-3</v>
      </c>
      <c r="BW41" s="10">
        <f t="shared" si="7"/>
        <v>9.5312499999998714E-3</v>
      </c>
      <c r="BX41" s="10">
        <f t="shared" si="8"/>
        <v>1.3554687499999826E-3</v>
      </c>
      <c r="BY41" s="10">
        <f t="shared" si="9"/>
        <v>3.4882812499999051E-3</v>
      </c>
      <c r="BZ41" s="10">
        <f t="shared" si="10"/>
        <v>2.0664062499999043E-3</v>
      </c>
      <c r="CA41" s="10">
        <f t="shared" si="11"/>
        <v>-4.3320312500000225E-3</v>
      </c>
      <c r="CB41" s="10">
        <f t="shared" si="12"/>
        <v>-1.1328125000000591E-3</v>
      </c>
      <c r="CC41" s="10">
        <f t="shared" si="13"/>
        <v>2.7773437499999838E-3</v>
      </c>
      <c r="CD41" s="10">
        <f t="shared" si="14"/>
        <v>-1.1328125000000591E-3</v>
      </c>
      <c r="CE41" s="10">
        <f t="shared" si="15"/>
        <v>2.0664062499999043E-3</v>
      </c>
      <c r="CF41" s="10">
        <f t="shared" si="16"/>
        <v>-6.6406250000018707E-5</v>
      </c>
      <c r="CG41" s="10">
        <f t="shared" si="17"/>
        <v>-1.8437500000001385E-3</v>
      </c>
      <c r="CH41" s="10">
        <f t="shared" si="18"/>
        <v>2.8906249999994214E-4</v>
      </c>
      <c r="CI41" s="10">
        <f t="shared" si="19"/>
        <v>9.1757812499999106E-3</v>
      </c>
      <c r="CJ41" s="10">
        <f t="shared" si="20"/>
        <v>-1.8437500000001385E-3</v>
      </c>
      <c r="CK41" s="10">
        <f t="shared" si="21"/>
        <v>-1.1328125000000591E-3</v>
      </c>
      <c r="CL41" s="10">
        <f t="shared" si="22"/>
        <v>2.4218749999998651E-3</v>
      </c>
      <c r="CM41" s="10">
        <f t="shared" si="23"/>
        <v>-4.2187500000013736E-4</v>
      </c>
      <c r="CN41" s="10">
        <f t="shared" si="24"/>
        <v>2.7773437499999838E-3</v>
      </c>
      <c r="CO41" s="10">
        <f t="shared" si="25"/>
        <v>2.8906249999994214E-4</v>
      </c>
      <c r="CP41" s="10">
        <f t="shared" si="26"/>
        <v>2.8906249999994214E-4</v>
      </c>
      <c r="CQ41" s="10">
        <f t="shared" si="27"/>
        <v>-4.2187500000013736E-4</v>
      </c>
      <c r="CR41" s="10">
        <f t="shared" si="28"/>
        <v>3.4882812499999051E-3</v>
      </c>
      <c r="CS41" s="10">
        <f t="shared" si="29"/>
        <v>1.3554687499999826E-3</v>
      </c>
      <c r="CT41" s="10">
        <f t="shared" si="30"/>
        <v>9.9999999999986385E-4</v>
      </c>
      <c r="CU41" s="10">
        <f t="shared" si="31"/>
        <v>4.9101562499999068E-3</v>
      </c>
      <c r="CV41" s="10">
        <f t="shared" si="32"/>
        <v>9.9999999999986385E-4</v>
      </c>
      <c r="CW41" s="10">
        <f t="shared" si="33"/>
        <v>-4.2187500000013736E-4</v>
      </c>
      <c r="CX41" s="10">
        <f t="shared" si="34"/>
        <v>2.0664062499999043E-3</v>
      </c>
      <c r="CY41" s="10">
        <f t="shared" si="35"/>
        <v>-4.2187500000013736E-4</v>
      </c>
      <c r="CZ41" s="10">
        <f t="shared" si="36"/>
        <v>2.8906249999994214E-4</v>
      </c>
      <c r="DA41" s="10">
        <f t="shared" si="37"/>
        <v>2.8906249999994214E-4</v>
      </c>
      <c r="DB41" s="10">
        <f t="shared" si="38"/>
        <v>-6.6406250000018707E-5</v>
      </c>
      <c r="DC41" s="10">
        <f t="shared" si="39"/>
        <v>-2.5546875000000604E-3</v>
      </c>
      <c r="DD41" s="10">
        <f t="shared" si="40"/>
        <v>-2.9101562500000208E-3</v>
      </c>
      <c r="DE41" s="10">
        <f t="shared" si="41"/>
        <v>4.9101562499999068E-3</v>
      </c>
      <c r="DF41" s="10">
        <f t="shared" si="42"/>
        <v>2.4218749999998651E-3</v>
      </c>
      <c r="DG41" s="10">
        <f t="shared" si="43"/>
        <v>5.6210937499999855E-3</v>
      </c>
      <c r="DH41" s="10">
        <f t="shared" si="44"/>
        <v>1.3554687499999826E-3</v>
      </c>
      <c r="DI41" s="10">
        <f t="shared" si="45"/>
        <v>9.9999999999986385E-4</v>
      </c>
      <c r="DJ41" s="10">
        <f t="shared" si="46"/>
        <v>2.0664062499999043E-3</v>
      </c>
      <c r="DK41" s="10">
        <f t="shared" si="47"/>
        <v>-6.6406250000018707E-5</v>
      </c>
      <c r="DL41" s="10">
        <f t="shared" si="48"/>
        <v>-3.2656250000001395E-3</v>
      </c>
      <c r="DM41" s="10">
        <f t="shared" si="49"/>
        <v>2.8906249999994214E-4</v>
      </c>
      <c r="DN41" s="10">
        <f t="shared" si="50"/>
        <v>2.0664062499999043E-3</v>
      </c>
      <c r="DO41" s="10">
        <f t="shared" si="51"/>
        <v>-4.2187500000013736E-4</v>
      </c>
      <c r="DP41" s="10">
        <f t="shared" si="52"/>
        <v>3.8437499999998659E-3</v>
      </c>
      <c r="DQ41" s="10">
        <f t="shared" si="53"/>
        <v>-1.1328125000000591E-3</v>
      </c>
      <c r="DR41" s="10">
        <f t="shared" si="54"/>
        <v>2.4218749999998651E-3</v>
      </c>
      <c r="DS41" s="10">
        <f t="shared" si="55"/>
        <v>6.687499999999868E-3</v>
      </c>
      <c r="DT41" s="10">
        <f t="shared" si="56"/>
        <v>-4.3320312500000225E-3</v>
      </c>
      <c r="DU41" s="10">
        <f t="shared" si="57"/>
        <v>2.4218749999998651E-3</v>
      </c>
      <c r="DV41" s="10">
        <f t="shared" si="58"/>
        <v>-4.2187500000013736E-4</v>
      </c>
      <c r="DW41" s="10">
        <f t="shared" si="59"/>
        <v>-1.1328125000000591E-3</v>
      </c>
    </row>
    <row r="42" spans="2:127" x14ac:dyDescent="0.45">
      <c r="B42" s="1">
        <v>24</v>
      </c>
      <c r="C42" s="1">
        <v>495</v>
      </c>
      <c r="D42" s="7">
        <f t="shared" si="60"/>
        <v>2.901098901098901</v>
      </c>
      <c r="E42" s="1">
        <v>2.8889999999999998</v>
      </c>
      <c r="F42" s="1">
        <v>2.9009999999999998</v>
      </c>
      <c r="G42" s="1">
        <v>2.9039999999999999</v>
      </c>
      <c r="H42" s="1">
        <v>2.8820000000000001</v>
      </c>
      <c r="I42" s="1">
        <v>2.899</v>
      </c>
      <c r="J42" s="1">
        <v>2.907</v>
      </c>
      <c r="K42" s="1">
        <v>2.9140000000000001</v>
      </c>
      <c r="L42" s="1">
        <v>2.927</v>
      </c>
      <c r="M42" s="1">
        <v>2.9049999999999998</v>
      </c>
      <c r="N42" s="1">
        <v>2.9089999999999998</v>
      </c>
      <c r="O42" s="1">
        <v>2.907</v>
      </c>
      <c r="P42" s="1">
        <v>2.8889999999999998</v>
      </c>
      <c r="Q42" s="1">
        <v>2.899</v>
      </c>
      <c r="R42" s="1">
        <v>2.9079999999999999</v>
      </c>
      <c r="S42" s="1">
        <v>2.8969999999999998</v>
      </c>
      <c r="T42" s="1">
        <v>2.9089999999999998</v>
      </c>
      <c r="U42" s="1">
        <v>2.9009999999999998</v>
      </c>
      <c r="V42" s="1">
        <v>2.8969999999999998</v>
      </c>
      <c r="W42" s="1">
        <v>2.903</v>
      </c>
      <c r="X42" s="1">
        <v>2.93</v>
      </c>
      <c r="Y42" s="1">
        <v>2.8969999999999998</v>
      </c>
      <c r="Z42" s="1">
        <v>2.899</v>
      </c>
      <c r="AA42" s="1">
        <v>2.9079999999999999</v>
      </c>
      <c r="AB42" s="1">
        <v>2.899</v>
      </c>
      <c r="AC42" s="1">
        <v>2.9089999999999998</v>
      </c>
      <c r="AD42" s="1">
        <v>2.903</v>
      </c>
      <c r="AE42" s="1">
        <v>2.907</v>
      </c>
      <c r="AF42" s="1">
        <v>2.9</v>
      </c>
      <c r="AG42" s="1">
        <v>2.9089999999999998</v>
      </c>
      <c r="AH42" s="1">
        <v>2.9049999999999998</v>
      </c>
      <c r="AI42" s="1">
        <v>2.9039999999999999</v>
      </c>
      <c r="AJ42" s="1">
        <v>2.9119999999999999</v>
      </c>
      <c r="AK42" s="1">
        <v>2.9039999999999999</v>
      </c>
      <c r="AL42" s="1">
        <v>2.899</v>
      </c>
      <c r="AM42" s="1">
        <v>2.9079999999999999</v>
      </c>
      <c r="AN42" s="1">
        <v>2.9</v>
      </c>
      <c r="AO42" s="1">
        <v>2.9009999999999998</v>
      </c>
      <c r="AP42" s="1">
        <v>2.9009999999999998</v>
      </c>
      <c r="AQ42" s="1">
        <v>2.9</v>
      </c>
      <c r="AR42" s="1">
        <v>2.8929999999999998</v>
      </c>
      <c r="AS42" s="1">
        <v>2.895</v>
      </c>
      <c r="AT42" s="1">
        <v>2.915</v>
      </c>
      <c r="AU42" s="1">
        <v>2.9079999999999999</v>
      </c>
      <c r="AV42" s="1">
        <v>2.923</v>
      </c>
      <c r="AW42" s="1">
        <v>2.9049999999999998</v>
      </c>
      <c r="AX42" s="1">
        <v>2.903</v>
      </c>
      <c r="AY42" s="1">
        <v>2.907</v>
      </c>
      <c r="AZ42" s="1">
        <v>2.9039999999999999</v>
      </c>
      <c r="BA42" s="1">
        <v>2.8919999999999999</v>
      </c>
      <c r="BB42" s="1">
        <v>2.9</v>
      </c>
      <c r="BC42" s="1">
        <v>2.903</v>
      </c>
      <c r="BD42" s="1">
        <v>2.899</v>
      </c>
      <c r="BE42" s="1">
        <v>2.911</v>
      </c>
      <c r="BF42" s="1">
        <v>2.8959999999999999</v>
      </c>
      <c r="BG42" s="1">
        <v>2.9089999999999998</v>
      </c>
      <c r="BH42" s="1">
        <v>2.919</v>
      </c>
      <c r="BI42" s="1">
        <v>2.8889999999999998</v>
      </c>
      <c r="BJ42" s="1">
        <v>2.907</v>
      </c>
      <c r="BK42" s="1">
        <v>2.8959999999999999</v>
      </c>
      <c r="BL42" s="1">
        <v>2.8969999999999998</v>
      </c>
      <c r="BN42" s="9">
        <v>24</v>
      </c>
      <c r="BO42" s="9">
        <v>495</v>
      </c>
      <c r="BP42" s="10">
        <f t="shared" si="0"/>
        <v>-4.1704545454545857E-3</v>
      </c>
      <c r="BQ42" s="10">
        <f t="shared" si="1"/>
        <v>-3.4090909090945711E-5</v>
      </c>
      <c r="BR42" s="10">
        <f t="shared" si="2"/>
        <v>1.0000000000000026E-3</v>
      </c>
      <c r="BS42" s="10">
        <f t="shared" si="3"/>
        <v>-6.5833333333332614E-3</v>
      </c>
      <c r="BT42" s="10">
        <f t="shared" si="4"/>
        <v>-7.2348484848480915E-4</v>
      </c>
      <c r="BU42" s="10">
        <f t="shared" si="5"/>
        <v>2.0340909090909511E-3</v>
      </c>
      <c r="BV42" s="10">
        <f t="shared" si="6"/>
        <v>4.446969696969779E-3</v>
      </c>
      <c r="BW42" s="10">
        <f t="shared" si="7"/>
        <v>8.9280303030303508E-3</v>
      </c>
      <c r="BX42" s="10">
        <f t="shared" si="8"/>
        <v>1.3446969696969343E-3</v>
      </c>
      <c r="BY42" s="10">
        <f t="shared" si="9"/>
        <v>2.7234848484848145E-3</v>
      </c>
      <c r="BZ42" s="10">
        <f t="shared" si="10"/>
        <v>2.0340909090909511E-3</v>
      </c>
      <c r="CA42" s="10">
        <f t="shared" si="11"/>
        <v>-4.1704545454545857E-3</v>
      </c>
      <c r="CB42" s="10">
        <f t="shared" si="12"/>
        <v>-7.2348484848480915E-4</v>
      </c>
      <c r="CC42" s="10">
        <f t="shared" si="13"/>
        <v>2.3787878787878826E-3</v>
      </c>
      <c r="CD42" s="10">
        <f t="shared" si="14"/>
        <v>-1.4128787878788258E-3</v>
      </c>
      <c r="CE42" s="10">
        <f t="shared" si="15"/>
        <v>2.7234848484848145E-3</v>
      </c>
      <c r="CF42" s="10">
        <f t="shared" si="16"/>
        <v>-3.4090909090945711E-5</v>
      </c>
      <c r="CG42" s="10">
        <f t="shared" si="17"/>
        <v>-1.4128787878788258E-3</v>
      </c>
      <c r="CH42" s="10">
        <f t="shared" si="18"/>
        <v>6.5530303030307091E-4</v>
      </c>
      <c r="CI42" s="10">
        <f t="shared" si="19"/>
        <v>9.9621212121212988E-3</v>
      </c>
      <c r="CJ42" s="10">
        <f t="shared" si="20"/>
        <v>-1.4128787878788258E-3</v>
      </c>
      <c r="CK42" s="10">
        <f t="shared" si="21"/>
        <v>-7.2348484848480915E-4</v>
      </c>
      <c r="CL42" s="10">
        <f t="shared" si="22"/>
        <v>2.3787878787878826E-3</v>
      </c>
      <c r="CM42" s="10">
        <f t="shared" si="23"/>
        <v>-7.2348484848480915E-4</v>
      </c>
      <c r="CN42" s="10">
        <f t="shared" si="24"/>
        <v>2.7234848484848145E-3</v>
      </c>
      <c r="CO42" s="10">
        <f t="shared" si="25"/>
        <v>6.5530303030307091E-4</v>
      </c>
      <c r="CP42" s="10">
        <f t="shared" si="26"/>
        <v>2.0340909090909511E-3</v>
      </c>
      <c r="CQ42" s="10">
        <f t="shared" si="27"/>
        <v>-3.7878787878787743E-4</v>
      </c>
      <c r="CR42" s="10">
        <f t="shared" si="28"/>
        <v>2.7234848484848145E-3</v>
      </c>
      <c r="CS42" s="10">
        <f t="shared" si="29"/>
        <v>1.3446969696969343E-3</v>
      </c>
      <c r="CT42" s="10">
        <f t="shared" si="30"/>
        <v>1.0000000000000026E-3</v>
      </c>
      <c r="CU42" s="10">
        <f t="shared" si="31"/>
        <v>3.7575757575757625E-3</v>
      </c>
      <c r="CV42" s="10">
        <f t="shared" si="32"/>
        <v>1.0000000000000026E-3</v>
      </c>
      <c r="CW42" s="10">
        <f t="shared" si="33"/>
        <v>-7.2348484848480915E-4</v>
      </c>
      <c r="CX42" s="10">
        <f t="shared" si="34"/>
        <v>2.3787878787878826E-3</v>
      </c>
      <c r="CY42" s="10">
        <f t="shared" si="35"/>
        <v>-3.7878787878787743E-4</v>
      </c>
      <c r="CZ42" s="10">
        <f t="shared" si="36"/>
        <v>-3.4090909090945711E-5</v>
      </c>
      <c r="DA42" s="10">
        <f t="shared" si="37"/>
        <v>-3.4090909090945711E-5</v>
      </c>
      <c r="DB42" s="10">
        <f t="shared" si="38"/>
        <v>-3.7878787878787743E-4</v>
      </c>
      <c r="DC42" s="10">
        <f t="shared" si="39"/>
        <v>-2.7916666666667057E-3</v>
      </c>
      <c r="DD42" s="10">
        <f t="shared" si="40"/>
        <v>-2.1022727272726892E-3</v>
      </c>
      <c r="DE42" s="10">
        <f t="shared" si="41"/>
        <v>4.7916666666667114E-3</v>
      </c>
      <c r="DF42" s="10">
        <f t="shared" si="42"/>
        <v>2.3787878787878826E-3</v>
      </c>
      <c r="DG42" s="10">
        <f t="shared" si="43"/>
        <v>7.5492424242424713E-3</v>
      </c>
      <c r="DH42" s="10">
        <f t="shared" si="44"/>
        <v>1.3446969696969343E-3</v>
      </c>
      <c r="DI42" s="10">
        <f t="shared" si="45"/>
        <v>6.5530303030307091E-4</v>
      </c>
      <c r="DJ42" s="10">
        <f t="shared" si="46"/>
        <v>2.0340909090909511E-3</v>
      </c>
      <c r="DK42" s="10">
        <f t="shared" si="47"/>
        <v>1.0000000000000026E-3</v>
      </c>
      <c r="DL42" s="10">
        <f t="shared" si="48"/>
        <v>-3.1363636363636377E-3</v>
      </c>
      <c r="DM42" s="10">
        <f t="shared" si="49"/>
        <v>-3.7878787878787743E-4</v>
      </c>
      <c r="DN42" s="10">
        <f t="shared" si="50"/>
        <v>6.5530303030307091E-4</v>
      </c>
      <c r="DO42" s="10">
        <f t="shared" si="51"/>
        <v>-7.2348484848480915E-4</v>
      </c>
      <c r="DP42" s="10">
        <f t="shared" si="52"/>
        <v>3.412878787878831E-3</v>
      </c>
      <c r="DQ42" s="10">
        <f t="shared" si="53"/>
        <v>-1.7575757575757575E-3</v>
      </c>
      <c r="DR42" s="10">
        <f t="shared" si="54"/>
        <v>2.7234848484848145E-3</v>
      </c>
      <c r="DS42" s="10">
        <f t="shared" si="55"/>
        <v>6.1704545454545909E-3</v>
      </c>
      <c r="DT42" s="10">
        <f t="shared" si="56"/>
        <v>-4.1704545454545857E-3</v>
      </c>
      <c r="DU42" s="10">
        <f t="shared" si="57"/>
        <v>2.0340909090909511E-3</v>
      </c>
      <c r="DV42" s="10">
        <f t="shared" si="58"/>
        <v>-1.7575757575757575E-3</v>
      </c>
      <c r="DW42" s="10">
        <f t="shared" si="59"/>
        <v>-1.4128787878788258E-3</v>
      </c>
    </row>
    <row r="43" spans="2:127" x14ac:dyDescent="0.45">
      <c r="B43" s="1">
        <v>24</v>
      </c>
      <c r="C43" s="1">
        <v>510</v>
      </c>
      <c r="D43" s="7">
        <f t="shared" si="60"/>
        <v>2.9890109890109891</v>
      </c>
      <c r="E43" s="1">
        <v>2.97</v>
      </c>
      <c r="F43" s="1">
        <v>2.988</v>
      </c>
      <c r="G43" s="1">
        <v>2.9910000000000001</v>
      </c>
      <c r="H43" s="1">
        <v>2.9689999999999999</v>
      </c>
      <c r="I43" s="1">
        <v>2.9870000000000001</v>
      </c>
      <c r="J43" s="1">
        <v>2.9940000000000002</v>
      </c>
      <c r="K43" s="1">
        <v>3.0030000000000001</v>
      </c>
      <c r="L43" s="1">
        <v>3.0110000000000001</v>
      </c>
      <c r="M43" s="1">
        <v>2.996</v>
      </c>
      <c r="N43" s="1">
        <v>2.9980000000000002</v>
      </c>
      <c r="O43" s="1">
        <v>2.992</v>
      </c>
      <c r="P43" s="1">
        <v>2.976</v>
      </c>
      <c r="Q43" s="1">
        <v>2.9870000000000001</v>
      </c>
      <c r="R43" s="1">
        <v>2.996</v>
      </c>
      <c r="S43" s="1">
        <v>2.984</v>
      </c>
      <c r="T43" s="1">
        <v>2.9980000000000002</v>
      </c>
      <c r="U43" s="1">
        <v>2.988</v>
      </c>
      <c r="V43" s="1">
        <v>2.9870000000000001</v>
      </c>
      <c r="W43" s="1">
        <v>2.9910000000000001</v>
      </c>
      <c r="X43" s="1">
        <v>3.0179999999999998</v>
      </c>
      <c r="Y43" s="1">
        <v>2.9849999999999999</v>
      </c>
      <c r="Z43" s="1">
        <v>2.984</v>
      </c>
      <c r="AA43" s="1">
        <v>2.996</v>
      </c>
      <c r="AB43" s="1">
        <v>2.9849999999999999</v>
      </c>
      <c r="AC43" s="1">
        <v>2.996</v>
      </c>
      <c r="AD43" s="1">
        <v>2.9910000000000001</v>
      </c>
      <c r="AE43" s="1">
        <v>2.9940000000000002</v>
      </c>
      <c r="AF43" s="1">
        <v>2.9849999999999999</v>
      </c>
      <c r="AG43" s="1">
        <v>2.9980000000000002</v>
      </c>
      <c r="AH43" s="1">
        <v>2.9940000000000002</v>
      </c>
      <c r="AI43" s="1">
        <v>2.9940000000000002</v>
      </c>
      <c r="AJ43" s="1">
        <v>3.0019999999999998</v>
      </c>
      <c r="AK43" s="1">
        <v>2.992</v>
      </c>
      <c r="AL43" s="1">
        <v>2.984</v>
      </c>
      <c r="AM43" s="1">
        <v>2.996</v>
      </c>
      <c r="AN43" s="1">
        <v>2.9889999999999999</v>
      </c>
      <c r="AO43" s="1">
        <v>2.9940000000000002</v>
      </c>
      <c r="AP43" s="1">
        <v>2.9889999999999999</v>
      </c>
      <c r="AQ43" s="1">
        <v>2.9870000000000001</v>
      </c>
      <c r="AR43" s="1">
        <v>2.9790000000000001</v>
      </c>
      <c r="AS43" s="1">
        <v>2.9809999999999999</v>
      </c>
      <c r="AT43" s="1">
        <v>3.0030000000000001</v>
      </c>
      <c r="AU43" s="1">
        <v>2.9950000000000001</v>
      </c>
      <c r="AV43" s="1">
        <v>3.0139999999999998</v>
      </c>
      <c r="AW43" s="1">
        <v>2.9940000000000002</v>
      </c>
      <c r="AX43" s="1">
        <v>2.9889999999999999</v>
      </c>
      <c r="AY43" s="1">
        <v>2.996</v>
      </c>
      <c r="AZ43" s="1">
        <v>2.9910000000000001</v>
      </c>
      <c r="BA43" s="1">
        <v>2.98</v>
      </c>
      <c r="BB43" s="1">
        <v>2.992</v>
      </c>
      <c r="BC43" s="1">
        <v>2.9889999999999999</v>
      </c>
      <c r="BD43" s="1">
        <v>2.9849999999999999</v>
      </c>
      <c r="BE43" s="1">
        <v>2.9990000000000001</v>
      </c>
      <c r="BF43" s="1">
        <v>2.984</v>
      </c>
      <c r="BG43" s="1">
        <v>2.992</v>
      </c>
      <c r="BH43" s="1">
        <v>3.0169999999999999</v>
      </c>
      <c r="BI43" s="1">
        <v>2.9790000000000001</v>
      </c>
      <c r="BJ43" s="1">
        <v>2.996</v>
      </c>
      <c r="BK43" s="1">
        <v>2.9870000000000001</v>
      </c>
      <c r="BL43" s="1">
        <v>2.984</v>
      </c>
      <c r="BN43" s="9">
        <v>24</v>
      </c>
      <c r="BO43" s="9">
        <v>510</v>
      </c>
      <c r="BP43" s="10">
        <f t="shared" si="0"/>
        <v>-6.3602941176470066E-3</v>
      </c>
      <c r="BQ43" s="10">
        <f t="shared" si="1"/>
        <v>-3.382352941176637E-4</v>
      </c>
      <c r="BR43" s="10">
        <f t="shared" si="2"/>
        <v>6.6544117647060962E-4</v>
      </c>
      <c r="BS43" s="10">
        <f t="shared" si="3"/>
        <v>-6.6948529411765302E-3</v>
      </c>
      <c r="BT43" s="10">
        <f t="shared" si="4"/>
        <v>-6.7279411764703859E-4</v>
      </c>
      <c r="BU43" s="10">
        <f t="shared" si="5"/>
        <v>1.6691176470588829E-3</v>
      </c>
      <c r="BV43" s="10">
        <f t="shared" si="6"/>
        <v>4.6801470588235545E-3</v>
      </c>
      <c r="BW43" s="10">
        <f t="shared" si="7"/>
        <v>7.3566176470588511E-3</v>
      </c>
      <c r="BX43" s="10">
        <f t="shared" si="8"/>
        <v>2.3382352941176327E-3</v>
      </c>
      <c r="BY43" s="10">
        <f t="shared" si="9"/>
        <v>3.0073529411765313E-3</v>
      </c>
      <c r="BZ43" s="10">
        <f t="shared" si="10"/>
        <v>9.9999999999998463E-4</v>
      </c>
      <c r="CA43" s="10">
        <f t="shared" si="11"/>
        <v>-4.352941176470608E-3</v>
      </c>
      <c r="CB43" s="10">
        <f t="shared" si="12"/>
        <v>-6.7279411764703859E-4</v>
      </c>
      <c r="CC43" s="10">
        <f t="shared" si="13"/>
        <v>2.3382352941176327E-3</v>
      </c>
      <c r="CD43" s="10">
        <f t="shared" si="14"/>
        <v>-1.6764705882353118E-3</v>
      </c>
      <c r="CE43" s="10">
        <f t="shared" si="15"/>
        <v>3.0073529411765313E-3</v>
      </c>
      <c r="CF43" s="10">
        <f t="shared" si="16"/>
        <v>-3.382352941176637E-4</v>
      </c>
      <c r="CG43" s="10">
        <f t="shared" si="17"/>
        <v>-6.7279411764703859E-4</v>
      </c>
      <c r="CH43" s="10">
        <f t="shared" si="18"/>
        <v>6.6544117647060962E-4</v>
      </c>
      <c r="CI43" s="10">
        <f t="shared" si="19"/>
        <v>9.6985294117646233E-3</v>
      </c>
      <c r="CJ43" s="10">
        <f t="shared" si="20"/>
        <v>-1.3419117647059369E-3</v>
      </c>
      <c r="CK43" s="10">
        <f t="shared" si="21"/>
        <v>-1.6764705882353118E-3</v>
      </c>
      <c r="CL43" s="10">
        <f t="shared" si="22"/>
        <v>2.3382352941176327E-3</v>
      </c>
      <c r="CM43" s="10">
        <f t="shared" si="23"/>
        <v>-1.3419117647059369E-3</v>
      </c>
      <c r="CN43" s="10">
        <f t="shared" si="24"/>
        <v>2.3382352941176327E-3</v>
      </c>
      <c r="CO43" s="10">
        <f t="shared" si="25"/>
        <v>6.6544117647060962E-4</v>
      </c>
      <c r="CP43" s="10">
        <f t="shared" si="26"/>
        <v>1.6691176470588829E-3</v>
      </c>
      <c r="CQ43" s="10">
        <f t="shared" si="27"/>
        <v>-1.3419117647059369E-3</v>
      </c>
      <c r="CR43" s="10">
        <f t="shared" si="28"/>
        <v>3.0073529411765313E-3</v>
      </c>
      <c r="CS43" s="10">
        <f t="shared" si="29"/>
        <v>1.6691176470588829E-3</v>
      </c>
      <c r="CT43" s="10">
        <f t="shared" si="30"/>
        <v>1.6691176470588829E-3</v>
      </c>
      <c r="CU43" s="10">
        <f t="shared" si="31"/>
        <v>4.3455882352940308E-3</v>
      </c>
      <c r="CV43" s="10">
        <f t="shared" si="32"/>
        <v>9.9999999999998463E-4</v>
      </c>
      <c r="CW43" s="10">
        <f t="shared" si="33"/>
        <v>-1.6764705882353118E-3</v>
      </c>
      <c r="CX43" s="10">
        <f t="shared" si="34"/>
        <v>2.3382352941176327E-3</v>
      </c>
      <c r="CY43" s="10">
        <f t="shared" si="35"/>
        <v>-3.6764705882887678E-6</v>
      </c>
      <c r="CZ43" s="10">
        <f t="shared" si="36"/>
        <v>1.6691176470588829E-3</v>
      </c>
      <c r="DA43" s="10">
        <f t="shared" si="37"/>
        <v>-3.6764705882887678E-6</v>
      </c>
      <c r="DB43" s="10">
        <f t="shared" si="38"/>
        <v>-6.7279411764703859E-4</v>
      </c>
      <c r="DC43" s="10">
        <f t="shared" si="39"/>
        <v>-3.349264705882335E-3</v>
      </c>
      <c r="DD43" s="10">
        <f t="shared" si="40"/>
        <v>-2.6801470588235852E-3</v>
      </c>
      <c r="DE43" s="10">
        <f t="shared" si="41"/>
        <v>4.6801470588235545E-3</v>
      </c>
      <c r="DF43" s="10">
        <f t="shared" si="42"/>
        <v>2.0036764705882578E-3</v>
      </c>
      <c r="DG43" s="10">
        <f t="shared" si="43"/>
        <v>8.3602941176469762E-3</v>
      </c>
      <c r="DH43" s="10">
        <f t="shared" si="44"/>
        <v>1.6691176470588829E-3</v>
      </c>
      <c r="DI43" s="10">
        <f t="shared" si="45"/>
        <v>-3.6764705882887678E-6</v>
      </c>
      <c r="DJ43" s="10">
        <f t="shared" si="46"/>
        <v>2.3382352941176327E-3</v>
      </c>
      <c r="DK43" s="10">
        <f t="shared" si="47"/>
        <v>6.6544117647060962E-4</v>
      </c>
      <c r="DL43" s="10">
        <f t="shared" si="48"/>
        <v>-3.0147058823529601E-3</v>
      </c>
      <c r="DM43" s="10">
        <f t="shared" si="49"/>
        <v>9.9999999999998463E-4</v>
      </c>
      <c r="DN43" s="10">
        <f t="shared" si="50"/>
        <v>-3.6764705882887678E-6</v>
      </c>
      <c r="DO43" s="10">
        <f t="shared" si="51"/>
        <v>-1.3419117647059369E-3</v>
      </c>
      <c r="DP43" s="10">
        <f t="shared" si="52"/>
        <v>3.3419117647059062E-3</v>
      </c>
      <c r="DQ43" s="10">
        <f t="shared" si="53"/>
        <v>-1.6764705882353118E-3</v>
      </c>
      <c r="DR43" s="10">
        <f t="shared" si="54"/>
        <v>9.9999999999998463E-4</v>
      </c>
      <c r="DS43" s="10">
        <f t="shared" si="55"/>
        <v>9.3639705882352497E-3</v>
      </c>
      <c r="DT43" s="10">
        <f t="shared" si="56"/>
        <v>-3.349264705882335E-3</v>
      </c>
      <c r="DU43" s="10">
        <f t="shared" si="57"/>
        <v>2.3382352941176327E-3</v>
      </c>
      <c r="DV43" s="10">
        <f t="shared" si="58"/>
        <v>-6.7279411764703859E-4</v>
      </c>
      <c r="DW43" s="10">
        <f t="shared" si="59"/>
        <v>-1.6764705882353118E-3</v>
      </c>
    </row>
    <row r="44" spans="2:127" x14ac:dyDescent="0.45">
      <c r="B44" s="1">
        <v>24</v>
      </c>
      <c r="C44" s="1">
        <v>525</v>
      </c>
      <c r="D44" s="7">
        <f t="shared" si="60"/>
        <v>3.0769230769230771</v>
      </c>
      <c r="E44" s="1">
        <v>3.0590000000000002</v>
      </c>
      <c r="F44" s="1">
        <v>3.0750000000000002</v>
      </c>
      <c r="G44" s="1">
        <v>3.0779999999999998</v>
      </c>
      <c r="H44" s="1">
        <v>3.056</v>
      </c>
      <c r="I44" s="1">
        <v>3.0750000000000002</v>
      </c>
      <c r="J44" s="1">
        <v>3.0830000000000002</v>
      </c>
      <c r="K44" s="1">
        <v>3.09</v>
      </c>
      <c r="L44" s="1">
        <v>3.101</v>
      </c>
      <c r="M44" s="1">
        <v>3.0840000000000001</v>
      </c>
      <c r="N44" s="1">
        <v>3.0840000000000001</v>
      </c>
      <c r="O44" s="1">
        <v>3.08</v>
      </c>
      <c r="P44" s="1">
        <v>3.0649999999999999</v>
      </c>
      <c r="Q44" s="1">
        <v>3.0750000000000002</v>
      </c>
      <c r="R44" s="1">
        <v>3.0840000000000001</v>
      </c>
      <c r="S44" s="1">
        <v>3.0710000000000002</v>
      </c>
      <c r="T44" s="1">
        <v>3.0870000000000002</v>
      </c>
      <c r="U44" s="1">
        <v>3.0750000000000002</v>
      </c>
      <c r="V44" s="1">
        <v>3.0760000000000001</v>
      </c>
      <c r="W44" s="1">
        <v>3.0779999999999998</v>
      </c>
      <c r="X44" s="1">
        <v>3.11</v>
      </c>
      <c r="Y44" s="1">
        <v>3.0739999999999998</v>
      </c>
      <c r="Z44" s="1">
        <v>3.0720000000000001</v>
      </c>
      <c r="AA44" s="1">
        <v>3.0859999999999999</v>
      </c>
      <c r="AB44" s="1">
        <v>3.0739999999999998</v>
      </c>
      <c r="AC44" s="1">
        <v>3.08</v>
      </c>
      <c r="AD44" s="1">
        <v>3.0779999999999998</v>
      </c>
      <c r="AE44" s="1">
        <v>3.0819999999999999</v>
      </c>
      <c r="AF44" s="1">
        <v>3.0739999999999998</v>
      </c>
      <c r="AG44" s="1">
        <v>3.0859999999999999</v>
      </c>
      <c r="AH44" s="1">
        <v>3.0830000000000002</v>
      </c>
      <c r="AI44" s="1">
        <v>3.0830000000000002</v>
      </c>
      <c r="AJ44" s="1">
        <v>3.093</v>
      </c>
      <c r="AK44" s="1">
        <v>3.0819999999999999</v>
      </c>
      <c r="AL44" s="1">
        <v>3.0720000000000001</v>
      </c>
      <c r="AM44" s="1">
        <v>3.0840000000000001</v>
      </c>
      <c r="AN44" s="1">
        <v>3.0779999999999998</v>
      </c>
      <c r="AO44" s="1">
        <v>3.0840000000000001</v>
      </c>
      <c r="AP44" s="1">
        <v>3.0760000000000001</v>
      </c>
      <c r="AQ44" s="1">
        <v>3.0720000000000001</v>
      </c>
      <c r="AR44" s="1">
        <v>3.0670000000000002</v>
      </c>
      <c r="AS44" s="1">
        <v>3.069</v>
      </c>
      <c r="AT44" s="1">
        <v>3.09</v>
      </c>
      <c r="AU44" s="1">
        <v>3.0840000000000001</v>
      </c>
      <c r="AV44" s="1">
        <v>3.0990000000000002</v>
      </c>
      <c r="AW44" s="1">
        <v>3.0819999999999999</v>
      </c>
      <c r="AX44" s="1">
        <v>3.0779999999999998</v>
      </c>
      <c r="AY44" s="1">
        <v>3.0840000000000001</v>
      </c>
      <c r="AZ44" s="1">
        <v>3.0790000000000002</v>
      </c>
      <c r="BA44" s="1">
        <v>3.0670000000000002</v>
      </c>
      <c r="BB44" s="1">
        <v>3.08</v>
      </c>
      <c r="BC44" s="1">
        <v>3.0830000000000002</v>
      </c>
      <c r="BD44" s="1">
        <v>3.0739999999999998</v>
      </c>
      <c r="BE44" s="1">
        <v>3.0859999999999999</v>
      </c>
      <c r="BF44" s="1">
        <v>3.0710000000000002</v>
      </c>
      <c r="BG44" s="1">
        <v>3.0819999999999999</v>
      </c>
      <c r="BH44" s="1">
        <v>3.1030000000000002</v>
      </c>
      <c r="BI44" s="1">
        <v>3.0680000000000001</v>
      </c>
      <c r="BJ44" s="1">
        <v>3.0840000000000001</v>
      </c>
      <c r="BK44" s="1">
        <v>3.069</v>
      </c>
      <c r="BL44" s="1">
        <v>3.0710000000000002</v>
      </c>
      <c r="BN44" s="9">
        <v>24</v>
      </c>
      <c r="BO44" s="9">
        <v>525</v>
      </c>
      <c r="BP44" s="10">
        <f t="shared" si="0"/>
        <v>-5.8250000000000021E-3</v>
      </c>
      <c r="BQ44" s="10">
        <f t="shared" si="1"/>
        <v>-6.2499999999999774E-4</v>
      </c>
      <c r="BR44" s="10">
        <f t="shared" si="2"/>
        <v>3.4999999999989483E-4</v>
      </c>
      <c r="BS44" s="10">
        <f t="shared" si="3"/>
        <v>-6.8000000000000387E-3</v>
      </c>
      <c r="BT44" s="10">
        <f t="shared" si="4"/>
        <v>-6.2499999999999774E-4</v>
      </c>
      <c r="BU44" s="10">
        <f t="shared" si="5"/>
        <v>1.9750000000000045E-3</v>
      </c>
      <c r="BV44" s="10">
        <f t="shared" si="6"/>
        <v>4.249999999999898E-3</v>
      </c>
      <c r="BW44" s="10">
        <f t="shared" si="7"/>
        <v>7.8249999999999379E-3</v>
      </c>
      <c r="BX44" s="10">
        <f t="shared" si="8"/>
        <v>2.2999999999999687E-3</v>
      </c>
      <c r="BY44" s="10">
        <f t="shared" si="9"/>
        <v>2.2999999999999687E-3</v>
      </c>
      <c r="BZ44" s="10">
        <f t="shared" si="10"/>
        <v>9.9999999999996749E-4</v>
      </c>
      <c r="CA44" s="10">
        <f t="shared" si="11"/>
        <v>-3.8750000000000728E-3</v>
      </c>
      <c r="CB44" s="10">
        <f t="shared" si="12"/>
        <v>-6.2499999999999774E-4</v>
      </c>
      <c r="CC44" s="10">
        <f t="shared" si="13"/>
        <v>2.2999999999999687E-3</v>
      </c>
      <c r="CD44" s="10">
        <f t="shared" si="14"/>
        <v>-1.9249999999999988E-3</v>
      </c>
      <c r="CE44" s="10">
        <f t="shared" si="15"/>
        <v>3.2750000000000053E-3</v>
      </c>
      <c r="CF44" s="10">
        <f t="shared" si="16"/>
        <v>-6.2499999999999774E-4</v>
      </c>
      <c r="CG44" s="10">
        <f t="shared" si="17"/>
        <v>-3.0000000000003353E-4</v>
      </c>
      <c r="CH44" s="10">
        <f t="shared" si="18"/>
        <v>3.4999999999989483E-4</v>
      </c>
      <c r="CI44" s="10">
        <f t="shared" si="19"/>
        <v>1.0749999999999904E-2</v>
      </c>
      <c r="CJ44" s="10">
        <f t="shared" si="20"/>
        <v>-9.5000000000010625E-4</v>
      </c>
      <c r="CK44" s="10">
        <f t="shared" si="21"/>
        <v>-1.6000000000000346E-3</v>
      </c>
      <c r="CL44" s="10">
        <f t="shared" si="22"/>
        <v>2.9499999999998971E-3</v>
      </c>
      <c r="CM44" s="10">
        <f t="shared" si="23"/>
        <v>-9.5000000000010625E-4</v>
      </c>
      <c r="CN44" s="10">
        <f t="shared" si="24"/>
        <v>9.9999999999996749E-4</v>
      </c>
      <c r="CO44" s="10">
        <f t="shared" si="25"/>
        <v>3.4999999999989483E-4</v>
      </c>
      <c r="CP44" s="10">
        <f t="shared" si="26"/>
        <v>1.6499999999998959E-3</v>
      </c>
      <c r="CQ44" s="10">
        <f t="shared" si="27"/>
        <v>-9.5000000000010625E-4</v>
      </c>
      <c r="CR44" s="10">
        <f t="shared" si="28"/>
        <v>2.9499999999998971E-3</v>
      </c>
      <c r="CS44" s="10">
        <f t="shared" si="29"/>
        <v>1.9750000000000045E-3</v>
      </c>
      <c r="CT44" s="10">
        <f t="shared" si="30"/>
        <v>1.9750000000000045E-3</v>
      </c>
      <c r="CU44" s="10">
        <f t="shared" si="31"/>
        <v>5.2249999999999346E-3</v>
      </c>
      <c r="CV44" s="10">
        <f t="shared" si="32"/>
        <v>1.6499999999998959E-3</v>
      </c>
      <c r="CW44" s="10">
        <f t="shared" si="33"/>
        <v>-1.6000000000000346E-3</v>
      </c>
      <c r="CX44" s="10">
        <f t="shared" si="34"/>
        <v>2.2999999999999687E-3</v>
      </c>
      <c r="CY44" s="10">
        <f t="shared" si="35"/>
        <v>3.4999999999989483E-4</v>
      </c>
      <c r="CZ44" s="10">
        <f t="shared" si="36"/>
        <v>2.2999999999999687E-3</v>
      </c>
      <c r="DA44" s="10">
        <f t="shared" si="37"/>
        <v>-3.0000000000003353E-4</v>
      </c>
      <c r="DB44" s="10">
        <f t="shared" si="38"/>
        <v>-1.6000000000000346E-3</v>
      </c>
      <c r="DC44" s="10">
        <f t="shared" si="39"/>
        <v>-3.225E-3</v>
      </c>
      <c r="DD44" s="10">
        <f t="shared" si="40"/>
        <v>-2.5750000000000716E-3</v>
      </c>
      <c r="DE44" s="10">
        <f t="shared" si="41"/>
        <v>4.249999999999898E-3</v>
      </c>
      <c r="DF44" s="10">
        <f t="shared" si="42"/>
        <v>2.2999999999999687E-3</v>
      </c>
      <c r="DG44" s="10">
        <f t="shared" si="43"/>
        <v>7.1750000000000086E-3</v>
      </c>
      <c r="DH44" s="10">
        <f t="shared" si="44"/>
        <v>1.6499999999998959E-3</v>
      </c>
      <c r="DI44" s="10">
        <f t="shared" si="45"/>
        <v>3.4999999999989483E-4</v>
      </c>
      <c r="DJ44" s="10">
        <f t="shared" si="46"/>
        <v>2.2999999999999687E-3</v>
      </c>
      <c r="DK44" s="10">
        <f t="shared" si="47"/>
        <v>6.7500000000000329E-4</v>
      </c>
      <c r="DL44" s="10">
        <f t="shared" si="48"/>
        <v>-3.225E-3</v>
      </c>
      <c r="DM44" s="10">
        <f t="shared" si="49"/>
        <v>9.9999999999996749E-4</v>
      </c>
      <c r="DN44" s="10">
        <f t="shared" si="50"/>
        <v>1.9750000000000045E-3</v>
      </c>
      <c r="DO44" s="10">
        <f t="shared" si="51"/>
        <v>-9.5000000000010625E-4</v>
      </c>
      <c r="DP44" s="10">
        <f t="shared" si="52"/>
        <v>2.9499999999998971E-3</v>
      </c>
      <c r="DQ44" s="10">
        <f t="shared" si="53"/>
        <v>-1.9249999999999988E-3</v>
      </c>
      <c r="DR44" s="10">
        <f t="shared" si="54"/>
        <v>1.6499999999998959E-3</v>
      </c>
      <c r="DS44" s="10">
        <f t="shared" si="55"/>
        <v>8.4750000000000103E-3</v>
      </c>
      <c r="DT44" s="10">
        <f t="shared" si="56"/>
        <v>-2.9000000000000358E-3</v>
      </c>
      <c r="DU44" s="10">
        <f t="shared" si="57"/>
        <v>2.2999999999999687E-3</v>
      </c>
      <c r="DV44" s="10">
        <f t="shared" si="58"/>
        <v>-2.5750000000000716E-3</v>
      </c>
      <c r="DW44" s="10">
        <f t="shared" si="59"/>
        <v>-1.9249999999999988E-3</v>
      </c>
    </row>
    <row r="45" spans="2:127" x14ac:dyDescent="0.45">
      <c r="B45" s="1">
        <v>24</v>
      </c>
      <c r="C45" s="1">
        <v>540</v>
      </c>
      <c r="D45" s="7">
        <f t="shared" si="60"/>
        <v>3.1648351648351647</v>
      </c>
      <c r="E45" s="1">
        <v>3.15</v>
      </c>
      <c r="F45" s="1">
        <v>3.1659999999999999</v>
      </c>
      <c r="G45" s="1">
        <v>3.1659999999999999</v>
      </c>
      <c r="H45" s="1">
        <v>3.1440000000000001</v>
      </c>
      <c r="I45" s="1">
        <v>3.1619999999999999</v>
      </c>
      <c r="J45" s="1">
        <v>3.1680000000000001</v>
      </c>
      <c r="K45" s="1">
        <v>3.177</v>
      </c>
      <c r="L45" s="1">
        <v>3.1869999999999998</v>
      </c>
      <c r="M45" s="1">
        <v>3.173</v>
      </c>
      <c r="N45" s="1">
        <v>3.173</v>
      </c>
      <c r="O45" s="1">
        <v>3.1669999999999998</v>
      </c>
      <c r="P45" s="1">
        <v>3.1539999999999999</v>
      </c>
      <c r="Q45" s="1">
        <v>3.1629999999999998</v>
      </c>
      <c r="R45" s="1">
        <v>3.173</v>
      </c>
      <c r="S45" s="1">
        <v>3.1589999999999998</v>
      </c>
      <c r="T45" s="1">
        <v>3.1749999999999998</v>
      </c>
      <c r="U45" s="1">
        <v>3.1629999999999998</v>
      </c>
      <c r="V45" s="1">
        <v>3.1640000000000001</v>
      </c>
      <c r="W45" s="1">
        <v>3.1659999999999999</v>
      </c>
      <c r="X45" s="1">
        <v>3.1960000000000002</v>
      </c>
      <c r="Y45" s="1">
        <v>3.1589999999999998</v>
      </c>
      <c r="Z45" s="1">
        <v>3.16</v>
      </c>
      <c r="AA45" s="1">
        <v>3.1739999999999999</v>
      </c>
      <c r="AB45" s="1">
        <v>3.16</v>
      </c>
      <c r="AC45" s="1">
        <v>3.1680000000000001</v>
      </c>
      <c r="AD45" s="1">
        <v>3.1669999999999998</v>
      </c>
      <c r="AE45" s="1">
        <v>3.17</v>
      </c>
      <c r="AF45" s="1">
        <v>3.1619999999999999</v>
      </c>
      <c r="AG45" s="1">
        <v>3.1739999999999999</v>
      </c>
      <c r="AH45" s="1">
        <v>3.1709999999999998</v>
      </c>
      <c r="AI45" s="1">
        <v>3.173</v>
      </c>
      <c r="AJ45" s="1">
        <v>3.1779999999999999</v>
      </c>
      <c r="AK45" s="1">
        <v>3.1680000000000001</v>
      </c>
      <c r="AL45" s="1">
        <v>3.1589999999999998</v>
      </c>
      <c r="AM45" s="1">
        <v>3.1739999999999999</v>
      </c>
      <c r="AN45" s="1">
        <v>3.1659999999999999</v>
      </c>
      <c r="AO45" s="1">
        <v>3.1739999999999999</v>
      </c>
      <c r="AP45" s="1">
        <v>3.1629999999999998</v>
      </c>
      <c r="AQ45" s="1">
        <v>3.1629999999999998</v>
      </c>
      <c r="AR45" s="1">
        <v>3.1560000000000001</v>
      </c>
      <c r="AS45" s="1">
        <v>3.1579999999999999</v>
      </c>
      <c r="AT45" s="1">
        <v>3.1779999999999999</v>
      </c>
      <c r="AU45" s="1">
        <v>3.1749999999999998</v>
      </c>
      <c r="AV45" s="1">
        <v>3.1890000000000001</v>
      </c>
      <c r="AW45" s="1">
        <v>3.1709999999999998</v>
      </c>
      <c r="AX45" s="1">
        <v>3.1669999999999998</v>
      </c>
      <c r="AY45" s="1">
        <v>3.1739999999999999</v>
      </c>
      <c r="AZ45" s="1">
        <v>3.1680000000000001</v>
      </c>
      <c r="BA45" s="1">
        <v>3.1549999999999998</v>
      </c>
      <c r="BB45" s="1">
        <v>3.1669999999999998</v>
      </c>
      <c r="BC45" s="1">
        <v>3.173</v>
      </c>
      <c r="BD45" s="1">
        <v>3.1619999999999999</v>
      </c>
      <c r="BE45" s="1">
        <v>3.173</v>
      </c>
      <c r="BF45" s="1">
        <v>3.1579999999999999</v>
      </c>
      <c r="BG45" s="1">
        <v>3.1680000000000001</v>
      </c>
      <c r="BH45" s="1">
        <v>3.1859999999999999</v>
      </c>
      <c r="BI45" s="1">
        <v>3.1560000000000001</v>
      </c>
      <c r="BJ45" s="1">
        <v>3.173</v>
      </c>
      <c r="BK45" s="1">
        <v>3.1619999999999999</v>
      </c>
      <c r="BL45" s="1">
        <v>3.1560000000000001</v>
      </c>
      <c r="BN45" s="9">
        <v>24</v>
      </c>
      <c r="BO45" s="9">
        <v>540</v>
      </c>
      <c r="BP45" s="10">
        <f t="shared" si="0"/>
        <v>-4.6874999999999833E-3</v>
      </c>
      <c r="BQ45" s="10">
        <f t="shared" si="1"/>
        <v>3.6805555555557669E-4</v>
      </c>
      <c r="BR45" s="10">
        <f t="shared" si="2"/>
        <v>3.6805555555557669E-4</v>
      </c>
      <c r="BS45" s="10">
        <f t="shared" si="3"/>
        <v>-6.5833333333332484E-3</v>
      </c>
      <c r="BT45" s="10">
        <f t="shared" si="4"/>
        <v>-8.9583333333331338E-4</v>
      </c>
      <c r="BU45" s="10">
        <f t="shared" si="5"/>
        <v>1.000000000000092E-3</v>
      </c>
      <c r="BV45" s="10">
        <f t="shared" si="6"/>
        <v>3.8437500000000594E-3</v>
      </c>
      <c r="BW45" s="10">
        <f t="shared" si="7"/>
        <v>7.0034722222222148E-3</v>
      </c>
      <c r="BX45" s="10">
        <f t="shared" si="8"/>
        <v>2.5798611111111694E-3</v>
      </c>
      <c r="BY45" s="10">
        <f t="shared" si="9"/>
        <v>2.5798611111111694E-3</v>
      </c>
      <c r="BZ45" s="10">
        <f t="shared" si="10"/>
        <v>6.8402777777776421E-4</v>
      </c>
      <c r="CA45" s="10">
        <f t="shared" si="11"/>
        <v>-3.4236111111110934E-3</v>
      </c>
      <c r="CB45" s="10">
        <f t="shared" si="12"/>
        <v>-5.7986111111112593E-4</v>
      </c>
      <c r="CC45" s="10">
        <f t="shared" si="13"/>
        <v>2.5798611111111694E-3</v>
      </c>
      <c r="CD45" s="10">
        <f t="shared" si="14"/>
        <v>-1.8437500000000159E-3</v>
      </c>
      <c r="CE45" s="10">
        <f t="shared" si="15"/>
        <v>3.2118055555555441E-3</v>
      </c>
      <c r="CF45" s="10">
        <f t="shared" si="16"/>
        <v>-5.7986111111112593E-4</v>
      </c>
      <c r="CG45" s="10">
        <f t="shared" si="17"/>
        <v>-2.6388888888879817E-4</v>
      </c>
      <c r="CH45" s="10">
        <f t="shared" si="18"/>
        <v>3.6805555555557669E-4</v>
      </c>
      <c r="CI45" s="10">
        <f t="shared" si="19"/>
        <v>9.8472222222223231E-3</v>
      </c>
      <c r="CJ45" s="10">
        <f t="shared" si="20"/>
        <v>-1.8437500000000159E-3</v>
      </c>
      <c r="CK45" s="10">
        <f t="shared" si="21"/>
        <v>-1.5277777777776883E-3</v>
      </c>
      <c r="CL45" s="10">
        <f t="shared" si="22"/>
        <v>2.895833333333357E-3</v>
      </c>
      <c r="CM45" s="10">
        <f t="shared" si="23"/>
        <v>-1.5277777777776883E-3</v>
      </c>
      <c r="CN45" s="10">
        <f t="shared" si="24"/>
        <v>1.000000000000092E-3</v>
      </c>
      <c r="CO45" s="10">
        <f t="shared" si="25"/>
        <v>6.8402777777776421E-4</v>
      </c>
      <c r="CP45" s="10">
        <f t="shared" si="26"/>
        <v>1.6319444444444669E-3</v>
      </c>
      <c r="CQ45" s="10">
        <f t="shared" si="27"/>
        <v>-8.9583333333331338E-4</v>
      </c>
      <c r="CR45" s="10">
        <f t="shared" si="28"/>
        <v>2.895833333333357E-3</v>
      </c>
      <c r="CS45" s="10">
        <f t="shared" si="29"/>
        <v>1.9479166666666542E-3</v>
      </c>
      <c r="CT45" s="10">
        <f t="shared" si="30"/>
        <v>2.5798611111111694E-3</v>
      </c>
      <c r="CU45" s="10">
        <f t="shared" si="31"/>
        <v>4.1597222222222469E-3</v>
      </c>
      <c r="CV45" s="10">
        <f t="shared" si="32"/>
        <v>1.000000000000092E-3</v>
      </c>
      <c r="CW45" s="10">
        <f t="shared" si="33"/>
        <v>-1.8437500000000159E-3</v>
      </c>
      <c r="CX45" s="10">
        <f t="shared" si="34"/>
        <v>2.895833333333357E-3</v>
      </c>
      <c r="CY45" s="10">
        <f t="shared" si="35"/>
        <v>3.6805555555557669E-4</v>
      </c>
      <c r="CZ45" s="10">
        <f t="shared" si="36"/>
        <v>2.895833333333357E-3</v>
      </c>
      <c r="DA45" s="10">
        <f t="shared" si="37"/>
        <v>-5.7986111111112593E-4</v>
      </c>
      <c r="DB45" s="10">
        <f t="shared" si="38"/>
        <v>-5.7986111111112593E-4</v>
      </c>
      <c r="DC45" s="10">
        <f t="shared" si="39"/>
        <v>-2.7916666666665782E-3</v>
      </c>
      <c r="DD45" s="10">
        <f t="shared" si="40"/>
        <v>-2.1597222222222035E-3</v>
      </c>
      <c r="DE45" s="10">
        <f t="shared" si="41"/>
        <v>4.1597222222222469E-3</v>
      </c>
      <c r="DF45" s="10">
        <f t="shared" si="42"/>
        <v>3.2118055555555441E-3</v>
      </c>
      <c r="DG45" s="10">
        <f t="shared" si="43"/>
        <v>7.6354166666667295E-3</v>
      </c>
      <c r="DH45" s="10">
        <f t="shared" si="44"/>
        <v>1.9479166666666542E-3</v>
      </c>
      <c r="DI45" s="10">
        <f t="shared" si="45"/>
        <v>6.8402777777776421E-4</v>
      </c>
      <c r="DJ45" s="10">
        <f t="shared" si="46"/>
        <v>2.895833333333357E-3</v>
      </c>
      <c r="DK45" s="10">
        <f t="shared" si="47"/>
        <v>1.000000000000092E-3</v>
      </c>
      <c r="DL45" s="10">
        <f t="shared" si="48"/>
        <v>-3.1076388888889059E-3</v>
      </c>
      <c r="DM45" s="10">
        <f t="shared" si="49"/>
        <v>6.8402777777776421E-4</v>
      </c>
      <c r="DN45" s="10">
        <f t="shared" si="50"/>
        <v>2.5798611111111694E-3</v>
      </c>
      <c r="DO45" s="10">
        <f t="shared" si="51"/>
        <v>-8.9583333333331338E-4</v>
      </c>
      <c r="DP45" s="10">
        <f t="shared" si="52"/>
        <v>2.5798611111111694E-3</v>
      </c>
      <c r="DQ45" s="10">
        <f t="shared" si="53"/>
        <v>-2.1597222222222035E-3</v>
      </c>
      <c r="DR45" s="10">
        <f t="shared" si="54"/>
        <v>1.000000000000092E-3</v>
      </c>
      <c r="DS45" s="10">
        <f t="shared" si="55"/>
        <v>6.6875000000000268E-3</v>
      </c>
      <c r="DT45" s="10">
        <f t="shared" si="56"/>
        <v>-2.7916666666665782E-3</v>
      </c>
      <c r="DU45" s="10">
        <f t="shared" si="57"/>
        <v>2.5798611111111694E-3</v>
      </c>
      <c r="DV45" s="10">
        <f t="shared" si="58"/>
        <v>-8.9583333333331338E-4</v>
      </c>
      <c r="DW45" s="10">
        <f t="shared" si="59"/>
        <v>-2.7916666666665782E-3</v>
      </c>
    </row>
    <row r="46" spans="2:127" x14ac:dyDescent="0.45">
      <c r="B46" s="1">
        <v>24</v>
      </c>
      <c r="C46" s="1">
        <v>555</v>
      </c>
      <c r="D46" s="7">
        <f t="shared" si="60"/>
        <v>3.2527472527472527</v>
      </c>
      <c r="E46" s="1">
        <v>3.2389999999999999</v>
      </c>
      <c r="F46" s="1">
        <v>3.254</v>
      </c>
      <c r="G46" s="1">
        <v>3.2549999999999999</v>
      </c>
      <c r="H46" s="1">
        <v>3.2320000000000002</v>
      </c>
      <c r="I46" s="1">
        <v>3.2490000000000001</v>
      </c>
      <c r="J46" s="1">
        <v>3.2570000000000001</v>
      </c>
      <c r="K46" s="1">
        <v>3.2650000000000001</v>
      </c>
      <c r="L46" s="1">
        <v>3.28</v>
      </c>
      <c r="M46" s="1">
        <v>3.2589999999999999</v>
      </c>
      <c r="N46" s="1">
        <v>3.2629999999999999</v>
      </c>
      <c r="O46" s="1">
        <v>3.2530000000000001</v>
      </c>
      <c r="P46" s="1">
        <v>3.242</v>
      </c>
      <c r="Q46" s="1">
        <v>3.25</v>
      </c>
      <c r="R46" s="1">
        <v>3.262</v>
      </c>
      <c r="S46" s="1">
        <v>3.2490000000000001</v>
      </c>
      <c r="T46" s="1">
        <v>3.2650000000000001</v>
      </c>
      <c r="U46" s="1">
        <v>3.2530000000000001</v>
      </c>
      <c r="V46" s="1">
        <v>3.2530000000000001</v>
      </c>
      <c r="W46" s="1">
        <v>3.2530000000000001</v>
      </c>
      <c r="X46" s="1">
        <v>3.2890000000000001</v>
      </c>
      <c r="Y46" s="1">
        <v>3.246</v>
      </c>
      <c r="Z46" s="1">
        <v>3.2490000000000001</v>
      </c>
      <c r="AA46" s="1">
        <v>3.262</v>
      </c>
      <c r="AB46" s="1">
        <v>3.2490000000000001</v>
      </c>
      <c r="AC46" s="1">
        <v>3.2549999999999999</v>
      </c>
      <c r="AD46" s="1">
        <v>3.2549999999999999</v>
      </c>
      <c r="AE46" s="1">
        <v>3.258</v>
      </c>
      <c r="AF46" s="1">
        <v>3.2490000000000001</v>
      </c>
      <c r="AG46" s="1">
        <v>3.2610000000000001</v>
      </c>
      <c r="AH46" s="1">
        <v>3.2610000000000001</v>
      </c>
      <c r="AI46" s="1">
        <v>3.262</v>
      </c>
      <c r="AJ46" s="1">
        <v>3.266</v>
      </c>
      <c r="AK46" s="1">
        <v>3.2549999999999999</v>
      </c>
      <c r="AL46" s="1">
        <v>3.2469999999999999</v>
      </c>
      <c r="AM46" s="1">
        <v>3.2610000000000001</v>
      </c>
      <c r="AN46" s="1">
        <v>3.2570000000000001</v>
      </c>
      <c r="AO46" s="1">
        <v>3.262</v>
      </c>
      <c r="AP46" s="1">
        <v>3.25</v>
      </c>
      <c r="AQ46" s="1">
        <v>3.2530000000000001</v>
      </c>
      <c r="AR46" s="1">
        <v>3.246</v>
      </c>
      <c r="AS46" s="1">
        <v>3.2429999999999999</v>
      </c>
      <c r="AT46" s="1">
        <v>3.2690000000000001</v>
      </c>
      <c r="AU46" s="1">
        <v>3.2650000000000001</v>
      </c>
      <c r="AV46" s="1">
        <v>3.2810000000000001</v>
      </c>
      <c r="AW46" s="1">
        <v>3.258</v>
      </c>
      <c r="AX46" s="1">
        <v>3.254</v>
      </c>
      <c r="AY46" s="1">
        <v>3.2610000000000001</v>
      </c>
      <c r="AZ46" s="1">
        <v>3.2570000000000001</v>
      </c>
      <c r="BA46" s="1">
        <v>3.242</v>
      </c>
      <c r="BB46" s="1">
        <v>3.2530000000000001</v>
      </c>
      <c r="BC46" s="1">
        <v>3.2610000000000001</v>
      </c>
      <c r="BD46" s="1">
        <v>3.25</v>
      </c>
      <c r="BE46" s="1">
        <v>3.2589999999999999</v>
      </c>
      <c r="BF46" s="1">
        <v>3.2469999999999999</v>
      </c>
      <c r="BG46" s="1">
        <v>3.2570000000000001</v>
      </c>
      <c r="BH46" s="1">
        <v>3.274</v>
      </c>
      <c r="BI46" s="1">
        <v>3.246</v>
      </c>
      <c r="BJ46" s="1">
        <v>3.2589999999999999</v>
      </c>
      <c r="BK46" s="1">
        <v>3.254</v>
      </c>
      <c r="BL46" s="1">
        <v>3.246</v>
      </c>
      <c r="BN46" s="9">
        <v>24</v>
      </c>
      <c r="BO46" s="9">
        <v>555</v>
      </c>
      <c r="BP46" s="10">
        <f t="shared" si="0"/>
        <v>-4.2263513513513852E-3</v>
      </c>
      <c r="BQ46" s="10">
        <f t="shared" si="1"/>
        <v>3.8513513513513924E-4</v>
      </c>
      <c r="BR46" s="10">
        <f t="shared" si="2"/>
        <v>6.9256756756753783E-4</v>
      </c>
      <c r="BS46" s="10">
        <f t="shared" si="3"/>
        <v>-6.3783783783783118E-3</v>
      </c>
      <c r="BT46" s="10">
        <f t="shared" si="4"/>
        <v>-1.1520270270269902E-3</v>
      </c>
      <c r="BU46" s="10">
        <f t="shared" si="5"/>
        <v>1.3074324324324714E-3</v>
      </c>
      <c r="BV46" s="10">
        <f t="shared" si="6"/>
        <v>3.7668918918919332E-3</v>
      </c>
      <c r="BW46" s="10">
        <f t="shared" si="7"/>
        <v>8.3783783783783206E-3</v>
      </c>
      <c r="BX46" s="10">
        <f t="shared" si="8"/>
        <v>1.9222972972972687E-3</v>
      </c>
      <c r="BY46" s="10">
        <f t="shared" si="9"/>
        <v>3.1520270270269995E-3</v>
      </c>
      <c r="BZ46" s="10">
        <f t="shared" si="10"/>
        <v>7.770270270274065E-5</v>
      </c>
      <c r="CA46" s="10">
        <f t="shared" si="11"/>
        <v>-3.3040540540540532E-3</v>
      </c>
      <c r="CB46" s="10">
        <f t="shared" si="12"/>
        <v>-8.4459459459459161E-4</v>
      </c>
      <c r="CC46" s="10">
        <f t="shared" si="13"/>
        <v>2.8445945945946008E-3</v>
      </c>
      <c r="CD46" s="10">
        <f t="shared" si="14"/>
        <v>-1.1520270270269902E-3</v>
      </c>
      <c r="CE46" s="10">
        <f t="shared" si="15"/>
        <v>3.7668918918919332E-3</v>
      </c>
      <c r="CF46" s="10">
        <f t="shared" si="16"/>
        <v>7.770270270274065E-5</v>
      </c>
      <c r="CG46" s="10">
        <f t="shared" si="17"/>
        <v>7.770270270274065E-5</v>
      </c>
      <c r="CH46" s="10">
        <f t="shared" si="18"/>
        <v>7.770270270274065E-5</v>
      </c>
      <c r="CI46" s="10">
        <f t="shared" si="19"/>
        <v>1.1145270270270319E-2</v>
      </c>
      <c r="CJ46" s="10">
        <f t="shared" si="20"/>
        <v>-2.0743243243243224E-3</v>
      </c>
      <c r="CK46" s="10">
        <f t="shared" si="21"/>
        <v>-1.1520270270269902E-3</v>
      </c>
      <c r="CL46" s="10">
        <f t="shared" si="22"/>
        <v>2.8445945945946008E-3</v>
      </c>
      <c r="CM46" s="10">
        <f t="shared" si="23"/>
        <v>-1.1520270270269902E-3</v>
      </c>
      <c r="CN46" s="10">
        <f t="shared" si="24"/>
        <v>6.9256756756753783E-4</v>
      </c>
      <c r="CO46" s="10">
        <f t="shared" si="25"/>
        <v>6.9256756756753783E-4</v>
      </c>
      <c r="CP46" s="10">
        <f t="shared" si="26"/>
        <v>1.61486486486487E-3</v>
      </c>
      <c r="CQ46" s="10">
        <f t="shared" si="27"/>
        <v>-1.1520270270269902E-3</v>
      </c>
      <c r="CR46" s="10">
        <f t="shared" si="28"/>
        <v>2.5371621621622024E-3</v>
      </c>
      <c r="CS46" s="10">
        <f t="shared" si="29"/>
        <v>2.5371621621622024E-3</v>
      </c>
      <c r="CT46" s="10">
        <f t="shared" si="30"/>
        <v>2.8445945945946008E-3</v>
      </c>
      <c r="CU46" s="10">
        <f t="shared" si="31"/>
        <v>4.074324324324332E-3</v>
      </c>
      <c r="CV46" s="10">
        <f t="shared" si="32"/>
        <v>6.9256756756753783E-4</v>
      </c>
      <c r="CW46" s="10">
        <f t="shared" si="33"/>
        <v>-1.7668918918919238E-3</v>
      </c>
      <c r="CX46" s="10">
        <f t="shared" si="34"/>
        <v>2.5371621621622024E-3</v>
      </c>
      <c r="CY46" s="10">
        <f t="shared" si="35"/>
        <v>1.3074324324324714E-3</v>
      </c>
      <c r="CZ46" s="10">
        <f t="shared" si="36"/>
        <v>2.8445945945946008E-3</v>
      </c>
      <c r="DA46" s="10">
        <f t="shared" si="37"/>
        <v>-8.4459459459459161E-4</v>
      </c>
      <c r="DB46" s="10">
        <f t="shared" si="38"/>
        <v>7.770270270274065E-5</v>
      </c>
      <c r="DC46" s="10">
        <f t="shared" si="39"/>
        <v>-2.0743243243243224E-3</v>
      </c>
      <c r="DD46" s="10">
        <f t="shared" si="40"/>
        <v>-2.9966216216216549E-3</v>
      </c>
      <c r="DE46" s="10">
        <f t="shared" si="41"/>
        <v>4.9966216216216636E-3</v>
      </c>
      <c r="DF46" s="10">
        <f t="shared" si="42"/>
        <v>3.7668918918919332E-3</v>
      </c>
      <c r="DG46" s="10">
        <f t="shared" si="43"/>
        <v>8.6858108108108564E-3</v>
      </c>
      <c r="DH46" s="10">
        <f t="shared" si="44"/>
        <v>1.61486486486487E-3</v>
      </c>
      <c r="DI46" s="10">
        <f t="shared" si="45"/>
        <v>3.8513513513513924E-4</v>
      </c>
      <c r="DJ46" s="10">
        <f t="shared" si="46"/>
        <v>2.5371621621622024E-3</v>
      </c>
      <c r="DK46" s="10">
        <f t="shared" si="47"/>
        <v>1.3074324324324714E-3</v>
      </c>
      <c r="DL46" s="10">
        <f t="shared" si="48"/>
        <v>-3.3040540540540532E-3</v>
      </c>
      <c r="DM46" s="10">
        <f t="shared" si="49"/>
        <v>7.770270270274065E-5</v>
      </c>
      <c r="DN46" s="10">
        <f t="shared" si="50"/>
        <v>2.5371621621622024E-3</v>
      </c>
      <c r="DO46" s="10">
        <f t="shared" si="51"/>
        <v>-8.4459459459459161E-4</v>
      </c>
      <c r="DP46" s="10">
        <f t="shared" si="52"/>
        <v>1.9222972972972687E-3</v>
      </c>
      <c r="DQ46" s="10">
        <f t="shared" si="53"/>
        <v>-1.7668918918919238E-3</v>
      </c>
      <c r="DR46" s="10">
        <f t="shared" si="54"/>
        <v>1.3074324324324714E-3</v>
      </c>
      <c r="DS46" s="10">
        <f t="shared" si="55"/>
        <v>6.5337837837837935E-3</v>
      </c>
      <c r="DT46" s="10">
        <f t="shared" si="56"/>
        <v>-2.0743243243243224E-3</v>
      </c>
      <c r="DU46" s="10">
        <f t="shared" si="57"/>
        <v>1.9222972972972687E-3</v>
      </c>
      <c r="DV46" s="10">
        <f t="shared" si="58"/>
        <v>3.8513513513513924E-4</v>
      </c>
      <c r="DW46" s="10">
        <f t="shared" si="59"/>
        <v>-2.0743243243243224E-3</v>
      </c>
    </row>
    <row r="47" spans="2:127" x14ac:dyDescent="0.45">
      <c r="B47" s="1">
        <v>24</v>
      </c>
      <c r="C47" s="1">
        <v>570</v>
      </c>
      <c r="D47" s="7">
        <f t="shared" si="60"/>
        <v>3.3406593406593408</v>
      </c>
      <c r="E47" s="1">
        <v>3.327</v>
      </c>
      <c r="F47" s="1">
        <v>3.343</v>
      </c>
      <c r="G47" s="1">
        <v>3.3420000000000001</v>
      </c>
      <c r="H47" s="1">
        <v>3.3220000000000001</v>
      </c>
      <c r="I47" s="1">
        <v>3.3380000000000001</v>
      </c>
      <c r="J47" s="1">
        <v>3.3479999999999999</v>
      </c>
      <c r="K47" s="1">
        <v>3.3540000000000001</v>
      </c>
      <c r="L47" s="1">
        <v>3.3639999999999999</v>
      </c>
      <c r="M47" s="1">
        <v>3.3490000000000002</v>
      </c>
      <c r="N47" s="1">
        <v>3.3530000000000002</v>
      </c>
      <c r="O47" s="1">
        <v>3.3410000000000002</v>
      </c>
      <c r="P47" s="1">
        <v>3.331</v>
      </c>
      <c r="Q47" s="1">
        <v>3.3380000000000001</v>
      </c>
      <c r="R47" s="1">
        <v>3.35</v>
      </c>
      <c r="S47" s="1">
        <v>3.3370000000000002</v>
      </c>
      <c r="T47" s="1">
        <v>3.3530000000000002</v>
      </c>
      <c r="U47" s="1">
        <v>3.3380000000000001</v>
      </c>
      <c r="V47" s="1">
        <v>3.3410000000000002</v>
      </c>
      <c r="W47" s="1">
        <v>3.3410000000000002</v>
      </c>
      <c r="X47" s="1">
        <v>3.3759999999999999</v>
      </c>
      <c r="Y47" s="1">
        <v>3.339</v>
      </c>
      <c r="Z47" s="1">
        <v>3.335</v>
      </c>
      <c r="AA47" s="1">
        <v>3.35</v>
      </c>
      <c r="AB47" s="1">
        <v>3.3340000000000001</v>
      </c>
      <c r="AC47" s="1">
        <v>3.3450000000000002</v>
      </c>
      <c r="AD47" s="1">
        <v>3.343</v>
      </c>
      <c r="AE47" s="1">
        <v>3.3460000000000001</v>
      </c>
      <c r="AF47" s="1">
        <v>3.3380000000000001</v>
      </c>
      <c r="AG47" s="1">
        <v>3.3490000000000002</v>
      </c>
      <c r="AH47" s="1">
        <v>3.3490000000000002</v>
      </c>
      <c r="AI47" s="1">
        <v>3.3519999999999999</v>
      </c>
      <c r="AJ47" s="1">
        <v>3.3540000000000001</v>
      </c>
      <c r="AK47" s="1">
        <v>3.3450000000000002</v>
      </c>
      <c r="AL47" s="1">
        <v>3.3340000000000001</v>
      </c>
      <c r="AM47" s="1">
        <v>3.3490000000000002</v>
      </c>
      <c r="AN47" s="1">
        <v>3.343</v>
      </c>
      <c r="AO47" s="1">
        <v>3.3490000000000002</v>
      </c>
      <c r="AP47" s="1">
        <v>3.3410000000000002</v>
      </c>
      <c r="AQ47" s="1">
        <v>3.3410000000000002</v>
      </c>
      <c r="AR47" s="1">
        <v>3.3340000000000001</v>
      </c>
      <c r="AS47" s="1">
        <v>3.331</v>
      </c>
      <c r="AT47" s="1">
        <v>3.3570000000000002</v>
      </c>
      <c r="AU47" s="1">
        <v>3.3519999999999999</v>
      </c>
      <c r="AV47" s="1">
        <v>3.3650000000000002</v>
      </c>
      <c r="AW47" s="1">
        <v>3.3450000000000002</v>
      </c>
      <c r="AX47" s="1">
        <v>3.3410000000000002</v>
      </c>
      <c r="AY47" s="1">
        <v>3.3479999999999999</v>
      </c>
      <c r="AZ47" s="1">
        <v>3.3450000000000002</v>
      </c>
      <c r="BA47" s="1">
        <v>3.33</v>
      </c>
      <c r="BB47" s="1">
        <v>3.343</v>
      </c>
      <c r="BC47" s="1">
        <v>3.35</v>
      </c>
      <c r="BD47" s="1">
        <v>3.3380000000000001</v>
      </c>
      <c r="BE47" s="1">
        <v>3.35</v>
      </c>
      <c r="BF47" s="1">
        <v>3.335</v>
      </c>
      <c r="BG47" s="1">
        <v>3.3490000000000002</v>
      </c>
      <c r="BH47" s="1">
        <v>3.367</v>
      </c>
      <c r="BI47" s="1">
        <v>3.335</v>
      </c>
      <c r="BJ47" s="1">
        <v>3.3460000000000001</v>
      </c>
      <c r="BK47" s="1">
        <v>3.339</v>
      </c>
      <c r="BL47" s="1">
        <v>3.335</v>
      </c>
      <c r="BN47" s="9">
        <v>24</v>
      </c>
      <c r="BO47" s="9">
        <v>570</v>
      </c>
      <c r="BP47" s="10">
        <f t="shared" si="0"/>
        <v>-4.0888157894737338E-3</v>
      </c>
      <c r="BQ47" s="10">
        <f t="shared" si="1"/>
        <v>7.0065789473679706E-4</v>
      </c>
      <c r="BR47" s="10">
        <f t="shared" si="2"/>
        <v>4.0131578947367216E-4</v>
      </c>
      <c r="BS47" s="10">
        <f t="shared" si="3"/>
        <v>-5.5855263157894913E-3</v>
      </c>
      <c r="BT47" s="10">
        <f t="shared" si="4"/>
        <v>-7.9605263157896046E-4</v>
      </c>
      <c r="BU47" s="10">
        <f t="shared" si="5"/>
        <v>2.1973684210525547E-3</v>
      </c>
      <c r="BV47" s="10">
        <f t="shared" si="6"/>
        <v>3.9934210526315697E-3</v>
      </c>
      <c r="BW47" s="10">
        <f t="shared" si="7"/>
        <v>6.9868421052630848E-3</v>
      </c>
      <c r="BX47" s="10">
        <f t="shared" si="8"/>
        <v>2.4967105263158126E-3</v>
      </c>
      <c r="BY47" s="10">
        <f t="shared" si="9"/>
        <v>3.6940789473684449E-3</v>
      </c>
      <c r="BZ47" s="10">
        <f t="shared" si="10"/>
        <v>1.0197368421054722E-4</v>
      </c>
      <c r="CA47" s="10">
        <f t="shared" si="11"/>
        <v>-2.8914473684211006E-3</v>
      </c>
      <c r="CB47" s="10">
        <f t="shared" si="12"/>
        <v>-7.9605263157896046E-4</v>
      </c>
      <c r="CC47" s="10">
        <f t="shared" si="13"/>
        <v>2.7960526315789374E-3</v>
      </c>
      <c r="CD47" s="10">
        <f t="shared" si="14"/>
        <v>-1.0953947368420854E-3</v>
      </c>
      <c r="CE47" s="10">
        <f t="shared" si="15"/>
        <v>3.6940789473684449E-3</v>
      </c>
      <c r="CF47" s="10">
        <f t="shared" si="16"/>
        <v>-7.9605263157896046E-4</v>
      </c>
      <c r="CG47" s="10">
        <f t="shared" si="17"/>
        <v>1.0197368421054722E-4</v>
      </c>
      <c r="CH47" s="10">
        <f t="shared" si="18"/>
        <v>1.0197368421054722E-4</v>
      </c>
      <c r="CI47" s="10">
        <f t="shared" si="19"/>
        <v>1.0578947368420983E-2</v>
      </c>
      <c r="CJ47" s="10">
        <f t="shared" si="20"/>
        <v>-4.9671052631583557E-4</v>
      </c>
      <c r="CK47" s="10">
        <f t="shared" si="21"/>
        <v>-1.6940789473684681E-3</v>
      </c>
      <c r="CL47" s="10">
        <f t="shared" si="22"/>
        <v>2.7960526315789374E-3</v>
      </c>
      <c r="CM47" s="10">
        <f t="shared" si="23"/>
        <v>-1.9934210526315931E-3</v>
      </c>
      <c r="CN47" s="10">
        <f t="shared" si="24"/>
        <v>1.2993421052631799E-3</v>
      </c>
      <c r="CO47" s="10">
        <f t="shared" si="25"/>
        <v>7.0065789473679706E-4</v>
      </c>
      <c r="CP47" s="10">
        <f t="shared" si="26"/>
        <v>1.5986842105263047E-3</v>
      </c>
      <c r="CQ47" s="10">
        <f t="shared" si="27"/>
        <v>-7.9605263157896046E-4</v>
      </c>
      <c r="CR47" s="10">
        <f t="shared" si="28"/>
        <v>2.4967105263158126E-3</v>
      </c>
      <c r="CS47" s="10">
        <f t="shared" si="29"/>
        <v>2.4967105263158126E-3</v>
      </c>
      <c r="CT47" s="10">
        <f t="shared" si="30"/>
        <v>3.394736842105187E-3</v>
      </c>
      <c r="CU47" s="10">
        <f t="shared" si="31"/>
        <v>3.9934210526315697E-3</v>
      </c>
      <c r="CV47" s="10">
        <f t="shared" si="32"/>
        <v>1.2993421052631799E-3</v>
      </c>
      <c r="CW47" s="10">
        <f t="shared" si="33"/>
        <v>-1.9934210526315931E-3</v>
      </c>
      <c r="CX47" s="10">
        <f t="shared" si="34"/>
        <v>2.4967105263158126E-3</v>
      </c>
      <c r="CY47" s="10">
        <f t="shared" si="35"/>
        <v>7.0065789473679706E-4</v>
      </c>
      <c r="CZ47" s="10">
        <f t="shared" si="36"/>
        <v>2.4967105263158126E-3</v>
      </c>
      <c r="DA47" s="10">
        <f t="shared" si="37"/>
        <v>1.0197368421054722E-4</v>
      </c>
      <c r="DB47" s="10">
        <f t="shared" si="38"/>
        <v>1.0197368421054722E-4</v>
      </c>
      <c r="DC47" s="10">
        <f t="shared" si="39"/>
        <v>-1.9934210526315931E-3</v>
      </c>
      <c r="DD47" s="10">
        <f t="shared" si="40"/>
        <v>-2.8914473684211006E-3</v>
      </c>
      <c r="DE47" s="10">
        <f t="shared" si="41"/>
        <v>4.8914473684210777E-3</v>
      </c>
      <c r="DF47" s="10">
        <f t="shared" si="42"/>
        <v>3.394736842105187E-3</v>
      </c>
      <c r="DG47" s="10">
        <f t="shared" si="43"/>
        <v>7.2861842105263431E-3</v>
      </c>
      <c r="DH47" s="10">
        <f t="shared" si="44"/>
        <v>1.2993421052631799E-3</v>
      </c>
      <c r="DI47" s="10">
        <f t="shared" si="45"/>
        <v>1.0197368421054722E-4</v>
      </c>
      <c r="DJ47" s="10">
        <f t="shared" si="46"/>
        <v>2.1973684210525547E-3</v>
      </c>
      <c r="DK47" s="10">
        <f t="shared" si="47"/>
        <v>1.2993421052631799E-3</v>
      </c>
      <c r="DL47" s="10">
        <f t="shared" si="48"/>
        <v>-3.1907894736842258E-3</v>
      </c>
      <c r="DM47" s="10">
        <f t="shared" si="49"/>
        <v>7.0065789473679706E-4</v>
      </c>
      <c r="DN47" s="10">
        <f t="shared" si="50"/>
        <v>2.7960526315789374E-3</v>
      </c>
      <c r="DO47" s="10">
        <f t="shared" si="51"/>
        <v>-7.9605263157896046E-4</v>
      </c>
      <c r="DP47" s="10">
        <f t="shared" si="52"/>
        <v>2.7960526315789374E-3</v>
      </c>
      <c r="DQ47" s="10">
        <f t="shared" si="53"/>
        <v>-1.6940789473684681E-3</v>
      </c>
      <c r="DR47" s="10">
        <f t="shared" si="54"/>
        <v>2.4967105263158126E-3</v>
      </c>
      <c r="DS47" s="10">
        <f t="shared" si="55"/>
        <v>7.8848684210525918E-3</v>
      </c>
      <c r="DT47" s="10">
        <f t="shared" si="56"/>
        <v>-1.6940789473684681E-3</v>
      </c>
      <c r="DU47" s="10">
        <f t="shared" si="57"/>
        <v>1.5986842105263047E-3</v>
      </c>
      <c r="DV47" s="10">
        <f t="shared" si="58"/>
        <v>-4.9671052631583557E-4</v>
      </c>
      <c r="DW47" s="10">
        <f t="shared" si="59"/>
        <v>-1.6940789473684681E-3</v>
      </c>
    </row>
    <row r="48" spans="2:127" x14ac:dyDescent="0.45">
      <c r="B48" s="1">
        <v>24</v>
      </c>
      <c r="C48" s="1">
        <v>585</v>
      </c>
      <c r="D48" s="7">
        <f t="shared" si="60"/>
        <v>3.4285714285714284</v>
      </c>
      <c r="E48" s="1">
        <v>3.4169999999999998</v>
      </c>
      <c r="F48" s="1">
        <v>3.4319999999999999</v>
      </c>
      <c r="G48" s="1">
        <v>3.4279999999999999</v>
      </c>
      <c r="H48" s="1">
        <v>3.41</v>
      </c>
      <c r="I48" s="1">
        <v>3.4260000000000002</v>
      </c>
      <c r="J48" s="1">
        <v>3.4369999999999998</v>
      </c>
      <c r="K48" s="1">
        <v>3.444</v>
      </c>
      <c r="L48" s="1">
        <v>3.4489999999999998</v>
      </c>
      <c r="M48" s="1">
        <v>3.4359999999999999</v>
      </c>
      <c r="N48" s="1">
        <v>3.44</v>
      </c>
      <c r="O48" s="1">
        <v>3.4319999999999999</v>
      </c>
      <c r="P48" s="1">
        <v>3.419</v>
      </c>
      <c r="Q48" s="1">
        <v>3.4260000000000002</v>
      </c>
      <c r="R48" s="1">
        <v>3.4380000000000002</v>
      </c>
      <c r="S48" s="1">
        <v>3.423</v>
      </c>
      <c r="T48" s="1">
        <v>3.4420000000000002</v>
      </c>
      <c r="U48" s="1">
        <v>3.4279999999999999</v>
      </c>
      <c r="V48" s="1">
        <v>3.43</v>
      </c>
      <c r="W48" s="1">
        <v>3.4260000000000002</v>
      </c>
      <c r="X48" s="1">
        <v>3.468</v>
      </c>
      <c r="Y48" s="1">
        <v>3.4220000000000002</v>
      </c>
      <c r="Z48" s="1">
        <v>3.423</v>
      </c>
      <c r="AA48" s="1">
        <v>3.4380000000000002</v>
      </c>
      <c r="AB48" s="1">
        <v>3.4220000000000002</v>
      </c>
      <c r="AC48" s="1">
        <v>3.4340000000000002</v>
      </c>
      <c r="AD48" s="1">
        <v>3.4319999999999999</v>
      </c>
      <c r="AE48" s="1">
        <v>3.4340000000000002</v>
      </c>
      <c r="AF48" s="1">
        <v>3.4289999999999998</v>
      </c>
      <c r="AG48" s="1">
        <v>3.4380000000000002</v>
      </c>
      <c r="AH48" s="1">
        <v>3.4369999999999998</v>
      </c>
      <c r="AI48" s="1">
        <v>3.44</v>
      </c>
      <c r="AJ48" s="1">
        <v>3.444</v>
      </c>
      <c r="AK48" s="1">
        <v>3.43</v>
      </c>
      <c r="AL48" s="1">
        <v>3.4249999999999998</v>
      </c>
      <c r="AM48" s="1">
        <v>3.4369999999999998</v>
      </c>
      <c r="AN48" s="1">
        <v>3.4329999999999998</v>
      </c>
      <c r="AO48" s="1">
        <v>3.4380000000000002</v>
      </c>
      <c r="AP48" s="1">
        <v>3.43</v>
      </c>
      <c r="AQ48" s="1">
        <v>3.43</v>
      </c>
      <c r="AR48" s="1">
        <v>3.4220000000000002</v>
      </c>
      <c r="AS48" s="1">
        <v>3.419</v>
      </c>
      <c r="AT48" s="1">
        <v>3.4470000000000001</v>
      </c>
      <c r="AU48" s="1">
        <v>3.4380000000000002</v>
      </c>
      <c r="AV48" s="1">
        <v>3.4529999999999998</v>
      </c>
      <c r="AW48" s="1">
        <v>3.4319999999999999</v>
      </c>
      <c r="AX48" s="1">
        <v>3.4279999999999999</v>
      </c>
      <c r="AY48" s="1">
        <v>3.4340000000000002</v>
      </c>
      <c r="AZ48" s="1">
        <v>3.4319999999999999</v>
      </c>
      <c r="BA48" s="1">
        <v>3.4180000000000001</v>
      </c>
      <c r="BB48" s="1">
        <v>3.43</v>
      </c>
      <c r="BC48" s="1">
        <v>3.4380000000000002</v>
      </c>
      <c r="BD48" s="1">
        <v>3.4260000000000002</v>
      </c>
      <c r="BE48" s="1">
        <v>3.44</v>
      </c>
      <c r="BF48" s="1">
        <v>3.4249999999999998</v>
      </c>
      <c r="BG48" s="1">
        <v>3.4369999999999998</v>
      </c>
      <c r="BH48" s="1">
        <v>3.448</v>
      </c>
      <c r="BI48" s="1">
        <v>3.423</v>
      </c>
      <c r="BJ48" s="1">
        <v>3.4340000000000002</v>
      </c>
      <c r="BK48" s="1">
        <v>3.4260000000000002</v>
      </c>
      <c r="BL48" s="1">
        <v>3.423</v>
      </c>
      <c r="BN48" s="9">
        <v>24</v>
      </c>
      <c r="BO48" s="9">
        <v>585</v>
      </c>
      <c r="BP48" s="10">
        <f t="shared" si="0"/>
        <v>-3.3749999999999987E-3</v>
      </c>
      <c r="BQ48" s="10">
        <f t="shared" si="1"/>
        <v>1.000000000000038E-3</v>
      </c>
      <c r="BR48" s="10">
        <f t="shared" si="2"/>
        <v>-1.6666666666662983E-4</v>
      </c>
      <c r="BS48" s="10">
        <f t="shared" si="3"/>
        <v>-5.4166666666665697E-3</v>
      </c>
      <c r="BT48" s="10">
        <f t="shared" si="4"/>
        <v>-7.4999999999989897E-4</v>
      </c>
      <c r="BU48" s="10">
        <f t="shared" si="5"/>
        <v>2.4583333333333401E-3</v>
      </c>
      <c r="BV48" s="10">
        <f t="shared" si="6"/>
        <v>4.5000000000000413E-3</v>
      </c>
      <c r="BW48" s="10">
        <f t="shared" si="7"/>
        <v>5.9583333333333433E-3</v>
      </c>
      <c r="BX48" s="10">
        <f t="shared" si="8"/>
        <v>2.1666666666667056E-3</v>
      </c>
      <c r="BY48" s="10">
        <f t="shared" si="9"/>
        <v>3.3333333333333734E-3</v>
      </c>
      <c r="BZ48" s="10">
        <f t="shared" si="10"/>
        <v>1.000000000000038E-3</v>
      </c>
      <c r="CA48" s="10">
        <f t="shared" si="11"/>
        <v>-2.7916666666665999E-3</v>
      </c>
      <c r="CB48" s="10">
        <f t="shared" si="12"/>
        <v>-7.4999999999989897E-4</v>
      </c>
      <c r="CC48" s="10">
        <f t="shared" si="13"/>
        <v>2.7500000000001044E-3</v>
      </c>
      <c r="CD48" s="10">
        <f t="shared" si="14"/>
        <v>-1.6249999999999321E-3</v>
      </c>
      <c r="CE48" s="10">
        <f t="shared" si="15"/>
        <v>3.9166666666667722E-3</v>
      </c>
      <c r="CF48" s="10">
        <f t="shared" si="16"/>
        <v>-1.6666666666662983E-4</v>
      </c>
      <c r="CG48" s="10">
        <f t="shared" si="17"/>
        <v>4.1666666666676883E-4</v>
      </c>
      <c r="CH48" s="10">
        <f t="shared" si="18"/>
        <v>-7.4999999999989897E-4</v>
      </c>
      <c r="CI48" s="10">
        <f t="shared" si="19"/>
        <v>1.1500000000000048E-2</v>
      </c>
      <c r="CJ48" s="10">
        <f t="shared" si="20"/>
        <v>-1.9166666666665666E-3</v>
      </c>
      <c r="CK48" s="10">
        <f t="shared" si="21"/>
        <v>-1.6249999999999321E-3</v>
      </c>
      <c r="CL48" s="10">
        <f t="shared" si="22"/>
        <v>2.7500000000001044E-3</v>
      </c>
      <c r="CM48" s="10">
        <f t="shared" si="23"/>
        <v>-1.9166666666665666E-3</v>
      </c>
      <c r="CN48" s="10">
        <f t="shared" si="24"/>
        <v>1.5833333333334365E-3</v>
      </c>
      <c r="CO48" s="10">
        <f t="shared" si="25"/>
        <v>1.000000000000038E-3</v>
      </c>
      <c r="CP48" s="10">
        <f t="shared" si="26"/>
        <v>1.5833333333334365E-3</v>
      </c>
      <c r="CQ48" s="10">
        <f t="shared" si="27"/>
        <v>1.2500000000000475E-4</v>
      </c>
      <c r="CR48" s="10">
        <f t="shared" si="28"/>
        <v>2.7500000000001044E-3</v>
      </c>
      <c r="CS48" s="10">
        <f t="shared" si="29"/>
        <v>2.4583333333333401E-3</v>
      </c>
      <c r="CT48" s="10">
        <f t="shared" si="30"/>
        <v>3.3333333333333734E-3</v>
      </c>
      <c r="CU48" s="10">
        <f t="shared" si="31"/>
        <v>4.5000000000000413E-3</v>
      </c>
      <c r="CV48" s="10">
        <f t="shared" si="32"/>
        <v>4.1666666666676883E-4</v>
      </c>
      <c r="CW48" s="10">
        <f t="shared" si="33"/>
        <v>-1.041666666666663E-3</v>
      </c>
      <c r="CX48" s="10">
        <f t="shared" si="34"/>
        <v>2.4583333333333401E-3</v>
      </c>
      <c r="CY48" s="10">
        <f t="shared" si="35"/>
        <v>1.2916666666666725E-3</v>
      </c>
      <c r="CZ48" s="10">
        <f t="shared" si="36"/>
        <v>2.7500000000001044E-3</v>
      </c>
      <c r="DA48" s="10">
        <f t="shared" si="37"/>
        <v>4.1666666666676883E-4</v>
      </c>
      <c r="DB48" s="10">
        <f t="shared" si="38"/>
        <v>4.1666666666676883E-4</v>
      </c>
      <c r="DC48" s="10">
        <f t="shared" si="39"/>
        <v>-1.9166666666665666E-3</v>
      </c>
      <c r="DD48" s="10">
        <f t="shared" si="40"/>
        <v>-2.7916666666665999E-3</v>
      </c>
      <c r="DE48" s="10">
        <f t="shared" si="41"/>
        <v>5.3750000000000742E-3</v>
      </c>
      <c r="DF48" s="10">
        <f t="shared" si="42"/>
        <v>2.7500000000001044E-3</v>
      </c>
      <c r="DG48" s="10">
        <f t="shared" si="43"/>
        <v>7.1250000000000115E-3</v>
      </c>
      <c r="DH48" s="10">
        <f t="shared" si="44"/>
        <v>1.000000000000038E-3</v>
      </c>
      <c r="DI48" s="10">
        <f t="shared" si="45"/>
        <v>-1.6666666666662983E-4</v>
      </c>
      <c r="DJ48" s="10">
        <f t="shared" si="46"/>
        <v>1.5833333333334365E-3</v>
      </c>
      <c r="DK48" s="10">
        <f t="shared" si="47"/>
        <v>1.000000000000038E-3</v>
      </c>
      <c r="DL48" s="10">
        <f t="shared" si="48"/>
        <v>-3.0833333333332344E-3</v>
      </c>
      <c r="DM48" s="10">
        <f t="shared" si="49"/>
        <v>4.1666666666676883E-4</v>
      </c>
      <c r="DN48" s="10">
        <f t="shared" si="50"/>
        <v>2.7500000000001044E-3</v>
      </c>
      <c r="DO48" s="10">
        <f t="shared" si="51"/>
        <v>-7.4999999999989897E-4</v>
      </c>
      <c r="DP48" s="10">
        <f t="shared" si="52"/>
        <v>3.3333333333333734E-3</v>
      </c>
      <c r="DQ48" s="10">
        <f t="shared" si="53"/>
        <v>-1.041666666666663E-3</v>
      </c>
      <c r="DR48" s="10">
        <f t="shared" si="54"/>
        <v>2.4583333333333401E-3</v>
      </c>
      <c r="DS48" s="10">
        <f t="shared" si="55"/>
        <v>5.6666666666667087E-3</v>
      </c>
      <c r="DT48" s="10">
        <f t="shared" si="56"/>
        <v>-1.6249999999999321E-3</v>
      </c>
      <c r="DU48" s="10">
        <f t="shared" si="57"/>
        <v>1.5833333333334365E-3</v>
      </c>
      <c r="DV48" s="10">
        <f t="shared" si="58"/>
        <v>-7.4999999999989897E-4</v>
      </c>
      <c r="DW48" s="10">
        <f t="shared" si="59"/>
        <v>-1.6249999999999321E-3</v>
      </c>
    </row>
    <row r="49" spans="2:127" x14ac:dyDescent="0.45">
      <c r="B49" s="1">
        <v>24</v>
      </c>
      <c r="C49" s="1">
        <v>600</v>
      </c>
      <c r="D49" s="7">
        <f t="shared" si="60"/>
        <v>3.5164835164835164</v>
      </c>
      <c r="E49" s="1">
        <v>3.5049999999999999</v>
      </c>
      <c r="F49" s="1">
        <v>3.52</v>
      </c>
      <c r="G49" s="1">
        <v>3.5179999999999998</v>
      </c>
      <c r="H49" s="1">
        <v>3.4980000000000002</v>
      </c>
      <c r="I49" s="1">
        <v>3.5129999999999999</v>
      </c>
      <c r="J49" s="1">
        <v>3.5249999999999999</v>
      </c>
      <c r="K49" s="1">
        <v>3.5329999999999999</v>
      </c>
      <c r="L49" s="1">
        <v>3.5459999999999998</v>
      </c>
      <c r="M49" s="1">
        <v>3.524</v>
      </c>
      <c r="N49" s="1">
        <v>3.5270000000000001</v>
      </c>
      <c r="O49" s="1">
        <v>3.5209999999999999</v>
      </c>
      <c r="P49" s="1">
        <v>3.508</v>
      </c>
      <c r="Q49" s="1">
        <v>3.5129999999999999</v>
      </c>
      <c r="R49" s="1">
        <v>3.5249999999999999</v>
      </c>
      <c r="S49" s="1">
        <v>3.5129999999999999</v>
      </c>
      <c r="T49" s="1">
        <v>3.5310000000000001</v>
      </c>
      <c r="U49" s="1">
        <v>3.5129999999999999</v>
      </c>
      <c r="V49" s="1">
        <v>3.5169999999999999</v>
      </c>
      <c r="W49" s="1">
        <v>3.5139999999999998</v>
      </c>
      <c r="X49" s="1">
        <v>3.556</v>
      </c>
      <c r="Y49" s="1">
        <v>3.51</v>
      </c>
      <c r="Z49" s="1">
        <v>3.512</v>
      </c>
      <c r="AA49" s="1">
        <v>3.5249999999999999</v>
      </c>
      <c r="AB49" s="1">
        <v>3.51</v>
      </c>
      <c r="AC49" s="1">
        <v>3.524</v>
      </c>
      <c r="AD49" s="1">
        <v>3.52</v>
      </c>
      <c r="AE49" s="1">
        <v>3.5230000000000001</v>
      </c>
      <c r="AF49" s="1">
        <v>3.52</v>
      </c>
      <c r="AG49" s="1">
        <v>3.528</v>
      </c>
      <c r="AH49" s="1">
        <v>3.5249999999999999</v>
      </c>
      <c r="AI49" s="1">
        <v>3.5270000000000001</v>
      </c>
      <c r="AJ49" s="1">
        <v>3.5310000000000001</v>
      </c>
      <c r="AK49" s="1">
        <v>3.5179999999999998</v>
      </c>
      <c r="AL49" s="1">
        <v>3.516</v>
      </c>
      <c r="AM49" s="1">
        <v>3.5249999999999999</v>
      </c>
      <c r="AN49" s="1">
        <v>3.5179999999999998</v>
      </c>
      <c r="AO49" s="1">
        <v>3.528</v>
      </c>
      <c r="AP49" s="1">
        <v>3.5179999999999998</v>
      </c>
      <c r="AQ49" s="1">
        <v>3.52</v>
      </c>
      <c r="AR49" s="1">
        <v>3.512</v>
      </c>
      <c r="AS49" s="1">
        <v>3.508</v>
      </c>
      <c r="AT49" s="1">
        <v>3.5350000000000001</v>
      </c>
      <c r="AU49" s="1">
        <v>3.5270000000000001</v>
      </c>
      <c r="AV49" s="1">
        <v>3.5430000000000001</v>
      </c>
      <c r="AW49" s="1">
        <v>3.5179999999999998</v>
      </c>
      <c r="AX49" s="1">
        <v>3.516</v>
      </c>
      <c r="AY49" s="1">
        <v>3.5209999999999999</v>
      </c>
      <c r="AZ49" s="1">
        <v>3.5209999999999999</v>
      </c>
      <c r="BA49" s="1">
        <v>3.5059999999999998</v>
      </c>
      <c r="BB49" s="1">
        <v>3.516</v>
      </c>
      <c r="BC49" s="1">
        <v>3.5270000000000001</v>
      </c>
      <c r="BD49" s="1">
        <v>3.512</v>
      </c>
      <c r="BE49" s="1">
        <v>3.528</v>
      </c>
      <c r="BF49" s="1">
        <v>3.5129999999999999</v>
      </c>
      <c r="BG49" s="1">
        <v>3.524</v>
      </c>
      <c r="BH49" s="1">
        <v>3.5369999999999999</v>
      </c>
      <c r="BI49" s="1">
        <v>3.5129999999999999</v>
      </c>
      <c r="BJ49" s="1">
        <v>3.52</v>
      </c>
      <c r="BK49" s="1">
        <v>3.508</v>
      </c>
      <c r="BL49" s="1">
        <v>3.5129999999999999</v>
      </c>
      <c r="BN49" s="9">
        <v>24</v>
      </c>
      <c r="BO49" s="9">
        <v>600</v>
      </c>
      <c r="BP49" s="10">
        <f t="shared" si="0"/>
        <v>-3.2656250000000137E-3</v>
      </c>
      <c r="BQ49" s="10">
        <f t="shared" si="1"/>
        <v>1.0000000000000217E-3</v>
      </c>
      <c r="BR49" s="10">
        <f t="shared" si="2"/>
        <v>4.3124999999995809E-4</v>
      </c>
      <c r="BS49" s="10">
        <f t="shared" si="3"/>
        <v>-5.2562499999999207E-3</v>
      </c>
      <c r="BT49" s="10">
        <f t="shared" si="4"/>
        <v>-9.9062500000001168E-4</v>
      </c>
      <c r="BU49" s="10">
        <f t="shared" si="5"/>
        <v>2.4218749999999913E-3</v>
      </c>
      <c r="BV49" s="10">
        <f t="shared" si="6"/>
        <v>4.6968749999999936E-3</v>
      </c>
      <c r="BW49" s="10">
        <f t="shared" si="7"/>
        <v>8.3937499999999655E-3</v>
      </c>
      <c r="BX49" s="10">
        <f t="shared" si="8"/>
        <v>2.1375000000000226E-3</v>
      </c>
      <c r="BY49" s="10">
        <f t="shared" si="9"/>
        <v>2.9906250000000553E-3</v>
      </c>
      <c r="BZ49" s="10">
        <f t="shared" si="10"/>
        <v>1.2843749999999904E-3</v>
      </c>
      <c r="CA49" s="10">
        <f t="shared" si="11"/>
        <v>-2.4124999999999815E-3</v>
      </c>
      <c r="CB49" s="10">
        <f t="shared" si="12"/>
        <v>-9.9062500000001168E-4</v>
      </c>
      <c r="CC49" s="10">
        <f t="shared" si="13"/>
        <v>2.4218749999999913E-3</v>
      </c>
      <c r="CD49" s="10">
        <f t="shared" si="14"/>
        <v>-9.9062500000001168E-4</v>
      </c>
      <c r="CE49" s="10">
        <f t="shared" si="15"/>
        <v>4.1281250000000562E-3</v>
      </c>
      <c r="CF49" s="10">
        <f t="shared" si="16"/>
        <v>-9.9062500000001168E-4</v>
      </c>
      <c r="CG49" s="10">
        <f t="shared" si="17"/>
        <v>1.4687499999998938E-4</v>
      </c>
      <c r="CH49" s="10">
        <f t="shared" si="18"/>
        <v>-7.06250000000043E-4</v>
      </c>
      <c r="CI49" s="10">
        <f t="shared" si="19"/>
        <v>1.123750000000003E-2</v>
      </c>
      <c r="CJ49" s="10">
        <f t="shared" si="20"/>
        <v>-1.8437500000000439E-3</v>
      </c>
      <c r="CK49" s="10">
        <f t="shared" si="21"/>
        <v>-1.2749999999999804E-3</v>
      </c>
      <c r="CL49" s="10">
        <f t="shared" si="22"/>
        <v>2.4218749999999913E-3</v>
      </c>
      <c r="CM49" s="10">
        <f t="shared" si="23"/>
        <v>-1.8437500000000439E-3</v>
      </c>
      <c r="CN49" s="10">
        <f t="shared" si="24"/>
        <v>2.1375000000000226E-3</v>
      </c>
      <c r="CO49" s="10">
        <f t="shared" si="25"/>
        <v>1.0000000000000217E-3</v>
      </c>
      <c r="CP49" s="10">
        <f t="shared" si="26"/>
        <v>1.8531250000000542E-3</v>
      </c>
      <c r="CQ49" s="10">
        <f t="shared" si="27"/>
        <v>1.0000000000000217E-3</v>
      </c>
      <c r="CR49" s="10">
        <f t="shared" si="28"/>
        <v>3.275000000000024E-3</v>
      </c>
      <c r="CS49" s="10">
        <f t="shared" si="29"/>
        <v>2.4218749999999913E-3</v>
      </c>
      <c r="CT49" s="10">
        <f t="shared" si="30"/>
        <v>2.9906250000000553E-3</v>
      </c>
      <c r="CU49" s="10">
        <f t="shared" si="31"/>
        <v>4.1281250000000562E-3</v>
      </c>
      <c r="CV49" s="10">
        <f t="shared" si="32"/>
        <v>4.3124999999995809E-4</v>
      </c>
      <c r="CW49" s="10">
        <f t="shared" si="33"/>
        <v>-1.374999999999793E-4</v>
      </c>
      <c r="CX49" s="10">
        <f t="shared" si="34"/>
        <v>2.4218749999999913E-3</v>
      </c>
      <c r="CY49" s="10">
        <f t="shared" si="35"/>
        <v>4.3124999999995809E-4</v>
      </c>
      <c r="CZ49" s="10">
        <f t="shared" si="36"/>
        <v>3.275000000000024E-3</v>
      </c>
      <c r="DA49" s="10">
        <f t="shared" si="37"/>
        <v>4.3124999999995809E-4</v>
      </c>
      <c r="DB49" s="10">
        <f t="shared" si="38"/>
        <v>1.0000000000000217E-3</v>
      </c>
      <c r="DC49" s="10">
        <f t="shared" si="39"/>
        <v>-1.2749999999999804E-3</v>
      </c>
      <c r="DD49" s="10">
        <f t="shared" si="40"/>
        <v>-2.4124999999999815E-3</v>
      </c>
      <c r="DE49" s="10">
        <f t="shared" si="41"/>
        <v>5.2656250000000576E-3</v>
      </c>
      <c r="DF49" s="10">
        <f t="shared" si="42"/>
        <v>2.9906250000000553E-3</v>
      </c>
      <c r="DG49" s="10">
        <f t="shared" si="43"/>
        <v>7.5406250000000594E-3</v>
      </c>
      <c r="DH49" s="10">
        <f t="shared" si="44"/>
        <v>4.3124999999995809E-4</v>
      </c>
      <c r="DI49" s="10">
        <f t="shared" si="45"/>
        <v>-1.374999999999793E-4</v>
      </c>
      <c r="DJ49" s="10">
        <f t="shared" si="46"/>
        <v>1.2843749999999904E-3</v>
      </c>
      <c r="DK49" s="10">
        <f t="shared" si="47"/>
        <v>1.2843749999999904E-3</v>
      </c>
      <c r="DL49" s="10">
        <f t="shared" si="48"/>
        <v>-2.9812500000000451E-3</v>
      </c>
      <c r="DM49" s="10">
        <f t="shared" si="49"/>
        <v>-1.374999999999793E-4</v>
      </c>
      <c r="DN49" s="10">
        <f t="shared" si="50"/>
        <v>2.9906250000000553E-3</v>
      </c>
      <c r="DO49" s="10">
        <f t="shared" si="51"/>
        <v>-1.2749999999999804E-3</v>
      </c>
      <c r="DP49" s="10">
        <f t="shared" si="52"/>
        <v>3.275000000000024E-3</v>
      </c>
      <c r="DQ49" s="10">
        <f t="shared" si="53"/>
        <v>-9.9062500000001168E-4</v>
      </c>
      <c r="DR49" s="10">
        <f t="shared" si="54"/>
        <v>2.1375000000000226E-3</v>
      </c>
      <c r="DS49" s="10">
        <f t="shared" si="55"/>
        <v>5.8343749999999949E-3</v>
      </c>
      <c r="DT49" s="10">
        <f t="shared" si="56"/>
        <v>-9.9062500000001168E-4</v>
      </c>
      <c r="DU49" s="10">
        <f t="shared" si="57"/>
        <v>1.0000000000000217E-3</v>
      </c>
      <c r="DV49" s="10">
        <f t="shared" si="58"/>
        <v>-2.4124999999999815E-3</v>
      </c>
      <c r="DW49" s="10">
        <f t="shared" si="59"/>
        <v>-9.9062500000001168E-4</v>
      </c>
    </row>
    <row r="50" spans="2:127" x14ac:dyDescent="0.45">
      <c r="B50" s="1">
        <v>24</v>
      </c>
      <c r="C50" s="1">
        <v>615</v>
      </c>
      <c r="D50" s="7">
        <f t="shared" si="60"/>
        <v>3.6043956043956045</v>
      </c>
      <c r="E50" s="1">
        <v>3.593</v>
      </c>
      <c r="F50" s="1">
        <v>3.6080000000000001</v>
      </c>
      <c r="G50" s="1">
        <v>3.605</v>
      </c>
      <c r="H50" s="1">
        <v>3.585</v>
      </c>
      <c r="I50" s="1">
        <v>3.601</v>
      </c>
      <c r="J50" s="1">
        <v>3.6150000000000002</v>
      </c>
      <c r="K50" s="1">
        <v>3.6219999999999999</v>
      </c>
      <c r="L50" s="1">
        <v>3.6280000000000001</v>
      </c>
      <c r="M50" s="1">
        <v>3.6120000000000001</v>
      </c>
      <c r="N50" s="1">
        <v>3.6150000000000002</v>
      </c>
      <c r="O50" s="1">
        <v>3.609</v>
      </c>
      <c r="P50" s="1">
        <v>3.5960000000000001</v>
      </c>
      <c r="Q50" s="1">
        <v>3.601</v>
      </c>
      <c r="R50" s="1">
        <v>3.613</v>
      </c>
      <c r="S50" s="1">
        <v>3.6</v>
      </c>
      <c r="T50" s="1">
        <v>3.62</v>
      </c>
      <c r="U50" s="1">
        <v>3.6</v>
      </c>
      <c r="V50" s="1">
        <v>3.605</v>
      </c>
      <c r="W50" s="1">
        <v>3.6040000000000001</v>
      </c>
      <c r="X50" s="1">
        <v>3.6469999999999998</v>
      </c>
      <c r="Y50" s="1">
        <v>3.597</v>
      </c>
      <c r="Z50" s="1">
        <v>3.5979999999999999</v>
      </c>
      <c r="AA50" s="1">
        <v>3.613</v>
      </c>
      <c r="AB50" s="1">
        <v>3.6</v>
      </c>
      <c r="AC50" s="1">
        <v>3.6120000000000001</v>
      </c>
      <c r="AD50" s="1">
        <v>3.6080000000000001</v>
      </c>
      <c r="AE50" s="1">
        <v>3.6120000000000001</v>
      </c>
      <c r="AF50" s="1">
        <v>3.6110000000000002</v>
      </c>
      <c r="AG50" s="1">
        <v>3.617</v>
      </c>
      <c r="AH50" s="1">
        <v>3.6150000000000002</v>
      </c>
      <c r="AI50" s="1">
        <v>3.6150000000000002</v>
      </c>
      <c r="AJ50" s="1">
        <v>3.617</v>
      </c>
      <c r="AK50" s="1">
        <v>3.609</v>
      </c>
      <c r="AL50" s="1">
        <v>3.6030000000000002</v>
      </c>
      <c r="AM50" s="1">
        <v>3.613</v>
      </c>
      <c r="AN50" s="1">
        <v>3.605</v>
      </c>
      <c r="AO50" s="1">
        <v>3.6160000000000001</v>
      </c>
      <c r="AP50" s="1">
        <v>3.6080000000000001</v>
      </c>
      <c r="AQ50" s="1">
        <v>3.609</v>
      </c>
      <c r="AR50" s="1">
        <v>3.6</v>
      </c>
      <c r="AS50" s="1">
        <v>3.5939999999999999</v>
      </c>
      <c r="AT50" s="1">
        <v>3.6230000000000002</v>
      </c>
      <c r="AU50" s="1">
        <v>3.613</v>
      </c>
      <c r="AV50" s="1">
        <v>3.63</v>
      </c>
      <c r="AW50" s="1">
        <v>3.6070000000000002</v>
      </c>
      <c r="AX50" s="1">
        <v>3.6030000000000002</v>
      </c>
      <c r="AY50" s="1">
        <v>3.609</v>
      </c>
      <c r="AZ50" s="1">
        <v>3.609</v>
      </c>
      <c r="BA50" s="1">
        <v>3.593</v>
      </c>
      <c r="BB50" s="1">
        <v>3.605</v>
      </c>
      <c r="BC50" s="1">
        <v>3.613</v>
      </c>
      <c r="BD50" s="1">
        <v>3.5979999999999999</v>
      </c>
      <c r="BE50" s="1">
        <v>3.617</v>
      </c>
      <c r="BF50" s="1">
        <v>3.601</v>
      </c>
      <c r="BG50" s="1">
        <v>3.6070000000000002</v>
      </c>
      <c r="BH50" s="1">
        <v>3.6240000000000001</v>
      </c>
      <c r="BI50" s="1">
        <v>3.601</v>
      </c>
      <c r="BJ50" s="1">
        <v>3.6080000000000001</v>
      </c>
      <c r="BK50" s="1">
        <v>3.601</v>
      </c>
      <c r="BL50" s="1">
        <v>3.6</v>
      </c>
      <c r="BN50" s="9">
        <v>24</v>
      </c>
      <c r="BO50" s="9">
        <v>615</v>
      </c>
      <c r="BP50" s="10">
        <f t="shared" si="0"/>
        <v>-3.1615853658536865E-3</v>
      </c>
      <c r="BQ50" s="10">
        <f t="shared" si="1"/>
        <v>1.0000000000000063E-3</v>
      </c>
      <c r="BR50" s="10">
        <f t="shared" si="2"/>
        <v>1.6768292682924304E-4</v>
      </c>
      <c r="BS50" s="10">
        <f t="shared" si="3"/>
        <v>-5.3810975609756397E-3</v>
      </c>
      <c r="BT50" s="10">
        <f t="shared" si="4"/>
        <v>-9.4207317073173352E-4</v>
      </c>
      <c r="BU50" s="10">
        <f t="shared" si="5"/>
        <v>2.9420731707317459E-3</v>
      </c>
      <c r="BV50" s="10">
        <f t="shared" si="6"/>
        <v>4.8841463414633626E-3</v>
      </c>
      <c r="BW50" s="10">
        <f t="shared" si="7"/>
        <v>6.5487804878048891E-3</v>
      </c>
      <c r="BX50" s="10">
        <f t="shared" si="8"/>
        <v>2.1097560975609827E-3</v>
      </c>
      <c r="BY50" s="10">
        <f t="shared" si="9"/>
        <v>2.9420731707317459E-3</v>
      </c>
      <c r="BZ50" s="10">
        <f t="shared" si="10"/>
        <v>1.2774390243902197E-3</v>
      </c>
      <c r="CA50" s="10">
        <f t="shared" si="11"/>
        <v>-2.3292682926829233E-3</v>
      </c>
      <c r="CB50" s="10">
        <f t="shared" si="12"/>
        <v>-9.4207317073173352E-4</v>
      </c>
      <c r="CC50" s="10">
        <f t="shared" si="13"/>
        <v>2.387195121951196E-3</v>
      </c>
      <c r="CD50" s="10">
        <f t="shared" si="14"/>
        <v>-1.2195121951219469E-3</v>
      </c>
      <c r="CE50" s="10">
        <f t="shared" si="15"/>
        <v>4.3292682926829359E-3</v>
      </c>
      <c r="CF50" s="10">
        <f t="shared" si="16"/>
        <v>-1.2195121951219469E-3</v>
      </c>
      <c r="CG50" s="10">
        <f t="shared" si="17"/>
        <v>1.6768292682924304E-4</v>
      </c>
      <c r="CH50" s="10">
        <f t="shared" si="18"/>
        <v>-1.0975609756097029E-4</v>
      </c>
      <c r="CI50" s="10">
        <f t="shared" si="19"/>
        <v>1.1820121951219436E-2</v>
      </c>
      <c r="CJ50" s="10">
        <f t="shared" si="20"/>
        <v>-2.0518292682927099E-3</v>
      </c>
      <c r="CK50" s="10">
        <f t="shared" si="21"/>
        <v>-1.7743902439024968E-3</v>
      </c>
      <c r="CL50" s="10">
        <f t="shared" si="22"/>
        <v>2.387195121951196E-3</v>
      </c>
      <c r="CM50" s="10">
        <f t="shared" si="23"/>
        <v>-1.2195121951219469E-3</v>
      </c>
      <c r="CN50" s="10">
        <f t="shared" si="24"/>
        <v>2.1097560975609827E-3</v>
      </c>
      <c r="CO50" s="10">
        <f t="shared" si="25"/>
        <v>1.0000000000000063E-3</v>
      </c>
      <c r="CP50" s="10">
        <f t="shared" si="26"/>
        <v>2.1097560975609827E-3</v>
      </c>
      <c r="CQ50" s="10">
        <f t="shared" si="27"/>
        <v>1.8323170731707695E-3</v>
      </c>
      <c r="CR50" s="10">
        <f t="shared" si="28"/>
        <v>3.4969512195121726E-3</v>
      </c>
      <c r="CS50" s="10">
        <f t="shared" si="29"/>
        <v>2.9420731707317459E-3</v>
      </c>
      <c r="CT50" s="10">
        <f t="shared" si="30"/>
        <v>2.9420731707317459E-3</v>
      </c>
      <c r="CU50" s="10">
        <f t="shared" si="31"/>
        <v>3.4969512195121726E-3</v>
      </c>
      <c r="CV50" s="10">
        <f t="shared" si="32"/>
        <v>1.2774390243902197E-3</v>
      </c>
      <c r="CW50" s="10">
        <f t="shared" si="33"/>
        <v>-3.8719512195118364E-4</v>
      </c>
      <c r="CX50" s="10">
        <f t="shared" si="34"/>
        <v>2.387195121951196E-3</v>
      </c>
      <c r="CY50" s="10">
        <f t="shared" si="35"/>
        <v>1.6768292682924304E-4</v>
      </c>
      <c r="CZ50" s="10">
        <f t="shared" si="36"/>
        <v>3.2195121951219593E-3</v>
      </c>
      <c r="DA50" s="10">
        <f t="shared" si="37"/>
        <v>1.0000000000000063E-3</v>
      </c>
      <c r="DB50" s="10">
        <f t="shared" si="38"/>
        <v>1.2774390243902197E-3</v>
      </c>
      <c r="DC50" s="10">
        <f t="shared" si="39"/>
        <v>-1.2195121951219469E-3</v>
      </c>
      <c r="DD50" s="10">
        <f t="shared" si="40"/>
        <v>-2.8841463414634731E-3</v>
      </c>
      <c r="DE50" s="10">
        <f t="shared" si="41"/>
        <v>5.1615853658536996E-3</v>
      </c>
      <c r="DF50" s="10">
        <f t="shared" si="42"/>
        <v>2.387195121951196E-3</v>
      </c>
      <c r="DG50" s="10">
        <f t="shared" si="43"/>
        <v>7.1036585365853158E-3</v>
      </c>
      <c r="DH50" s="10">
        <f t="shared" si="44"/>
        <v>7.2256097560979295E-4</v>
      </c>
      <c r="DI50" s="10">
        <f t="shared" si="45"/>
        <v>-3.8719512195118364E-4</v>
      </c>
      <c r="DJ50" s="10">
        <f t="shared" si="46"/>
        <v>1.2774390243902197E-3</v>
      </c>
      <c r="DK50" s="10">
        <f t="shared" si="47"/>
        <v>1.2774390243902197E-3</v>
      </c>
      <c r="DL50" s="10">
        <f t="shared" si="48"/>
        <v>-3.1615853658536865E-3</v>
      </c>
      <c r="DM50" s="10">
        <f t="shared" si="49"/>
        <v>1.6768292682924304E-4</v>
      </c>
      <c r="DN50" s="10">
        <f t="shared" si="50"/>
        <v>2.387195121951196E-3</v>
      </c>
      <c r="DO50" s="10">
        <f t="shared" si="51"/>
        <v>-1.7743902439024968E-3</v>
      </c>
      <c r="DP50" s="10">
        <f t="shared" si="52"/>
        <v>3.4969512195121726E-3</v>
      </c>
      <c r="DQ50" s="10">
        <f t="shared" si="53"/>
        <v>-9.4207317073173352E-4</v>
      </c>
      <c r="DR50" s="10">
        <f t="shared" si="54"/>
        <v>7.2256097560979295E-4</v>
      </c>
      <c r="DS50" s="10">
        <f t="shared" si="55"/>
        <v>5.4390243902439125E-3</v>
      </c>
      <c r="DT50" s="10">
        <f t="shared" si="56"/>
        <v>-9.4207317073173352E-4</v>
      </c>
      <c r="DU50" s="10">
        <f t="shared" si="57"/>
        <v>1.0000000000000063E-3</v>
      </c>
      <c r="DV50" s="10">
        <f t="shared" si="58"/>
        <v>-9.4207317073173352E-4</v>
      </c>
      <c r="DW50" s="10">
        <f t="shared" si="59"/>
        <v>-1.2195121951219469E-3</v>
      </c>
    </row>
    <row r="51" spans="2:127" x14ac:dyDescent="0.45">
      <c r="B51" s="1">
        <v>24</v>
      </c>
      <c r="C51" s="1">
        <v>630</v>
      </c>
      <c r="D51" s="7">
        <f t="shared" si="60"/>
        <v>3.6923076923076925</v>
      </c>
      <c r="E51" s="1">
        <v>3.681</v>
      </c>
      <c r="F51" s="1">
        <v>3.6960000000000002</v>
      </c>
      <c r="G51" s="1">
        <v>3.6920000000000002</v>
      </c>
      <c r="H51" s="1">
        <v>3.673</v>
      </c>
      <c r="I51" s="1">
        <v>3.6890000000000001</v>
      </c>
      <c r="J51" s="1">
        <v>3.702</v>
      </c>
      <c r="K51" s="1">
        <v>3.71</v>
      </c>
      <c r="L51" s="1">
        <v>3.718</v>
      </c>
      <c r="M51" s="1">
        <v>3.6989999999999998</v>
      </c>
      <c r="N51" s="1">
        <v>3.7029999999999998</v>
      </c>
      <c r="O51" s="1">
        <v>3.6970000000000001</v>
      </c>
      <c r="P51" s="1">
        <v>3.6840000000000002</v>
      </c>
      <c r="Q51" s="1">
        <v>3.6890000000000001</v>
      </c>
      <c r="R51" s="1">
        <v>3.7040000000000002</v>
      </c>
      <c r="S51" s="1">
        <v>3.6869999999999998</v>
      </c>
      <c r="T51" s="1">
        <v>3.7080000000000002</v>
      </c>
      <c r="U51" s="1">
        <v>3.6909999999999998</v>
      </c>
      <c r="V51" s="1">
        <v>3.6930000000000001</v>
      </c>
      <c r="W51" s="1">
        <v>3.6930000000000001</v>
      </c>
      <c r="X51" s="1">
        <v>3.7330000000000001</v>
      </c>
      <c r="Y51" s="1">
        <v>3.6840000000000002</v>
      </c>
      <c r="Z51" s="1">
        <v>3.6850000000000001</v>
      </c>
      <c r="AA51" s="1">
        <v>3.7040000000000002</v>
      </c>
      <c r="AB51" s="1">
        <v>3.6880000000000002</v>
      </c>
      <c r="AC51" s="1">
        <v>3.7</v>
      </c>
      <c r="AD51" s="1">
        <v>3.6960000000000002</v>
      </c>
      <c r="AE51" s="1">
        <v>3.702</v>
      </c>
      <c r="AF51" s="1">
        <v>3.7</v>
      </c>
      <c r="AG51" s="1">
        <v>3.7069999999999999</v>
      </c>
      <c r="AH51" s="1">
        <v>3.702</v>
      </c>
      <c r="AI51" s="1">
        <v>3.702</v>
      </c>
      <c r="AJ51" s="1">
        <v>3.7040000000000002</v>
      </c>
      <c r="AK51" s="1">
        <v>3.6970000000000001</v>
      </c>
      <c r="AL51" s="1">
        <v>3.6920000000000002</v>
      </c>
      <c r="AM51" s="1">
        <v>3.7</v>
      </c>
      <c r="AN51" s="1">
        <v>3.6909999999999998</v>
      </c>
      <c r="AO51" s="1">
        <v>3.7040000000000002</v>
      </c>
      <c r="AP51" s="1">
        <v>3.6960000000000002</v>
      </c>
      <c r="AQ51" s="1">
        <v>3.6989999999999998</v>
      </c>
      <c r="AR51" s="1">
        <v>3.6880000000000002</v>
      </c>
      <c r="AS51" s="1">
        <v>3.6829999999999998</v>
      </c>
      <c r="AT51" s="1">
        <v>3.7109999999999999</v>
      </c>
      <c r="AU51" s="1">
        <v>3.702</v>
      </c>
      <c r="AV51" s="1">
        <v>3.7149999999999999</v>
      </c>
      <c r="AW51" s="1">
        <v>3.6930000000000001</v>
      </c>
      <c r="AX51" s="1">
        <v>3.6890000000000001</v>
      </c>
      <c r="AY51" s="1">
        <v>3.7</v>
      </c>
      <c r="AZ51" s="1">
        <v>3.6960000000000002</v>
      </c>
      <c r="BA51" s="1">
        <v>3.6829999999999998</v>
      </c>
      <c r="BB51" s="1">
        <v>3.6920000000000002</v>
      </c>
      <c r="BC51" s="1">
        <v>3.7029999999999998</v>
      </c>
      <c r="BD51" s="1">
        <v>3.6880000000000002</v>
      </c>
      <c r="BE51" s="1">
        <v>3.706</v>
      </c>
      <c r="BF51" s="1">
        <v>3.6880000000000002</v>
      </c>
      <c r="BG51" s="1">
        <v>3.6960000000000002</v>
      </c>
      <c r="BH51" s="1">
        <v>3.714</v>
      </c>
      <c r="BI51" s="1">
        <v>3.6880000000000002</v>
      </c>
      <c r="BJ51" s="1">
        <v>3.6960000000000002</v>
      </c>
      <c r="BK51" s="1">
        <v>3.6869999999999998</v>
      </c>
      <c r="BL51" s="1">
        <v>3.6880000000000002</v>
      </c>
      <c r="BN51" s="9">
        <v>24</v>
      </c>
      <c r="BO51" s="9">
        <v>630</v>
      </c>
      <c r="BP51" s="10">
        <f t="shared" si="0"/>
        <v>-3.0625000000000418E-3</v>
      </c>
      <c r="BQ51" s="10">
        <f t="shared" si="1"/>
        <v>9.9999999999999156E-4</v>
      </c>
      <c r="BR51" s="10">
        <f t="shared" si="2"/>
        <v>-8.3333333333342655E-5</v>
      </c>
      <c r="BS51" s="10">
        <f t="shared" si="3"/>
        <v>-5.2291666666667101E-3</v>
      </c>
      <c r="BT51" s="10">
        <f t="shared" si="4"/>
        <v>-8.9583333333337345E-4</v>
      </c>
      <c r="BU51" s="10">
        <f t="shared" si="5"/>
        <v>2.6249999999999329E-3</v>
      </c>
      <c r="BV51" s="10">
        <f t="shared" si="6"/>
        <v>4.7916666666666012E-3</v>
      </c>
      <c r="BW51" s="10">
        <f t="shared" si="7"/>
        <v>6.9583333333332695E-3</v>
      </c>
      <c r="BX51" s="10">
        <f t="shared" si="8"/>
        <v>1.8124999999999021E-3</v>
      </c>
      <c r="BY51" s="10">
        <f t="shared" si="9"/>
        <v>2.8958333333332364E-3</v>
      </c>
      <c r="BZ51" s="10">
        <f t="shared" si="10"/>
        <v>1.2708333333332951E-3</v>
      </c>
      <c r="CA51" s="10">
        <f t="shared" si="11"/>
        <v>-2.2500000000000111E-3</v>
      </c>
      <c r="CB51" s="10">
        <f t="shared" si="12"/>
        <v>-8.9583333333337345E-4</v>
      </c>
      <c r="CC51" s="10">
        <f t="shared" si="13"/>
        <v>3.1666666666666601E-3</v>
      </c>
      <c r="CD51" s="10">
        <f t="shared" si="14"/>
        <v>-1.4375000000001006E-3</v>
      </c>
      <c r="CE51" s="10">
        <f t="shared" si="15"/>
        <v>4.2499999999999942E-3</v>
      </c>
      <c r="CF51" s="10">
        <f t="shared" si="16"/>
        <v>-3.5416666666676644E-4</v>
      </c>
      <c r="CG51" s="10">
        <f t="shared" si="17"/>
        <v>1.8749999999996084E-4</v>
      </c>
      <c r="CH51" s="10">
        <f t="shared" si="18"/>
        <v>1.8749999999996084E-4</v>
      </c>
      <c r="CI51" s="10">
        <f t="shared" si="19"/>
        <v>1.1020833333333303E-2</v>
      </c>
      <c r="CJ51" s="10">
        <f t="shared" si="20"/>
        <v>-2.2500000000000111E-3</v>
      </c>
      <c r="CK51" s="10">
        <f t="shared" si="21"/>
        <v>-1.9791666666667076E-3</v>
      </c>
      <c r="CL51" s="10">
        <f t="shared" si="22"/>
        <v>3.1666666666666601E-3</v>
      </c>
      <c r="CM51" s="10">
        <f t="shared" si="23"/>
        <v>-1.166666666666677E-3</v>
      </c>
      <c r="CN51" s="10">
        <f t="shared" si="24"/>
        <v>2.0833333333333259E-3</v>
      </c>
      <c r="CO51" s="10">
        <f t="shared" si="25"/>
        <v>9.9999999999999156E-4</v>
      </c>
      <c r="CP51" s="10">
        <f t="shared" si="26"/>
        <v>2.6249999999999329E-3</v>
      </c>
      <c r="CQ51" s="10">
        <f t="shared" si="27"/>
        <v>2.0833333333333259E-3</v>
      </c>
      <c r="CR51" s="10">
        <f t="shared" si="28"/>
        <v>3.9791666666665702E-3</v>
      </c>
      <c r="CS51" s="10">
        <f t="shared" si="29"/>
        <v>2.6249999999999329E-3</v>
      </c>
      <c r="CT51" s="10">
        <f t="shared" si="30"/>
        <v>2.6249999999999329E-3</v>
      </c>
      <c r="CU51" s="10">
        <f t="shared" si="31"/>
        <v>3.1666666666666601E-3</v>
      </c>
      <c r="CV51" s="10">
        <f t="shared" si="32"/>
        <v>1.2708333333332951E-3</v>
      </c>
      <c r="CW51" s="10">
        <f t="shared" si="33"/>
        <v>-8.3333333333342655E-5</v>
      </c>
      <c r="CX51" s="10">
        <f t="shared" si="34"/>
        <v>2.0833333333333259E-3</v>
      </c>
      <c r="CY51" s="10">
        <f t="shared" si="35"/>
        <v>-3.5416666666676644E-4</v>
      </c>
      <c r="CZ51" s="10">
        <f t="shared" si="36"/>
        <v>3.1666666666666601E-3</v>
      </c>
      <c r="DA51" s="10">
        <f t="shared" si="37"/>
        <v>9.9999999999999156E-4</v>
      </c>
      <c r="DB51" s="10">
        <f t="shared" si="38"/>
        <v>1.8124999999999021E-3</v>
      </c>
      <c r="DC51" s="10">
        <f t="shared" si="39"/>
        <v>-1.166666666666677E-3</v>
      </c>
      <c r="DD51" s="10">
        <f t="shared" si="40"/>
        <v>-2.5208333333334347E-3</v>
      </c>
      <c r="DE51" s="10">
        <f t="shared" si="41"/>
        <v>5.0624999999999047E-3</v>
      </c>
      <c r="DF51" s="10">
        <f t="shared" si="42"/>
        <v>2.6249999999999329E-3</v>
      </c>
      <c r="DG51" s="10">
        <f t="shared" si="43"/>
        <v>6.1458333333332393E-3</v>
      </c>
      <c r="DH51" s="10">
        <f t="shared" si="44"/>
        <v>1.8749999999996084E-4</v>
      </c>
      <c r="DI51" s="10">
        <f t="shared" si="45"/>
        <v>-8.9583333333337345E-4</v>
      </c>
      <c r="DJ51" s="10">
        <f t="shared" si="46"/>
        <v>2.0833333333333259E-3</v>
      </c>
      <c r="DK51" s="10">
        <f t="shared" si="47"/>
        <v>9.9999999999999156E-4</v>
      </c>
      <c r="DL51" s="10">
        <f t="shared" si="48"/>
        <v>-2.5208333333334347E-3</v>
      </c>
      <c r="DM51" s="10">
        <f t="shared" si="49"/>
        <v>-8.3333333333342655E-5</v>
      </c>
      <c r="DN51" s="10">
        <f t="shared" si="50"/>
        <v>2.8958333333332364E-3</v>
      </c>
      <c r="DO51" s="10">
        <f t="shared" si="51"/>
        <v>-1.166666666666677E-3</v>
      </c>
      <c r="DP51" s="10">
        <f t="shared" si="52"/>
        <v>3.7083333333332671E-3</v>
      </c>
      <c r="DQ51" s="10">
        <f t="shared" si="53"/>
        <v>-1.166666666666677E-3</v>
      </c>
      <c r="DR51" s="10">
        <f t="shared" si="54"/>
        <v>9.9999999999999156E-4</v>
      </c>
      <c r="DS51" s="10">
        <f t="shared" si="55"/>
        <v>5.8749999999999358E-3</v>
      </c>
      <c r="DT51" s="10">
        <f t="shared" si="56"/>
        <v>-1.166666666666677E-3</v>
      </c>
      <c r="DU51" s="10">
        <f t="shared" si="57"/>
        <v>9.9999999999999156E-4</v>
      </c>
      <c r="DV51" s="10">
        <f t="shared" si="58"/>
        <v>-1.4375000000001006E-3</v>
      </c>
      <c r="DW51" s="10">
        <f t="shared" si="59"/>
        <v>-1.166666666666677E-3</v>
      </c>
    </row>
    <row r="52" spans="2:127" x14ac:dyDescent="0.45">
      <c r="B52" s="1">
        <v>24</v>
      </c>
      <c r="C52" s="1">
        <v>645</v>
      </c>
      <c r="D52" s="7">
        <f t="shared" si="60"/>
        <v>3.7802197802197801</v>
      </c>
      <c r="E52" s="1">
        <v>3.7679999999999998</v>
      </c>
      <c r="F52" s="1">
        <v>3.7839999999999998</v>
      </c>
      <c r="G52" s="1">
        <v>3.7789999999999999</v>
      </c>
      <c r="H52" s="1">
        <v>3.7589999999999999</v>
      </c>
      <c r="I52" s="1">
        <v>3.778</v>
      </c>
      <c r="J52" s="1">
        <v>3.79</v>
      </c>
      <c r="K52" s="1">
        <v>3.798</v>
      </c>
      <c r="L52" s="1">
        <v>3.8069999999999999</v>
      </c>
      <c r="M52" s="1">
        <v>3.7879999999999998</v>
      </c>
      <c r="N52" s="1">
        <v>3.7909999999999999</v>
      </c>
      <c r="O52" s="1">
        <v>3.7869999999999999</v>
      </c>
      <c r="P52" s="1">
        <v>3.7709999999999999</v>
      </c>
      <c r="Q52" s="1">
        <v>3.7749999999999999</v>
      </c>
      <c r="R52" s="1">
        <v>3.794</v>
      </c>
      <c r="S52" s="1">
        <v>3.7709999999999999</v>
      </c>
      <c r="T52" s="1">
        <v>3.7949999999999999</v>
      </c>
      <c r="U52" s="1">
        <v>3.782</v>
      </c>
      <c r="V52" s="1">
        <v>3.78</v>
      </c>
      <c r="W52" s="1">
        <v>3.782</v>
      </c>
      <c r="X52" s="1">
        <v>3.8220000000000001</v>
      </c>
      <c r="Y52" s="1">
        <v>3.7709999999999999</v>
      </c>
      <c r="Z52" s="1">
        <v>3.7749999999999999</v>
      </c>
      <c r="AA52" s="1">
        <v>3.7919999999999998</v>
      </c>
      <c r="AB52" s="1">
        <v>3.7749999999999999</v>
      </c>
      <c r="AC52" s="1">
        <v>3.7879999999999998</v>
      </c>
      <c r="AD52" s="1">
        <v>3.7829999999999999</v>
      </c>
      <c r="AE52" s="1">
        <v>3.7879999999999998</v>
      </c>
      <c r="AF52" s="1">
        <v>3.79</v>
      </c>
      <c r="AG52" s="1">
        <v>3.7949999999999999</v>
      </c>
      <c r="AH52" s="1">
        <v>3.79</v>
      </c>
      <c r="AI52" s="1">
        <v>3.79</v>
      </c>
      <c r="AJ52" s="1">
        <v>3.7909999999999999</v>
      </c>
      <c r="AK52" s="1">
        <v>3.7839999999999998</v>
      </c>
      <c r="AL52" s="1">
        <v>3.782</v>
      </c>
      <c r="AM52" s="1">
        <v>3.7879999999999998</v>
      </c>
      <c r="AN52" s="1">
        <v>3.7789999999999999</v>
      </c>
      <c r="AO52" s="1">
        <v>3.7909999999999999</v>
      </c>
      <c r="AP52" s="1">
        <v>3.7839999999999998</v>
      </c>
      <c r="AQ52" s="1">
        <v>3.7839999999999998</v>
      </c>
      <c r="AR52" s="1">
        <v>3.7749999999999999</v>
      </c>
      <c r="AS52" s="1">
        <v>3.7690000000000001</v>
      </c>
      <c r="AT52" s="1">
        <v>3.7989999999999999</v>
      </c>
      <c r="AU52" s="1">
        <v>3.7869999999999999</v>
      </c>
      <c r="AV52" s="1">
        <v>3.802</v>
      </c>
      <c r="AW52" s="1">
        <v>3.782</v>
      </c>
      <c r="AX52" s="1">
        <v>3.78</v>
      </c>
      <c r="AY52" s="1">
        <v>3.7869999999999999</v>
      </c>
      <c r="AZ52" s="1">
        <v>3.786</v>
      </c>
      <c r="BA52" s="1">
        <v>3.7690000000000001</v>
      </c>
      <c r="BB52" s="1">
        <v>3.782</v>
      </c>
      <c r="BC52" s="1">
        <v>3.7919999999999998</v>
      </c>
      <c r="BD52" s="1">
        <v>3.778</v>
      </c>
      <c r="BE52" s="1">
        <v>3.794</v>
      </c>
      <c r="BF52" s="1">
        <v>3.7749999999999999</v>
      </c>
      <c r="BG52" s="1">
        <v>3.7839999999999998</v>
      </c>
      <c r="BH52" s="1">
        <v>3.8010000000000002</v>
      </c>
      <c r="BI52" s="1">
        <v>3.778</v>
      </c>
      <c r="BJ52" s="1">
        <v>3.7839999999999998</v>
      </c>
      <c r="BK52" s="1">
        <v>3.7690000000000001</v>
      </c>
      <c r="BL52" s="1">
        <v>3.7749999999999999</v>
      </c>
      <c r="BN52" s="9">
        <v>24</v>
      </c>
      <c r="BO52" s="9">
        <v>645</v>
      </c>
      <c r="BP52" s="10">
        <f t="shared" si="0"/>
        <v>-3.2325581395349101E-3</v>
      </c>
      <c r="BQ52" s="10">
        <f t="shared" si="1"/>
        <v>9.9999999999997769E-4</v>
      </c>
      <c r="BR52" s="10">
        <f t="shared" si="2"/>
        <v>-3.2267441860464531E-4</v>
      </c>
      <c r="BS52" s="10">
        <f t="shared" si="3"/>
        <v>-5.6133720930232551E-3</v>
      </c>
      <c r="BT52" s="10">
        <f t="shared" si="4"/>
        <v>-5.8720930232554643E-4</v>
      </c>
      <c r="BU52" s="10">
        <f t="shared" si="5"/>
        <v>2.5872093023256194E-3</v>
      </c>
      <c r="BV52" s="10">
        <f t="shared" si="6"/>
        <v>4.7034883720930634E-3</v>
      </c>
      <c r="BW52" s="10">
        <f t="shared" si="7"/>
        <v>7.084302325581408E-3</v>
      </c>
      <c r="BX52" s="10">
        <f t="shared" si="8"/>
        <v>2.0581395348836995E-3</v>
      </c>
      <c r="BY52" s="10">
        <f t="shared" si="9"/>
        <v>2.8517441860465204E-3</v>
      </c>
      <c r="BZ52" s="10">
        <f t="shared" si="10"/>
        <v>1.7936046511627985E-3</v>
      </c>
      <c r="CA52" s="10">
        <f t="shared" si="11"/>
        <v>-2.4389534883720891E-3</v>
      </c>
      <c r="CB52" s="10">
        <f t="shared" si="12"/>
        <v>-1.3808139534883673E-3</v>
      </c>
      <c r="CC52" s="10">
        <f t="shared" si="13"/>
        <v>3.645348837209341E-3</v>
      </c>
      <c r="CD52" s="10">
        <f t="shared" si="14"/>
        <v>-2.4389534883720891E-3</v>
      </c>
      <c r="CE52" s="10">
        <f t="shared" si="15"/>
        <v>3.909883720930242E-3</v>
      </c>
      <c r="CF52" s="10">
        <f t="shared" si="16"/>
        <v>4.7093023255817545E-4</v>
      </c>
      <c r="CG52" s="10">
        <f t="shared" si="17"/>
        <v>-5.8139534883744224E-5</v>
      </c>
      <c r="CH52" s="10">
        <f t="shared" si="18"/>
        <v>4.7093023255817545E-4</v>
      </c>
      <c r="CI52" s="10">
        <f t="shared" si="19"/>
        <v>1.1052325581395394E-2</v>
      </c>
      <c r="CJ52" s="10">
        <f t="shared" si="20"/>
        <v>-2.4389534883720891E-3</v>
      </c>
      <c r="CK52" s="10">
        <f t="shared" si="21"/>
        <v>-1.3808139534883673E-3</v>
      </c>
      <c r="CL52" s="10">
        <f t="shared" si="22"/>
        <v>3.1162790697674215E-3</v>
      </c>
      <c r="CM52" s="10">
        <f t="shared" si="23"/>
        <v>-1.3808139534883673E-3</v>
      </c>
      <c r="CN52" s="10">
        <f t="shared" si="24"/>
        <v>2.0581395348836995E-3</v>
      </c>
      <c r="CO52" s="10">
        <f t="shared" si="25"/>
        <v>7.3546511627907657E-4</v>
      </c>
      <c r="CP52" s="10">
        <f t="shared" si="26"/>
        <v>2.0581395348836995E-3</v>
      </c>
      <c r="CQ52" s="10">
        <f t="shared" si="27"/>
        <v>2.5872093023256194E-3</v>
      </c>
      <c r="CR52" s="10">
        <f t="shared" si="28"/>
        <v>3.909883720930242E-3</v>
      </c>
      <c r="CS52" s="10">
        <f t="shared" si="29"/>
        <v>2.5872093023256194E-3</v>
      </c>
      <c r="CT52" s="10">
        <f t="shared" si="30"/>
        <v>2.5872093023256194E-3</v>
      </c>
      <c r="CU52" s="10">
        <f t="shared" si="31"/>
        <v>2.8517441860465204E-3</v>
      </c>
      <c r="CV52" s="10">
        <f t="shared" si="32"/>
        <v>9.9999999999997769E-4</v>
      </c>
      <c r="CW52" s="10">
        <f t="shared" si="33"/>
        <v>4.7093023255817545E-4</v>
      </c>
      <c r="CX52" s="10">
        <f t="shared" si="34"/>
        <v>2.0581395348836995E-3</v>
      </c>
      <c r="CY52" s="10">
        <f t="shared" si="35"/>
        <v>-3.2267441860464531E-4</v>
      </c>
      <c r="CZ52" s="10">
        <f t="shared" si="36"/>
        <v>2.8517441860465204E-3</v>
      </c>
      <c r="DA52" s="10">
        <f t="shared" si="37"/>
        <v>9.9999999999997769E-4</v>
      </c>
      <c r="DB52" s="10">
        <f t="shared" si="38"/>
        <v>9.9999999999997769E-4</v>
      </c>
      <c r="DC52" s="10">
        <f t="shared" si="39"/>
        <v>-1.3808139534883673E-3</v>
      </c>
      <c r="DD52" s="10">
        <f t="shared" si="40"/>
        <v>-2.9680232558138915E-3</v>
      </c>
      <c r="DE52" s="10">
        <f t="shared" si="41"/>
        <v>4.968023255813964E-3</v>
      </c>
      <c r="DF52" s="10">
        <f t="shared" si="42"/>
        <v>1.7936046511627985E-3</v>
      </c>
      <c r="DG52" s="10">
        <f t="shared" si="43"/>
        <v>5.7616279069767845E-3</v>
      </c>
      <c r="DH52" s="10">
        <f t="shared" si="44"/>
        <v>4.7093023255817545E-4</v>
      </c>
      <c r="DI52" s="10">
        <f t="shared" si="45"/>
        <v>-5.8139534883744224E-5</v>
      </c>
      <c r="DJ52" s="10">
        <f t="shared" si="46"/>
        <v>1.7936046511627985E-3</v>
      </c>
      <c r="DK52" s="10">
        <f t="shared" si="47"/>
        <v>1.5290697674418974E-3</v>
      </c>
      <c r="DL52" s="10">
        <f t="shared" si="48"/>
        <v>-2.9680232558138915E-3</v>
      </c>
      <c r="DM52" s="10">
        <f t="shared" si="49"/>
        <v>4.7093023255817545E-4</v>
      </c>
      <c r="DN52" s="10">
        <f t="shared" si="50"/>
        <v>3.1162790697674215E-3</v>
      </c>
      <c r="DO52" s="10">
        <f t="shared" si="51"/>
        <v>-5.8720930232554643E-4</v>
      </c>
      <c r="DP52" s="10">
        <f t="shared" si="52"/>
        <v>3.645348837209341E-3</v>
      </c>
      <c r="DQ52" s="10">
        <f t="shared" si="53"/>
        <v>-1.3808139534883673E-3</v>
      </c>
      <c r="DR52" s="10">
        <f t="shared" si="54"/>
        <v>9.9999999999997769E-4</v>
      </c>
      <c r="DS52" s="10">
        <f t="shared" si="55"/>
        <v>5.497093023255884E-3</v>
      </c>
      <c r="DT52" s="10">
        <f t="shared" si="56"/>
        <v>-5.8720930232554643E-4</v>
      </c>
      <c r="DU52" s="10">
        <f t="shared" si="57"/>
        <v>9.9999999999997769E-4</v>
      </c>
      <c r="DV52" s="10">
        <f t="shared" si="58"/>
        <v>-2.9680232558138915E-3</v>
      </c>
      <c r="DW52" s="10">
        <f t="shared" si="59"/>
        <v>-1.3808139534883673E-3</v>
      </c>
    </row>
    <row r="53" spans="2:127" x14ac:dyDescent="0.45">
      <c r="B53" s="1">
        <v>24</v>
      </c>
      <c r="C53" s="1">
        <v>660</v>
      </c>
      <c r="D53" s="7">
        <f t="shared" si="60"/>
        <v>3.8681318681318682</v>
      </c>
      <c r="E53" s="1">
        <v>3.855</v>
      </c>
      <c r="F53" s="1">
        <v>3.8719999999999999</v>
      </c>
      <c r="G53" s="1">
        <v>3.8639999999999999</v>
      </c>
      <c r="H53" s="1">
        <v>3.8450000000000002</v>
      </c>
      <c r="I53" s="1">
        <v>3.8660000000000001</v>
      </c>
      <c r="J53" s="1">
        <v>3.8780000000000001</v>
      </c>
      <c r="K53" s="1">
        <v>3.8860000000000001</v>
      </c>
      <c r="L53" s="1">
        <v>3.8980000000000001</v>
      </c>
      <c r="M53" s="1">
        <v>3.879</v>
      </c>
      <c r="N53" s="1">
        <v>3.8809999999999998</v>
      </c>
      <c r="O53" s="1">
        <v>3.8740000000000001</v>
      </c>
      <c r="P53" s="1">
        <v>3.8580000000000001</v>
      </c>
      <c r="Q53" s="1">
        <v>3.86</v>
      </c>
      <c r="R53" s="1">
        <v>3.8820000000000001</v>
      </c>
      <c r="S53" s="1">
        <v>3.859</v>
      </c>
      <c r="T53" s="1">
        <v>3.883</v>
      </c>
      <c r="U53" s="1">
        <v>3.871</v>
      </c>
      <c r="V53" s="1">
        <v>3.867</v>
      </c>
      <c r="W53" s="1">
        <v>3.87</v>
      </c>
      <c r="X53" s="1">
        <v>3.9089999999999998</v>
      </c>
      <c r="Y53" s="1">
        <v>3.8580000000000001</v>
      </c>
      <c r="Z53" s="1">
        <v>3.863</v>
      </c>
      <c r="AA53" s="1">
        <v>3.8820000000000001</v>
      </c>
      <c r="AB53" s="1">
        <v>3.863</v>
      </c>
      <c r="AC53" s="1">
        <v>3.8769999999999998</v>
      </c>
      <c r="AD53" s="1">
        <v>3.8679999999999999</v>
      </c>
      <c r="AE53" s="1">
        <v>3.8780000000000001</v>
      </c>
      <c r="AF53" s="1">
        <v>3.8780000000000001</v>
      </c>
      <c r="AG53" s="1">
        <v>3.883</v>
      </c>
      <c r="AH53" s="1">
        <v>3.875</v>
      </c>
      <c r="AI53" s="1">
        <v>3.8769999999999998</v>
      </c>
      <c r="AJ53" s="1">
        <v>3.879</v>
      </c>
      <c r="AK53" s="1">
        <v>3.8719999999999999</v>
      </c>
      <c r="AL53" s="1">
        <v>3.871</v>
      </c>
      <c r="AM53" s="1">
        <v>3.8769999999999998</v>
      </c>
      <c r="AN53" s="1">
        <v>3.8679999999999999</v>
      </c>
      <c r="AO53" s="1">
        <v>3.8780000000000001</v>
      </c>
      <c r="AP53" s="1">
        <v>3.8719999999999999</v>
      </c>
      <c r="AQ53" s="1">
        <v>3.8719999999999999</v>
      </c>
      <c r="AR53" s="1">
        <v>3.863</v>
      </c>
      <c r="AS53" s="1">
        <v>3.8559999999999999</v>
      </c>
      <c r="AT53" s="1">
        <v>3.887</v>
      </c>
      <c r="AU53" s="1">
        <v>3.875</v>
      </c>
      <c r="AV53" s="1">
        <v>3.8929999999999998</v>
      </c>
      <c r="AW53" s="1">
        <v>3.871</v>
      </c>
      <c r="AX53" s="1">
        <v>3.8679999999999999</v>
      </c>
      <c r="AY53" s="1">
        <v>3.8769999999999998</v>
      </c>
      <c r="AZ53" s="1">
        <v>3.8719999999999999</v>
      </c>
      <c r="BA53" s="1">
        <v>3.8580000000000001</v>
      </c>
      <c r="BB53" s="1">
        <v>3.87</v>
      </c>
      <c r="BC53" s="1">
        <v>3.8780000000000001</v>
      </c>
      <c r="BD53" s="1">
        <v>3.867</v>
      </c>
      <c r="BE53" s="1">
        <v>3.8820000000000001</v>
      </c>
      <c r="BF53" s="1">
        <v>3.8639999999999999</v>
      </c>
      <c r="BG53" s="1">
        <v>3.8769999999999998</v>
      </c>
      <c r="BH53" s="1">
        <v>3.89</v>
      </c>
      <c r="BI53" s="1">
        <v>3.8639999999999999</v>
      </c>
      <c r="BJ53" s="1">
        <v>3.871</v>
      </c>
      <c r="BK53" s="1">
        <v>3.86</v>
      </c>
      <c r="BL53" s="1">
        <v>3.8620000000000001</v>
      </c>
      <c r="BN53" s="9">
        <v>24</v>
      </c>
      <c r="BO53" s="9">
        <v>660</v>
      </c>
      <c r="BP53" s="10">
        <f t="shared" si="0"/>
        <v>-3.3948863636363747E-3</v>
      </c>
      <c r="BQ53" s="10">
        <f t="shared" si="1"/>
        <v>9.9999999999996424E-4</v>
      </c>
      <c r="BR53" s="10">
        <f t="shared" si="2"/>
        <v>-1.0681818181818557E-3</v>
      </c>
      <c r="BS53" s="10">
        <f t="shared" si="3"/>
        <v>-5.9801136363635925E-3</v>
      </c>
      <c r="BT53" s="10">
        <f t="shared" si="4"/>
        <v>-5.5113636363634329E-4</v>
      </c>
      <c r="BU53" s="10">
        <f t="shared" si="5"/>
        <v>2.5511363636363869E-3</v>
      </c>
      <c r="BV53" s="10">
        <f t="shared" si="6"/>
        <v>4.6193181818182071E-3</v>
      </c>
      <c r="BW53" s="10">
        <f t="shared" si="7"/>
        <v>7.7215909090909366E-3</v>
      </c>
      <c r="BX53" s="10">
        <f t="shared" si="8"/>
        <v>2.8096590909090853E-3</v>
      </c>
      <c r="BY53" s="10">
        <f t="shared" si="9"/>
        <v>3.326704545454483E-3</v>
      </c>
      <c r="BZ53" s="10">
        <f t="shared" si="10"/>
        <v>1.5170454545454766E-3</v>
      </c>
      <c r="CA53" s="10">
        <f t="shared" si="11"/>
        <v>-2.6193181818181632E-3</v>
      </c>
      <c r="CB53" s="10">
        <f t="shared" si="12"/>
        <v>-2.1022727272727655E-3</v>
      </c>
      <c r="CC53" s="10">
        <f t="shared" si="13"/>
        <v>3.5852272727272968E-3</v>
      </c>
      <c r="CD53" s="10">
        <f t="shared" si="14"/>
        <v>-2.3607954545454644E-3</v>
      </c>
      <c r="CE53" s="10">
        <f t="shared" si="15"/>
        <v>3.8437499999999956E-3</v>
      </c>
      <c r="CF53" s="10">
        <f t="shared" si="16"/>
        <v>7.4147727272726551E-4</v>
      </c>
      <c r="CG53" s="10">
        <f t="shared" si="17"/>
        <v>-2.926136363636445E-4</v>
      </c>
      <c r="CH53" s="10">
        <f t="shared" si="18"/>
        <v>4.8295454545456667E-4</v>
      </c>
      <c r="CI53" s="10">
        <f t="shared" si="19"/>
        <v>1.0565340909090852E-2</v>
      </c>
      <c r="CJ53" s="10">
        <f t="shared" si="20"/>
        <v>-2.6193181818181632E-3</v>
      </c>
      <c r="CK53" s="10">
        <f t="shared" si="21"/>
        <v>-1.3267045454545545E-3</v>
      </c>
      <c r="CL53" s="10">
        <f t="shared" si="22"/>
        <v>3.5852272727272968E-3</v>
      </c>
      <c r="CM53" s="10">
        <f t="shared" si="23"/>
        <v>-1.3267045454545545E-3</v>
      </c>
      <c r="CN53" s="10">
        <f t="shared" si="24"/>
        <v>2.2926136363635732E-3</v>
      </c>
      <c r="CO53" s="10">
        <f t="shared" si="25"/>
        <v>-3.4090909090945711E-5</v>
      </c>
      <c r="CP53" s="10">
        <f t="shared" si="26"/>
        <v>2.5511363636363869E-3</v>
      </c>
      <c r="CQ53" s="10">
        <f t="shared" si="27"/>
        <v>2.5511363636363869E-3</v>
      </c>
      <c r="CR53" s="10">
        <f t="shared" si="28"/>
        <v>3.8437499999999956E-3</v>
      </c>
      <c r="CS53" s="10">
        <f t="shared" si="29"/>
        <v>1.7755681818181755E-3</v>
      </c>
      <c r="CT53" s="10">
        <f t="shared" si="30"/>
        <v>2.2926136363635732E-3</v>
      </c>
      <c r="CU53" s="10">
        <f t="shared" si="31"/>
        <v>2.8096590909090853E-3</v>
      </c>
      <c r="CV53" s="10">
        <f t="shared" si="32"/>
        <v>9.9999999999996424E-4</v>
      </c>
      <c r="CW53" s="10">
        <f t="shared" si="33"/>
        <v>7.4147727272726551E-4</v>
      </c>
      <c r="CX53" s="10">
        <f t="shared" si="34"/>
        <v>2.2926136363635732E-3</v>
      </c>
      <c r="CY53" s="10">
        <f t="shared" si="35"/>
        <v>-3.4090909090945711E-5</v>
      </c>
      <c r="CZ53" s="10">
        <f t="shared" si="36"/>
        <v>2.5511363636363869E-3</v>
      </c>
      <c r="DA53" s="10">
        <f t="shared" si="37"/>
        <v>9.9999999999996424E-4</v>
      </c>
      <c r="DB53" s="10">
        <f t="shared" si="38"/>
        <v>9.9999999999996424E-4</v>
      </c>
      <c r="DC53" s="10">
        <f t="shared" si="39"/>
        <v>-1.3267045454545545E-3</v>
      </c>
      <c r="DD53" s="10">
        <f t="shared" si="40"/>
        <v>-3.1363636363636758E-3</v>
      </c>
      <c r="DE53" s="10">
        <f t="shared" si="41"/>
        <v>4.8778409090909055E-3</v>
      </c>
      <c r="DF53" s="10">
        <f t="shared" si="42"/>
        <v>1.7755681818181755E-3</v>
      </c>
      <c r="DG53" s="10">
        <f t="shared" si="43"/>
        <v>6.428977272727213E-3</v>
      </c>
      <c r="DH53" s="10">
        <f t="shared" si="44"/>
        <v>7.4147727272726551E-4</v>
      </c>
      <c r="DI53" s="10">
        <f t="shared" si="45"/>
        <v>-3.4090909090945711E-5</v>
      </c>
      <c r="DJ53" s="10">
        <f t="shared" si="46"/>
        <v>2.2926136363635732E-3</v>
      </c>
      <c r="DK53" s="10">
        <f t="shared" si="47"/>
        <v>9.9999999999996424E-4</v>
      </c>
      <c r="DL53" s="10">
        <f t="shared" si="48"/>
        <v>-2.6193181818181632E-3</v>
      </c>
      <c r="DM53" s="10">
        <f t="shared" si="49"/>
        <v>4.8295454545456667E-4</v>
      </c>
      <c r="DN53" s="10">
        <f t="shared" si="50"/>
        <v>2.5511363636363869E-3</v>
      </c>
      <c r="DO53" s="10">
        <f t="shared" si="51"/>
        <v>-2.926136363636445E-4</v>
      </c>
      <c r="DP53" s="10">
        <f t="shared" si="52"/>
        <v>3.5852272727272968E-3</v>
      </c>
      <c r="DQ53" s="10">
        <f t="shared" si="53"/>
        <v>-1.0681818181818557E-3</v>
      </c>
      <c r="DR53" s="10">
        <f t="shared" si="54"/>
        <v>2.2926136363635732E-3</v>
      </c>
      <c r="DS53" s="10">
        <f t="shared" si="55"/>
        <v>5.6534090909091169E-3</v>
      </c>
      <c r="DT53" s="10">
        <f t="shared" si="56"/>
        <v>-1.0681818181818557E-3</v>
      </c>
      <c r="DU53" s="10">
        <f t="shared" si="57"/>
        <v>7.4147727272726551E-4</v>
      </c>
      <c r="DV53" s="10">
        <f t="shared" si="58"/>
        <v>-2.1022727272727655E-3</v>
      </c>
      <c r="DW53" s="10">
        <f t="shared" si="59"/>
        <v>-1.5852272727272534E-3</v>
      </c>
    </row>
    <row r="54" spans="2:127" x14ac:dyDescent="0.45">
      <c r="B54" s="1">
        <v>24</v>
      </c>
      <c r="C54" s="1">
        <v>675</v>
      </c>
      <c r="D54" s="7">
        <f t="shared" si="60"/>
        <v>3.9560439560439562</v>
      </c>
      <c r="E54" s="1">
        <v>3.9430000000000001</v>
      </c>
      <c r="F54" s="1">
        <v>3.9609999999999999</v>
      </c>
      <c r="G54" s="1">
        <v>3.9540000000000002</v>
      </c>
      <c r="H54" s="1">
        <v>3.931</v>
      </c>
      <c r="I54" s="1">
        <v>3.9540000000000002</v>
      </c>
      <c r="J54" s="1">
        <v>3.9649999999999999</v>
      </c>
      <c r="K54" s="1">
        <v>3.9740000000000002</v>
      </c>
      <c r="L54" s="1">
        <v>3.9889999999999999</v>
      </c>
      <c r="M54" s="1">
        <v>3.9660000000000002</v>
      </c>
      <c r="N54" s="1">
        <v>3.97</v>
      </c>
      <c r="O54" s="1">
        <v>3.9620000000000002</v>
      </c>
      <c r="P54" s="1">
        <v>3.9460000000000002</v>
      </c>
      <c r="Q54" s="1">
        <v>3.9470000000000001</v>
      </c>
      <c r="R54" s="1">
        <v>3.9689999999999999</v>
      </c>
      <c r="S54" s="1">
        <v>3.95</v>
      </c>
      <c r="T54" s="1">
        <v>3.97</v>
      </c>
      <c r="U54" s="1">
        <v>3.9590000000000001</v>
      </c>
      <c r="V54" s="1">
        <v>3.952</v>
      </c>
      <c r="W54" s="1">
        <v>3.9569999999999999</v>
      </c>
      <c r="X54" s="1">
        <v>4</v>
      </c>
      <c r="Y54" s="1">
        <v>3.9460000000000002</v>
      </c>
      <c r="Z54" s="1">
        <v>3.952</v>
      </c>
      <c r="AA54" s="1">
        <v>3.9710000000000001</v>
      </c>
      <c r="AB54" s="1">
        <v>3.9510000000000001</v>
      </c>
      <c r="AC54" s="1">
        <v>3.9649999999999999</v>
      </c>
      <c r="AD54" s="1">
        <v>3.9580000000000002</v>
      </c>
      <c r="AE54" s="1">
        <v>3.9660000000000002</v>
      </c>
      <c r="AF54" s="1">
        <v>3.9670000000000001</v>
      </c>
      <c r="AG54" s="1">
        <v>3.9710000000000001</v>
      </c>
      <c r="AH54" s="1">
        <v>3.9630000000000001</v>
      </c>
      <c r="AI54" s="1">
        <v>3.9630000000000001</v>
      </c>
      <c r="AJ54" s="1">
        <v>3.9670000000000001</v>
      </c>
      <c r="AK54" s="1">
        <v>3.9590000000000001</v>
      </c>
      <c r="AL54" s="1">
        <v>3.9590000000000001</v>
      </c>
      <c r="AM54" s="1">
        <v>3.9649999999999999</v>
      </c>
      <c r="AN54" s="1">
        <v>3.9569999999999999</v>
      </c>
      <c r="AO54" s="1">
        <v>3.9660000000000002</v>
      </c>
      <c r="AP54" s="1">
        <v>3.9590000000000001</v>
      </c>
      <c r="AQ54" s="1">
        <v>3.9590000000000001</v>
      </c>
      <c r="AR54" s="1">
        <v>3.952</v>
      </c>
      <c r="AS54" s="1">
        <v>3.944</v>
      </c>
      <c r="AT54" s="1">
        <v>3.976</v>
      </c>
      <c r="AU54" s="1">
        <v>3.9630000000000001</v>
      </c>
      <c r="AV54" s="1">
        <v>3.9809999999999999</v>
      </c>
      <c r="AW54" s="1">
        <v>3.9590000000000001</v>
      </c>
      <c r="AX54" s="1">
        <v>3.9580000000000002</v>
      </c>
      <c r="AY54" s="1">
        <v>3.9630000000000001</v>
      </c>
      <c r="AZ54" s="1">
        <v>3.9609999999999999</v>
      </c>
      <c r="BA54" s="1">
        <v>3.9420000000000002</v>
      </c>
      <c r="BB54" s="1">
        <v>3.9569999999999999</v>
      </c>
      <c r="BC54" s="1">
        <v>3.9660000000000002</v>
      </c>
      <c r="BD54" s="1">
        <v>3.9550000000000001</v>
      </c>
      <c r="BE54" s="1">
        <v>3.9689999999999999</v>
      </c>
      <c r="BF54" s="1">
        <v>3.952</v>
      </c>
      <c r="BG54" s="1">
        <v>3.9609999999999999</v>
      </c>
      <c r="BH54" s="1">
        <v>3.9780000000000002</v>
      </c>
      <c r="BI54" s="1">
        <v>3.9510000000000001</v>
      </c>
      <c r="BJ54" s="1">
        <v>3.9590000000000001</v>
      </c>
      <c r="BK54" s="1">
        <v>3.9550000000000001</v>
      </c>
      <c r="BL54" s="1">
        <v>3.948</v>
      </c>
      <c r="BN54" s="9">
        <v>24</v>
      </c>
      <c r="BO54" s="9">
        <v>675</v>
      </c>
      <c r="BP54" s="10">
        <f t="shared" si="0"/>
        <v>-3.2972222222222465E-3</v>
      </c>
      <c r="BQ54" s="10">
        <f t="shared" si="1"/>
        <v>1.2527777777777015E-3</v>
      </c>
      <c r="BR54" s="10">
        <f t="shared" si="2"/>
        <v>-5.1666666666666029E-4</v>
      </c>
      <c r="BS54" s="10">
        <f t="shared" si="3"/>
        <v>-6.3305555555555823E-3</v>
      </c>
      <c r="BT54" s="10">
        <f t="shared" si="4"/>
        <v>-5.1666666666666029E-4</v>
      </c>
      <c r="BU54" s="10">
        <f t="shared" si="5"/>
        <v>2.2638888888888136E-3</v>
      </c>
      <c r="BV54" s="10">
        <f t="shared" si="6"/>
        <v>4.5388888888888996E-3</v>
      </c>
      <c r="BW54" s="10">
        <f t="shared" si="7"/>
        <v>8.3305555555554852E-3</v>
      </c>
      <c r="BX54" s="10">
        <f t="shared" si="8"/>
        <v>2.5166666666666757E-3</v>
      </c>
      <c r="BY54" s="10">
        <f t="shared" si="9"/>
        <v>3.5277777777777877E-3</v>
      </c>
      <c r="BZ54" s="10">
        <f t="shared" si="10"/>
        <v>1.5055555555555636E-3</v>
      </c>
      <c r="CA54" s="10">
        <f t="shared" si="11"/>
        <v>-2.5388888888888844E-3</v>
      </c>
      <c r="CB54" s="10">
        <f t="shared" si="12"/>
        <v>-2.2861111111111341E-3</v>
      </c>
      <c r="CC54" s="10">
        <f t="shared" si="13"/>
        <v>3.2749999999999255E-3</v>
      </c>
      <c r="CD54" s="10">
        <f t="shared" si="14"/>
        <v>-1.5277777777777722E-3</v>
      </c>
      <c r="CE54" s="10">
        <f t="shared" si="15"/>
        <v>3.5277777777777877E-3</v>
      </c>
      <c r="CF54" s="10">
        <f t="shared" si="16"/>
        <v>7.4722222222220155E-4</v>
      </c>
      <c r="CG54" s="10">
        <f t="shared" si="17"/>
        <v>-1.0222222222222724E-3</v>
      </c>
      <c r="CH54" s="10">
        <f t="shared" si="18"/>
        <v>2.4166666666658947E-4</v>
      </c>
      <c r="CI54" s="10">
        <f t="shared" si="19"/>
        <v>1.1111111111111072E-2</v>
      </c>
      <c r="CJ54" s="10">
        <f t="shared" si="20"/>
        <v>-2.5388888888888844E-3</v>
      </c>
      <c r="CK54" s="10">
        <f t="shared" si="21"/>
        <v>-1.0222222222222724E-3</v>
      </c>
      <c r="CL54" s="10">
        <f t="shared" si="22"/>
        <v>3.7805555555555375E-3</v>
      </c>
      <c r="CM54" s="10">
        <f t="shared" si="23"/>
        <v>-1.2750000000000224E-3</v>
      </c>
      <c r="CN54" s="10">
        <f t="shared" si="24"/>
        <v>2.2638888888888136E-3</v>
      </c>
      <c r="CO54" s="10">
        <f t="shared" si="25"/>
        <v>4.9444444444445164E-4</v>
      </c>
      <c r="CP54" s="10">
        <f t="shared" si="26"/>
        <v>2.5166666666666757E-3</v>
      </c>
      <c r="CQ54" s="10">
        <f t="shared" si="27"/>
        <v>2.7694444444444255E-3</v>
      </c>
      <c r="CR54" s="10">
        <f t="shared" si="28"/>
        <v>3.7805555555555375E-3</v>
      </c>
      <c r="CS54" s="10">
        <f t="shared" si="29"/>
        <v>1.7583333333333136E-3</v>
      </c>
      <c r="CT54" s="10">
        <f t="shared" si="30"/>
        <v>1.7583333333333136E-3</v>
      </c>
      <c r="CU54" s="10">
        <f t="shared" si="31"/>
        <v>2.7694444444444255E-3</v>
      </c>
      <c r="CV54" s="10">
        <f t="shared" si="32"/>
        <v>7.4722222222220155E-4</v>
      </c>
      <c r="CW54" s="10">
        <f t="shared" si="33"/>
        <v>7.4722222222220155E-4</v>
      </c>
      <c r="CX54" s="10">
        <f t="shared" si="34"/>
        <v>2.2638888888888136E-3</v>
      </c>
      <c r="CY54" s="10">
        <f t="shared" si="35"/>
        <v>2.4166666666658947E-4</v>
      </c>
      <c r="CZ54" s="10">
        <f t="shared" si="36"/>
        <v>2.5166666666666757E-3</v>
      </c>
      <c r="DA54" s="10">
        <f t="shared" si="37"/>
        <v>7.4722222222220155E-4</v>
      </c>
      <c r="DB54" s="10">
        <f t="shared" si="38"/>
        <v>7.4722222222220155E-4</v>
      </c>
      <c r="DC54" s="10">
        <f t="shared" si="39"/>
        <v>-1.0222222222222724E-3</v>
      </c>
      <c r="DD54" s="10">
        <f t="shared" si="40"/>
        <v>-3.0444444444444963E-3</v>
      </c>
      <c r="DE54" s="10">
        <f t="shared" si="41"/>
        <v>5.0444444444443992E-3</v>
      </c>
      <c r="DF54" s="10">
        <f t="shared" si="42"/>
        <v>1.7583333333333136E-3</v>
      </c>
      <c r="DG54" s="10">
        <f t="shared" si="43"/>
        <v>6.3083333333332613E-3</v>
      </c>
      <c r="DH54" s="10">
        <f t="shared" si="44"/>
        <v>7.4722222222220155E-4</v>
      </c>
      <c r="DI54" s="10">
        <f t="shared" si="45"/>
        <v>4.9444444444445164E-4</v>
      </c>
      <c r="DJ54" s="10">
        <f t="shared" si="46"/>
        <v>1.7583333333333136E-3</v>
      </c>
      <c r="DK54" s="10">
        <f t="shared" si="47"/>
        <v>1.2527777777777015E-3</v>
      </c>
      <c r="DL54" s="10">
        <f t="shared" si="48"/>
        <v>-3.5499999999999963E-3</v>
      </c>
      <c r="DM54" s="10">
        <f t="shared" si="49"/>
        <v>2.4166666666658947E-4</v>
      </c>
      <c r="DN54" s="10">
        <f t="shared" si="50"/>
        <v>2.5166666666666757E-3</v>
      </c>
      <c r="DO54" s="10">
        <f t="shared" si="51"/>
        <v>-2.6388888888891039E-4</v>
      </c>
      <c r="DP54" s="10">
        <f t="shared" si="52"/>
        <v>3.2749999999999255E-3</v>
      </c>
      <c r="DQ54" s="10">
        <f t="shared" si="53"/>
        <v>-1.0222222222222724E-3</v>
      </c>
      <c r="DR54" s="10">
        <f t="shared" si="54"/>
        <v>1.2527777777777015E-3</v>
      </c>
      <c r="DS54" s="10">
        <f t="shared" si="55"/>
        <v>5.5500000000000115E-3</v>
      </c>
      <c r="DT54" s="10">
        <f t="shared" si="56"/>
        <v>-1.2750000000000224E-3</v>
      </c>
      <c r="DU54" s="10">
        <f t="shared" si="57"/>
        <v>7.4722222222220155E-4</v>
      </c>
      <c r="DV54" s="10">
        <f t="shared" si="58"/>
        <v>-2.6388888888891039E-4</v>
      </c>
      <c r="DW54" s="10">
        <f t="shared" si="59"/>
        <v>-2.0333333333333843E-3</v>
      </c>
    </row>
    <row r="55" spans="2:127" x14ac:dyDescent="0.45">
      <c r="B55" s="1">
        <v>24</v>
      </c>
      <c r="C55" s="1">
        <v>690</v>
      </c>
      <c r="D55" s="7">
        <f t="shared" si="60"/>
        <v>4.0439560439560438</v>
      </c>
      <c r="E55" s="1">
        <v>4.03</v>
      </c>
      <c r="F55" s="1">
        <v>4.0469999999999997</v>
      </c>
      <c r="G55" s="1">
        <v>4.0430000000000001</v>
      </c>
      <c r="H55" s="1">
        <v>4.0179999999999998</v>
      </c>
      <c r="I55" s="1">
        <v>4.0419999999999998</v>
      </c>
      <c r="J55" s="1">
        <v>4.0519999999999996</v>
      </c>
      <c r="K55" s="1">
        <v>4.0609999999999999</v>
      </c>
      <c r="L55" s="1">
        <v>4.0720000000000001</v>
      </c>
      <c r="M55" s="1">
        <v>4.0540000000000003</v>
      </c>
      <c r="N55" s="1">
        <v>4.0579999999999998</v>
      </c>
      <c r="O55" s="1">
        <v>4.0490000000000004</v>
      </c>
      <c r="P55" s="1">
        <v>4.0330000000000004</v>
      </c>
      <c r="Q55" s="1">
        <v>4.0369999999999999</v>
      </c>
      <c r="R55" s="1">
        <v>4.0570000000000004</v>
      </c>
      <c r="S55" s="1">
        <v>4.0380000000000003</v>
      </c>
      <c r="T55" s="1">
        <v>4.0579999999999998</v>
      </c>
      <c r="U55" s="1">
        <v>4.0469999999999997</v>
      </c>
      <c r="V55" s="1">
        <v>4.0389999999999997</v>
      </c>
      <c r="W55" s="1">
        <v>4.0449999999999999</v>
      </c>
      <c r="X55" s="1">
        <v>4.0869999999999997</v>
      </c>
      <c r="Y55" s="1">
        <v>4.0309999999999997</v>
      </c>
      <c r="Z55" s="1">
        <v>4.0410000000000004</v>
      </c>
      <c r="AA55" s="1">
        <v>4.0570000000000004</v>
      </c>
      <c r="AB55" s="1">
        <v>4.0380000000000003</v>
      </c>
      <c r="AC55" s="1">
        <v>4.0519999999999996</v>
      </c>
      <c r="AD55" s="1">
        <v>4.0460000000000003</v>
      </c>
      <c r="AE55" s="1">
        <v>4.0529999999999999</v>
      </c>
      <c r="AF55" s="1">
        <v>4.056</v>
      </c>
      <c r="AG55" s="1">
        <v>4.0599999999999996</v>
      </c>
      <c r="AH55" s="1">
        <v>4.0540000000000003</v>
      </c>
      <c r="AI55" s="1">
        <v>4.05</v>
      </c>
      <c r="AJ55" s="1">
        <v>4.0540000000000003</v>
      </c>
      <c r="AK55" s="1">
        <v>4.0460000000000003</v>
      </c>
      <c r="AL55" s="1">
        <v>4.0469999999999997</v>
      </c>
      <c r="AM55" s="1">
        <v>4.05</v>
      </c>
      <c r="AN55" s="1">
        <v>4.0460000000000003</v>
      </c>
      <c r="AO55" s="1">
        <v>4.0529999999999999</v>
      </c>
      <c r="AP55" s="1">
        <v>4.0469999999999997</v>
      </c>
      <c r="AQ55" s="1">
        <v>4.0469999999999997</v>
      </c>
      <c r="AR55" s="1">
        <v>4.0410000000000004</v>
      </c>
      <c r="AS55" s="1">
        <v>4.0279999999999996</v>
      </c>
      <c r="AT55" s="1">
        <v>4.0620000000000003</v>
      </c>
      <c r="AU55" s="1">
        <v>4.0490000000000004</v>
      </c>
      <c r="AV55" s="1">
        <v>4.07</v>
      </c>
      <c r="AW55" s="1">
        <v>4.0460000000000003</v>
      </c>
      <c r="AX55" s="1">
        <v>4.0460000000000003</v>
      </c>
      <c r="AY55" s="1">
        <v>4.0519999999999996</v>
      </c>
      <c r="AZ55" s="1">
        <v>4.0469999999999997</v>
      </c>
      <c r="BA55" s="1">
        <v>4.0279999999999996</v>
      </c>
      <c r="BB55" s="1">
        <v>4.0449999999999999</v>
      </c>
      <c r="BC55" s="1">
        <v>4.0540000000000003</v>
      </c>
      <c r="BD55" s="1">
        <v>4.0430000000000001</v>
      </c>
      <c r="BE55" s="1">
        <v>4.056</v>
      </c>
      <c r="BF55" s="1">
        <v>4.0410000000000004</v>
      </c>
      <c r="BG55" s="1">
        <v>4.05</v>
      </c>
      <c r="BH55" s="1">
        <v>4.0720000000000001</v>
      </c>
      <c r="BI55" s="1">
        <v>4.0380000000000003</v>
      </c>
      <c r="BJ55" s="1">
        <v>4.0460000000000003</v>
      </c>
      <c r="BK55" s="1">
        <v>4.0389999999999997</v>
      </c>
      <c r="BL55" s="1">
        <v>4.0389999999999997</v>
      </c>
      <c r="BN55" s="9">
        <v>24</v>
      </c>
      <c r="BO55" s="9">
        <v>690</v>
      </c>
      <c r="BP55" s="10">
        <f t="shared" si="0"/>
        <v>-3.4510869565216391E-3</v>
      </c>
      <c r="BQ55" s="10">
        <f t="shared" si="1"/>
        <v>7.5271739130431444E-4</v>
      </c>
      <c r="BR55" s="10">
        <f t="shared" si="2"/>
        <v>-2.3641304347818537E-4</v>
      </c>
      <c r="BS55" s="10">
        <f t="shared" si="3"/>
        <v>-6.4184782608695777E-3</v>
      </c>
      <c r="BT55" s="10">
        <f t="shared" si="4"/>
        <v>-4.8369565217392014E-4</v>
      </c>
      <c r="BU55" s="10">
        <f t="shared" si="5"/>
        <v>1.9891304347825489E-3</v>
      </c>
      <c r="BV55" s="10">
        <f t="shared" si="6"/>
        <v>4.2146739130435032E-3</v>
      </c>
      <c r="BW55" s="10">
        <f t="shared" si="7"/>
        <v>6.9347826086957071E-3</v>
      </c>
      <c r="BX55" s="10">
        <f t="shared" si="8"/>
        <v>2.4836956521740185E-3</v>
      </c>
      <c r="BY55" s="10">
        <f t="shared" si="9"/>
        <v>3.4728260869565184E-3</v>
      </c>
      <c r="BZ55" s="10">
        <f t="shared" si="10"/>
        <v>1.247282608695784E-3</v>
      </c>
      <c r="CA55" s="10">
        <f t="shared" si="11"/>
        <v>-2.7092391304346544E-3</v>
      </c>
      <c r="CB55" s="10">
        <f t="shared" si="12"/>
        <v>-1.7201086956521547E-3</v>
      </c>
      <c r="CC55" s="10">
        <f t="shared" si="13"/>
        <v>3.2255434782610033E-3</v>
      </c>
      <c r="CD55" s="10">
        <f t="shared" si="14"/>
        <v>-1.4728260869564199E-3</v>
      </c>
      <c r="CE55" s="10">
        <f t="shared" si="15"/>
        <v>3.4728260869565184E-3</v>
      </c>
      <c r="CF55" s="10">
        <f t="shared" si="16"/>
        <v>7.5271739130431444E-4</v>
      </c>
      <c r="CG55" s="10">
        <f t="shared" si="17"/>
        <v>-1.2255434782609048E-3</v>
      </c>
      <c r="CH55" s="10">
        <f t="shared" si="18"/>
        <v>2.5815217391306455E-4</v>
      </c>
      <c r="CI55" s="10">
        <f t="shared" si="19"/>
        <v>1.064402173913041E-2</v>
      </c>
      <c r="CJ55" s="10">
        <f t="shared" si="20"/>
        <v>-3.203804347826124E-3</v>
      </c>
      <c r="CK55" s="10">
        <f t="shared" si="21"/>
        <v>-7.3097826086943529E-4</v>
      </c>
      <c r="CL55" s="10">
        <f t="shared" si="22"/>
        <v>3.2255434782610033E-3</v>
      </c>
      <c r="CM55" s="10">
        <f t="shared" si="23"/>
        <v>-1.4728260869564199E-3</v>
      </c>
      <c r="CN55" s="10">
        <f t="shared" si="24"/>
        <v>1.9891304347825489E-3</v>
      </c>
      <c r="CO55" s="10">
        <f t="shared" si="25"/>
        <v>5.054347826087993E-4</v>
      </c>
      <c r="CP55" s="10">
        <f t="shared" si="26"/>
        <v>2.2364130434782839E-3</v>
      </c>
      <c r="CQ55" s="10">
        <f t="shared" si="27"/>
        <v>2.9782608695652683E-3</v>
      </c>
      <c r="CR55" s="10">
        <f t="shared" si="28"/>
        <v>3.9673913043477681E-3</v>
      </c>
      <c r="CS55" s="10">
        <f t="shared" si="29"/>
        <v>2.4836956521740185E-3</v>
      </c>
      <c r="CT55" s="10">
        <f t="shared" si="30"/>
        <v>1.4945652173912992E-3</v>
      </c>
      <c r="CU55" s="10">
        <f t="shared" si="31"/>
        <v>2.4836956521740185E-3</v>
      </c>
      <c r="CV55" s="10">
        <f t="shared" si="32"/>
        <v>5.054347826087993E-4</v>
      </c>
      <c r="CW55" s="10">
        <f t="shared" si="33"/>
        <v>7.5271739130431444E-4</v>
      </c>
      <c r="CX55" s="10">
        <f t="shared" si="34"/>
        <v>1.4945652173912992E-3</v>
      </c>
      <c r="CY55" s="10">
        <f t="shared" si="35"/>
        <v>5.054347826087993E-4</v>
      </c>
      <c r="CZ55" s="10">
        <f t="shared" si="36"/>
        <v>2.2364130434782839E-3</v>
      </c>
      <c r="DA55" s="10">
        <f t="shared" si="37"/>
        <v>7.5271739130431444E-4</v>
      </c>
      <c r="DB55" s="10">
        <f t="shared" si="38"/>
        <v>7.5271739130431444E-4</v>
      </c>
      <c r="DC55" s="10">
        <f t="shared" si="39"/>
        <v>-7.3097826086943529E-4</v>
      </c>
      <c r="DD55" s="10">
        <f t="shared" si="40"/>
        <v>-3.9456521739131088E-3</v>
      </c>
      <c r="DE55" s="10">
        <f t="shared" si="41"/>
        <v>4.4619565217392382E-3</v>
      </c>
      <c r="DF55" s="10">
        <f t="shared" si="42"/>
        <v>1.247282608695784E-3</v>
      </c>
      <c r="DG55" s="10">
        <f t="shared" si="43"/>
        <v>6.4402173913044574E-3</v>
      </c>
      <c r="DH55" s="10">
        <f t="shared" si="44"/>
        <v>5.054347826087993E-4</v>
      </c>
      <c r="DI55" s="10">
        <f t="shared" si="45"/>
        <v>5.054347826087993E-4</v>
      </c>
      <c r="DJ55" s="10">
        <f t="shared" si="46"/>
        <v>1.9891304347825489E-3</v>
      </c>
      <c r="DK55" s="10">
        <f t="shared" si="47"/>
        <v>7.5271739130431444E-4</v>
      </c>
      <c r="DL55" s="10">
        <f t="shared" si="48"/>
        <v>-3.9456521739131088E-3</v>
      </c>
      <c r="DM55" s="10">
        <f t="shared" si="49"/>
        <v>2.5815217391306455E-4</v>
      </c>
      <c r="DN55" s="10">
        <f t="shared" si="50"/>
        <v>2.4836956521740185E-3</v>
      </c>
      <c r="DO55" s="10">
        <f t="shared" si="51"/>
        <v>-2.3641304347818537E-4</v>
      </c>
      <c r="DP55" s="10">
        <f t="shared" si="52"/>
        <v>2.9782608695652683E-3</v>
      </c>
      <c r="DQ55" s="10">
        <f t="shared" si="53"/>
        <v>-7.3097826086943529E-4</v>
      </c>
      <c r="DR55" s="10">
        <f t="shared" si="54"/>
        <v>1.4945652173912992E-3</v>
      </c>
      <c r="DS55" s="10">
        <f t="shared" si="55"/>
        <v>6.9347826086957071E-3</v>
      </c>
      <c r="DT55" s="10">
        <f t="shared" si="56"/>
        <v>-1.4728260869564199E-3</v>
      </c>
      <c r="DU55" s="10">
        <f t="shared" si="57"/>
        <v>5.054347826087993E-4</v>
      </c>
      <c r="DV55" s="10">
        <f t="shared" si="58"/>
        <v>-1.2255434782609048E-3</v>
      </c>
      <c r="DW55" s="10">
        <f t="shared" si="59"/>
        <v>-1.2255434782609048E-3</v>
      </c>
    </row>
    <row r="56" spans="2:127" x14ac:dyDescent="0.45">
      <c r="B56" s="1">
        <v>24</v>
      </c>
      <c r="C56" s="1">
        <v>705</v>
      </c>
      <c r="D56" s="7">
        <f t="shared" si="60"/>
        <v>4.1318681318681323</v>
      </c>
      <c r="E56" s="1">
        <v>4.117</v>
      </c>
      <c r="F56" s="1">
        <v>4.1360000000000001</v>
      </c>
      <c r="G56" s="1">
        <v>4.1319999999999997</v>
      </c>
      <c r="H56" s="1">
        <v>4.1070000000000002</v>
      </c>
      <c r="I56" s="1">
        <v>4.13</v>
      </c>
      <c r="J56" s="1">
        <v>4.1379999999999999</v>
      </c>
      <c r="K56" s="1">
        <v>4.149</v>
      </c>
      <c r="L56" s="1">
        <v>4.16</v>
      </c>
      <c r="M56" s="1">
        <v>4.1420000000000003</v>
      </c>
      <c r="N56" s="1">
        <v>4.1479999999999997</v>
      </c>
      <c r="O56" s="1">
        <v>4.1360000000000001</v>
      </c>
      <c r="P56" s="1">
        <v>4.1210000000000004</v>
      </c>
      <c r="Q56" s="1">
        <v>4.1269999999999998</v>
      </c>
      <c r="R56" s="1">
        <v>4.1440000000000001</v>
      </c>
      <c r="S56" s="1">
        <v>4.1269999999999998</v>
      </c>
      <c r="T56" s="1">
        <v>4.1440000000000001</v>
      </c>
      <c r="U56" s="1">
        <v>4.1360000000000001</v>
      </c>
      <c r="V56" s="1">
        <v>4.1230000000000002</v>
      </c>
      <c r="W56" s="1">
        <v>4.1340000000000003</v>
      </c>
      <c r="X56" s="1">
        <v>4.1710000000000003</v>
      </c>
      <c r="Y56" s="1">
        <v>4.117</v>
      </c>
      <c r="Z56" s="1">
        <v>4.1269999999999998</v>
      </c>
      <c r="AA56" s="1">
        <v>4.1479999999999997</v>
      </c>
      <c r="AB56" s="1">
        <v>4.1260000000000003</v>
      </c>
      <c r="AC56" s="1">
        <v>4.1399999999999997</v>
      </c>
      <c r="AD56" s="1">
        <v>4.1360000000000001</v>
      </c>
      <c r="AE56" s="1">
        <v>4.1379999999999999</v>
      </c>
      <c r="AF56" s="1">
        <v>4.1440000000000001</v>
      </c>
      <c r="AG56" s="1">
        <v>4.1479999999999997</v>
      </c>
      <c r="AH56" s="1">
        <v>4.1440000000000001</v>
      </c>
      <c r="AI56" s="1">
        <v>4.1360000000000001</v>
      </c>
      <c r="AJ56" s="1">
        <v>4.1399999999999997</v>
      </c>
      <c r="AK56" s="1">
        <v>4.1340000000000003</v>
      </c>
      <c r="AL56" s="1">
        <v>4.1360000000000001</v>
      </c>
      <c r="AM56" s="1">
        <v>4.1379999999999999</v>
      </c>
      <c r="AN56" s="1">
        <v>4.1340000000000003</v>
      </c>
      <c r="AO56" s="1">
        <v>4.1399999999999997</v>
      </c>
      <c r="AP56" s="1">
        <v>4.1360000000000001</v>
      </c>
      <c r="AQ56" s="1">
        <v>4.1369999999999996</v>
      </c>
      <c r="AR56" s="1">
        <v>4.1289999999999996</v>
      </c>
      <c r="AS56" s="1">
        <v>4.117</v>
      </c>
      <c r="AT56" s="1">
        <v>4.1509999999999998</v>
      </c>
      <c r="AU56" s="1">
        <v>4.1369999999999996</v>
      </c>
      <c r="AV56" s="1">
        <v>4.157</v>
      </c>
      <c r="AW56" s="1">
        <v>4.1360000000000001</v>
      </c>
      <c r="AX56" s="1">
        <v>4.1340000000000003</v>
      </c>
      <c r="AY56" s="1">
        <v>4.1399999999999997</v>
      </c>
      <c r="AZ56" s="1">
        <v>4.133</v>
      </c>
      <c r="BA56" s="1">
        <v>4.1180000000000003</v>
      </c>
      <c r="BB56" s="1">
        <v>4.1319999999999997</v>
      </c>
      <c r="BC56" s="1">
        <v>4.1399999999999997</v>
      </c>
      <c r="BD56" s="1">
        <v>4.1319999999999997</v>
      </c>
      <c r="BE56" s="1">
        <v>4.1440000000000001</v>
      </c>
      <c r="BF56" s="1">
        <v>4.1289999999999996</v>
      </c>
      <c r="BG56" s="1">
        <v>4.1420000000000003</v>
      </c>
      <c r="BH56" s="1">
        <v>4.1550000000000002</v>
      </c>
      <c r="BI56" s="1">
        <v>4.1230000000000002</v>
      </c>
      <c r="BJ56" s="1">
        <v>4.1360000000000001</v>
      </c>
      <c r="BK56" s="1">
        <v>4.1230000000000002</v>
      </c>
      <c r="BL56" s="1">
        <v>4.1230000000000002</v>
      </c>
      <c r="BN56" s="9">
        <v>24</v>
      </c>
      <c r="BO56" s="9">
        <v>705</v>
      </c>
      <c r="BP56" s="10">
        <f t="shared" si="0"/>
        <v>-3.5984042553192518E-3</v>
      </c>
      <c r="BQ56" s="10">
        <f t="shared" si="1"/>
        <v>9.999999999999276E-4</v>
      </c>
      <c r="BR56" s="10">
        <f t="shared" si="2"/>
        <v>3.1914893616840593E-5</v>
      </c>
      <c r="BS56" s="10">
        <f t="shared" si="3"/>
        <v>-6.0186170212766467E-3</v>
      </c>
      <c r="BT56" s="10">
        <f t="shared" si="4"/>
        <v>-4.5212765957459538E-4</v>
      </c>
      <c r="BU56" s="10">
        <f t="shared" si="5"/>
        <v>1.4840425531913635E-3</v>
      </c>
      <c r="BV56" s="10">
        <f t="shared" si="6"/>
        <v>4.1462765957445838E-3</v>
      </c>
      <c r="BW56" s="10">
        <f t="shared" si="7"/>
        <v>6.8085106382978046E-3</v>
      </c>
      <c r="BX56" s="10">
        <f t="shared" si="8"/>
        <v>2.4521276595744507E-3</v>
      </c>
      <c r="BY56" s="10">
        <f t="shared" si="9"/>
        <v>3.9042553191487583E-3</v>
      </c>
      <c r="BZ56" s="10">
        <f t="shared" si="10"/>
        <v>9.999999999999276E-4</v>
      </c>
      <c r="CA56" s="10">
        <f t="shared" si="11"/>
        <v>-2.6303191489361649E-3</v>
      </c>
      <c r="CB56" s="10">
        <f t="shared" si="12"/>
        <v>-1.1781914893618569E-3</v>
      </c>
      <c r="CC56" s="10">
        <f t="shared" si="13"/>
        <v>2.9361702127658866E-3</v>
      </c>
      <c r="CD56" s="10">
        <f t="shared" si="14"/>
        <v>-1.1781914893618569E-3</v>
      </c>
      <c r="CE56" s="10">
        <f t="shared" si="15"/>
        <v>2.9361702127658866E-3</v>
      </c>
      <c r="CF56" s="10">
        <f t="shared" si="16"/>
        <v>9.999999999999276E-4</v>
      </c>
      <c r="CG56" s="10">
        <f t="shared" si="17"/>
        <v>-2.1462765957447291E-3</v>
      </c>
      <c r="CH56" s="10">
        <f t="shared" si="18"/>
        <v>5.1595744680849151E-4</v>
      </c>
      <c r="CI56" s="10">
        <f t="shared" si="19"/>
        <v>9.4707446808510246E-3</v>
      </c>
      <c r="CJ56" s="10">
        <f t="shared" si="20"/>
        <v>-3.5984042553192518E-3</v>
      </c>
      <c r="CK56" s="10">
        <f t="shared" si="21"/>
        <v>-1.1781914893618569E-3</v>
      </c>
      <c r="CL56" s="10">
        <f t="shared" si="22"/>
        <v>3.9042553191487583E-3</v>
      </c>
      <c r="CM56" s="10">
        <f t="shared" si="23"/>
        <v>-1.4202127659574675E-3</v>
      </c>
      <c r="CN56" s="10">
        <f t="shared" si="24"/>
        <v>1.9680851063827998E-3</v>
      </c>
      <c r="CO56" s="10">
        <f t="shared" si="25"/>
        <v>9.999999999999276E-4</v>
      </c>
      <c r="CP56" s="10">
        <f t="shared" si="26"/>
        <v>1.4840425531913635E-3</v>
      </c>
      <c r="CQ56" s="10">
        <f t="shared" si="27"/>
        <v>2.9361702127658866E-3</v>
      </c>
      <c r="CR56" s="10">
        <f t="shared" si="28"/>
        <v>3.9042553191487583E-3</v>
      </c>
      <c r="CS56" s="10">
        <f t="shared" si="29"/>
        <v>2.9361702127658866E-3</v>
      </c>
      <c r="CT56" s="10">
        <f t="shared" si="30"/>
        <v>9.999999999999276E-4</v>
      </c>
      <c r="CU56" s="10">
        <f t="shared" si="31"/>
        <v>1.9680851063827998E-3</v>
      </c>
      <c r="CV56" s="10">
        <f t="shared" si="32"/>
        <v>5.1595744680849151E-4</v>
      </c>
      <c r="CW56" s="10">
        <f t="shared" si="33"/>
        <v>9.999999999999276E-4</v>
      </c>
      <c r="CX56" s="10">
        <f t="shared" si="34"/>
        <v>1.4840425531913635E-3</v>
      </c>
      <c r="CY56" s="10">
        <f t="shared" si="35"/>
        <v>5.1595744680849151E-4</v>
      </c>
      <c r="CZ56" s="10">
        <f t="shared" si="36"/>
        <v>1.9680851063827998E-3</v>
      </c>
      <c r="DA56" s="10">
        <f t="shared" si="37"/>
        <v>9.999999999999276E-4</v>
      </c>
      <c r="DB56" s="10">
        <f t="shared" si="38"/>
        <v>1.242021276595538E-3</v>
      </c>
      <c r="DC56" s="10">
        <f t="shared" si="39"/>
        <v>-6.9414893617042092E-4</v>
      </c>
      <c r="DD56" s="10">
        <f t="shared" si="40"/>
        <v>-3.5984042553192518E-3</v>
      </c>
      <c r="DE56" s="10">
        <f t="shared" si="41"/>
        <v>4.6303191489360197E-3</v>
      </c>
      <c r="DF56" s="10">
        <f t="shared" si="42"/>
        <v>1.242021276595538E-3</v>
      </c>
      <c r="DG56" s="10">
        <f t="shared" si="43"/>
        <v>6.0824468085105433E-3</v>
      </c>
      <c r="DH56" s="10">
        <f t="shared" si="44"/>
        <v>9.999999999999276E-4</v>
      </c>
      <c r="DI56" s="10">
        <f t="shared" si="45"/>
        <v>5.1595744680849151E-4</v>
      </c>
      <c r="DJ56" s="10">
        <f t="shared" si="46"/>
        <v>1.9680851063827998E-3</v>
      </c>
      <c r="DK56" s="10">
        <f t="shared" si="47"/>
        <v>2.7393617021266608E-4</v>
      </c>
      <c r="DL56" s="10">
        <f t="shared" si="48"/>
        <v>-3.3563829787234263E-3</v>
      </c>
      <c r="DM56" s="10">
        <f t="shared" si="49"/>
        <v>3.1914893616840593E-5</v>
      </c>
      <c r="DN56" s="10">
        <f t="shared" si="50"/>
        <v>1.9680851063827998E-3</v>
      </c>
      <c r="DO56" s="10">
        <f t="shared" si="51"/>
        <v>3.1914893616840593E-5</v>
      </c>
      <c r="DP56" s="10">
        <f t="shared" si="52"/>
        <v>2.9361702127658866E-3</v>
      </c>
      <c r="DQ56" s="10">
        <f t="shared" si="53"/>
        <v>-6.9414893617042092E-4</v>
      </c>
      <c r="DR56" s="10">
        <f t="shared" si="54"/>
        <v>2.4521276595744507E-3</v>
      </c>
      <c r="DS56" s="10">
        <f t="shared" si="55"/>
        <v>5.5984042553191074E-3</v>
      </c>
      <c r="DT56" s="10">
        <f t="shared" si="56"/>
        <v>-2.1462765957447291E-3</v>
      </c>
      <c r="DU56" s="10">
        <f t="shared" si="57"/>
        <v>9.999999999999276E-4</v>
      </c>
      <c r="DV56" s="10">
        <f t="shared" si="58"/>
        <v>-2.1462765957447291E-3</v>
      </c>
      <c r="DW56" s="10">
        <f t="shared" si="59"/>
        <v>-2.1462765957447291E-3</v>
      </c>
    </row>
    <row r="57" spans="2:127" x14ac:dyDescent="0.45">
      <c r="B57" s="1">
        <v>24</v>
      </c>
      <c r="C57" s="1">
        <v>720</v>
      </c>
      <c r="D57" s="7">
        <f t="shared" si="60"/>
        <v>4.2197802197802199</v>
      </c>
      <c r="E57" s="1">
        <v>4.2060000000000004</v>
      </c>
      <c r="F57" s="1">
        <v>4.2249999999999996</v>
      </c>
      <c r="G57" s="1">
        <v>4.2210000000000001</v>
      </c>
      <c r="H57" s="1">
        <v>4.1950000000000003</v>
      </c>
      <c r="I57" s="1">
        <v>4.218</v>
      </c>
      <c r="J57" s="1">
        <v>4.2249999999999996</v>
      </c>
      <c r="K57" s="1">
        <v>4.2370000000000001</v>
      </c>
      <c r="L57" s="1">
        <v>4.2469999999999999</v>
      </c>
      <c r="M57" s="1">
        <v>4.2309999999999999</v>
      </c>
      <c r="N57" s="1">
        <v>4.2350000000000003</v>
      </c>
      <c r="O57" s="1">
        <v>4.2220000000000004</v>
      </c>
      <c r="P57" s="1">
        <v>4.21</v>
      </c>
      <c r="Q57" s="1">
        <v>4.2160000000000002</v>
      </c>
      <c r="R57" s="1">
        <v>4.2320000000000002</v>
      </c>
      <c r="S57" s="1">
        <v>4.2160000000000002</v>
      </c>
      <c r="T57" s="1">
        <v>4.2309999999999999</v>
      </c>
      <c r="U57" s="1">
        <v>4.2240000000000002</v>
      </c>
      <c r="V57" s="1">
        <v>4.2119999999999997</v>
      </c>
      <c r="W57" s="1">
        <v>4.2220000000000004</v>
      </c>
      <c r="X57" s="1">
        <v>4.2619999999999996</v>
      </c>
      <c r="Y57" s="1">
        <v>4.2030000000000003</v>
      </c>
      <c r="Z57" s="1">
        <v>4.2160000000000002</v>
      </c>
      <c r="AA57" s="1">
        <v>4.2370000000000001</v>
      </c>
      <c r="AB57" s="1">
        <v>4.2130000000000001</v>
      </c>
      <c r="AC57" s="1">
        <v>4.226</v>
      </c>
      <c r="AD57" s="1">
        <v>4.2240000000000002</v>
      </c>
      <c r="AE57" s="1">
        <v>4.226</v>
      </c>
      <c r="AF57" s="1">
        <v>4.2309999999999999</v>
      </c>
      <c r="AG57" s="1">
        <v>4.2359999999999998</v>
      </c>
      <c r="AH57" s="1">
        <v>4.2320000000000002</v>
      </c>
      <c r="AI57" s="1">
        <v>4.22</v>
      </c>
      <c r="AJ57" s="1">
        <v>4.226</v>
      </c>
      <c r="AK57" s="1">
        <v>4.2210000000000001</v>
      </c>
      <c r="AL57" s="1">
        <v>4.2240000000000002</v>
      </c>
      <c r="AM57" s="1">
        <v>4.2279999999999998</v>
      </c>
      <c r="AN57" s="1">
        <v>4.2240000000000002</v>
      </c>
      <c r="AO57" s="1">
        <v>4.2249999999999996</v>
      </c>
      <c r="AP57" s="1">
        <v>4.2240000000000002</v>
      </c>
      <c r="AQ57" s="1">
        <v>4.2210000000000001</v>
      </c>
      <c r="AR57" s="1">
        <v>4.218</v>
      </c>
      <c r="AS57" s="1">
        <v>4.2069999999999999</v>
      </c>
      <c r="AT57" s="1">
        <v>4.24</v>
      </c>
      <c r="AU57" s="1">
        <v>4.2240000000000002</v>
      </c>
      <c r="AV57" s="1">
        <v>4.2439999999999998</v>
      </c>
      <c r="AW57" s="1">
        <v>4.2240000000000002</v>
      </c>
      <c r="AX57" s="1">
        <v>4.2210000000000001</v>
      </c>
      <c r="AY57" s="1">
        <v>4.2279999999999998</v>
      </c>
      <c r="AZ57" s="1">
        <v>4.2210000000000001</v>
      </c>
      <c r="BA57" s="1">
        <v>4.2060000000000004</v>
      </c>
      <c r="BB57" s="1">
        <v>4.22</v>
      </c>
      <c r="BC57" s="1">
        <v>4.2249999999999996</v>
      </c>
      <c r="BD57" s="1">
        <v>4.22</v>
      </c>
      <c r="BE57" s="1">
        <v>4.2320000000000002</v>
      </c>
      <c r="BF57" s="1">
        <v>4.2169999999999996</v>
      </c>
      <c r="BG57" s="1">
        <v>4.2309999999999999</v>
      </c>
      <c r="BH57" s="1">
        <v>4.2439999999999998</v>
      </c>
      <c r="BI57" s="1">
        <v>4.2089999999999996</v>
      </c>
      <c r="BJ57" s="1">
        <v>4.2220000000000004</v>
      </c>
      <c r="BK57" s="1">
        <v>4.2130000000000001</v>
      </c>
      <c r="BL57" s="1">
        <v>4.2119999999999997</v>
      </c>
      <c r="BN57" s="9">
        <v>24</v>
      </c>
      <c r="BO57" s="9">
        <v>720</v>
      </c>
      <c r="BP57" s="10">
        <f t="shared" si="0"/>
        <v>-3.2656249999999292E-3</v>
      </c>
      <c r="BQ57" s="10">
        <f t="shared" si="1"/>
        <v>1.2369791666665571E-3</v>
      </c>
      <c r="BR57" s="10">
        <f t="shared" si="2"/>
        <v>2.8906249999999478E-4</v>
      </c>
      <c r="BS57" s="10">
        <f t="shared" si="3"/>
        <v>-5.8723958333332911E-3</v>
      </c>
      <c r="BT57" s="10">
        <f t="shared" si="4"/>
        <v>-4.2187500000003214E-4</v>
      </c>
      <c r="BU57" s="10">
        <f t="shared" si="5"/>
        <v>1.2369791666665571E-3</v>
      </c>
      <c r="BV57" s="10">
        <f t="shared" si="6"/>
        <v>4.0807291666666648E-3</v>
      </c>
      <c r="BW57" s="10">
        <f t="shared" si="7"/>
        <v>6.4505208333332804E-3</v>
      </c>
      <c r="BX57" s="10">
        <f t="shared" si="8"/>
        <v>2.6588541666666111E-3</v>
      </c>
      <c r="BY57" s="10">
        <f t="shared" si="9"/>
        <v>3.6067708333333837E-3</v>
      </c>
      <c r="BZ57" s="10">
        <f t="shared" si="10"/>
        <v>5.2604166666674057E-4</v>
      </c>
      <c r="CA57" s="10">
        <f t="shared" si="11"/>
        <v>-2.3177083333333673E-3</v>
      </c>
      <c r="CB57" s="10">
        <f t="shared" si="12"/>
        <v>-8.9583333333331328E-4</v>
      </c>
      <c r="CC57" s="10">
        <f t="shared" si="13"/>
        <v>2.8958333333333566E-3</v>
      </c>
      <c r="CD57" s="10">
        <f t="shared" si="14"/>
        <v>-8.9583333333331328E-4</v>
      </c>
      <c r="CE57" s="10">
        <f t="shared" si="15"/>
        <v>2.6588541666666111E-3</v>
      </c>
      <c r="CF57" s="10">
        <f t="shared" si="16"/>
        <v>1.0000000000000217E-3</v>
      </c>
      <c r="CG57" s="10">
        <f t="shared" si="17"/>
        <v>-1.843750000000086E-3</v>
      </c>
      <c r="CH57" s="10">
        <f t="shared" si="18"/>
        <v>5.2604166666674057E-4</v>
      </c>
      <c r="CI57" s="10">
        <f t="shared" si="19"/>
        <v>1.0005208333333205E-2</v>
      </c>
      <c r="CJ57" s="10">
        <f t="shared" si="20"/>
        <v>-3.9765624999999567E-3</v>
      </c>
      <c r="CK57" s="10">
        <f t="shared" si="21"/>
        <v>-8.9583333333331328E-4</v>
      </c>
      <c r="CL57" s="10">
        <f t="shared" si="22"/>
        <v>4.0807291666666648E-3</v>
      </c>
      <c r="CM57" s="10">
        <f t="shared" si="23"/>
        <v>-1.6067708333333403E-3</v>
      </c>
      <c r="CN57" s="10">
        <f t="shared" si="24"/>
        <v>1.4739583333333028E-3</v>
      </c>
      <c r="CO57" s="10">
        <f t="shared" si="25"/>
        <v>1.0000000000000217E-3</v>
      </c>
      <c r="CP57" s="10">
        <f t="shared" si="26"/>
        <v>1.4739583333333028E-3</v>
      </c>
      <c r="CQ57" s="10">
        <f t="shared" si="27"/>
        <v>2.6588541666666111E-3</v>
      </c>
      <c r="CR57" s="10">
        <f t="shared" si="28"/>
        <v>3.8437499999999188E-3</v>
      </c>
      <c r="CS57" s="10">
        <f t="shared" si="29"/>
        <v>2.8958333333333566E-3</v>
      </c>
      <c r="CT57" s="10">
        <f t="shared" si="30"/>
        <v>5.2083333333248952E-5</v>
      </c>
      <c r="CU57" s="10">
        <f t="shared" si="31"/>
        <v>1.4739583333333028E-3</v>
      </c>
      <c r="CV57" s="10">
        <f t="shared" si="32"/>
        <v>2.8906249999999478E-4</v>
      </c>
      <c r="CW57" s="10">
        <f t="shared" si="33"/>
        <v>1.0000000000000217E-3</v>
      </c>
      <c r="CX57" s="10">
        <f t="shared" si="34"/>
        <v>1.947916666666584E-3</v>
      </c>
      <c r="CY57" s="10">
        <f t="shared" si="35"/>
        <v>1.0000000000000217E-3</v>
      </c>
      <c r="CZ57" s="10">
        <f t="shared" si="36"/>
        <v>1.2369791666665571E-3</v>
      </c>
      <c r="DA57" s="10">
        <f t="shared" si="37"/>
        <v>1.0000000000000217E-3</v>
      </c>
      <c r="DB57" s="10">
        <f t="shared" si="38"/>
        <v>2.8906249999999478E-4</v>
      </c>
      <c r="DC57" s="10">
        <f t="shared" si="39"/>
        <v>-4.2187500000003214E-4</v>
      </c>
      <c r="DD57" s="10">
        <f t="shared" si="40"/>
        <v>-3.028645833333394E-3</v>
      </c>
      <c r="DE57" s="10">
        <f t="shared" si="41"/>
        <v>4.7916666666666915E-3</v>
      </c>
      <c r="DF57" s="10">
        <f t="shared" si="42"/>
        <v>1.0000000000000217E-3</v>
      </c>
      <c r="DG57" s="10">
        <f t="shared" si="43"/>
        <v>5.7395833333332537E-3</v>
      </c>
      <c r="DH57" s="10">
        <f t="shared" si="44"/>
        <v>1.0000000000000217E-3</v>
      </c>
      <c r="DI57" s="10">
        <f t="shared" si="45"/>
        <v>2.8906249999999478E-4</v>
      </c>
      <c r="DJ57" s="10">
        <f t="shared" si="46"/>
        <v>1.947916666666584E-3</v>
      </c>
      <c r="DK57" s="10">
        <f t="shared" si="47"/>
        <v>2.8906249999999478E-4</v>
      </c>
      <c r="DL57" s="10">
        <f t="shared" si="48"/>
        <v>-3.2656249999999292E-3</v>
      </c>
      <c r="DM57" s="10">
        <f t="shared" si="49"/>
        <v>5.2083333333248952E-5</v>
      </c>
      <c r="DN57" s="10">
        <f t="shared" si="50"/>
        <v>1.2369791666665571E-3</v>
      </c>
      <c r="DO57" s="10">
        <f t="shared" si="51"/>
        <v>5.2083333333248952E-5</v>
      </c>
      <c r="DP57" s="10">
        <f t="shared" si="52"/>
        <v>2.8958333333333566E-3</v>
      </c>
      <c r="DQ57" s="10">
        <f t="shared" si="53"/>
        <v>-6.5885416666677799E-4</v>
      </c>
      <c r="DR57" s="10">
        <f t="shared" si="54"/>
        <v>2.6588541666666111E-3</v>
      </c>
      <c r="DS57" s="10">
        <f t="shared" si="55"/>
        <v>5.7395833333332537E-3</v>
      </c>
      <c r="DT57" s="10">
        <f t="shared" si="56"/>
        <v>-2.5546875000001129E-3</v>
      </c>
      <c r="DU57" s="10">
        <f t="shared" si="57"/>
        <v>5.2604166666674057E-4</v>
      </c>
      <c r="DV57" s="10">
        <f t="shared" si="58"/>
        <v>-1.6067708333333403E-3</v>
      </c>
      <c r="DW57" s="10">
        <f t="shared" si="59"/>
        <v>-1.843750000000086E-3</v>
      </c>
    </row>
    <row r="58" spans="2:127" x14ac:dyDescent="0.45">
      <c r="B58" s="1">
        <v>24</v>
      </c>
      <c r="C58" s="1">
        <v>735</v>
      </c>
      <c r="D58" s="7">
        <f t="shared" si="60"/>
        <v>4.3076923076923075</v>
      </c>
      <c r="E58" s="1">
        <v>4.2930000000000001</v>
      </c>
      <c r="F58" s="1">
        <v>4.3129999999999997</v>
      </c>
      <c r="G58" s="1">
        <v>4.3090000000000002</v>
      </c>
      <c r="H58" s="1">
        <v>4.2850000000000001</v>
      </c>
      <c r="I58" s="1">
        <v>4.3040000000000003</v>
      </c>
      <c r="J58" s="1">
        <v>4.3120000000000003</v>
      </c>
      <c r="K58" s="1">
        <v>4.3250000000000002</v>
      </c>
      <c r="L58" s="1">
        <v>4.3390000000000004</v>
      </c>
      <c r="M58" s="1">
        <v>4.3170000000000002</v>
      </c>
      <c r="N58" s="1">
        <v>4.3239999999999998</v>
      </c>
      <c r="O58" s="1">
        <v>4.3090000000000002</v>
      </c>
      <c r="P58" s="1">
        <v>4.3</v>
      </c>
      <c r="Q58" s="1">
        <v>4.3040000000000003</v>
      </c>
      <c r="R58" s="1">
        <v>4.32</v>
      </c>
      <c r="S58" s="1">
        <v>4.3040000000000003</v>
      </c>
      <c r="T58" s="1">
        <v>4.32</v>
      </c>
      <c r="U58" s="1">
        <v>4.3129999999999997</v>
      </c>
      <c r="V58" s="1">
        <v>4.3</v>
      </c>
      <c r="W58" s="1">
        <v>4.3109999999999999</v>
      </c>
      <c r="X58" s="1">
        <v>4.3499999999999996</v>
      </c>
      <c r="Y58" s="1">
        <v>4.2919999999999998</v>
      </c>
      <c r="Z58" s="1">
        <v>4.3040000000000003</v>
      </c>
      <c r="AA58" s="1">
        <v>4.3239999999999998</v>
      </c>
      <c r="AB58" s="1">
        <v>4.3019999999999996</v>
      </c>
      <c r="AC58" s="1">
        <v>4.3129999999999997</v>
      </c>
      <c r="AD58" s="1">
        <v>4.3120000000000003</v>
      </c>
      <c r="AE58" s="1">
        <v>4.3159999999999998</v>
      </c>
      <c r="AF58" s="1">
        <v>4.319</v>
      </c>
      <c r="AG58" s="1">
        <v>4.3239999999999998</v>
      </c>
      <c r="AH58" s="1">
        <v>4.32</v>
      </c>
      <c r="AI58" s="1">
        <v>4.3070000000000004</v>
      </c>
      <c r="AJ58" s="1">
        <v>4.3170000000000002</v>
      </c>
      <c r="AK58" s="1">
        <v>4.3090000000000002</v>
      </c>
      <c r="AL58" s="1">
        <v>4.3120000000000003</v>
      </c>
      <c r="AM58" s="1">
        <v>4.3170000000000002</v>
      </c>
      <c r="AN58" s="1">
        <v>4.3109999999999999</v>
      </c>
      <c r="AO58" s="1">
        <v>4.3120000000000003</v>
      </c>
      <c r="AP58" s="1">
        <v>4.3120000000000003</v>
      </c>
      <c r="AQ58" s="1">
        <v>4.3079999999999998</v>
      </c>
      <c r="AR58" s="1">
        <v>4.3049999999999997</v>
      </c>
      <c r="AS58" s="1">
        <v>4.2960000000000003</v>
      </c>
      <c r="AT58" s="1">
        <v>4.3280000000000003</v>
      </c>
      <c r="AU58" s="1">
        <v>4.3090000000000002</v>
      </c>
      <c r="AV58" s="1">
        <v>4.3339999999999996</v>
      </c>
      <c r="AW58" s="1">
        <v>4.3109999999999999</v>
      </c>
      <c r="AX58" s="1">
        <v>4.3070000000000004</v>
      </c>
      <c r="AY58" s="1">
        <v>4.3159999999999998</v>
      </c>
      <c r="AZ58" s="1">
        <v>4.3120000000000003</v>
      </c>
      <c r="BA58" s="1">
        <v>4.2930000000000001</v>
      </c>
      <c r="BB58" s="1">
        <v>4.3079999999999998</v>
      </c>
      <c r="BC58" s="1">
        <v>4.3109999999999999</v>
      </c>
      <c r="BD58" s="1">
        <v>4.3070000000000004</v>
      </c>
      <c r="BE58" s="1">
        <v>4.3209999999999997</v>
      </c>
      <c r="BF58" s="1">
        <v>4.3040000000000003</v>
      </c>
      <c r="BG58" s="1">
        <v>4.319</v>
      </c>
      <c r="BH58" s="1">
        <v>4.3319999999999999</v>
      </c>
      <c r="BI58" s="1">
        <v>4.298</v>
      </c>
      <c r="BJ58" s="1">
        <v>4.3109999999999999</v>
      </c>
      <c r="BK58" s="1">
        <v>4.3010000000000002</v>
      </c>
      <c r="BL58" s="1">
        <v>4.298</v>
      </c>
      <c r="BN58" s="9">
        <v>24</v>
      </c>
      <c r="BO58" s="9">
        <v>735</v>
      </c>
      <c r="BP58" s="10">
        <f t="shared" si="0"/>
        <v>-3.4107142857142036E-3</v>
      </c>
      <c r="BQ58" s="10">
        <f t="shared" si="1"/>
        <v>1.2321428571428405E-3</v>
      </c>
      <c r="BR58" s="10">
        <f t="shared" si="2"/>
        <v>3.0357142857151409E-4</v>
      </c>
      <c r="BS58" s="10">
        <f t="shared" si="3"/>
        <v>-5.2678571428570629E-3</v>
      </c>
      <c r="BT58" s="10">
        <f t="shared" si="4"/>
        <v>-8.5714285714274694E-4</v>
      </c>
      <c r="BU58" s="10">
        <f t="shared" si="5"/>
        <v>1.0000000000001119E-3</v>
      </c>
      <c r="BV58" s="10">
        <f t="shared" si="6"/>
        <v>4.0178571428572318E-3</v>
      </c>
      <c r="BW58" s="10">
        <f t="shared" si="7"/>
        <v>7.2678571428572867E-3</v>
      </c>
      <c r="BX58" s="10">
        <f t="shared" si="8"/>
        <v>2.1607142857143729E-3</v>
      </c>
      <c r="BY58" s="10">
        <f t="shared" si="9"/>
        <v>3.7857142857142972E-3</v>
      </c>
      <c r="BZ58" s="10">
        <f t="shared" si="10"/>
        <v>3.0357142857151409E-4</v>
      </c>
      <c r="CA58" s="10">
        <f t="shared" si="11"/>
        <v>-1.7857142857142794E-3</v>
      </c>
      <c r="CB58" s="10">
        <f t="shared" si="12"/>
        <v>-8.5714285714274694E-4</v>
      </c>
      <c r="CC58" s="10">
        <f t="shared" si="13"/>
        <v>2.8571428571429708E-3</v>
      </c>
      <c r="CD58" s="10">
        <f t="shared" si="14"/>
        <v>-8.5714285714274694E-4</v>
      </c>
      <c r="CE58" s="10">
        <f t="shared" si="15"/>
        <v>2.8571428571429708E-3</v>
      </c>
      <c r="CF58" s="10">
        <f t="shared" si="16"/>
        <v>1.2321428571428405E-3</v>
      </c>
      <c r="CG58" s="10">
        <f t="shared" si="17"/>
        <v>-1.7857142857142794E-3</v>
      </c>
      <c r="CH58" s="10">
        <f t="shared" si="18"/>
        <v>7.678571428571773E-4</v>
      </c>
      <c r="CI58" s="10">
        <f t="shared" si="19"/>
        <v>9.8214285714285365E-3</v>
      </c>
      <c r="CJ58" s="10">
        <f t="shared" si="20"/>
        <v>-3.6428571428571382E-3</v>
      </c>
      <c r="CK58" s="10">
        <f t="shared" si="21"/>
        <v>-8.5714285714274694E-4</v>
      </c>
      <c r="CL58" s="10">
        <f t="shared" si="22"/>
        <v>3.7857142857142972E-3</v>
      </c>
      <c r="CM58" s="10">
        <f t="shared" si="23"/>
        <v>-1.3214285714286164E-3</v>
      </c>
      <c r="CN58" s="10">
        <f t="shared" si="24"/>
        <v>1.2321428571428405E-3</v>
      </c>
      <c r="CO58" s="10">
        <f t="shared" si="25"/>
        <v>1.0000000000001119E-3</v>
      </c>
      <c r="CP58" s="10">
        <f t="shared" si="26"/>
        <v>1.9285714285714383E-3</v>
      </c>
      <c r="CQ58" s="10">
        <f t="shared" si="27"/>
        <v>2.6250000000000362E-3</v>
      </c>
      <c r="CR58" s="10">
        <f t="shared" si="28"/>
        <v>3.7857142857142972E-3</v>
      </c>
      <c r="CS58" s="10">
        <f t="shared" si="29"/>
        <v>2.8571428571429708E-3</v>
      </c>
      <c r="CT58" s="10">
        <f t="shared" si="30"/>
        <v>-1.6071428571414907E-4</v>
      </c>
      <c r="CU58" s="10">
        <f t="shared" si="31"/>
        <v>2.1607142857143729E-3</v>
      </c>
      <c r="CV58" s="10">
        <f t="shared" si="32"/>
        <v>3.0357142857151409E-4</v>
      </c>
      <c r="CW58" s="10">
        <f t="shared" si="33"/>
        <v>1.0000000000001119E-3</v>
      </c>
      <c r="CX58" s="10">
        <f t="shared" si="34"/>
        <v>2.1607142857143729E-3</v>
      </c>
      <c r="CY58" s="10">
        <f t="shared" si="35"/>
        <v>7.678571428571773E-4</v>
      </c>
      <c r="CZ58" s="10">
        <f t="shared" si="36"/>
        <v>1.0000000000001119E-3</v>
      </c>
      <c r="DA58" s="10">
        <f t="shared" si="37"/>
        <v>1.0000000000001119E-3</v>
      </c>
      <c r="DB58" s="10">
        <f t="shared" si="38"/>
        <v>7.142857142857943E-5</v>
      </c>
      <c r="DC58" s="10">
        <f t="shared" si="39"/>
        <v>-6.2500000000001844E-4</v>
      </c>
      <c r="DD58" s="10">
        <f t="shared" si="40"/>
        <v>-2.7142857142856058E-3</v>
      </c>
      <c r="DE58" s="10">
        <f t="shared" si="41"/>
        <v>4.7142857142858296E-3</v>
      </c>
      <c r="DF58" s="10">
        <f t="shared" si="42"/>
        <v>3.0357142857151409E-4</v>
      </c>
      <c r="DG58" s="10">
        <f t="shared" si="43"/>
        <v>6.1071428571428188E-3</v>
      </c>
      <c r="DH58" s="10">
        <f t="shared" si="44"/>
        <v>7.678571428571773E-4</v>
      </c>
      <c r="DI58" s="10">
        <f t="shared" si="45"/>
        <v>-1.6071428571414907E-4</v>
      </c>
      <c r="DJ58" s="10">
        <f t="shared" si="46"/>
        <v>1.9285714285714383E-3</v>
      </c>
      <c r="DK58" s="10">
        <f t="shared" si="47"/>
        <v>1.0000000000001119E-3</v>
      </c>
      <c r="DL58" s="10">
        <f t="shared" si="48"/>
        <v>-3.4107142857142036E-3</v>
      </c>
      <c r="DM58" s="10">
        <f t="shared" si="49"/>
        <v>7.142857142857943E-5</v>
      </c>
      <c r="DN58" s="10">
        <f t="shared" si="50"/>
        <v>7.678571428571773E-4</v>
      </c>
      <c r="DO58" s="10">
        <f t="shared" si="51"/>
        <v>-1.6071428571414907E-4</v>
      </c>
      <c r="DP58" s="10">
        <f t="shared" si="52"/>
        <v>3.0892857142856994E-3</v>
      </c>
      <c r="DQ58" s="10">
        <f t="shared" si="53"/>
        <v>-8.5714285714274694E-4</v>
      </c>
      <c r="DR58" s="10">
        <f t="shared" si="54"/>
        <v>2.6250000000000362E-3</v>
      </c>
      <c r="DS58" s="10">
        <f t="shared" si="55"/>
        <v>5.642857142857156E-3</v>
      </c>
      <c r="DT58" s="10">
        <f t="shared" si="56"/>
        <v>-2.2499999999999426E-3</v>
      </c>
      <c r="DU58" s="10">
        <f t="shared" si="57"/>
        <v>7.678571428571773E-4</v>
      </c>
      <c r="DV58" s="10">
        <f t="shared" si="58"/>
        <v>-1.5535714285713448E-3</v>
      </c>
      <c r="DW58" s="10">
        <f t="shared" si="59"/>
        <v>-2.2499999999999426E-3</v>
      </c>
    </row>
    <row r="59" spans="2:127" x14ac:dyDescent="0.45">
      <c r="B59" s="1">
        <v>24</v>
      </c>
      <c r="C59" s="1">
        <v>750</v>
      </c>
      <c r="D59" s="7">
        <f t="shared" si="60"/>
        <v>4.395604395604396</v>
      </c>
      <c r="E59" s="1">
        <v>4.38</v>
      </c>
      <c r="F59" s="1">
        <v>4.4029999999999996</v>
      </c>
      <c r="G59" s="1">
        <v>4.3970000000000002</v>
      </c>
      <c r="H59" s="1">
        <v>4.3719999999999999</v>
      </c>
      <c r="I59" s="1">
        <v>4.3929999999999998</v>
      </c>
      <c r="J59" s="1">
        <v>4.3970000000000002</v>
      </c>
      <c r="K59" s="1">
        <v>4.4139999999999997</v>
      </c>
      <c r="L59" s="1">
        <v>4.423</v>
      </c>
      <c r="M59" s="1">
        <v>4.407</v>
      </c>
      <c r="N59" s="1">
        <v>4.4139999999999997</v>
      </c>
      <c r="O59" s="1">
        <v>4.3959999999999999</v>
      </c>
      <c r="P59" s="1">
        <v>4.3890000000000002</v>
      </c>
      <c r="Q59" s="1">
        <v>4.3920000000000003</v>
      </c>
      <c r="R59" s="1">
        <v>4.407</v>
      </c>
      <c r="S59" s="1">
        <v>4.391</v>
      </c>
      <c r="T59" s="1">
        <v>4.41</v>
      </c>
      <c r="U59" s="1">
        <v>4.4000000000000004</v>
      </c>
      <c r="V59" s="1">
        <v>4.391</v>
      </c>
      <c r="W59" s="1">
        <v>4.399</v>
      </c>
      <c r="X59" s="1">
        <v>4.4370000000000003</v>
      </c>
      <c r="Y59" s="1">
        <v>4.38</v>
      </c>
      <c r="Z59" s="1">
        <v>4.3920000000000003</v>
      </c>
      <c r="AA59" s="1">
        <v>4.415</v>
      </c>
      <c r="AB59" s="1">
        <v>4.3890000000000002</v>
      </c>
      <c r="AC59" s="1">
        <v>4.4009999999999998</v>
      </c>
      <c r="AD59" s="1">
        <v>4.399</v>
      </c>
      <c r="AE59" s="1">
        <v>4.4059999999999997</v>
      </c>
      <c r="AF59" s="1">
        <v>4.4059999999999997</v>
      </c>
      <c r="AG59" s="1">
        <v>4.4109999999999996</v>
      </c>
      <c r="AH59" s="1">
        <v>4.4080000000000004</v>
      </c>
      <c r="AI59" s="1">
        <v>4.3959999999999999</v>
      </c>
      <c r="AJ59" s="1">
        <v>4.4059999999999997</v>
      </c>
      <c r="AK59" s="1">
        <v>4.3959999999999999</v>
      </c>
      <c r="AL59" s="1">
        <v>4.399</v>
      </c>
      <c r="AM59" s="1">
        <v>4.4039999999999999</v>
      </c>
      <c r="AN59" s="1">
        <v>4.4000000000000004</v>
      </c>
      <c r="AO59" s="1">
        <v>4.4009999999999998</v>
      </c>
      <c r="AP59" s="1">
        <v>4.399</v>
      </c>
      <c r="AQ59" s="1">
        <v>4.3959999999999999</v>
      </c>
      <c r="AR59" s="1">
        <v>4.3929999999999998</v>
      </c>
      <c r="AS59" s="1">
        <v>4.3849999999999998</v>
      </c>
      <c r="AT59" s="1">
        <v>4.4160000000000004</v>
      </c>
      <c r="AU59" s="1">
        <v>4.3959999999999999</v>
      </c>
      <c r="AV59" s="1">
        <v>4.4189999999999996</v>
      </c>
      <c r="AW59" s="1">
        <v>4.399</v>
      </c>
      <c r="AX59" s="1">
        <v>4.3929999999999998</v>
      </c>
      <c r="AY59" s="1">
        <v>4.4039999999999999</v>
      </c>
      <c r="AZ59" s="1">
        <v>4.4000000000000004</v>
      </c>
      <c r="BA59" s="1">
        <v>4.3819999999999997</v>
      </c>
      <c r="BB59" s="1">
        <v>4.3949999999999996</v>
      </c>
      <c r="BC59" s="1">
        <v>4.399</v>
      </c>
      <c r="BD59" s="1">
        <v>4.3949999999999996</v>
      </c>
      <c r="BE59" s="1">
        <v>4.4080000000000004</v>
      </c>
      <c r="BF59" s="1">
        <v>4.391</v>
      </c>
      <c r="BG59" s="1">
        <v>4.407</v>
      </c>
      <c r="BH59" s="1">
        <v>4.4180000000000001</v>
      </c>
      <c r="BI59" s="1">
        <v>4.3869999999999996</v>
      </c>
      <c r="BJ59" s="1">
        <v>4.3970000000000002</v>
      </c>
      <c r="BK59" s="1">
        <v>4.3879999999999999</v>
      </c>
      <c r="BL59" s="1">
        <v>4.3849999999999998</v>
      </c>
      <c r="BN59" s="9">
        <v>24</v>
      </c>
      <c r="BO59" s="9">
        <v>750</v>
      </c>
      <c r="BP59" s="10">
        <f t="shared" si="0"/>
        <v>-3.5500000000001082E-3</v>
      </c>
      <c r="BQ59" s="10">
        <f t="shared" si="1"/>
        <v>1.6824999999998202E-3</v>
      </c>
      <c r="BR59" s="10">
        <f t="shared" si="2"/>
        <v>3.1749999999997058E-4</v>
      </c>
      <c r="BS59" s="10">
        <f t="shared" si="3"/>
        <v>-5.3700000000001099E-3</v>
      </c>
      <c r="BT59" s="10">
        <f t="shared" si="4"/>
        <v>-5.9250000000013122E-4</v>
      </c>
      <c r="BU59" s="10">
        <f t="shared" si="5"/>
        <v>3.1749999999997058E-4</v>
      </c>
      <c r="BV59" s="10">
        <f t="shared" si="6"/>
        <v>4.1849999999998477E-3</v>
      </c>
      <c r="BW59" s="10">
        <f t="shared" si="7"/>
        <v>6.2324999999999247E-3</v>
      </c>
      <c r="BX59" s="10">
        <f t="shared" si="8"/>
        <v>2.5924999999999217E-3</v>
      </c>
      <c r="BY59" s="10">
        <f t="shared" si="9"/>
        <v>4.1849999999998477E-3</v>
      </c>
      <c r="BZ59" s="10">
        <f t="shared" si="10"/>
        <v>8.9999999999894608E-5</v>
      </c>
      <c r="CA59" s="10">
        <f t="shared" si="11"/>
        <v>-1.5025000000000309E-3</v>
      </c>
      <c r="CB59" s="10">
        <f t="shared" si="12"/>
        <v>-8.2000000000000508E-4</v>
      </c>
      <c r="CC59" s="10">
        <f t="shared" si="13"/>
        <v>2.5924999999999217E-3</v>
      </c>
      <c r="CD59" s="10">
        <f t="shared" si="14"/>
        <v>-1.0475000000000811E-3</v>
      </c>
      <c r="CE59" s="10">
        <f t="shared" si="15"/>
        <v>3.2749999999999477E-3</v>
      </c>
      <c r="CF59" s="10">
        <f t="shared" si="16"/>
        <v>9.9999999999999633E-4</v>
      </c>
      <c r="CG59" s="10">
        <f t="shared" si="17"/>
        <v>-1.0475000000000811E-3</v>
      </c>
      <c r="CH59" s="10">
        <f t="shared" si="18"/>
        <v>7.7249999999992039E-4</v>
      </c>
      <c r="CI59" s="10">
        <f t="shared" si="19"/>
        <v>9.417499999999978E-3</v>
      </c>
      <c r="CJ59" s="10">
        <f t="shared" si="20"/>
        <v>-3.5500000000001082E-3</v>
      </c>
      <c r="CK59" s="10">
        <f t="shared" si="21"/>
        <v>-8.2000000000000508E-4</v>
      </c>
      <c r="CL59" s="10">
        <f t="shared" si="22"/>
        <v>4.4124999999999234E-3</v>
      </c>
      <c r="CM59" s="10">
        <f t="shared" si="23"/>
        <v>-1.5025000000000309E-3</v>
      </c>
      <c r="CN59" s="10">
        <f t="shared" si="24"/>
        <v>1.2274999999998702E-3</v>
      </c>
      <c r="CO59" s="10">
        <f t="shared" si="25"/>
        <v>7.7249999999992039E-4</v>
      </c>
      <c r="CP59" s="10">
        <f t="shared" si="26"/>
        <v>2.364999999999846E-3</v>
      </c>
      <c r="CQ59" s="10">
        <f t="shared" si="27"/>
        <v>2.364999999999846E-3</v>
      </c>
      <c r="CR59" s="10">
        <f t="shared" si="28"/>
        <v>3.5024999999998217E-3</v>
      </c>
      <c r="CS59" s="10">
        <f t="shared" si="29"/>
        <v>2.8199999999999979E-3</v>
      </c>
      <c r="CT59" s="10">
        <f t="shared" si="30"/>
        <v>8.9999999999894608E-5</v>
      </c>
      <c r="CU59" s="10">
        <f t="shared" si="31"/>
        <v>2.364999999999846E-3</v>
      </c>
      <c r="CV59" s="10">
        <f t="shared" si="32"/>
        <v>8.9999999999894608E-5</v>
      </c>
      <c r="CW59" s="10">
        <f t="shared" si="33"/>
        <v>7.7249999999992039E-4</v>
      </c>
      <c r="CX59" s="10">
        <f t="shared" si="34"/>
        <v>1.9099999999998962E-3</v>
      </c>
      <c r="CY59" s="10">
        <f t="shared" si="35"/>
        <v>9.9999999999999633E-4</v>
      </c>
      <c r="CZ59" s="10">
        <f t="shared" si="36"/>
        <v>1.2274999999998702E-3</v>
      </c>
      <c r="DA59" s="10">
        <f t="shared" si="37"/>
        <v>7.7249999999992039E-4</v>
      </c>
      <c r="DB59" s="10">
        <f t="shared" si="38"/>
        <v>8.9999999999894608E-5</v>
      </c>
      <c r="DC59" s="10">
        <f t="shared" si="39"/>
        <v>-5.9250000000013122E-4</v>
      </c>
      <c r="DD59" s="10">
        <f t="shared" si="40"/>
        <v>-2.4125000000001329E-3</v>
      </c>
      <c r="DE59" s="10">
        <f t="shared" si="41"/>
        <v>4.6399999999999992E-3</v>
      </c>
      <c r="DF59" s="10">
        <f t="shared" si="42"/>
        <v>8.9999999999894608E-5</v>
      </c>
      <c r="DG59" s="10">
        <f t="shared" si="43"/>
        <v>5.322499999999823E-3</v>
      </c>
      <c r="DH59" s="10">
        <f t="shared" si="44"/>
        <v>7.7249999999992039E-4</v>
      </c>
      <c r="DI59" s="10">
        <f t="shared" si="45"/>
        <v>-5.9250000000013122E-4</v>
      </c>
      <c r="DJ59" s="10">
        <f t="shared" si="46"/>
        <v>1.9099999999998962E-3</v>
      </c>
      <c r="DK59" s="10">
        <f t="shared" si="47"/>
        <v>9.9999999999999633E-4</v>
      </c>
      <c r="DL59" s="10">
        <f t="shared" si="48"/>
        <v>-3.0950000000001584E-3</v>
      </c>
      <c r="DM59" s="10">
        <f t="shared" si="49"/>
        <v>-1.3750000000018134E-4</v>
      </c>
      <c r="DN59" s="10">
        <f t="shared" si="50"/>
        <v>7.7249999999992039E-4</v>
      </c>
      <c r="DO59" s="10">
        <f t="shared" si="51"/>
        <v>-1.3750000000018134E-4</v>
      </c>
      <c r="DP59" s="10">
        <f t="shared" si="52"/>
        <v>2.8199999999999979E-3</v>
      </c>
      <c r="DQ59" s="10">
        <f t="shared" si="53"/>
        <v>-1.0475000000000811E-3</v>
      </c>
      <c r="DR59" s="10">
        <f t="shared" si="54"/>
        <v>2.5924999999999217E-3</v>
      </c>
      <c r="DS59" s="10">
        <f t="shared" si="55"/>
        <v>5.0949999999999494E-3</v>
      </c>
      <c r="DT59" s="10">
        <f t="shared" si="56"/>
        <v>-1.9575000000001826E-3</v>
      </c>
      <c r="DU59" s="10">
        <f t="shared" si="57"/>
        <v>3.1749999999997058E-4</v>
      </c>
      <c r="DV59" s="10">
        <f t="shared" si="58"/>
        <v>-1.7300000000001069E-3</v>
      </c>
      <c r="DW59" s="10">
        <f t="shared" si="59"/>
        <v>-2.4125000000001329E-3</v>
      </c>
    </row>
    <row r="60" spans="2:127" x14ac:dyDescent="0.45">
      <c r="B60" s="1">
        <v>24</v>
      </c>
      <c r="C60" s="1">
        <v>765</v>
      </c>
      <c r="D60" s="7">
        <f t="shared" si="60"/>
        <v>4.4835164835164836</v>
      </c>
      <c r="E60" s="1">
        <v>4.4669999999999996</v>
      </c>
      <c r="F60" s="1">
        <v>4.4909999999999997</v>
      </c>
      <c r="G60" s="1">
        <v>4.4829999999999997</v>
      </c>
      <c r="H60" s="1">
        <v>4.46</v>
      </c>
      <c r="I60" s="1">
        <v>4.4809999999999999</v>
      </c>
      <c r="J60" s="1">
        <v>4.484</v>
      </c>
      <c r="K60" s="1">
        <v>4.4989999999999997</v>
      </c>
      <c r="L60" s="1">
        <v>4.51</v>
      </c>
      <c r="M60" s="1">
        <v>4.4950000000000001</v>
      </c>
      <c r="N60" s="1">
        <v>4.5</v>
      </c>
      <c r="O60" s="1">
        <v>4.4809999999999999</v>
      </c>
      <c r="P60" s="1">
        <v>4.4790000000000001</v>
      </c>
      <c r="Q60" s="1">
        <v>4.4800000000000004</v>
      </c>
      <c r="R60" s="1">
        <v>4.4950000000000001</v>
      </c>
      <c r="S60" s="1">
        <v>4.4790000000000001</v>
      </c>
      <c r="T60" s="1">
        <v>4.4980000000000002</v>
      </c>
      <c r="U60" s="1">
        <v>4.4880000000000004</v>
      </c>
      <c r="V60" s="1">
        <v>4.4770000000000003</v>
      </c>
      <c r="W60" s="1">
        <v>4.4880000000000004</v>
      </c>
      <c r="X60" s="1">
        <v>4.524</v>
      </c>
      <c r="Y60" s="1">
        <v>4.4649999999999999</v>
      </c>
      <c r="Z60" s="1">
        <v>4.4800000000000004</v>
      </c>
      <c r="AA60" s="1">
        <v>4.5030000000000001</v>
      </c>
      <c r="AB60" s="1">
        <v>4.4770000000000003</v>
      </c>
      <c r="AC60" s="1">
        <v>4.4870000000000001</v>
      </c>
      <c r="AD60" s="1">
        <v>4.4880000000000004</v>
      </c>
      <c r="AE60" s="1">
        <v>4.4939999999999998</v>
      </c>
      <c r="AF60" s="1">
        <v>4.4950000000000001</v>
      </c>
      <c r="AG60" s="1">
        <v>4.4989999999999997</v>
      </c>
      <c r="AH60" s="1">
        <v>4.4950000000000001</v>
      </c>
      <c r="AI60" s="1">
        <v>4.4829999999999997</v>
      </c>
      <c r="AJ60" s="1">
        <v>4.4939999999999998</v>
      </c>
      <c r="AK60" s="1">
        <v>4.4859999999999998</v>
      </c>
      <c r="AL60" s="1">
        <v>4.4870000000000001</v>
      </c>
      <c r="AM60" s="1">
        <v>4.4909999999999997</v>
      </c>
      <c r="AN60" s="1">
        <v>4.4880000000000004</v>
      </c>
      <c r="AO60" s="1">
        <v>4.492</v>
      </c>
      <c r="AP60" s="1">
        <v>4.4859999999999998</v>
      </c>
      <c r="AQ60" s="1">
        <v>4.4809999999999999</v>
      </c>
      <c r="AR60" s="1">
        <v>4.4809999999999999</v>
      </c>
      <c r="AS60" s="1">
        <v>4.4729999999999999</v>
      </c>
      <c r="AT60" s="1">
        <v>4.5</v>
      </c>
      <c r="AU60" s="1">
        <v>4.4809999999999999</v>
      </c>
      <c r="AV60" s="1">
        <v>4.5060000000000002</v>
      </c>
      <c r="AW60" s="1">
        <v>4.4870000000000001</v>
      </c>
      <c r="AX60" s="1">
        <v>4.4809999999999999</v>
      </c>
      <c r="AY60" s="1">
        <v>4.4939999999999998</v>
      </c>
      <c r="AZ60" s="1">
        <v>4.4870000000000001</v>
      </c>
      <c r="BA60" s="1">
        <v>4.4690000000000003</v>
      </c>
      <c r="BB60" s="1">
        <v>4.484</v>
      </c>
      <c r="BC60" s="1">
        <v>4.4870000000000001</v>
      </c>
      <c r="BD60" s="1">
        <v>4.4809999999999999</v>
      </c>
      <c r="BE60" s="1">
        <v>4.4950000000000001</v>
      </c>
      <c r="BF60" s="1">
        <v>4.4770000000000003</v>
      </c>
      <c r="BG60" s="1">
        <v>4.4960000000000004</v>
      </c>
      <c r="BH60" s="1">
        <v>4.5060000000000002</v>
      </c>
      <c r="BI60" s="1">
        <v>4.4770000000000003</v>
      </c>
      <c r="BJ60" s="1">
        <v>4.484</v>
      </c>
      <c r="BK60" s="1">
        <v>4.4800000000000004</v>
      </c>
      <c r="BL60" s="1">
        <v>4.4710000000000001</v>
      </c>
      <c r="BN60" s="9">
        <v>24</v>
      </c>
      <c r="BO60" s="9">
        <v>765</v>
      </c>
      <c r="BP60" s="10">
        <f t="shared" si="0"/>
        <v>-3.6838235294118587E-3</v>
      </c>
      <c r="BQ60" s="10">
        <f t="shared" si="1"/>
        <v>1.6691176470587344E-3</v>
      </c>
      <c r="BR60" s="10">
        <f t="shared" si="2"/>
        <v>-1.1519607843146327E-4</v>
      </c>
      <c r="BS60" s="10">
        <f t="shared" si="3"/>
        <v>-5.2450980392157072E-3</v>
      </c>
      <c r="BT60" s="10">
        <f t="shared" si="4"/>
        <v>-5.612745098039631E-4</v>
      </c>
      <c r="BU60" s="10">
        <f t="shared" si="5"/>
        <v>1.0784313725488572E-4</v>
      </c>
      <c r="BV60" s="10">
        <f t="shared" si="6"/>
        <v>3.4534313725489321E-3</v>
      </c>
      <c r="BW60" s="10">
        <f t="shared" si="7"/>
        <v>5.9068627450979787E-3</v>
      </c>
      <c r="BX60" s="10">
        <f t="shared" si="8"/>
        <v>2.5612745098039322E-3</v>
      </c>
      <c r="BY60" s="10">
        <f t="shared" si="9"/>
        <v>3.6764705882352811E-3</v>
      </c>
      <c r="BZ60" s="10">
        <f t="shared" si="10"/>
        <v>-5.612745098039631E-4</v>
      </c>
      <c r="CA60" s="10">
        <f t="shared" si="11"/>
        <v>-1.0073529411764631E-3</v>
      </c>
      <c r="CB60" s="10">
        <f t="shared" si="12"/>
        <v>-7.8431372549011408E-4</v>
      </c>
      <c r="CC60" s="10">
        <f t="shared" si="13"/>
        <v>2.5612745098039322E-3</v>
      </c>
      <c r="CD60" s="10">
        <f t="shared" si="14"/>
        <v>-1.0073529411764631E-3</v>
      </c>
      <c r="CE60" s="10">
        <f t="shared" si="15"/>
        <v>3.2303921568627809E-3</v>
      </c>
      <c r="CF60" s="10">
        <f t="shared" si="16"/>
        <v>1.0000000000000835E-3</v>
      </c>
      <c r="CG60" s="10">
        <f t="shared" si="17"/>
        <v>-1.4534313725489629E-3</v>
      </c>
      <c r="CH60" s="10">
        <f t="shared" si="18"/>
        <v>1.0000000000000835E-3</v>
      </c>
      <c r="CI60" s="10">
        <f t="shared" si="19"/>
        <v>9.0294117647058744E-3</v>
      </c>
      <c r="CJ60" s="10">
        <f t="shared" si="20"/>
        <v>-4.1299019607843584E-3</v>
      </c>
      <c r="CK60" s="10">
        <f t="shared" si="21"/>
        <v>-7.8431372549011408E-4</v>
      </c>
      <c r="CL60" s="10">
        <f t="shared" si="22"/>
        <v>4.3455882352941297E-3</v>
      </c>
      <c r="CM60" s="10">
        <f t="shared" si="23"/>
        <v>-1.4534313725489629E-3</v>
      </c>
      <c r="CN60" s="10">
        <f t="shared" si="24"/>
        <v>7.7696078431373455E-4</v>
      </c>
      <c r="CO60" s="10">
        <f t="shared" si="25"/>
        <v>1.0000000000000835E-3</v>
      </c>
      <c r="CP60" s="10">
        <f t="shared" si="26"/>
        <v>2.3382352941175833E-3</v>
      </c>
      <c r="CQ60" s="10">
        <f t="shared" si="27"/>
        <v>2.5612745098039322E-3</v>
      </c>
      <c r="CR60" s="10">
        <f t="shared" si="28"/>
        <v>3.4534313725489321E-3</v>
      </c>
      <c r="CS60" s="10">
        <f t="shared" si="29"/>
        <v>2.5612745098039322E-3</v>
      </c>
      <c r="CT60" s="10">
        <f t="shared" si="30"/>
        <v>-1.1519607843146327E-4</v>
      </c>
      <c r="CU60" s="10">
        <f t="shared" si="31"/>
        <v>2.3382352941175833E-3</v>
      </c>
      <c r="CV60" s="10">
        <f t="shared" si="32"/>
        <v>5.539215686273856E-4</v>
      </c>
      <c r="CW60" s="10">
        <f t="shared" si="33"/>
        <v>7.7696078431373455E-4</v>
      </c>
      <c r="CX60" s="10">
        <f t="shared" si="34"/>
        <v>1.6691176470587344E-3</v>
      </c>
      <c r="CY60" s="10">
        <f t="shared" si="35"/>
        <v>1.0000000000000835E-3</v>
      </c>
      <c r="CZ60" s="10">
        <f t="shared" si="36"/>
        <v>1.8921568627450834E-3</v>
      </c>
      <c r="DA60" s="10">
        <f t="shared" si="37"/>
        <v>5.539215686273856E-4</v>
      </c>
      <c r="DB60" s="10">
        <f t="shared" si="38"/>
        <v>-5.612745098039631E-4</v>
      </c>
      <c r="DC60" s="10">
        <f t="shared" si="39"/>
        <v>-5.612745098039631E-4</v>
      </c>
      <c r="DD60" s="10">
        <f t="shared" si="40"/>
        <v>-2.3455882352941609E-3</v>
      </c>
      <c r="DE60" s="10">
        <f t="shared" si="41"/>
        <v>3.6764705882352811E-3</v>
      </c>
      <c r="DF60" s="10">
        <f t="shared" si="42"/>
        <v>-5.612745098039631E-4</v>
      </c>
      <c r="DG60" s="10">
        <f t="shared" si="43"/>
        <v>5.0147058823529784E-3</v>
      </c>
      <c r="DH60" s="10">
        <f t="shared" si="44"/>
        <v>7.7696078431373455E-4</v>
      </c>
      <c r="DI60" s="10">
        <f t="shared" si="45"/>
        <v>-5.612745098039631E-4</v>
      </c>
      <c r="DJ60" s="10">
        <f t="shared" si="46"/>
        <v>2.3382352941175833E-3</v>
      </c>
      <c r="DK60" s="10">
        <f t="shared" si="47"/>
        <v>7.7696078431373455E-4</v>
      </c>
      <c r="DL60" s="10">
        <f t="shared" si="48"/>
        <v>-3.2377450980391608E-3</v>
      </c>
      <c r="DM60" s="10">
        <f t="shared" si="49"/>
        <v>1.0784313725488572E-4</v>
      </c>
      <c r="DN60" s="10">
        <f t="shared" si="50"/>
        <v>7.7696078431373455E-4</v>
      </c>
      <c r="DO60" s="10">
        <f t="shared" si="51"/>
        <v>-5.612745098039631E-4</v>
      </c>
      <c r="DP60" s="10">
        <f t="shared" si="52"/>
        <v>2.5612745098039322E-3</v>
      </c>
      <c r="DQ60" s="10">
        <f t="shared" si="53"/>
        <v>-1.4534313725489629E-3</v>
      </c>
      <c r="DR60" s="10">
        <f t="shared" si="54"/>
        <v>2.7843137254902812E-3</v>
      </c>
      <c r="DS60" s="10">
        <f t="shared" si="55"/>
        <v>5.0147058823529784E-3</v>
      </c>
      <c r="DT60" s="10">
        <f t="shared" si="56"/>
        <v>-1.4534313725489629E-3</v>
      </c>
      <c r="DU60" s="10">
        <f t="shared" si="57"/>
        <v>1.0784313725488572E-4</v>
      </c>
      <c r="DV60" s="10">
        <f t="shared" si="58"/>
        <v>-7.8431372549011408E-4</v>
      </c>
      <c r="DW60" s="10">
        <f t="shared" si="59"/>
        <v>-2.7916666666666606E-3</v>
      </c>
    </row>
    <row r="61" spans="2:127" x14ac:dyDescent="0.45">
      <c r="B61" s="1">
        <v>24</v>
      </c>
      <c r="C61" s="1">
        <v>780</v>
      </c>
      <c r="D61" s="7">
        <f t="shared" si="60"/>
        <v>4.5714285714285712</v>
      </c>
      <c r="E61" s="1">
        <v>4.556</v>
      </c>
      <c r="F61" s="1">
        <v>4.5789999999999997</v>
      </c>
      <c r="G61" s="1">
        <v>4.57</v>
      </c>
      <c r="H61" s="1">
        <v>4.548</v>
      </c>
      <c r="I61" s="1">
        <v>4.5679999999999996</v>
      </c>
      <c r="J61" s="1">
        <v>4.5670000000000002</v>
      </c>
      <c r="K61" s="1">
        <v>4.5860000000000003</v>
      </c>
      <c r="L61" s="1">
        <v>4.5949999999999998</v>
      </c>
      <c r="M61" s="1">
        <v>4.5819999999999999</v>
      </c>
      <c r="N61" s="1">
        <v>4.59</v>
      </c>
      <c r="O61" s="1">
        <v>4.5659999999999998</v>
      </c>
      <c r="P61" s="1">
        <v>4.5670000000000002</v>
      </c>
      <c r="Q61" s="1">
        <v>4.5679999999999996</v>
      </c>
      <c r="R61" s="1">
        <v>4.5830000000000002</v>
      </c>
      <c r="S61" s="1">
        <v>4.5659999999999998</v>
      </c>
      <c r="T61" s="1">
        <v>4.5869999999999997</v>
      </c>
      <c r="U61" s="1">
        <v>4.5759999999999996</v>
      </c>
      <c r="V61" s="1">
        <v>4.5659999999999998</v>
      </c>
      <c r="W61" s="1">
        <v>4.5750000000000002</v>
      </c>
      <c r="X61" s="1">
        <v>4.6139999999999999</v>
      </c>
      <c r="Y61" s="1">
        <v>4.5549999999999997</v>
      </c>
      <c r="Z61" s="1">
        <v>4.5670000000000002</v>
      </c>
      <c r="AA61" s="1">
        <v>4.593</v>
      </c>
      <c r="AB61" s="1">
        <v>4.5629999999999997</v>
      </c>
      <c r="AC61" s="1">
        <v>4.5679999999999996</v>
      </c>
      <c r="AD61" s="1">
        <v>4.5739999999999998</v>
      </c>
      <c r="AE61" s="1">
        <v>4.58</v>
      </c>
      <c r="AF61" s="1">
        <v>4.5830000000000002</v>
      </c>
      <c r="AG61" s="1">
        <v>4.5869999999999997</v>
      </c>
      <c r="AH61" s="1">
        <v>4.585</v>
      </c>
      <c r="AI61" s="1">
        <v>4.5709999999999997</v>
      </c>
      <c r="AJ61" s="1">
        <v>4.5789999999999997</v>
      </c>
      <c r="AK61" s="1">
        <v>4.5720000000000001</v>
      </c>
      <c r="AL61" s="1">
        <v>4.5750000000000002</v>
      </c>
      <c r="AM61" s="1">
        <v>4.5789999999999997</v>
      </c>
      <c r="AN61" s="1">
        <v>4.5759999999999996</v>
      </c>
      <c r="AO61" s="1">
        <v>4.5819999999999999</v>
      </c>
      <c r="AP61" s="1">
        <v>4.5709999999999997</v>
      </c>
      <c r="AQ61" s="1">
        <v>4.5709999999999997</v>
      </c>
      <c r="AR61" s="1">
        <v>4.57</v>
      </c>
      <c r="AS61" s="1">
        <v>4.5620000000000003</v>
      </c>
      <c r="AT61" s="1">
        <v>4.59</v>
      </c>
      <c r="AU61" s="1">
        <v>4.5709999999999997</v>
      </c>
      <c r="AV61" s="1">
        <v>4.5949999999999998</v>
      </c>
      <c r="AW61" s="1">
        <v>4.5750000000000002</v>
      </c>
      <c r="AX61" s="1">
        <v>4.5679999999999996</v>
      </c>
      <c r="AY61" s="1">
        <v>4.5819999999999999</v>
      </c>
      <c r="AZ61" s="1">
        <v>4.5750000000000002</v>
      </c>
      <c r="BA61" s="1">
        <v>4.5570000000000004</v>
      </c>
      <c r="BB61" s="1">
        <v>4.5720000000000001</v>
      </c>
      <c r="BC61" s="1">
        <v>4.5780000000000003</v>
      </c>
      <c r="BD61" s="1">
        <v>4.5679999999999996</v>
      </c>
      <c r="BE61" s="1">
        <v>4.58</v>
      </c>
      <c r="BF61" s="1">
        <v>4.5640000000000001</v>
      </c>
      <c r="BG61" s="1">
        <v>4.5830000000000002</v>
      </c>
      <c r="BH61" s="1">
        <v>4.5949999999999998</v>
      </c>
      <c r="BI61" s="1">
        <v>4.5670000000000002</v>
      </c>
      <c r="BJ61" s="1">
        <v>4.5720000000000001</v>
      </c>
      <c r="BK61" s="1">
        <v>4.5620000000000003</v>
      </c>
      <c r="BL61" s="1">
        <v>4.5570000000000004</v>
      </c>
      <c r="BN61" s="9">
        <v>24</v>
      </c>
      <c r="BO61" s="9">
        <v>780</v>
      </c>
      <c r="BP61" s="10">
        <f t="shared" si="0"/>
        <v>-3.3749999999999336E-3</v>
      </c>
      <c r="BQ61" s="10">
        <f t="shared" si="1"/>
        <v>1.656249999999998E-3</v>
      </c>
      <c r="BR61" s="10">
        <f t="shared" si="2"/>
        <v>-3.1249999999988232E-4</v>
      </c>
      <c r="BS61" s="10">
        <f t="shared" si="3"/>
        <v>-5.1249999999999352E-3</v>
      </c>
      <c r="BT61" s="10">
        <f t="shared" si="4"/>
        <v>-7.5000000000002842E-4</v>
      </c>
      <c r="BU61" s="10">
        <f t="shared" si="5"/>
        <v>-9.6874999999990719E-4</v>
      </c>
      <c r="BV61" s="10">
        <f t="shared" si="6"/>
        <v>3.1875000000001208E-3</v>
      </c>
      <c r="BW61" s="10">
        <f t="shared" si="7"/>
        <v>5.1562500000000011E-3</v>
      </c>
      <c r="BX61" s="10">
        <f t="shared" si="8"/>
        <v>2.3125000000000229E-3</v>
      </c>
      <c r="BY61" s="10">
        <f t="shared" si="9"/>
        <v>4.0625000000000244E-3</v>
      </c>
      <c r="BZ61" s="10">
        <f t="shared" si="10"/>
        <v>-1.1874999999999802E-3</v>
      </c>
      <c r="CA61" s="10">
        <f t="shared" si="11"/>
        <v>-9.6874999999990719E-4</v>
      </c>
      <c r="CB61" s="10">
        <f t="shared" si="12"/>
        <v>-7.5000000000002842E-4</v>
      </c>
      <c r="CC61" s="10">
        <f t="shared" si="13"/>
        <v>2.5312500000000959E-3</v>
      </c>
      <c r="CD61" s="10">
        <f t="shared" si="14"/>
        <v>-1.1874999999999802E-3</v>
      </c>
      <c r="CE61" s="10">
        <f t="shared" si="15"/>
        <v>3.4062499999999996E-3</v>
      </c>
      <c r="CF61" s="10">
        <f t="shared" si="16"/>
        <v>9.9999999999997313E-4</v>
      </c>
      <c r="CG61" s="10">
        <f t="shared" si="17"/>
        <v>-1.1874999999999802E-3</v>
      </c>
      <c r="CH61" s="10">
        <f t="shared" si="18"/>
        <v>7.8125000000009437E-4</v>
      </c>
      <c r="CI61" s="10">
        <f t="shared" si="19"/>
        <v>9.3125000000000291E-3</v>
      </c>
      <c r="CJ61" s="10">
        <f t="shared" si="20"/>
        <v>-3.5937500000000067E-3</v>
      </c>
      <c r="CK61" s="10">
        <f t="shared" si="21"/>
        <v>-9.6874999999990719E-4</v>
      </c>
      <c r="CL61" s="10">
        <f t="shared" si="22"/>
        <v>4.7187500000000493E-3</v>
      </c>
      <c r="CM61" s="10">
        <f t="shared" si="23"/>
        <v>-1.8437500000000051E-3</v>
      </c>
      <c r="CN61" s="10">
        <f t="shared" si="24"/>
        <v>-7.5000000000002842E-4</v>
      </c>
      <c r="CO61" s="10">
        <f t="shared" si="25"/>
        <v>5.6250000000002132E-4</v>
      </c>
      <c r="CP61" s="10">
        <f t="shared" si="26"/>
        <v>1.8750000000000711E-3</v>
      </c>
      <c r="CQ61" s="10">
        <f t="shared" si="27"/>
        <v>2.5312500000000959E-3</v>
      </c>
      <c r="CR61" s="10">
        <f t="shared" si="28"/>
        <v>3.4062499999999996E-3</v>
      </c>
      <c r="CS61" s="10">
        <f t="shared" si="29"/>
        <v>2.9687500000000477E-3</v>
      </c>
      <c r="CT61" s="10">
        <f t="shared" si="30"/>
        <v>-9.3750000000003553E-5</v>
      </c>
      <c r="CU61" s="10">
        <f t="shared" si="31"/>
        <v>1.656249999999998E-3</v>
      </c>
      <c r="CV61" s="10">
        <f t="shared" si="32"/>
        <v>1.250000000000695E-4</v>
      </c>
      <c r="CW61" s="10">
        <f t="shared" si="33"/>
        <v>7.8125000000009437E-4</v>
      </c>
      <c r="CX61" s="10">
        <f t="shared" si="34"/>
        <v>1.656249999999998E-3</v>
      </c>
      <c r="CY61" s="10">
        <f t="shared" si="35"/>
        <v>9.9999999999997313E-4</v>
      </c>
      <c r="CZ61" s="10">
        <f t="shared" si="36"/>
        <v>2.3125000000000229E-3</v>
      </c>
      <c r="DA61" s="10">
        <f t="shared" si="37"/>
        <v>-9.3750000000003553E-5</v>
      </c>
      <c r="DB61" s="10">
        <f t="shared" si="38"/>
        <v>-9.3750000000003553E-5</v>
      </c>
      <c r="DC61" s="10">
        <f t="shared" si="39"/>
        <v>-3.1249999999988232E-4</v>
      </c>
      <c r="DD61" s="10">
        <f t="shared" si="40"/>
        <v>-2.0624999999998839E-3</v>
      </c>
      <c r="DE61" s="10">
        <f t="shared" si="41"/>
        <v>4.0625000000000244E-3</v>
      </c>
      <c r="DF61" s="10">
        <f t="shared" si="42"/>
        <v>-9.3750000000003553E-5</v>
      </c>
      <c r="DG61" s="10">
        <f t="shared" si="43"/>
        <v>5.1562500000000011E-3</v>
      </c>
      <c r="DH61" s="10">
        <f t="shared" si="44"/>
        <v>7.8125000000009437E-4</v>
      </c>
      <c r="DI61" s="10">
        <f t="shared" si="45"/>
        <v>-7.5000000000002842E-4</v>
      </c>
      <c r="DJ61" s="10">
        <f t="shared" si="46"/>
        <v>2.3125000000000229E-3</v>
      </c>
      <c r="DK61" s="10">
        <f t="shared" si="47"/>
        <v>7.8125000000009437E-4</v>
      </c>
      <c r="DL61" s="10">
        <f t="shared" si="48"/>
        <v>-3.1562499999998606E-3</v>
      </c>
      <c r="DM61" s="10">
        <f t="shared" si="49"/>
        <v>1.250000000000695E-4</v>
      </c>
      <c r="DN61" s="10">
        <f t="shared" si="50"/>
        <v>1.4375000000001192E-3</v>
      </c>
      <c r="DO61" s="10">
        <f t="shared" si="51"/>
        <v>-7.5000000000002842E-4</v>
      </c>
      <c r="DP61" s="10">
        <f t="shared" si="52"/>
        <v>1.8750000000000711E-3</v>
      </c>
      <c r="DQ61" s="10">
        <f t="shared" si="53"/>
        <v>-1.6249999999999321E-3</v>
      </c>
      <c r="DR61" s="10">
        <f t="shared" si="54"/>
        <v>2.5312500000000959E-3</v>
      </c>
      <c r="DS61" s="10">
        <f t="shared" si="55"/>
        <v>5.1562500000000011E-3</v>
      </c>
      <c r="DT61" s="10">
        <f t="shared" si="56"/>
        <v>-9.6874999999990719E-4</v>
      </c>
      <c r="DU61" s="10">
        <f t="shared" si="57"/>
        <v>1.250000000000695E-4</v>
      </c>
      <c r="DV61" s="10">
        <f t="shared" si="58"/>
        <v>-2.0624999999998839E-3</v>
      </c>
      <c r="DW61" s="10">
        <f t="shared" si="59"/>
        <v>-3.1562499999998606E-3</v>
      </c>
    </row>
    <row r="62" spans="2:127" x14ac:dyDescent="0.45">
      <c r="B62" s="1">
        <v>24</v>
      </c>
      <c r="C62" s="1">
        <v>795</v>
      </c>
      <c r="D62" s="7">
        <f t="shared" si="60"/>
        <v>4.6593406593406597</v>
      </c>
      <c r="E62" s="1">
        <v>4.6459999999999999</v>
      </c>
      <c r="F62" s="1">
        <v>4.6669999999999998</v>
      </c>
      <c r="G62" s="1">
        <v>4.6580000000000004</v>
      </c>
      <c r="H62" s="1">
        <v>4.6369999999999996</v>
      </c>
      <c r="I62" s="1">
        <v>4.6550000000000002</v>
      </c>
      <c r="J62" s="1">
        <v>4.6559999999999997</v>
      </c>
      <c r="K62" s="1">
        <v>4.6740000000000004</v>
      </c>
      <c r="L62" s="1">
        <v>4.6859999999999999</v>
      </c>
      <c r="M62" s="1">
        <v>4.67</v>
      </c>
      <c r="N62" s="1">
        <v>4.6779999999999999</v>
      </c>
      <c r="O62" s="1">
        <v>4.6509999999999998</v>
      </c>
      <c r="P62" s="1">
        <v>4.6550000000000002</v>
      </c>
      <c r="Q62" s="1">
        <v>4.6559999999999997</v>
      </c>
      <c r="R62" s="1">
        <v>4.6710000000000003</v>
      </c>
      <c r="S62" s="1">
        <v>4.6539999999999999</v>
      </c>
      <c r="T62" s="1">
        <v>4.6740000000000004</v>
      </c>
      <c r="U62" s="1">
        <v>4.665</v>
      </c>
      <c r="V62" s="1">
        <v>4.6550000000000002</v>
      </c>
      <c r="W62" s="1">
        <v>4.6619999999999999</v>
      </c>
      <c r="X62" s="1">
        <v>4.7</v>
      </c>
      <c r="Y62" s="1">
        <v>4.6479999999999997</v>
      </c>
      <c r="Z62" s="1">
        <v>4.6550000000000002</v>
      </c>
      <c r="AA62" s="1">
        <v>4.6820000000000004</v>
      </c>
      <c r="AB62" s="1">
        <v>4.6500000000000004</v>
      </c>
      <c r="AC62" s="1">
        <v>4.6580000000000004</v>
      </c>
      <c r="AD62" s="1">
        <v>4.6630000000000003</v>
      </c>
      <c r="AE62" s="1">
        <v>4.6689999999999996</v>
      </c>
      <c r="AF62" s="1">
        <v>4.6689999999999996</v>
      </c>
      <c r="AG62" s="1">
        <v>4.673</v>
      </c>
      <c r="AH62" s="1">
        <v>4.6740000000000004</v>
      </c>
      <c r="AI62" s="1">
        <v>4.6619999999999999</v>
      </c>
      <c r="AJ62" s="1">
        <v>4.6710000000000003</v>
      </c>
      <c r="AK62" s="1">
        <v>4.6609999999999996</v>
      </c>
      <c r="AL62" s="1">
        <v>4.6609999999999996</v>
      </c>
      <c r="AM62" s="1">
        <v>4.6689999999999996</v>
      </c>
      <c r="AN62" s="1">
        <v>4.6660000000000004</v>
      </c>
      <c r="AO62" s="1">
        <v>4.6710000000000003</v>
      </c>
      <c r="AP62" s="1">
        <v>4.6609999999999996</v>
      </c>
      <c r="AQ62" s="1">
        <v>4.6619999999999999</v>
      </c>
      <c r="AR62" s="1">
        <v>4.6589999999999998</v>
      </c>
      <c r="AS62" s="1">
        <v>4.6479999999999997</v>
      </c>
      <c r="AT62" s="1">
        <v>4.681</v>
      </c>
      <c r="AU62" s="1">
        <v>4.6619999999999999</v>
      </c>
      <c r="AV62" s="1">
        <v>4.6820000000000004</v>
      </c>
      <c r="AW62" s="1">
        <v>4.6630000000000003</v>
      </c>
      <c r="AX62" s="1">
        <v>4.6559999999999997</v>
      </c>
      <c r="AY62" s="1">
        <v>4.67</v>
      </c>
      <c r="AZ62" s="1">
        <v>4.6630000000000003</v>
      </c>
      <c r="BA62" s="1">
        <v>4.6440000000000001</v>
      </c>
      <c r="BB62" s="1">
        <v>4.6589999999999998</v>
      </c>
      <c r="BC62" s="1">
        <v>4.6660000000000004</v>
      </c>
      <c r="BD62" s="1">
        <v>4.6559999999999997</v>
      </c>
      <c r="BE62" s="1">
        <v>4.6689999999999996</v>
      </c>
      <c r="BF62" s="1">
        <v>4.6539999999999999</v>
      </c>
      <c r="BG62" s="1">
        <v>4.6669999999999998</v>
      </c>
      <c r="BH62" s="1">
        <v>4.6859999999999999</v>
      </c>
      <c r="BI62" s="1">
        <v>4.6550000000000002</v>
      </c>
      <c r="BJ62" s="1">
        <v>4.6609999999999996</v>
      </c>
      <c r="BK62" s="1">
        <v>4.6479999999999997</v>
      </c>
      <c r="BL62" s="1">
        <v>4.6440000000000001</v>
      </c>
      <c r="BN62" s="9">
        <v>24</v>
      </c>
      <c r="BO62" s="9">
        <v>795</v>
      </c>
      <c r="BP62" s="10">
        <f t="shared" si="0"/>
        <v>-2.8632075471699001E-3</v>
      </c>
      <c r="BQ62" s="10">
        <f t="shared" si="1"/>
        <v>1.643867924528193E-3</v>
      </c>
      <c r="BR62" s="10">
        <f t="shared" si="2"/>
        <v>-2.8773584905659511E-4</v>
      </c>
      <c r="BS62" s="10">
        <f t="shared" si="3"/>
        <v>-4.7948113207548788E-3</v>
      </c>
      <c r="BT62" s="10">
        <f t="shared" si="4"/>
        <v>-9.316037735849213E-4</v>
      </c>
      <c r="BU62" s="10">
        <f t="shared" si="5"/>
        <v>-7.1698113207560631E-4</v>
      </c>
      <c r="BV62" s="10">
        <f t="shared" si="6"/>
        <v>3.146226415094351E-3</v>
      </c>
      <c r="BW62" s="10">
        <f t="shared" si="7"/>
        <v>5.7216981132074659E-3</v>
      </c>
      <c r="BX62" s="10">
        <f t="shared" si="8"/>
        <v>2.287735849056519E-3</v>
      </c>
      <c r="BY62" s="10">
        <f t="shared" si="9"/>
        <v>4.0047169811319927E-3</v>
      </c>
      <c r="BZ62" s="10">
        <f t="shared" si="10"/>
        <v>-1.7900943396227532E-3</v>
      </c>
      <c r="CA62" s="10">
        <f t="shared" si="11"/>
        <v>-9.316037735849213E-4</v>
      </c>
      <c r="CB62" s="10">
        <f t="shared" si="12"/>
        <v>-7.1698113207560631E-4</v>
      </c>
      <c r="CC62" s="10">
        <f t="shared" si="13"/>
        <v>2.502358490566025E-3</v>
      </c>
      <c r="CD62" s="10">
        <f t="shared" si="14"/>
        <v>-1.1462264150944269E-3</v>
      </c>
      <c r="CE62" s="10">
        <f t="shared" si="15"/>
        <v>3.146226415094351E-3</v>
      </c>
      <c r="CF62" s="10">
        <f t="shared" si="16"/>
        <v>1.2146226415093724E-3</v>
      </c>
      <c r="CG62" s="10">
        <f t="shared" si="17"/>
        <v>-9.316037735849213E-4</v>
      </c>
      <c r="CH62" s="10">
        <f t="shared" si="18"/>
        <v>5.7075471698104618E-4</v>
      </c>
      <c r="CI62" s="10">
        <f t="shared" si="19"/>
        <v>8.7264150943395912E-3</v>
      </c>
      <c r="CJ62" s="10">
        <f t="shared" si="20"/>
        <v>-2.4339622641510795E-3</v>
      </c>
      <c r="CK62" s="10">
        <f t="shared" si="21"/>
        <v>-9.316037735849213E-4</v>
      </c>
      <c r="CL62" s="10">
        <f t="shared" si="22"/>
        <v>4.8632075471698238E-3</v>
      </c>
      <c r="CM62" s="10">
        <f t="shared" si="23"/>
        <v>-2.0047169811320681E-3</v>
      </c>
      <c r="CN62" s="10">
        <f t="shared" si="24"/>
        <v>-2.8773584905659511E-4</v>
      </c>
      <c r="CO62" s="10">
        <f t="shared" si="25"/>
        <v>7.8537735849055178E-4</v>
      </c>
      <c r="CP62" s="10">
        <f t="shared" si="26"/>
        <v>2.0731132075470136E-3</v>
      </c>
      <c r="CQ62" s="10">
        <f t="shared" si="27"/>
        <v>2.0731132075470136E-3</v>
      </c>
      <c r="CR62" s="10">
        <f t="shared" si="28"/>
        <v>2.9316037735848456E-3</v>
      </c>
      <c r="CS62" s="10">
        <f t="shared" si="29"/>
        <v>3.146226415094351E-3</v>
      </c>
      <c r="CT62" s="10">
        <f t="shared" si="30"/>
        <v>5.7075471698104618E-4</v>
      </c>
      <c r="CU62" s="10">
        <f t="shared" si="31"/>
        <v>2.502358490566025E-3</v>
      </c>
      <c r="CV62" s="10">
        <f t="shared" si="32"/>
        <v>3.5613207547154053E-4</v>
      </c>
      <c r="CW62" s="10">
        <f t="shared" si="33"/>
        <v>3.5613207547154053E-4</v>
      </c>
      <c r="CX62" s="10">
        <f t="shared" si="34"/>
        <v>2.0731132075470136E-3</v>
      </c>
      <c r="CY62" s="10">
        <f t="shared" si="35"/>
        <v>1.4292452830188781E-3</v>
      </c>
      <c r="CZ62" s="10">
        <f t="shared" si="36"/>
        <v>2.502358490566025E-3</v>
      </c>
      <c r="DA62" s="10">
        <f t="shared" si="37"/>
        <v>3.5613207547154053E-4</v>
      </c>
      <c r="DB62" s="10">
        <f t="shared" si="38"/>
        <v>5.7075471698104618E-4</v>
      </c>
      <c r="DC62" s="10">
        <f t="shared" si="39"/>
        <v>-7.3113207547280106E-5</v>
      </c>
      <c r="DD62" s="10">
        <f t="shared" si="40"/>
        <v>-2.4339622641510795E-3</v>
      </c>
      <c r="DE62" s="10">
        <f t="shared" si="41"/>
        <v>4.6485849056603183E-3</v>
      </c>
      <c r="DF62" s="10">
        <f t="shared" si="42"/>
        <v>5.7075471698104618E-4</v>
      </c>
      <c r="DG62" s="10">
        <f t="shared" si="43"/>
        <v>4.8632075471698238E-3</v>
      </c>
      <c r="DH62" s="10">
        <f t="shared" si="44"/>
        <v>7.8537735849055178E-4</v>
      </c>
      <c r="DI62" s="10">
        <f t="shared" si="45"/>
        <v>-7.1698113207560631E-4</v>
      </c>
      <c r="DJ62" s="10">
        <f t="shared" si="46"/>
        <v>2.287735849056519E-3</v>
      </c>
      <c r="DK62" s="10">
        <f t="shared" si="47"/>
        <v>7.8537735849055178E-4</v>
      </c>
      <c r="DL62" s="10">
        <f t="shared" si="48"/>
        <v>-3.2924528301887207E-3</v>
      </c>
      <c r="DM62" s="10">
        <f t="shared" si="49"/>
        <v>-7.3113207547280106E-5</v>
      </c>
      <c r="DN62" s="10">
        <f t="shared" si="50"/>
        <v>1.4292452830188781E-3</v>
      </c>
      <c r="DO62" s="10">
        <f t="shared" si="51"/>
        <v>-7.1698113207560631E-4</v>
      </c>
      <c r="DP62" s="10">
        <f t="shared" si="52"/>
        <v>2.0731132075470136E-3</v>
      </c>
      <c r="DQ62" s="10">
        <f t="shared" si="53"/>
        <v>-1.1462264150944269E-3</v>
      </c>
      <c r="DR62" s="10">
        <f t="shared" si="54"/>
        <v>1.643867924528193E-3</v>
      </c>
      <c r="DS62" s="10">
        <f t="shared" si="55"/>
        <v>5.7216981132074659E-3</v>
      </c>
      <c r="DT62" s="10">
        <f t="shared" si="56"/>
        <v>-9.316037735849213E-4</v>
      </c>
      <c r="DU62" s="10">
        <f t="shared" si="57"/>
        <v>3.5613207547154053E-4</v>
      </c>
      <c r="DV62" s="10">
        <f t="shared" si="58"/>
        <v>-2.4339622641510795E-3</v>
      </c>
      <c r="DW62" s="10">
        <f t="shared" si="59"/>
        <v>-3.2924528301887207E-3</v>
      </c>
    </row>
    <row r="63" spans="2:127" x14ac:dyDescent="0.45">
      <c r="B63" s="1">
        <v>24</v>
      </c>
      <c r="C63" s="1">
        <v>810</v>
      </c>
      <c r="D63" s="7">
        <f t="shared" si="60"/>
        <v>4.7472527472527473</v>
      </c>
      <c r="E63" s="1">
        <v>4.734</v>
      </c>
      <c r="F63" s="1">
        <v>4.7569999999999997</v>
      </c>
      <c r="G63" s="1">
        <v>4.7460000000000004</v>
      </c>
      <c r="H63" s="1">
        <v>4.726</v>
      </c>
      <c r="I63" s="1">
        <v>4.7450000000000001</v>
      </c>
      <c r="J63" s="1">
        <v>4.7469999999999999</v>
      </c>
      <c r="K63" s="1">
        <v>4.7649999999999997</v>
      </c>
      <c r="L63" s="1">
        <v>4.7729999999999997</v>
      </c>
      <c r="M63" s="1">
        <v>4.758</v>
      </c>
      <c r="N63" s="1">
        <v>4.766</v>
      </c>
      <c r="O63" s="1">
        <v>4.7380000000000004</v>
      </c>
      <c r="P63" s="1">
        <v>4.7430000000000003</v>
      </c>
      <c r="Q63" s="1">
        <v>4.7450000000000001</v>
      </c>
      <c r="R63" s="1">
        <v>4.758</v>
      </c>
      <c r="S63" s="1">
        <v>4.7430000000000003</v>
      </c>
      <c r="T63" s="1">
        <v>4.7619999999999996</v>
      </c>
      <c r="U63" s="1">
        <v>4.7530000000000001</v>
      </c>
      <c r="V63" s="1">
        <v>4.742</v>
      </c>
      <c r="W63" s="1">
        <v>4.7489999999999997</v>
      </c>
      <c r="X63" s="1">
        <v>4.7850000000000001</v>
      </c>
      <c r="Y63" s="1">
        <v>4.7279999999999998</v>
      </c>
      <c r="Z63" s="1">
        <v>4.742</v>
      </c>
      <c r="AA63" s="1">
        <v>4.7690000000000001</v>
      </c>
      <c r="AB63" s="1">
        <v>4.7359999999999998</v>
      </c>
      <c r="AC63" s="1">
        <v>4.7489999999999997</v>
      </c>
      <c r="AD63" s="1">
        <v>4.7510000000000003</v>
      </c>
      <c r="AE63" s="1">
        <v>4.7569999999999997</v>
      </c>
      <c r="AF63" s="1">
        <v>4.7549999999999999</v>
      </c>
      <c r="AG63" s="1">
        <v>4.7610000000000001</v>
      </c>
      <c r="AH63" s="1">
        <v>4.7619999999999996</v>
      </c>
      <c r="AI63" s="1">
        <v>4.75</v>
      </c>
      <c r="AJ63" s="1">
        <v>4.758</v>
      </c>
      <c r="AK63" s="1">
        <v>4.7469999999999999</v>
      </c>
      <c r="AL63" s="1">
        <v>4.7469999999999999</v>
      </c>
      <c r="AM63" s="1">
        <v>4.7549999999999999</v>
      </c>
      <c r="AN63" s="1">
        <v>4.7539999999999996</v>
      </c>
      <c r="AO63" s="1">
        <v>4.76</v>
      </c>
      <c r="AP63" s="1">
        <v>4.75</v>
      </c>
      <c r="AQ63" s="1">
        <v>4.7510000000000003</v>
      </c>
      <c r="AR63" s="1">
        <v>4.7469999999999999</v>
      </c>
      <c r="AS63" s="1">
        <v>4.7350000000000003</v>
      </c>
      <c r="AT63" s="1">
        <v>4.7690000000000001</v>
      </c>
      <c r="AU63" s="1">
        <v>4.7539999999999996</v>
      </c>
      <c r="AV63" s="1">
        <v>4.7729999999999997</v>
      </c>
      <c r="AW63" s="1">
        <v>4.7510000000000003</v>
      </c>
      <c r="AX63" s="1">
        <v>4.7450000000000001</v>
      </c>
      <c r="AY63" s="1">
        <v>4.7549999999999999</v>
      </c>
      <c r="AZ63" s="1">
        <v>4.7510000000000003</v>
      </c>
      <c r="BA63" s="1">
        <v>4.7320000000000002</v>
      </c>
      <c r="BB63" s="1">
        <v>4.7469999999999999</v>
      </c>
      <c r="BC63" s="1">
        <v>4.7549999999999999</v>
      </c>
      <c r="BD63" s="1">
        <v>4.7430000000000003</v>
      </c>
      <c r="BE63" s="1">
        <v>4.758</v>
      </c>
      <c r="BF63" s="1">
        <v>4.7430000000000003</v>
      </c>
      <c r="BG63" s="1">
        <v>4.7549999999999999</v>
      </c>
      <c r="BH63" s="1">
        <v>4.7690000000000001</v>
      </c>
      <c r="BI63" s="1">
        <v>4.7430000000000003</v>
      </c>
      <c r="BJ63" s="1">
        <v>4.7489999999999997</v>
      </c>
      <c r="BK63" s="1">
        <v>4.7460000000000004</v>
      </c>
      <c r="BL63" s="1">
        <v>4.7359999999999998</v>
      </c>
      <c r="BN63" s="9">
        <v>24</v>
      </c>
      <c r="BO63" s="9">
        <v>810</v>
      </c>
      <c r="BP63" s="10">
        <f t="shared" si="0"/>
        <v>-2.7916666666666719E-3</v>
      </c>
      <c r="BQ63" s="10">
        <f t="shared" si="1"/>
        <v>2.0532407407406698E-3</v>
      </c>
      <c r="BR63" s="10">
        <f t="shared" si="2"/>
        <v>-2.6388888888879817E-4</v>
      </c>
      <c r="BS63" s="10">
        <f t="shared" si="3"/>
        <v>-4.4768518518518586E-3</v>
      </c>
      <c r="BT63" s="10">
        <f t="shared" si="4"/>
        <v>-4.7453703703701666E-4</v>
      </c>
      <c r="BU63" s="10">
        <f t="shared" si="5"/>
        <v>-5.3240740740766744E-5</v>
      </c>
      <c r="BV63" s="10">
        <f t="shared" si="6"/>
        <v>3.7384259259258565E-3</v>
      </c>
      <c r="BW63" s="10">
        <f t="shared" si="7"/>
        <v>5.4236111111110432E-3</v>
      </c>
      <c r="BX63" s="10">
        <f t="shared" si="8"/>
        <v>2.2638888888888882E-3</v>
      </c>
      <c r="BY63" s="10">
        <f t="shared" si="9"/>
        <v>3.9490740740740753E-3</v>
      </c>
      <c r="BZ63" s="10">
        <f t="shared" si="10"/>
        <v>-1.9490740740739849E-3</v>
      </c>
      <c r="CA63" s="10">
        <f t="shared" si="11"/>
        <v>-8.9583333333326655E-4</v>
      </c>
      <c r="CB63" s="10">
        <f t="shared" si="12"/>
        <v>-4.7453703703701666E-4</v>
      </c>
      <c r="CC63" s="10">
        <f t="shared" si="13"/>
        <v>2.2638888888888882E-3</v>
      </c>
      <c r="CD63" s="10">
        <f t="shared" si="14"/>
        <v>-8.9583333333326655E-4</v>
      </c>
      <c r="CE63" s="10">
        <f t="shared" si="15"/>
        <v>3.1064814814813881E-3</v>
      </c>
      <c r="CF63" s="10">
        <f t="shared" si="16"/>
        <v>1.2106481481481701E-3</v>
      </c>
      <c r="CG63" s="10">
        <f t="shared" si="17"/>
        <v>-1.106481481481485E-3</v>
      </c>
      <c r="CH63" s="10">
        <f t="shared" si="18"/>
        <v>3.6805555555548313E-4</v>
      </c>
      <c r="CI63" s="10">
        <f t="shared" si="19"/>
        <v>7.9513888888889175E-3</v>
      </c>
      <c r="CJ63" s="10">
        <f t="shared" si="20"/>
        <v>-4.0555555555556082E-3</v>
      </c>
      <c r="CK63" s="10">
        <f t="shared" si="21"/>
        <v>-1.106481481481485E-3</v>
      </c>
      <c r="CL63" s="10">
        <f t="shared" si="22"/>
        <v>4.5810185185185433E-3</v>
      </c>
      <c r="CM63" s="10">
        <f t="shared" si="23"/>
        <v>-2.3703703703704219E-3</v>
      </c>
      <c r="CN63" s="10">
        <f t="shared" si="24"/>
        <v>3.6805555555548313E-4</v>
      </c>
      <c r="CO63" s="10">
        <f t="shared" si="25"/>
        <v>7.8935185185192015E-4</v>
      </c>
      <c r="CP63" s="10">
        <f t="shared" si="26"/>
        <v>2.0532407407406698E-3</v>
      </c>
      <c r="CQ63" s="10">
        <f t="shared" si="27"/>
        <v>1.63194444444442E-3</v>
      </c>
      <c r="CR63" s="10">
        <f t="shared" si="28"/>
        <v>2.8958333333333566E-3</v>
      </c>
      <c r="CS63" s="10">
        <f t="shared" si="29"/>
        <v>3.1064814814813881E-3</v>
      </c>
      <c r="CT63" s="10">
        <f t="shared" si="30"/>
        <v>5.7870370370370161E-4</v>
      </c>
      <c r="CU63" s="10">
        <f t="shared" si="31"/>
        <v>2.2638888888888882E-3</v>
      </c>
      <c r="CV63" s="10">
        <f t="shared" si="32"/>
        <v>-5.3240740740766744E-5</v>
      </c>
      <c r="CW63" s="10">
        <f t="shared" si="33"/>
        <v>-5.3240740740766744E-5</v>
      </c>
      <c r="CX63" s="10">
        <f t="shared" si="34"/>
        <v>1.63194444444442E-3</v>
      </c>
      <c r="CY63" s="10">
        <f t="shared" si="35"/>
        <v>1.4212962962962014E-3</v>
      </c>
      <c r="CZ63" s="10">
        <f t="shared" si="36"/>
        <v>2.6851851851851381E-3</v>
      </c>
      <c r="DA63" s="10">
        <f t="shared" si="37"/>
        <v>5.7870370370370161E-4</v>
      </c>
      <c r="DB63" s="10">
        <f t="shared" si="38"/>
        <v>7.8935185185192015E-4</v>
      </c>
      <c r="DC63" s="10">
        <f t="shared" si="39"/>
        <v>-5.3240740740766744E-5</v>
      </c>
      <c r="DD63" s="10">
        <f t="shared" si="40"/>
        <v>-2.581018518518453E-3</v>
      </c>
      <c r="DE63" s="10">
        <f t="shared" si="41"/>
        <v>4.5810185185185433E-3</v>
      </c>
      <c r="DF63" s="10">
        <f t="shared" si="42"/>
        <v>1.4212962962962014E-3</v>
      </c>
      <c r="DG63" s="10">
        <f t="shared" si="43"/>
        <v>5.4236111111110432E-3</v>
      </c>
      <c r="DH63" s="10">
        <f t="shared" si="44"/>
        <v>7.8935185185192015E-4</v>
      </c>
      <c r="DI63" s="10">
        <f t="shared" si="45"/>
        <v>-4.7453703703701666E-4</v>
      </c>
      <c r="DJ63" s="10">
        <f t="shared" si="46"/>
        <v>1.63194444444442E-3</v>
      </c>
      <c r="DK63" s="10">
        <f t="shared" si="47"/>
        <v>7.8935185185192015E-4</v>
      </c>
      <c r="DL63" s="10">
        <f t="shared" si="48"/>
        <v>-3.2129629629629214E-3</v>
      </c>
      <c r="DM63" s="10">
        <f t="shared" si="49"/>
        <v>-5.3240740740766744E-5</v>
      </c>
      <c r="DN63" s="10">
        <f t="shared" si="50"/>
        <v>1.63194444444442E-3</v>
      </c>
      <c r="DO63" s="10">
        <f t="shared" si="51"/>
        <v>-8.9583333333326655E-4</v>
      </c>
      <c r="DP63" s="10">
        <f t="shared" si="52"/>
        <v>2.2638888888888882E-3</v>
      </c>
      <c r="DQ63" s="10">
        <f t="shared" si="53"/>
        <v>-8.9583333333326655E-4</v>
      </c>
      <c r="DR63" s="10">
        <f t="shared" si="54"/>
        <v>1.63194444444442E-3</v>
      </c>
      <c r="DS63" s="10">
        <f t="shared" si="55"/>
        <v>4.5810185185185433E-3</v>
      </c>
      <c r="DT63" s="10">
        <f t="shared" si="56"/>
        <v>-8.9583333333326655E-4</v>
      </c>
      <c r="DU63" s="10">
        <f t="shared" si="57"/>
        <v>3.6805555555548313E-4</v>
      </c>
      <c r="DV63" s="10">
        <f t="shared" si="58"/>
        <v>-2.6388888888879817E-4</v>
      </c>
      <c r="DW63" s="10">
        <f t="shared" si="59"/>
        <v>-2.3703703703704219E-3</v>
      </c>
    </row>
    <row r="64" spans="2:127" x14ac:dyDescent="0.45">
      <c r="B64" s="1">
        <v>24</v>
      </c>
      <c r="C64" s="1">
        <v>825</v>
      </c>
      <c r="D64" s="7">
        <f t="shared" si="60"/>
        <v>4.8351648351648349</v>
      </c>
      <c r="E64" s="1">
        <v>4.8220000000000001</v>
      </c>
      <c r="F64" s="1">
        <v>4.8449999999999998</v>
      </c>
      <c r="G64" s="1">
        <v>4.8330000000000002</v>
      </c>
      <c r="H64" s="1">
        <v>4.8140000000000001</v>
      </c>
      <c r="I64" s="1">
        <v>4.8330000000000002</v>
      </c>
      <c r="J64" s="1">
        <v>4.8380000000000001</v>
      </c>
      <c r="K64" s="1">
        <v>4.8540000000000001</v>
      </c>
      <c r="L64" s="1">
        <v>4.8600000000000003</v>
      </c>
      <c r="M64" s="1">
        <v>4.8460000000000001</v>
      </c>
      <c r="N64" s="1">
        <v>4.8529999999999998</v>
      </c>
      <c r="O64" s="1">
        <v>4.83</v>
      </c>
      <c r="P64" s="1">
        <v>4.83</v>
      </c>
      <c r="Q64" s="1">
        <v>4.83</v>
      </c>
      <c r="R64" s="1">
        <v>4.8460000000000001</v>
      </c>
      <c r="S64" s="1">
        <v>4.8310000000000004</v>
      </c>
      <c r="T64" s="1">
        <v>4.8499999999999996</v>
      </c>
      <c r="U64" s="1">
        <v>4.84</v>
      </c>
      <c r="V64" s="1">
        <v>4.83</v>
      </c>
      <c r="W64" s="1">
        <v>4.835</v>
      </c>
      <c r="X64" s="1">
        <v>4.8789999999999996</v>
      </c>
      <c r="Y64" s="1">
        <v>4.8159999999999998</v>
      </c>
      <c r="Z64" s="1">
        <v>4.8289999999999997</v>
      </c>
      <c r="AA64" s="1">
        <v>4.8559999999999999</v>
      </c>
      <c r="AB64" s="1">
        <v>4.8250000000000002</v>
      </c>
      <c r="AC64" s="1">
        <v>4.8369999999999997</v>
      </c>
      <c r="AD64" s="1">
        <v>4.84</v>
      </c>
      <c r="AE64" s="1">
        <v>4.8449999999999998</v>
      </c>
      <c r="AF64" s="1">
        <v>4.8479999999999999</v>
      </c>
      <c r="AG64" s="1">
        <v>4.8490000000000002</v>
      </c>
      <c r="AH64" s="1">
        <v>4.8499999999999996</v>
      </c>
      <c r="AI64" s="1">
        <v>4.84</v>
      </c>
      <c r="AJ64" s="1">
        <v>4.8479999999999999</v>
      </c>
      <c r="AK64" s="1">
        <v>4.8339999999999996</v>
      </c>
      <c r="AL64" s="1">
        <v>4.8369999999999997</v>
      </c>
      <c r="AM64" s="1">
        <v>4.8440000000000003</v>
      </c>
      <c r="AN64" s="1">
        <v>4.8419999999999996</v>
      </c>
      <c r="AO64" s="1">
        <v>4.8460000000000001</v>
      </c>
      <c r="AP64" s="1">
        <v>4.8380000000000001</v>
      </c>
      <c r="AQ64" s="1">
        <v>4.8369999999999997</v>
      </c>
      <c r="AR64" s="1">
        <v>4.835</v>
      </c>
      <c r="AS64" s="1">
        <v>4.8250000000000002</v>
      </c>
      <c r="AT64" s="1">
        <v>4.859</v>
      </c>
      <c r="AU64" s="1">
        <v>4.8410000000000002</v>
      </c>
      <c r="AV64" s="1">
        <v>4.859</v>
      </c>
      <c r="AW64" s="1">
        <v>4.8380000000000001</v>
      </c>
      <c r="AX64" s="1">
        <v>4.8310000000000004</v>
      </c>
      <c r="AY64" s="1">
        <v>4.8419999999999996</v>
      </c>
      <c r="AZ64" s="1">
        <v>4.84</v>
      </c>
      <c r="BA64" s="1">
        <v>4.8209999999999997</v>
      </c>
      <c r="BB64" s="1">
        <v>4.8339999999999996</v>
      </c>
      <c r="BC64" s="1">
        <v>4.8449999999999998</v>
      </c>
      <c r="BD64" s="1">
        <v>4.8310000000000004</v>
      </c>
      <c r="BE64" s="1">
        <v>4.8479999999999999</v>
      </c>
      <c r="BF64" s="1">
        <v>4.8330000000000002</v>
      </c>
      <c r="BG64" s="1">
        <v>4.8419999999999996</v>
      </c>
      <c r="BH64" s="1">
        <v>4.8630000000000004</v>
      </c>
      <c r="BI64" s="1">
        <v>4.8310000000000004</v>
      </c>
      <c r="BJ64" s="1">
        <v>4.835</v>
      </c>
      <c r="BK64" s="1">
        <v>4.8250000000000002</v>
      </c>
      <c r="BL64" s="1">
        <v>4.8259999999999996</v>
      </c>
      <c r="BN64" s="9">
        <v>24</v>
      </c>
      <c r="BO64" s="9">
        <v>825</v>
      </c>
      <c r="BP64" s="10">
        <f t="shared" si="0"/>
        <v>-2.722727272727197E-3</v>
      </c>
      <c r="BQ64" s="10">
        <f t="shared" si="1"/>
        <v>2.0340909090909203E-3</v>
      </c>
      <c r="BR64" s="10">
        <f t="shared" si="2"/>
        <v>-4.4772727272717199E-4</v>
      </c>
      <c r="BS64" s="10">
        <f t="shared" si="3"/>
        <v>-4.3772727272726533E-3</v>
      </c>
      <c r="BT64" s="10">
        <f t="shared" si="4"/>
        <v>-4.4772727272717199E-4</v>
      </c>
      <c r="BU64" s="10">
        <f t="shared" si="5"/>
        <v>5.863636363637151E-4</v>
      </c>
      <c r="BV64" s="10">
        <f t="shared" si="6"/>
        <v>3.8954545454546272E-3</v>
      </c>
      <c r="BW64" s="10">
        <f t="shared" si="7"/>
        <v>5.1363636363637652E-3</v>
      </c>
      <c r="BX64" s="10">
        <f t="shared" si="8"/>
        <v>2.2409090909091714E-3</v>
      </c>
      <c r="BY64" s="10">
        <f t="shared" si="9"/>
        <v>3.6886363636363766E-3</v>
      </c>
      <c r="BZ64" s="10">
        <f t="shared" si="10"/>
        <v>-1.068181818181741E-3</v>
      </c>
      <c r="CA64" s="10">
        <f t="shared" si="11"/>
        <v>-1.068181818181741E-3</v>
      </c>
      <c r="CB64" s="10">
        <f t="shared" si="12"/>
        <v>-1.068181818181741E-3</v>
      </c>
      <c r="CC64" s="10">
        <f t="shared" si="13"/>
        <v>2.2409090909091714E-3</v>
      </c>
      <c r="CD64" s="10">
        <f t="shared" si="14"/>
        <v>-8.6136363636349009E-4</v>
      </c>
      <c r="CE64" s="10">
        <f t="shared" si="15"/>
        <v>3.0681818181818076E-3</v>
      </c>
      <c r="CF64" s="10">
        <f t="shared" si="16"/>
        <v>1.0000000000000332E-3</v>
      </c>
      <c r="CG64" s="10">
        <f t="shared" si="17"/>
        <v>-1.068181818181741E-3</v>
      </c>
      <c r="CH64" s="10">
        <f t="shared" si="18"/>
        <v>-3.4090909090853866E-5</v>
      </c>
      <c r="CI64" s="10">
        <f t="shared" si="19"/>
        <v>9.0659090909090637E-3</v>
      </c>
      <c r="CJ64" s="10">
        <f t="shared" si="20"/>
        <v>-3.963636363636335E-3</v>
      </c>
      <c r="CK64" s="10">
        <f t="shared" si="21"/>
        <v>-1.2749999999999919E-3</v>
      </c>
      <c r="CL64" s="10">
        <f t="shared" si="22"/>
        <v>4.3090909090909455E-3</v>
      </c>
      <c r="CM64" s="10">
        <f t="shared" si="23"/>
        <v>-2.1022727272726281E-3</v>
      </c>
      <c r="CN64" s="10">
        <f t="shared" si="24"/>
        <v>3.7954545454546427E-4</v>
      </c>
      <c r="CO64" s="10">
        <f t="shared" si="25"/>
        <v>1.0000000000000332E-3</v>
      </c>
      <c r="CP64" s="10">
        <f t="shared" si="26"/>
        <v>2.0340909090909203E-3</v>
      </c>
      <c r="CQ64" s="10">
        <f t="shared" si="27"/>
        <v>2.6545454545454893E-3</v>
      </c>
      <c r="CR64" s="10">
        <f t="shared" si="28"/>
        <v>2.8613636363637404E-3</v>
      </c>
      <c r="CS64" s="10">
        <f t="shared" si="29"/>
        <v>3.0681818181818076E-3</v>
      </c>
      <c r="CT64" s="10">
        <f t="shared" si="30"/>
        <v>1.0000000000000332E-3</v>
      </c>
      <c r="CU64" s="10">
        <f t="shared" si="31"/>
        <v>2.6545454545454893E-3</v>
      </c>
      <c r="CV64" s="10">
        <f t="shared" si="32"/>
        <v>-2.4090909090910477E-4</v>
      </c>
      <c r="CW64" s="10">
        <f t="shared" si="33"/>
        <v>3.7954545454546427E-4</v>
      </c>
      <c r="CX64" s="10">
        <f t="shared" si="34"/>
        <v>1.8272727272728531E-3</v>
      </c>
      <c r="CY64" s="10">
        <f t="shared" si="35"/>
        <v>1.4136363636363513E-3</v>
      </c>
      <c r="CZ64" s="10">
        <f t="shared" si="36"/>
        <v>2.2409090909091714E-3</v>
      </c>
      <c r="DA64" s="10">
        <f t="shared" si="37"/>
        <v>5.863636363637151E-4</v>
      </c>
      <c r="DB64" s="10">
        <f t="shared" si="38"/>
        <v>3.7954545454546427E-4</v>
      </c>
      <c r="DC64" s="10">
        <f t="shared" si="39"/>
        <v>-3.4090909090853866E-5</v>
      </c>
      <c r="DD64" s="10">
        <f t="shared" si="40"/>
        <v>-2.1022727272726281E-3</v>
      </c>
      <c r="DE64" s="10">
        <f t="shared" si="41"/>
        <v>4.9295454545455145E-3</v>
      </c>
      <c r="DF64" s="10">
        <f t="shared" si="42"/>
        <v>1.2068181818182841E-3</v>
      </c>
      <c r="DG64" s="10">
        <f t="shared" si="43"/>
        <v>4.9295454545455145E-3</v>
      </c>
      <c r="DH64" s="10">
        <f t="shared" si="44"/>
        <v>5.863636363637151E-4</v>
      </c>
      <c r="DI64" s="10">
        <f t="shared" si="45"/>
        <v>-8.6136363636349009E-4</v>
      </c>
      <c r="DJ64" s="10">
        <f t="shared" si="46"/>
        <v>1.4136363636363513E-3</v>
      </c>
      <c r="DK64" s="10">
        <f t="shared" si="47"/>
        <v>1.0000000000000332E-3</v>
      </c>
      <c r="DL64" s="10">
        <f t="shared" si="48"/>
        <v>-2.9295454545454481E-3</v>
      </c>
      <c r="DM64" s="10">
        <f t="shared" si="49"/>
        <v>-2.4090909090910477E-4</v>
      </c>
      <c r="DN64" s="10">
        <f t="shared" si="50"/>
        <v>2.0340909090909203E-3</v>
      </c>
      <c r="DO64" s="10">
        <f t="shared" si="51"/>
        <v>-8.6136363636349009E-4</v>
      </c>
      <c r="DP64" s="10">
        <f t="shared" si="52"/>
        <v>2.6545454545454893E-3</v>
      </c>
      <c r="DQ64" s="10">
        <f t="shared" si="53"/>
        <v>-4.4772727272717199E-4</v>
      </c>
      <c r="DR64" s="10">
        <f t="shared" si="54"/>
        <v>1.4136363636363513E-3</v>
      </c>
      <c r="DS64" s="10">
        <f t="shared" si="55"/>
        <v>5.7568181818183342E-3</v>
      </c>
      <c r="DT64" s="10">
        <f t="shared" si="56"/>
        <v>-8.6136363636349009E-4</v>
      </c>
      <c r="DU64" s="10">
        <f t="shared" si="57"/>
        <v>-3.4090909090853866E-5</v>
      </c>
      <c r="DV64" s="10">
        <f t="shared" si="58"/>
        <v>-2.1022727272726281E-3</v>
      </c>
      <c r="DW64" s="10">
        <f t="shared" si="59"/>
        <v>-1.8954545454545608E-3</v>
      </c>
    </row>
    <row r="65" spans="2:127" x14ac:dyDescent="0.45">
      <c r="B65" s="1">
        <v>24</v>
      </c>
      <c r="C65" s="1">
        <v>840</v>
      </c>
      <c r="D65" s="7">
        <f t="shared" si="60"/>
        <v>4.9230769230769234</v>
      </c>
      <c r="E65" s="1">
        <v>4.9109999999999996</v>
      </c>
      <c r="F65" s="1">
        <v>4.9320000000000004</v>
      </c>
      <c r="G65" s="1">
        <v>4.9210000000000003</v>
      </c>
      <c r="H65" s="1">
        <v>4.9029999999999996</v>
      </c>
      <c r="I65" s="1">
        <v>4.92</v>
      </c>
      <c r="J65" s="1">
        <v>4.9279999999999999</v>
      </c>
      <c r="K65" s="1">
        <v>4.9429999999999996</v>
      </c>
      <c r="L65" s="1">
        <v>4.9480000000000004</v>
      </c>
      <c r="M65" s="1">
        <v>4.9349999999999996</v>
      </c>
      <c r="N65" s="1">
        <v>4.9409999999999998</v>
      </c>
      <c r="O65" s="1">
        <v>4.92</v>
      </c>
      <c r="P65" s="1">
        <v>4.9180000000000001</v>
      </c>
      <c r="Q65" s="1">
        <v>4.9180000000000001</v>
      </c>
      <c r="R65" s="1">
        <v>4.9329999999999998</v>
      </c>
      <c r="S65" s="1">
        <v>4.92</v>
      </c>
      <c r="T65" s="1">
        <v>4.9390000000000001</v>
      </c>
      <c r="U65" s="1">
        <v>4.9260000000000002</v>
      </c>
      <c r="V65" s="1">
        <v>4.9180000000000001</v>
      </c>
      <c r="W65" s="1">
        <v>4.9219999999999997</v>
      </c>
      <c r="X65" s="1">
        <v>4.968</v>
      </c>
      <c r="Y65" s="1">
        <v>4.91</v>
      </c>
      <c r="Z65" s="1">
        <v>4.9169999999999998</v>
      </c>
      <c r="AA65" s="1">
        <v>4.9409999999999998</v>
      </c>
      <c r="AB65" s="1">
        <v>4.9130000000000003</v>
      </c>
      <c r="AC65" s="1">
        <v>4.9249999999999998</v>
      </c>
      <c r="AD65" s="1">
        <v>4.9290000000000003</v>
      </c>
      <c r="AE65" s="1">
        <v>4.9329999999999998</v>
      </c>
      <c r="AF65" s="1">
        <v>4.9370000000000003</v>
      </c>
      <c r="AG65" s="1">
        <v>4.9390000000000001</v>
      </c>
      <c r="AH65" s="1">
        <v>4.9390000000000001</v>
      </c>
      <c r="AI65" s="1">
        <v>4.9290000000000003</v>
      </c>
      <c r="AJ65" s="1">
        <v>4.9390000000000001</v>
      </c>
      <c r="AK65" s="1">
        <v>4.9210000000000003</v>
      </c>
      <c r="AL65" s="1">
        <v>4.9249999999999998</v>
      </c>
      <c r="AM65" s="1">
        <v>4.9320000000000004</v>
      </c>
      <c r="AN65" s="1">
        <v>4.93</v>
      </c>
      <c r="AO65" s="1">
        <v>4.9329999999999998</v>
      </c>
      <c r="AP65" s="1">
        <v>4.9279999999999999</v>
      </c>
      <c r="AQ65" s="1">
        <v>4.9260000000000002</v>
      </c>
      <c r="AR65" s="1">
        <v>4.9240000000000004</v>
      </c>
      <c r="AS65" s="1">
        <v>4.91</v>
      </c>
      <c r="AT65" s="1">
        <v>4.9470000000000001</v>
      </c>
      <c r="AU65" s="1">
        <v>4.93</v>
      </c>
      <c r="AV65" s="1">
        <v>4.944</v>
      </c>
      <c r="AW65" s="1">
        <v>4.9260000000000002</v>
      </c>
      <c r="AX65" s="1">
        <v>4.9180000000000001</v>
      </c>
      <c r="AY65" s="1">
        <v>4.9290000000000003</v>
      </c>
      <c r="AZ65" s="1">
        <v>4.9290000000000003</v>
      </c>
      <c r="BA65" s="1">
        <v>4.907</v>
      </c>
      <c r="BB65" s="1">
        <v>4.92</v>
      </c>
      <c r="BC65" s="1">
        <v>4.9349999999999996</v>
      </c>
      <c r="BD65" s="1">
        <v>4.9180000000000001</v>
      </c>
      <c r="BE65" s="1">
        <v>4.9359999999999999</v>
      </c>
      <c r="BF65" s="1">
        <v>4.9210000000000003</v>
      </c>
      <c r="BG65" s="1">
        <v>4.93</v>
      </c>
      <c r="BH65" s="1">
        <v>4.9450000000000003</v>
      </c>
      <c r="BI65" s="1">
        <v>4.92</v>
      </c>
      <c r="BJ65" s="1">
        <v>4.9219999999999997</v>
      </c>
      <c r="BK65" s="1">
        <v>4.9139999999999997</v>
      </c>
      <c r="BL65" s="1">
        <v>4.9139999999999997</v>
      </c>
      <c r="BN65" s="9">
        <v>24</v>
      </c>
      <c r="BO65" s="9">
        <v>840</v>
      </c>
      <c r="BP65" s="10">
        <f t="shared" si="0"/>
        <v>-2.4531250000001392E-3</v>
      </c>
      <c r="BQ65" s="10">
        <f t="shared" si="1"/>
        <v>1.8125000000000224E-3</v>
      </c>
      <c r="BR65" s="10">
        <f t="shared" si="2"/>
        <v>-4.2187500000000211E-4</v>
      </c>
      <c r="BS65" s="10">
        <f t="shared" si="3"/>
        <v>-4.0781250000001407E-3</v>
      </c>
      <c r="BT65" s="10">
        <f t="shared" si="4"/>
        <v>-6.2500000000006994E-4</v>
      </c>
      <c r="BU65" s="10">
        <f t="shared" si="5"/>
        <v>9.999999999999315E-4</v>
      </c>
      <c r="BV65" s="10">
        <f t="shared" si="6"/>
        <v>4.0468749999998666E-3</v>
      </c>
      <c r="BW65" s="10">
        <f t="shared" si="7"/>
        <v>5.0625000000000253E-3</v>
      </c>
      <c r="BX65" s="10">
        <f t="shared" si="8"/>
        <v>2.4218749999998651E-3</v>
      </c>
      <c r="BY65" s="10">
        <f t="shared" si="9"/>
        <v>3.6406249999999113E-3</v>
      </c>
      <c r="BZ65" s="10">
        <f t="shared" si="10"/>
        <v>-6.2500000000006994E-4</v>
      </c>
      <c r="CA65" s="10">
        <f t="shared" si="11"/>
        <v>-1.0312500000000252E-3</v>
      </c>
      <c r="CB65" s="10">
        <f t="shared" si="12"/>
        <v>-1.0312500000000252E-3</v>
      </c>
      <c r="CC65" s="10">
        <f t="shared" si="13"/>
        <v>2.0156249999999098E-3</v>
      </c>
      <c r="CD65" s="10">
        <f t="shared" si="14"/>
        <v>-6.2500000000006994E-4</v>
      </c>
      <c r="CE65" s="10">
        <f t="shared" si="15"/>
        <v>3.234374999999956E-3</v>
      </c>
      <c r="CF65" s="10">
        <f t="shared" si="16"/>
        <v>5.9374999999997624E-4</v>
      </c>
      <c r="CG65" s="10">
        <f t="shared" si="17"/>
        <v>-1.0312500000000252E-3</v>
      </c>
      <c r="CH65" s="10">
        <f t="shared" si="18"/>
        <v>-2.1875000000011469E-4</v>
      </c>
      <c r="CI65" s="10">
        <f t="shared" si="19"/>
        <v>9.1249999999999387E-3</v>
      </c>
      <c r="CJ65" s="10">
        <f t="shared" si="20"/>
        <v>-2.6562500000000266E-3</v>
      </c>
      <c r="CK65" s="10">
        <f t="shared" si="21"/>
        <v>-1.234375000000093E-3</v>
      </c>
      <c r="CL65" s="10">
        <f t="shared" si="22"/>
        <v>3.6406249999999113E-3</v>
      </c>
      <c r="CM65" s="10">
        <f t="shared" si="23"/>
        <v>-2.0468750000000036E-3</v>
      </c>
      <c r="CN65" s="10">
        <f t="shared" si="24"/>
        <v>3.9062499999990841E-4</v>
      </c>
      <c r="CO65" s="10">
        <f t="shared" si="25"/>
        <v>1.2031249999999993E-3</v>
      </c>
      <c r="CP65" s="10">
        <f t="shared" si="26"/>
        <v>2.0156249999999098E-3</v>
      </c>
      <c r="CQ65" s="10">
        <f t="shared" si="27"/>
        <v>2.8281250000000008E-3</v>
      </c>
      <c r="CR65" s="10">
        <f t="shared" si="28"/>
        <v>3.234374999999956E-3</v>
      </c>
      <c r="CS65" s="10">
        <f t="shared" si="29"/>
        <v>3.234374999999956E-3</v>
      </c>
      <c r="CT65" s="10">
        <f t="shared" si="30"/>
        <v>1.2031249999999993E-3</v>
      </c>
      <c r="CU65" s="10">
        <f t="shared" si="31"/>
        <v>3.234374999999956E-3</v>
      </c>
      <c r="CV65" s="10">
        <f t="shared" si="32"/>
        <v>-4.2187500000000211E-4</v>
      </c>
      <c r="CW65" s="10">
        <f t="shared" si="33"/>
        <v>3.9062499999990841E-4</v>
      </c>
      <c r="CX65" s="10">
        <f t="shared" si="34"/>
        <v>1.8125000000000224E-3</v>
      </c>
      <c r="CY65" s="10">
        <f t="shared" si="35"/>
        <v>1.4062499999998868E-3</v>
      </c>
      <c r="CZ65" s="10">
        <f t="shared" si="36"/>
        <v>2.0156249999999098E-3</v>
      </c>
      <c r="DA65" s="10">
        <f t="shared" si="37"/>
        <v>9.999999999999315E-4</v>
      </c>
      <c r="DB65" s="10">
        <f t="shared" si="38"/>
        <v>5.9374999999997624E-4</v>
      </c>
      <c r="DC65" s="10">
        <f t="shared" si="39"/>
        <v>1.8750000000002098E-4</v>
      </c>
      <c r="DD65" s="10">
        <f t="shared" si="40"/>
        <v>-2.6562500000000266E-3</v>
      </c>
      <c r="DE65" s="10">
        <f t="shared" si="41"/>
        <v>4.8593749999999575E-3</v>
      </c>
      <c r="DF65" s="10">
        <f t="shared" si="42"/>
        <v>1.4062499999998868E-3</v>
      </c>
      <c r="DG65" s="10">
        <f t="shared" si="43"/>
        <v>4.2499999999999344E-3</v>
      </c>
      <c r="DH65" s="10">
        <f t="shared" si="44"/>
        <v>5.9374999999997624E-4</v>
      </c>
      <c r="DI65" s="10">
        <f t="shared" si="45"/>
        <v>-1.0312500000000252E-3</v>
      </c>
      <c r="DJ65" s="10">
        <f t="shared" si="46"/>
        <v>1.2031249999999993E-3</v>
      </c>
      <c r="DK65" s="10">
        <f t="shared" si="47"/>
        <v>1.2031249999999993E-3</v>
      </c>
      <c r="DL65" s="10">
        <f t="shared" si="48"/>
        <v>-3.2656250000000497E-3</v>
      </c>
      <c r="DM65" s="10">
        <f t="shared" si="49"/>
        <v>-6.2500000000006994E-4</v>
      </c>
      <c r="DN65" s="10">
        <f t="shared" si="50"/>
        <v>2.4218749999998651E-3</v>
      </c>
      <c r="DO65" s="10">
        <f t="shared" si="51"/>
        <v>-1.0312500000000252E-3</v>
      </c>
      <c r="DP65" s="10">
        <f t="shared" si="52"/>
        <v>2.6249999999999329E-3</v>
      </c>
      <c r="DQ65" s="10">
        <f t="shared" si="53"/>
        <v>-4.2187500000000211E-4</v>
      </c>
      <c r="DR65" s="10">
        <f t="shared" si="54"/>
        <v>1.4062499999998868E-3</v>
      </c>
      <c r="DS65" s="10">
        <f t="shared" si="55"/>
        <v>4.4531250000000022E-3</v>
      </c>
      <c r="DT65" s="10">
        <f t="shared" si="56"/>
        <v>-6.2500000000006994E-4</v>
      </c>
      <c r="DU65" s="10">
        <f t="shared" si="57"/>
        <v>-2.1875000000011469E-4</v>
      </c>
      <c r="DV65" s="10">
        <f t="shared" si="58"/>
        <v>-1.8437500000001161E-3</v>
      </c>
      <c r="DW65" s="10">
        <f t="shared" si="59"/>
        <v>-1.8437500000001161E-3</v>
      </c>
    </row>
    <row r="66" spans="2:127" x14ac:dyDescent="0.45">
      <c r="B66" s="1">
        <v>24</v>
      </c>
      <c r="C66" s="1">
        <v>855</v>
      </c>
      <c r="D66" s="7">
        <f t="shared" si="60"/>
        <v>5.0109890109890109</v>
      </c>
      <c r="E66" s="1">
        <v>5</v>
      </c>
      <c r="F66" s="1">
        <v>5.0190000000000001</v>
      </c>
      <c r="G66" s="1">
        <v>5.0090000000000003</v>
      </c>
      <c r="H66" s="1">
        <v>4.9909999999999997</v>
      </c>
      <c r="I66" s="1">
        <v>5.008</v>
      </c>
      <c r="J66" s="1">
        <v>5.0170000000000003</v>
      </c>
      <c r="K66" s="1">
        <v>5.032</v>
      </c>
      <c r="L66" s="1">
        <v>5.0380000000000003</v>
      </c>
      <c r="M66" s="1">
        <v>5.0209999999999999</v>
      </c>
      <c r="N66" s="1">
        <v>5.0250000000000004</v>
      </c>
      <c r="O66" s="1">
        <v>5.008</v>
      </c>
      <c r="P66" s="1">
        <v>5.0060000000000002</v>
      </c>
      <c r="Q66" s="1">
        <v>5.008</v>
      </c>
      <c r="R66" s="1">
        <v>5.0209999999999999</v>
      </c>
      <c r="S66" s="1">
        <v>5.0090000000000003</v>
      </c>
      <c r="T66" s="1">
        <v>5.0270000000000001</v>
      </c>
      <c r="U66" s="1">
        <v>5.0149999999999997</v>
      </c>
      <c r="V66" s="1">
        <v>5.0060000000000002</v>
      </c>
      <c r="W66" s="1">
        <v>5.0119999999999996</v>
      </c>
      <c r="X66" s="1">
        <v>5.0540000000000003</v>
      </c>
      <c r="Y66" s="1">
        <v>4.9930000000000003</v>
      </c>
      <c r="Z66" s="1">
        <v>5.0019999999999998</v>
      </c>
      <c r="AA66" s="1">
        <v>5.0309999999999997</v>
      </c>
      <c r="AB66" s="1">
        <v>5.0019999999999998</v>
      </c>
      <c r="AC66" s="1">
        <v>5.0149999999999997</v>
      </c>
      <c r="AD66" s="1">
        <v>5.0170000000000003</v>
      </c>
      <c r="AE66" s="1">
        <v>5.0199999999999996</v>
      </c>
      <c r="AF66" s="1">
        <v>5.0270000000000001</v>
      </c>
      <c r="AG66" s="1">
        <v>5.0270000000000001</v>
      </c>
      <c r="AH66" s="1">
        <v>5.0250000000000004</v>
      </c>
      <c r="AI66" s="1">
        <v>5.016</v>
      </c>
      <c r="AJ66" s="1">
        <v>5.0250000000000004</v>
      </c>
      <c r="AK66" s="1">
        <v>5.0119999999999996</v>
      </c>
      <c r="AL66" s="1">
        <v>5.0129999999999999</v>
      </c>
      <c r="AM66" s="1">
        <v>5.0199999999999996</v>
      </c>
      <c r="AN66" s="1">
        <v>5.016</v>
      </c>
      <c r="AO66" s="1">
        <v>5.0229999999999997</v>
      </c>
      <c r="AP66" s="1">
        <v>5.016</v>
      </c>
      <c r="AQ66" s="1">
        <v>5.0129999999999999</v>
      </c>
      <c r="AR66" s="1">
        <v>5.0119999999999996</v>
      </c>
      <c r="AS66" s="1">
        <v>4.9969999999999999</v>
      </c>
      <c r="AT66" s="1">
        <v>5.0350000000000001</v>
      </c>
      <c r="AU66" s="1">
        <v>5.0190000000000001</v>
      </c>
      <c r="AV66" s="1">
        <v>5.0309999999999997</v>
      </c>
      <c r="AW66" s="1">
        <v>5.0149999999999997</v>
      </c>
      <c r="AX66" s="1">
        <v>5.0049999999999999</v>
      </c>
      <c r="AY66" s="1">
        <v>5.016</v>
      </c>
      <c r="AZ66" s="1">
        <v>5.0149999999999997</v>
      </c>
      <c r="BA66" s="1">
        <v>4.9969999999999999</v>
      </c>
      <c r="BB66" s="1">
        <v>5.0060000000000002</v>
      </c>
      <c r="BC66" s="1">
        <v>5.0229999999999997</v>
      </c>
      <c r="BD66" s="1">
        <v>5.0049999999999999</v>
      </c>
      <c r="BE66" s="1">
        <v>5.024</v>
      </c>
      <c r="BF66" s="1">
        <v>5.01</v>
      </c>
      <c r="BG66" s="1">
        <v>5.0199999999999996</v>
      </c>
      <c r="BH66" s="1">
        <v>5.0309999999999997</v>
      </c>
      <c r="BI66" s="1">
        <v>5.0060000000000002</v>
      </c>
      <c r="BJ66" s="1">
        <v>5.0119999999999996</v>
      </c>
      <c r="BK66" s="1">
        <v>5.008</v>
      </c>
      <c r="BL66" s="1">
        <v>5.0019999999999998</v>
      </c>
      <c r="BN66" s="9">
        <v>24</v>
      </c>
      <c r="BO66" s="9">
        <v>855</v>
      </c>
      <c r="BP66" s="10">
        <f t="shared" si="0"/>
        <v>-2.1929824561403429E-3</v>
      </c>
      <c r="BQ66" s="10">
        <f t="shared" si="1"/>
        <v>1.5986842105263491E-3</v>
      </c>
      <c r="BR66" s="10">
        <f t="shared" si="2"/>
        <v>-3.9692982456132766E-4</v>
      </c>
      <c r="BS66" s="10">
        <f t="shared" si="3"/>
        <v>-3.9890350877193588E-3</v>
      </c>
      <c r="BT66" s="10">
        <f t="shared" si="4"/>
        <v>-5.9649122807016626E-4</v>
      </c>
      <c r="BU66" s="10">
        <f t="shared" si="5"/>
        <v>1.1995614035088492E-3</v>
      </c>
      <c r="BV66" s="10">
        <f t="shared" si="6"/>
        <v>4.1929824561403647E-3</v>
      </c>
      <c r="BW66" s="10">
        <f t="shared" si="7"/>
        <v>5.3903508771930416E-3</v>
      </c>
      <c r="BX66" s="10">
        <f t="shared" si="8"/>
        <v>1.9978070175438491E-3</v>
      </c>
      <c r="BY66" s="10">
        <f t="shared" si="9"/>
        <v>2.7960526315790259E-3</v>
      </c>
      <c r="BZ66" s="10">
        <f t="shared" si="10"/>
        <v>-5.9649122807016626E-4</v>
      </c>
      <c r="CA66" s="10">
        <f t="shared" si="11"/>
        <v>-9.956140350876662E-4</v>
      </c>
      <c r="CB66" s="10">
        <f t="shared" si="12"/>
        <v>-5.9649122807016626E-4</v>
      </c>
      <c r="CC66" s="10">
        <f t="shared" si="13"/>
        <v>1.9978070175438491E-3</v>
      </c>
      <c r="CD66" s="10">
        <f t="shared" si="14"/>
        <v>-3.9692982456132766E-4</v>
      </c>
      <c r="CE66" s="10">
        <f t="shared" si="15"/>
        <v>3.195175438596526E-3</v>
      </c>
      <c r="CF66" s="10">
        <f t="shared" si="16"/>
        <v>8.004385964911721E-4</v>
      </c>
      <c r="CG66" s="10">
        <f t="shared" si="17"/>
        <v>-9.956140350876662E-4</v>
      </c>
      <c r="CH66" s="10">
        <f t="shared" si="18"/>
        <v>2.0175438596483359E-4</v>
      </c>
      <c r="CI66" s="10">
        <f t="shared" si="19"/>
        <v>8.5833333333333959E-3</v>
      </c>
      <c r="CJ66" s="10">
        <f t="shared" si="20"/>
        <v>-3.5899122807016813E-3</v>
      </c>
      <c r="CK66" s="10">
        <f t="shared" si="21"/>
        <v>-1.7938596491228432E-3</v>
      </c>
      <c r="CL66" s="10">
        <f t="shared" si="22"/>
        <v>3.9934210526315255E-3</v>
      </c>
      <c r="CM66" s="10">
        <f t="shared" si="23"/>
        <v>-1.7938596491228432E-3</v>
      </c>
      <c r="CN66" s="10">
        <f t="shared" si="24"/>
        <v>8.004385964911721E-4</v>
      </c>
      <c r="CO66" s="10">
        <f t="shared" si="25"/>
        <v>1.1995614035088492E-3</v>
      </c>
      <c r="CP66" s="10">
        <f t="shared" si="26"/>
        <v>1.7982456140350105E-3</v>
      </c>
      <c r="CQ66" s="10">
        <f t="shared" si="27"/>
        <v>3.195175438596526E-3</v>
      </c>
      <c r="CR66" s="10">
        <f t="shared" si="28"/>
        <v>3.195175438596526E-3</v>
      </c>
      <c r="CS66" s="10">
        <f t="shared" si="29"/>
        <v>2.7960526315790259E-3</v>
      </c>
      <c r="CT66" s="10">
        <f t="shared" si="30"/>
        <v>1.0000000000000106E-3</v>
      </c>
      <c r="CU66" s="10">
        <f t="shared" si="31"/>
        <v>2.7960526315790259E-3</v>
      </c>
      <c r="CV66" s="10">
        <f t="shared" si="32"/>
        <v>2.0175438596483359E-4</v>
      </c>
      <c r="CW66" s="10">
        <f t="shared" si="33"/>
        <v>4.0131578947367216E-4</v>
      </c>
      <c r="CX66" s="10">
        <f t="shared" si="34"/>
        <v>1.7982456140350105E-3</v>
      </c>
      <c r="CY66" s="10">
        <f t="shared" si="35"/>
        <v>1.0000000000000106E-3</v>
      </c>
      <c r="CZ66" s="10">
        <f t="shared" si="36"/>
        <v>2.3969298245613488E-3</v>
      </c>
      <c r="DA66" s="10">
        <f t="shared" si="37"/>
        <v>1.0000000000000106E-3</v>
      </c>
      <c r="DB66" s="10">
        <f t="shared" si="38"/>
        <v>4.0131578947367216E-4</v>
      </c>
      <c r="DC66" s="10">
        <f t="shared" si="39"/>
        <v>2.0175438596483359E-4</v>
      </c>
      <c r="DD66" s="10">
        <f t="shared" si="40"/>
        <v>-2.7916666666666814E-3</v>
      </c>
      <c r="DE66" s="10">
        <f t="shared" si="41"/>
        <v>4.7916666666667027E-3</v>
      </c>
      <c r="DF66" s="10">
        <f t="shared" si="42"/>
        <v>1.5986842105263491E-3</v>
      </c>
      <c r="DG66" s="10">
        <f t="shared" si="43"/>
        <v>3.9934210526315255E-3</v>
      </c>
      <c r="DH66" s="10">
        <f t="shared" si="44"/>
        <v>8.004385964911721E-4</v>
      </c>
      <c r="DI66" s="10">
        <f t="shared" si="45"/>
        <v>-1.1951754385965047E-3</v>
      </c>
      <c r="DJ66" s="10">
        <f t="shared" si="46"/>
        <v>1.0000000000000106E-3</v>
      </c>
      <c r="DK66" s="10">
        <f t="shared" si="47"/>
        <v>8.004385964911721E-4</v>
      </c>
      <c r="DL66" s="10">
        <f t="shared" si="48"/>
        <v>-2.7916666666666814E-3</v>
      </c>
      <c r="DM66" s="10">
        <f t="shared" si="49"/>
        <v>-9.956140350876662E-4</v>
      </c>
      <c r="DN66" s="10">
        <f t="shared" si="50"/>
        <v>2.3969298245613488E-3</v>
      </c>
      <c r="DO66" s="10">
        <f t="shared" si="51"/>
        <v>-1.1951754385965047E-3</v>
      </c>
      <c r="DP66" s="10">
        <f t="shared" si="52"/>
        <v>2.5964912280701876E-3</v>
      </c>
      <c r="DQ66" s="10">
        <f t="shared" si="53"/>
        <v>-1.9736842105266632E-4</v>
      </c>
      <c r="DR66" s="10">
        <f t="shared" si="54"/>
        <v>1.7982456140350105E-3</v>
      </c>
      <c r="DS66" s="10">
        <f t="shared" si="55"/>
        <v>3.9934210526315255E-3</v>
      </c>
      <c r="DT66" s="10">
        <f t="shared" si="56"/>
        <v>-9.956140350876662E-4</v>
      </c>
      <c r="DU66" s="10">
        <f t="shared" si="57"/>
        <v>2.0175438596483359E-4</v>
      </c>
      <c r="DV66" s="10">
        <f t="shared" si="58"/>
        <v>-5.9649122807016626E-4</v>
      </c>
      <c r="DW66" s="10">
        <f t="shared" si="59"/>
        <v>-1.7938596491228432E-3</v>
      </c>
    </row>
    <row r="67" spans="2:127" x14ac:dyDescent="0.45">
      <c r="B67" s="1">
        <v>24</v>
      </c>
      <c r="C67" s="1">
        <v>870</v>
      </c>
      <c r="D67" s="7">
        <f t="shared" si="60"/>
        <v>5.0989010989010985</v>
      </c>
      <c r="E67" s="1">
        <v>5.0880000000000001</v>
      </c>
      <c r="F67" s="1">
        <v>5.1070000000000002</v>
      </c>
      <c r="G67" s="1">
        <v>5.0970000000000004</v>
      </c>
      <c r="H67" s="1">
        <v>5.0780000000000003</v>
      </c>
      <c r="I67" s="1">
        <v>5.0949999999999998</v>
      </c>
      <c r="J67" s="1">
        <v>5.1050000000000004</v>
      </c>
      <c r="K67" s="1">
        <v>5.12</v>
      </c>
      <c r="L67" s="1">
        <v>5.1239999999999997</v>
      </c>
      <c r="M67" s="1">
        <v>5.109</v>
      </c>
      <c r="N67" s="1">
        <v>5.1109999999999998</v>
      </c>
      <c r="O67" s="1">
        <v>5.0990000000000002</v>
      </c>
      <c r="P67" s="1">
        <v>5.0949999999999998</v>
      </c>
      <c r="Q67" s="1">
        <v>5.093</v>
      </c>
      <c r="R67" s="1">
        <v>5.1139999999999999</v>
      </c>
      <c r="S67" s="1">
        <v>5.0949999999999998</v>
      </c>
      <c r="T67" s="1">
        <v>5.1139999999999999</v>
      </c>
      <c r="U67" s="1">
        <v>5.1040000000000001</v>
      </c>
      <c r="V67" s="1">
        <v>5.093</v>
      </c>
      <c r="W67" s="1">
        <v>5.0999999999999996</v>
      </c>
      <c r="X67" s="1">
        <v>5.141</v>
      </c>
      <c r="Y67" s="1">
        <v>5.0819999999999999</v>
      </c>
      <c r="Z67" s="1">
        <v>5.09</v>
      </c>
      <c r="AA67" s="1">
        <v>5.12</v>
      </c>
      <c r="AB67" s="1">
        <v>5.09</v>
      </c>
      <c r="AC67" s="1">
        <v>5.101</v>
      </c>
      <c r="AD67" s="1">
        <v>5.1040000000000001</v>
      </c>
      <c r="AE67" s="1">
        <v>5.1079999999999997</v>
      </c>
      <c r="AF67" s="1">
        <v>5.1159999999999997</v>
      </c>
      <c r="AG67" s="1">
        <v>5.1159999999999997</v>
      </c>
      <c r="AH67" s="1">
        <v>5.1139999999999999</v>
      </c>
      <c r="AI67" s="1">
        <v>5.1050000000000004</v>
      </c>
      <c r="AJ67" s="1">
        <v>5.109</v>
      </c>
      <c r="AK67" s="1">
        <v>5.101</v>
      </c>
      <c r="AL67" s="1">
        <v>5.101</v>
      </c>
      <c r="AM67" s="1">
        <v>5.1079999999999997</v>
      </c>
      <c r="AN67" s="1">
        <v>5.1029999999999998</v>
      </c>
      <c r="AO67" s="1">
        <v>5.1109999999999998</v>
      </c>
      <c r="AP67" s="1">
        <v>5.1040000000000001</v>
      </c>
      <c r="AQ67" s="1">
        <v>5.1029999999999998</v>
      </c>
      <c r="AR67" s="1">
        <v>5.0999999999999996</v>
      </c>
      <c r="AS67" s="1">
        <v>5.0839999999999996</v>
      </c>
      <c r="AT67" s="1">
        <v>5.1219999999999999</v>
      </c>
      <c r="AU67" s="1">
        <v>5.1070000000000002</v>
      </c>
      <c r="AV67" s="1">
        <v>5.1180000000000003</v>
      </c>
      <c r="AW67" s="1">
        <v>5.0999999999999996</v>
      </c>
      <c r="AX67" s="1">
        <v>5.093</v>
      </c>
      <c r="AY67" s="1">
        <v>5.1050000000000004</v>
      </c>
      <c r="AZ67" s="1">
        <v>5.1029999999999998</v>
      </c>
      <c r="BA67" s="1">
        <v>5.0839999999999996</v>
      </c>
      <c r="BB67" s="1">
        <v>5.0949999999999998</v>
      </c>
      <c r="BC67" s="1">
        <v>5.1109999999999998</v>
      </c>
      <c r="BD67" s="1">
        <v>5.0960000000000001</v>
      </c>
      <c r="BE67" s="1">
        <v>5.1109999999999998</v>
      </c>
      <c r="BF67" s="1">
        <v>5.0960000000000001</v>
      </c>
      <c r="BG67" s="1">
        <v>5.109</v>
      </c>
      <c r="BH67" s="1">
        <v>5.1189999999999998</v>
      </c>
      <c r="BI67" s="1">
        <v>5.093</v>
      </c>
      <c r="BJ67" s="1">
        <v>5.0990000000000002</v>
      </c>
      <c r="BK67" s="1">
        <v>5.0880000000000001</v>
      </c>
      <c r="BL67" s="1">
        <v>5.0919999999999996</v>
      </c>
      <c r="BN67" s="9">
        <v>24</v>
      </c>
      <c r="BO67" s="9">
        <v>870</v>
      </c>
      <c r="BP67" s="10">
        <f t="shared" si="0"/>
        <v>-2.1379310344826746E-3</v>
      </c>
      <c r="BQ67" s="10">
        <f t="shared" si="1"/>
        <v>1.5883620689656267E-3</v>
      </c>
      <c r="BR67" s="10">
        <f t="shared" si="2"/>
        <v>-3.7284482758605578E-4</v>
      </c>
      <c r="BS67" s="10">
        <f t="shared" si="3"/>
        <v>-4.0991379310343573E-3</v>
      </c>
      <c r="BT67" s="10">
        <f t="shared" si="4"/>
        <v>-7.6508620689653159E-4</v>
      </c>
      <c r="BU67" s="10">
        <f t="shared" si="5"/>
        <v>1.196120689655325E-3</v>
      </c>
      <c r="BV67" s="10">
        <f t="shared" si="6"/>
        <v>4.1379310344828489E-3</v>
      </c>
      <c r="BW67" s="10">
        <f t="shared" si="7"/>
        <v>4.9224137931034523E-3</v>
      </c>
      <c r="BX67" s="10">
        <f t="shared" si="8"/>
        <v>1.9806034482759281E-3</v>
      </c>
      <c r="BY67" s="10">
        <f t="shared" si="9"/>
        <v>2.3728448275862298E-3</v>
      </c>
      <c r="BZ67" s="10">
        <f t="shared" si="10"/>
        <v>1.9396551724245861E-5</v>
      </c>
      <c r="CA67" s="10">
        <f t="shared" si="11"/>
        <v>-7.6508620689653159E-4</v>
      </c>
      <c r="CB67" s="10">
        <f t="shared" si="12"/>
        <v>-1.1573275862068334E-3</v>
      </c>
      <c r="CC67" s="10">
        <f t="shared" si="13"/>
        <v>2.9612068965517695E-3</v>
      </c>
      <c r="CD67" s="10">
        <f t="shared" si="14"/>
        <v>-7.6508620689653159E-4</v>
      </c>
      <c r="CE67" s="10">
        <f t="shared" si="15"/>
        <v>2.9612068965517695E-3</v>
      </c>
      <c r="CF67" s="10">
        <f t="shared" si="16"/>
        <v>1.0000000000000872E-3</v>
      </c>
      <c r="CG67" s="10">
        <f t="shared" si="17"/>
        <v>-1.1573275862068334E-3</v>
      </c>
      <c r="CH67" s="10">
        <f t="shared" si="18"/>
        <v>2.1551724137930958E-4</v>
      </c>
      <c r="CI67" s="10">
        <f t="shared" si="19"/>
        <v>8.2564655172414521E-3</v>
      </c>
      <c r="CJ67" s="10">
        <f t="shared" si="20"/>
        <v>-3.3146551724137535E-3</v>
      </c>
      <c r="CK67" s="10">
        <f t="shared" si="21"/>
        <v>-1.7456896551723729E-3</v>
      </c>
      <c r="CL67" s="10">
        <f t="shared" si="22"/>
        <v>4.1379310344828489E-3</v>
      </c>
      <c r="CM67" s="10">
        <f t="shared" si="23"/>
        <v>-1.7456896551723729E-3</v>
      </c>
      <c r="CN67" s="10">
        <f t="shared" si="24"/>
        <v>4.1163793103454754E-4</v>
      </c>
      <c r="CO67" s="10">
        <f t="shared" si="25"/>
        <v>1.0000000000000872E-3</v>
      </c>
      <c r="CP67" s="10">
        <f t="shared" si="26"/>
        <v>1.7844827586206904E-3</v>
      </c>
      <c r="CQ67" s="10">
        <f t="shared" si="27"/>
        <v>3.3534482758620712E-3</v>
      </c>
      <c r="CR67" s="10">
        <f t="shared" si="28"/>
        <v>3.3534482758620712E-3</v>
      </c>
      <c r="CS67" s="10">
        <f t="shared" si="29"/>
        <v>2.9612068965517695E-3</v>
      </c>
      <c r="CT67" s="10">
        <f t="shared" si="30"/>
        <v>1.196120689655325E-3</v>
      </c>
      <c r="CU67" s="10">
        <f t="shared" si="31"/>
        <v>1.9806034482759281E-3</v>
      </c>
      <c r="CV67" s="10">
        <f t="shared" si="32"/>
        <v>4.1163793103454754E-4</v>
      </c>
      <c r="CW67" s="10">
        <f t="shared" si="33"/>
        <v>4.1163793103454754E-4</v>
      </c>
      <c r="CX67" s="10">
        <f t="shared" si="34"/>
        <v>1.7844827586206904E-3</v>
      </c>
      <c r="CY67" s="10">
        <f t="shared" si="35"/>
        <v>8.0387931034484918E-4</v>
      </c>
      <c r="CZ67" s="10">
        <f t="shared" si="36"/>
        <v>2.3728448275862298E-3</v>
      </c>
      <c r="DA67" s="10">
        <f t="shared" si="37"/>
        <v>1.0000000000000872E-3</v>
      </c>
      <c r="DB67" s="10">
        <f t="shared" si="38"/>
        <v>8.0387931034484918E-4</v>
      </c>
      <c r="DC67" s="10">
        <f t="shared" si="39"/>
        <v>2.1551724137930958E-4</v>
      </c>
      <c r="DD67" s="10">
        <f t="shared" si="40"/>
        <v>-2.9224137931034518E-3</v>
      </c>
      <c r="DE67" s="10">
        <f t="shared" si="41"/>
        <v>4.5301724137931506E-3</v>
      </c>
      <c r="DF67" s="10">
        <f t="shared" si="42"/>
        <v>1.5883620689656267E-3</v>
      </c>
      <c r="DG67" s="10">
        <f t="shared" si="43"/>
        <v>3.7456896551725473E-3</v>
      </c>
      <c r="DH67" s="10">
        <f t="shared" si="44"/>
        <v>2.1551724137930958E-4</v>
      </c>
      <c r="DI67" s="10">
        <f t="shared" si="45"/>
        <v>-1.1573275862068334E-3</v>
      </c>
      <c r="DJ67" s="10">
        <f t="shared" si="46"/>
        <v>1.196120689655325E-3</v>
      </c>
      <c r="DK67" s="10">
        <f t="shared" si="47"/>
        <v>8.0387931034484918E-4</v>
      </c>
      <c r="DL67" s="10">
        <f t="shared" si="48"/>
        <v>-2.9224137931034518E-3</v>
      </c>
      <c r="DM67" s="10">
        <f t="shared" si="49"/>
        <v>-7.6508620689653159E-4</v>
      </c>
      <c r="DN67" s="10">
        <f t="shared" si="50"/>
        <v>2.3728448275862298E-3</v>
      </c>
      <c r="DO67" s="10">
        <f t="shared" si="51"/>
        <v>-5.6896551724129369E-4</v>
      </c>
      <c r="DP67" s="10">
        <f t="shared" si="52"/>
        <v>2.3728448275862298E-3</v>
      </c>
      <c r="DQ67" s="10">
        <f t="shared" si="53"/>
        <v>-5.6896551724129369E-4</v>
      </c>
      <c r="DR67" s="10">
        <f t="shared" si="54"/>
        <v>1.9806034482759281E-3</v>
      </c>
      <c r="DS67" s="10">
        <f t="shared" si="55"/>
        <v>3.9418103448276105E-3</v>
      </c>
      <c r="DT67" s="10">
        <f t="shared" si="56"/>
        <v>-1.1573275862068334E-3</v>
      </c>
      <c r="DU67" s="10">
        <f t="shared" si="57"/>
        <v>1.9396551724245861E-5</v>
      </c>
      <c r="DV67" s="10">
        <f t="shared" si="58"/>
        <v>-2.1379310344826746E-3</v>
      </c>
      <c r="DW67" s="10">
        <f t="shared" si="59"/>
        <v>-1.3534482758620712E-3</v>
      </c>
    </row>
    <row r="68" spans="2:127" x14ac:dyDescent="0.45">
      <c r="B68" s="1">
        <v>24</v>
      </c>
      <c r="C68" s="1">
        <v>885</v>
      </c>
      <c r="D68" s="7">
        <f t="shared" si="60"/>
        <v>5.186813186813187</v>
      </c>
      <c r="E68" s="1">
        <v>5.1760000000000002</v>
      </c>
      <c r="F68" s="1">
        <v>5.194</v>
      </c>
      <c r="G68" s="1">
        <v>5.1840000000000002</v>
      </c>
      <c r="H68" s="1">
        <v>5.1660000000000004</v>
      </c>
      <c r="I68" s="1">
        <v>5.1829999999999998</v>
      </c>
      <c r="J68" s="1">
        <v>5.194</v>
      </c>
      <c r="K68" s="1">
        <v>5.2080000000000002</v>
      </c>
      <c r="L68" s="1">
        <v>5.2110000000000003</v>
      </c>
      <c r="M68" s="1">
        <v>5.1989999999999998</v>
      </c>
      <c r="N68" s="1">
        <v>5.1989999999999998</v>
      </c>
      <c r="O68" s="1">
        <v>5.1870000000000003</v>
      </c>
      <c r="P68" s="1">
        <v>5.181</v>
      </c>
      <c r="Q68" s="1">
        <v>5.1829999999999998</v>
      </c>
      <c r="R68" s="1">
        <v>5.202</v>
      </c>
      <c r="S68" s="1">
        <v>5.18</v>
      </c>
      <c r="T68" s="1">
        <v>5.2</v>
      </c>
      <c r="U68" s="1">
        <v>5.1950000000000003</v>
      </c>
      <c r="V68" s="1">
        <v>5.181</v>
      </c>
      <c r="W68" s="1">
        <v>5.1879999999999997</v>
      </c>
      <c r="X68" s="1">
        <v>5.23</v>
      </c>
      <c r="Y68" s="1">
        <v>5.1689999999999996</v>
      </c>
      <c r="Z68" s="1">
        <v>5.18</v>
      </c>
      <c r="AA68" s="1">
        <v>5.21</v>
      </c>
      <c r="AB68" s="1">
        <v>5.1790000000000003</v>
      </c>
      <c r="AC68" s="1">
        <v>5.19</v>
      </c>
      <c r="AD68" s="1">
        <v>5.1909999999999998</v>
      </c>
      <c r="AE68" s="1">
        <v>5.1959999999999997</v>
      </c>
      <c r="AF68" s="1">
        <v>5.2039999999999997</v>
      </c>
      <c r="AG68" s="1">
        <v>5.2060000000000004</v>
      </c>
      <c r="AH68" s="1">
        <v>5.2030000000000003</v>
      </c>
      <c r="AI68" s="1">
        <v>5.1909999999999998</v>
      </c>
      <c r="AJ68" s="1">
        <v>5.2</v>
      </c>
      <c r="AK68" s="1">
        <v>5.19</v>
      </c>
      <c r="AL68" s="1">
        <v>5.19</v>
      </c>
      <c r="AM68" s="1">
        <v>5.1950000000000003</v>
      </c>
      <c r="AN68" s="1">
        <v>5.19</v>
      </c>
      <c r="AO68" s="1">
        <v>5.1980000000000004</v>
      </c>
      <c r="AP68" s="1">
        <v>5.1920000000000002</v>
      </c>
      <c r="AQ68" s="1">
        <v>5.19</v>
      </c>
      <c r="AR68" s="1">
        <v>5.1870000000000003</v>
      </c>
      <c r="AS68" s="1">
        <v>5.1710000000000003</v>
      </c>
      <c r="AT68" s="1">
        <v>5.2110000000000003</v>
      </c>
      <c r="AU68" s="1">
        <v>5.1959999999999997</v>
      </c>
      <c r="AV68" s="1">
        <v>5.2069999999999999</v>
      </c>
      <c r="AW68" s="1">
        <v>5.19</v>
      </c>
      <c r="AX68" s="1">
        <v>5.1840000000000002</v>
      </c>
      <c r="AY68" s="1">
        <v>5.1950000000000003</v>
      </c>
      <c r="AZ68" s="1">
        <v>5.19</v>
      </c>
      <c r="BA68" s="1">
        <v>5.1719999999999997</v>
      </c>
      <c r="BB68" s="1">
        <v>5.1840000000000002</v>
      </c>
      <c r="BC68" s="1">
        <v>5.2</v>
      </c>
      <c r="BD68" s="1">
        <v>5.1840000000000002</v>
      </c>
      <c r="BE68" s="1">
        <v>5.2</v>
      </c>
      <c r="BF68" s="1">
        <v>5.1849999999999996</v>
      </c>
      <c r="BG68" s="1">
        <v>5.1989999999999998</v>
      </c>
      <c r="BH68" s="1">
        <v>5.2110000000000003</v>
      </c>
      <c r="BI68" s="1">
        <v>5.18</v>
      </c>
      <c r="BJ68" s="1">
        <v>5.1849999999999996</v>
      </c>
      <c r="BK68" s="1">
        <v>5.1760000000000002</v>
      </c>
      <c r="BL68" s="1">
        <v>5.1769999999999996</v>
      </c>
      <c r="BN68" s="9">
        <v>24</v>
      </c>
      <c r="BO68" s="9">
        <v>885</v>
      </c>
      <c r="BP68" s="10">
        <f t="shared" si="0"/>
        <v>-2.0847457627118774E-3</v>
      </c>
      <c r="BQ68" s="10">
        <f t="shared" si="1"/>
        <v>1.3855932203389301E-3</v>
      </c>
      <c r="BR68" s="10">
        <f t="shared" si="2"/>
        <v>-5.4237288135594391E-4</v>
      </c>
      <c r="BS68" s="10">
        <f t="shared" si="3"/>
        <v>-4.0127118644067514E-3</v>
      </c>
      <c r="BT68" s="10">
        <f t="shared" si="4"/>
        <v>-7.3516949152549981E-4</v>
      </c>
      <c r="BU68" s="10">
        <f t="shared" si="5"/>
        <v>1.3855932203389301E-3</v>
      </c>
      <c r="BV68" s="10">
        <f t="shared" si="6"/>
        <v>4.0847457627118562E-3</v>
      </c>
      <c r="BW68" s="10">
        <f t="shared" si="7"/>
        <v>4.6631355932203527E-3</v>
      </c>
      <c r="BX68" s="10">
        <f t="shared" si="8"/>
        <v>2.3495762711863671E-3</v>
      </c>
      <c r="BY68" s="10">
        <f t="shared" si="9"/>
        <v>2.3495762711863671E-3</v>
      </c>
      <c r="BZ68" s="10">
        <f t="shared" si="10"/>
        <v>3.6016949152552516E-5</v>
      </c>
      <c r="CA68" s="10">
        <f t="shared" si="11"/>
        <v>-1.1207627118644404E-3</v>
      </c>
      <c r="CB68" s="10">
        <f t="shared" si="12"/>
        <v>-7.3516949152549981E-4</v>
      </c>
      <c r="CC68" s="10">
        <f t="shared" si="13"/>
        <v>2.9279661016948636E-3</v>
      </c>
      <c r="CD68" s="10">
        <f t="shared" si="14"/>
        <v>-1.3135593220339964E-3</v>
      </c>
      <c r="CE68" s="10">
        <f t="shared" si="15"/>
        <v>2.5423728813559229E-3</v>
      </c>
      <c r="CF68" s="10">
        <f t="shared" si="16"/>
        <v>1.5783898305084861E-3</v>
      </c>
      <c r="CG68" s="10">
        <f t="shared" si="17"/>
        <v>-1.1207627118644404E-3</v>
      </c>
      <c r="CH68" s="10">
        <f t="shared" si="18"/>
        <v>2.2881355932193717E-4</v>
      </c>
      <c r="CI68" s="10">
        <f t="shared" si="19"/>
        <v>8.3262711864407167E-3</v>
      </c>
      <c r="CJ68" s="10">
        <f t="shared" si="20"/>
        <v>-3.4343220338984262E-3</v>
      </c>
      <c r="CK68" s="10">
        <f t="shared" si="21"/>
        <v>-1.3135593220339964E-3</v>
      </c>
      <c r="CL68" s="10">
        <f t="shared" si="22"/>
        <v>4.4703389830507969E-3</v>
      </c>
      <c r="CM68" s="10">
        <f t="shared" si="23"/>
        <v>-1.5063559322033809E-3</v>
      </c>
      <c r="CN68" s="10">
        <f t="shared" si="24"/>
        <v>6.14406779661049E-4</v>
      </c>
      <c r="CO68" s="10">
        <f t="shared" si="25"/>
        <v>8.072033898304336E-4</v>
      </c>
      <c r="CP68" s="10">
        <f t="shared" si="26"/>
        <v>1.7711864406778706E-3</v>
      </c>
      <c r="CQ68" s="10">
        <f t="shared" si="27"/>
        <v>3.3135593220338043E-3</v>
      </c>
      <c r="CR68" s="10">
        <f t="shared" si="28"/>
        <v>3.6991525423729159E-3</v>
      </c>
      <c r="CS68" s="10">
        <f t="shared" si="29"/>
        <v>3.1207627118644194E-3</v>
      </c>
      <c r="CT68" s="10">
        <f t="shared" si="30"/>
        <v>8.072033898304336E-4</v>
      </c>
      <c r="CU68" s="10">
        <f t="shared" si="31"/>
        <v>2.5423728813559229E-3</v>
      </c>
      <c r="CV68" s="10">
        <f t="shared" si="32"/>
        <v>6.14406779661049E-4</v>
      </c>
      <c r="CW68" s="10">
        <f t="shared" si="33"/>
        <v>6.14406779661049E-4</v>
      </c>
      <c r="CX68" s="10">
        <f t="shared" si="34"/>
        <v>1.5783898305084861E-3</v>
      </c>
      <c r="CY68" s="10">
        <f t="shared" si="35"/>
        <v>6.14406779661049E-4</v>
      </c>
      <c r="CZ68" s="10">
        <f t="shared" si="36"/>
        <v>2.1567796610169826E-3</v>
      </c>
      <c r="DA68" s="10">
        <f t="shared" si="37"/>
        <v>9.9999999999998961E-4</v>
      </c>
      <c r="DB68" s="10">
        <f t="shared" si="38"/>
        <v>6.14406779661049E-4</v>
      </c>
      <c r="DC68" s="10">
        <f t="shared" si="39"/>
        <v>3.6016949152552516E-5</v>
      </c>
      <c r="DD68" s="10">
        <f t="shared" si="40"/>
        <v>-3.0487288135593146E-3</v>
      </c>
      <c r="DE68" s="10">
        <f t="shared" si="41"/>
        <v>4.6631355932203527E-3</v>
      </c>
      <c r="DF68" s="10">
        <f t="shared" si="42"/>
        <v>1.7711864406778706E-3</v>
      </c>
      <c r="DG68" s="10">
        <f t="shared" si="43"/>
        <v>3.8919491525423009E-3</v>
      </c>
      <c r="DH68" s="10">
        <f t="shared" si="44"/>
        <v>6.14406779661049E-4</v>
      </c>
      <c r="DI68" s="10">
        <f t="shared" si="45"/>
        <v>-5.4237288135594391E-4</v>
      </c>
      <c r="DJ68" s="10">
        <f t="shared" si="46"/>
        <v>1.5783898305084861E-3</v>
      </c>
      <c r="DK68" s="10">
        <f t="shared" si="47"/>
        <v>6.14406779661049E-4</v>
      </c>
      <c r="DL68" s="10">
        <f t="shared" si="48"/>
        <v>-2.8559322033899297E-3</v>
      </c>
      <c r="DM68" s="10">
        <f t="shared" si="49"/>
        <v>-5.4237288135594391E-4</v>
      </c>
      <c r="DN68" s="10">
        <f t="shared" si="50"/>
        <v>2.5423728813559229E-3</v>
      </c>
      <c r="DO68" s="10">
        <f t="shared" si="51"/>
        <v>-5.4237288135594391E-4</v>
      </c>
      <c r="DP68" s="10">
        <f t="shared" si="52"/>
        <v>2.5423728813559229E-3</v>
      </c>
      <c r="DQ68" s="10">
        <f t="shared" si="53"/>
        <v>-3.4957627118655931E-4</v>
      </c>
      <c r="DR68" s="10">
        <f t="shared" si="54"/>
        <v>2.3495762711863671E-3</v>
      </c>
      <c r="DS68" s="10">
        <f t="shared" si="55"/>
        <v>4.6631355932203527E-3</v>
      </c>
      <c r="DT68" s="10">
        <f t="shared" si="56"/>
        <v>-1.3135593220339964E-3</v>
      </c>
      <c r="DU68" s="10">
        <f t="shared" si="57"/>
        <v>-3.4957627118655931E-4</v>
      </c>
      <c r="DV68" s="10">
        <f t="shared" si="58"/>
        <v>-2.0847457627118774E-3</v>
      </c>
      <c r="DW68" s="10">
        <f t="shared" si="59"/>
        <v>-1.8919491525424927E-3</v>
      </c>
    </row>
    <row r="69" spans="2:127" x14ac:dyDescent="0.45">
      <c r="B69" s="1">
        <v>24</v>
      </c>
      <c r="C69" s="1">
        <v>900</v>
      </c>
      <c r="D69" s="7">
        <f t="shared" si="60"/>
        <v>5.2747252747252746</v>
      </c>
      <c r="E69" s="1">
        <v>5.2640000000000002</v>
      </c>
      <c r="F69" s="1">
        <v>5.282</v>
      </c>
      <c r="G69" s="1">
        <v>5.2709999999999999</v>
      </c>
      <c r="H69" s="1">
        <v>5.2519999999999998</v>
      </c>
      <c r="I69" s="1">
        <v>5.27</v>
      </c>
      <c r="J69" s="1">
        <v>5.282</v>
      </c>
      <c r="K69" s="1">
        <v>5.2969999999999997</v>
      </c>
      <c r="L69" s="1">
        <v>5.3010000000000002</v>
      </c>
      <c r="M69" s="1">
        <v>5.2869999999999999</v>
      </c>
      <c r="N69" s="1">
        <v>5.2889999999999997</v>
      </c>
      <c r="O69" s="1">
        <v>5.2750000000000004</v>
      </c>
      <c r="P69" s="1">
        <v>5.2679999999999998</v>
      </c>
      <c r="Q69" s="1">
        <v>5.2670000000000003</v>
      </c>
      <c r="R69" s="1">
        <v>5.2910000000000004</v>
      </c>
      <c r="S69" s="1">
        <v>5.2679999999999998</v>
      </c>
      <c r="T69" s="1">
        <v>5.2869999999999999</v>
      </c>
      <c r="U69" s="1">
        <v>5.2830000000000004</v>
      </c>
      <c r="V69" s="1">
        <v>5.2679999999999998</v>
      </c>
      <c r="W69" s="1">
        <v>5.2750000000000004</v>
      </c>
      <c r="X69" s="1">
        <v>5.3170000000000002</v>
      </c>
      <c r="Y69" s="1">
        <v>5.2560000000000002</v>
      </c>
      <c r="Z69" s="1">
        <v>5.2679999999999998</v>
      </c>
      <c r="AA69" s="1">
        <v>5.2990000000000004</v>
      </c>
      <c r="AB69" s="1">
        <v>5.2649999999999997</v>
      </c>
      <c r="AC69" s="1">
        <v>5.2779999999999996</v>
      </c>
      <c r="AD69" s="1">
        <v>5.2779999999999996</v>
      </c>
      <c r="AE69" s="1">
        <v>5.2839999999999998</v>
      </c>
      <c r="AF69" s="1">
        <v>5.2930000000000001</v>
      </c>
      <c r="AG69" s="1">
        <v>5.2939999999999996</v>
      </c>
      <c r="AH69" s="1">
        <v>5.2889999999999997</v>
      </c>
      <c r="AI69" s="1">
        <v>5.2789999999999999</v>
      </c>
      <c r="AJ69" s="1">
        <v>5.29</v>
      </c>
      <c r="AK69" s="1">
        <v>5.274</v>
      </c>
      <c r="AL69" s="1">
        <v>5.2779999999999996</v>
      </c>
      <c r="AM69" s="1">
        <v>5.282</v>
      </c>
      <c r="AN69" s="1">
        <v>5.2789999999999999</v>
      </c>
      <c r="AO69" s="1">
        <v>5.2839999999999998</v>
      </c>
      <c r="AP69" s="1">
        <v>5.2789999999999999</v>
      </c>
      <c r="AQ69" s="1">
        <v>5.2789999999999999</v>
      </c>
      <c r="AR69" s="1">
        <v>5.2750000000000004</v>
      </c>
      <c r="AS69" s="1">
        <v>5.2590000000000003</v>
      </c>
      <c r="AT69" s="1">
        <v>5.298</v>
      </c>
      <c r="AU69" s="1">
        <v>5.2839999999999998</v>
      </c>
      <c r="AV69" s="1">
        <v>5.2990000000000004</v>
      </c>
      <c r="AW69" s="1">
        <v>5.28</v>
      </c>
      <c r="AX69" s="1">
        <v>5.2720000000000002</v>
      </c>
      <c r="AY69" s="1">
        <v>5.2830000000000004</v>
      </c>
      <c r="AZ69" s="1">
        <v>5.2759999999999998</v>
      </c>
      <c r="BA69" s="1">
        <v>5.2590000000000003</v>
      </c>
      <c r="BB69" s="1">
        <v>5.2720000000000002</v>
      </c>
      <c r="BC69" s="1">
        <v>5.29</v>
      </c>
      <c r="BD69" s="1">
        <v>5.2720000000000002</v>
      </c>
      <c r="BE69" s="1">
        <v>5.2889999999999997</v>
      </c>
      <c r="BF69" s="1">
        <v>5.2720000000000002</v>
      </c>
      <c r="BG69" s="1">
        <v>5.28</v>
      </c>
      <c r="BH69" s="1">
        <v>5.2990000000000004</v>
      </c>
      <c r="BI69" s="1">
        <v>5.2670000000000003</v>
      </c>
      <c r="BJ69" s="1">
        <v>5.2750000000000004</v>
      </c>
      <c r="BK69" s="1">
        <v>5.2720000000000002</v>
      </c>
      <c r="BL69" s="1">
        <v>5.2640000000000002</v>
      </c>
      <c r="BN69" s="9">
        <v>24</v>
      </c>
      <c r="BO69" s="9">
        <v>900</v>
      </c>
      <c r="BP69" s="10">
        <f t="shared" si="0"/>
        <v>-2.0333333333332725E-3</v>
      </c>
      <c r="BQ69" s="10">
        <f t="shared" si="1"/>
        <v>1.3791666666666887E-3</v>
      </c>
      <c r="BR69" s="10">
        <f t="shared" si="2"/>
        <v>-7.0625000000000082E-4</v>
      </c>
      <c r="BS69" s="10">
        <f t="shared" si="3"/>
        <v>-4.3083333333333584E-3</v>
      </c>
      <c r="BT69" s="10">
        <f t="shared" si="4"/>
        <v>-8.9583333333339752E-4</v>
      </c>
      <c r="BU69" s="10">
        <f t="shared" si="5"/>
        <v>1.3791666666666887E-3</v>
      </c>
      <c r="BV69" s="10">
        <f t="shared" si="6"/>
        <v>4.2229166666666283E-3</v>
      </c>
      <c r="BW69" s="10">
        <f t="shared" si="7"/>
        <v>4.9812500000000464E-3</v>
      </c>
      <c r="BX69" s="10">
        <f t="shared" si="8"/>
        <v>2.3270833333333351E-3</v>
      </c>
      <c r="BY69" s="10">
        <f t="shared" si="9"/>
        <v>2.70624999999996E-3</v>
      </c>
      <c r="BZ69" s="10">
        <f t="shared" si="10"/>
        <v>5.2083333333417342E-5</v>
      </c>
      <c r="CA69" s="10">
        <f t="shared" si="11"/>
        <v>-1.2750000000000224E-3</v>
      </c>
      <c r="CB69" s="10">
        <f t="shared" si="12"/>
        <v>-1.4645833333332507E-3</v>
      </c>
      <c r="CC69" s="10">
        <f t="shared" si="13"/>
        <v>3.0854166666667536E-3</v>
      </c>
      <c r="CD69" s="10">
        <f t="shared" si="14"/>
        <v>-1.2750000000000224E-3</v>
      </c>
      <c r="CE69" s="10">
        <f t="shared" si="15"/>
        <v>2.3270833333333351E-3</v>
      </c>
      <c r="CF69" s="10">
        <f t="shared" si="16"/>
        <v>1.5687500000000855E-3</v>
      </c>
      <c r="CG69" s="10">
        <f t="shared" si="17"/>
        <v>-1.2750000000000224E-3</v>
      </c>
      <c r="CH69" s="10">
        <f t="shared" si="18"/>
        <v>5.2083333333417342E-5</v>
      </c>
      <c r="CI69" s="10">
        <f t="shared" si="19"/>
        <v>8.0145833333333822E-3</v>
      </c>
      <c r="CJ69" s="10">
        <f t="shared" si="20"/>
        <v>-3.5499999999999404E-3</v>
      </c>
      <c r="CK69" s="10">
        <f t="shared" si="21"/>
        <v>-1.2750000000000224E-3</v>
      </c>
      <c r="CL69" s="10">
        <f t="shared" si="22"/>
        <v>4.6020833333334215E-3</v>
      </c>
      <c r="CM69" s="10">
        <f t="shared" si="23"/>
        <v>-1.8437500000000439E-3</v>
      </c>
      <c r="CN69" s="10">
        <f t="shared" si="24"/>
        <v>6.2083333333327049E-4</v>
      </c>
      <c r="CO69" s="10">
        <f t="shared" si="25"/>
        <v>6.2083333333327049E-4</v>
      </c>
      <c r="CP69" s="10">
        <f t="shared" si="26"/>
        <v>1.7583333333333136E-3</v>
      </c>
      <c r="CQ69" s="10">
        <f t="shared" si="27"/>
        <v>3.4645833333333785E-3</v>
      </c>
      <c r="CR69" s="10">
        <f t="shared" si="28"/>
        <v>3.6541666666666064E-3</v>
      </c>
      <c r="CS69" s="10">
        <f t="shared" si="29"/>
        <v>2.70624999999996E-3</v>
      </c>
      <c r="CT69" s="10">
        <f t="shared" si="30"/>
        <v>8.1041666666666718E-4</v>
      </c>
      <c r="CU69" s="10">
        <f t="shared" si="31"/>
        <v>2.8958333333333566E-3</v>
      </c>
      <c r="CV69" s="10">
        <f t="shared" si="32"/>
        <v>-1.374999999999793E-4</v>
      </c>
      <c r="CW69" s="10">
        <f t="shared" si="33"/>
        <v>6.2083333333327049E-4</v>
      </c>
      <c r="CX69" s="10">
        <f t="shared" si="34"/>
        <v>1.3791666666666887E-3</v>
      </c>
      <c r="CY69" s="10">
        <f t="shared" si="35"/>
        <v>8.1041666666666718E-4</v>
      </c>
      <c r="CZ69" s="10">
        <f t="shared" si="36"/>
        <v>1.7583333333333136E-3</v>
      </c>
      <c r="DA69" s="10">
        <f t="shared" si="37"/>
        <v>8.1041666666666718E-4</v>
      </c>
      <c r="DB69" s="10">
        <f t="shared" si="38"/>
        <v>8.1041666666666718E-4</v>
      </c>
      <c r="DC69" s="10">
        <f t="shared" si="39"/>
        <v>5.2083333333417342E-5</v>
      </c>
      <c r="DD69" s="10">
        <f t="shared" si="40"/>
        <v>-2.9812499999999189E-3</v>
      </c>
      <c r="DE69" s="10">
        <f t="shared" si="41"/>
        <v>4.4125000000000249E-3</v>
      </c>
      <c r="DF69" s="10">
        <f t="shared" si="42"/>
        <v>1.7583333333333136E-3</v>
      </c>
      <c r="DG69" s="10">
        <f t="shared" si="43"/>
        <v>4.6020833333334215E-3</v>
      </c>
      <c r="DH69" s="10">
        <f t="shared" si="44"/>
        <v>1.0000000000000638E-3</v>
      </c>
      <c r="DI69" s="10">
        <f t="shared" si="45"/>
        <v>-5.1666666666660423E-4</v>
      </c>
      <c r="DJ69" s="10">
        <f t="shared" si="46"/>
        <v>1.5687500000000855E-3</v>
      </c>
      <c r="DK69" s="10">
        <f t="shared" si="47"/>
        <v>2.4166666666664561E-4</v>
      </c>
      <c r="DL69" s="10">
        <f t="shared" si="48"/>
        <v>-2.9812499999999189E-3</v>
      </c>
      <c r="DM69" s="10">
        <f t="shared" si="49"/>
        <v>-5.1666666666660423E-4</v>
      </c>
      <c r="DN69" s="10">
        <f t="shared" si="50"/>
        <v>2.8958333333333566E-3</v>
      </c>
      <c r="DO69" s="10">
        <f t="shared" si="51"/>
        <v>-5.1666666666660423E-4</v>
      </c>
      <c r="DP69" s="10">
        <f t="shared" si="52"/>
        <v>2.70624999999996E-3</v>
      </c>
      <c r="DQ69" s="10">
        <f t="shared" si="53"/>
        <v>-5.1666666666660423E-4</v>
      </c>
      <c r="DR69" s="10">
        <f t="shared" si="54"/>
        <v>1.0000000000000638E-3</v>
      </c>
      <c r="DS69" s="10">
        <f t="shared" si="55"/>
        <v>4.6020833333334215E-3</v>
      </c>
      <c r="DT69" s="10">
        <f t="shared" si="56"/>
        <v>-1.4645833333332507E-3</v>
      </c>
      <c r="DU69" s="10">
        <f t="shared" si="57"/>
        <v>5.2083333333417342E-5</v>
      </c>
      <c r="DV69" s="10">
        <f t="shared" si="58"/>
        <v>-5.1666666666660423E-4</v>
      </c>
      <c r="DW69" s="10">
        <f t="shared" si="59"/>
        <v>-2.0333333333332725E-3</v>
      </c>
    </row>
    <row r="70" spans="2:127" x14ac:dyDescent="0.45">
      <c r="B70" s="1">
        <v>24</v>
      </c>
      <c r="C70" s="1">
        <v>915</v>
      </c>
      <c r="D70" s="7">
        <f t="shared" si="60"/>
        <v>5.3626373626373622</v>
      </c>
      <c r="E70" s="1">
        <v>5.3520000000000003</v>
      </c>
      <c r="F70" s="1">
        <v>5.3689999999999998</v>
      </c>
      <c r="G70" s="1">
        <v>5.359</v>
      </c>
      <c r="H70" s="1">
        <v>5.3360000000000003</v>
      </c>
      <c r="I70" s="1">
        <v>5.3579999999999997</v>
      </c>
      <c r="J70" s="1">
        <v>5.37</v>
      </c>
      <c r="K70" s="1">
        <v>5.3849999999999998</v>
      </c>
      <c r="L70" s="1">
        <v>5.3860000000000001</v>
      </c>
      <c r="M70" s="1">
        <v>5.375</v>
      </c>
      <c r="N70" s="1">
        <v>5.3739999999999997</v>
      </c>
      <c r="O70" s="1">
        <v>5.3639999999999999</v>
      </c>
      <c r="P70" s="1">
        <v>5.3550000000000004</v>
      </c>
      <c r="Q70" s="1">
        <v>5.3550000000000004</v>
      </c>
      <c r="R70" s="1">
        <v>5.3780000000000001</v>
      </c>
      <c r="S70" s="1">
        <v>5.3579999999999997</v>
      </c>
      <c r="T70" s="1">
        <v>5.3739999999999997</v>
      </c>
      <c r="U70" s="1">
        <v>5.3739999999999997</v>
      </c>
      <c r="V70" s="1">
        <v>5.3540000000000001</v>
      </c>
      <c r="W70" s="1">
        <v>5.3630000000000004</v>
      </c>
      <c r="X70" s="1">
        <v>5.407</v>
      </c>
      <c r="Y70" s="1">
        <v>5.3440000000000003</v>
      </c>
      <c r="Z70" s="1">
        <v>5.3559999999999999</v>
      </c>
      <c r="AA70" s="1">
        <v>5.3879999999999999</v>
      </c>
      <c r="AB70" s="1">
        <v>5.3540000000000001</v>
      </c>
      <c r="AC70" s="1">
        <v>5.3659999999999997</v>
      </c>
      <c r="AD70" s="1">
        <v>5.3659999999999997</v>
      </c>
      <c r="AE70" s="1">
        <v>5.3710000000000004</v>
      </c>
      <c r="AF70" s="1">
        <v>5.3810000000000002</v>
      </c>
      <c r="AG70" s="1">
        <v>5.3810000000000002</v>
      </c>
      <c r="AH70" s="1">
        <v>5.375</v>
      </c>
      <c r="AI70" s="1">
        <v>5.367</v>
      </c>
      <c r="AJ70" s="1">
        <v>5.3769999999999998</v>
      </c>
      <c r="AK70" s="1">
        <v>5.3630000000000004</v>
      </c>
      <c r="AL70" s="1">
        <v>5.3659999999999997</v>
      </c>
      <c r="AM70" s="1">
        <v>5.37</v>
      </c>
      <c r="AN70" s="1">
        <v>5.367</v>
      </c>
      <c r="AO70" s="1">
        <v>5.3730000000000002</v>
      </c>
      <c r="AP70" s="1">
        <v>5.3659999999999997</v>
      </c>
      <c r="AQ70" s="1">
        <v>5.3639999999999999</v>
      </c>
      <c r="AR70" s="1">
        <v>5.3639999999999999</v>
      </c>
      <c r="AS70" s="1">
        <v>5.3449999999999998</v>
      </c>
      <c r="AT70" s="1">
        <v>5.3879999999999999</v>
      </c>
      <c r="AU70" s="1">
        <v>5.3730000000000002</v>
      </c>
      <c r="AV70" s="1">
        <v>5.3849999999999998</v>
      </c>
      <c r="AW70" s="1">
        <v>5.37</v>
      </c>
      <c r="AX70" s="1">
        <v>5.3620000000000001</v>
      </c>
      <c r="AY70" s="1">
        <v>5.3710000000000004</v>
      </c>
      <c r="AZ70" s="1">
        <v>5.3659999999999997</v>
      </c>
      <c r="BA70" s="1">
        <v>5.3449999999999998</v>
      </c>
      <c r="BB70" s="1">
        <v>5.3579999999999997</v>
      </c>
      <c r="BC70" s="1">
        <v>5.3769999999999998</v>
      </c>
      <c r="BD70" s="1">
        <v>5.36</v>
      </c>
      <c r="BE70" s="1">
        <v>5.375</v>
      </c>
      <c r="BF70" s="1">
        <v>5.3620000000000001</v>
      </c>
      <c r="BG70" s="1">
        <v>5.37</v>
      </c>
      <c r="BH70" s="1">
        <v>5.3849999999999998</v>
      </c>
      <c r="BI70" s="1">
        <v>5.3540000000000001</v>
      </c>
      <c r="BJ70" s="1">
        <v>5.3620000000000001</v>
      </c>
      <c r="BK70" s="1">
        <v>5.3579999999999997</v>
      </c>
      <c r="BL70" s="1">
        <v>5.3540000000000001</v>
      </c>
      <c r="BN70" s="9">
        <v>24</v>
      </c>
      <c r="BO70" s="9">
        <v>915</v>
      </c>
      <c r="BP70" s="10">
        <f t="shared" si="0"/>
        <v>-1.9836065573769165E-3</v>
      </c>
      <c r="BQ70" s="10">
        <f t="shared" si="1"/>
        <v>1.186475409836098E-3</v>
      </c>
      <c r="BR70" s="10">
        <f t="shared" si="2"/>
        <v>-6.7827868852451826E-4</v>
      </c>
      <c r="BS70" s="10">
        <f t="shared" si="3"/>
        <v>-4.9672131147539683E-3</v>
      </c>
      <c r="BT70" s="10">
        <f t="shared" si="4"/>
        <v>-8.6475409836064615E-4</v>
      </c>
      <c r="BU70" s="10">
        <f t="shared" si="5"/>
        <v>1.3729508196722257E-3</v>
      </c>
      <c r="BV70" s="10">
        <f t="shared" si="6"/>
        <v>4.1700819672131498E-3</v>
      </c>
      <c r="BW70" s="10">
        <f t="shared" si="7"/>
        <v>4.3565573770492777E-3</v>
      </c>
      <c r="BX70" s="10">
        <f t="shared" si="8"/>
        <v>2.305327868852534E-3</v>
      </c>
      <c r="BY70" s="10">
        <f t="shared" si="9"/>
        <v>2.1188524590164061E-3</v>
      </c>
      <c r="BZ70" s="10">
        <f t="shared" si="10"/>
        <v>2.5409836065578981E-4</v>
      </c>
      <c r="CA70" s="10">
        <f t="shared" si="11"/>
        <v>-1.4241803278686985E-3</v>
      </c>
      <c r="CB70" s="10">
        <f t="shared" si="12"/>
        <v>-1.4241803278686985E-3</v>
      </c>
      <c r="CC70" s="10">
        <f t="shared" si="13"/>
        <v>2.8647540983607516E-3</v>
      </c>
      <c r="CD70" s="10">
        <f t="shared" si="14"/>
        <v>-8.6475409836064615E-4</v>
      </c>
      <c r="CE70" s="10">
        <f t="shared" si="15"/>
        <v>2.1188524590164061E-3</v>
      </c>
      <c r="CF70" s="10">
        <f t="shared" si="16"/>
        <v>2.1188524590164061E-3</v>
      </c>
      <c r="CG70" s="10">
        <f t="shared" si="17"/>
        <v>-1.6106557377048264E-3</v>
      </c>
      <c r="CH70" s="10">
        <f t="shared" si="18"/>
        <v>6.7622950819827587E-5</v>
      </c>
      <c r="CI70" s="10">
        <f t="shared" si="19"/>
        <v>8.2725409836066372E-3</v>
      </c>
      <c r="CJ70" s="10">
        <f t="shared" si="20"/>
        <v>-3.4754098360654426E-3</v>
      </c>
      <c r="CK70" s="10">
        <f t="shared" si="21"/>
        <v>-1.2377049180327363E-3</v>
      </c>
      <c r="CL70" s="10">
        <f t="shared" si="22"/>
        <v>4.7295081967213678E-3</v>
      </c>
      <c r="CM70" s="10">
        <f t="shared" si="23"/>
        <v>-1.6106557377048264E-3</v>
      </c>
      <c r="CN70" s="10">
        <f t="shared" si="24"/>
        <v>6.2704918032787987E-4</v>
      </c>
      <c r="CO70" s="10">
        <f t="shared" si="25"/>
        <v>6.2704918032787987E-4</v>
      </c>
      <c r="CP70" s="10">
        <f t="shared" si="26"/>
        <v>1.5594262295083536E-3</v>
      </c>
      <c r="CQ70" s="10">
        <f t="shared" si="27"/>
        <v>3.4241803278689696E-3</v>
      </c>
      <c r="CR70" s="10">
        <f t="shared" si="28"/>
        <v>3.4241803278689696E-3</v>
      </c>
      <c r="CS70" s="10">
        <f t="shared" si="29"/>
        <v>2.305327868852534E-3</v>
      </c>
      <c r="CT70" s="10">
        <f t="shared" si="30"/>
        <v>8.1352459016400776E-4</v>
      </c>
      <c r="CU70" s="10">
        <f t="shared" si="31"/>
        <v>2.6782786885246241E-3</v>
      </c>
      <c r="CV70" s="10">
        <f t="shared" si="32"/>
        <v>6.7622950819827587E-5</v>
      </c>
      <c r="CW70" s="10">
        <f t="shared" si="33"/>
        <v>6.2704918032787987E-4</v>
      </c>
      <c r="CX70" s="10">
        <f t="shared" si="34"/>
        <v>1.3729508196722257E-3</v>
      </c>
      <c r="CY70" s="10">
        <f t="shared" si="35"/>
        <v>8.1352459016400776E-4</v>
      </c>
      <c r="CZ70" s="10">
        <f t="shared" si="36"/>
        <v>1.9323770491804437E-3</v>
      </c>
      <c r="DA70" s="10">
        <f t="shared" si="37"/>
        <v>6.2704918032787987E-4</v>
      </c>
      <c r="DB70" s="10">
        <f t="shared" si="38"/>
        <v>2.5409836065578981E-4</v>
      </c>
      <c r="DC70" s="10">
        <f t="shared" si="39"/>
        <v>2.5409836065578981E-4</v>
      </c>
      <c r="DD70" s="10">
        <f t="shared" si="40"/>
        <v>-3.2889344262294804E-3</v>
      </c>
      <c r="DE70" s="10">
        <f t="shared" si="41"/>
        <v>4.7295081967213678E-3</v>
      </c>
      <c r="DF70" s="10">
        <f t="shared" si="42"/>
        <v>1.9323770491804437E-3</v>
      </c>
      <c r="DG70" s="10">
        <f t="shared" si="43"/>
        <v>4.1700819672131498E-3</v>
      </c>
      <c r="DH70" s="10">
        <f t="shared" si="44"/>
        <v>1.3729508196722257E-3</v>
      </c>
      <c r="DI70" s="10">
        <f t="shared" si="45"/>
        <v>-1.1885245901630028E-4</v>
      </c>
      <c r="DJ70" s="10">
        <f t="shared" si="46"/>
        <v>1.5594262295083536E-3</v>
      </c>
      <c r="DK70" s="10">
        <f t="shared" si="47"/>
        <v>6.2704918032787987E-4</v>
      </c>
      <c r="DL70" s="10">
        <f t="shared" si="48"/>
        <v>-3.2889344262294804E-3</v>
      </c>
      <c r="DM70" s="10">
        <f t="shared" si="49"/>
        <v>-8.6475409836064615E-4</v>
      </c>
      <c r="DN70" s="10">
        <f t="shared" si="50"/>
        <v>2.6782786885246241E-3</v>
      </c>
      <c r="DO70" s="10">
        <f t="shared" si="51"/>
        <v>-4.9180327868839037E-4</v>
      </c>
      <c r="DP70" s="10">
        <f t="shared" si="52"/>
        <v>2.305327868852534E-3</v>
      </c>
      <c r="DQ70" s="10">
        <f t="shared" si="53"/>
        <v>-1.1885245901630028E-4</v>
      </c>
      <c r="DR70" s="10">
        <f t="shared" si="54"/>
        <v>1.3729508196722257E-3</v>
      </c>
      <c r="DS70" s="10">
        <f t="shared" si="55"/>
        <v>4.1700819672131498E-3</v>
      </c>
      <c r="DT70" s="10">
        <f t="shared" si="56"/>
        <v>-1.6106557377048264E-3</v>
      </c>
      <c r="DU70" s="10">
        <f t="shared" si="57"/>
        <v>-1.1885245901630028E-4</v>
      </c>
      <c r="DV70" s="10">
        <f t="shared" si="58"/>
        <v>-8.6475409836064615E-4</v>
      </c>
      <c r="DW70" s="10">
        <f t="shared" si="59"/>
        <v>-1.6106557377048264E-3</v>
      </c>
    </row>
    <row r="71" spans="2:127" x14ac:dyDescent="0.45">
      <c r="B71" s="1">
        <v>24</v>
      </c>
      <c r="C71" s="1">
        <v>930</v>
      </c>
      <c r="D71" s="7">
        <f t="shared" si="60"/>
        <v>5.4505494505494507</v>
      </c>
      <c r="E71" s="1">
        <v>5.4390000000000001</v>
      </c>
      <c r="F71" s="1">
        <v>5.4550000000000001</v>
      </c>
      <c r="G71" s="1">
        <v>5.45</v>
      </c>
      <c r="H71" s="1">
        <v>5.423</v>
      </c>
      <c r="I71" s="1">
        <v>5.4470000000000001</v>
      </c>
      <c r="J71" s="1">
        <v>5.4580000000000002</v>
      </c>
      <c r="K71" s="1">
        <v>5.4729999999999999</v>
      </c>
      <c r="L71" s="1">
        <v>5.476</v>
      </c>
      <c r="M71" s="1">
        <v>5.4649999999999999</v>
      </c>
      <c r="N71" s="1">
        <v>5.4630000000000001</v>
      </c>
      <c r="O71" s="1">
        <v>5.4509999999999996</v>
      </c>
      <c r="P71" s="1">
        <v>5.44</v>
      </c>
      <c r="Q71" s="1">
        <v>5.4420000000000002</v>
      </c>
      <c r="R71" s="1">
        <v>5.4660000000000002</v>
      </c>
      <c r="S71" s="1">
        <v>5.4489999999999998</v>
      </c>
      <c r="T71" s="1">
        <v>5.4610000000000003</v>
      </c>
      <c r="U71" s="1">
        <v>5.4610000000000003</v>
      </c>
      <c r="V71" s="1">
        <v>5.44</v>
      </c>
      <c r="W71" s="1">
        <v>5.45</v>
      </c>
      <c r="X71" s="1">
        <v>5.4909999999999997</v>
      </c>
      <c r="Y71" s="1">
        <v>5.4320000000000004</v>
      </c>
      <c r="Z71" s="1">
        <v>5.4450000000000003</v>
      </c>
      <c r="AA71" s="1">
        <v>5.4740000000000002</v>
      </c>
      <c r="AB71" s="1">
        <v>5.4420000000000002</v>
      </c>
      <c r="AC71" s="1">
        <v>5.4509999999999996</v>
      </c>
      <c r="AD71" s="1">
        <v>5.4550000000000001</v>
      </c>
      <c r="AE71" s="1">
        <v>5.4580000000000002</v>
      </c>
      <c r="AF71" s="1">
        <v>5.4690000000000003</v>
      </c>
      <c r="AG71" s="1">
        <v>5.468</v>
      </c>
      <c r="AH71" s="1">
        <v>5.4660000000000002</v>
      </c>
      <c r="AI71" s="1">
        <v>5.4539999999999997</v>
      </c>
      <c r="AJ71" s="1">
        <v>5.4649999999999999</v>
      </c>
      <c r="AK71" s="1">
        <v>5.45</v>
      </c>
      <c r="AL71" s="1">
        <v>5.4530000000000003</v>
      </c>
      <c r="AM71" s="1">
        <v>5.4550000000000001</v>
      </c>
      <c r="AN71" s="1">
        <v>5.4550000000000001</v>
      </c>
      <c r="AO71" s="1">
        <v>5.4580000000000002</v>
      </c>
      <c r="AP71" s="1">
        <v>5.4530000000000003</v>
      </c>
      <c r="AQ71" s="1">
        <v>5.4509999999999996</v>
      </c>
      <c r="AR71" s="1">
        <v>5.4509999999999996</v>
      </c>
      <c r="AS71" s="1">
        <v>5.43</v>
      </c>
      <c r="AT71" s="1">
        <v>5.4740000000000002</v>
      </c>
      <c r="AU71" s="1">
        <v>5.4610000000000003</v>
      </c>
      <c r="AV71" s="1">
        <v>5.4729999999999999</v>
      </c>
      <c r="AW71" s="1">
        <v>5.4580000000000002</v>
      </c>
      <c r="AX71" s="1">
        <v>5.4509999999999996</v>
      </c>
      <c r="AY71" s="1">
        <v>5.4580000000000002</v>
      </c>
      <c r="AZ71" s="1">
        <v>5.4509999999999996</v>
      </c>
      <c r="BA71" s="1">
        <v>5.4320000000000004</v>
      </c>
      <c r="BB71" s="1">
        <v>5.4470000000000001</v>
      </c>
      <c r="BC71" s="1">
        <v>5.4649999999999999</v>
      </c>
      <c r="BD71" s="1">
        <v>5.4470000000000001</v>
      </c>
      <c r="BE71" s="1">
        <v>5.4619999999999997</v>
      </c>
      <c r="BF71" s="1">
        <v>5.4489999999999998</v>
      </c>
      <c r="BG71" s="1">
        <v>5.4580000000000002</v>
      </c>
      <c r="BH71" s="1">
        <v>5.47</v>
      </c>
      <c r="BI71" s="1">
        <v>5.4379999999999997</v>
      </c>
      <c r="BJ71" s="1">
        <v>5.45</v>
      </c>
      <c r="BK71" s="1">
        <v>5.4509999999999996</v>
      </c>
      <c r="BL71" s="1">
        <v>5.4390000000000001</v>
      </c>
      <c r="BN71" s="9">
        <v>24</v>
      </c>
      <c r="BO71" s="9">
        <v>930</v>
      </c>
      <c r="BP71" s="10">
        <f t="shared" si="0"/>
        <v>-2.1189516129032477E-3</v>
      </c>
      <c r="BQ71" s="10">
        <f t="shared" si="1"/>
        <v>8.1653225806449688E-4</v>
      </c>
      <c r="BR71" s="10">
        <f t="shared" si="2"/>
        <v>-1.0080645161290286E-4</v>
      </c>
      <c r="BS71" s="10">
        <f t="shared" si="3"/>
        <v>-5.0544354838709922E-3</v>
      </c>
      <c r="BT71" s="10">
        <f t="shared" si="4"/>
        <v>-6.5120967741937529E-4</v>
      </c>
      <c r="BU71" s="10">
        <f t="shared" si="5"/>
        <v>1.3669354838709694E-3</v>
      </c>
      <c r="BV71" s="10">
        <f t="shared" si="6"/>
        <v>4.1189516129031684E-3</v>
      </c>
      <c r="BW71" s="10">
        <f t="shared" si="7"/>
        <v>4.6693548387096414E-3</v>
      </c>
      <c r="BX71" s="10">
        <f t="shared" si="8"/>
        <v>2.6512096774192963E-3</v>
      </c>
      <c r="BY71" s="10">
        <f t="shared" si="9"/>
        <v>2.2842741935483689E-3</v>
      </c>
      <c r="BZ71" s="10">
        <f t="shared" si="10"/>
        <v>8.2661290322479314E-5</v>
      </c>
      <c r="CA71" s="10">
        <f t="shared" si="11"/>
        <v>-1.9354838709677025E-3</v>
      </c>
      <c r="CB71" s="10">
        <f t="shared" si="12"/>
        <v>-1.5685483870967751E-3</v>
      </c>
      <c r="CC71" s="10">
        <f t="shared" si="13"/>
        <v>2.8346774193548415E-3</v>
      </c>
      <c r="CD71" s="10">
        <f t="shared" si="14"/>
        <v>-2.8427419354844799E-4</v>
      </c>
      <c r="CE71" s="10">
        <f t="shared" si="15"/>
        <v>1.9173387096774418E-3</v>
      </c>
      <c r="CF71" s="10">
        <f t="shared" si="16"/>
        <v>1.9173387096774418E-3</v>
      </c>
      <c r="CG71" s="10">
        <f t="shared" si="17"/>
        <v>-1.9354838709677025E-3</v>
      </c>
      <c r="CH71" s="10">
        <f t="shared" si="18"/>
        <v>-1.0080645161290286E-4</v>
      </c>
      <c r="CI71" s="10">
        <f t="shared" si="19"/>
        <v>7.4213709677418407E-3</v>
      </c>
      <c r="CJ71" s="10">
        <f t="shared" si="20"/>
        <v>-3.4032258064515745E-3</v>
      </c>
      <c r="CK71" s="10">
        <f t="shared" si="21"/>
        <v>-1.0181451612903025E-3</v>
      </c>
      <c r="CL71" s="10">
        <f t="shared" si="22"/>
        <v>4.302419354838714E-3</v>
      </c>
      <c r="CM71" s="10">
        <f t="shared" si="23"/>
        <v>-1.5685483870967751E-3</v>
      </c>
      <c r="CN71" s="10">
        <f t="shared" si="24"/>
        <v>8.2661290322479314E-5</v>
      </c>
      <c r="CO71" s="10">
        <f t="shared" si="25"/>
        <v>8.1653225806449688E-4</v>
      </c>
      <c r="CP71" s="10">
        <f t="shared" si="26"/>
        <v>1.3669354838709694E-3</v>
      </c>
      <c r="CQ71" s="10">
        <f t="shared" si="27"/>
        <v>3.3850806451613141E-3</v>
      </c>
      <c r="CR71" s="10">
        <f t="shared" si="28"/>
        <v>3.2016129032257689E-3</v>
      </c>
      <c r="CS71" s="10">
        <f t="shared" si="29"/>
        <v>2.8346774193548415E-3</v>
      </c>
      <c r="CT71" s="10">
        <f t="shared" si="30"/>
        <v>6.3306451612895177E-4</v>
      </c>
      <c r="CU71" s="10">
        <f t="shared" si="31"/>
        <v>2.6512096774192963E-3</v>
      </c>
      <c r="CV71" s="10">
        <f t="shared" si="32"/>
        <v>-1.0080645161290286E-4</v>
      </c>
      <c r="CW71" s="10">
        <f t="shared" si="33"/>
        <v>4.4959677419356957E-4</v>
      </c>
      <c r="CX71" s="10">
        <f t="shared" si="34"/>
        <v>8.1653225806449688E-4</v>
      </c>
      <c r="CY71" s="10">
        <f t="shared" si="35"/>
        <v>8.1653225806449688E-4</v>
      </c>
      <c r="CZ71" s="10">
        <f t="shared" si="36"/>
        <v>1.3669354838709694E-3</v>
      </c>
      <c r="DA71" s="10">
        <f t="shared" si="37"/>
        <v>4.4959677419356957E-4</v>
      </c>
      <c r="DB71" s="10">
        <f t="shared" si="38"/>
        <v>8.2661290322479314E-5</v>
      </c>
      <c r="DC71" s="10">
        <f t="shared" si="39"/>
        <v>8.2661290322479314E-5</v>
      </c>
      <c r="DD71" s="10">
        <f t="shared" si="40"/>
        <v>-3.770161290322665E-3</v>
      </c>
      <c r="DE71" s="10">
        <f t="shared" si="41"/>
        <v>4.302419354838714E-3</v>
      </c>
      <c r="DF71" s="10">
        <f t="shared" si="42"/>
        <v>1.9173387096774418E-3</v>
      </c>
      <c r="DG71" s="10">
        <f t="shared" si="43"/>
        <v>4.1189516129031684E-3</v>
      </c>
      <c r="DH71" s="10">
        <f t="shared" si="44"/>
        <v>1.3669354838709694E-3</v>
      </c>
      <c r="DI71" s="10">
        <f t="shared" si="45"/>
        <v>8.2661290322479314E-5</v>
      </c>
      <c r="DJ71" s="10">
        <f t="shared" si="46"/>
        <v>1.3669354838709694E-3</v>
      </c>
      <c r="DK71" s="10">
        <f t="shared" si="47"/>
        <v>8.2661290322479314E-5</v>
      </c>
      <c r="DL71" s="10">
        <f t="shared" si="48"/>
        <v>-3.4032258064515745E-3</v>
      </c>
      <c r="DM71" s="10">
        <f t="shared" si="49"/>
        <v>-6.5120967741937529E-4</v>
      </c>
      <c r="DN71" s="10">
        <f t="shared" si="50"/>
        <v>2.6512096774192963E-3</v>
      </c>
      <c r="DO71" s="10">
        <f t="shared" si="51"/>
        <v>-6.5120967741937529E-4</v>
      </c>
      <c r="DP71" s="10">
        <f t="shared" si="52"/>
        <v>2.1008064516128242E-3</v>
      </c>
      <c r="DQ71" s="10">
        <f t="shared" si="53"/>
        <v>-2.8427419354844799E-4</v>
      </c>
      <c r="DR71" s="10">
        <f t="shared" si="54"/>
        <v>1.3669354838709694E-3</v>
      </c>
      <c r="DS71" s="10">
        <f t="shared" si="55"/>
        <v>3.5685483870966962E-3</v>
      </c>
      <c r="DT71" s="10">
        <f t="shared" si="56"/>
        <v>-2.3024193548387929E-3</v>
      </c>
      <c r="DU71" s="10">
        <f t="shared" si="57"/>
        <v>-1.0080645161290286E-4</v>
      </c>
      <c r="DV71" s="10">
        <f t="shared" si="58"/>
        <v>8.2661290322479314E-5</v>
      </c>
      <c r="DW71" s="10">
        <f t="shared" si="59"/>
        <v>-2.1189516129032477E-3</v>
      </c>
    </row>
    <row r="72" spans="2:127" x14ac:dyDescent="0.45">
      <c r="B72" s="1">
        <v>24</v>
      </c>
      <c r="C72" s="1">
        <v>945</v>
      </c>
      <c r="D72" s="7">
        <f t="shared" si="60"/>
        <v>5.5384615384615383</v>
      </c>
      <c r="E72" s="1">
        <v>5.5259999999999998</v>
      </c>
      <c r="F72" s="1">
        <v>5.5419999999999998</v>
      </c>
      <c r="G72" s="1">
        <v>5.5380000000000003</v>
      </c>
      <c r="H72" s="1">
        <v>5.5119999999999996</v>
      </c>
      <c r="I72" s="1">
        <v>5.5339999999999998</v>
      </c>
      <c r="J72" s="1">
        <v>5.5449999999999999</v>
      </c>
      <c r="K72" s="1">
        <v>5.5609999999999999</v>
      </c>
      <c r="L72" s="1">
        <v>5.5609999999999999</v>
      </c>
      <c r="M72" s="1">
        <v>5.5519999999999996</v>
      </c>
      <c r="N72" s="1">
        <v>5.55</v>
      </c>
      <c r="O72" s="1">
        <v>5.5369999999999999</v>
      </c>
      <c r="P72" s="1">
        <v>5.5289999999999999</v>
      </c>
      <c r="Q72" s="1">
        <v>5.5330000000000004</v>
      </c>
      <c r="R72" s="1">
        <v>5.5529999999999999</v>
      </c>
      <c r="S72" s="1">
        <v>5.5369999999999999</v>
      </c>
      <c r="T72" s="1">
        <v>5.548</v>
      </c>
      <c r="U72" s="1">
        <v>5.5490000000000004</v>
      </c>
      <c r="V72" s="1">
        <v>5.5250000000000004</v>
      </c>
      <c r="W72" s="1">
        <v>5.5380000000000003</v>
      </c>
      <c r="X72" s="1">
        <v>5.5750000000000002</v>
      </c>
      <c r="Y72" s="1">
        <v>5.5179999999999998</v>
      </c>
      <c r="Z72" s="1">
        <v>5.5330000000000004</v>
      </c>
      <c r="AA72" s="1">
        <v>5.5629999999999997</v>
      </c>
      <c r="AB72" s="1">
        <v>5.5289999999999999</v>
      </c>
      <c r="AC72" s="1">
        <v>5.5389999999999997</v>
      </c>
      <c r="AD72" s="1">
        <v>5.5449999999999999</v>
      </c>
      <c r="AE72" s="1">
        <v>5.5439999999999996</v>
      </c>
      <c r="AF72" s="1">
        <v>5.5570000000000004</v>
      </c>
      <c r="AG72" s="1">
        <v>5.556</v>
      </c>
      <c r="AH72" s="1">
        <v>5.556</v>
      </c>
      <c r="AI72" s="1">
        <v>5.5389999999999997</v>
      </c>
      <c r="AJ72" s="1">
        <v>5.5519999999999996</v>
      </c>
      <c r="AK72" s="1">
        <v>5.5380000000000003</v>
      </c>
      <c r="AL72" s="1">
        <v>5.5410000000000004</v>
      </c>
      <c r="AM72" s="1">
        <v>5.5439999999999996</v>
      </c>
      <c r="AN72" s="1">
        <v>5.5449999999999999</v>
      </c>
      <c r="AO72" s="1">
        <v>5.5449999999999999</v>
      </c>
      <c r="AP72" s="1">
        <v>5.5410000000000004</v>
      </c>
      <c r="AQ72" s="1">
        <v>5.5389999999999997</v>
      </c>
      <c r="AR72" s="1">
        <v>5.5389999999999997</v>
      </c>
      <c r="AS72" s="1">
        <v>5.516</v>
      </c>
      <c r="AT72" s="1">
        <v>5.5609999999999999</v>
      </c>
      <c r="AU72" s="1">
        <v>5.5490000000000004</v>
      </c>
      <c r="AV72" s="1">
        <v>5.5579999999999998</v>
      </c>
      <c r="AW72" s="1">
        <v>5.548</v>
      </c>
      <c r="AX72" s="1">
        <v>5.5389999999999997</v>
      </c>
      <c r="AY72" s="1">
        <v>5.5460000000000003</v>
      </c>
      <c r="AZ72" s="1">
        <v>5.5380000000000003</v>
      </c>
      <c r="BA72" s="1">
        <v>5.52</v>
      </c>
      <c r="BB72" s="1">
        <v>5.5330000000000004</v>
      </c>
      <c r="BC72" s="1">
        <v>5.5519999999999996</v>
      </c>
      <c r="BD72" s="1">
        <v>5.5369999999999999</v>
      </c>
      <c r="BE72" s="1">
        <v>5.5490000000000004</v>
      </c>
      <c r="BF72" s="1">
        <v>5.5380000000000003</v>
      </c>
      <c r="BG72" s="1">
        <v>5.5490000000000004</v>
      </c>
      <c r="BH72" s="1">
        <v>5.5570000000000004</v>
      </c>
      <c r="BI72" s="1">
        <v>5.5220000000000002</v>
      </c>
      <c r="BJ72" s="1">
        <v>5.5369999999999999</v>
      </c>
      <c r="BK72" s="1">
        <v>5.5389999999999997</v>
      </c>
      <c r="BL72" s="1">
        <v>5.5270000000000001</v>
      </c>
      <c r="BN72" s="9">
        <v>24</v>
      </c>
      <c r="BO72" s="9">
        <v>945</v>
      </c>
      <c r="BP72" s="10">
        <f t="shared" si="0"/>
        <v>-2.2500000000000111E-3</v>
      </c>
      <c r="BQ72" s="10">
        <f t="shared" si="1"/>
        <v>6.3888888888888025E-4</v>
      </c>
      <c r="BR72" s="10">
        <f t="shared" si="2"/>
        <v>-8.3333333333262478E-5</v>
      </c>
      <c r="BS72" s="10">
        <f t="shared" si="3"/>
        <v>-4.7777777777778313E-3</v>
      </c>
      <c r="BT72" s="10">
        <f t="shared" si="4"/>
        <v>-8.0555555555556553E-4</v>
      </c>
      <c r="BU72" s="10">
        <f t="shared" si="5"/>
        <v>1.1805555555555675E-3</v>
      </c>
      <c r="BV72" s="10">
        <f t="shared" si="6"/>
        <v>4.0694444444444589E-3</v>
      </c>
      <c r="BW72" s="10">
        <f t="shared" si="7"/>
        <v>4.0694444444444589E-3</v>
      </c>
      <c r="BX72" s="10">
        <f t="shared" si="8"/>
        <v>2.4444444444443971E-3</v>
      </c>
      <c r="BY72" s="10">
        <f t="shared" si="9"/>
        <v>2.0833333333333259E-3</v>
      </c>
      <c r="BZ72" s="10">
        <f t="shared" si="10"/>
        <v>-2.6388888888887835E-4</v>
      </c>
      <c r="CA72" s="10">
        <f t="shared" si="11"/>
        <v>-1.7083333333333241E-3</v>
      </c>
      <c r="CB72" s="10">
        <f t="shared" si="12"/>
        <v>-9.8611111111102101E-4</v>
      </c>
      <c r="CC72" s="10">
        <f t="shared" si="13"/>
        <v>2.6250000000000132E-3</v>
      </c>
      <c r="CD72" s="10">
        <f t="shared" si="14"/>
        <v>-2.6388888888887835E-4</v>
      </c>
      <c r="CE72" s="10">
        <f t="shared" si="15"/>
        <v>1.7222222222222547E-3</v>
      </c>
      <c r="CF72" s="10">
        <f t="shared" si="16"/>
        <v>1.9027777777778706E-3</v>
      </c>
      <c r="CG72" s="10">
        <f t="shared" si="17"/>
        <v>-2.4305555555554667E-3</v>
      </c>
      <c r="CH72" s="10">
        <f t="shared" si="18"/>
        <v>-8.3333333333262478E-5</v>
      </c>
      <c r="CI72" s="10">
        <f t="shared" si="19"/>
        <v>6.5972222222222794E-3</v>
      </c>
      <c r="CJ72" s="10">
        <f t="shared" si="20"/>
        <v>-3.6944444444444572E-3</v>
      </c>
      <c r="CK72" s="10">
        <f t="shared" si="21"/>
        <v>-9.8611111111102101E-4</v>
      </c>
      <c r="CL72" s="10">
        <f t="shared" si="22"/>
        <v>4.4305555555555305E-3</v>
      </c>
      <c r="CM72" s="10">
        <f t="shared" si="23"/>
        <v>-1.7083333333333241E-3</v>
      </c>
      <c r="CN72" s="10">
        <f t="shared" si="24"/>
        <v>9.7222222222193011E-5</v>
      </c>
      <c r="CO72" s="10">
        <f t="shared" si="25"/>
        <v>1.1805555555555675E-3</v>
      </c>
      <c r="CP72" s="10">
        <f t="shared" si="26"/>
        <v>9.9999999999995167E-4</v>
      </c>
      <c r="CQ72" s="10">
        <f t="shared" si="27"/>
        <v>3.3472222222223165E-3</v>
      </c>
      <c r="CR72" s="10">
        <f t="shared" si="28"/>
        <v>3.1666666666667004E-3</v>
      </c>
      <c r="CS72" s="10">
        <f t="shared" si="29"/>
        <v>3.1666666666667004E-3</v>
      </c>
      <c r="CT72" s="10">
        <f t="shared" si="30"/>
        <v>9.7222222222193011E-5</v>
      </c>
      <c r="CU72" s="10">
        <f t="shared" si="31"/>
        <v>2.4444444444443971E-3</v>
      </c>
      <c r="CV72" s="10">
        <f t="shared" si="32"/>
        <v>-8.3333333333262478E-5</v>
      </c>
      <c r="CW72" s="10">
        <f t="shared" si="33"/>
        <v>4.5833333333342472E-4</v>
      </c>
      <c r="CX72" s="10">
        <f t="shared" si="34"/>
        <v>9.9999999999995167E-4</v>
      </c>
      <c r="CY72" s="10">
        <f t="shared" si="35"/>
        <v>1.1805555555555675E-3</v>
      </c>
      <c r="CZ72" s="10">
        <f t="shared" si="36"/>
        <v>1.1805555555555675E-3</v>
      </c>
      <c r="DA72" s="10">
        <f t="shared" si="37"/>
        <v>4.5833333333342472E-4</v>
      </c>
      <c r="DB72" s="10">
        <f t="shared" si="38"/>
        <v>9.7222222222193011E-5</v>
      </c>
      <c r="DC72" s="10">
        <f t="shared" si="39"/>
        <v>9.7222222222193011E-5</v>
      </c>
      <c r="DD72" s="10">
        <f t="shared" si="40"/>
        <v>-4.0555555555555284E-3</v>
      </c>
      <c r="DE72" s="10">
        <f t="shared" si="41"/>
        <v>4.0694444444444589E-3</v>
      </c>
      <c r="DF72" s="10">
        <f t="shared" si="42"/>
        <v>1.9027777777778706E-3</v>
      </c>
      <c r="DG72" s="10">
        <f t="shared" si="43"/>
        <v>3.5277777777777716E-3</v>
      </c>
      <c r="DH72" s="10">
        <f t="shared" si="44"/>
        <v>1.7222222222222547E-3</v>
      </c>
      <c r="DI72" s="10">
        <f t="shared" si="45"/>
        <v>9.7222222222193011E-5</v>
      </c>
      <c r="DJ72" s="10">
        <f t="shared" si="46"/>
        <v>1.3611111111111833E-3</v>
      </c>
      <c r="DK72" s="10">
        <f t="shared" si="47"/>
        <v>-8.3333333333262478E-5</v>
      </c>
      <c r="DL72" s="10">
        <f t="shared" si="48"/>
        <v>-3.3333333333333856E-3</v>
      </c>
      <c r="DM72" s="10">
        <f t="shared" si="49"/>
        <v>-9.8611111111102101E-4</v>
      </c>
      <c r="DN72" s="10">
        <f t="shared" si="50"/>
        <v>2.4444444444443971E-3</v>
      </c>
      <c r="DO72" s="10">
        <f t="shared" si="51"/>
        <v>-2.6388888888887835E-4</v>
      </c>
      <c r="DP72" s="10">
        <f t="shared" si="52"/>
        <v>1.9027777777778706E-3</v>
      </c>
      <c r="DQ72" s="10">
        <f t="shared" si="53"/>
        <v>-8.3333333333262478E-5</v>
      </c>
      <c r="DR72" s="10">
        <f t="shared" si="54"/>
        <v>1.9027777777778706E-3</v>
      </c>
      <c r="DS72" s="10">
        <f t="shared" si="55"/>
        <v>3.3472222222223165E-3</v>
      </c>
      <c r="DT72" s="10">
        <f t="shared" si="56"/>
        <v>-2.9722222222221539E-3</v>
      </c>
      <c r="DU72" s="10">
        <f t="shared" si="57"/>
        <v>-2.6388888888887835E-4</v>
      </c>
      <c r="DV72" s="10">
        <f t="shared" si="58"/>
        <v>9.7222222222193011E-5</v>
      </c>
      <c r="DW72" s="10">
        <f t="shared" si="59"/>
        <v>-2.0694444444443955E-3</v>
      </c>
    </row>
    <row r="73" spans="2:127" x14ac:dyDescent="0.45">
      <c r="B73" s="1">
        <v>24</v>
      </c>
      <c r="C73" s="1">
        <v>960</v>
      </c>
      <c r="D73" s="7">
        <f t="shared" si="60"/>
        <v>5.6263736263736268</v>
      </c>
      <c r="E73" s="1">
        <v>5.6130000000000004</v>
      </c>
      <c r="F73" s="1">
        <v>5.6319999999999997</v>
      </c>
      <c r="G73" s="1">
        <v>5.6280000000000001</v>
      </c>
      <c r="H73" s="1">
        <v>5.6</v>
      </c>
      <c r="I73" s="1">
        <v>5.6219999999999999</v>
      </c>
      <c r="J73" s="1">
        <v>5.6319999999999997</v>
      </c>
      <c r="K73" s="1">
        <v>5.6479999999999997</v>
      </c>
      <c r="L73" s="1">
        <v>5.6479999999999997</v>
      </c>
      <c r="M73" s="1">
        <v>5.64</v>
      </c>
      <c r="N73" s="1">
        <v>5.64</v>
      </c>
      <c r="O73" s="1">
        <v>5.625</v>
      </c>
      <c r="P73" s="1">
        <v>5.6180000000000003</v>
      </c>
      <c r="Q73" s="1">
        <v>5.6210000000000004</v>
      </c>
      <c r="R73" s="1">
        <v>5.641</v>
      </c>
      <c r="S73" s="1">
        <v>5.6260000000000003</v>
      </c>
      <c r="T73" s="1">
        <v>5.6319999999999997</v>
      </c>
      <c r="U73" s="1">
        <v>5.6369999999999996</v>
      </c>
      <c r="V73" s="1">
        <v>5.6109999999999998</v>
      </c>
      <c r="W73" s="1">
        <v>5.6260000000000003</v>
      </c>
      <c r="X73" s="1">
        <v>5.6630000000000003</v>
      </c>
      <c r="Y73" s="1">
        <v>5.6109999999999998</v>
      </c>
      <c r="Z73" s="1">
        <v>5.6189999999999998</v>
      </c>
      <c r="AA73" s="1">
        <v>5.6520000000000001</v>
      </c>
      <c r="AB73" s="1">
        <v>5.6150000000000002</v>
      </c>
      <c r="AC73" s="1">
        <v>5.6260000000000003</v>
      </c>
      <c r="AD73" s="1">
        <v>5.633</v>
      </c>
      <c r="AE73" s="1">
        <v>5.63</v>
      </c>
      <c r="AF73" s="1">
        <v>5.6429999999999998</v>
      </c>
      <c r="AG73" s="1">
        <v>5.6449999999999996</v>
      </c>
      <c r="AH73" s="1">
        <v>5.6429999999999998</v>
      </c>
      <c r="AI73" s="1">
        <v>5.625</v>
      </c>
      <c r="AJ73" s="1">
        <v>5.6379999999999999</v>
      </c>
      <c r="AK73" s="1">
        <v>5.6239999999999997</v>
      </c>
      <c r="AL73" s="1">
        <v>5.6280000000000001</v>
      </c>
      <c r="AM73" s="1">
        <v>5.6319999999999997</v>
      </c>
      <c r="AN73" s="1">
        <v>5.633</v>
      </c>
      <c r="AO73" s="1">
        <v>5.63</v>
      </c>
      <c r="AP73" s="1">
        <v>5.6289999999999996</v>
      </c>
      <c r="AQ73" s="1">
        <v>5.6280000000000001</v>
      </c>
      <c r="AR73" s="1">
        <v>5.6280000000000001</v>
      </c>
      <c r="AS73" s="1">
        <v>5.6059999999999999</v>
      </c>
      <c r="AT73" s="1">
        <v>5.6509999999999998</v>
      </c>
      <c r="AU73" s="1">
        <v>5.6379999999999999</v>
      </c>
      <c r="AV73" s="1">
        <v>5.649</v>
      </c>
      <c r="AW73" s="1">
        <v>5.6360000000000001</v>
      </c>
      <c r="AX73" s="1">
        <v>5.6280000000000001</v>
      </c>
      <c r="AY73" s="1">
        <v>5.633</v>
      </c>
      <c r="AZ73" s="1">
        <v>5.6239999999999997</v>
      </c>
      <c r="BA73" s="1">
        <v>5.609</v>
      </c>
      <c r="BB73" s="1">
        <v>5.6219999999999999</v>
      </c>
      <c r="BC73" s="1">
        <v>5.6379999999999999</v>
      </c>
      <c r="BD73" s="1">
        <v>5.6239999999999997</v>
      </c>
      <c r="BE73" s="1">
        <v>5.6369999999999996</v>
      </c>
      <c r="BF73" s="1">
        <v>5.6260000000000003</v>
      </c>
      <c r="BG73" s="1">
        <v>5.6369999999999996</v>
      </c>
      <c r="BH73" s="1">
        <v>5.6470000000000002</v>
      </c>
      <c r="BI73" s="1">
        <v>5.61</v>
      </c>
      <c r="BJ73" s="1">
        <v>5.625</v>
      </c>
      <c r="BK73" s="1">
        <v>5.6289999999999996</v>
      </c>
      <c r="BL73" s="1">
        <v>5.6139999999999999</v>
      </c>
      <c r="BN73" s="9">
        <v>24</v>
      </c>
      <c r="BO73" s="9">
        <v>960</v>
      </c>
      <c r="BP73" s="10">
        <f t="shared" ref="BP73:BP136" si="61">(E73-$D73)/$D73</f>
        <v>-2.376953125000001E-3</v>
      </c>
      <c r="BQ73" s="10">
        <f t="shared" ref="BQ73:BQ136" si="62">(F73-$D73)/$D73</f>
        <v>9.9999999999986385E-4</v>
      </c>
      <c r="BR73" s="10">
        <f t="shared" ref="BR73:BR136" si="63">(G73-$D73)/$D73</f>
        <v>2.8906249999994214E-4</v>
      </c>
      <c r="BS73" s="10">
        <f t="shared" ref="BS73:BS136" si="64">(H73-$D73)/$D73</f>
        <v>-4.6875000000001412E-3</v>
      </c>
      <c r="BT73" s="10">
        <f t="shared" ref="BT73:BT136" si="65">(I73-$D73)/$D73</f>
        <v>-7.7734375000009816E-4</v>
      </c>
      <c r="BU73" s="10">
        <f t="shared" ref="BU73:BU136" si="66">(J73-$D73)/$D73</f>
        <v>9.9999999999986385E-4</v>
      </c>
      <c r="BV73" s="10">
        <f t="shared" ref="BV73:BV136" si="67">(K73-$D73)/$D73</f>
        <v>3.8437499999998659E-3</v>
      </c>
      <c r="BW73" s="10">
        <f t="shared" ref="BW73:BW136" si="68">(L73-$D73)/$D73</f>
        <v>3.8437499999998659E-3</v>
      </c>
      <c r="BX73" s="10">
        <f t="shared" ref="BX73:BX136" si="69">(M73-$D73)/$D73</f>
        <v>2.4218749999998651E-3</v>
      </c>
      <c r="BY73" s="10">
        <f t="shared" ref="BY73:BY136" si="70">(N73-$D73)/$D73</f>
        <v>2.4218749999998651E-3</v>
      </c>
      <c r="BZ73" s="10">
        <f t="shared" ref="BZ73:BZ136" si="71">(O73-$D73)/$D73</f>
        <v>-2.4414062500007806E-4</v>
      </c>
      <c r="CA73" s="10">
        <f t="shared" ref="CA73:CA136" si="72">(P73-$D73)/$D73</f>
        <v>-1.4882812500000198E-3</v>
      </c>
      <c r="CB73" s="10">
        <f t="shared" ref="CB73:CB136" si="73">(Q73-$D73)/$D73</f>
        <v>-9.5507812499999966E-4</v>
      </c>
      <c r="CC73" s="10">
        <f t="shared" ref="CC73:CC136" si="74">(R73-$D73)/$D73</f>
        <v>2.5996093749999245E-3</v>
      </c>
      <c r="CD73" s="10">
        <f t="shared" ref="CD73:CD136" si="75">(S73-$D73)/$D73</f>
        <v>-6.6406250000018707E-5</v>
      </c>
      <c r="CE73" s="10">
        <f t="shared" ref="CE73:CE136" si="76">(T73-$D73)/$D73</f>
        <v>9.9999999999986385E-4</v>
      </c>
      <c r="CF73" s="10">
        <f t="shared" ref="CF73:CF136" si="77">(U73-$D73)/$D73</f>
        <v>1.8886718749998447E-3</v>
      </c>
      <c r="CG73" s="10">
        <f t="shared" ref="CG73:CG136" si="78">(V73-$D73)/$D73</f>
        <v>-2.7324218750001197E-3</v>
      </c>
      <c r="CH73" s="10">
        <f t="shared" ref="CH73:CH136" si="79">(W73-$D73)/$D73</f>
        <v>-6.6406250000018707E-5</v>
      </c>
      <c r="CI73" s="10">
        <f t="shared" ref="CI73:CI136" si="80">(X73-$D73)/$D73</f>
        <v>6.5097656249999665E-3</v>
      </c>
      <c r="CJ73" s="10">
        <f t="shared" ref="CJ73:CJ136" si="81">(Y73-$D73)/$D73</f>
        <v>-2.7324218750001197E-3</v>
      </c>
      <c r="CK73" s="10">
        <f t="shared" ref="CK73:CK136" si="82">(Z73-$D73)/$D73</f>
        <v>-1.3105468750001185E-3</v>
      </c>
      <c r="CL73" s="10">
        <f t="shared" ref="CL73:CL136" si="83">(AA73-$D73)/$D73</f>
        <v>4.5546874999999459E-3</v>
      </c>
      <c r="CM73" s="10">
        <f t="shared" ref="CM73:CM136" si="84">(AB73-$D73)/$D73</f>
        <v>-2.0214843750000402E-3</v>
      </c>
      <c r="CN73" s="10">
        <f t="shared" ref="CN73:CN136" si="85">(AC73-$D73)/$D73</f>
        <v>-6.6406250000018707E-5</v>
      </c>
      <c r="CO73" s="10">
        <f t="shared" ref="CO73:CO136" si="86">(AD73-$D73)/$D73</f>
        <v>1.1777343749999232E-3</v>
      </c>
      <c r="CP73" s="10">
        <f t="shared" ref="CP73:CP136" si="87">(AE73-$D73)/$D73</f>
        <v>6.4453124999990299E-4</v>
      </c>
      <c r="CQ73" s="10">
        <f t="shared" ref="CQ73:CQ136" si="88">(AF73-$D73)/$D73</f>
        <v>2.9550781249998849E-3</v>
      </c>
      <c r="CR73" s="10">
        <f t="shared" ref="CR73:CR136" si="89">(AG73-$D73)/$D73</f>
        <v>3.3105468749998457E-3</v>
      </c>
      <c r="CS73" s="10">
        <f t="shared" ref="CS73:CS136" si="90">(AH73-$D73)/$D73</f>
        <v>2.9550781249998849E-3</v>
      </c>
      <c r="CT73" s="10">
        <f t="shared" ref="CT73:CT136" si="91">(AI73-$D73)/$D73</f>
        <v>-2.4414062500007806E-4</v>
      </c>
      <c r="CU73" s="10">
        <f t="shared" ref="CU73:CU136" si="92">(AJ73-$D73)/$D73</f>
        <v>2.0664062499999043E-3</v>
      </c>
      <c r="CV73" s="10">
        <f t="shared" ref="CV73:CV136" si="93">(AK73-$D73)/$D73</f>
        <v>-4.2187500000013736E-4</v>
      </c>
      <c r="CW73" s="10">
        <f t="shared" ref="CW73:CW136" si="94">(AL73-$D73)/$D73</f>
        <v>2.8906249999994214E-4</v>
      </c>
      <c r="CX73" s="10">
        <f t="shared" ref="CX73:CX136" si="95">(AM73-$D73)/$D73</f>
        <v>9.9999999999986385E-4</v>
      </c>
      <c r="CY73" s="10">
        <f t="shared" ref="CY73:CY136" si="96">(AN73-$D73)/$D73</f>
        <v>1.1777343749999232E-3</v>
      </c>
      <c r="CZ73" s="10">
        <f t="shared" ref="CZ73:CZ136" si="97">(AO73-$D73)/$D73</f>
        <v>6.4453124999990299E-4</v>
      </c>
      <c r="DA73" s="10">
        <f t="shared" ref="DA73:DA136" si="98">(AP73-$D73)/$D73</f>
        <v>4.6679687499984358E-4</v>
      </c>
      <c r="DB73" s="10">
        <f t="shared" ref="DB73:DB136" si="99">(AQ73-$D73)/$D73</f>
        <v>2.8906249999994214E-4</v>
      </c>
      <c r="DC73" s="10">
        <f t="shared" ref="DC73:DC136" si="100">(AR73-$D73)/$D73</f>
        <v>2.8906249999994214E-4</v>
      </c>
      <c r="DD73" s="10">
        <f t="shared" ref="DD73:DD136" si="101">(AS73-$D73)/$D73</f>
        <v>-3.6210937500001004E-3</v>
      </c>
      <c r="DE73" s="10">
        <f t="shared" ref="DE73:DE136" si="102">(AT73-$D73)/$D73</f>
        <v>4.3769531249998866E-3</v>
      </c>
      <c r="DF73" s="10">
        <f t="shared" ref="DF73:DF136" si="103">(AU73-$D73)/$D73</f>
        <v>2.0664062499999043E-3</v>
      </c>
      <c r="DG73" s="10">
        <f t="shared" ref="DG73:DG136" si="104">(AV73-$D73)/$D73</f>
        <v>4.0214843749999257E-3</v>
      </c>
      <c r="DH73" s="10">
        <f t="shared" ref="DH73:DH136" si="105">(AW73-$D73)/$D73</f>
        <v>1.7109374999999432E-3</v>
      </c>
      <c r="DI73" s="10">
        <f t="shared" ref="DI73:DI136" si="106">(AX73-$D73)/$D73</f>
        <v>2.8906249999994214E-4</v>
      </c>
      <c r="DJ73" s="10">
        <f t="shared" ref="DJ73:DJ136" si="107">(AY73-$D73)/$D73</f>
        <v>1.1777343749999232E-3</v>
      </c>
      <c r="DK73" s="10">
        <f t="shared" ref="DK73:DK136" si="108">(AZ73-$D73)/$D73</f>
        <v>-4.2187500000013736E-4</v>
      </c>
      <c r="DL73" s="10">
        <f t="shared" ref="DL73:DL136" si="109">(BA73-$D73)/$D73</f>
        <v>-3.0878906250000802E-3</v>
      </c>
      <c r="DM73" s="10">
        <f t="shared" ref="DM73:DM136" si="110">(BB73-$D73)/$D73</f>
        <v>-7.7734375000009816E-4</v>
      </c>
      <c r="DN73" s="10">
        <f t="shared" ref="DN73:DN136" si="111">(BC73-$D73)/$D73</f>
        <v>2.0664062499999043E-3</v>
      </c>
      <c r="DO73" s="10">
        <f t="shared" ref="DO73:DO136" si="112">(BD73-$D73)/$D73</f>
        <v>-4.2187500000013736E-4</v>
      </c>
      <c r="DP73" s="10">
        <f t="shared" ref="DP73:DP136" si="113">(BE73-$D73)/$D73</f>
        <v>1.8886718749998447E-3</v>
      </c>
      <c r="DQ73" s="10">
        <f t="shared" ref="DQ73:DQ136" si="114">(BF73-$D73)/$D73</f>
        <v>-6.6406250000018707E-5</v>
      </c>
      <c r="DR73" s="10">
        <f t="shared" ref="DR73:DR136" si="115">(BG73-$D73)/$D73</f>
        <v>1.8886718749998447E-3</v>
      </c>
      <c r="DS73" s="10">
        <f t="shared" ref="DS73:DS136" si="116">(BH73-$D73)/$D73</f>
        <v>3.6660156249999644E-3</v>
      </c>
      <c r="DT73" s="10">
        <f t="shared" ref="DT73:DT136" si="117">(BI73-$D73)/$D73</f>
        <v>-2.9101562500000208E-3</v>
      </c>
      <c r="DU73" s="10">
        <f t="shared" ref="DU73:DU136" si="118">(BJ73-$D73)/$D73</f>
        <v>-2.4414062500007806E-4</v>
      </c>
      <c r="DV73" s="10">
        <f t="shared" ref="DV73:DV136" si="119">(BK73-$D73)/$D73</f>
        <v>4.6679687499984358E-4</v>
      </c>
      <c r="DW73" s="10">
        <f t="shared" ref="DW73:DW136" si="120">(BL73-$D73)/$D73</f>
        <v>-2.1992187500000995E-3</v>
      </c>
    </row>
    <row r="74" spans="2:127" x14ac:dyDescent="0.45">
      <c r="B74" s="1">
        <v>24</v>
      </c>
      <c r="C74" s="1">
        <v>975</v>
      </c>
      <c r="D74" s="7">
        <f t="shared" ref="D74:D137" si="121">24*C74/4095</f>
        <v>5.7142857142857144</v>
      </c>
      <c r="E74" s="1">
        <v>5.7009999999999996</v>
      </c>
      <c r="F74" s="1">
        <v>5.72</v>
      </c>
      <c r="G74" s="1">
        <v>5.7160000000000002</v>
      </c>
      <c r="H74" s="1">
        <v>5.69</v>
      </c>
      <c r="I74" s="1">
        <v>5.7089999999999996</v>
      </c>
      <c r="J74" s="1">
        <v>5.72</v>
      </c>
      <c r="K74" s="1">
        <v>5.7359999999999998</v>
      </c>
      <c r="L74" s="1">
        <v>5.7320000000000002</v>
      </c>
      <c r="M74" s="1">
        <v>5.7270000000000003</v>
      </c>
      <c r="N74" s="1">
        <v>5.7270000000000003</v>
      </c>
      <c r="O74" s="1">
        <v>5.7130000000000001</v>
      </c>
      <c r="P74" s="1">
        <v>5.7080000000000002</v>
      </c>
      <c r="Q74" s="1">
        <v>5.7089999999999996</v>
      </c>
      <c r="R74" s="1">
        <v>5.7279999999999998</v>
      </c>
      <c r="S74" s="1">
        <v>5.7140000000000004</v>
      </c>
      <c r="T74" s="1">
        <v>5.7210000000000001</v>
      </c>
      <c r="U74" s="1">
        <v>5.7249999999999996</v>
      </c>
      <c r="V74" s="1">
        <v>5.7</v>
      </c>
      <c r="W74" s="1">
        <v>5.7140000000000004</v>
      </c>
      <c r="X74" s="1">
        <v>5.7519999999999998</v>
      </c>
      <c r="Y74" s="1">
        <v>5.694</v>
      </c>
      <c r="Z74" s="1">
        <v>5.7060000000000004</v>
      </c>
      <c r="AA74" s="1">
        <v>5.742</v>
      </c>
      <c r="AB74" s="1">
        <v>5.7039999999999997</v>
      </c>
      <c r="AC74" s="1">
        <v>5.7130000000000001</v>
      </c>
      <c r="AD74" s="1">
        <v>5.7210000000000001</v>
      </c>
      <c r="AE74" s="1">
        <v>5.72</v>
      </c>
      <c r="AF74" s="1">
        <v>5.7290000000000001</v>
      </c>
      <c r="AG74" s="1">
        <v>5.7320000000000002</v>
      </c>
      <c r="AH74" s="1">
        <v>5.7329999999999997</v>
      </c>
      <c r="AI74" s="1">
        <v>5.7119999999999997</v>
      </c>
      <c r="AJ74" s="1">
        <v>5.7290000000000001</v>
      </c>
      <c r="AK74" s="1">
        <v>5.71</v>
      </c>
      <c r="AL74" s="1">
        <v>5.7140000000000004</v>
      </c>
      <c r="AM74" s="1">
        <v>5.7210000000000001</v>
      </c>
      <c r="AN74" s="1">
        <v>5.7210000000000001</v>
      </c>
      <c r="AO74" s="1">
        <v>5.7160000000000002</v>
      </c>
      <c r="AP74" s="1">
        <v>5.718</v>
      </c>
      <c r="AQ74" s="1">
        <v>5.7140000000000004</v>
      </c>
      <c r="AR74" s="1">
        <v>5.7140000000000004</v>
      </c>
      <c r="AS74" s="1">
        <v>5.6950000000000003</v>
      </c>
      <c r="AT74" s="1">
        <v>5.7389999999999999</v>
      </c>
      <c r="AU74" s="1">
        <v>5.7270000000000003</v>
      </c>
      <c r="AV74" s="1">
        <v>5.7370000000000001</v>
      </c>
      <c r="AW74" s="1">
        <v>5.7240000000000002</v>
      </c>
      <c r="AX74" s="1">
        <v>5.7160000000000002</v>
      </c>
      <c r="AY74" s="1">
        <v>5.7210000000000001</v>
      </c>
      <c r="AZ74" s="1">
        <v>5.7140000000000004</v>
      </c>
      <c r="BA74" s="1">
        <v>5.6970000000000001</v>
      </c>
      <c r="BB74" s="1">
        <v>5.7089999999999996</v>
      </c>
      <c r="BC74" s="1">
        <v>5.7249999999999996</v>
      </c>
      <c r="BD74" s="1">
        <v>5.7119999999999997</v>
      </c>
      <c r="BE74" s="1">
        <v>5.7249999999999996</v>
      </c>
      <c r="BF74" s="1">
        <v>5.7140000000000004</v>
      </c>
      <c r="BG74" s="1">
        <v>5.7229999999999999</v>
      </c>
      <c r="BH74" s="1">
        <v>5.7290000000000001</v>
      </c>
      <c r="BI74" s="1">
        <v>5.6970000000000001</v>
      </c>
      <c r="BJ74" s="1">
        <v>5.7140000000000004</v>
      </c>
      <c r="BK74" s="1">
        <v>5.71</v>
      </c>
      <c r="BL74" s="1">
        <v>5.702</v>
      </c>
      <c r="BN74" s="9">
        <v>24</v>
      </c>
      <c r="BO74" s="9">
        <v>975</v>
      </c>
      <c r="BP74" s="10">
        <f t="shared" si="61"/>
        <v>-2.3250000000000878E-3</v>
      </c>
      <c r="BQ74" s="10">
        <f t="shared" si="62"/>
        <v>9.9999999999993432E-4</v>
      </c>
      <c r="BR74" s="10">
        <f t="shared" si="63"/>
        <v>3.0000000000001136E-4</v>
      </c>
      <c r="BS74" s="10">
        <f t="shared" si="64"/>
        <v>-4.2499999999999535E-3</v>
      </c>
      <c r="BT74" s="10">
        <f t="shared" si="65"/>
        <v>-9.2500000000008689E-4</v>
      </c>
      <c r="BU74" s="10">
        <f t="shared" si="66"/>
        <v>9.9999999999993432E-4</v>
      </c>
      <c r="BV74" s="10">
        <f t="shared" si="67"/>
        <v>3.7999999999999367E-3</v>
      </c>
      <c r="BW74" s="10">
        <f t="shared" si="68"/>
        <v>3.1000000000000138E-3</v>
      </c>
      <c r="BX74" s="10">
        <f t="shared" si="69"/>
        <v>2.2250000000000325E-3</v>
      </c>
      <c r="BY74" s="10">
        <f t="shared" si="70"/>
        <v>2.2250000000000325E-3</v>
      </c>
      <c r="BZ74" s="10">
        <f t="shared" si="71"/>
        <v>-2.2500000000000853E-4</v>
      </c>
      <c r="CA74" s="10">
        <f t="shared" si="72"/>
        <v>-1.0999999999999899E-3</v>
      </c>
      <c r="CB74" s="10">
        <f t="shared" si="73"/>
        <v>-9.2500000000008689E-4</v>
      </c>
      <c r="CC74" s="10">
        <f t="shared" si="74"/>
        <v>2.3999999999999356E-3</v>
      </c>
      <c r="CD74" s="10">
        <f t="shared" si="75"/>
        <v>-4.9999999999950082E-5</v>
      </c>
      <c r="CE74" s="10">
        <f t="shared" si="76"/>
        <v>1.1749999999999927E-3</v>
      </c>
      <c r="CF74" s="10">
        <f t="shared" si="77"/>
        <v>1.8749999999999156E-3</v>
      </c>
      <c r="CG74" s="10">
        <f t="shared" si="78"/>
        <v>-2.4999999999999909E-3</v>
      </c>
      <c r="CH74" s="10">
        <f t="shared" si="79"/>
        <v>-4.9999999999950082E-5</v>
      </c>
      <c r="CI74" s="10">
        <f t="shared" si="80"/>
        <v>6.5999999999999392E-3</v>
      </c>
      <c r="CJ74" s="10">
        <f t="shared" si="81"/>
        <v>-3.550000000000031E-3</v>
      </c>
      <c r="CK74" s="10">
        <f t="shared" si="82"/>
        <v>-1.4499999999999513E-3</v>
      </c>
      <c r="CL74" s="10">
        <f t="shared" si="83"/>
        <v>4.8499999999999767E-3</v>
      </c>
      <c r="CM74" s="10">
        <f t="shared" si="84"/>
        <v>-1.8000000000000683E-3</v>
      </c>
      <c r="CN74" s="10">
        <f t="shared" si="85"/>
        <v>-2.2500000000000853E-4</v>
      </c>
      <c r="CO74" s="10">
        <f t="shared" si="86"/>
        <v>1.1749999999999927E-3</v>
      </c>
      <c r="CP74" s="10">
        <f t="shared" si="87"/>
        <v>9.9999999999993432E-4</v>
      </c>
      <c r="CQ74" s="10">
        <f t="shared" si="88"/>
        <v>2.574999999999994E-3</v>
      </c>
      <c r="CR74" s="10">
        <f t="shared" si="89"/>
        <v>3.1000000000000138E-3</v>
      </c>
      <c r="CS74" s="10">
        <f t="shared" si="90"/>
        <v>3.2749999999999169E-3</v>
      </c>
      <c r="CT74" s="10">
        <f t="shared" si="91"/>
        <v>-4.0000000000006697E-4</v>
      </c>
      <c r="CU74" s="10">
        <f t="shared" si="92"/>
        <v>2.574999999999994E-3</v>
      </c>
      <c r="CV74" s="10">
        <f t="shared" si="93"/>
        <v>-7.5000000000002842E-4</v>
      </c>
      <c r="CW74" s="10">
        <f t="shared" si="94"/>
        <v>-4.9999999999950082E-5</v>
      </c>
      <c r="CX74" s="10">
        <f t="shared" si="95"/>
        <v>1.1749999999999927E-3</v>
      </c>
      <c r="CY74" s="10">
        <f t="shared" si="96"/>
        <v>1.1749999999999927E-3</v>
      </c>
      <c r="CZ74" s="10">
        <f t="shared" si="97"/>
        <v>3.0000000000001136E-4</v>
      </c>
      <c r="DA74" s="10">
        <f t="shared" si="98"/>
        <v>6.4999999999997276E-4</v>
      </c>
      <c r="DB74" s="10">
        <f t="shared" si="99"/>
        <v>-4.9999999999950082E-5</v>
      </c>
      <c r="DC74" s="10">
        <f t="shared" si="100"/>
        <v>-4.9999999999950082E-5</v>
      </c>
      <c r="DD74" s="10">
        <f t="shared" si="101"/>
        <v>-3.3749999999999722E-3</v>
      </c>
      <c r="DE74" s="10">
        <f t="shared" si="102"/>
        <v>4.3249999999999565E-3</v>
      </c>
      <c r="DF74" s="10">
        <f t="shared" si="103"/>
        <v>2.2250000000000325E-3</v>
      </c>
      <c r="DG74" s="10">
        <f t="shared" si="104"/>
        <v>3.974999999999995E-3</v>
      </c>
      <c r="DH74" s="10">
        <f t="shared" si="105"/>
        <v>1.7000000000000125E-3</v>
      </c>
      <c r="DI74" s="10">
        <f t="shared" si="106"/>
        <v>3.0000000000001136E-4</v>
      </c>
      <c r="DJ74" s="10">
        <f t="shared" si="107"/>
        <v>1.1749999999999927E-3</v>
      </c>
      <c r="DK74" s="10">
        <f t="shared" si="108"/>
        <v>-4.9999999999950082E-5</v>
      </c>
      <c r="DL74" s="10">
        <f t="shared" si="109"/>
        <v>-3.0250000000000108E-3</v>
      </c>
      <c r="DM74" s="10">
        <f t="shared" si="110"/>
        <v>-9.2500000000008689E-4</v>
      </c>
      <c r="DN74" s="10">
        <f t="shared" si="111"/>
        <v>1.8749999999999156E-3</v>
      </c>
      <c r="DO74" s="10">
        <f t="shared" si="112"/>
        <v>-4.0000000000006697E-4</v>
      </c>
      <c r="DP74" s="10">
        <f t="shared" si="113"/>
        <v>1.8749999999999156E-3</v>
      </c>
      <c r="DQ74" s="10">
        <f t="shared" si="114"/>
        <v>-4.9999999999950082E-5</v>
      </c>
      <c r="DR74" s="10">
        <f t="shared" si="115"/>
        <v>1.5249999999999541E-3</v>
      </c>
      <c r="DS74" s="10">
        <f t="shared" si="116"/>
        <v>2.574999999999994E-3</v>
      </c>
      <c r="DT74" s="10">
        <f t="shared" si="117"/>
        <v>-3.0250000000000108E-3</v>
      </c>
      <c r="DU74" s="10">
        <f t="shared" si="118"/>
        <v>-4.9999999999950082E-5</v>
      </c>
      <c r="DV74" s="10">
        <f t="shared" si="119"/>
        <v>-7.5000000000002842E-4</v>
      </c>
      <c r="DW74" s="10">
        <f t="shared" si="120"/>
        <v>-2.1500000000000295E-3</v>
      </c>
    </row>
    <row r="75" spans="2:127" x14ac:dyDescent="0.45">
      <c r="B75" s="1">
        <v>24</v>
      </c>
      <c r="C75" s="1">
        <v>990</v>
      </c>
      <c r="D75" s="7">
        <f t="shared" si="121"/>
        <v>5.802197802197802</v>
      </c>
      <c r="E75" s="1">
        <v>5.7880000000000003</v>
      </c>
      <c r="F75" s="1">
        <v>5.8079999999999998</v>
      </c>
      <c r="G75" s="1">
        <v>5.8029999999999999</v>
      </c>
      <c r="H75" s="1">
        <v>5.7779999999999996</v>
      </c>
      <c r="I75" s="1">
        <v>5.7960000000000003</v>
      </c>
      <c r="J75" s="1">
        <v>5.8049999999999997</v>
      </c>
      <c r="K75" s="1">
        <v>5.8239999999999998</v>
      </c>
      <c r="L75" s="1">
        <v>5.8220000000000001</v>
      </c>
      <c r="M75" s="1">
        <v>5.8150000000000004</v>
      </c>
      <c r="N75" s="1">
        <v>5.8129999999999997</v>
      </c>
      <c r="O75" s="1">
        <v>5.8</v>
      </c>
      <c r="P75" s="1">
        <v>5.7960000000000003</v>
      </c>
      <c r="Q75" s="1">
        <v>5.7969999999999997</v>
      </c>
      <c r="R75" s="1">
        <v>5.8150000000000004</v>
      </c>
      <c r="S75" s="1">
        <v>5.8029999999999999</v>
      </c>
      <c r="T75" s="1">
        <v>5.8090000000000002</v>
      </c>
      <c r="U75" s="1">
        <v>5.8129999999999997</v>
      </c>
      <c r="V75" s="1">
        <v>5.7880000000000003</v>
      </c>
      <c r="W75" s="1">
        <v>5.8029999999999999</v>
      </c>
      <c r="X75" s="1">
        <v>5.8360000000000003</v>
      </c>
      <c r="Y75" s="1">
        <v>5.7809999999999997</v>
      </c>
      <c r="Z75" s="1">
        <v>5.7939999999999996</v>
      </c>
      <c r="AA75" s="1">
        <v>5.8280000000000003</v>
      </c>
      <c r="AB75" s="1">
        <v>5.7919999999999998</v>
      </c>
      <c r="AC75" s="1">
        <v>5.8</v>
      </c>
      <c r="AD75" s="1">
        <v>5.8090000000000002</v>
      </c>
      <c r="AE75" s="1">
        <v>5.8079999999999998</v>
      </c>
      <c r="AF75" s="1">
        <v>5.8159999999999998</v>
      </c>
      <c r="AG75" s="1">
        <v>5.819</v>
      </c>
      <c r="AH75" s="1">
        <v>5.82</v>
      </c>
      <c r="AI75" s="1">
        <v>5.8</v>
      </c>
      <c r="AJ75" s="1">
        <v>5.819</v>
      </c>
      <c r="AK75" s="1">
        <v>5.7990000000000004</v>
      </c>
      <c r="AL75" s="1">
        <v>5.8010000000000002</v>
      </c>
      <c r="AM75" s="1">
        <v>5.8090000000000002</v>
      </c>
      <c r="AN75" s="1">
        <v>5.8090000000000002</v>
      </c>
      <c r="AO75" s="1">
        <v>5.8070000000000004</v>
      </c>
      <c r="AP75" s="1">
        <v>5.8040000000000003</v>
      </c>
      <c r="AQ75" s="1">
        <v>5.7990000000000004</v>
      </c>
      <c r="AR75" s="1">
        <v>5.8029999999999999</v>
      </c>
      <c r="AS75" s="1">
        <v>5.782</v>
      </c>
      <c r="AT75" s="1">
        <v>5.8259999999999996</v>
      </c>
      <c r="AU75" s="1">
        <v>5.8129999999999997</v>
      </c>
      <c r="AV75" s="1">
        <v>5.8239999999999998</v>
      </c>
      <c r="AW75" s="1">
        <v>5.8109999999999999</v>
      </c>
      <c r="AX75" s="1">
        <v>5.8010000000000002</v>
      </c>
      <c r="AY75" s="1">
        <v>5.8090000000000002</v>
      </c>
      <c r="AZ75" s="1">
        <v>5.8029999999999999</v>
      </c>
      <c r="BA75" s="1">
        <v>5.7850000000000001</v>
      </c>
      <c r="BB75" s="1">
        <v>5.7969999999999997</v>
      </c>
      <c r="BC75" s="1">
        <v>5.8120000000000003</v>
      </c>
      <c r="BD75" s="1">
        <v>5.7990000000000004</v>
      </c>
      <c r="BE75" s="1">
        <v>5.8120000000000003</v>
      </c>
      <c r="BF75" s="1">
        <v>5.8010000000000002</v>
      </c>
      <c r="BG75" s="1">
        <v>5.8090000000000002</v>
      </c>
      <c r="BH75" s="1">
        <v>5.8159999999999998</v>
      </c>
      <c r="BI75" s="1">
        <v>5.7839999999999998</v>
      </c>
      <c r="BJ75" s="1">
        <v>5.8010000000000002</v>
      </c>
      <c r="BK75" s="1">
        <v>5.7990000000000004</v>
      </c>
      <c r="BL75" s="1">
        <v>5.7889999999999997</v>
      </c>
      <c r="BN75" s="9">
        <v>24</v>
      </c>
      <c r="BO75" s="9">
        <v>990</v>
      </c>
      <c r="BP75" s="10">
        <f t="shared" si="61"/>
        <v>-2.4469696969696211E-3</v>
      </c>
      <c r="BQ75" s="10">
        <f t="shared" si="62"/>
        <v>1.0000000000000026E-3</v>
      </c>
      <c r="BR75" s="10">
        <f t="shared" si="63"/>
        <v>1.3825757575759671E-4</v>
      </c>
      <c r="BS75" s="10">
        <f t="shared" si="64"/>
        <v>-4.1704545454545857E-3</v>
      </c>
      <c r="BT75" s="10">
        <f t="shared" si="65"/>
        <v>-1.068181818181741E-3</v>
      </c>
      <c r="BU75" s="10">
        <f t="shared" si="66"/>
        <v>4.8295454545452845E-4</v>
      </c>
      <c r="BV75" s="10">
        <f t="shared" si="67"/>
        <v>3.7575757575757625E-3</v>
      </c>
      <c r="BW75" s="10">
        <f t="shared" si="68"/>
        <v>3.412878787878831E-3</v>
      </c>
      <c r="BX75" s="10">
        <f t="shared" si="69"/>
        <v>2.2064393939394931E-3</v>
      </c>
      <c r="BY75" s="10">
        <f t="shared" si="70"/>
        <v>1.8617424242424086E-3</v>
      </c>
      <c r="BZ75" s="10">
        <f t="shared" si="71"/>
        <v>-3.7878787878787743E-4</v>
      </c>
      <c r="CA75" s="10">
        <f t="shared" si="72"/>
        <v>-1.068181818181741E-3</v>
      </c>
      <c r="CB75" s="10">
        <f t="shared" si="73"/>
        <v>-8.9583333333335166E-4</v>
      </c>
      <c r="CC75" s="10">
        <f t="shared" si="74"/>
        <v>2.2064393939394931E-3</v>
      </c>
      <c r="CD75" s="10">
        <f t="shared" si="75"/>
        <v>1.3825757575759671E-4</v>
      </c>
      <c r="CE75" s="10">
        <f t="shared" si="76"/>
        <v>1.1723484848485449E-3</v>
      </c>
      <c r="CF75" s="10">
        <f t="shared" si="77"/>
        <v>1.8617424242424086E-3</v>
      </c>
      <c r="CG75" s="10">
        <f t="shared" si="78"/>
        <v>-2.4469696969696211E-3</v>
      </c>
      <c r="CH75" s="10">
        <f t="shared" si="79"/>
        <v>1.3825757575759671E-4</v>
      </c>
      <c r="CI75" s="10">
        <f t="shared" si="80"/>
        <v>5.8257575757576594E-3</v>
      </c>
      <c r="CJ75" s="10">
        <f t="shared" si="81"/>
        <v>-3.6534090909091117E-3</v>
      </c>
      <c r="CK75" s="10">
        <f t="shared" si="82"/>
        <v>-1.4128787878788258E-3</v>
      </c>
      <c r="CL75" s="10">
        <f t="shared" si="83"/>
        <v>4.446969696969779E-3</v>
      </c>
      <c r="CM75" s="10">
        <f t="shared" si="84"/>
        <v>-1.7575757575757575E-3</v>
      </c>
      <c r="CN75" s="10">
        <f t="shared" si="85"/>
        <v>-3.7878787878787743E-4</v>
      </c>
      <c r="CO75" s="10">
        <f t="shared" si="86"/>
        <v>1.1723484848485449E-3</v>
      </c>
      <c r="CP75" s="10">
        <f t="shared" si="87"/>
        <v>1.0000000000000026E-3</v>
      </c>
      <c r="CQ75" s="10">
        <f t="shared" si="88"/>
        <v>2.3787878787878826E-3</v>
      </c>
      <c r="CR75" s="10">
        <f t="shared" si="89"/>
        <v>2.895833333333357E-3</v>
      </c>
      <c r="CS75" s="10">
        <f t="shared" si="90"/>
        <v>3.0681818181818991E-3</v>
      </c>
      <c r="CT75" s="10">
        <f t="shared" si="91"/>
        <v>-3.7878787878787743E-4</v>
      </c>
      <c r="CU75" s="10">
        <f t="shared" si="92"/>
        <v>2.895833333333357E-3</v>
      </c>
      <c r="CV75" s="10">
        <f t="shared" si="93"/>
        <v>-5.5113636363626674E-4</v>
      </c>
      <c r="CW75" s="10">
        <f t="shared" si="94"/>
        <v>-2.0643939393933503E-4</v>
      </c>
      <c r="CX75" s="10">
        <f t="shared" si="95"/>
        <v>1.1723484848485449E-3</v>
      </c>
      <c r="CY75" s="10">
        <f t="shared" si="96"/>
        <v>1.1723484848485449E-3</v>
      </c>
      <c r="CZ75" s="10">
        <f t="shared" si="97"/>
        <v>8.2765151515161331E-4</v>
      </c>
      <c r="DA75" s="10">
        <f t="shared" si="98"/>
        <v>3.1060606060613909E-4</v>
      </c>
      <c r="DB75" s="10">
        <f t="shared" si="99"/>
        <v>-5.5113636363626674E-4</v>
      </c>
      <c r="DC75" s="10">
        <f t="shared" si="100"/>
        <v>1.3825757575759671E-4</v>
      </c>
      <c r="DD75" s="10">
        <f t="shared" si="101"/>
        <v>-3.4810606060605691E-3</v>
      </c>
      <c r="DE75" s="10">
        <f t="shared" si="102"/>
        <v>4.1022727272726949E-3</v>
      </c>
      <c r="DF75" s="10">
        <f t="shared" si="103"/>
        <v>1.8617424242424086E-3</v>
      </c>
      <c r="DG75" s="10">
        <f t="shared" si="104"/>
        <v>3.7575757575757625E-3</v>
      </c>
      <c r="DH75" s="10">
        <f t="shared" si="105"/>
        <v>1.5170454545454768E-3</v>
      </c>
      <c r="DI75" s="10">
        <f t="shared" si="106"/>
        <v>-2.0643939393933503E-4</v>
      </c>
      <c r="DJ75" s="10">
        <f t="shared" si="107"/>
        <v>1.1723484848485449E-3</v>
      </c>
      <c r="DK75" s="10">
        <f t="shared" si="108"/>
        <v>1.3825757575759671E-4</v>
      </c>
      <c r="DL75" s="10">
        <f t="shared" si="109"/>
        <v>-2.9640151515150951E-3</v>
      </c>
      <c r="DM75" s="10">
        <f t="shared" si="110"/>
        <v>-8.9583333333335166E-4</v>
      </c>
      <c r="DN75" s="10">
        <f t="shared" si="111"/>
        <v>1.6893939393940191E-3</v>
      </c>
      <c r="DO75" s="10">
        <f t="shared" si="112"/>
        <v>-5.5113636363626674E-4</v>
      </c>
      <c r="DP75" s="10">
        <f t="shared" si="113"/>
        <v>1.6893939393940191E-3</v>
      </c>
      <c r="DQ75" s="10">
        <f t="shared" si="114"/>
        <v>-2.0643939393933503E-4</v>
      </c>
      <c r="DR75" s="10">
        <f t="shared" si="115"/>
        <v>1.1723484848485449E-3</v>
      </c>
      <c r="DS75" s="10">
        <f t="shared" si="116"/>
        <v>2.3787878787878826E-3</v>
      </c>
      <c r="DT75" s="10">
        <f t="shared" si="117"/>
        <v>-3.1363636363636377E-3</v>
      </c>
      <c r="DU75" s="10">
        <f t="shared" si="118"/>
        <v>-2.0643939393933503E-4</v>
      </c>
      <c r="DV75" s="10">
        <f t="shared" si="119"/>
        <v>-5.5113636363626674E-4</v>
      </c>
      <c r="DW75" s="10">
        <f t="shared" si="120"/>
        <v>-2.2746212121212317E-3</v>
      </c>
    </row>
    <row r="76" spans="2:127" x14ac:dyDescent="0.45">
      <c r="B76" s="1">
        <v>24</v>
      </c>
      <c r="C76" s="1">
        <v>1005</v>
      </c>
      <c r="D76" s="7">
        <f t="shared" si="121"/>
        <v>5.8901098901098905</v>
      </c>
      <c r="E76" s="1">
        <v>5.8760000000000003</v>
      </c>
      <c r="F76" s="1">
        <v>5.8959999999999999</v>
      </c>
      <c r="G76" s="1">
        <v>5.891</v>
      </c>
      <c r="H76" s="1">
        <v>5.8659999999999997</v>
      </c>
      <c r="I76" s="1">
        <v>5.8840000000000003</v>
      </c>
      <c r="J76" s="1">
        <v>5.8920000000000003</v>
      </c>
      <c r="K76" s="1">
        <v>5.9109999999999996</v>
      </c>
      <c r="L76" s="1">
        <v>5.907</v>
      </c>
      <c r="M76" s="1">
        <v>5.9029999999999996</v>
      </c>
      <c r="N76" s="1">
        <v>5.9</v>
      </c>
      <c r="O76" s="1">
        <v>5.8869999999999996</v>
      </c>
      <c r="P76" s="1">
        <v>5.8840000000000003</v>
      </c>
      <c r="Q76" s="1">
        <v>5.8869999999999996</v>
      </c>
      <c r="R76" s="1">
        <v>5.9029999999999996</v>
      </c>
      <c r="S76" s="1">
        <v>5.8890000000000002</v>
      </c>
      <c r="T76" s="1">
        <v>5.8979999999999997</v>
      </c>
      <c r="U76" s="1">
        <v>5.9020000000000001</v>
      </c>
      <c r="V76" s="1">
        <v>5.8760000000000003</v>
      </c>
      <c r="W76" s="1">
        <v>5.8890000000000002</v>
      </c>
      <c r="X76" s="1">
        <v>5.923</v>
      </c>
      <c r="Y76" s="1">
        <v>5.8760000000000003</v>
      </c>
      <c r="Z76" s="1">
        <v>5.883</v>
      </c>
      <c r="AA76" s="1">
        <v>5.9189999999999996</v>
      </c>
      <c r="AB76" s="1">
        <v>5.88</v>
      </c>
      <c r="AC76" s="1">
        <v>5.8869999999999996</v>
      </c>
      <c r="AD76" s="1">
        <v>5.8979999999999997</v>
      </c>
      <c r="AE76" s="1">
        <v>5.8959999999999999</v>
      </c>
      <c r="AF76" s="1">
        <v>5.9029999999999996</v>
      </c>
      <c r="AG76" s="1">
        <v>5.9059999999999997</v>
      </c>
      <c r="AH76" s="1">
        <v>5.907</v>
      </c>
      <c r="AI76" s="1">
        <v>5.8890000000000002</v>
      </c>
      <c r="AJ76" s="1">
        <v>5.9059999999999997</v>
      </c>
      <c r="AK76" s="1">
        <v>5.8869999999999996</v>
      </c>
      <c r="AL76" s="1">
        <v>5.8879999999999999</v>
      </c>
      <c r="AM76" s="1">
        <v>5.8979999999999997</v>
      </c>
      <c r="AN76" s="1">
        <v>5.8979999999999997</v>
      </c>
      <c r="AO76" s="1">
        <v>5.8949999999999996</v>
      </c>
      <c r="AP76" s="1">
        <v>5.8920000000000003</v>
      </c>
      <c r="AQ76" s="1">
        <v>5.8849999999999998</v>
      </c>
      <c r="AR76" s="1">
        <v>5.8890000000000002</v>
      </c>
      <c r="AS76" s="1">
        <v>5.8719999999999999</v>
      </c>
      <c r="AT76" s="1">
        <v>5.9109999999999996</v>
      </c>
      <c r="AU76" s="1">
        <v>5.9020000000000001</v>
      </c>
      <c r="AV76" s="1">
        <v>5.9139999999999997</v>
      </c>
      <c r="AW76" s="1">
        <v>5.9</v>
      </c>
      <c r="AX76" s="1">
        <v>5.8890000000000002</v>
      </c>
      <c r="AY76" s="1">
        <v>5.8959999999999999</v>
      </c>
      <c r="AZ76" s="1">
        <v>5.891</v>
      </c>
      <c r="BA76" s="1">
        <v>5.8719999999999999</v>
      </c>
      <c r="BB76" s="1">
        <v>5.8840000000000003</v>
      </c>
      <c r="BC76" s="1">
        <v>5.9020000000000001</v>
      </c>
      <c r="BD76" s="1">
        <v>5.8849999999999998</v>
      </c>
      <c r="BE76" s="1">
        <v>5.899</v>
      </c>
      <c r="BF76" s="1">
        <v>5.8890000000000002</v>
      </c>
      <c r="BG76" s="1">
        <v>5.9020000000000001</v>
      </c>
      <c r="BH76" s="1">
        <v>5.9059999999999997</v>
      </c>
      <c r="BI76" s="1">
        <v>5.87</v>
      </c>
      <c r="BJ76" s="1">
        <v>5.8879999999999999</v>
      </c>
      <c r="BK76" s="1">
        <v>5.8849999999999998</v>
      </c>
      <c r="BL76" s="1">
        <v>5.8760000000000003</v>
      </c>
      <c r="BN76" s="9">
        <v>24</v>
      </c>
      <c r="BO76" s="9">
        <v>1005</v>
      </c>
      <c r="BP76" s="10">
        <f t="shared" si="61"/>
        <v>-2.3955223880597109E-3</v>
      </c>
      <c r="BQ76" s="10">
        <f t="shared" si="62"/>
        <v>9.9999999999991806E-4</v>
      </c>
      <c r="BR76" s="10">
        <f t="shared" si="63"/>
        <v>1.5111940298501075E-4</v>
      </c>
      <c r="BS76" s="10">
        <f t="shared" si="64"/>
        <v>-4.0932835820896765E-3</v>
      </c>
      <c r="BT76" s="10">
        <f t="shared" si="65"/>
        <v>-1.0373134328358292E-3</v>
      </c>
      <c r="BU76" s="10">
        <f t="shared" si="66"/>
        <v>3.2089552238805249E-4</v>
      </c>
      <c r="BV76" s="10">
        <f t="shared" si="67"/>
        <v>3.5466417910446396E-3</v>
      </c>
      <c r="BW76" s="10">
        <f t="shared" si="68"/>
        <v>2.8675373134327744E-3</v>
      </c>
      <c r="BX76" s="10">
        <f t="shared" si="69"/>
        <v>2.1884328358207578E-3</v>
      </c>
      <c r="BY76" s="10">
        <f t="shared" si="70"/>
        <v>1.6791044776119342E-3</v>
      </c>
      <c r="BZ76" s="10">
        <f t="shared" si="71"/>
        <v>-5.2798507462700555E-4</v>
      </c>
      <c r="CA76" s="10">
        <f t="shared" si="72"/>
        <v>-1.0373134328358292E-3</v>
      </c>
      <c r="CB76" s="10">
        <f t="shared" si="73"/>
        <v>-5.2798507462700555E-4</v>
      </c>
      <c r="CC76" s="10">
        <f t="shared" si="74"/>
        <v>2.1884328358207578E-3</v>
      </c>
      <c r="CD76" s="10">
        <f t="shared" si="75"/>
        <v>-1.8843283582092198E-4</v>
      </c>
      <c r="CE76" s="10">
        <f t="shared" si="76"/>
        <v>1.3395522388058507E-3</v>
      </c>
      <c r="CF76" s="10">
        <f t="shared" si="77"/>
        <v>2.0186567164178671E-3</v>
      </c>
      <c r="CG76" s="10">
        <f t="shared" si="78"/>
        <v>-2.3955223880597109E-3</v>
      </c>
      <c r="CH76" s="10">
        <f t="shared" si="79"/>
        <v>-1.8843283582092198E-4</v>
      </c>
      <c r="CI76" s="10">
        <f t="shared" si="80"/>
        <v>5.5839552238805372E-3</v>
      </c>
      <c r="CJ76" s="10">
        <f t="shared" si="81"/>
        <v>-2.3955223880597109E-3</v>
      </c>
      <c r="CK76" s="10">
        <f t="shared" si="82"/>
        <v>-1.2070895522388709E-3</v>
      </c>
      <c r="CL76" s="10">
        <f t="shared" si="83"/>
        <v>4.9048507462685215E-3</v>
      </c>
      <c r="CM76" s="10">
        <f t="shared" si="84"/>
        <v>-1.7164179104478454E-3</v>
      </c>
      <c r="CN76" s="10">
        <f t="shared" si="85"/>
        <v>-5.2798507462700555E-4</v>
      </c>
      <c r="CO76" s="10">
        <f t="shared" si="86"/>
        <v>1.3395522388058507E-3</v>
      </c>
      <c r="CP76" s="10">
        <f t="shared" si="87"/>
        <v>9.9999999999991806E-4</v>
      </c>
      <c r="CQ76" s="10">
        <f t="shared" si="88"/>
        <v>2.1884328358207578E-3</v>
      </c>
      <c r="CR76" s="10">
        <f t="shared" si="89"/>
        <v>2.6977611940297323E-3</v>
      </c>
      <c r="CS76" s="10">
        <f t="shared" si="90"/>
        <v>2.8675373134327744E-3</v>
      </c>
      <c r="CT76" s="10">
        <f t="shared" si="91"/>
        <v>-1.8843283582092198E-4</v>
      </c>
      <c r="CU76" s="10">
        <f t="shared" si="92"/>
        <v>2.6977611940297323E-3</v>
      </c>
      <c r="CV76" s="10">
        <f t="shared" si="93"/>
        <v>-5.2798507462700555E-4</v>
      </c>
      <c r="CW76" s="10">
        <f t="shared" si="94"/>
        <v>-3.5820895522396373E-4</v>
      </c>
      <c r="CX76" s="10">
        <f t="shared" si="95"/>
        <v>1.3395522388058507E-3</v>
      </c>
      <c r="CY76" s="10">
        <f t="shared" si="96"/>
        <v>1.3395522388058507E-3</v>
      </c>
      <c r="CZ76" s="10">
        <f t="shared" si="97"/>
        <v>8.3022388059687618E-4</v>
      </c>
      <c r="DA76" s="10">
        <f t="shared" si="98"/>
        <v>3.2089552238805249E-4</v>
      </c>
      <c r="DB76" s="10">
        <f t="shared" si="99"/>
        <v>-8.6753731343293828E-4</v>
      </c>
      <c r="DC76" s="10">
        <f t="shared" si="100"/>
        <v>-1.8843283582092198E-4</v>
      </c>
      <c r="DD76" s="10">
        <f t="shared" si="101"/>
        <v>-3.074626865671727E-3</v>
      </c>
      <c r="DE76" s="10">
        <f t="shared" si="102"/>
        <v>3.5466417910446396E-3</v>
      </c>
      <c r="DF76" s="10">
        <f t="shared" si="103"/>
        <v>2.0186567164178671E-3</v>
      </c>
      <c r="DG76" s="10">
        <f t="shared" si="104"/>
        <v>4.0559701492536137E-3</v>
      </c>
      <c r="DH76" s="10">
        <f t="shared" si="105"/>
        <v>1.6791044776119342E-3</v>
      </c>
      <c r="DI76" s="10">
        <f t="shared" si="106"/>
        <v>-1.8843283582092198E-4</v>
      </c>
      <c r="DJ76" s="10">
        <f t="shared" si="107"/>
        <v>9.9999999999991806E-4</v>
      </c>
      <c r="DK76" s="10">
        <f t="shared" si="108"/>
        <v>1.5111940298501075E-4</v>
      </c>
      <c r="DL76" s="10">
        <f t="shared" si="109"/>
        <v>-3.074626865671727E-3</v>
      </c>
      <c r="DM76" s="10">
        <f t="shared" si="110"/>
        <v>-1.0373134328358292E-3</v>
      </c>
      <c r="DN76" s="10">
        <f t="shared" si="111"/>
        <v>2.0186567164178671E-3</v>
      </c>
      <c r="DO76" s="10">
        <f t="shared" si="112"/>
        <v>-8.6753731343293828E-4</v>
      </c>
      <c r="DP76" s="10">
        <f t="shared" si="113"/>
        <v>1.5093283582088926E-3</v>
      </c>
      <c r="DQ76" s="10">
        <f t="shared" si="114"/>
        <v>-1.8843283582092198E-4</v>
      </c>
      <c r="DR76" s="10">
        <f t="shared" si="115"/>
        <v>2.0186567164178671E-3</v>
      </c>
      <c r="DS76" s="10">
        <f t="shared" si="116"/>
        <v>2.6977611940297323E-3</v>
      </c>
      <c r="DT76" s="10">
        <f t="shared" si="117"/>
        <v>-3.4141791044776599E-3</v>
      </c>
      <c r="DU76" s="10">
        <f t="shared" si="118"/>
        <v>-3.5820895522396373E-4</v>
      </c>
      <c r="DV76" s="10">
        <f t="shared" si="119"/>
        <v>-8.6753731343293828E-4</v>
      </c>
      <c r="DW76" s="10">
        <f t="shared" si="120"/>
        <v>-2.3955223880597109E-3</v>
      </c>
    </row>
    <row r="77" spans="2:127" x14ac:dyDescent="0.45">
      <c r="B77" s="1">
        <v>24</v>
      </c>
      <c r="C77" s="1">
        <v>1020</v>
      </c>
      <c r="D77" s="7">
        <f t="shared" si="121"/>
        <v>5.9780219780219781</v>
      </c>
      <c r="E77" s="1">
        <v>5.9649999999999999</v>
      </c>
      <c r="F77" s="1">
        <v>5.9829999999999997</v>
      </c>
      <c r="G77" s="1">
        <v>5.9790000000000001</v>
      </c>
      <c r="H77" s="1">
        <v>5.9550000000000001</v>
      </c>
      <c r="I77" s="1">
        <v>5.9690000000000003</v>
      </c>
      <c r="J77" s="1">
        <v>5.9779999999999998</v>
      </c>
      <c r="K77" s="1">
        <v>5.9969999999999999</v>
      </c>
      <c r="L77" s="1">
        <v>5.9909999999999997</v>
      </c>
      <c r="M77" s="1">
        <v>5.9909999999999997</v>
      </c>
      <c r="N77" s="1">
        <v>5.9870000000000001</v>
      </c>
      <c r="O77" s="1">
        <v>5.9710000000000001</v>
      </c>
      <c r="P77" s="1">
        <v>5.9720000000000004</v>
      </c>
      <c r="Q77" s="1">
        <v>5.9729999999999999</v>
      </c>
      <c r="R77" s="1">
        <v>5.99</v>
      </c>
      <c r="S77" s="1">
        <v>5.9790000000000001</v>
      </c>
      <c r="T77" s="1">
        <v>5.984</v>
      </c>
      <c r="U77" s="1">
        <v>5.9880000000000004</v>
      </c>
      <c r="V77" s="1">
        <v>5.9640000000000004</v>
      </c>
      <c r="W77" s="1">
        <v>5.9779999999999998</v>
      </c>
      <c r="X77" s="1">
        <v>6.0170000000000003</v>
      </c>
      <c r="Y77" s="1">
        <v>5.9569999999999999</v>
      </c>
      <c r="Z77" s="1">
        <v>5.9690000000000003</v>
      </c>
      <c r="AA77" s="1">
        <v>6.0069999999999997</v>
      </c>
      <c r="AB77" s="1">
        <v>5.9649999999999999</v>
      </c>
      <c r="AC77" s="1">
        <v>5.9710000000000001</v>
      </c>
      <c r="AD77" s="1">
        <v>5.9859999999999998</v>
      </c>
      <c r="AE77" s="1">
        <v>5.9820000000000002</v>
      </c>
      <c r="AF77" s="1">
        <v>5.99</v>
      </c>
      <c r="AG77" s="1">
        <v>5.992</v>
      </c>
      <c r="AH77" s="1">
        <v>5.9969999999999999</v>
      </c>
      <c r="AI77" s="1">
        <v>5.9779999999999998</v>
      </c>
      <c r="AJ77" s="1">
        <v>5.9980000000000002</v>
      </c>
      <c r="AK77" s="1">
        <v>5.9749999999999996</v>
      </c>
      <c r="AL77" s="1">
        <v>5.9729999999999999</v>
      </c>
      <c r="AM77" s="1">
        <v>5.984</v>
      </c>
      <c r="AN77" s="1">
        <v>5.9859999999999998</v>
      </c>
      <c r="AO77" s="1">
        <v>5.984</v>
      </c>
      <c r="AP77" s="1">
        <v>5.9749999999999996</v>
      </c>
      <c r="AQ77" s="1">
        <v>5.9720000000000004</v>
      </c>
      <c r="AR77" s="1">
        <v>5.976</v>
      </c>
      <c r="AS77" s="1">
        <v>5.9589999999999996</v>
      </c>
      <c r="AT77" s="1">
        <v>6.0010000000000003</v>
      </c>
      <c r="AU77" s="1">
        <v>5.9909999999999997</v>
      </c>
      <c r="AV77" s="1">
        <v>6.0019999999999998</v>
      </c>
      <c r="AW77" s="1">
        <v>5.99</v>
      </c>
      <c r="AX77" s="1">
        <v>5.976</v>
      </c>
      <c r="AY77" s="1">
        <v>5.984</v>
      </c>
      <c r="AZ77" s="1">
        <v>5.9779999999999998</v>
      </c>
      <c r="BA77" s="1">
        <v>5.96</v>
      </c>
      <c r="BB77" s="1">
        <v>5.9720000000000004</v>
      </c>
      <c r="BC77" s="1">
        <v>5.99</v>
      </c>
      <c r="BD77" s="1">
        <v>5.9729999999999999</v>
      </c>
      <c r="BE77" s="1">
        <v>5.9829999999999997</v>
      </c>
      <c r="BF77" s="1">
        <v>5.9749999999999996</v>
      </c>
      <c r="BG77" s="1">
        <v>5.99</v>
      </c>
      <c r="BH77" s="1">
        <v>6.0010000000000003</v>
      </c>
      <c r="BI77" s="1">
        <v>5.9589999999999996</v>
      </c>
      <c r="BJ77" s="1">
        <v>5.976</v>
      </c>
      <c r="BK77" s="1">
        <v>5.9749999999999996</v>
      </c>
      <c r="BL77" s="1">
        <v>5.9610000000000003</v>
      </c>
      <c r="BN77" s="9">
        <v>24</v>
      </c>
      <c r="BO77" s="9">
        <v>1020</v>
      </c>
      <c r="BP77" s="10">
        <f t="shared" si="61"/>
        <v>-2.1783088235294485E-3</v>
      </c>
      <c r="BQ77" s="10">
        <f t="shared" si="62"/>
        <v>8.327205882352228E-4</v>
      </c>
      <c r="BR77" s="10">
        <f t="shared" si="63"/>
        <v>1.6360294117647299E-4</v>
      </c>
      <c r="BS77" s="10">
        <f t="shared" si="64"/>
        <v>-3.8511029411764717E-3</v>
      </c>
      <c r="BT77" s="10">
        <f t="shared" si="65"/>
        <v>-1.5091911764705502E-3</v>
      </c>
      <c r="BU77" s="10">
        <f t="shared" si="66"/>
        <v>-3.6764705882887678E-6</v>
      </c>
      <c r="BV77" s="10">
        <f t="shared" si="67"/>
        <v>3.1746323529411443E-3</v>
      </c>
      <c r="BW77" s="10">
        <f t="shared" si="68"/>
        <v>2.1709558823528709E-3</v>
      </c>
      <c r="BX77" s="10">
        <f t="shared" si="69"/>
        <v>2.1709558823528709E-3</v>
      </c>
      <c r="BY77" s="10">
        <f t="shared" si="70"/>
        <v>1.5018382352941211E-3</v>
      </c>
      <c r="BZ77" s="10">
        <f t="shared" si="71"/>
        <v>-1.1746323529411753E-3</v>
      </c>
      <c r="CA77" s="10">
        <f t="shared" si="72"/>
        <v>-1.0073529411764135E-3</v>
      </c>
      <c r="CB77" s="10">
        <f t="shared" si="73"/>
        <v>-8.4007352941180031E-4</v>
      </c>
      <c r="CC77" s="10">
        <f t="shared" si="74"/>
        <v>2.0036764705882578E-3</v>
      </c>
      <c r="CD77" s="10">
        <f t="shared" si="75"/>
        <v>1.6360294117647299E-4</v>
      </c>
      <c r="CE77" s="10">
        <f t="shared" si="76"/>
        <v>9.9999999999998463E-4</v>
      </c>
      <c r="CF77" s="10">
        <f t="shared" si="77"/>
        <v>1.6691176470588829E-3</v>
      </c>
      <c r="CG77" s="10">
        <f t="shared" si="78"/>
        <v>-2.3455882352940616E-3</v>
      </c>
      <c r="CH77" s="10">
        <f t="shared" si="79"/>
        <v>-3.6764705882887678E-6</v>
      </c>
      <c r="CI77" s="10">
        <f t="shared" si="80"/>
        <v>6.5202205882353391E-3</v>
      </c>
      <c r="CJ77" s="10">
        <f t="shared" si="81"/>
        <v>-3.5165441176470968E-3</v>
      </c>
      <c r="CK77" s="10">
        <f t="shared" si="82"/>
        <v>-1.5091911764705502E-3</v>
      </c>
      <c r="CL77" s="10">
        <f t="shared" si="83"/>
        <v>4.8474264705881676E-3</v>
      </c>
      <c r="CM77" s="10">
        <f t="shared" si="84"/>
        <v>-2.1783088235294485E-3</v>
      </c>
      <c r="CN77" s="10">
        <f t="shared" si="85"/>
        <v>-1.1746323529411753E-3</v>
      </c>
      <c r="CO77" s="10">
        <f t="shared" si="86"/>
        <v>1.3345588235293595E-3</v>
      </c>
      <c r="CP77" s="10">
        <f t="shared" si="87"/>
        <v>6.6544117647060962E-4</v>
      </c>
      <c r="CQ77" s="10">
        <f t="shared" si="88"/>
        <v>2.0036764705882578E-3</v>
      </c>
      <c r="CR77" s="10">
        <f t="shared" si="89"/>
        <v>2.3382352941176327E-3</v>
      </c>
      <c r="CS77" s="10">
        <f t="shared" si="90"/>
        <v>3.1746323529411443E-3</v>
      </c>
      <c r="CT77" s="10">
        <f t="shared" si="91"/>
        <v>-3.6764705882887678E-6</v>
      </c>
      <c r="CU77" s="10">
        <f t="shared" si="92"/>
        <v>3.3419117647059062E-3</v>
      </c>
      <c r="CV77" s="10">
        <f t="shared" si="93"/>
        <v>-5.0551470588242541E-4</v>
      </c>
      <c r="CW77" s="10">
        <f t="shared" si="94"/>
        <v>-8.4007352941180031E-4</v>
      </c>
      <c r="CX77" s="10">
        <f t="shared" si="95"/>
        <v>9.9999999999998463E-4</v>
      </c>
      <c r="CY77" s="10">
        <f t="shared" si="96"/>
        <v>1.3345588235293595E-3</v>
      </c>
      <c r="CZ77" s="10">
        <f t="shared" si="97"/>
        <v>9.9999999999998463E-4</v>
      </c>
      <c r="DA77" s="10">
        <f t="shared" si="98"/>
        <v>-5.0551470588242541E-4</v>
      </c>
      <c r="DB77" s="10">
        <f t="shared" si="99"/>
        <v>-1.0073529411764135E-3</v>
      </c>
      <c r="DC77" s="10">
        <f t="shared" si="100"/>
        <v>-3.382352941176637E-4</v>
      </c>
      <c r="DD77" s="10">
        <f t="shared" si="101"/>
        <v>-3.181985294117722E-3</v>
      </c>
      <c r="DE77" s="10">
        <f t="shared" si="102"/>
        <v>3.8437500000000429E-3</v>
      </c>
      <c r="DF77" s="10">
        <f t="shared" si="103"/>
        <v>2.1709558823528709E-3</v>
      </c>
      <c r="DG77" s="10">
        <f t="shared" si="104"/>
        <v>4.0110294117646555E-3</v>
      </c>
      <c r="DH77" s="10">
        <f t="shared" si="105"/>
        <v>2.0036764705882578E-3</v>
      </c>
      <c r="DI77" s="10">
        <f t="shared" si="106"/>
        <v>-3.382352941176637E-4</v>
      </c>
      <c r="DJ77" s="10">
        <f t="shared" si="107"/>
        <v>9.9999999999998463E-4</v>
      </c>
      <c r="DK77" s="10">
        <f t="shared" si="108"/>
        <v>-3.6764705882887678E-6</v>
      </c>
      <c r="DL77" s="10">
        <f t="shared" si="109"/>
        <v>-3.0147058823529601E-3</v>
      </c>
      <c r="DM77" s="10">
        <f t="shared" si="110"/>
        <v>-1.0073529411764135E-3</v>
      </c>
      <c r="DN77" s="10">
        <f t="shared" si="111"/>
        <v>2.0036764705882578E-3</v>
      </c>
      <c r="DO77" s="10">
        <f t="shared" si="112"/>
        <v>-8.4007352941180031E-4</v>
      </c>
      <c r="DP77" s="10">
        <f t="shared" si="113"/>
        <v>8.327205882352228E-4</v>
      </c>
      <c r="DQ77" s="10">
        <f t="shared" si="114"/>
        <v>-5.0551470588242541E-4</v>
      </c>
      <c r="DR77" s="10">
        <f t="shared" si="115"/>
        <v>2.0036764705882578E-3</v>
      </c>
      <c r="DS77" s="10">
        <f t="shared" si="116"/>
        <v>3.8437500000000429E-3</v>
      </c>
      <c r="DT77" s="10">
        <f t="shared" si="117"/>
        <v>-3.181985294117722E-3</v>
      </c>
      <c r="DU77" s="10">
        <f t="shared" si="118"/>
        <v>-3.382352941176637E-4</v>
      </c>
      <c r="DV77" s="10">
        <f t="shared" si="119"/>
        <v>-5.0551470588242541E-4</v>
      </c>
      <c r="DW77" s="10">
        <f t="shared" si="120"/>
        <v>-2.8474264705881983E-3</v>
      </c>
    </row>
    <row r="78" spans="2:127" x14ac:dyDescent="0.45">
      <c r="B78" s="1">
        <v>24</v>
      </c>
      <c r="C78" s="1">
        <v>1035</v>
      </c>
      <c r="D78" s="7">
        <f t="shared" si="121"/>
        <v>6.0659340659340657</v>
      </c>
      <c r="E78" s="1">
        <v>6.056</v>
      </c>
      <c r="F78" s="1">
        <v>6.07</v>
      </c>
      <c r="G78" s="1">
        <v>6.0640000000000001</v>
      </c>
      <c r="H78" s="1">
        <v>6.0430000000000001</v>
      </c>
      <c r="I78" s="1">
        <v>6.0590000000000002</v>
      </c>
      <c r="J78" s="1">
        <v>6.0659999999999998</v>
      </c>
      <c r="K78" s="1">
        <v>6.0860000000000003</v>
      </c>
      <c r="L78" s="1">
        <v>6.0830000000000002</v>
      </c>
      <c r="M78" s="1">
        <v>6.0789999999999997</v>
      </c>
      <c r="N78" s="1">
        <v>6.0730000000000004</v>
      </c>
      <c r="O78" s="1">
        <v>6.0519999999999996</v>
      </c>
      <c r="P78" s="1">
        <v>6.0590000000000002</v>
      </c>
      <c r="Q78" s="1">
        <v>6.0620000000000003</v>
      </c>
      <c r="R78" s="1">
        <v>6.077</v>
      </c>
      <c r="S78" s="1">
        <v>6.0659999999999998</v>
      </c>
      <c r="T78" s="1">
        <v>6.0709999999999997</v>
      </c>
      <c r="U78" s="1">
        <v>6.077</v>
      </c>
      <c r="V78" s="1">
        <v>6.0519999999999996</v>
      </c>
      <c r="W78" s="1">
        <v>6.0640000000000001</v>
      </c>
      <c r="X78" s="1">
        <v>6.1059999999999999</v>
      </c>
      <c r="Y78" s="1">
        <v>6.0510000000000002</v>
      </c>
      <c r="Z78" s="1">
        <v>6.0579999999999998</v>
      </c>
      <c r="AA78" s="1">
        <v>6.0960000000000001</v>
      </c>
      <c r="AB78" s="1">
        <v>6.0519999999999996</v>
      </c>
      <c r="AC78" s="1">
        <v>6.056</v>
      </c>
      <c r="AD78" s="1">
        <v>6.0730000000000004</v>
      </c>
      <c r="AE78" s="1">
        <v>6.07</v>
      </c>
      <c r="AF78" s="1">
        <v>6.077</v>
      </c>
      <c r="AG78" s="1">
        <v>6.0789999999999997</v>
      </c>
      <c r="AH78" s="1">
        <v>6.085</v>
      </c>
      <c r="AI78" s="1">
        <v>6.0659999999999998</v>
      </c>
      <c r="AJ78" s="1">
        <v>6.0830000000000002</v>
      </c>
      <c r="AK78" s="1">
        <v>6.0620000000000003</v>
      </c>
      <c r="AL78" s="1">
        <v>6.0590000000000002</v>
      </c>
      <c r="AM78" s="1">
        <v>6.0709999999999997</v>
      </c>
      <c r="AN78" s="1">
        <v>6.0739999999999998</v>
      </c>
      <c r="AO78" s="1">
        <v>6.0730000000000004</v>
      </c>
      <c r="AP78" s="1">
        <v>6.0629999999999997</v>
      </c>
      <c r="AQ78" s="1">
        <v>6.0620000000000003</v>
      </c>
      <c r="AR78" s="1">
        <v>6.0640000000000001</v>
      </c>
      <c r="AS78" s="1">
        <v>6.0449999999999999</v>
      </c>
      <c r="AT78" s="1">
        <v>6.0910000000000002</v>
      </c>
      <c r="AU78" s="1">
        <v>6.0830000000000002</v>
      </c>
      <c r="AV78" s="1">
        <v>6.09</v>
      </c>
      <c r="AW78" s="1">
        <v>6.0780000000000003</v>
      </c>
      <c r="AX78" s="1">
        <v>6.0629999999999997</v>
      </c>
      <c r="AY78" s="1">
        <v>6.0709999999999997</v>
      </c>
      <c r="AZ78" s="1">
        <v>6.0640000000000001</v>
      </c>
      <c r="BA78" s="1">
        <v>6.048</v>
      </c>
      <c r="BB78" s="1">
        <v>6.06</v>
      </c>
      <c r="BC78" s="1">
        <v>6.0810000000000004</v>
      </c>
      <c r="BD78" s="1">
        <v>6.06</v>
      </c>
      <c r="BE78" s="1">
        <v>6.0679999999999996</v>
      </c>
      <c r="BF78" s="1">
        <v>6.0640000000000001</v>
      </c>
      <c r="BG78" s="1">
        <v>6.0730000000000004</v>
      </c>
      <c r="BH78" s="1">
        <v>6.0810000000000004</v>
      </c>
      <c r="BI78" s="1">
        <v>6.0449999999999999</v>
      </c>
      <c r="BJ78" s="1">
        <v>6.0629999999999997</v>
      </c>
      <c r="BK78" s="1">
        <v>6.0670000000000002</v>
      </c>
      <c r="BL78" s="1">
        <v>6.0490000000000004</v>
      </c>
      <c r="BN78" s="9">
        <v>24</v>
      </c>
      <c r="BO78" s="9">
        <v>1035</v>
      </c>
      <c r="BP78" s="10">
        <f t="shared" si="61"/>
        <v>-1.6376811594202431E-3</v>
      </c>
      <c r="BQ78" s="10">
        <f t="shared" si="62"/>
        <v>6.7028985507254924E-4</v>
      </c>
      <c r="BR78" s="10">
        <f t="shared" si="63"/>
        <v>-3.1884057971009696E-4</v>
      </c>
      <c r="BS78" s="10">
        <f t="shared" si="64"/>
        <v>-3.7807971014492121E-3</v>
      </c>
      <c r="BT78" s="10">
        <f t="shared" si="65"/>
        <v>-1.14311594202892E-3</v>
      </c>
      <c r="BU78" s="10">
        <f t="shared" si="66"/>
        <v>1.0869565217402981E-5</v>
      </c>
      <c r="BV78" s="10">
        <f t="shared" si="67"/>
        <v>3.3079710144928417E-3</v>
      </c>
      <c r="BW78" s="10">
        <f t="shared" si="68"/>
        <v>2.8134057971015186E-3</v>
      </c>
      <c r="BX78" s="10">
        <f t="shared" si="69"/>
        <v>2.1539855072463723E-3</v>
      </c>
      <c r="BY78" s="10">
        <f t="shared" si="70"/>
        <v>1.1648550724638724E-3</v>
      </c>
      <c r="BZ78" s="10">
        <f t="shared" si="71"/>
        <v>-2.2971014492753892E-3</v>
      </c>
      <c r="CA78" s="10">
        <f t="shared" si="72"/>
        <v>-1.14311594202892E-3</v>
      </c>
      <c r="CB78" s="10">
        <f t="shared" si="73"/>
        <v>-6.4855072463759691E-4</v>
      </c>
      <c r="CC78" s="10">
        <f t="shared" si="74"/>
        <v>1.8242753623188722E-3</v>
      </c>
      <c r="CD78" s="10">
        <f t="shared" si="75"/>
        <v>1.0869565217402981E-5</v>
      </c>
      <c r="CE78" s="10">
        <f t="shared" si="76"/>
        <v>8.3514492753622601E-4</v>
      </c>
      <c r="CF78" s="10">
        <f t="shared" si="77"/>
        <v>1.8242753623188722E-3</v>
      </c>
      <c r="CG78" s="10">
        <f t="shared" si="78"/>
        <v>-2.2971014492753892E-3</v>
      </c>
      <c r="CH78" s="10">
        <f t="shared" si="79"/>
        <v>-3.1884057971009696E-4</v>
      </c>
      <c r="CI78" s="10">
        <f t="shared" si="80"/>
        <v>6.6050724637681333E-3</v>
      </c>
      <c r="CJ78" s="10">
        <f t="shared" si="81"/>
        <v>-2.461956521739066E-3</v>
      </c>
      <c r="CK78" s="10">
        <f t="shared" si="82"/>
        <v>-1.3079710144927432E-3</v>
      </c>
      <c r="CL78" s="10">
        <f t="shared" si="83"/>
        <v>4.9565217391304879E-3</v>
      </c>
      <c r="CM78" s="10">
        <f t="shared" si="84"/>
        <v>-2.2971014492753892E-3</v>
      </c>
      <c r="CN78" s="10">
        <f t="shared" si="85"/>
        <v>-1.6376811594202431E-3</v>
      </c>
      <c r="CO78" s="10">
        <f t="shared" si="86"/>
        <v>1.1648550724638724E-3</v>
      </c>
      <c r="CP78" s="10">
        <f t="shared" si="87"/>
        <v>6.7028985507254924E-4</v>
      </c>
      <c r="CQ78" s="10">
        <f t="shared" si="88"/>
        <v>1.8242753623188722E-3</v>
      </c>
      <c r="CR78" s="10">
        <f t="shared" si="89"/>
        <v>2.1539855072463723E-3</v>
      </c>
      <c r="CS78" s="10">
        <f t="shared" si="90"/>
        <v>3.1431159420290183E-3</v>
      </c>
      <c r="CT78" s="10">
        <f t="shared" si="91"/>
        <v>1.0869565217402981E-5</v>
      </c>
      <c r="CU78" s="10">
        <f t="shared" si="92"/>
        <v>2.8134057971015186E-3</v>
      </c>
      <c r="CV78" s="10">
        <f t="shared" si="93"/>
        <v>-6.4855072463759691E-4</v>
      </c>
      <c r="CW78" s="10">
        <f t="shared" si="94"/>
        <v>-1.14311594202892E-3</v>
      </c>
      <c r="CX78" s="10">
        <f t="shared" si="95"/>
        <v>8.3514492753622601E-4</v>
      </c>
      <c r="CY78" s="10">
        <f t="shared" si="96"/>
        <v>1.3297101449275491E-3</v>
      </c>
      <c r="CZ78" s="10">
        <f t="shared" si="97"/>
        <v>1.1648550724638724E-3</v>
      </c>
      <c r="DA78" s="10">
        <f t="shared" si="98"/>
        <v>-4.8369565217392014E-4</v>
      </c>
      <c r="DB78" s="10">
        <f t="shared" si="99"/>
        <v>-6.4855072463759691E-4</v>
      </c>
      <c r="DC78" s="10">
        <f t="shared" si="100"/>
        <v>-3.1884057971009696E-4</v>
      </c>
      <c r="DD78" s="10">
        <f t="shared" si="101"/>
        <v>-3.4510869565217124E-3</v>
      </c>
      <c r="DE78" s="10">
        <f t="shared" si="102"/>
        <v>4.1322463768116643E-3</v>
      </c>
      <c r="DF78" s="10">
        <f t="shared" si="103"/>
        <v>2.8134057971015186E-3</v>
      </c>
      <c r="DG78" s="10">
        <f t="shared" si="104"/>
        <v>3.967391304347841E-3</v>
      </c>
      <c r="DH78" s="10">
        <f t="shared" si="105"/>
        <v>1.9891304347826955E-3</v>
      </c>
      <c r="DI78" s="10">
        <f t="shared" si="106"/>
        <v>-4.8369565217392014E-4</v>
      </c>
      <c r="DJ78" s="10">
        <f t="shared" si="107"/>
        <v>8.3514492753622601E-4</v>
      </c>
      <c r="DK78" s="10">
        <f t="shared" si="108"/>
        <v>-3.1884057971009696E-4</v>
      </c>
      <c r="DL78" s="10">
        <f t="shared" si="109"/>
        <v>-2.9565217391303894E-3</v>
      </c>
      <c r="DM78" s="10">
        <f t="shared" si="110"/>
        <v>-9.7826086956524327E-4</v>
      </c>
      <c r="DN78" s="10">
        <f t="shared" si="111"/>
        <v>2.4836956521740185E-3</v>
      </c>
      <c r="DO78" s="10">
        <f t="shared" si="112"/>
        <v>-9.7826086956524327E-4</v>
      </c>
      <c r="DP78" s="10">
        <f t="shared" si="113"/>
        <v>3.4057971014490293E-4</v>
      </c>
      <c r="DQ78" s="10">
        <f t="shared" si="114"/>
        <v>-3.1884057971009696E-4</v>
      </c>
      <c r="DR78" s="10">
        <f t="shared" si="115"/>
        <v>1.1648550724638724E-3</v>
      </c>
      <c r="DS78" s="10">
        <f t="shared" si="116"/>
        <v>2.4836956521740185E-3</v>
      </c>
      <c r="DT78" s="10">
        <f t="shared" si="117"/>
        <v>-3.4510869565217124E-3</v>
      </c>
      <c r="DU78" s="10">
        <f t="shared" si="118"/>
        <v>-4.8369565217392014E-4</v>
      </c>
      <c r="DV78" s="10">
        <f t="shared" si="119"/>
        <v>1.7572463768122617E-4</v>
      </c>
      <c r="DW78" s="10">
        <f t="shared" si="120"/>
        <v>-2.7916666666665661E-3</v>
      </c>
    </row>
    <row r="79" spans="2:127" x14ac:dyDescent="0.45">
      <c r="B79" s="1">
        <v>24</v>
      </c>
      <c r="C79" s="1">
        <v>1050</v>
      </c>
      <c r="D79" s="7">
        <f t="shared" si="121"/>
        <v>6.1538461538461542</v>
      </c>
      <c r="E79" s="1">
        <v>6.1429999999999998</v>
      </c>
      <c r="F79" s="1">
        <v>6.1580000000000004</v>
      </c>
      <c r="G79" s="1">
        <v>6.1539999999999999</v>
      </c>
      <c r="H79" s="1">
        <v>6.1310000000000002</v>
      </c>
      <c r="I79" s="1">
        <v>6.1479999999999997</v>
      </c>
      <c r="J79" s="1">
        <v>6.157</v>
      </c>
      <c r="K79" s="1">
        <v>6.1760000000000002</v>
      </c>
      <c r="L79" s="1">
        <v>6.173</v>
      </c>
      <c r="M79" s="1">
        <v>6.1669999999999998</v>
      </c>
      <c r="N79" s="1">
        <v>6.1609999999999996</v>
      </c>
      <c r="O79" s="1">
        <v>6.1440000000000001</v>
      </c>
      <c r="P79" s="1">
        <v>6.1470000000000002</v>
      </c>
      <c r="Q79" s="1">
        <v>6.15</v>
      </c>
      <c r="R79" s="1">
        <v>6.165</v>
      </c>
      <c r="S79" s="1">
        <v>6.1539999999999999</v>
      </c>
      <c r="T79" s="1">
        <v>6.1589999999999998</v>
      </c>
      <c r="U79" s="1">
        <v>6.1660000000000004</v>
      </c>
      <c r="V79" s="1">
        <v>6.1420000000000003</v>
      </c>
      <c r="W79" s="1">
        <v>6.1509999999999998</v>
      </c>
      <c r="X79" s="1">
        <v>6.1890000000000001</v>
      </c>
      <c r="Y79" s="1">
        <v>6.1340000000000003</v>
      </c>
      <c r="Z79" s="1">
        <v>6.1459999999999999</v>
      </c>
      <c r="AA79" s="1">
        <v>6.1849999999999996</v>
      </c>
      <c r="AB79" s="1">
        <v>6.1390000000000002</v>
      </c>
      <c r="AC79" s="1">
        <v>6.1459999999999999</v>
      </c>
      <c r="AD79" s="1">
        <v>6.1619999999999999</v>
      </c>
      <c r="AE79" s="1">
        <v>6.1589999999999998</v>
      </c>
      <c r="AF79" s="1">
        <v>6.1630000000000003</v>
      </c>
      <c r="AG79" s="1">
        <v>6.1669999999999998</v>
      </c>
      <c r="AH79" s="1">
        <v>6.1719999999999997</v>
      </c>
      <c r="AI79" s="1">
        <v>6.1550000000000002</v>
      </c>
      <c r="AJ79" s="1">
        <v>6.1719999999999997</v>
      </c>
      <c r="AK79" s="1">
        <v>6.1479999999999997</v>
      </c>
      <c r="AL79" s="1">
        <v>6.1459999999999999</v>
      </c>
      <c r="AM79" s="1">
        <v>6.1589999999999998</v>
      </c>
      <c r="AN79" s="1">
        <v>6.1619999999999999</v>
      </c>
      <c r="AO79" s="1">
        <v>6.1630000000000003</v>
      </c>
      <c r="AP79" s="1">
        <v>6.1550000000000002</v>
      </c>
      <c r="AQ79" s="1">
        <v>6.1529999999999996</v>
      </c>
      <c r="AR79" s="1">
        <v>6.1539999999999999</v>
      </c>
      <c r="AS79" s="1">
        <v>6.1340000000000003</v>
      </c>
      <c r="AT79" s="1">
        <v>6.181</v>
      </c>
      <c r="AU79" s="1">
        <v>6.173</v>
      </c>
      <c r="AV79" s="1">
        <v>6.1740000000000004</v>
      </c>
      <c r="AW79" s="1">
        <v>6.165</v>
      </c>
      <c r="AX79" s="1">
        <v>6.1529999999999996</v>
      </c>
      <c r="AY79" s="1">
        <v>6.1619999999999999</v>
      </c>
      <c r="AZ79" s="1">
        <v>6.1529999999999996</v>
      </c>
      <c r="BA79" s="1">
        <v>6.1360000000000001</v>
      </c>
      <c r="BB79" s="1">
        <v>6.1440000000000001</v>
      </c>
      <c r="BC79" s="1">
        <v>6.17</v>
      </c>
      <c r="BD79" s="1">
        <v>6.1459999999999999</v>
      </c>
      <c r="BE79" s="1">
        <v>6.1609999999999996</v>
      </c>
      <c r="BF79" s="1">
        <v>6.1539999999999999</v>
      </c>
      <c r="BG79" s="1">
        <v>6.1609999999999996</v>
      </c>
      <c r="BH79" s="1">
        <v>6.1719999999999997</v>
      </c>
      <c r="BI79" s="1">
        <v>6.1340000000000003</v>
      </c>
      <c r="BJ79" s="1">
        <v>6.1509999999999998</v>
      </c>
      <c r="BK79" s="1">
        <v>6.15</v>
      </c>
      <c r="BL79" s="1">
        <v>6.14</v>
      </c>
      <c r="BN79" s="9">
        <v>24</v>
      </c>
      <c r="BO79" s="9">
        <v>1050</v>
      </c>
      <c r="BP79" s="10">
        <f t="shared" si="61"/>
        <v>-1.7625000000000889E-3</v>
      </c>
      <c r="BQ79" s="10">
        <f t="shared" si="62"/>
        <v>6.7500000000000329E-4</v>
      </c>
      <c r="BR79" s="10">
        <f t="shared" si="63"/>
        <v>2.4999999999930633E-5</v>
      </c>
      <c r="BS79" s="10">
        <f t="shared" si="64"/>
        <v>-3.7125000000000183E-3</v>
      </c>
      <c r="BT79" s="10">
        <f t="shared" si="65"/>
        <v>-9.5000000000010625E-4</v>
      </c>
      <c r="BU79" s="10">
        <f t="shared" si="66"/>
        <v>5.1249999999994909E-4</v>
      </c>
      <c r="BV79" s="10">
        <f t="shared" si="67"/>
        <v>3.5999999999999695E-3</v>
      </c>
      <c r="BW79" s="10">
        <f t="shared" si="68"/>
        <v>3.1124999999999512E-3</v>
      </c>
      <c r="BX79" s="10">
        <f t="shared" si="69"/>
        <v>2.1374999999999142E-3</v>
      </c>
      <c r="BY79" s="10">
        <f t="shared" si="70"/>
        <v>1.1624999999998774E-3</v>
      </c>
      <c r="BZ79" s="10">
        <f t="shared" si="71"/>
        <v>-1.6000000000000346E-3</v>
      </c>
      <c r="CA79" s="10">
        <f t="shared" si="72"/>
        <v>-1.1125000000000163E-3</v>
      </c>
      <c r="CB79" s="10">
        <f t="shared" si="73"/>
        <v>-6.2499999999999774E-4</v>
      </c>
      <c r="CC79" s="10">
        <f t="shared" si="74"/>
        <v>1.8124999999999502E-3</v>
      </c>
      <c r="CD79" s="10">
        <f t="shared" si="75"/>
        <v>2.4999999999930633E-5</v>
      </c>
      <c r="CE79" s="10">
        <f t="shared" si="76"/>
        <v>8.3749999999991329E-4</v>
      </c>
      <c r="CF79" s="10">
        <f t="shared" si="77"/>
        <v>1.9750000000000045E-3</v>
      </c>
      <c r="CG79" s="10">
        <f t="shared" si="78"/>
        <v>-1.9249999999999988E-3</v>
      </c>
      <c r="CH79" s="10">
        <f t="shared" si="79"/>
        <v>-4.6250000000008784E-4</v>
      </c>
      <c r="CI79" s="10">
        <f t="shared" si="80"/>
        <v>5.7124999999999537E-3</v>
      </c>
      <c r="CJ79" s="10">
        <f t="shared" si="81"/>
        <v>-3.225E-3</v>
      </c>
      <c r="CK79" s="10">
        <f t="shared" si="82"/>
        <v>-1.2750000000000703E-3</v>
      </c>
      <c r="CL79" s="10">
        <f t="shared" si="83"/>
        <v>5.0624999999998805E-3</v>
      </c>
      <c r="CM79" s="10">
        <f t="shared" si="84"/>
        <v>-2.4125000000000171E-3</v>
      </c>
      <c r="CN79" s="10">
        <f t="shared" si="85"/>
        <v>-1.2750000000000703E-3</v>
      </c>
      <c r="CO79" s="10">
        <f t="shared" si="86"/>
        <v>1.3249999999999317E-3</v>
      </c>
      <c r="CP79" s="10">
        <f t="shared" si="87"/>
        <v>8.3749999999991329E-4</v>
      </c>
      <c r="CQ79" s="10">
        <f t="shared" si="88"/>
        <v>1.487499999999986E-3</v>
      </c>
      <c r="CR79" s="10">
        <f t="shared" si="89"/>
        <v>2.1374999999999142E-3</v>
      </c>
      <c r="CS79" s="10">
        <f t="shared" si="90"/>
        <v>2.9499999999998971E-3</v>
      </c>
      <c r="CT79" s="10">
        <f t="shared" si="91"/>
        <v>1.8749999999998488E-4</v>
      </c>
      <c r="CU79" s="10">
        <f t="shared" si="92"/>
        <v>2.9499999999998971E-3</v>
      </c>
      <c r="CV79" s="10">
        <f t="shared" si="93"/>
        <v>-9.5000000000010625E-4</v>
      </c>
      <c r="CW79" s="10">
        <f t="shared" si="94"/>
        <v>-1.2750000000000703E-3</v>
      </c>
      <c r="CX79" s="10">
        <f t="shared" si="95"/>
        <v>8.3749999999991329E-4</v>
      </c>
      <c r="CY79" s="10">
        <f t="shared" si="96"/>
        <v>1.3249999999999317E-3</v>
      </c>
      <c r="CZ79" s="10">
        <f t="shared" si="97"/>
        <v>1.487499999999986E-3</v>
      </c>
      <c r="DA79" s="10">
        <f t="shared" si="98"/>
        <v>1.8749999999998488E-4</v>
      </c>
      <c r="DB79" s="10">
        <f t="shared" si="99"/>
        <v>-1.3750000000012363E-4</v>
      </c>
      <c r="DC79" s="10">
        <f t="shared" si="100"/>
        <v>2.4999999999930633E-5</v>
      </c>
      <c r="DD79" s="10">
        <f t="shared" si="101"/>
        <v>-3.225E-3</v>
      </c>
      <c r="DE79" s="10">
        <f t="shared" si="102"/>
        <v>4.4124999999999521E-3</v>
      </c>
      <c r="DF79" s="10">
        <f t="shared" si="103"/>
        <v>3.1124999999999512E-3</v>
      </c>
      <c r="DG79" s="10">
        <f t="shared" si="104"/>
        <v>3.2750000000000053E-3</v>
      </c>
      <c r="DH79" s="10">
        <f t="shared" si="105"/>
        <v>1.8124999999999502E-3</v>
      </c>
      <c r="DI79" s="10">
        <f t="shared" si="106"/>
        <v>-1.3750000000012363E-4</v>
      </c>
      <c r="DJ79" s="10">
        <f t="shared" si="107"/>
        <v>1.3249999999999317E-3</v>
      </c>
      <c r="DK79" s="10">
        <f t="shared" si="108"/>
        <v>-1.3750000000012363E-4</v>
      </c>
      <c r="DL79" s="10">
        <f t="shared" si="109"/>
        <v>-2.9000000000000358E-3</v>
      </c>
      <c r="DM79" s="10">
        <f t="shared" si="110"/>
        <v>-1.6000000000000346E-3</v>
      </c>
      <c r="DN79" s="10">
        <f t="shared" si="111"/>
        <v>2.6249999999999329E-3</v>
      </c>
      <c r="DO79" s="10">
        <f t="shared" si="112"/>
        <v>-1.2750000000000703E-3</v>
      </c>
      <c r="DP79" s="10">
        <f t="shared" si="113"/>
        <v>1.1624999999998774E-3</v>
      </c>
      <c r="DQ79" s="10">
        <f t="shared" si="114"/>
        <v>2.4999999999930633E-5</v>
      </c>
      <c r="DR79" s="10">
        <f t="shared" si="115"/>
        <v>1.1624999999998774E-3</v>
      </c>
      <c r="DS79" s="10">
        <f t="shared" si="116"/>
        <v>2.9499999999998971E-3</v>
      </c>
      <c r="DT79" s="10">
        <f t="shared" si="117"/>
        <v>-3.225E-3</v>
      </c>
      <c r="DU79" s="10">
        <f t="shared" si="118"/>
        <v>-4.6250000000008784E-4</v>
      </c>
      <c r="DV79" s="10">
        <f t="shared" si="119"/>
        <v>-6.2499999999999774E-4</v>
      </c>
      <c r="DW79" s="10">
        <f t="shared" si="120"/>
        <v>-2.2500000000001074E-3</v>
      </c>
    </row>
    <row r="80" spans="2:127" x14ac:dyDescent="0.45">
      <c r="B80" s="1">
        <v>24</v>
      </c>
      <c r="C80" s="1">
        <v>1065</v>
      </c>
      <c r="D80" s="7">
        <f t="shared" si="121"/>
        <v>6.2417582417582418</v>
      </c>
      <c r="E80" s="1">
        <v>6.2309999999999999</v>
      </c>
      <c r="F80" s="1">
        <v>6.2469999999999999</v>
      </c>
      <c r="G80" s="1">
        <v>6.242</v>
      </c>
      <c r="H80" s="1">
        <v>6.2190000000000003</v>
      </c>
      <c r="I80" s="1">
        <v>6.2380000000000004</v>
      </c>
      <c r="J80" s="1">
        <v>6.2460000000000004</v>
      </c>
      <c r="K80" s="1">
        <v>6.2649999999999997</v>
      </c>
      <c r="L80" s="1">
        <v>6.2569999999999997</v>
      </c>
      <c r="M80" s="1">
        <v>6.2560000000000002</v>
      </c>
      <c r="N80" s="1">
        <v>6.2469999999999999</v>
      </c>
      <c r="O80" s="1">
        <v>6.234</v>
      </c>
      <c r="P80" s="1">
        <v>6.2350000000000003</v>
      </c>
      <c r="Q80" s="1">
        <v>6.2380000000000004</v>
      </c>
      <c r="R80" s="1">
        <v>6.2530000000000001</v>
      </c>
      <c r="S80" s="1">
        <v>6.242</v>
      </c>
      <c r="T80" s="1">
        <v>6.2489999999999997</v>
      </c>
      <c r="U80" s="1">
        <v>6.2530000000000001</v>
      </c>
      <c r="V80" s="1">
        <v>6.2279999999999998</v>
      </c>
      <c r="W80" s="1">
        <v>6.2370000000000001</v>
      </c>
      <c r="X80" s="1">
        <v>6.2750000000000004</v>
      </c>
      <c r="Y80" s="1">
        <v>6.22</v>
      </c>
      <c r="Z80" s="1">
        <v>6.2329999999999997</v>
      </c>
      <c r="AA80" s="1">
        <v>6.2690000000000001</v>
      </c>
      <c r="AB80" s="1">
        <v>6.226</v>
      </c>
      <c r="AC80" s="1">
        <v>6.2350000000000003</v>
      </c>
      <c r="AD80" s="1">
        <v>6.25</v>
      </c>
      <c r="AE80" s="1">
        <v>6.2469999999999999</v>
      </c>
      <c r="AF80" s="1">
        <v>6.2539999999999996</v>
      </c>
      <c r="AG80" s="1">
        <v>6.2560000000000002</v>
      </c>
      <c r="AH80" s="1">
        <v>6.26</v>
      </c>
      <c r="AI80" s="1">
        <v>6.2450000000000001</v>
      </c>
      <c r="AJ80" s="1">
        <v>6.2619999999999996</v>
      </c>
      <c r="AK80" s="1">
        <v>6.234</v>
      </c>
      <c r="AL80" s="1">
        <v>6.2350000000000003</v>
      </c>
      <c r="AM80" s="1">
        <v>6.2469999999999999</v>
      </c>
      <c r="AN80" s="1">
        <v>6.2519999999999998</v>
      </c>
      <c r="AO80" s="1">
        <v>6.25</v>
      </c>
      <c r="AP80" s="1">
        <v>6.2430000000000003</v>
      </c>
      <c r="AQ80" s="1">
        <v>6.2389999999999999</v>
      </c>
      <c r="AR80" s="1">
        <v>6.242</v>
      </c>
      <c r="AS80" s="1">
        <v>6.2220000000000004</v>
      </c>
      <c r="AT80" s="1">
        <v>6.2679999999999998</v>
      </c>
      <c r="AU80" s="1">
        <v>6.2610000000000001</v>
      </c>
      <c r="AV80" s="1">
        <v>6.2519999999999998</v>
      </c>
      <c r="AW80" s="1">
        <v>6.2539999999999996</v>
      </c>
      <c r="AX80" s="1">
        <v>6.2389999999999999</v>
      </c>
      <c r="AY80" s="1">
        <v>6.2469999999999999</v>
      </c>
      <c r="AZ80" s="1">
        <v>6.2409999999999997</v>
      </c>
      <c r="BA80" s="1">
        <v>6.2240000000000002</v>
      </c>
      <c r="BB80" s="1">
        <v>6.2309999999999999</v>
      </c>
      <c r="BC80" s="1">
        <v>6.26</v>
      </c>
      <c r="BD80" s="1">
        <v>6.234</v>
      </c>
      <c r="BE80" s="1">
        <v>6.25</v>
      </c>
      <c r="BF80" s="1">
        <v>6.2450000000000001</v>
      </c>
      <c r="BG80" s="1">
        <v>6.2489999999999997</v>
      </c>
      <c r="BH80" s="1">
        <v>6.2539999999999996</v>
      </c>
      <c r="BI80" s="1">
        <v>6.2229999999999999</v>
      </c>
      <c r="BJ80" s="1">
        <v>6.2380000000000004</v>
      </c>
      <c r="BK80" s="1">
        <v>6.2380000000000004</v>
      </c>
      <c r="BL80" s="1">
        <v>6.2309999999999999</v>
      </c>
      <c r="BN80" s="9">
        <v>24</v>
      </c>
      <c r="BO80" s="9">
        <v>1065</v>
      </c>
      <c r="BP80" s="10">
        <f t="shared" si="61"/>
        <v>-1.7235915492957998E-3</v>
      </c>
      <c r="BQ80" s="10">
        <f t="shared" si="62"/>
        <v>8.3978873239434326E-4</v>
      </c>
      <c r="BR80" s="10">
        <f t="shared" si="63"/>
        <v>3.8732394366191356E-5</v>
      </c>
      <c r="BS80" s="10">
        <f t="shared" si="64"/>
        <v>-3.6461267605633358E-3</v>
      </c>
      <c r="BT80" s="10">
        <f t="shared" si="65"/>
        <v>-6.0211267605627327E-4</v>
      </c>
      <c r="BU80" s="10">
        <f t="shared" si="66"/>
        <v>6.7957746478879827E-4</v>
      </c>
      <c r="BV80" s="10">
        <f t="shared" si="67"/>
        <v>3.7235915492957188E-3</v>
      </c>
      <c r="BW80" s="10">
        <f t="shared" si="68"/>
        <v>2.4419014084506472E-3</v>
      </c>
      <c r="BX80" s="10">
        <f t="shared" si="69"/>
        <v>2.2816901408451024E-3</v>
      </c>
      <c r="BY80" s="10">
        <f t="shared" si="70"/>
        <v>8.3978873239434326E-4</v>
      </c>
      <c r="BZ80" s="10">
        <f t="shared" si="71"/>
        <v>-1.2429577464788803E-3</v>
      </c>
      <c r="CA80" s="10">
        <f t="shared" si="72"/>
        <v>-1.0827464788731929E-3</v>
      </c>
      <c r="CB80" s="10">
        <f t="shared" si="73"/>
        <v>-6.0211267605627327E-4</v>
      </c>
      <c r="CC80" s="10">
        <f t="shared" si="74"/>
        <v>1.8010563380281826E-3</v>
      </c>
      <c r="CD80" s="10">
        <f t="shared" si="75"/>
        <v>3.8732394366191356E-5</v>
      </c>
      <c r="CE80" s="10">
        <f t="shared" si="76"/>
        <v>1.1602112676055757E-3</v>
      </c>
      <c r="CF80" s="10">
        <f t="shared" si="77"/>
        <v>1.8010563380281826E-3</v>
      </c>
      <c r="CG80" s="10">
        <f t="shared" si="78"/>
        <v>-2.2042253521127194E-3</v>
      </c>
      <c r="CH80" s="10">
        <f t="shared" si="79"/>
        <v>-7.6232394366196061E-4</v>
      </c>
      <c r="CI80" s="10">
        <f t="shared" si="80"/>
        <v>5.3257042253521646E-3</v>
      </c>
      <c r="CJ80" s="10">
        <f t="shared" si="81"/>
        <v>-3.4859154929577909E-3</v>
      </c>
      <c r="CK80" s="10">
        <f t="shared" si="82"/>
        <v>-1.4031690140845676E-3</v>
      </c>
      <c r="CL80" s="10">
        <f t="shared" si="83"/>
        <v>4.3644366197183255E-3</v>
      </c>
      <c r="CM80" s="10">
        <f t="shared" si="84"/>
        <v>-2.5246478873239518E-3</v>
      </c>
      <c r="CN80" s="10">
        <f t="shared" si="85"/>
        <v>-1.0827464788731929E-3</v>
      </c>
      <c r="CO80" s="10">
        <f t="shared" si="86"/>
        <v>1.3204225352112628E-3</v>
      </c>
      <c r="CP80" s="10">
        <f t="shared" si="87"/>
        <v>8.3978873239434326E-4</v>
      </c>
      <c r="CQ80" s="10">
        <f t="shared" si="88"/>
        <v>1.9612676056337277E-3</v>
      </c>
      <c r="CR80" s="10">
        <f t="shared" si="89"/>
        <v>2.2816901408451024E-3</v>
      </c>
      <c r="CS80" s="10">
        <f t="shared" si="90"/>
        <v>2.9225352112675668E-3</v>
      </c>
      <c r="CT80" s="10">
        <f t="shared" si="91"/>
        <v>5.1936619718311093E-4</v>
      </c>
      <c r="CU80" s="10">
        <f t="shared" si="92"/>
        <v>3.2429577464787992E-3</v>
      </c>
      <c r="CV80" s="10">
        <f t="shared" si="93"/>
        <v>-1.2429577464788803E-3</v>
      </c>
      <c r="CW80" s="10">
        <f t="shared" si="94"/>
        <v>-1.0827464788731929E-3</v>
      </c>
      <c r="CX80" s="10">
        <f t="shared" si="95"/>
        <v>8.3978873239434326E-4</v>
      </c>
      <c r="CY80" s="10">
        <f t="shared" si="96"/>
        <v>1.6408450704224952E-3</v>
      </c>
      <c r="CZ80" s="10">
        <f t="shared" si="97"/>
        <v>1.3204225352112628E-3</v>
      </c>
      <c r="DA80" s="10">
        <f t="shared" si="98"/>
        <v>1.9894366197187866E-4</v>
      </c>
      <c r="DB80" s="10">
        <f t="shared" si="99"/>
        <v>-4.4190140845072829E-4</v>
      </c>
      <c r="DC80" s="10">
        <f t="shared" si="100"/>
        <v>3.8732394366191356E-5</v>
      </c>
      <c r="DD80" s="10">
        <f t="shared" si="101"/>
        <v>-3.1654929577464162E-3</v>
      </c>
      <c r="DE80" s="10">
        <f t="shared" si="102"/>
        <v>4.2042253521126383E-3</v>
      </c>
      <c r="DF80" s="10">
        <f t="shared" si="103"/>
        <v>3.0827464788732539E-3</v>
      </c>
      <c r="DG80" s="10">
        <f t="shared" si="104"/>
        <v>1.6408450704224952E-3</v>
      </c>
      <c r="DH80" s="10">
        <f t="shared" si="105"/>
        <v>1.9612676056337277E-3</v>
      </c>
      <c r="DI80" s="10">
        <f t="shared" si="106"/>
        <v>-4.4190140845072829E-4</v>
      </c>
      <c r="DJ80" s="10">
        <f t="shared" si="107"/>
        <v>8.3978873239434326E-4</v>
      </c>
      <c r="DK80" s="10">
        <f t="shared" si="108"/>
        <v>-1.2147887323949595E-4</v>
      </c>
      <c r="DL80" s="10">
        <f t="shared" si="109"/>
        <v>-2.8450704225351842E-3</v>
      </c>
      <c r="DM80" s="10">
        <f t="shared" si="110"/>
        <v>-1.7235915492957998E-3</v>
      </c>
      <c r="DN80" s="10">
        <f t="shared" si="111"/>
        <v>2.9225352112675668E-3</v>
      </c>
      <c r="DO80" s="10">
        <f t="shared" si="112"/>
        <v>-1.2429577464788803E-3</v>
      </c>
      <c r="DP80" s="10">
        <f t="shared" si="113"/>
        <v>1.3204225352112628E-3</v>
      </c>
      <c r="DQ80" s="10">
        <f t="shared" si="114"/>
        <v>5.1936619718311093E-4</v>
      </c>
      <c r="DR80" s="10">
        <f t="shared" si="115"/>
        <v>1.1602112676055757E-3</v>
      </c>
      <c r="DS80" s="10">
        <f t="shared" si="116"/>
        <v>1.9612676056337277E-3</v>
      </c>
      <c r="DT80" s="10">
        <f t="shared" si="117"/>
        <v>-3.0052816901408714E-3</v>
      </c>
      <c r="DU80" s="10">
        <f t="shared" si="118"/>
        <v>-6.0211267605627327E-4</v>
      </c>
      <c r="DV80" s="10">
        <f t="shared" si="119"/>
        <v>-6.0211267605627327E-4</v>
      </c>
      <c r="DW80" s="10">
        <f t="shared" si="120"/>
        <v>-1.7235915492957998E-3</v>
      </c>
    </row>
    <row r="81" spans="2:127" x14ac:dyDescent="0.45">
      <c r="B81" s="1">
        <v>24</v>
      </c>
      <c r="C81" s="1">
        <v>1080</v>
      </c>
      <c r="D81" s="7">
        <f t="shared" si="121"/>
        <v>6.3296703296703294</v>
      </c>
      <c r="E81" s="1">
        <v>6.319</v>
      </c>
      <c r="F81" s="1">
        <v>6.3339999999999996</v>
      </c>
      <c r="G81" s="1">
        <v>6.3280000000000003</v>
      </c>
      <c r="H81" s="1">
        <v>6.3090000000000002</v>
      </c>
      <c r="I81" s="1">
        <v>6.3250000000000002</v>
      </c>
      <c r="J81" s="1">
        <v>6.3360000000000003</v>
      </c>
      <c r="K81" s="1">
        <v>6.3529999999999998</v>
      </c>
      <c r="L81" s="1">
        <v>6.3419999999999996</v>
      </c>
      <c r="M81" s="1">
        <v>6.3419999999999996</v>
      </c>
      <c r="N81" s="1">
        <v>6.3360000000000003</v>
      </c>
      <c r="O81" s="1">
        <v>6.3250000000000002</v>
      </c>
      <c r="P81" s="1">
        <v>6.3230000000000004</v>
      </c>
      <c r="Q81" s="1">
        <v>6.3259999999999996</v>
      </c>
      <c r="R81" s="1">
        <v>6.3380000000000001</v>
      </c>
      <c r="S81" s="1">
        <v>6.3319999999999999</v>
      </c>
      <c r="T81" s="1">
        <v>6.3369999999999997</v>
      </c>
      <c r="U81" s="1">
        <v>6.3380000000000001</v>
      </c>
      <c r="V81" s="1">
        <v>6.3179999999999996</v>
      </c>
      <c r="W81" s="1">
        <v>6.3230000000000004</v>
      </c>
      <c r="X81" s="1">
        <v>6.3609999999999998</v>
      </c>
      <c r="Y81" s="1">
        <v>6.3140000000000001</v>
      </c>
      <c r="Z81" s="1">
        <v>6.3209999999999997</v>
      </c>
      <c r="AA81" s="1">
        <v>6.3550000000000004</v>
      </c>
      <c r="AB81" s="1">
        <v>6.3150000000000004</v>
      </c>
      <c r="AC81" s="1">
        <v>6.3230000000000004</v>
      </c>
      <c r="AD81" s="1">
        <v>6.3380000000000001</v>
      </c>
      <c r="AE81" s="1">
        <v>6.3339999999999996</v>
      </c>
      <c r="AF81" s="1">
        <v>6.3440000000000003</v>
      </c>
      <c r="AG81" s="1">
        <v>6.3440000000000003</v>
      </c>
      <c r="AH81" s="1">
        <v>6.3460000000000001</v>
      </c>
      <c r="AI81" s="1">
        <v>6.3339999999999996</v>
      </c>
      <c r="AJ81" s="1">
        <v>6.3449999999999998</v>
      </c>
      <c r="AK81" s="1">
        <v>6.3220000000000001</v>
      </c>
      <c r="AL81" s="1">
        <v>6.3230000000000004</v>
      </c>
      <c r="AM81" s="1">
        <v>6.3339999999999996</v>
      </c>
      <c r="AN81" s="1">
        <v>6.3380000000000001</v>
      </c>
      <c r="AO81" s="1">
        <v>6.3360000000000003</v>
      </c>
      <c r="AP81" s="1">
        <v>6.3319999999999999</v>
      </c>
      <c r="AQ81" s="1">
        <v>6.3289999999999997</v>
      </c>
      <c r="AR81" s="1">
        <v>6.33</v>
      </c>
      <c r="AS81" s="1">
        <v>6.3109999999999999</v>
      </c>
      <c r="AT81" s="1">
        <v>6.3570000000000002</v>
      </c>
      <c r="AU81" s="1">
        <v>6.3490000000000002</v>
      </c>
      <c r="AV81" s="1">
        <v>6.3460000000000001</v>
      </c>
      <c r="AW81" s="1">
        <v>6.3410000000000002</v>
      </c>
      <c r="AX81" s="1">
        <v>6.3250000000000002</v>
      </c>
      <c r="AY81" s="1">
        <v>6.3330000000000002</v>
      </c>
      <c r="AZ81" s="1">
        <v>6.3289999999999997</v>
      </c>
      <c r="BA81" s="1">
        <v>6.3129999999999997</v>
      </c>
      <c r="BB81" s="1">
        <v>6.319</v>
      </c>
      <c r="BC81" s="1">
        <v>6.3460000000000001</v>
      </c>
      <c r="BD81" s="1">
        <v>6.319</v>
      </c>
      <c r="BE81" s="1">
        <v>6.3369999999999997</v>
      </c>
      <c r="BF81" s="1">
        <v>6.3319999999999999</v>
      </c>
      <c r="BG81" s="1">
        <v>6.3339999999999996</v>
      </c>
      <c r="BH81" s="1">
        <v>6.3419999999999996</v>
      </c>
      <c r="BI81" s="1">
        <v>6.3129999999999997</v>
      </c>
      <c r="BJ81" s="1">
        <v>6.3259999999999996</v>
      </c>
      <c r="BK81" s="1">
        <v>6.3319999999999999</v>
      </c>
      <c r="BL81" s="1">
        <v>6.3179999999999996</v>
      </c>
      <c r="BN81" s="9">
        <v>24</v>
      </c>
      <c r="BO81" s="9">
        <v>1080</v>
      </c>
      <c r="BP81" s="10">
        <f t="shared" si="61"/>
        <v>-1.6857638888888521E-3</v>
      </c>
      <c r="BQ81" s="10">
        <f t="shared" si="62"/>
        <v>6.8402777777776421E-4</v>
      </c>
      <c r="BR81" s="10">
        <f t="shared" si="63"/>
        <v>-2.6388888888879817E-4</v>
      </c>
      <c r="BS81" s="10">
        <f t="shared" si="64"/>
        <v>-3.2656249999999296E-3</v>
      </c>
      <c r="BT81" s="10">
        <f t="shared" si="65"/>
        <v>-7.3784722222214945E-4</v>
      </c>
      <c r="BU81" s="10">
        <f t="shared" si="66"/>
        <v>1.000000000000092E-3</v>
      </c>
      <c r="BV81" s="10">
        <f t="shared" si="67"/>
        <v>3.6857638888888955E-3</v>
      </c>
      <c r="BW81" s="10">
        <f t="shared" si="68"/>
        <v>1.9479166666666542E-3</v>
      </c>
      <c r="BX81" s="10">
        <f t="shared" si="69"/>
        <v>1.9479166666666542E-3</v>
      </c>
      <c r="BY81" s="10">
        <f t="shared" si="70"/>
        <v>1.000000000000092E-3</v>
      </c>
      <c r="BZ81" s="10">
        <f t="shared" si="71"/>
        <v>-7.3784722222214945E-4</v>
      </c>
      <c r="CA81" s="10">
        <f t="shared" si="72"/>
        <v>-1.0538194444443369E-3</v>
      </c>
      <c r="CB81" s="10">
        <f t="shared" si="73"/>
        <v>-5.7986111111112593E-4</v>
      </c>
      <c r="CC81" s="10">
        <f t="shared" si="74"/>
        <v>1.3159722222222793E-3</v>
      </c>
      <c r="CD81" s="10">
        <f t="shared" si="75"/>
        <v>3.6805555555557669E-4</v>
      </c>
      <c r="CE81" s="10">
        <f t="shared" si="76"/>
        <v>1.1579861111111155E-3</v>
      </c>
      <c r="CF81" s="10">
        <f t="shared" si="77"/>
        <v>1.3159722222222793E-3</v>
      </c>
      <c r="CG81" s="10">
        <f t="shared" si="78"/>
        <v>-1.8437500000000159E-3</v>
      </c>
      <c r="CH81" s="10">
        <f t="shared" si="79"/>
        <v>-1.0538194444443369E-3</v>
      </c>
      <c r="CI81" s="10">
        <f t="shared" si="80"/>
        <v>4.9496527777777855E-3</v>
      </c>
      <c r="CJ81" s="10">
        <f t="shared" si="81"/>
        <v>-2.4756944444443907E-3</v>
      </c>
      <c r="CK81" s="10">
        <f t="shared" si="82"/>
        <v>-1.3697916666666648E-3</v>
      </c>
      <c r="CL81" s="10">
        <f t="shared" si="83"/>
        <v>4.0017361111112232E-3</v>
      </c>
      <c r="CM81" s="10">
        <f t="shared" si="84"/>
        <v>-2.3177083333332268E-3</v>
      </c>
      <c r="CN81" s="10">
        <f t="shared" si="85"/>
        <v>-1.0538194444443369E-3</v>
      </c>
      <c r="CO81" s="10">
        <f t="shared" si="86"/>
        <v>1.3159722222222793E-3</v>
      </c>
      <c r="CP81" s="10">
        <f t="shared" si="87"/>
        <v>6.8402777777776421E-4</v>
      </c>
      <c r="CQ81" s="10">
        <f t="shared" si="88"/>
        <v>2.2638888888889819E-3</v>
      </c>
      <c r="CR81" s="10">
        <f t="shared" si="89"/>
        <v>2.2638888888889819E-3</v>
      </c>
      <c r="CS81" s="10">
        <f t="shared" si="90"/>
        <v>2.5798611111111694E-3</v>
      </c>
      <c r="CT81" s="10">
        <f t="shared" si="91"/>
        <v>6.8402777777776421E-4</v>
      </c>
      <c r="CU81" s="10">
        <f t="shared" si="92"/>
        <v>2.4218750000000056E-3</v>
      </c>
      <c r="CV81" s="10">
        <f t="shared" si="93"/>
        <v>-1.2118055555555007E-3</v>
      </c>
      <c r="CW81" s="10">
        <f t="shared" si="94"/>
        <v>-1.0538194444443369E-3</v>
      </c>
      <c r="CX81" s="10">
        <f t="shared" si="95"/>
        <v>6.8402777777776421E-4</v>
      </c>
      <c r="CY81" s="10">
        <f t="shared" si="96"/>
        <v>1.3159722222222793E-3</v>
      </c>
      <c r="CZ81" s="10">
        <f t="shared" si="97"/>
        <v>1.000000000000092E-3</v>
      </c>
      <c r="DA81" s="10">
        <f t="shared" si="98"/>
        <v>3.6805555555557669E-4</v>
      </c>
      <c r="DB81" s="10">
        <f t="shared" si="99"/>
        <v>-1.059027777777746E-4</v>
      </c>
      <c r="DC81" s="10">
        <f t="shared" si="100"/>
        <v>5.2083333333389282E-5</v>
      </c>
      <c r="DD81" s="10">
        <f t="shared" si="101"/>
        <v>-2.949652777777742E-3</v>
      </c>
      <c r="DE81" s="10">
        <f t="shared" si="102"/>
        <v>4.3177083333334112E-3</v>
      </c>
      <c r="DF81" s="10">
        <f t="shared" si="103"/>
        <v>3.0538194444445208E-3</v>
      </c>
      <c r="DG81" s="10">
        <f t="shared" si="104"/>
        <v>2.5798611111111694E-3</v>
      </c>
      <c r="DH81" s="10">
        <f t="shared" si="105"/>
        <v>1.7899305555556307E-3</v>
      </c>
      <c r="DI81" s="10">
        <f t="shared" si="106"/>
        <v>-7.3784722222214945E-4</v>
      </c>
      <c r="DJ81" s="10">
        <f t="shared" si="107"/>
        <v>5.2604166666674057E-4</v>
      </c>
      <c r="DK81" s="10">
        <f t="shared" si="108"/>
        <v>-1.059027777777746E-4</v>
      </c>
      <c r="DL81" s="10">
        <f t="shared" si="109"/>
        <v>-2.6336805555555549E-3</v>
      </c>
      <c r="DM81" s="10">
        <f t="shared" si="110"/>
        <v>-1.6857638888888521E-3</v>
      </c>
      <c r="DN81" s="10">
        <f t="shared" si="111"/>
        <v>2.5798611111111694E-3</v>
      </c>
      <c r="DO81" s="10">
        <f t="shared" si="112"/>
        <v>-1.6857638888888521E-3</v>
      </c>
      <c r="DP81" s="10">
        <f t="shared" si="113"/>
        <v>1.1579861111111155E-3</v>
      </c>
      <c r="DQ81" s="10">
        <f t="shared" si="114"/>
        <v>3.6805555555557669E-4</v>
      </c>
      <c r="DR81" s="10">
        <f t="shared" si="115"/>
        <v>6.8402777777776421E-4</v>
      </c>
      <c r="DS81" s="10">
        <f t="shared" si="116"/>
        <v>1.9479166666666542E-3</v>
      </c>
      <c r="DT81" s="10">
        <f t="shared" si="117"/>
        <v>-2.6336805555555549E-3</v>
      </c>
      <c r="DU81" s="10">
        <f t="shared" si="118"/>
        <v>-5.7986111111112593E-4</v>
      </c>
      <c r="DV81" s="10">
        <f t="shared" si="119"/>
        <v>3.6805555555557669E-4</v>
      </c>
      <c r="DW81" s="10">
        <f t="shared" si="120"/>
        <v>-1.8437500000000159E-3</v>
      </c>
    </row>
    <row r="82" spans="2:127" x14ac:dyDescent="0.45">
      <c r="B82" s="1">
        <v>24</v>
      </c>
      <c r="C82" s="1">
        <v>1095</v>
      </c>
      <c r="D82" s="7">
        <f t="shared" si="121"/>
        <v>6.4175824175824179</v>
      </c>
      <c r="E82" s="1">
        <v>6.4080000000000004</v>
      </c>
      <c r="F82" s="1">
        <v>6.4219999999999997</v>
      </c>
      <c r="G82" s="1">
        <v>6.4160000000000004</v>
      </c>
      <c r="H82" s="1">
        <v>6.3970000000000002</v>
      </c>
      <c r="I82" s="1">
        <v>6.4139999999999997</v>
      </c>
      <c r="J82" s="1">
        <v>6.4249999999999998</v>
      </c>
      <c r="K82" s="1">
        <v>6.4409999999999998</v>
      </c>
      <c r="L82" s="1">
        <v>6.4320000000000004</v>
      </c>
      <c r="M82" s="1">
        <v>6.4279999999999999</v>
      </c>
      <c r="N82" s="1">
        <v>6.4210000000000003</v>
      </c>
      <c r="O82" s="1">
        <v>6.4130000000000003</v>
      </c>
      <c r="P82" s="1">
        <v>6.41</v>
      </c>
      <c r="Q82" s="1">
        <v>6.4119999999999999</v>
      </c>
      <c r="R82" s="1">
        <v>6.4279999999999999</v>
      </c>
      <c r="S82" s="1">
        <v>6.4180000000000001</v>
      </c>
      <c r="T82" s="1">
        <v>6.4269999999999996</v>
      </c>
      <c r="U82" s="1">
        <v>6.4269999999999996</v>
      </c>
      <c r="V82" s="1">
        <v>6.4059999999999997</v>
      </c>
      <c r="W82" s="1">
        <v>6.4130000000000003</v>
      </c>
      <c r="X82" s="1">
        <v>6.4480000000000004</v>
      </c>
      <c r="Y82" s="1">
        <v>6.4029999999999996</v>
      </c>
      <c r="Z82" s="1">
        <v>6.4080000000000004</v>
      </c>
      <c r="AA82" s="1">
        <v>6.4390000000000001</v>
      </c>
      <c r="AB82" s="1">
        <v>6.4059999999999997</v>
      </c>
      <c r="AC82" s="1">
        <v>6.4119999999999999</v>
      </c>
      <c r="AD82" s="1">
        <v>6.4269999999999996</v>
      </c>
      <c r="AE82" s="1">
        <v>6.4240000000000004</v>
      </c>
      <c r="AF82" s="1">
        <v>6.4320000000000004</v>
      </c>
      <c r="AG82" s="1">
        <v>6.431</v>
      </c>
      <c r="AH82" s="1">
        <v>6.4329999999999998</v>
      </c>
      <c r="AI82" s="1">
        <v>6.4240000000000004</v>
      </c>
      <c r="AJ82" s="1">
        <v>6.4329999999999998</v>
      </c>
      <c r="AK82" s="1">
        <v>6.41</v>
      </c>
      <c r="AL82" s="1">
        <v>6.4119999999999999</v>
      </c>
      <c r="AM82" s="1">
        <v>6.4219999999999997</v>
      </c>
      <c r="AN82" s="1">
        <v>6.4269999999999996</v>
      </c>
      <c r="AO82" s="1">
        <v>6.4249999999999998</v>
      </c>
      <c r="AP82" s="1">
        <v>6.42</v>
      </c>
      <c r="AQ82" s="1">
        <v>6.4139999999999997</v>
      </c>
      <c r="AR82" s="1">
        <v>6.4180000000000001</v>
      </c>
      <c r="AS82" s="1">
        <v>6.3970000000000002</v>
      </c>
      <c r="AT82" s="1">
        <v>6.4429999999999996</v>
      </c>
      <c r="AU82" s="1">
        <v>6.4370000000000003</v>
      </c>
      <c r="AV82" s="1">
        <v>6.431</v>
      </c>
      <c r="AW82" s="1">
        <v>6.4279999999999999</v>
      </c>
      <c r="AX82" s="1">
        <v>6.4130000000000003</v>
      </c>
      <c r="AY82" s="1">
        <v>6.42</v>
      </c>
      <c r="AZ82" s="1">
        <v>6.4160000000000004</v>
      </c>
      <c r="BA82" s="1">
        <v>6.4020000000000001</v>
      </c>
      <c r="BB82" s="1">
        <v>6.4050000000000002</v>
      </c>
      <c r="BC82" s="1">
        <v>6.4349999999999996</v>
      </c>
      <c r="BD82" s="1">
        <v>6.4059999999999997</v>
      </c>
      <c r="BE82" s="1">
        <v>6.4249999999999998</v>
      </c>
      <c r="BF82" s="1">
        <v>6.42</v>
      </c>
      <c r="BG82" s="1">
        <v>6.4240000000000004</v>
      </c>
      <c r="BH82" s="1">
        <v>6.4290000000000003</v>
      </c>
      <c r="BI82" s="1">
        <v>6.399</v>
      </c>
      <c r="BJ82" s="1">
        <v>6.4139999999999997</v>
      </c>
      <c r="BK82" s="1">
        <v>6.41</v>
      </c>
      <c r="BL82" s="1">
        <v>6.4059999999999997</v>
      </c>
      <c r="BN82" s="9">
        <v>24</v>
      </c>
      <c r="BO82" s="9">
        <v>1095</v>
      </c>
      <c r="BP82" s="10">
        <f t="shared" si="61"/>
        <v>-1.493150684931496E-3</v>
      </c>
      <c r="BQ82" s="10">
        <f t="shared" si="62"/>
        <v>6.8835616438347059E-4</v>
      </c>
      <c r="BR82" s="10">
        <f t="shared" si="63"/>
        <v>-2.4657534246574149E-4</v>
      </c>
      <c r="BS82" s="10">
        <f t="shared" si="64"/>
        <v>-3.2071917808219256E-3</v>
      </c>
      <c r="BT82" s="10">
        <f t="shared" si="65"/>
        <v>-5.5821917808228393E-4</v>
      </c>
      <c r="BU82" s="10">
        <f t="shared" si="66"/>
        <v>1.1558219178081459E-3</v>
      </c>
      <c r="BV82" s="10">
        <f t="shared" si="67"/>
        <v>3.648972602739655E-3</v>
      </c>
      <c r="BW82" s="10">
        <f t="shared" si="68"/>
        <v>2.2465753424657673E-3</v>
      </c>
      <c r="BX82" s="10">
        <f t="shared" si="69"/>
        <v>1.623287671232821E-3</v>
      </c>
      <c r="BY82" s="10">
        <f t="shared" si="70"/>
        <v>5.3253424657533782E-4</v>
      </c>
      <c r="BZ82" s="10">
        <f t="shared" si="71"/>
        <v>-7.140410958904167E-4</v>
      </c>
      <c r="CA82" s="10">
        <f t="shared" si="72"/>
        <v>-1.1815068493150919E-3</v>
      </c>
      <c r="CB82" s="10">
        <f t="shared" si="73"/>
        <v>-8.6986301369868793E-4</v>
      </c>
      <c r="CC82" s="10">
        <f t="shared" si="74"/>
        <v>1.623287671232821E-3</v>
      </c>
      <c r="CD82" s="10">
        <f t="shared" si="75"/>
        <v>6.5068493150662553E-5</v>
      </c>
      <c r="CE82" s="10">
        <f t="shared" si="76"/>
        <v>1.4674657534245498E-3</v>
      </c>
      <c r="CF82" s="10">
        <f t="shared" si="77"/>
        <v>1.4674657534245498E-3</v>
      </c>
      <c r="CG82" s="10">
        <f t="shared" si="78"/>
        <v>-1.8047945205480385E-3</v>
      </c>
      <c r="CH82" s="10">
        <f t="shared" si="79"/>
        <v>-7.140410958904167E-4</v>
      </c>
      <c r="CI82" s="10">
        <f t="shared" si="80"/>
        <v>4.7397260273972768E-3</v>
      </c>
      <c r="CJ82" s="10">
        <f t="shared" si="81"/>
        <v>-2.2722602739727138E-3</v>
      </c>
      <c r="CK82" s="10">
        <f t="shared" si="82"/>
        <v>-1.493150684931496E-3</v>
      </c>
      <c r="CL82" s="10">
        <f t="shared" si="83"/>
        <v>3.3373287671232509E-3</v>
      </c>
      <c r="CM82" s="10">
        <f t="shared" si="84"/>
        <v>-1.8047945205480385E-3</v>
      </c>
      <c r="CN82" s="10">
        <f t="shared" si="85"/>
        <v>-8.6986301369868793E-4</v>
      </c>
      <c r="CO82" s="10">
        <f t="shared" si="86"/>
        <v>1.4674657534245498E-3</v>
      </c>
      <c r="CP82" s="10">
        <f t="shared" si="87"/>
        <v>1.000000000000013E-3</v>
      </c>
      <c r="CQ82" s="10">
        <f t="shared" si="88"/>
        <v>2.2465753424657673E-3</v>
      </c>
      <c r="CR82" s="10">
        <f t="shared" si="89"/>
        <v>2.0907534246574961E-3</v>
      </c>
      <c r="CS82" s="10">
        <f t="shared" si="90"/>
        <v>2.4023972602739002E-3</v>
      </c>
      <c r="CT82" s="10">
        <f t="shared" si="91"/>
        <v>1.000000000000013E-3</v>
      </c>
      <c r="CU82" s="10">
        <f t="shared" si="92"/>
        <v>2.4023972602739002E-3</v>
      </c>
      <c r="CV82" s="10">
        <f t="shared" si="93"/>
        <v>-1.1815068493150919E-3</v>
      </c>
      <c r="CW82" s="10">
        <f t="shared" si="94"/>
        <v>-8.6986301369868793E-4</v>
      </c>
      <c r="CX82" s="10">
        <f t="shared" si="95"/>
        <v>6.8835616438347059E-4</v>
      </c>
      <c r="CY82" s="10">
        <f t="shared" si="96"/>
        <v>1.4674657534245498E-3</v>
      </c>
      <c r="CZ82" s="10">
        <f t="shared" si="97"/>
        <v>1.1558219178081459E-3</v>
      </c>
      <c r="DA82" s="10">
        <f t="shared" si="98"/>
        <v>3.767123287670666E-4</v>
      </c>
      <c r="DB82" s="10">
        <f t="shared" si="99"/>
        <v>-5.5821917808228393E-4</v>
      </c>
      <c r="DC82" s="10">
        <f t="shared" si="100"/>
        <v>6.5068493150662553E-5</v>
      </c>
      <c r="DD82" s="10">
        <f t="shared" si="101"/>
        <v>-3.2071917808219256E-3</v>
      </c>
      <c r="DE82" s="10">
        <f t="shared" si="102"/>
        <v>3.9606164383560591E-3</v>
      </c>
      <c r="DF82" s="10">
        <f t="shared" si="103"/>
        <v>3.0256849315068468E-3</v>
      </c>
      <c r="DG82" s="10">
        <f t="shared" si="104"/>
        <v>2.0907534246574961E-3</v>
      </c>
      <c r="DH82" s="10">
        <f t="shared" si="105"/>
        <v>1.623287671232821E-3</v>
      </c>
      <c r="DI82" s="10">
        <f t="shared" si="106"/>
        <v>-7.140410958904167E-4</v>
      </c>
      <c r="DJ82" s="10">
        <f t="shared" si="107"/>
        <v>3.767123287670666E-4</v>
      </c>
      <c r="DK82" s="10">
        <f t="shared" si="108"/>
        <v>-2.4657534246574149E-4</v>
      </c>
      <c r="DL82" s="10">
        <f t="shared" si="109"/>
        <v>-2.4280821917808462E-3</v>
      </c>
      <c r="DM82" s="10">
        <f t="shared" si="110"/>
        <v>-1.9606164383561713E-3</v>
      </c>
      <c r="DN82" s="10">
        <f t="shared" si="111"/>
        <v>2.7140410958903043E-3</v>
      </c>
      <c r="DO82" s="10">
        <f t="shared" si="112"/>
        <v>-1.8047945205480385E-3</v>
      </c>
      <c r="DP82" s="10">
        <f t="shared" si="113"/>
        <v>1.1558219178081459E-3</v>
      </c>
      <c r="DQ82" s="10">
        <f t="shared" si="114"/>
        <v>3.767123287670666E-4</v>
      </c>
      <c r="DR82" s="10">
        <f t="shared" si="115"/>
        <v>1.000000000000013E-3</v>
      </c>
      <c r="DS82" s="10">
        <f t="shared" si="116"/>
        <v>1.7791095890410922E-3</v>
      </c>
      <c r="DT82" s="10">
        <f t="shared" si="117"/>
        <v>-2.8955479452055215E-3</v>
      </c>
      <c r="DU82" s="10">
        <f t="shared" si="118"/>
        <v>-5.5821917808228393E-4</v>
      </c>
      <c r="DV82" s="10">
        <f t="shared" si="119"/>
        <v>-1.1815068493150919E-3</v>
      </c>
      <c r="DW82" s="10">
        <f t="shared" si="120"/>
        <v>-1.8047945205480385E-3</v>
      </c>
    </row>
    <row r="83" spans="2:127" x14ac:dyDescent="0.45">
      <c r="B83" s="1">
        <v>24</v>
      </c>
      <c r="C83" s="1">
        <v>1110</v>
      </c>
      <c r="D83" s="7">
        <f t="shared" si="121"/>
        <v>6.5054945054945055</v>
      </c>
      <c r="E83" s="1">
        <v>6.4960000000000004</v>
      </c>
      <c r="F83" s="1">
        <v>6.5090000000000003</v>
      </c>
      <c r="G83" s="1">
        <v>6.5019999999999998</v>
      </c>
      <c r="H83" s="1">
        <v>6.4859999999999998</v>
      </c>
      <c r="I83" s="1">
        <v>6.5010000000000003</v>
      </c>
      <c r="J83" s="1">
        <v>6.5119999999999996</v>
      </c>
      <c r="K83" s="1">
        <v>6.53</v>
      </c>
      <c r="L83" s="1">
        <v>6.52</v>
      </c>
      <c r="M83" s="1">
        <v>6.516</v>
      </c>
      <c r="N83" s="1">
        <v>6.508</v>
      </c>
      <c r="O83" s="1">
        <v>6.5019999999999998</v>
      </c>
      <c r="P83" s="1">
        <v>6.4980000000000002</v>
      </c>
      <c r="Q83" s="1">
        <v>6.5</v>
      </c>
      <c r="R83" s="1">
        <v>6.5170000000000003</v>
      </c>
      <c r="S83" s="1">
        <v>6.5069999999999997</v>
      </c>
      <c r="T83" s="1">
        <v>6.5149999999999997</v>
      </c>
      <c r="U83" s="1">
        <v>6.5170000000000003</v>
      </c>
      <c r="V83" s="1">
        <v>6.4960000000000004</v>
      </c>
      <c r="W83" s="1">
        <v>6.5019999999999998</v>
      </c>
      <c r="X83" s="1">
        <v>6.532</v>
      </c>
      <c r="Y83" s="1">
        <v>6.4859999999999998</v>
      </c>
      <c r="Z83" s="1">
        <v>6.4939999999999998</v>
      </c>
      <c r="AA83" s="1">
        <v>6.5339999999999998</v>
      </c>
      <c r="AB83" s="1">
        <v>6.4930000000000003</v>
      </c>
      <c r="AC83" s="1">
        <v>6.5</v>
      </c>
      <c r="AD83" s="1">
        <v>6.5129999999999999</v>
      </c>
      <c r="AE83" s="1">
        <v>6.5119999999999996</v>
      </c>
      <c r="AF83" s="1">
        <v>6.5229999999999997</v>
      </c>
      <c r="AG83" s="1">
        <v>6.5190000000000001</v>
      </c>
      <c r="AH83" s="1">
        <v>6.5190000000000001</v>
      </c>
      <c r="AI83" s="1">
        <v>6.5119999999999996</v>
      </c>
      <c r="AJ83" s="1">
        <v>6.516</v>
      </c>
      <c r="AK83" s="1">
        <v>6.5010000000000003</v>
      </c>
      <c r="AL83" s="1">
        <v>6.4980000000000002</v>
      </c>
      <c r="AM83" s="1">
        <v>6.5110000000000001</v>
      </c>
      <c r="AN83" s="1">
        <v>6.5110000000000001</v>
      </c>
      <c r="AO83" s="1">
        <v>6.5149999999999997</v>
      </c>
      <c r="AP83" s="1">
        <v>6.508</v>
      </c>
      <c r="AQ83" s="1">
        <v>6.5049999999999999</v>
      </c>
      <c r="AR83" s="1">
        <v>6.5069999999999997</v>
      </c>
      <c r="AS83" s="1">
        <v>6.4809999999999999</v>
      </c>
      <c r="AT83" s="1">
        <v>6.5279999999999996</v>
      </c>
      <c r="AU83" s="1">
        <v>6.524</v>
      </c>
      <c r="AV83" s="1">
        <v>6.516</v>
      </c>
      <c r="AW83" s="1">
        <v>6.5149999999999997</v>
      </c>
      <c r="AX83" s="1">
        <v>6.4980000000000002</v>
      </c>
      <c r="AY83" s="1">
        <v>6.5090000000000003</v>
      </c>
      <c r="AZ83" s="1">
        <v>6.5039999999999996</v>
      </c>
      <c r="BA83" s="1">
        <v>6.4889999999999999</v>
      </c>
      <c r="BB83" s="1">
        <v>6.4930000000000003</v>
      </c>
      <c r="BC83" s="1">
        <v>6.5209999999999999</v>
      </c>
      <c r="BD83" s="1">
        <v>6.4960000000000004</v>
      </c>
      <c r="BE83" s="1">
        <v>6.5129999999999999</v>
      </c>
      <c r="BF83" s="1">
        <v>6.5090000000000003</v>
      </c>
      <c r="BG83" s="1">
        <v>6.5149999999999997</v>
      </c>
      <c r="BH83" s="1">
        <v>6.5190000000000001</v>
      </c>
      <c r="BI83" s="1">
        <v>6.4889999999999999</v>
      </c>
      <c r="BJ83" s="1">
        <v>6.5039999999999996</v>
      </c>
      <c r="BK83" s="1">
        <v>6.5039999999999996</v>
      </c>
      <c r="BL83" s="1">
        <v>6.4939999999999998</v>
      </c>
      <c r="BN83" s="9">
        <v>24</v>
      </c>
      <c r="BO83" s="9">
        <v>1110</v>
      </c>
      <c r="BP83" s="10">
        <f t="shared" si="61"/>
        <v>-1.4594594594593887E-3</v>
      </c>
      <c r="BQ83" s="10">
        <f t="shared" si="62"/>
        <v>5.3885135135140676E-4</v>
      </c>
      <c r="BR83" s="10">
        <f t="shared" si="63"/>
        <v>-5.3716216216219306E-4</v>
      </c>
      <c r="BS83" s="10">
        <f t="shared" si="64"/>
        <v>-2.9966216216216549E-3</v>
      </c>
      <c r="BT83" s="10">
        <f t="shared" si="65"/>
        <v>-6.9087837837832403E-4</v>
      </c>
      <c r="BU83" s="10">
        <f t="shared" si="66"/>
        <v>9.9999999999993649E-4</v>
      </c>
      <c r="BV83" s="10">
        <f t="shared" si="67"/>
        <v>3.7668918918919332E-3</v>
      </c>
      <c r="BW83" s="10">
        <f t="shared" si="68"/>
        <v>2.2297297297296671E-3</v>
      </c>
      <c r="BX83" s="10">
        <f t="shared" si="69"/>
        <v>1.61486486486487E-3</v>
      </c>
      <c r="BY83" s="10">
        <f t="shared" si="70"/>
        <v>3.8513513513513924E-4</v>
      </c>
      <c r="BZ83" s="10">
        <f t="shared" si="71"/>
        <v>-5.3716216216219306E-4</v>
      </c>
      <c r="CA83" s="10">
        <f t="shared" si="72"/>
        <v>-1.1520270270269902E-3</v>
      </c>
      <c r="CB83" s="10">
        <f t="shared" si="73"/>
        <v>-8.4459459459459161E-4</v>
      </c>
      <c r="CC83" s="10">
        <f t="shared" si="74"/>
        <v>1.7685810810811377E-3</v>
      </c>
      <c r="CD83" s="10">
        <f t="shared" si="75"/>
        <v>2.3141891891887169E-4</v>
      </c>
      <c r="CE83" s="10">
        <f t="shared" si="76"/>
        <v>1.4611486486486025E-3</v>
      </c>
      <c r="CF83" s="10">
        <f t="shared" si="77"/>
        <v>1.7685810810811377E-3</v>
      </c>
      <c r="CG83" s="10">
        <f t="shared" si="78"/>
        <v>-1.4594594594593887E-3</v>
      </c>
      <c r="CH83" s="10">
        <f t="shared" si="79"/>
        <v>-5.3716216216219306E-4</v>
      </c>
      <c r="CI83" s="10">
        <f t="shared" si="80"/>
        <v>4.074324324324332E-3</v>
      </c>
      <c r="CJ83" s="10">
        <f t="shared" si="81"/>
        <v>-2.9966216216216549E-3</v>
      </c>
      <c r="CK83" s="10">
        <f t="shared" si="82"/>
        <v>-1.7668918918919238E-3</v>
      </c>
      <c r="CL83" s="10">
        <f t="shared" si="83"/>
        <v>4.3817567567567299E-3</v>
      </c>
      <c r="CM83" s="10">
        <f t="shared" si="84"/>
        <v>-1.9206081081080549E-3</v>
      </c>
      <c r="CN83" s="10">
        <f t="shared" si="85"/>
        <v>-8.4459459459459161E-4</v>
      </c>
      <c r="CO83" s="10">
        <f t="shared" si="86"/>
        <v>1.153716216216204E-3</v>
      </c>
      <c r="CP83" s="10">
        <f t="shared" si="87"/>
        <v>9.9999999999993649E-4</v>
      </c>
      <c r="CQ83" s="10">
        <f t="shared" si="88"/>
        <v>2.6908783783783333E-3</v>
      </c>
      <c r="CR83" s="10">
        <f t="shared" si="89"/>
        <v>2.0760135135135362E-3</v>
      </c>
      <c r="CS83" s="10">
        <f t="shared" si="90"/>
        <v>2.0760135135135362E-3</v>
      </c>
      <c r="CT83" s="10">
        <f t="shared" si="91"/>
        <v>9.9999999999993649E-4</v>
      </c>
      <c r="CU83" s="10">
        <f t="shared" si="92"/>
        <v>1.61486486486487E-3</v>
      </c>
      <c r="CV83" s="10">
        <f t="shared" si="93"/>
        <v>-6.9087837837832403E-4</v>
      </c>
      <c r="CW83" s="10">
        <f t="shared" si="94"/>
        <v>-1.1520270270269902E-3</v>
      </c>
      <c r="CX83" s="10">
        <f t="shared" si="95"/>
        <v>8.462837837838053E-4</v>
      </c>
      <c r="CY83" s="10">
        <f t="shared" si="96"/>
        <v>8.462837837838053E-4</v>
      </c>
      <c r="CZ83" s="10">
        <f t="shared" si="97"/>
        <v>1.4611486486486025E-3</v>
      </c>
      <c r="DA83" s="10">
        <f t="shared" si="98"/>
        <v>3.8513513513513924E-4</v>
      </c>
      <c r="DB83" s="10">
        <f t="shared" si="99"/>
        <v>-7.6013513513526899E-5</v>
      </c>
      <c r="DC83" s="10">
        <f t="shared" si="100"/>
        <v>2.3141891891887169E-4</v>
      </c>
      <c r="DD83" s="10">
        <f t="shared" si="101"/>
        <v>-3.7652027027027194E-3</v>
      </c>
      <c r="DE83" s="10">
        <f t="shared" si="102"/>
        <v>3.4594594594593978E-3</v>
      </c>
      <c r="DF83" s="10">
        <f t="shared" si="103"/>
        <v>2.8445945945946008E-3</v>
      </c>
      <c r="DG83" s="10">
        <f t="shared" si="104"/>
        <v>1.61486486486487E-3</v>
      </c>
      <c r="DH83" s="10">
        <f t="shared" si="105"/>
        <v>1.4611486486486025E-3</v>
      </c>
      <c r="DI83" s="10">
        <f t="shared" si="106"/>
        <v>-1.1520270270269902E-3</v>
      </c>
      <c r="DJ83" s="10">
        <f t="shared" si="107"/>
        <v>5.3885135135140676E-4</v>
      </c>
      <c r="DK83" s="10">
        <f t="shared" si="108"/>
        <v>-2.2972972972979444E-4</v>
      </c>
      <c r="DL83" s="10">
        <f t="shared" si="109"/>
        <v>-2.5354729729729886E-3</v>
      </c>
      <c r="DM83" s="10">
        <f t="shared" si="110"/>
        <v>-1.9206081081080549E-3</v>
      </c>
      <c r="DN83" s="10">
        <f t="shared" si="111"/>
        <v>2.383445945945935E-3</v>
      </c>
      <c r="DO83" s="10">
        <f t="shared" si="112"/>
        <v>-1.4594594594593887E-3</v>
      </c>
      <c r="DP83" s="10">
        <f t="shared" si="113"/>
        <v>1.153716216216204E-3</v>
      </c>
      <c r="DQ83" s="10">
        <f t="shared" si="114"/>
        <v>5.3885135135140676E-4</v>
      </c>
      <c r="DR83" s="10">
        <f t="shared" si="115"/>
        <v>1.4611486486486025E-3</v>
      </c>
      <c r="DS83" s="10">
        <f t="shared" si="116"/>
        <v>2.0760135135135362E-3</v>
      </c>
      <c r="DT83" s="10">
        <f t="shared" si="117"/>
        <v>-2.5354729729729886E-3</v>
      </c>
      <c r="DU83" s="10">
        <f t="shared" si="118"/>
        <v>-2.2972972972979444E-4</v>
      </c>
      <c r="DV83" s="10">
        <f t="shared" si="119"/>
        <v>-2.2972972972979444E-4</v>
      </c>
      <c r="DW83" s="10">
        <f t="shared" si="120"/>
        <v>-1.7668918918919238E-3</v>
      </c>
    </row>
    <row r="84" spans="2:127" x14ac:dyDescent="0.45">
      <c r="B84" s="1">
        <v>24</v>
      </c>
      <c r="C84" s="1">
        <v>1125</v>
      </c>
      <c r="D84" s="7">
        <f t="shared" si="121"/>
        <v>6.5934065934065931</v>
      </c>
      <c r="E84" s="1">
        <v>6.5830000000000002</v>
      </c>
      <c r="F84" s="1">
        <v>6.5960000000000001</v>
      </c>
      <c r="G84" s="1">
        <v>6.5910000000000002</v>
      </c>
      <c r="H84" s="1">
        <v>6.5720000000000001</v>
      </c>
      <c r="I84" s="1">
        <v>6.5910000000000002</v>
      </c>
      <c r="J84" s="1">
        <v>6.601</v>
      </c>
      <c r="K84" s="1">
        <v>6.6189999999999998</v>
      </c>
      <c r="L84" s="1">
        <v>6.61</v>
      </c>
      <c r="M84" s="1">
        <v>6.6070000000000002</v>
      </c>
      <c r="N84" s="1">
        <v>6.5949999999999998</v>
      </c>
      <c r="O84" s="1">
        <v>6.5890000000000004</v>
      </c>
      <c r="P84" s="1">
        <v>6.5869999999999997</v>
      </c>
      <c r="Q84" s="1">
        <v>6.5880000000000001</v>
      </c>
      <c r="R84" s="1">
        <v>6.6079999999999997</v>
      </c>
      <c r="S84" s="1">
        <v>6.5919999999999996</v>
      </c>
      <c r="T84" s="1">
        <v>6.601</v>
      </c>
      <c r="U84" s="1">
        <v>6.6059999999999999</v>
      </c>
      <c r="V84" s="1">
        <v>6.5830000000000002</v>
      </c>
      <c r="W84" s="1">
        <v>6.5919999999999996</v>
      </c>
      <c r="X84" s="1">
        <v>6.6349999999999998</v>
      </c>
      <c r="Y84" s="1">
        <v>6.5739999999999998</v>
      </c>
      <c r="Z84" s="1">
        <v>6.5839999999999996</v>
      </c>
      <c r="AA84" s="1">
        <v>6.6219999999999999</v>
      </c>
      <c r="AB84" s="1">
        <v>6.5810000000000004</v>
      </c>
      <c r="AC84" s="1">
        <v>6.5890000000000004</v>
      </c>
      <c r="AD84" s="1">
        <v>6.6029999999999998</v>
      </c>
      <c r="AE84" s="1">
        <v>6.601</v>
      </c>
      <c r="AF84" s="1">
        <v>6.6109999999999998</v>
      </c>
      <c r="AG84" s="1">
        <v>6.6079999999999997</v>
      </c>
      <c r="AH84" s="1">
        <v>6.6070000000000002</v>
      </c>
      <c r="AI84" s="1">
        <v>6.6</v>
      </c>
      <c r="AJ84" s="1">
        <v>6.6029999999999998</v>
      </c>
      <c r="AK84" s="1">
        <v>6.5890000000000004</v>
      </c>
      <c r="AL84" s="1">
        <v>6.5869999999999997</v>
      </c>
      <c r="AM84" s="1">
        <v>6.5990000000000002</v>
      </c>
      <c r="AN84" s="1">
        <v>6.5990000000000002</v>
      </c>
      <c r="AO84" s="1">
        <v>6.6029999999999998</v>
      </c>
      <c r="AP84" s="1">
        <v>6.5970000000000004</v>
      </c>
      <c r="AQ84" s="1">
        <v>6.5919999999999996</v>
      </c>
      <c r="AR84" s="1">
        <v>6.5949999999999998</v>
      </c>
      <c r="AS84" s="1">
        <v>6.577</v>
      </c>
      <c r="AT84" s="1">
        <v>6.62</v>
      </c>
      <c r="AU84" s="1">
        <v>6.6109999999999998</v>
      </c>
      <c r="AV84" s="1">
        <v>6.5990000000000002</v>
      </c>
      <c r="AW84" s="1">
        <v>6.6029999999999998</v>
      </c>
      <c r="AX84" s="1">
        <v>6.5890000000000004</v>
      </c>
      <c r="AY84" s="1">
        <v>6.5990000000000002</v>
      </c>
      <c r="AZ84" s="1">
        <v>6.5919999999999996</v>
      </c>
      <c r="BA84" s="1">
        <v>6.5780000000000003</v>
      </c>
      <c r="BB84" s="1">
        <v>6.5830000000000002</v>
      </c>
      <c r="BC84" s="1">
        <v>6.61</v>
      </c>
      <c r="BD84" s="1">
        <v>6.5839999999999996</v>
      </c>
      <c r="BE84" s="1">
        <v>6.601</v>
      </c>
      <c r="BF84" s="1">
        <v>6.5949999999999998</v>
      </c>
      <c r="BG84" s="1">
        <v>6.601</v>
      </c>
      <c r="BH84" s="1">
        <v>6.6059999999999999</v>
      </c>
      <c r="BI84" s="1">
        <v>6.577</v>
      </c>
      <c r="BJ84" s="1">
        <v>6.5910000000000002</v>
      </c>
      <c r="BK84" s="1">
        <v>6.5830000000000002</v>
      </c>
      <c r="BL84" s="1">
        <v>6.5830000000000002</v>
      </c>
      <c r="BN84" s="9">
        <v>24</v>
      </c>
      <c r="BO84" s="9">
        <v>1125</v>
      </c>
      <c r="BP84" s="10">
        <f t="shared" si="61"/>
        <v>-1.578333333333255E-3</v>
      </c>
      <c r="BQ84" s="10">
        <f t="shared" si="62"/>
        <v>3.9333333333339663E-4</v>
      </c>
      <c r="BR84" s="10">
        <f t="shared" si="63"/>
        <v>-3.6499999999992062E-4</v>
      </c>
      <c r="BS84" s="10">
        <f t="shared" si="64"/>
        <v>-3.2466666666666069E-3</v>
      </c>
      <c r="BT84" s="10">
        <f t="shared" si="65"/>
        <v>-3.6499999999992062E-4</v>
      </c>
      <c r="BU84" s="10">
        <f t="shared" si="66"/>
        <v>1.1516666666667138E-3</v>
      </c>
      <c r="BV84" s="10">
        <f t="shared" si="67"/>
        <v>3.8816666666666826E-3</v>
      </c>
      <c r="BW84" s="10">
        <f t="shared" si="68"/>
        <v>2.5166666666667655E-3</v>
      </c>
      <c r="BX84" s="10">
        <f t="shared" si="69"/>
        <v>2.0616666666667485E-3</v>
      </c>
      <c r="BY84" s="10">
        <f t="shared" si="70"/>
        <v>2.416666666666793E-4</v>
      </c>
      <c r="BZ84" s="10">
        <f t="shared" si="71"/>
        <v>-6.6833333333322052E-4</v>
      </c>
      <c r="CA84" s="10">
        <f t="shared" si="72"/>
        <v>-9.7166666666665519E-4</v>
      </c>
      <c r="CB84" s="10">
        <f t="shared" si="73"/>
        <v>-8.1999999999993786E-4</v>
      </c>
      <c r="CC84" s="10">
        <f t="shared" si="74"/>
        <v>2.213333333333331E-3</v>
      </c>
      <c r="CD84" s="10">
        <f t="shared" si="75"/>
        <v>-2.1333333333333797E-4</v>
      </c>
      <c r="CE84" s="10">
        <f t="shared" si="76"/>
        <v>1.1516666666667138E-3</v>
      </c>
      <c r="CF84" s="10">
        <f t="shared" si="77"/>
        <v>1.910000000000031E-3</v>
      </c>
      <c r="CG84" s="10">
        <f t="shared" si="78"/>
        <v>-1.578333333333255E-3</v>
      </c>
      <c r="CH84" s="10">
        <f t="shared" si="79"/>
        <v>-2.1333333333333797E-4</v>
      </c>
      <c r="CI84" s="10">
        <f t="shared" si="80"/>
        <v>6.3083333333333515E-3</v>
      </c>
      <c r="CJ84" s="10">
        <f t="shared" si="81"/>
        <v>-2.9433333333333069E-3</v>
      </c>
      <c r="CK84" s="10">
        <f t="shared" si="82"/>
        <v>-1.4266666666666724E-3</v>
      </c>
      <c r="CL84" s="10">
        <f t="shared" si="83"/>
        <v>4.3366666666666996E-3</v>
      </c>
      <c r="CM84" s="10">
        <f t="shared" si="84"/>
        <v>-1.881666666666555E-3</v>
      </c>
      <c r="CN84" s="10">
        <f t="shared" si="85"/>
        <v>-6.6833333333322052E-4</v>
      </c>
      <c r="CO84" s="10">
        <f t="shared" si="86"/>
        <v>1.4550000000000138E-3</v>
      </c>
      <c r="CP84" s="10">
        <f t="shared" si="87"/>
        <v>1.1516666666667138E-3</v>
      </c>
      <c r="CQ84" s="10">
        <f t="shared" si="88"/>
        <v>2.6683333333333481E-3</v>
      </c>
      <c r="CR84" s="10">
        <f t="shared" si="89"/>
        <v>2.213333333333331E-3</v>
      </c>
      <c r="CS84" s="10">
        <f t="shared" si="90"/>
        <v>2.0616666666667485E-3</v>
      </c>
      <c r="CT84" s="10">
        <f t="shared" si="91"/>
        <v>9.9999999999999655E-4</v>
      </c>
      <c r="CU84" s="10">
        <f t="shared" si="92"/>
        <v>1.4550000000000138E-3</v>
      </c>
      <c r="CV84" s="10">
        <f t="shared" si="93"/>
        <v>-6.6833333333322052E-4</v>
      </c>
      <c r="CW84" s="10">
        <f t="shared" si="94"/>
        <v>-9.7166666666665519E-4</v>
      </c>
      <c r="CX84" s="10">
        <f t="shared" si="95"/>
        <v>8.4833333333341387E-4</v>
      </c>
      <c r="CY84" s="10">
        <f t="shared" si="96"/>
        <v>8.4833333333341387E-4</v>
      </c>
      <c r="CZ84" s="10">
        <f t="shared" si="97"/>
        <v>1.4550000000000138E-3</v>
      </c>
      <c r="DA84" s="10">
        <f t="shared" si="98"/>
        <v>5.4500000000011397E-4</v>
      </c>
      <c r="DB84" s="10">
        <f t="shared" si="99"/>
        <v>-2.1333333333333797E-4</v>
      </c>
      <c r="DC84" s="10">
        <f t="shared" si="100"/>
        <v>2.416666666666793E-4</v>
      </c>
      <c r="DD84" s="10">
        <f t="shared" si="101"/>
        <v>-2.4883333333332895E-3</v>
      </c>
      <c r="DE84" s="10">
        <f t="shared" si="102"/>
        <v>4.0333333333334E-3</v>
      </c>
      <c r="DF84" s="10">
        <f t="shared" si="103"/>
        <v>2.6683333333333481E-3</v>
      </c>
      <c r="DG84" s="10">
        <f t="shared" si="104"/>
        <v>8.4833333333341387E-4</v>
      </c>
      <c r="DH84" s="10">
        <f t="shared" si="105"/>
        <v>1.4550000000000138E-3</v>
      </c>
      <c r="DI84" s="10">
        <f t="shared" si="106"/>
        <v>-6.6833333333322052E-4</v>
      </c>
      <c r="DJ84" s="10">
        <f t="shared" si="107"/>
        <v>8.4833333333341387E-4</v>
      </c>
      <c r="DK84" s="10">
        <f t="shared" si="108"/>
        <v>-2.1333333333333797E-4</v>
      </c>
      <c r="DL84" s="10">
        <f t="shared" si="109"/>
        <v>-2.3366666666665725E-3</v>
      </c>
      <c r="DM84" s="10">
        <f t="shared" si="110"/>
        <v>-1.578333333333255E-3</v>
      </c>
      <c r="DN84" s="10">
        <f t="shared" si="111"/>
        <v>2.5166666666667655E-3</v>
      </c>
      <c r="DO84" s="10">
        <f t="shared" si="112"/>
        <v>-1.4266666666666724E-3</v>
      </c>
      <c r="DP84" s="10">
        <f t="shared" si="113"/>
        <v>1.1516666666667138E-3</v>
      </c>
      <c r="DQ84" s="10">
        <f t="shared" si="114"/>
        <v>2.416666666666793E-4</v>
      </c>
      <c r="DR84" s="10">
        <f t="shared" si="115"/>
        <v>1.1516666666667138E-3</v>
      </c>
      <c r="DS84" s="10">
        <f t="shared" si="116"/>
        <v>1.910000000000031E-3</v>
      </c>
      <c r="DT84" s="10">
        <f t="shared" si="117"/>
        <v>-2.4883333333332895E-3</v>
      </c>
      <c r="DU84" s="10">
        <f t="shared" si="118"/>
        <v>-3.6499999999992062E-4</v>
      </c>
      <c r="DV84" s="10">
        <f t="shared" si="119"/>
        <v>-1.578333333333255E-3</v>
      </c>
      <c r="DW84" s="10">
        <f t="shared" si="120"/>
        <v>-1.578333333333255E-3</v>
      </c>
    </row>
    <row r="85" spans="2:127" x14ac:dyDescent="0.45">
      <c r="B85" s="1">
        <v>24</v>
      </c>
      <c r="C85" s="1">
        <v>1140</v>
      </c>
      <c r="D85" s="7">
        <f t="shared" si="121"/>
        <v>6.6813186813186816</v>
      </c>
      <c r="E85" s="1">
        <v>6.6710000000000003</v>
      </c>
      <c r="F85" s="1">
        <v>6.6840000000000002</v>
      </c>
      <c r="G85" s="1">
        <v>6.6769999999999996</v>
      </c>
      <c r="H85" s="1">
        <v>6.66</v>
      </c>
      <c r="I85" s="1">
        <v>6.6790000000000003</v>
      </c>
      <c r="J85" s="1">
        <v>6.6879999999999997</v>
      </c>
      <c r="K85" s="1">
        <v>6.7060000000000004</v>
      </c>
      <c r="L85" s="1">
        <v>6.6959999999999997</v>
      </c>
      <c r="M85" s="1">
        <v>6.694</v>
      </c>
      <c r="N85" s="1">
        <v>6.6840000000000002</v>
      </c>
      <c r="O85" s="1">
        <v>6.68</v>
      </c>
      <c r="P85" s="1">
        <v>6.673</v>
      </c>
      <c r="Q85" s="1">
        <v>6.6749999999999998</v>
      </c>
      <c r="R85" s="1">
        <v>6.6980000000000004</v>
      </c>
      <c r="S85" s="1">
        <v>6.6790000000000003</v>
      </c>
      <c r="T85" s="1">
        <v>6.6909999999999998</v>
      </c>
      <c r="U85" s="1">
        <v>6.6950000000000003</v>
      </c>
      <c r="V85" s="1">
        <v>6.6710000000000003</v>
      </c>
      <c r="W85" s="1">
        <v>6.6769999999999996</v>
      </c>
      <c r="X85" s="1">
        <v>6.7089999999999996</v>
      </c>
      <c r="Y85" s="1">
        <v>6.6630000000000003</v>
      </c>
      <c r="Z85" s="1">
        <v>6.6749999999999998</v>
      </c>
      <c r="AA85" s="1">
        <v>6.7050000000000001</v>
      </c>
      <c r="AB85" s="1">
        <v>6.6680000000000001</v>
      </c>
      <c r="AC85" s="1">
        <v>6.6769999999999996</v>
      </c>
      <c r="AD85" s="1">
        <v>6.6870000000000003</v>
      </c>
      <c r="AE85" s="1">
        <v>6.69</v>
      </c>
      <c r="AF85" s="1">
        <v>6.6980000000000004</v>
      </c>
      <c r="AG85" s="1">
        <v>6.6959999999999997</v>
      </c>
      <c r="AH85" s="1">
        <v>6.6920000000000002</v>
      </c>
      <c r="AI85" s="1">
        <v>6.6879999999999997</v>
      </c>
      <c r="AJ85" s="1">
        <v>6.69</v>
      </c>
      <c r="AK85" s="1">
        <v>6.6769999999999996</v>
      </c>
      <c r="AL85" s="1">
        <v>6.673</v>
      </c>
      <c r="AM85" s="1">
        <v>6.6840000000000002</v>
      </c>
      <c r="AN85" s="1">
        <v>6.6879999999999997</v>
      </c>
      <c r="AO85" s="1">
        <v>6.6920000000000002</v>
      </c>
      <c r="AP85" s="1">
        <v>6.6829999999999998</v>
      </c>
      <c r="AQ85" s="1">
        <v>6.68</v>
      </c>
      <c r="AR85" s="1">
        <v>6.6829999999999998</v>
      </c>
      <c r="AS85" s="1">
        <v>6.6630000000000003</v>
      </c>
      <c r="AT85" s="1">
        <v>6.7060000000000004</v>
      </c>
      <c r="AU85" s="1">
        <v>6.7009999999999996</v>
      </c>
      <c r="AV85" s="1">
        <v>6.6859999999999999</v>
      </c>
      <c r="AW85" s="1">
        <v>6.6920000000000002</v>
      </c>
      <c r="AX85" s="1">
        <v>6.6790000000000003</v>
      </c>
      <c r="AY85" s="1">
        <v>6.6870000000000003</v>
      </c>
      <c r="AZ85" s="1">
        <v>6.6790000000000003</v>
      </c>
      <c r="BA85" s="1">
        <v>6.6669999999999998</v>
      </c>
      <c r="BB85" s="1">
        <v>6.6710000000000003</v>
      </c>
      <c r="BC85" s="1">
        <v>6.6980000000000004</v>
      </c>
      <c r="BD85" s="1">
        <v>6.6719999999999997</v>
      </c>
      <c r="BE85" s="1">
        <v>6.69</v>
      </c>
      <c r="BF85" s="1">
        <v>6.6820000000000004</v>
      </c>
      <c r="BG85" s="1">
        <v>6.6909999999999998</v>
      </c>
      <c r="BH85" s="1">
        <v>6.6879999999999997</v>
      </c>
      <c r="BI85" s="1">
        <v>6.665</v>
      </c>
      <c r="BJ85" s="1">
        <v>6.6790000000000003</v>
      </c>
      <c r="BK85" s="1">
        <v>6.673</v>
      </c>
      <c r="BL85" s="1">
        <v>6.6689999999999996</v>
      </c>
      <c r="BN85" s="9">
        <v>24</v>
      </c>
      <c r="BO85" s="9">
        <v>1140</v>
      </c>
      <c r="BP85" s="10">
        <f t="shared" si="61"/>
        <v>-1.5444078947368391E-3</v>
      </c>
      <c r="BQ85" s="10">
        <f t="shared" si="62"/>
        <v>4.0131578947367216E-4</v>
      </c>
      <c r="BR85" s="10">
        <f t="shared" si="63"/>
        <v>-6.4638157894746442E-4</v>
      </c>
      <c r="BS85" s="10">
        <f t="shared" si="64"/>
        <v>-3.1907894736842258E-3</v>
      </c>
      <c r="BT85" s="10">
        <f t="shared" si="65"/>
        <v>-3.470394736842066E-4</v>
      </c>
      <c r="BU85" s="10">
        <f t="shared" si="66"/>
        <v>9.9999999999992196E-4</v>
      </c>
      <c r="BV85" s="10">
        <f t="shared" si="67"/>
        <v>3.6940789473684449E-3</v>
      </c>
      <c r="BW85" s="10">
        <f t="shared" si="68"/>
        <v>2.1973684210525547E-3</v>
      </c>
      <c r="BX85" s="10">
        <f t="shared" si="69"/>
        <v>1.8980263157894297E-3</v>
      </c>
      <c r="BY85" s="10">
        <f t="shared" si="70"/>
        <v>4.0131578947367216E-4</v>
      </c>
      <c r="BZ85" s="10">
        <f t="shared" si="71"/>
        <v>-1.9736842105271064E-4</v>
      </c>
      <c r="CA85" s="10">
        <f t="shared" si="72"/>
        <v>-1.2450657894737143E-3</v>
      </c>
      <c r="CB85" s="10">
        <f t="shared" si="73"/>
        <v>-9.4572368421058943E-4</v>
      </c>
      <c r="CC85" s="10">
        <f t="shared" si="74"/>
        <v>2.4967105263158126E-3</v>
      </c>
      <c r="CD85" s="10">
        <f t="shared" si="75"/>
        <v>-3.470394736842066E-4</v>
      </c>
      <c r="CE85" s="10">
        <f t="shared" si="76"/>
        <v>1.4490131578946757E-3</v>
      </c>
      <c r="CF85" s="10">
        <f t="shared" si="77"/>
        <v>2.0476973684210587E-3</v>
      </c>
      <c r="CG85" s="10">
        <f t="shared" si="78"/>
        <v>-1.5444078947368391E-3</v>
      </c>
      <c r="CH85" s="10">
        <f t="shared" si="79"/>
        <v>-6.4638157894746442E-4</v>
      </c>
      <c r="CI85" s="10">
        <f t="shared" si="80"/>
        <v>4.1430921052630658E-3</v>
      </c>
      <c r="CJ85" s="10">
        <f t="shared" si="81"/>
        <v>-2.7417763157894719E-3</v>
      </c>
      <c r="CK85" s="10">
        <f t="shared" si="82"/>
        <v>-9.4572368421058943E-4</v>
      </c>
      <c r="CL85" s="10">
        <f t="shared" si="83"/>
        <v>3.5444078947368162E-3</v>
      </c>
      <c r="CM85" s="10">
        <f t="shared" si="84"/>
        <v>-1.9934210526315931E-3</v>
      </c>
      <c r="CN85" s="10">
        <f t="shared" si="85"/>
        <v>-6.4638157894746442E-4</v>
      </c>
      <c r="CO85" s="10">
        <f t="shared" si="86"/>
        <v>8.5032894736842602E-4</v>
      </c>
      <c r="CP85" s="10">
        <f t="shared" si="87"/>
        <v>1.2993421052631799E-3</v>
      </c>
      <c r="CQ85" s="10">
        <f t="shared" si="88"/>
        <v>2.4967105263158126E-3</v>
      </c>
      <c r="CR85" s="10">
        <f t="shared" si="89"/>
        <v>2.1973684210525547E-3</v>
      </c>
      <c r="CS85" s="10">
        <f t="shared" si="90"/>
        <v>1.5986842105263047E-3</v>
      </c>
      <c r="CT85" s="10">
        <f t="shared" si="91"/>
        <v>9.9999999999992196E-4</v>
      </c>
      <c r="CU85" s="10">
        <f t="shared" si="92"/>
        <v>1.2993421052631799E-3</v>
      </c>
      <c r="CV85" s="10">
        <f t="shared" si="93"/>
        <v>-6.4638157894746442E-4</v>
      </c>
      <c r="CW85" s="10">
        <f t="shared" si="94"/>
        <v>-1.2450657894737143E-3</v>
      </c>
      <c r="CX85" s="10">
        <f t="shared" si="95"/>
        <v>4.0131578947367216E-4</v>
      </c>
      <c r="CY85" s="10">
        <f t="shared" si="96"/>
        <v>9.9999999999992196E-4</v>
      </c>
      <c r="CZ85" s="10">
        <f t="shared" si="97"/>
        <v>1.5986842105263047E-3</v>
      </c>
      <c r="DA85" s="10">
        <f t="shared" si="98"/>
        <v>2.516447368420432E-4</v>
      </c>
      <c r="DB85" s="10">
        <f t="shared" si="99"/>
        <v>-1.9736842105271064E-4</v>
      </c>
      <c r="DC85" s="10">
        <f t="shared" si="100"/>
        <v>2.516447368420432E-4</v>
      </c>
      <c r="DD85" s="10">
        <f t="shared" si="101"/>
        <v>-2.7417763157894719E-3</v>
      </c>
      <c r="DE85" s="10">
        <f t="shared" si="102"/>
        <v>3.6940789473684449E-3</v>
      </c>
      <c r="DF85" s="10">
        <f t="shared" si="103"/>
        <v>2.9457236842104335E-3</v>
      </c>
      <c r="DG85" s="10">
        <f t="shared" si="104"/>
        <v>7.0065789473679706E-4</v>
      </c>
      <c r="DH85" s="10">
        <f t="shared" si="105"/>
        <v>1.5986842105263047E-3</v>
      </c>
      <c r="DI85" s="10">
        <f t="shared" si="106"/>
        <v>-3.470394736842066E-4</v>
      </c>
      <c r="DJ85" s="10">
        <f t="shared" si="107"/>
        <v>8.5032894736842602E-4</v>
      </c>
      <c r="DK85" s="10">
        <f t="shared" si="108"/>
        <v>-3.470394736842066E-4</v>
      </c>
      <c r="DL85" s="10">
        <f t="shared" si="109"/>
        <v>-2.1430921052632218E-3</v>
      </c>
      <c r="DM85" s="10">
        <f t="shared" si="110"/>
        <v>-1.5444078947368391E-3</v>
      </c>
      <c r="DN85" s="10">
        <f t="shared" si="111"/>
        <v>2.4967105263158126E-3</v>
      </c>
      <c r="DO85" s="10">
        <f t="shared" si="112"/>
        <v>-1.3947368421053433E-3</v>
      </c>
      <c r="DP85" s="10">
        <f t="shared" si="113"/>
        <v>1.2993421052631799E-3</v>
      </c>
      <c r="DQ85" s="10">
        <f t="shared" si="114"/>
        <v>1.0197368421054722E-4</v>
      </c>
      <c r="DR85" s="10">
        <f t="shared" si="115"/>
        <v>1.4490131578946757E-3</v>
      </c>
      <c r="DS85" s="10">
        <f t="shared" si="116"/>
        <v>9.9999999999992196E-4</v>
      </c>
      <c r="DT85" s="10">
        <f t="shared" si="117"/>
        <v>-2.4424342105263471E-3</v>
      </c>
      <c r="DU85" s="10">
        <f t="shared" si="118"/>
        <v>-3.470394736842066E-4</v>
      </c>
      <c r="DV85" s="10">
        <f t="shared" si="119"/>
        <v>-1.2450657894737143E-3</v>
      </c>
      <c r="DW85" s="10">
        <f t="shared" si="120"/>
        <v>-1.843750000000097E-3</v>
      </c>
    </row>
    <row r="86" spans="2:127" x14ac:dyDescent="0.45">
      <c r="B86" s="1">
        <v>24</v>
      </c>
      <c r="C86" s="1">
        <v>1155</v>
      </c>
      <c r="D86" s="7">
        <f t="shared" si="121"/>
        <v>6.7692307692307692</v>
      </c>
      <c r="E86" s="1">
        <v>6.7590000000000003</v>
      </c>
      <c r="F86" s="1">
        <v>6.7709999999999999</v>
      </c>
      <c r="G86" s="1">
        <v>6.7679999999999998</v>
      </c>
      <c r="H86" s="1">
        <v>6.7450000000000001</v>
      </c>
      <c r="I86" s="1">
        <v>6.7670000000000003</v>
      </c>
      <c r="J86" s="1">
        <v>6.7759999999999998</v>
      </c>
      <c r="K86" s="1">
        <v>6.7939999999999996</v>
      </c>
      <c r="L86" s="1">
        <v>6.7830000000000004</v>
      </c>
      <c r="M86" s="1">
        <v>6.782</v>
      </c>
      <c r="N86" s="1">
        <v>6.7720000000000002</v>
      </c>
      <c r="O86" s="1">
        <v>6.7679999999999998</v>
      </c>
      <c r="P86" s="1">
        <v>6.7590000000000003</v>
      </c>
      <c r="Q86" s="1">
        <v>6.7629999999999999</v>
      </c>
      <c r="R86" s="1">
        <v>6.7859999999999996</v>
      </c>
      <c r="S86" s="1">
        <v>6.7679999999999998</v>
      </c>
      <c r="T86" s="1">
        <v>6.7789999999999999</v>
      </c>
      <c r="U86" s="1">
        <v>6.7830000000000004</v>
      </c>
      <c r="V86" s="1">
        <v>6.7590000000000003</v>
      </c>
      <c r="W86" s="1">
        <v>6.766</v>
      </c>
      <c r="X86" s="1">
        <v>6.7859999999999996</v>
      </c>
      <c r="Y86" s="1">
        <v>6.7489999999999997</v>
      </c>
      <c r="Z86" s="1">
        <v>6.7590000000000003</v>
      </c>
      <c r="AA86" s="1">
        <v>6.7939999999999996</v>
      </c>
      <c r="AB86" s="1">
        <v>6.7560000000000002</v>
      </c>
      <c r="AC86" s="1">
        <v>6.7640000000000002</v>
      </c>
      <c r="AD86" s="1">
        <v>6.7750000000000004</v>
      </c>
      <c r="AE86" s="1">
        <v>6.7779999999999996</v>
      </c>
      <c r="AF86" s="1">
        <v>6.7869999999999999</v>
      </c>
      <c r="AG86" s="1">
        <v>6.7850000000000001</v>
      </c>
      <c r="AH86" s="1">
        <v>6.7789999999999999</v>
      </c>
      <c r="AI86" s="1">
        <v>6.7750000000000004</v>
      </c>
      <c r="AJ86" s="1">
        <v>6.7789999999999999</v>
      </c>
      <c r="AK86" s="1">
        <v>6.7629999999999999</v>
      </c>
      <c r="AL86" s="1">
        <v>6.7619999999999996</v>
      </c>
      <c r="AM86" s="1">
        <v>6.7720000000000002</v>
      </c>
      <c r="AN86" s="1">
        <v>6.7779999999999996</v>
      </c>
      <c r="AO86" s="1">
        <v>6.7789999999999999</v>
      </c>
      <c r="AP86" s="1">
        <v>6.7720000000000002</v>
      </c>
      <c r="AQ86" s="1">
        <v>6.7679999999999998</v>
      </c>
      <c r="AR86" s="1">
        <v>6.7720000000000002</v>
      </c>
      <c r="AS86" s="1">
        <v>6.7489999999999997</v>
      </c>
      <c r="AT86" s="1">
        <v>6.7910000000000004</v>
      </c>
      <c r="AU86" s="1">
        <v>6.7869999999999999</v>
      </c>
      <c r="AV86" s="1">
        <v>6.7759999999999998</v>
      </c>
      <c r="AW86" s="1">
        <v>6.7830000000000004</v>
      </c>
      <c r="AX86" s="1">
        <v>6.7679999999999998</v>
      </c>
      <c r="AY86" s="1">
        <v>6.7759999999999998</v>
      </c>
      <c r="AZ86" s="1">
        <v>6.7679999999999998</v>
      </c>
      <c r="BA86" s="1">
        <v>6.7530000000000001</v>
      </c>
      <c r="BB86" s="1">
        <v>6.7560000000000002</v>
      </c>
      <c r="BC86" s="1">
        <v>6.7869999999999999</v>
      </c>
      <c r="BD86" s="1">
        <v>6.76</v>
      </c>
      <c r="BE86" s="1">
        <v>6.7759999999999998</v>
      </c>
      <c r="BF86" s="1">
        <v>6.77</v>
      </c>
      <c r="BG86" s="1">
        <v>6.7830000000000004</v>
      </c>
      <c r="BH86" s="1">
        <v>6.774</v>
      </c>
      <c r="BI86" s="1">
        <v>6.7510000000000003</v>
      </c>
      <c r="BJ86" s="1">
        <v>6.766</v>
      </c>
      <c r="BK86" s="1">
        <v>6.7640000000000002</v>
      </c>
      <c r="BL86" s="1">
        <v>6.7569999999999997</v>
      </c>
      <c r="BN86" s="9">
        <v>24</v>
      </c>
      <c r="BO86" s="9">
        <v>1155</v>
      </c>
      <c r="BP86" s="10">
        <f t="shared" si="61"/>
        <v>-1.5113636363635759E-3</v>
      </c>
      <c r="BQ86" s="10">
        <f t="shared" si="62"/>
        <v>2.6136363636363282E-4</v>
      </c>
      <c r="BR86" s="10">
        <f t="shared" si="63"/>
        <v>-1.8181818181820216E-4</v>
      </c>
      <c r="BS86" s="10">
        <f t="shared" si="64"/>
        <v>-3.5795454545454286E-3</v>
      </c>
      <c r="BT86" s="10">
        <f t="shared" si="65"/>
        <v>-3.2954545454539301E-4</v>
      </c>
      <c r="BU86" s="10">
        <f t="shared" si="66"/>
        <v>9.9999999999998072E-4</v>
      </c>
      <c r="BV86" s="10">
        <f t="shared" si="67"/>
        <v>3.6590909090908593E-3</v>
      </c>
      <c r="BW86" s="10">
        <f t="shared" si="68"/>
        <v>2.0340909090909728E-3</v>
      </c>
      <c r="BX86" s="10">
        <f t="shared" si="69"/>
        <v>1.8863636363636506E-3</v>
      </c>
      <c r="BY86" s="10">
        <f t="shared" si="70"/>
        <v>4.0909090909095489E-4</v>
      </c>
      <c r="BZ86" s="10">
        <f t="shared" si="71"/>
        <v>-1.8181818181820216E-4</v>
      </c>
      <c r="CA86" s="10">
        <f t="shared" si="72"/>
        <v>-1.5113636363635759E-3</v>
      </c>
      <c r="CB86" s="10">
        <f t="shared" si="73"/>
        <v>-9.2045454545455004E-4</v>
      </c>
      <c r="CC86" s="10">
        <f t="shared" si="74"/>
        <v>2.4772727272726765E-3</v>
      </c>
      <c r="CD86" s="10">
        <f t="shared" si="75"/>
        <v>-1.8181818181820216E-4</v>
      </c>
      <c r="CE86" s="10">
        <f t="shared" si="76"/>
        <v>1.4431818181818157E-3</v>
      </c>
      <c r="CF86" s="10">
        <f t="shared" si="77"/>
        <v>2.0340909090909728E-3</v>
      </c>
      <c r="CG86" s="10">
        <f t="shared" si="78"/>
        <v>-1.5113636363635759E-3</v>
      </c>
      <c r="CH86" s="10">
        <f t="shared" si="79"/>
        <v>-4.7727272727271508E-4</v>
      </c>
      <c r="CI86" s="10">
        <f t="shared" si="80"/>
        <v>2.4772727272726765E-3</v>
      </c>
      <c r="CJ86" s="10">
        <f t="shared" si="81"/>
        <v>-2.9886363636364029E-3</v>
      </c>
      <c r="CK86" s="10">
        <f t="shared" si="82"/>
        <v>-1.5113636363635759E-3</v>
      </c>
      <c r="CL86" s="10">
        <f t="shared" si="83"/>
        <v>3.6590909090908593E-3</v>
      </c>
      <c r="CM86" s="10">
        <f t="shared" si="84"/>
        <v>-1.9545454545454111E-3</v>
      </c>
      <c r="CN86" s="10">
        <f t="shared" si="85"/>
        <v>-7.7272727272722802E-4</v>
      </c>
      <c r="CO86" s="10">
        <f t="shared" si="86"/>
        <v>8.522727272727899E-4</v>
      </c>
      <c r="CP86" s="10">
        <f t="shared" si="87"/>
        <v>1.2954545454544936E-3</v>
      </c>
      <c r="CQ86" s="10">
        <f t="shared" si="88"/>
        <v>2.6249999999999984E-3</v>
      </c>
      <c r="CR86" s="10">
        <f t="shared" si="89"/>
        <v>2.3295454545454856E-3</v>
      </c>
      <c r="CS86" s="10">
        <f t="shared" si="90"/>
        <v>1.4431818181818157E-3</v>
      </c>
      <c r="CT86" s="10">
        <f t="shared" si="91"/>
        <v>8.522727272727899E-4</v>
      </c>
      <c r="CU86" s="10">
        <f t="shared" si="92"/>
        <v>1.4431818181818157E-3</v>
      </c>
      <c r="CV86" s="10">
        <f t="shared" si="93"/>
        <v>-9.2045454545455004E-4</v>
      </c>
      <c r="CW86" s="10">
        <f t="shared" si="94"/>
        <v>-1.0681818181818722E-3</v>
      </c>
      <c r="CX86" s="10">
        <f t="shared" si="95"/>
        <v>4.0909090909095489E-4</v>
      </c>
      <c r="CY86" s="10">
        <f t="shared" si="96"/>
        <v>1.2954545454544936E-3</v>
      </c>
      <c r="CZ86" s="10">
        <f t="shared" si="97"/>
        <v>1.4431818181818157E-3</v>
      </c>
      <c r="DA86" s="10">
        <f t="shared" si="98"/>
        <v>4.0909090909095489E-4</v>
      </c>
      <c r="DB86" s="10">
        <f t="shared" si="99"/>
        <v>-1.8181818181820216E-4</v>
      </c>
      <c r="DC86" s="10">
        <f t="shared" si="100"/>
        <v>4.0909090909095489E-4</v>
      </c>
      <c r="DD86" s="10">
        <f t="shared" si="101"/>
        <v>-2.9886363636364029E-3</v>
      </c>
      <c r="DE86" s="10">
        <f t="shared" si="102"/>
        <v>3.2159090909091555E-3</v>
      </c>
      <c r="DF86" s="10">
        <f t="shared" si="103"/>
        <v>2.6249999999999984E-3</v>
      </c>
      <c r="DG86" s="10">
        <f t="shared" si="104"/>
        <v>9.9999999999998072E-4</v>
      </c>
      <c r="DH86" s="10">
        <f t="shared" si="105"/>
        <v>2.0340909090909728E-3</v>
      </c>
      <c r="DI86" s="10">
        <f t="shared" si="106"/>
        <v>-1.8181818181820216E-4</v>
      </c>
      <c r="DJ86" s="10">
        <f t="shared" si="107"/>
        <v>9.9999999999998072E-4</v>
      </c>
      <c r="DK86" s="10">
        <f t="shared" si="108"/>
        <v>-1.8181818181820216E-4</v>
      </c>
      <c r="DL86" s="10">
        <f t="shared" si="109"/>
        <v>-2.3977272727272458E-3</v>
      </c>
      <c r="DM86" s="10">
        <f t="shared" si="110"/>
        <v>-1.9545454545454111E-3</v>
      </c>
      <c r="DN86" s="10">
        <f t="shared" si="111"/>
        <v>2.6249999999999984E-3</v>
      </c>
      <c r="DO86" s="10">
        <f t="shared" si="112"/>
        <v>-1.363636363636385E-3</v>
      </c>
      <c r="DP86" s="10">
        <f t="shared" si="113"/>
        <v>9.9999999999998072E-4</v>
      </c>
      <c r="DQ86" s="10">
        <f t="shared" si="114"/>
        <v>1.1363636363631075E-4</v>
      </c>
      <c r="DR86" s="10">
        <f t="shared" si="115"/>
        <v>2.0340909090909728E-3</v>
      </c>
      <c r="DS86" s="10">
        <f t="shared" si="116"/>
        <v>7.0454545454546778E-4</v>
      </c>
      <c r="DT86" s="10">
        <f t="shared" si="117"/>
        <v>-2.6931818181817587E-3</v>
      </c>
      <c r="DU86" s="10">
        <f t="shared" si="118"/>
        <v>-4.7727272727271508E-4</v>
      </c>
      <c r="DV86" s="10">
        <f t="shared" si="119"/>
        <v>-7.7272727272722802E-4</v>
      </c>
      <c r="DW86" s="10">
        <f t="shared" si="120"/>
        <v>-1.80681818181822E-3</v>
      </c>
    </row>
    <row r="87" spans="2:127" x14ac:dyDescent="0.45">
      <c r="B87" s="1">
        <v>24</v>
      </c>
      <c r="C87" s="1">
        <v>1170</v>
      </c>
      <c r="D87" s="7">
        <f t="shared" si="121"/>
        <v>6.8571428571428568</v>
      </c>
      <c r="E87" s="1">
        <v>6.8460000000000001</v>
      </c>
      <c r="F87" s="1">
        <v>6.8579999999999997</v>
      </c>
      <c r="G87" s="1">
        <v>6.8559999999999999</v>
      </c>
      <c r="H87" s="1">
        <v>6.8319999999999999</v>
      </c>
      <c r="I87" s="1">
        <v>6.8550000000000004</v>
      </c>
      <c r="J87" s="1">
        <v>6.8650000000000002</v>
      </c>
      <c r="K87" s="1">
        <v>6.8810000000000002</v>
      </c>
      <c r="L87" s="1">
        <v>6.875</v>
      </c>
      <c r="M87" s="1">
        <v>6.8710000000000004</v>
      </c>
      <c r="N87" s="1">
        <v>6.859</v>
      </c>
      <c r="O87" s="1">
        <v>6.8559999999999999</v>
      </c>
      <c r="P87" s="1">
        <v>6.8440000000000003</v>
      </c>
      <c r="Q87" s="1">
        <v>6.851</v>
      </c>
      <c r="R87" s="1">
        <v>6.8739999999999997</v>
      </c>
      <c r="S87" s="1">
        <v>6.8550000000000004</v>
      </c>
      <c r="T87" s="1">
        <v>6.8650000000000002</v>
      </c>
      <c r="U87" s="1">
        <v>6.8730000000000002</v>
      </c>
      <c r="V87" s="1">
        <v>6.8460000000000001</v>
      </c>
      <c r="W87" s="1">
        <v>6.851</v>
      </c>
      <c r="X87" s="1">
        <v>6.9039999999999999</v>
      </c>
      <c r="Y87" s="1">
        <v>6.8390000000000004</v>
      </c>
      <c r="Z87" s="1">
        <v>6.851</v>
      </c>
      <c r="AA87" s="1">
        <v>6.8840000000000003</v>
      </c>
      <c r="AB87" s="1">
        <v>6.8460000000000001</v>
      </c>
      <c r="AC87" s="1">
        <v>6.8520000000000003</v>
      </c>
      <c r="AD87" s="1">
        <v>6.8659999999999997</v>
      </c>
      <c r="AE87" s="1">
        <v>6.8659999999999997</v>
      </c>
      <c r="AF87" s="1">
        <v>6.875</v>
      </c>
      <c r="AG87" s="1">
        <v>6.8710000000000004</v>
      </c>
      <c r="AH87" s="1">
        <v>6.867</v>
      </c>
      <c r="AI87" s="1">
        <v>6.8650000000000002</v>
      </c>
      <c r="AJ87" s="1">
        <v>6.8650000000000002</v>
      </c>
      <c r="AK87" s="1">
        <v>6.851</v>
      </c>
      <c r="AL87" s="1">
        <v>6.85</v>
      </c>
      <c r="AM87" s="1">
        <v>6.8579999999999997</v>
      </c>
      <c r="AN87" s="1">
        <v>6.867</v>
      </c>
      <c r="AO87" s="1">
        <v>6.8659999999999997</v>
      </c>
      <c r="AP87" s="1">
        <v>6.8620000000000001</v>
      </c>
      <c r="AQ87" s="1">
        <v>6.8550000000000004</v>
      </c>
      <c r="AR87" s="1">
        <v>6.8620000000000001</v>
      </c>
      <c r="AS87" s="1">
        <v>6.835</v>
      </c>
      <c r="AT87" s="1">
        <v>6.88</v>
      </c>
      <c r="AU87" s="1">
        <v>6.875</v>
      </c>
      <c r="AV87" s="1">
        <v>6.867</v>
      </c>
      <c r="AW87" s="1">
        <v>6.8710000000000004</v>
      </c>
      <c r="AX87" s="1">
        <v>6.8559999999999999</v>
      </c>
      <c r="AY87" s="1">
        <v>6.8630000000000004</v>
      </c>
      <c r="AZ87" s="1">
        <v>6.8520000000000003</v>
      </c>
      <c r="BA87" s="1">
        <v>6.8419999999999996</v>
      </c>
      <c r="BB87" s="1">
        <v>6.8440000000000003</v>
      </c>
      <c r="BC87" s="1">
        <v>6.8730000000000002</v>
      </c>
      <c r="BD87" s="1">
        <v>6.8479999999999999</v>
      </c>
      <c r="BE87" s="1">
        <v>6.8650000000000002</v>
      </c>
      <c r="BF87" s="1">
        <v>6.8559999999999999</v>
      </c>
      <c r="BG87" s="1">
        <v>6.8689999999999998</v>
      </c>
      <c r="BH87" s="1">
        <v>6.8609999999999998</v>
      </c>
      <c r="BI87" s="1">
        <v>6.8390000000000004</v>
      </c>
      <c r="BJ87" s="1">
        <v>6.8540000000000001</v>
      </c>
      <c r="BK87" s="1">
        <v>6.851</v>
      </c>
      <c r="BL87" s="1">
        <v>6.8440000000000003</v>
      </c>
      <c r="BN87" s="9">
        <v>24</v>
      </c>
      <c r="BO87" s="9">
        <v>1170</v>
      </c>
      <c r="BP87" s="10">
        <f t="shared" si="61"/>
        <v>-1.6249999999999321E-3</v>
      </c>
      <c r="BQ87" s="10">
        <f t="shared" si="62"/>
        <v>1.2500000000000475E-4</v>
      </c>
      <c r="BR87" s="10">
        <f t="shared" si="63"/>
        <v>-1.6666666666662983E-4</v>
      </c>
      <c r="BS87" s="10">
        <f t="shared" si="64"/>
        <v>-3.6666666666666332E-3</v>
      </c>
      <c r="BT87" s="10">
        <f t="shared" si="65"/>
        <v>-3.1249999999988232E-4</v>
      </c>
      <c r="BU87" s="10">
        <f t="shared" si="66"/>
        <v>1.1458333333334201E-3</v>
      </c>
      <c r="BV87" s="10">
        <f t="shared" si="67"/>
        <v>3.4791666666667553E-3</v>
      </c>
      <c r="BW87" s="10">
        <f t="shared" si="68"/>
        <v>2.6041666666667225E-3</v>
      </c>
      <c r="BX87" s="10">
        <f t="shared" si="69"/>
        <v>2.0208333333334534E-3</v>
      </c>
      <c r="BY87" s="10">
        <f t="shared" si="70"/>
        <v>2.7083333333338677E-4</v>
      </c>
      <c r="BZ87" s="10">
        <f t="shared" si="71"/>
        <v>-1.6666666666662983E-4</v>
      </c>
      <c r="CA87" s="10">
        <f t="shared" si="72"/>
        <v>-1.9166666666665666E-3</v>
      </c>
      <c r="CB87" s="10">
        <f t="shared" si="73"/>
        <v>-8.9583333333328097E-4</v>
      </c>
      <c r="CC87" s="10">
        <f t="shared" si="74"/>
        <v>2.4583333333333401E-3</v>
      </c>
      <c r="CD87" s="10">
        <f t="shared" si="75"/>
        <v>-3.1249999999988232E-4</v>
      </c>
      <c r="CE87" s="10">
        <f t="shared" si="76"/>
        <v>1.1458333333334201E-3</v>
      </c>
      <c r="CF87" s="10">
        <f t="shared" si="77"/>
        <v>2.3125000000000879E-3</v>
      </c>
      <c r="CG87" s="10">
        <f t="shared" si="78"/>
        <v>-1.6249999999999321E-3</v>
      </c>
      <c r="CH87" s="10">
        <f t="shared" si="79"/>
        <v>-8.9583333333328097E-4</v>
      </c>
      <c r="CI87" s="10">
        <f t="shared" si="80"/>
        <v>6.833333333333377E-3</v>
      </c>
      <c r="CJ87" s="10">
        <f t="shared" si="81"/>
        <v>-2.645833333333218E-3</v>
      </c>
      <c r="CK87" s="10">
        <f t="shared" si="82"/>
        <v>-8.9583333333328097E-4</v>
      </c>
      <c r="CL87" s="10">
        <f t="shared" si="83"/>
        <v>3.9166666666667722E-3</v>
      </c>
      <c r="CM87" s="10">
        <f t="shared" si="84"/>
        <v>-1.6249999999999321E-3</v>
      </c>
      <c r="CN87" s="10">
        <f t="shared" si="85"/>
        <v>-7.4999999999989897E-4</v>
      </c>
      <c r="CO87" s="10">
        <f t="shared" si="86"/>
        <v>1.2916666666666725E-3</v>
      </c>
      <c r="CP87" s="10">
        <f t="shared" si="87"/>
        <v>1.2916666666666725E-3</v>
      </c>
      <c r="CQ87" s="10">
        <f t="shared" si="88"/>
        <v>2.6041666666667225E-3</v>
      </c>
      <c r="CR87" s="10">
        <f t="shared" si="89"/>
        <v>2.0208333333334534E-3</v>
      </c>
      <c r="CS87" s="10">
        <f t="shared" si="90"/>
        <v>1.4375000000000546E-3</v>
      </c>
      <c r="CT87" s="10">
        <f t="shared" si="91"/>
        <v>1.1458333333334201E-3</v>
      </c>
      <c r="CU87" s="10">
        <f t="shared" si="92"/>
        <v>1.1458333333334201E-3</v>
      </c>
      <c r="CV87" s="10">
        <f t="shared" si="93"/>
        <v>-8.9583333333328097E-4</v>
      </c>
      <c r="CW87" s="10">
        <f t="shared" si="94"/>
        <v>-1.041666666666663E-3</v>
      </c>
      <c r="CX87" s="10">
        <f t="shared" si="95"/>
        <v>1.2500000000000475E-4</v>
      </c>
      <c r="CY87" s="10">
        <f t="shared" si="96"/>
        <v>1.4375000000000546E-3</v>
      </c>
      <c r="CZ87" s="10">
        <f t="shared" si="97"/>
        <v>1.2916666666666725E-3</v>
      </c>
      <c r="DA87" s="10">
        <f t="shared" si="98"/>
        <v>7.0833333333340342E-4</v>
      </c>
      <c r="DB87" s="10">
        <f t="shared" si="99"/>
        <v>-3.1249999999988232E-4</v>
      </c>
      <c r="DC87" s="10">
        <f t="shared" si="100"/>
        <v>7.0833333333340342E-4</v>
      </c>
      <c r="DD87" s="10">
        <f t="shared" si="101"/>
        <v>-3.2291666666666163E-3</v>
      </c>
      <c r="DE87" s="10">
        <f t="shared" si="102"/>
        <v>3.3333333333333734E-3</v>
      </c>
      <c r="DF87" s="10">
        <f t="shared" si="103"/>
        <v>2.6041666666667225E-3</v>
      </c>
      <c r="DG87" s="10">
        <f t="shared" si="104"/>
        <v>1.4375000000000546E-3</v>
      </c>
      <c r="DH87" s="10">
        <f t="shared" si="105"/>
        <v>2.0208333333334534E-3</v>
      </c>
      <c r="DI87" s="10">
        <f t="shared" si="106"/>
        <v>-1.6666666666662983E-4</v>
      </c>
      <c r="DJ87" s="10">
        <f t="shared" si="107"/>
        <v>8.5416666666678542E-4</v>
      </c>
      <c r="DK87" s="10">
        <f t="shared" si="108"/>
        <v>-7.4999999999989897E-4</v>
      </c>
      <c r="DL87" s="10">
        <f t="shared" si="109"/>
        <v>-2.2083333333333308E-3</v>
      </c>
      <c r="DM87" s="10">
        <f t="shared" si="110"/>
        <v>-1.9166666666665666E-3</v>
      </c>
      <c r="DN87" s="10">
        <f t="shared" si="111"/>
        <v>2.3125000000000879E-3</v>
      </c>
      <c r="DO87" s="10">
        <f t="shared" si="112"/>
        <v>-1.3333333333332975E-3</v>
      </c>
      <c r="DP87" s="10">
        <f t="shared" si="113"/>
        <v>1.1458333333334201E-3</v>
      </c>
      <c r="DQ87" s="10">
        <f t="shared" si="114"/>
        <v>-1.6666666666662983E-4</v>
      </c>
      <c r="DR87" s="10">
        <f t="shared" si="115"/>
        <v>1.7291666666666892E-3</v>
      </c>
      <c r="DS87" s="10">
        <f t="shared" si="116"/>
        <v>5.6250000000002132E-4</v>
      </c>
      <c r="DT87" s="10">
        <f t="shared" si="117"/>
        <v>-2.645833333333218E-3</v>
      </c>
      <c r="DU87" s="10">
        <f t="shared" si="118"/>
        <v>-4.5833333333326437E-4</v>
      </c>
      <c r="DV87" s="10">
        <f t="shared" si="119"/>
        <v>-8.9583333333328097E-4</v>
      </c>
      <c r="DW87" s="10">
        <f t="shared" si="120"/>
        <v>-1.9166666666665666E-3</v>
      </c>
    </row>
    <row r="88" spans="2:127" x14ac:dyDescent="0.45">
      <c r="B88" s="1">
        <v>24</v>
      </c>
      <c r="C88" s="1">
        <v>1185</v>
      </c>
      <c r="D88" s="7">
        <f t="shared" si="121"/>
        <v>6.9450549450549453</v>
      </c>
      <c r="E88" s="1">
        <v>6.9320000000000004</v>
      </c>
      <c r="F88" s="1">
        <v>6.9459999999999997</v>
      </c>
      <c r="G88" s="1">
        <v>6.9459999999999997</v>
      </c>
      <c r="H88" s="1">
        <v>6.92</v>
      </c>
      <c r="I88" s="1">
        <v>6.9450000000000003</v>
      </c>
      <c r="J88" s="1">
        <v>6.9509999999999996</v>
      </c>
      <c r="K88" s="1">
        <v>6.9690000000000003</v>
      </c>
      <c r="L88" s="1">
        <v>6.9610000000000003</v>
      </c>
      <c r="M88" s="1">
        <v>6.9580000000000002</v>
      </c>
      <c r="N88" s="1">
        <v>6.9470000000000001</v>
      </c>
      <c r="O88" s="1">
        <v>6.9429999999999996</v>
      </c>
      <c r="P88" s="1">
        <v>6.931</v>
      </c>
      <c r="Q88" s="1">
        <v>6.9409999999999998</v>
      </c>
      <c r="R88" s="1">
        <v>6.9610000000000003</v>
      </c>
      <c r="S88" s="1">
        <v>6.9459999999999997</v>
      </c>
      <c r="T88" s="1">
        <v>6.9539999999999997</v>
      </c>
      <c r="U88" s="1">
        <v>6.96</v>
      </c>
      <c r="V88" s="1">
        <v>6.93</v>
      </c>
      <c r="W88" s="1">
        <v>6.9390000000000001</v>
      </c>
      <c r="X88" s="1">
        <v>6.9889999999999999</v>
      </c>
      <c r="Y88" s="1">
        <v>6.9240000000000004</v>
      </c>
      <c r="Z88" s="1">
        <v>6.9390000000000001</v>
      </c>
      <c r="AA88" s="1">
        <v>6.9690000000000003</v>
      </c>
      <c r="AB88" s="1">
        <v>6.9320000000000004</v>
      </c>
      <c r="AC88" s="1">
        <v>6.9409999999999998</v>
      </c>
      <c r="AD88" s="1">
        <v>6.9560000000000004</v>
      </c>
      <c r="AE88" s="1">
        <v>6.9530000000000003</v>
      </c>
      <c r="AF88" s="1">
        <v>6.9619999999999997</v>
      </c>
      <c r="AG88" s="1">
        <v>6.9580000000000002</v>
      </c>
      <c r="AH88" s="1">
        <v>6.9560000000000004</v>
      </c>
      <c r="AI88" s="1">
        <v>6.9509999999999996</v>
      </c>
      <c r="AJ88" s="1">
        <v>6.9509999999999996</v>
      </c>
      <c r="AK88" s="1">
        <v>6.9370000000000003</v>
      </c>
      <c r="AL88" s="1">
        <v>6.9370000000000003</v>
      </c>
      <c r="AM88" s="1">
        <v>6.9459999999999997</v>
      </c>
      <c r="AN88" s="1">
        <v>6.9539999999999997</v>
      </c>
      <c r="AO88" s="1">
        <v>6.9530000000000003</v>
      </c>
      <c r="AP88" s="1">
        <v>6.9470000000000001</v>
      </c>
      <c r="AQ88" s="1">
        <v>6.9420000000000002</v>
      </c>
      <c r="AR88" s="1">
        <v>6.95</v>
      </c>
      <c r="AS88" s="1">
        <v>6.9189999999999996</v>
      </c>
      <c r="AT88" s="1">
        <v>6.9649999999999999</v>
      </c>
      <c r="AU88" s="1">
        <v>6.9619999999999997</v>
      </c>
      <c r="AV88" s="1">
        <v>6.9649999999999999</v>
      </c>
      <c r="AW88" s="1">
        <v>6.9610000000000003</v>
      </c>
      <c r="AX88" s="1">
        <v>6.9450000000000003</v>
      </c>
      <c r="AY88" s="1">
        <v>6.9530000000000003</v>
      </c>
      <c r="AZ88" s="1">
        <v>6.9379999999999997</v>
      </c>
      <c r="BA88" s="1">
        <v>6.931</v>
      </c>
      <c r="BB88" s="1">
        <v>6.9320000000000004</v>
      </c>
      <c r="BC88" s="1">
        <v>6.96</v>
      </c>
      <c r="BD88" s="1">
        <v>6.9349999999999996</v>
      </c>
      <c r="BE88" s="1">
        <v>6.9509999999999996</v>
      </c>
      <c r="BF88" s="1">
        <v>6.9450000000000003</v>
      </c>
      <c r="BG88" s="1">
        <v>6.96</v>
      </c>
      <c r="BH88" s="1">
        <v>6.9470000000000001</v>
      </c>
      <c r="BI88" s="1">
        <v>6.9240000000000004</v>
      </c>
      <c r="BJ88" s="1">
        <v>6.9420000000000002</v>
      </c>
      <c r="BK88" s="1">
        <v>6.9450000000000003</v>
      </c>
      <c r="BL88" s="1">
        <v>6.9320000000000004</v>
      </c>
      <c r="BN88" s="9">
        <v>24</v>
      </c>
      <c r="BO88" s="9">
        <v>1185</v>
      </c>
      <c r="BP88" s="10">
        <f t="shared" si="61"/>
        <v>-1.8797468354430108E-3</v>
      </c>
      <c r="BQ88" s="10">
        <f t="shared" si="62"/>
        <v>1.3607594936702162E-4</v>
      </c>
      <c r="BR88" s="10">
        <f t="shared" si="63"/>
        <v>1.3607594936702162E-4</v>
      </c>
      <c r="BS88" s="10">
        <f t="shared" si="64"/>
        <v>-3.6075949367088988E-3</v>
      </c>
      <c r="BT88" s="10">
        <f t="shared" si="65"/>
        <v>-7.9113924050504743E-6</v>
      </c>
      <c r="BU88" s="10">
        <f t="shared" si="66"/>
        <v>8.5601265822776577E-4</v>
      </c>
      <c r="BV88" s="10">
        <f t="shared" si="67"/>
        <v>3.4477848101265979E-3</v>
      </c>
      <c r="BW88" s="10">
        <f t="shared" si="68"/>
        <v>2.2958860759493818E-3</v>
      </c>
      <c r="BX88" s="10">
        <f t="shared" si="69"/>
        <v>1.8639240506329099E-3</v>
      </c>
      <c r="BY88" s="10">
        <f t="shared" si="70"/>
        <v>2.8006329113922161E-4</v>
      </c>
      <c r="BZ88" s="10">
        <f t="shared" si="71"/>
        <v>-2.9588607594945043E-4</v>
      </c>
      <c r="CA88" s="10">
        <f t="shared" si="72"/>
        <v>-2.0237341772152109E-3</v>
      </c>
      <c r="CB88" s="10">
        <f t="shared" si="73"/>
        <v>-5.8386075949372254E-4</v>
      </c>
      <c r="CC88" s="10">
        <f t="shared" si="74"/>
        <v>2.2958860759493818E-3</v>
      </c>
      <c r="CD88" s="10">
        <f t="shared" si="75"/>
        <v>1.3607594936702162E-4</v>
      </c>
      <c r="CE88" s="10">
        <f t="shared" si="76"/>
        <v>1.2879746835442378E-3</v>
      </c>
      <c r="CF88" s="10">
        <f t="shared" si="77"/>
        <v>2.1518987341771819E-3</v>
      </c>
      <c r="CG88" s="10">
        <f t="shared" si="78"/>
        <v>-2.1677215189874108E-3</v>
      </c>
      <c r="CH88" s="10">
        <f t="shared" si="79"/>
        <v>-8.7183544303799459E-4</v>
      </c>
      <c r="CI88" s="10">
        <f t="shared" si="80"/>
        <v>6.3275316455695743E-3</v>
      </c>
      <c r="CJ88" s="10">
        <f t="shared" si="81"/>
        <v>-3.0316455696202268E-3</v>
      </c>
      <c r="CK88" s="10">
        <f t="shared" si="82"/>
        <v>-8.7183544303799459E-4</v>
      </c>
      <c r="CL88" s="10">
        <f t="shared" si="83"/>
        <v>3.4477848101265979E-3</v>
      </c>
      <c r="CM88" s="10">
        <f t="shared" si="84"/>
        <v>-1.8797468354430108E-3</v>
      </c>
      <c r="CN88" s="10">
        <f t="shared" si="85"/>
        <v>-5.8386075949372254E-4</v>
      </c>
      <c r="CO88" s="10">
        <f t="shared" si="86"/>
        <v>1.5759493670886378E-3</v>
      </c>
      <c r="CP88" s="10">
        <f t="shared" si="87"/>
        <v>1.1439873417721656E-3</v>
      </c>
      <c r="CQ88" s="10">
        <f t="shared" si="88"/>
        <v>2.4398734177214542E-3</v>
      </c>
      <c r="CR88" s="10">
        <f t="shared" si="89"/>
        <v>1.8639240506329099E-3</v>
      </c>
      <c r="CS88" s="10">
        <f t="shared" si="90"/>
        <v>1.5759493670886378E-3</v>
      </c>
      <c r="CT88" s="10">
        <f t="shared" si="91"/>
        <v>8.5601265822776577E-4</v>
      </c>
      <c r="CU88" s="10">
        <f t="shared" si="92"/>
        <v>8.5601265822776577E-4</v>
      </c>
      <c r="CV88" s="10">
        <f t="shared" si="93"/>
        <v>-1.1598101265822666E-3</v>
      </c>
      <c r="CW88" s="10">
        <f t="shared" si="94"/>
        <v>-1.1598101265822666E-3</v>
      </c>
      <c r="CX88" s="10">
        <f t="shared" si="95"/>
        <v>1.3607594936702162E-4</v>
      </c>
      <c r="CY88" s="10">
        <f t="shared" si="96"/>
        <v>1.2879746835442378E-3</v>
      </c>
      <c r="CZ88" s="10">
        <f t="shared" si="97"/>
        <v>1.1439873417721656E-3</v>
      </c>
      <c r="DA88" s="10">
        <f t="shared" si="98"/>
        <v>2.8006329113922161E-4</v>
      </c>
      <c r="DB88" s="10">
        <f t="shared" si="99"/>
        <v>-4.3987341772152254E-4</v>
      </c>
      <c r="DC88" s="10">
        <f t="shared" si="100"/>
        <v>7.120253164556936E-4</v>
      </c>
      <c r="DD88" s="10">
        <f t="shared" si="101"/>
        <v>-3.7515822784810991E-3</v>
      </c>
      <c r="DE88" s="10">
        <f t="shared" si="102"/>
        <v>2.8718354430379259E-3</v>
      </c>
      <c r="DF88" s="10">
        <f t="shared" si="103"/>
        <v>2.4398734177214542E-3</v>
      </c>
      <c r="DG88" s="10">
        <f t="shared" si="104"/>
        <v>2.8718354430379259E-3</v>
      </c>
      <c r="DH88" s="10">
        <f t="shared" si="105"/>
        <v>2.2958860759493818E-3</v>
      </c>
      <c r="DI88" s="10">
        <f t="shared" si="106"/>
        <v>-7.9113924050504743E-6</v>
      </c>
      <c r="DJ88" s="10">
        <f t="shared" si="107"/>
        <v>1.1439873417721656E-3</v>
      </c>
      <c r="DK88" s="10">
        <f t="shared" si="108"/>
        <v>-1.0158227848101945E-3</v>
      </c>
      <c r="DL88" s="10">
        <f t="shared" si="109"/>
        <v>-2.0237341772152109E-3</v>
      </c>
      <c r="DM88" s="10">
        <f t="shared" si="110"/>
        <v>-1.8797468354430108E-3</v>
      </c>
      <c r="DN88" s="10">
        <f t="shared" si="111"/>
        <v>2.1518987341771819E-3</v>
      </c>
      <c r="DO88" s="10">
        <f t="shared" si="112"/>
        <v>-1.4477848101266666E-3</v>
      </c>
      <c r="DP88" s="10">
        <f t="shared" si="113"/>
        <v>8.5601265822776577E-4</v>
      </c>
      <c r="DQ88" s="10">
        <f t="shared" si="114"/>
        <v>-7.9113924050504743E-6</v>
      </c>
      <c r="DR88" s="10">
        <f t="shared" si="115"/>
        <v>2.1518987341771819E-3</v>
      </c>
      <c r="DS88" s="10">
        <f t="shared" si="116"/>
        <v>2.8006329113922161E-4</v>
      </c>
      <c r="DT88" s="10">
        <f t="shared" si="117"/>
        <v>-3.0316455696202268E-3</v>
      </c>
      <c r="DU88" s="10">
        <f t="shared" si="118"/>
        <v>-4.3987341772152254E-4</v>
      </c>
      <c r="DV88" s="10">
        <f t="shared" si="119"/>
        <v>-7.9113924050504743E-6</v>
      </c>
      <c r="DW88" s="10">
        <f t="shared" si="120"/>
        <v>-1.8797468354430108E-3</v>
      </c>
    </row>
    <row r="89" spans="2:127" x14ac:dyDescent="0.45">
      <c r="B89" s="1">
        <v>24</v>
      </c>
      <c r="C89" s="1">
        <v>1200</v>
      </c>
      <c r="D89" s="7">
        <f t="shared" si="121"/>
        <v>7.0329670329670328</v>
      </c>
      <c r="E89" s="1">
        <v>7.0179999999999998</v>
      </c>
      <c r="F89" s="1">
        <v>7.0339999999999998</v>
      </c>
      <c r="G89" s="1">
        <v>7.0339999999999998</v>
      </c>
      <c r="H89" s="1">
        <v>7.008</v>
      </c>
      <c r="I89" s="1">
        <v>7.0330000000000004</v>
      </c>
      <c r="J89" s="1">
        <v>7.0380000000000003</v>
      </c>
      <c r="K89" s="1">
        <v>7.056</v>
      </c>
      <c r="L89" s="1">
        <v>7.05</v>
      </c>
      <c r="M89" s="1">
        <v>7.0449999999999999</v>
      </c>
      <c r="N89" s="1">
        <v>7.0359999999999996</v>
      </c>
      <c r="O89" s="1">
        <v>7.03</v>
      </c>
      <c r="P89" s="1">
        <v>7.0209999999999999</v>
      </c>
      <c r="Q89" s="1">
        <v>7.0289999999999999</v>
      </c>
      <c r="R89" s="1">
        <v>7.0460000000000003</v>
      </c>
      <c r="S89" s="1">
        <v>7.0330000000000004</v>
      </c>
      <c r="T89" s="1">
        <v>7.0410000000000004</v>
      </c>
      <c r="U89" s="1">
        <v>7.0490000000000004</v>
      </c>
      <c r="V89" s="1">
        <v>7.0179999999999998</v>
      </c>
      <c r="W89" s="1">
        <v>7.0289999999999999</v>
      </c>
      <c r="X89" s="1">
        <v>7.06</v>
      </c>
      <c r="Y89" s="1">
        <v>7.0119999999999996</v>
      </c>
      <c r="Z89" s="1">
        <v>7.0270000000000001</v>
      </c>
      <c r="AA89" s="1">
        <v>7.0529999999999999</v>
      </c>
      <c r="AB89" s="1">
        <v>7.0190000000000001</v>
      </c>
      <c r="AC89" s="1">
        <v>7.0270000000000001</v>
      </c>
      <c r="AD89" s="1">
        <v>7.0439999999999996</v>
      </c>
      <c r="AE89" s="1">
        <v>7.0410000000000004</v>
      </c>
      <c r="AF89" s="1">
        <v>7.0490000000000004</v>
      </c>
      <c r="AG89" s="1">
        <v>7.0449999999999999</v>
      </c>
      <c r="AH89" s="1">
        <v>7.0419999999999998</v>
      </c>
      <c r="AI89" s="1">
        <v>7.0369999999999999</v>
      </c>
      <c r="AJ89" s="1">
        <v>7.0359999999999996</v>
      </c>
      <c r="AK89" s="1">
        <v>7.0229999999999997</v>
      </c>
      <c r="AL89" s="1">
        <v>7.0229999999999997</v>
      </c>
      <c r="AM89" s="1">
        <v>7.0359999999999996</v>
      </c>
      <c r="AN89" s="1">
        <v>7.0419999999999998</v>
      </c>
      <c r="AO89" s="1">
        <v>7.04</v>
      </c>
      <c r="AP89" s="1">
        <v>7.0380000000000003</v>
      </c>
      <c r="AQ89" s="1">
        <v>7.03</v>
      </c>
      <c r="AR89" s="1">
        <v>7.0359999999999996</v>
      </c>
      <c r="AS89" s="1">
        <v>7.01</v>
      </c>
      <c r="AT89" s="1">
        <v>7.0519999999999996</v>
      </c>
      <c r="AU89" s="1">
        <v>7.0410000000000004</v>
      </c>
      <c r="AV89" s="1">
        <v>7.04</v>
      </c>
      <c r="AW89" s="1">
        <v>7.048</v>
      </c>
      <c r="AX89" s="1">
        <v>7.0339999999999998</v>
      </c>
      <c r="AY89" s="1">
        <v>7.04</v>
      </c>
      <c r="AZ89" s="1">
        <v>7.0259999999999998</v>
      </c>
      <c r="BA89" s="1">
        <v>7.0190000000000001</v>
      </c>
      <c r="BB89" s="1">
        <v>7.0190000000000001</v>
      </c>
      <c r="BC89" s="1">
        <v>7.0460000000000003</v>
      </c>
      <c r="BD89" s="1">
        <v>7.0220000000000002</v>
      </c>
      <c r="BE89" s="1">
        <v>7.0369999999999999</v>
      </c>
      <c r="BF89" s="1">
        <v>7.0330000000000004</v>
      </c>
      <c r="BG89" s="1">
        <v>7.0490000000000004</v>
      </c>
      <c r="BH89" s="1">
        <v>7.0339999999999998</v>
      </c>
      <c r="BI89" s="1">
        <v>7.01</v>
      </c>
      <c r="BJ89" s="1">
        <v>7.0289999999999999</v>
      </c>
      <c r="BK89" s="1">
        <v>7.0270000000000001</v>
      </c>
      <c r="BL89" s="1">
        <v>7.0179999999999998</v>
      </c>
      <c r="BN89" s="9">
        <v>24</v>
      </c>
      <c r="BO89" s="9">
        <v>1200</v>
      </c>
      <c r="BP89" s="10">
        <f t="shared" si="61"/>
        <v>-2.1281250000000128E-3</v>
      </c>
      <c r="BQ89" s="10">
        <f t="shared" si="62"/>
        <v>1.4687499999998938E-4</v>
      </c>
      <c r="BR89" s="10">
        <f t="shared" si="63"/>
        <v>1.4687499999998938E-4</v>
      </c>
      <c r="BS89" s="10">
        <f t="shared" si="64"/>
        <v>-3.5499999999999824E-3</v>
      </c>
      <c r="BT89" s="10">
        <f t="shared" si="65"/>
        <v>4.687500000068179E-6</v>
      </c>
      <c r="BU89" s="10">
        <f t="shared" si="66"/>
        <v>7.1562500000005302E-4</v>
      </c>
      <c r="BV89" s="10">
        <f t="shared" si="67"/>
        <v>3.275000000000024E-3</v>
      </c>
      <c r="BW89" s="10">
        <f t="shared" si="68"/>
        <v>2.4218749999999913E-3</v>
      </c>
      <c r="BX89" s="10">
        <f t="shared" si="69"/>
        <v>1.7109375000000065E-3</v>
      </c>
      <c r="BY89" s="10">
        <f t="shared" si="70"/>
        <v>4.3124999999995809E-4</v>
      </c>
      <c r="BZ89" s="10">
        <f t="shared" si="71"/>
        <v>-4.2187499999994801E-4</v>
      </c>
      <c r="CA89" s="10">
        <f t="shared" si="72"/>
        <v>-1.7015624999999965E-3</v>
      </c>
      <c r="CB89" s="10">
        <f t="shared" si="73"/>
        <v>-5.6406249999999545E-4</v>
      </c>
      <c r="CC89" s="10">
        <f t="shared" si="74"/>
        <v>1.8531250000000542E-3</v>
      </c>
      <c r="CD89" s="10">
        <f t="shared" si="75"/>
        <v>4.687500000068179E-6</v>
      </c>
      <c r="CE89" s="10">
        <f t="shared" si="76"/>
        <v>1.1421875000000691E-3</v>
      </c>
      <c r="CF89" s="10">
        <f t="shared" si="77"/>
        <v>2.2796875000000703E-3</v>
      </c>
      <c r="CG89" s="10">
        <f t="shared" si="78"/>
        <v>-2.1281250000000128E-3</v>
      </c>
      <c r="CH89" s="10">
        <f t="shared" si="79"/>
        <v>-5.6406249999999545E-4</v>
      </c>
      <c r="CI89" s="10">
        <f t="shared" si="80"/>
        <v>3.8437499999999613E-3</v>
      </c>
      <c r="CJ89" s="10">
        <f t="shared" si="81"/>
        <v>-2.9812500000000451E-3</v>
      </c>
      <c r="CK89" s="10">
        <f t="shared" si="82"/>
        <v>-8.4843749999996413E-4</v>
      </c>
      <c r="CL89" s="10">
        <f t="shared" si="83"/>
        <v>2.8484375000000076E-3</v>
      </c>
      <c r="CM89" s="10">
        <f t="shared" si="84"/>
        <v>-1.9859374999999652E-3</v>
      </c>
      <c r="CN89" s="10">
        <f t="shared" si="85"/>
        <v>-8.4843749999996413E-4</v>
      </c>
      <c r="CO89" s="10">
        <f t="shared" si="86"/>
        <v>1.5687499999999591E-3</v>
      </c>
      <c r="CP89" s="10">
        <f t="shared" si="87"/>
        <v>1.1421875000000691E-3</v>
      </c>
      <c r="CQ89" s="10">
        <f t="shared" si="88"/>
        <v>2.2796875000000703E-3</v>
      </c>
      <c r="CR89" s="10">
        <f t="shared" si="89"/>
        <v>1.7109375000000065E-3</v>
      </c>
      <c r="CS89" s="10">
        <f t="shared" si="90"/>
        <v>1.2843749999999904E-3</v>
      </c>
      <c r="CT89" s="10">
        <f t="shared" si="91"/>
        <v>5.7343750000000558E-4</v>
      </c>
      <c r="CU89" s="10">
        <f t="shared" si="92"/>
        <v>4.3124999999995809E-4</v>
      </c>
      <c r="CV89" s="10">
        <f t="shared" si="93"/>
        <v>-1.4171875000000278E-3</v>
      </c>
      <c r="CW89" s="10">
        <f t="shared" si="94"/>
        <v>-1.4171875000000278E-3</v>
      </c>
      <c r="CX89" s="10">
        <f t="shared" si="95"/>
        <v>4.3124999999995809E-4</v>
      </c>
      <c r="CY89" s="10">
        <f t="shared" si="96"/>
        <v>1.2843749999999904E-3</v>
      </c>
      <c r="CZ89" s="10">
        <f t="shared" si="97"/>
        <v>1.0000000000000217E-3</v>
      </c>
      <c r="DA89" s="10">
        <f t="shared" si="98"/>
        <v>7.1562500000005302E-4</v>
      </c>
      <c r="DB89" s="10">
        <f t="shared" si="99"/>
        <v>-4.2187499999994801E-4</v>
      </c>
      <c r="DC89" s="10">
        <f t="shared" si="100"/>
        <v>4.3124999999995809E-4</v>
      </c>
      <c r="DD89" s="10">
        <f t="shared" si="101"/>
        <v>-3.2656250000000137E-3</v>
      </c>
      <c r="DE89" s="10">
        <f t="shared" si="102"/>
        <v>2.70624999999996E-3</v>
      </c>
      <c r="DF89" s="10">
        <f t="shared" si="103"/>
        <v>1.1421875000000691E-3</v>
      </c>
      <c r="DG89" s="10">
        <f t="shared" si="104"/>
        <v>1.0000000000000217E-3</v>
      </c>
      <c r="DH89" s="10">
        <f t="shared" si="105"/>
        <v>2.1375000000000226E-3</v>
      </c>
      <c r="DI89" s="10">
        <f t="shared" si="106"/>
        <v>1.4687499999998938E-4</v>
      </c>
      <c r="DJ89" s="10">
        <f t="shared" si="107"/>
        <v>1.0000000000000217E-3</v>
      </c>
      <c r="DK89" s="10">
        <f t="shared" si="108"/>
        <v>-9.9062500000001168E-4</v>
      </c>
      <c r="DL89" s="10">
        <f t="shared" si="109"/>
        <v>-1.9859374999999652E-3</v>
      </c>
      <c r="DM89" s="10">
        <f t="shared" si="110"/>
        <v>-1.9859374999999652E-3</v>
      </c>
      <c r="DN89" s="10">
        <f t="shared" si="111"/>
        <v>1.8531250000000542E-3</v>
      </c>
      <c r="DO89" s="10">
        <f t="shared" si="112"/>
        <v>-1.559374999999949E-3</v>
      </c>
      <c r="DP89" s="10">
        <f t="shared" si="113"/>
        <v>5.7343750000000558E-4</v>
      </c>
      <c r="DQ89" s="10">
        <f t="shared" si="114"/>
        <v>4.687500000068179E-6</v>
      </c>
      <c r="DR89" s="10">
        <f t="shared" si="115"/>
        <v>2.2796875000000703E-3</v>
      </c>
      <c r="DS89" s="10">
        <f t="shared" si="116"/>
        <v>1.4687499999998938E-4</v>
      </c>
      <c r="DT89" s="10">
        <f t="shared" si="117"/>
        <v>-3.2656250000000137E-3</v>
      </c>
      <c r="DU89" s="10">
        <f t="shared" si="118"/>
        <v>-5.6406249999999545E-4</v>
      </c>
      <c r="DV89" s="10">
        <f t="shared" si="119"/>
        <v>-8.4843749999996413E-4</v>
      </c>
      <c r="DW89" s="10">
        <f t="shared" si="120"/>
        <v>-2.1281250000000128E-3</v>
      </c>
    </row>
    <row r="90" spans="2:127" x14ac:dyDescent="0.45">
      <c r="B90" s="1">
        <v>24</v>
      </c>
      <c r="C90" s="1">
        <v>1215</v>
      </c>
      <c r="D90" s="7">
        <f t="shared" si="121"/>
        <v>7.1208791208791204</v>
      </c>
      <c r="E90" s="1">
        <v>7.1050000000000004</v>
      </c>
      <c r="F90" s="1">
        <v>7.1239999999999997</v>
      </c>
      <c r="G90" s="1">
        <v>7.1219999999999999</v>
      </c>
      <c r="H90" s="1">
        <v>7.0979999999999999</v>
      </c>
      <c r="I90" s="1">
        <v>7.1210000000000004</v>
      </c>
      <c r="J90" s="1">
        <v>7.1239999999999997</v>
      </c>
      <c r="K90" s="1">
        <v>7.1440000000000001</v>
      </c>
      <c r="L90" s="1">
        <v>7.133</v>
      </c>
      <c r="M90" s="1">
        <v>7.133</v>
      </c>
      <c r="N90" s="1">
        <v>7.1239999999999997</v>
      </c>
      <c r="O90" s="1">
        <v>7.117</v>
      </c>
      <c r="P90" s="1">
        <v>7.11</v>
      </c>
      <c r="Q90" s="1">
        <v>7.1180000000000003</v>
      </c>
      <c r="R90" s="1">
        <v>7.1349999999999998</v>
      </c>
      <c r="S90" s="1">
        <v>7.1219999999999999</v>
      </c>
      <c r="T90" s="1">
        <v>7.1289999999999996</v>
      </c>
      <c r="U90" s="1">
        <v>7.1360000000000001</v>
      </c>
      <c r="V90" s="1">
        <v>7.1059999999999999</v>
      </c>
      <c r="W90" s="1">
        <v>7.1139999999999999</v>
      </c>
      <c r="X90" s="1">
        <v>7.1630000000000003</v>
      </c>
      <c r="Y90" s="1">
        <v>7.1020000000000003</v>
      </c>
      <c r="Z90" s="1">
        <v>7.1159999999999997</v>
      </c>
      <c r="AA90" s="1">
        <v>7.1440000000000001</v>
      </c>
      <c r="AB90" s="1">
        <v>7.1070000000000002</v>
      </c>
      <c r="AC90" s="1">
        <v>7.1130000000000004</v>
      </c>
      <c r="AD90" s="1">
        <v>7.1319999999999997</v>
      </c>
      <c r="AE90" s="1">
        <v>7.1280000000000001</v>
      </c>
      <c r="AF90" s="1">
        <v>7.1369999999999996</v>
      </c>
      <c r="AG90" s="1">
        <v>7.133</v>
      </c>
      <c r="AH90" s="1">
        <v>7.13</v>
      </c>
      <c r="AI90" s="1">
        <v>7.125</v>
      </c>
      <c r="AJ90" s="1">
        <v>7.1210000000000004</v>
      </c>
      <c r="AK90" s="1">
        <v>7.109</v>
      </c>
      <c r="AL90" s="1">
        <v>7.11</v>
      </c>
      <c r="AM90" s="1">
        <v>7.1239999999999997</v>
      </c>
      <c r="AN90" s="1">
        <v>7.1319999999999997</v>
      </c>
      <c r="AO90" s="1">
        <v>7.125</v>
      </c>
      <c r="AP90" s="1">
        <v>7.125</v>
      </c>
      <c r="AQ90" s="1">
        <v>7.1180000000000003</v>
      </c>
      <c r="AR90" s="1">
        <v>7.1239999999999997</v>
      </c>
      <c r="AS90" s="1">
        <v>7.1050000000000004</v>
      </c>
      <c r="AT90" s="1">
        <v>7.141</v>
      </c>
      <c r="AU90" s="1">
        <v>7.1390000000000002</v>
      </c>
      <c r="AV90" s="1">
        <v>7.1449999999999996</v>
      </c>
      <c r="AW90" s="1">
        <v>7.1360000000000001</v>
      </c>
      <c r="AX90" s="1">
        <v>7.1210000000000004</v>
      </c>
      <c r="AY90" s="1">
        <v>7.1280000000000001</v>
      </c>
      <c r="AZ90" s="1">
        <v>7.1159999999999997</v>
      </c>
      <c r="BA90" s="1">
        <v>7.1070000000000002</v>
      </c>
      <c r="BB90" s="1">
        <v>7.1070000000000002</v>
      </c>
      <c r="BC90" s="1">
        <v>7.13</v>
      </c>
      <c r="BD90" s="1">
        <v>7.11</v>
      </c>
      <c r="BE90" s="1">
        <v>7.125</v>
      </c>
      <c r="BF90" s="1">
        <v>7.1210000000000004</v>
      </c>
      <c r="BG90" s="1">
        <v>7.1390000000000002</v>
      </c>
      <c r="BH90" s="1">
        <v>7.1239999999999997</v>
      </c>
      <c r="BI90" s="1">
        <v>7.0990000000000002</v>
      </c>
      <c r="BJ90" s="1">
        <v>7.117</v>
      </c>
      <c r="BK90" s="1">
        <v>7.1130000000000004</v>
      </c>
      <c r="BL90" s="1">
        <v>7.1059999999999999</v>
      </c>
      <c r="BN90" s="9">
        <v>24</v>
      </c>
      <c r="BO90" s="9">
        <v>1215</v>
      </c>
      <c r="BP90" s="10">
        <f t="shared" si="61"/>
        <v>-2.2299382716048184E-3</v>
      </c>
      <c r="BQ90" s="10">
        <f t="shared" si="62"/>
        <v>4.3827160493828502E-4</v>
      </c>
      <c r="BR90" s="10">
        <f t="shared" si="63"/>
        <v>1.5740740740745175E-4</v>
      </c>
      <c r="BS90" s="10">
        <f t="shared" si="64"/>
        <v>-3.2129629629629218E-3</v>
      </c>
      <c r="BT90" s="10">
        <f t="shared" si="65"/>
        <v>1.6975308642097485E-5</v>
      </c>
      <c r="BU90" s="10">
        <f t="shared" si="66"/>
        <v>4.3827160493828502E-4</v>
      </c>
      <c r="BV90" s="10">
        <f t="shared" si="67"/>
        <v>3.2469135802469921E-3</v>
      </c>
      <c r="BW90" s="10">
        <f t="shared" si="68"/>
        <v>1.7021604938272218E-3</v>
      </c>
      <c r="BX90" s="10">
        <f t="shared" si="69"/>
        <v>1.7021604938272218E-3</v>
      </c>
      <c r="BY90" s="10">
        <f t="shared" si="70"/>
        <v>4.3827160493828502E-4</v>
      </c>
      <c r="BZ90" s="10">
        <f t="shared" si="71"/>
        <v>-5.4475308641969381E-4</v>
      </c>
      <c r="CA90" s="10">
        <f t="shared" si="72"/>
        <v>-1.5277777777776727E-3</v>
      </c>
      <c r="CB90" s="10">
        <f t="shared" si="73"/>
        <v>-4.0432098765421482E-4</v>
      </c>
      <c r="CC90" s="10">
        <f t="shared" si="74"/>
        <v>1.9830246913580553E-3</v>
      </c>
      <c r="CD90" s="10">
        <f t="shared" si="75"/>
        <v>1.5740740740745175E-4</v>
      </c>
      <c r="CE90" s="10">
        <f t="shared" si="76"/>
        <v>1.1404320987654305E-3</v>
      </c>
      <c r="CF90" s="10">
        <f t="shared" si="77"/>
        <v>2.123456790123534E-3</v>
      </c>
      <c r="CG90" s="10">
        <f t="shared" si="78"/>
        <v>-2.0895061728394638E-3</v>
      </c>
      <c r="CH90" s="10">
        <f t="shared" si="79"/>
        <v>-9.660493827160061E-4</v>
      </c>
      <c r="CI90" s="10">
        <f t="shared" si="80"/>
        <v>5.9151234567902198E-3</v>
      </c>
      <c r="CJ90" s="10">
        <f t="shared" si="81"/>
        <v>-2.6512345679011303E-3</v>
      </c>
      <c r="CK90" s="10">
        <f t="shared" si="82"/>
        <v>-6.851851851851728E-4</v>
      </c>
      <c r="CL90" s="10">
        <f t="shared" si="83"/>
        <v>3.2469135802469921E-3</v>
      </c>
      <c r="CM90" s="10">
        <f t="shared" si="84"/>
        <v>-1.9490740740739849E-3</v>
      </c>
      <c r="CN90" s="10">
        <f t="shared" si="85"/>
        <v>-1.1064814814813603E-3</v>
      </c>
      <c r="CO90" s="10">
        <f t="shared" si="86"/>
        <v>1.5617283950617429E-3</v>
      </c>
      <c r="CP90" s="10">
        <f t="shared" si="87"/>
        <v>1.0000000000000763E-3</v>
      </c>
      <c r="CQ90" s="10">
        <f t="shared" si="88"/>
        <v>2.2638888888888886E-3</v>
      </c>
      <c r="CR90" s="10">
        <f t="shared" si="89"/>
        <v>1.7021604938272218E-3</v>
      </c>
      <c r="CS90" s="10">
        <f t="shared" si="90"/>
        <v>1.2808641975309096E-3</v>
      </c>
      <c r="CT90" s="10">
        <f t="shared" si="91"/>
        <v>5.7870370370376406E-4</v>
      </c>
      <c r="CU90" s="10">
        <f t="shared" si="92"/>
        <v>1.6975308642097485E-5</v>
      </c>
      <c r="CV90" s="10">
        <f t="shared" si="93"/>
        <v>-1.6682098765431516E-3</v>
      </c>
      <c r="CW90" s="10">
        <f t="shared" si="94"/>
        <v>-1.5277777777776727E-3</v>
      </c>
      <c r="CX90" s="10">
        <f t="shared" si="95"/>
        <v>4.3827160493828502E-4</v>
      </c>
      <c r="CY90" s="10">
        <f t="shared" si="96"/>
        <v>1.5617283950617429E-3</v>
      </c>
      <c r="CZ90" s="10">
        <f t="shared" si="97"/>
        <v>5.7870370370376406E-4</v>
      </c>
      <c r="DA90" s="10">
        <f t="shared" si="98"/>
        <v>5.7870370370376406E-4</v>
      </c>
      <c r="DB90" s="10">
        <f t="shared" si="99"/>
        <v>-4.0432098765421482E-4</v>
      </c>
      <c r="DC90" s="10">
        <f t="shared" si="100"/>
        <v>4.3827160493828502E-4</v>
      </c>
      <c r="DD90" s="10">
        <f t="shared" si="101"/>
        <v>-2.2299382716048184E-3</v>
      </c>
      <c r="DE90" s="10">
        <f t="shared" si="102"/>
        <v>2.8256172839506797E-3</v>
      </c>
      <c r="DF90" s="10">
        <f t="shared" si="103"/>
        <v>2.5447530864198464E-3</v>
      </c>
      <c r="DG90" s="10">
        <f t="shared" si="104"/>
        <v>3.3873456790123463E-3</v>
      </c>
      <c r="DH90" s="10">
        <f t="shared" si="105"/>
        <v>2.123456790123534E-3</v>
      </c>
      <c r="DI90" s="10">
        <f t="shared" si="106"/>
        <v>1.6975308642097485E-5</v>
      </c>
      <c r="DJ90" s="10">
        <f t="shared" si="107"/>
        <v>1.0000000000000763E-3</v>
      </c>
      <c r="DK90" s="10">
        <f t="shared" si="108"/>
        <v>-6.851851851851728E-4</v>
      </c>
      <c r="DL90" s="10">
        <f t="shared" si="109"/>
        <v>-1.9490740740739849E-3</v>
      </c>
      <c r="DM90" s="10">
        <f t="shared" si="110"/>
        <v>-1.9490740740739849E-3</v>
      </c>
      <c r="DN90" s="10">
        <f t="shared" si="111"/>
        <v>1.2808641975309096E-3</v>
      </c>
      <c r="DO90" s="10">
        <f t="shared" si="112"/>
        <v>-1.5277777777776727E-3</v>
      </c>
      <c r="DP90" s="10">
        <f t="shared" si="113"/>
        <v>5.7870370370376406E-4</v>
      </c>
      <c r="DQ90" s="10">
        <f t="shared" si="114"/>
        <v>1.6975308642097485E-5</v>
      </c>
      <c r="DR90" s="10">
        <f t="shared" si="115"/>
        <v>2.5447530864198464E-3</v>
      </c>
      <c r="DS90" s="10">
        <f t="shared" si="116"/>
        <v>4.3827160493828502E-4</v>
      </c>
      <c r="DT90" s="10">
        <f t="shared" si="117"/>
        <v>-3.0725308641974427E-3</v>
      </c>
      <c r="DU90" s="10">
        <f t="shared" si="118"/>
        <v>-5.4475308641969381E-4</v>
      </c>
      <c r="DV90" s="10">
        <f t="shared" si="119"/>
        <v>-1.1064814814813603E-3</v>
      </c>
      <c r="DW90" s="10">
        <f t="shared" si="120"/>
        <v>-2.0895061728394638E-3</v>
      </c>
    </row>
    <row r="91" spans="2:127" x14ac:dyDescent="0.45">
      <c r="B91" s="1">
        <v>24</v>
      </c>
      <c r="C91" s="1">
        <v>1230</v>
      </c>
      <c r="D91" s="7">
        <f t="shared" si="121"/>
        <v>7.2087912087912089</v>
      </c>
      <c r="E91" s="1">
        <v>7.1920000000000002</v>
      </c>
      <c r="F91" s="1">
        <v>7.2119999999999997</v>
      </c>
      <c r="G91" s="1">
        <v>7.2110000000000003</v>
      </c>
      <c r="H91" s="1">
        <v>7.1859999999999999</v>
      </c>
      <c r="I91" s="1">
        <v>7.2089999999999996</v>
      </c>
      <c r="J91" s="1">
        <v>7.2110000000000003</v>
      </c>
      <c r="K91" s="1">
        <v>7.2279999999999998</v>
      </c>
      <c r="L91" s="1">
        <v>7.2210000000000001</v>
      </c>
      <c r="M91" s="1">
        <v>7.22</v>
      </c>
      <c r="N91" s="1">
        <v>7.2110000000000003</v>
      </c>
      <c r="O91" s="1">
        <v>7.2050000000000001</v>
      </c>
      <c r="P91" s="1">
        <v>7.1970000000000001</v>
      </c>
      <c r="Q91" s="1">
        <v>7.2060000000000004</v>
      </c>
      <c r="R91" s="1">
        <v>7.2210000000000001</v>
      </c>
      <c r="S91" s="1">
        <v>7.2119999999999997</v>
      </c>
      <c r="T91" s="1">
        <v>7.2190000000000003</v>
      </c>
      <c r="U91" s="1">
        <v>7.2240000000000002</v>
      </c>
      <c r="V91" s="1">
        <v>7.1959999999999997</v>
      </c>
      <c r="W91" s="1">
        <v>7.202</v>
      </c>
      <c r="X91" s="1">
        <v>7.2229999999999999</v>
      </c>
      <c r="Y91" s="1">
        <v>7.1890000000000001</v>
      </c>
      <c r="Z91" s="1">
        <v>7.2</v>
      </c>
      <c r="AA91" s="1">
        <v>7.2320000000000002</v>
      </c>
      <c r="AB91" s="1">
        <v>7.1959999999999997</v>
      </c>
      <c r="AC91" s="1">
        <v>7.2009999999999996</v>
      </c>
      <c r="AD91" s="1">
        <v>7.22</v>
      </c>
      <c r="AE91" s="1">
        <v>7.2169999999999996</v>
      </c>
      <c r="AF91" s="1">
        <v>7.2229999999999999</v>
      </c>
      <c r="AG91" s="1">
        <v>7.22</v>
      </c>
      <c r="AH91" s="1">
        <v>7.2160000000000002</v>
      </c>
      <c r="AI91" s="1">
        <v>7.2119999999999997</v>
      </c>
      <c r="AJ91" s="1">
        <v>7.2119999999999997</v>
      </c>
      <c r="AK91" s="1">
        <v>7.1959999999999997</v>
      </c>
      <c r="AL91" s="1">
        <v>7.1970000000000001</v>
      </c>
      <c r="AM91" s="1">
        <v>7.2130000000000001</v>
      </c>
      <c r="AN91" s="1">
        <v>7.2190000000000003</v>
      </c>
      <c r="AO91" s="1">
        <v>7.2149999999999999</v>
      </c>
      <c r="AP91" s="1">
        <v>7.2080000000000002</v>
      </c>
      <c r="AQ91" s="1">
        <v>7.2050000000000001</v>
      </c>
      <c r="AR91" s="1">
        <v>7.2119999999999997</v>
      </c>
      <c r="AS91" s="1">
        <v>7.19</v>
      </c>
      <c r="AT91" s="1">
        <v>7.2249999999999996</v>
      </c>
      <c r="AU91" s="1">
        <v>7.2229999999999999</v>
      </c>
      <c r="AV91" s="1">
        <v>7.2160000000000002</v>
      </c>
      <c r="AW91" s="1">
        <v>7.2240000000000002</v>
      </c>
      <c r="AX91" s="1">
        <v>7.2080000000000002</v>
      </c>
      <c r="AY91" s="1">
        <v>7.2149999999999999</v>
      </c>
      <c r="AZ91" s="1">
        <v>7.2050000000000001</v>
      </c>
      <c r="BA91" s="1">
        <v>7.1970000000000001</v>
      </c>
      <c r="BB91" s="1">
        <v>7.194</v>
      </c>
      <c r="BC91" s="1">
        <v>7.2160000000000002</v>
      </c>
      <c r="BD91" s="1">
        <v>7.1970000000000001</v>
      </c>
      <c r="BE91" s="1">
        <v>7.2119999999999997</v>
      </c>
      <c r="BF91" s="1">
        <v>7.2080000000000002</v>
      </c>
      <c r="BG91" s="1">
        <v>7.2229999999999999</v>
      </c>
      <c r="BH91" s="1">
        <v>7.2060000000000004</v>
      </c>
      <c r="BI91" s="1">
        <v>7.1890000000000001</v>
      </c>
      <c r="BJ91" s="1">
        <v>7.2060000000000004</v>
      </c>
      <c r="BK91" s="1">
        <v>7.2009999999999996</v>
      </c>
      <c r="BL91" s="1">
        <v>7.1929999999999996</v>
      </c>
      <c r="BN91" s="9">
        <v>24</v>
      </c>
      <c r="BO91" s="9">
        <v>1230</v>
      </c>
      <c r="BP91" s="10">
        <f t="shared" si="61"/>
        <v>-2.3292682926829233E-3</v>
      </c>
      <c r="BQ91" s="10">
        <f t="shared" si="62"/>
        <v>4.4512195121945637E-4</v>
      </c>
      <c r="BR91" s="10">
        <f t="shared" si="63"/>
        <v>3.0640243902441133E-4</v>
      </c>
      <c r="BS91" s="10">
        <f t="shared" si="64"/>
        <v>-3.1615853658536865E-3</v>
      </c>
      <c r="BT91" s="10">
        <f t="shared" si="65"/>
        <v>2.8963414634074776E-5</v>
      </c>
      <c r="BU91" s="10">
        <f t="shared" si="66"/>
        <v>3.0640243902441133E-4</v>
      </c>
      <c r="BV91" s="10">
        <f t="shared" si="67"/>
        <v>2.6646341463414094E-3</v>
      </c>
      <c r="BW91" s="10">
        <f t="shared" si="68"/>
        <v>1.6935975609756013E-3</v>
      </c>
      <c r="BX91" s="10">
        <f t="shared" si="69"/>
        <v>1.554878048780433E-3</v>
      </c>
      <c r="BY91" s="10">
        <f t="shared" si="70"/>
        <v>3.0640243902441133E-4</v>
      </c>
      <c r="BZ91" s="10">
        <f t="shared" si="71"/>
        <v>-5.2591463414635191E-4</v>
      </c>
      <c r="CA91" s="10">
        <f t="shared" si="72"/>
        <v>-1.6356707317073285E-3</v>
      </c>
      <c r="CB91" s="10">
        <f t="shared" si="73"/>
        <v>-3.8719512195118364E-4</v>
      </c>
      <c r="CC91" s="10">
        <f t="shared" si="74"/>
        <v>1.6935975609756013E-3</v>
      </c>
      <c r="CD91" s="10">
        <f t="shared" si="75"/>
        <v>4.4512195121945637E-4</v>
      </c>
      <c r="CE91" s="10">
        <f t="shared" si="76"/>
        <v>1.4161585365853879E-3</v>
      </c>
      <c r="CF91" s="10">
        <f t="shared" si="77"/>
        <v>2.1097560975609827E-3</v>
      </c>
      <c r="CG91" s="10">
        <f t="shared" si="78"/>
        <v>-1.7743902439024968E-3</v>
      </c>
      <c r="CH91" s="10">
        <f t="shared" si="79"/>
        <v>-9.4207317073173352E-4</v>
      </c>
      <c r="CI91" s="10">
        <f t="shared" si="80"/>
        <v>1.9710365853658146E-3</v>
      </c>
      <c r="CJ91" s="10">
        <f t="shared" si="81"/>
        <v>-2.7454268292683051E-3</v>
      </c>
      <c r="CK91" s="10">
        <f t="shared" si="82"/>
        <v>-1.2195121951219469E-3</v>
      </c>
      <c r="CL91" s="10">
        <f t="shared" si="83"/>
        <v>3.2195121951219593E-3</v>
      </c>
      <c r="CM91" s="10">
        <f t="shared" si="84"/>
        <v>-1.7743902439024968E-3</v>
      </c>
      <c r="CN91" s="10">
        <f t="shared" si="85"/>
        <v>-1.0807926829269018E-3</v>
      </c>
      <c r="CO91" s="10">
        <f t="shared" si="86"/>
        <v>1.554878048780433E-3</v>
      </c>
      <c r="CP91" s="10">
        <f t="shared" si="87"/>
        <v>1.1387195121950514E-3</v>
      </c>
      <c r="CQ91" s="10">
        <f t="shared" si="88"/>
        <v>1.9710365853658146E-3</v>
      </c>
      <c r="CR91" s="10">
        <f t="shared" si="89"/>
        <v>1.554878048780433E-3</v>
      </c>
      <c r="CS91" s="10">
        <f t="shared" si="90"/>
        <v>1.0000000000000063E-3</v>
      </c>
      <c r="CT91" s="10">
        <f t="shared" si="91"/>
        <v>4.4512195121945637E-4</v>
      </c>
      <c r="CU91" s="10">
        <f t="shared" si="92"/>
        <v>4.4512195121945637E-4</v>
      </c>
      <c r="CV91" s="10">
        <f t="shared" si="93"/>
        <v>-1.7743902439024968E-3</v>
      </c>
      <c r="CW91" s="10">
        <f t="shared" si="94"/>
        <v>-1.6356707317073285E-3</v>
      </c>
      <c r="CX91" s="10">
        <f t="shared" si="95"/>
        <v>5.8384146341462469E-4</v>
      </c>
      <c r="CY91" s="10">
        <f t="shared" si="96"/>
        <v>1.4161585365853879E-3</v>
      </c>
      <c r="CZ91" s="10">
        <f t="shared" si="97"/>
        <v>8.6128048780483805E-4</v>
      </c>
      <c r="DA91" s="10">
        <f t="shared" si="98"/>
        <v>-1.0975609756097029E-4</v>
      </c>
      <c r="DB91" s="10">
        <f t="shared" si="99"/>
        <v>-5.2591463414635191E-4</v>
      </c>
      <c r="DC91" s="10">
        <f t="shared" si="100"/>
        <v>4.4512195121945637E-4</v>
      </c>
      <c r="DD91" s="10">
        <f t="shared" si="101"/>
        <v>-2.6067073170731366E-3</v>
      </c>
      <c r="DE91" s="10">
        <f t="shared" si="102"/>
        <v>2.248475609756028E-3</v>
      </c>
      <c r="DF91" s="10">
        <f t="shared" si="103"/>
        <v>1.9710365853658146E-3</v>
      </c>
      <c r="DG91" s="10">
        <f t="shared" si="104"/>
        <v>1.0000000000000063E-3</v>
      </c>
      <c r="DH91" s="10">
        <f t="shared" si="105"/>
        <v>2.1097560975609827E-3</v>
      </c>
      <c r="DI91" s="10">
        <f t="shared" si="106"/>
        <v>-1.0975609756097029E-4</v>
      </c>
      <c r="DJ91" s="10">
        <f t="shared" si="107"/>
        <v>8.6128048780483805E-4</v>
      </c>
      <c r="DK91" s="10">
        <f t="shared" si="108"/>
        <v>-5.2591463414635191E-4</v>
      </c>
      <c r="DL91" s="10">
        <f t="shared" si="109"/>
        <v>-1.6356707317073285E-3</v>
      </c>
      <c r="DM91" s="10">
        <f t="shared" si="110"/>
        <v>-2.0518292682927099E-3</v>
      </c>
      <c r="DN91" s="10">
        <f t="shared" si="111"/>
        <v>1.0000000000000063E-3</v>
      </c>
      <c r="DO91" s="10">
        <f t="shared" si="112"/>
        <v>-1.6356707317073285E-3</v>
      </c>
      <c r="DP91" s="10">
        <f t="shared" si="113"/>
        <v>4.4512195121945637E-4</v>
      </c>
      <c r="DQ91" s="10">
        <f t="shared" si="114"/>
        <v>-1.0975609756097029E-4</v>
      </c>
      <c r="DR91" s="10">
        <f t="shared" si="115"/>
        <v>1.9710365853658146E-3</v>
      </c>
      <c r="DS91" s="10">
        <f t="shared" si="116"/>
        <v>-3.8719512195118364E-4</v>
      </c>
      <c r="DT91" s="10">
        <f t="shared" si="117"/>
        <v>-2.7454268292683051E-3</v>
      </c>
      <c r="DU91" s="10">
        <f t="shared" si="118"/>
        <v>-3.8719512195118364E-4</v>
      </c>
      <c r="DV91" s="10">
        <f t="shared" si="119"/>
        <v>-1.0807926829269018E-3</v>
      </c>
      <c r="DW91" s="10">
        <f t="shared" si="120"/>
        <v>-2.1905487804878784E-3</v>
      </c>
    </row>
    <row r="92" spans="2:127" x14ac:dyDescent="0.45">
      <c r="B92" s="1">
        <v>24</v>
      </c>
      <c r="C92" s="1">
        <v>1245</v>
      </c>
      <c r="D92" s="7">
        <f t="shared" si="121"/>
        <v>7.2967032967032965</v>
      </c>
      <c r="E92" s="1">
        <v>7.2779999999999996</v>
      </c>
      <c r="F92" s="1">
        <v>7.3</v>
      </c>
      <c r="G92" s="1">
        <v>7.2990000000000004</v>
      </c>
      <c r="H92" s="1">
        <v>7.274</v>
      </c>
      <c r="I92" s="1">
        <v>7.2960000000000003</v>
      </c>
      <c r="J92" s="1">
        <v>7.2960000000000003</v>
      </c>
      <c r="K92" s="1">
        <v>7.3159999999999998</v>
      </c>
      <c r="L92" s="1">
        <v>7.3079999999999998</v>
      </c>
      <c r="M92" s="1">
        <v>7.3070000000000004</v>
      </c>
      <c r="N92" s="1">
        <v>7.2969999999999997</v>
      </c>
      <c r="O92" s="1">
        <v>7.2919999999999998</v>
      </c>
      <c r="P92" s="1">
        <v>7.2850000000000001</v>
      </c>
      <c r="Q92" s="1">
        <v>7.2949999999999999</v>
      </c>
      <c r="R92" s="1">
        <v>7.3109999999999999</v>
      </c>
      <c r="S92" s="1">
        <v>7.2990000000000004</v>
      </c>
      <c r="T92" s="1">
        <v>7.3070000000000004</v>
      </c>
      <c r="U92" s="1">
        <v>7.3109999999999999</v>
      </c>
      <c r="V92" s="1">
        <v>7.2839999999999998</v>
      </c>
      <c r="W92" s="1">
        <v>7.2910000000000004</v>
      </c>
      <c r="X92" s="1">
        <v>7.3109999999999999</v>
      </c>
      <c r="Y92" s="1">
        <v>7.2770000000000001</v>
      </c>
      <c r="Z92" s="1">
        <v>7.2889999999999997</v>
      </c>
      <c r="AA92" s="1">
        <v>7.3150000000000004</v>
      </c>
      <c r="AB92" s="1">
        <v>7.2839999999999998</v>
      </c>
      <c r="AC92" s="1">
        <v>7.2880000000000003</v>
      </c>
      <c r="AD92" s="1">
        <v>7.3079999999999998</v>
      </c>
      <c r="AE92" s="1">
        <v>7.3070000000000004</v>
      </c>
      <c r="AF92" s="1">
        <v>7.3079999999999998</v>
      </c>
      <c r="AG92" s="1">
        <v>7.3070000000000004</v>
      </c>
      <c r="AH92" s="1">
        <v>7.3040000000000003</v>
      </c>
      <c r="AI92" s="1">
        <v>7.3010000000000002</v>
      </c>
      <c r="AJ92" s="1">
        <v>7.3</v>
      </c>
      <c r="AK92" s="1">
        <v>7.2839999999999998</v>
      </c>
      <c r="AL92" s="1">
        <v>7.2839999999999998</v>
      </c>
      <c r="AM92" s="1">
        <v>7.3</v>
      </c>
      <c r="AN92" s="1">
        <v>7.3079999999999998</v>
      </c>
      <c r="AO92" s="1">
        <v>7.3070000000000004</v>
      </c>
      <c r="AP92" s="1">
        <v>7.2990000000000004</v>
      </c>
      <c r="AQ92" s="1">
        <v>7.2859999999999996</v>
      </c>
      <c r="AR92" s="1">
        <v>7.3</v>
      </c>
      <c r="AS92" s="1">
        <v>7.2779999999999996</v>
      </c>
      <c r="AT92" s="1">
        <v>7.3159999999999998</v>
      </c>
      <c r="AU92" s="1">
        <v>7.3079999999999998</v>
      </c>
      <c r="AV92" s="1">
        <v>7.3070000000000004</v>
      </c>
      <c r="AW92" s="1">
        <v>7.3120000000000003</v>
      </c>
      <c r="AX92" s="1">
        <v>7.2949999999999999</v>
      </c>
      <c r="AY92" s="1">
        <v>7.3029999999999999</v>
      </c>
      <c r="AZ92" s="1">
        <v>7.2930000000000001</v>
      </c>
      <c r="BA92" s="1">
        <v>7.2839999999999998</v>
      </c>
      <c r="BB92" s="1">
        <v>7.28</v>
      </c>
      <c r="BC92" s="1">
        <v>7.3070000000000004</v>
      </c>
      <c r="BD92" s="1">
        <v>7.2839999999999998</v>
      </c>
      <c r="BE92" s="1">
        <v>7.3</v>
      </c>
      <c r="BF92" s="1">
        <v>7.2960000000000003</v>
      </c>
      <c r="BG92" s="1">
        <v>7.3109999999999999</v>
      </c>
      <c r="BH92" s="1">
        <v>7.2949999999999999</v>
      </c>
      <c r="BI92" s="1">
        <v>7.2759999999999998</v>
      </c>
      <c r="BJ92" s="1">
        <v>7.2930000000000001</v>
      </c>
      <c r="BK92" s="1">
        <v>7.2960000000000003</v>
      </c>
      <c r="BL92" s="1">
        <v>7.28</v>
      </c>
      <c r="BN92" s="9">
        <v>24</v>
      </c>
      <c r="BO92" s="9">
        <v>1245</v>
      </c>
      <c r="BP92" s="10">
        <f t="shared" si="61"/>
        <v>-2.5632530120482276E-3</v>
      </c>
      <c r="BQ92" s="10">
        <f t="shared" si="62"/>
        <v>4.5180722891566104E-4</v>
      </c>
      <c r="BR92" s="10">
        <f t="shared" si="63"/>
        <v>3.1475903614465266E-4</v>
      </c>
      <c r="BS92" s="10">
        <f t="shared" si="64"/>
        <v>-3.1114457831325046E-3</v>
      </c>
      <c r="BT92" s="10">
        <f t="shared" si="65"/>
        <v>-9.6385542168615931E-5</v>
      </c>
      <c r="BU92" s="10">
        <f t="shared" si="66"/>
        <v>-9.6385542168615931E-5</v>
      </c>
      <c r="BV92" s="10">
        <f t="shared" si="67"/>
        <v>2.6445783132530124E-3</v>
      </c>
      <c r="BW92" s="10">
        <f t="shared" si="68"/>
        <v>1.5481927710843367E-3</v>
      </c>
      <c r="BX92" s="10">
        <f t="shared" si="69"/>
        <v>1.4111445783133285E-3</v>
      </c>
      <c r="BY92" s="10">
        <f t="shared" si="70"/>
        <v>4.0662650602392454E-5</v>
      </c>
      <c r="BZ92" s="10">
        <f t="shared" si="71"/>
        <v>-6.445783132530146E-4</v>
      </c>
      <c r="CA92" s="10">
        <f t="shared" si="72"/>
        <v>-1.6039156626505603E-3</v>
      </c>
      <c r="CB92" s="10">
        <f t="shared" si="73"/>
        <v>-2.3343373493974604E-4</v>
      </c>
      <c r="CC92" s="10">
        <f t="shared" si="74"/>
        <v>1.9593373493976053E-3</v>
      </c>
      <c r="CD92" s="10">
        <f t="shared" si="75"/>
        <v>3.1475903614465266E-4</v>
      </c>
      <c r="CE92" s="10">
        <f t="shared" si="76"/>
        <v>1.4111445783133285E-3</v>
      </c>
      <c r="CF92" s="10">
        <f t="shared" si="77"/>
        <v>1.9593373493976053E-3</v>
      </c>
      <c r="CG92" s="10">
        <f t="shared" si="78"/>
        <v>-1.7409638554216904E-3</v>
      </c>
      <c r="CH92" s="10">
        <f t="shared" si="79"/>
        <v>-7.8162650602402303E-4</v>
      </c>
      <c r="CI92" s="10">
        <f t="shared" si="80"/>
        <v>1.9593373493976053E-3</v>
      </c>
      <c r="CJ92" s="10">
        <f t="shared" si="81"/>
        <v>-2.7003012048192358E-3</v>
      </c>
      <c r="CK92" s="10">
        <f t="shared" si="82"/>
        <v>-1.0557228915662833E-3</v>
      </c>
      <c r="CL92" s="10">
        <f t="shared" si="83"/>
        <v>2.5075301204820041E-3</v>
      </c>
      <c r="CM92" s="10">
        <f t="shared" si="84"/>
        <v>-1.7409638554216904E-3</v>
      </c>
      <c r="CN92" s="10">
        <f t="shared" si="85"/>
        <v>-1.1927710843372917E-3</v>
      </c>
      <c r="CO92" s="10">
        <f t="shared" si="86"/>
        <v>1.5481927710843367E-3</v>
      </c>
      <c r="CP92" s="10">
        <f t="shared" si="87"/>
        <v>1.4111445783133285E-3</v>
      </c>
      <c r="CQ92" s="10">
        <f t="shared" si="88"/>
        <v>1.5481927710843367E-3</v>
      </c>
      <c r="CR92" s="10">
        <f t="shared" si="89"/>
        <v>1.4111445783133285E-3</v>
      </c>
      <c r="CS92" s="10">
        <f t="shared" si="90"/>
        <v>1.0000000000000599E-3</v>
      </c>
      <c r="CT92" s="10">
        <f t="shared" si="91"/>
        <v>5.8885542168679117E-4</v>
      </c>
      <c r="CU92" s="10">
        <f t="shared" si="92"/>
        <v>4.5180722891566104E-4</v>
      </c>
      <c r="CV92" s="10">
        <f t="shared" si="93"/>
        <v>-1.7409638554216904E-3</v>
      </c>
      <c r="CW92" s="10">
        <f t="shared" si="94"/>
        <v>-1.7409638554216904E-3</v>
      </c>
      <c r="CX92" s="10">
        <f t="shared" si="95"/>
        <v>4.5180722891566104E-4</v>
      </c>
      <c r="CY92" s="10">
        <f t="shared" si="96"/>
        <v>1.5481927710843367E-3</v>
      </c>
      <c r="CZ92" s="10">
        <f t="shared" si="97"/>
        <v>1.4111445783133285E-3</v>
      </c>
      <c r="DA92" s="10">
        <f t="shared" si="98"/>
        <v>3.1475903614465266E-4</v>
      </c>
      <c r="DB92" s="10">
        <f t="shared" si="99"/>
        <v>-1.4668674698795519E-3</v>
      </c>
      <c r="DC92" s="10">
        <f t="shared" si="100"/>
        <v>4.5180722891566104E-4</v>
      </c>
      <c r="DD92" s="10">
        <f t="shared" si="101"/>
        <v>-2.5632530120482276E-3</v>
      </c>
      <c r="DE92" s="10">
        <f t="shared" si="102"/>
        <v>2.6445783132530124E-3</v>
      </c>
      <c r="DF92" s="10">
        <f t="shared" si="103"/>
        <v>1.5481927710843367E-3</v>
      </c>
      <c r="DG92" s="10">
        <f t="shared" si="104"/>
        <v>1.4111445783133285E-3</v>
      </c>
      <c r="DH92" s="10">
        <f t="shared" si="105"/>
        <v>2.0963855421687353E-3</v>
      </c>
      <c r="DI92" s="10">
        <f t="shared" si="106"/>
        <v>-2.3343373493974604E-4</v>
      </c>
      <c r="DJ92" s="10">
        <f t="shared" si="107"/>
        <v>8.6295180722892968E-4</v>
      </c>
      <c r="DK92" s="10">
        <f t="shared" si="108"/>
        <v>-5.0753012048188452E-4</v>
      </c>
      <c r="DL92" s="10">
        <f t="shared" si="109"/>
        <v>-1.7409638554216904E-3</v>
      </c>
      <c r="DM92" s="10">
        <f t="shared" si="110"/>
        <v>-2.2891566265059674E-3</v>
      </c>
      <c r="DN92" s="10">
        <f t="shared" si="111"/>
        <v>1.4111445783133285E-3</v>
      </c>
      <c r="DO92" s="10">
        <f t="shared" si="112"/>
        <v>-1.7409638554216904E-3</v>
      </c>
      <c r="DP92" s="10">
        <f t="shared" si="113"/>
        <v>4.5180722891566104E-4</v>
      </c>
      <c r="DQ92" s="10">
        <f t="shared" si="114"/>
        <v>-9.6385542168615931E-5</v>
      </c>
      <c r="DR92" s="10">
        <f t="shared" si="115"/>
        <v>1.9593373493976053E-3</v>
      </c>
      <c r="DS92" s="10">
        <f t="shared" si="116"/>
        <v>-2.3343373493974604E-4</v>
      </c>
      <c r="DT92" s="10">
        <f t="shared" si="117"/>
        <v>-2.8373493975903659E-3</v>
      </c>
      <c r="DU92" s="10">
        <f t="shared" si="118"/>
        <v>-5.0753012048188452E-4</v>
      </c>
      <c r="DV92" s="10">
        <f t="shared" si="119"/>
        <v>-9.6385542168615931E-5</v>
      </c>
      <c r="DW92" s="10">
        <f t="shared" si="120"/>
        <v>-2.2891566265059674E-3</v>
      </c>
    </row>
    <row r="93" spans="2:127" x14ac:dyDescent="0.45">
      <c r="B93" s="1">
        <v>24</v>
      </c>
      <c r="C93" s="1">
        <v>1260</v>
      </c>
      <c r="D93" s="7">
        <f t="shared" si="121"/>
        <v>7.384615384615385</v>
      </c>
      <c r="E93" s="1">
        <v>7.3680000000000003</v>
      </c>
      <c r="F93" s="1">
        <v>7.3879999999999999</v>
      </c>
      <c r="G93" s="1">
        <v>7.3879999999999999</v>
      </c>
      <c r="H93" s="1">
        <v>7.3620000000000001</v>
      </c>
      <c r="I93" s="1">
        <v>7.3840000000000003</v>
      </c>
      <c r="J93" s="1">
        <v>7.3810000000000002</v>
      </c>
      <c r="K93" s="1">
        <v>7.4020000000000001</v>
      </c>
      <c r="L93" s="1">
        <v>7.3949999999999996</v>
      </c>
      <c r="M93" s="1">
        <v>7.3940000000000001</v>
      </c>
      <c r="N93" s="1">
        <v>7.3849999999999998</v>
      </c>
      <c r="O93" s="1">
        <v>7.3769999999999998</v>
      </c>
      <c r="P93" s="1">
        <v>7.375</v>
      </c>
      <c r="Q93" s="1">
        <v>7.383</v>
      </c>
      <c r="R93" s="1">
        <v>7.3959999999999999</v>
      </c>
      <c r="S93" s="1">
        <v>7.3869999999999996</v>
      </c>
      <c r="T93" s="1">
        <v>7.3949999999999996</v>
      </c>
      <c r="U93" s="1">
        <v>7.399</v>
      </c>
      <c r="V93" s="1">
        <v>7.375</v>
      </c>
      <c r="W93" s="1">
        <v>7.3789999999999996</v>
      </c>
      <c r="X93" s="1">
        <v>7.415</v>
      </c>
      <c r="Y93" s="1">
        <v>7.3659999999999997</v>
      </c>
      <c r="Z93" s="1">
        <v>7.3769999999999998</v>
      </c>
      <c r="AA93" s="1">
        <v>7.4020000000000001</v>
      </c>
      <c r="AB93" s="1">
        <v>7.3689999999999998</v>
      </c>
      <c r="AC93" s="1">
        <v>7.3730000000000002</v>
      </c>
      <c r="AD93" s="1">
        <v>7.3959999999999999</v>
      </c>
      <c r="AE93" s="1">
        <v>7.3949999999999996</v>
      </c>
      <c r="AF93" s="1">
        <v>7.3949999999999996</v>
      </c>
      <c r="AG93" s="1">
        <v>7.3940000000000001</v>
      </c>
      <c r="AH93" s="1">
        <v>7.39</v>
      </c>
      <c r="AI93" s="1">
        <v>7.39</v>
      </c>
      <c r="AJ93" s="1">
        <v>7.3869999999999996</v>
      </c>
      <c r="AK93" s="1">
        <v>7.3719999999999999</v>
      </c>
      <c r="AL93" s="1">
        <v>7.3689999999999998</v>
      </c>
      <c r="AM93" s="1">
        <v>7.3869999999999996</v>
      </c>
      <c r="AN93" s="1">
        <v>7.3949999999999996</v>
      </c>
      <c r="AO93" s="1">
        <v>7.3920000000000003</v>
      </c>
      <c r="AP93" s="1">
        <v>7.383</v>
      </c>
      <c r="AQ93" s="1">
        <v>7.3760000000000003</v>
      </c>
      <c r="AR93" s="1">
        <v>7.39</v>
      </c>
      <c r="AS93" s="1">
        <v>7.3730000000000002</v>
      </c>
      <c r="AT93" s="1">
        <v>7.4029999999999996</v>
      </c>
      <c r="AU93" s="1">
        <v>7.399</v>
      </c>
      <c r="AV93" s="1">
        <v>7.3789999999999996</v>
      </c>
      <c r="AW93" s="1">
        <v>7.399</v>
      </c>
      <c r="AX93" s="1">
        <v>7.3810000000000002</v>
      </c>
      <c r="AY93" s="1">
        <v>7.3920000000000003</v>
      </c>
      <c r="AZ93" s="1">
        <v>7.383</v>
      </c>
      <c r="BA93" s="1">
        <v>7.3730000000000002</v>
      </c>
      <c r="BB93" s="1">
        <v>7.3659999999999997</v>
      </c>
      <c r="BC93" s="1">
        <v>7.3949999999999996</v>
      </c>
      <c r="BD93" s="1">
        <v>7.3689999999999998</v>
      </c>
      <c r="BE93" s="1">
        <v>7.3849999999999998</v>
      </c>
      <c r="BF93" s="1">
        <v>7.38</v>
      </c>
      <c r="BG93" s="1">
        <v>7.4020000000000001</v>
      </c>
      <c r="BH93" s="1">
        <v>7.3879999999999999</v>
      </c>
      <c r="BI93" s="1">
        <v>7.3639999999999999</v>
      </c>
      <c r="BJ93" s="1">
        <v>7.38</v>
      </c>
      <c r="BK93" s="1">
        <v>7.3760000000000003</v>
      </c>
      <c r="BL93" s="1">
        <v>7.3659999999999997</v>
      </c>
      <c r="BN93" s="9">
        <v>24</v>
      </c>
      <c r="BO93" s="9">
        <v>1260</v>
      </c>
      <c r="BP93" s="10">
        <f t="shared" si="61"/>
        <v>-2.2500000000000111E-3</v>
      </c>
      <c r="BQ93" s="10">
        <f t="shared" si="62"/>
        <v>4.5833333333326432E-4</v>
      </c>
      <c r="BR93" s="10">
        <f t="shared" si="63"/>
        <v>4.5833333333326432E-4</v>
      </c>
      <c r="BS93" s="10">
        <f t="shared" si="64"/>
        <v>-3.0625000000000418E-3</v>
      </c>
      <c r="BT93" s="10">
        <f t="shared" si="65"/>
        <v>-8.3333333333342655E-5</v>
      </c>
      <c r="BU93" s="10">
        <f t="shared" si="66"/>
        <v>-4.8958333333335802E-4</v>
      </c>
      <c r="BV93" s="10">
        <f t="shared" si="67"/>
        <v>2.3541666666666294E-3</v>
      </c>
      <c r="BW93" s="10">
        <f t="shared" si="68"/>
        <v>1.4062499999998868E-3</v>
      </c>
      <c r="BX93" s="10">
        <f t="shared" si="69"/>
        <v>1.2708333333332951E-3</v>
      </c>
      <c r="BY93" s="10">
        <f t="shared" si="70"/>
        <v>5.2083333333248952E-5</v>
      </c>
      <c r="BZ93" s="10">
        <f t="shared" si="71"/>
        <v>-1.0312500000000853E-3</v>
      </c>
      <c r="CA93" s="10">
        <f t="shared" si="72"/>
        <v>-1.3020833333333888E-3</v>
      </c>
      <c r="CB93" s="10">
        <f t="shared" si="73"/>
        <v>-2.1875000000005454E-4</v>
      </c>
      <c r="CC93" s="10">
        <f t="shared" si="74"/>
        <v>1.5416666666665986E-3</v>
      </c>
      <c r="CD93" s="10">
        <f t="shared" si="75"/>
        <v>3.2291666666655244E-4</v>
      </c>
      <c r="CE93" s="10">
        <f t="shared" si="76"/>
        <v>1.4062499999998868E-3</v>
      </c>
      <c r="CF93" s="10">
        <f t="shared" si="77"/>
        <v>1.9479166666666139E-3</v>
      </c>
      <c r="CG93" s="10">
        <f t="shared" si="78"/>
        <v>-1.3020833333333888E-3</v>
      </c>
      <c r="CH93" s="10">
        <f t="shared" si="79"/>
        <v>-7.6041666666678176E-4</v>
      </c>
      <c r="CI93" s="10">
        <f t="shared" si="80"/>
        <v>4.1145833333332826E-3</v>
      </c>
      <c r="CJ93" s="10">
        <f t="shared" si="81"/>
        <v>-2.5208333333334347E-3</v>
      </c>
      <c r="CK93" s="10">
        <f t="shared" si="82"/>
        <v>-1.0312500000000853E-3</v>
      </c>
      <c r="CL93" s="10">
        <f t="shared" si="83"/>
        <v>2.3541666666666294E-3</v>
      </c>
      <c r="CM93" s="10">
        <f t="shared" si="84"/>
        <v>-2.1145833333334196E-3</v>
      </c>
      <c r="CN93" s="10">
        <f t="shared" si="85"/>
        <v>-1.5729166666666923E-3</v>
      </c>
      <c r="CO93" s="10">
        <f t="shared" si="86"/>
        <v>1.5416666666665986E-3</v>
      </c>
      <c r="CP93" s="10">
        <f t="shared" si="87"/>
        <v>1.4062499999998868E-3</v>
      </c>
      <c r="CQ93" s="10">
        <f t="shared" si="88"/>
        <v>1.4062499999998868E-3</v>
      </c>
      <c r="CR93" s="10">
        <f t="shared" si="89"/>
        <v>1.2708333333332951E-3</v>
      </c>
      <c r="CS93" s="10">
        <f t="shared" si="90"/>
        <v>7.2916666666656782E-4</v>
      </c>
      <c r="CT93" s="10">
        <f t="shared" si="91"/>
        <v>7.2916666666656782E-4</v>
      </c>
      <c r="CU93" s="10">
        <f t="shared" si="92"/>
        <v>3.2291666666655244E-4</v>
      </c>
      <c r="CV93" s="10">
        <f t="shared" si="93"/>
        <v>-1.7083333333334041E-3</v>
      </c>
      <c r="CW93" s="10">
        <f t="shared" si="94"/>
        <v>-2.1145833333334196E-3</v>
      </c>
      <c r="CX93" s="10">
        <f t="shared" si="95"/>
        <v>3.2291666666655244E-4</v>
      </c>
      <c r="CY93" s="10">
        <f t="shared" si="96"/>
        <v>1.4062499999998868E-3</v>
      </c>
      <c r="CZ93" s="10">
        <f t="shared" si="97"/>
        <v>9.9999999999999156E-4</v>
      </c>
      <c r="DA93" s="10">
        <f t="shared" si="98"/>
        <v>-2.1875000000005454E-4</v>
      </c>
      <c r="DB93" s="10">
        <f t="shared" si="99"/>
        <v>-1.166666666666677E-3</v>
      </c>
      <c r="DC93" s="10">
        <f t="shared" si="100"/>
        <v>7.2916666666656782E-4</v>
      </c>
      <c r="DD93" s="10">
        <f t="shared" si="101"/>
        <v>-1.5729166666666923E-3</v>
      </c>
      <c r="DE93" s="10">
        <f t="shared" si="102"/>
        <v>2.4895833333332209E-3</v>
      </c>
      <c r="DF93" s="10">
        <f t="shared" si="103"/>
        <v>1.9479166666666139E-3</v>
      </c>
      <c r="DG93" s="10">
        <f t="shared" si="104"/>
        <v>-7.6041666666678176E-4</v>
      </c>
      <c r="DH93" s="10">
        <f t="shared" si="105"/>
        <v>1.9479166666666139E-3</v>
      </c>
      <c r="DI93" s="10">
        <f t="shared" si="106"/>
        <v>-4.8958333333335802E-4</v>
      </c>
      <c r="DJ93" s="10">
        <f t="shared" si="107"/>
        <v>9.9999999999999156E-4</v>
      </c>
      <c r="DK93" s="10">
        <f t="shared" si="108"/>
        <v>-2.1875000000005454E-4</v>
      </c>
      <c r="DL93" s="10">
        <f t="shared" si="109"/>
        <v>-1.5729166666666923E-3</v>
      </c>
      <c r="DM93" s="10">
        <f t="shared" si="110"/>
        <v>-2.5208333333334347E-3</v>
      </c>
      <c r="DN93" s="10">
        <f t="shared" si="111"/>
        <v>1.4062499999998868E-3</v>
      </c>
      <c r="DO93" s="10">
        <f t="shared" si="112"/>
        <v>-2.1145833333334196E-3</v>
      </c>
      <c r="DP93" s="10">
        <f t="shared" si="113"/>
        <v>5.2083333333248952E-5</v>
      </c>
      <c r="DQ93" s="10">
        <f t="shared" si="114"/>
        <v>-6.2500000000006994E-4</v>
      </c>
      <c r="DR93" s="10">
        <f t="shared" si="115"/>
        <v>2.3541666666666294E-3</v>
      </c>
      <c r="DS93" s="10">
        <f t="shared" si="116"/>
        <v>4.5833333333326432E-4</v>
      </c>
      <c r="DT93" s="10">
        <f t="shared" si="117"/>
        <v>-2.7916666666667382E-3</v>
      </c>
      <c r="DU93" s="10">
        <f t="shared" si="118"/>
        <v>-6.2500000000006994E-4</v>
      </c>
      <c r="DV93" s="10">
        <f t="shared" si="119"/>
        <v>-1.166666666666677E-3</v>
      </c>
      <c r="DW93" s="10">
        <f t="shared" si="120"/>
        <v>-2.5208333333334347E-3</v>
      </c>
    </row>
    <row r="94" spans="2:127" x14ac:dyDescent="0.45">
      <c r="B94" s="1">
        <v>24</v>
      </c>
      <c r="C94" s="1">
        <v>1275</v>
      </c>
      <c r="D94" s="7">
        <f t="shared" si="121"/>
        <v>7.4725274725274726</v>
      </c>
      <c r="E94" s="1">
        <v>7.4569999999999999</v>
      </c>
      <c r="F94" s="1">
        <v>7.4749999999999996</v>
      </c>
      <c r="G94" s="1">
        <v>7.4749999999999996</v>
      </c>
      <c r="H94" s="1">
        <v>7.4509999999999996</v>
      </c>
      <c r="I94" s="1">
        <v>7.4720000000000004</v>
      </c>
      <c r="J94" s="1">
        <v>7.468</v>
      </c>
      <c r="K94" s="1">
        <v>7.4889999999999999</v>
      </c>
      <c r="L94" s="1">
        <v>7.48</v>
      </c>
      <c r="M94" s="1">
        <v>7.4820000000000002</v>
      </c>
      <c r="N94" s="1">
        <v>7.4720000000000004</v>
      </c>
      <c r="O94" s="1">
        <v>7.4610000000000003</v>
      </c>
      <c r="P94" s="1">
        <v>7.4630000000000001</v>
      </c>
      <c r="Q94" s="1">
        <v>7.4720000000000004</v>
      </c>
      <c r="R94" s="1">
        <v>7.484</v>
      </c>
      <c r="S94" s="1">
        <v>7.4720000000000004</v>
      </c>
      <c r="T94" s="1">
        <v>7.484</v>
      </c>
      <c r="U94" s="1">
        <v>7.4859999999999998</v>
      </c>
      <c r="V94" s="1">
        <v>7.4610000000000003</v>
      </c>
      <c r="W94" s="1">
        <v>7.4660000000000002</v>
      </c>
      <c r="X94" s="1">
        <v>7.5140000000000002</v>
      </c>
      <c r="Y94" s="1">
        <v>7.4550000000000001</v>
      </c>
      <c r="Z94" s="1">
        <v>7.4640000000000004</v>
      </c>
      <c r="AA94" s="1">
        <v>7.4939999999999998</v>
      </c>
      <c r="AB94" s="1">
        <v>7.4589999999999996</v>
      </c>
      <c r="AC94" s="1">
        <v>7.4589999999999996</v>
      </c>
      <c r="AD94" s="1">
        <v>7.4829999999999997</v>
      </c>
      <c r="AE94" s="1">
        <v>7.4820000000000002</v>
      </c>
      <c r="AF94" s="1">
        <v>7.4790000000000001</v>
      </c>
      <c r="AG94" s="1">
        <v>7.476</v>
      </c>
      <c r="AH94" s="1">
        <v>7.4749999999999996</v>
      </c>
      <c r="AI94" s="1">
        <v>7.4790000000000001</v>
      </c>
      <c r="AJ94" s="1">
        <v>7.4740000000000002</v>
      </c>
      <c r="AK94" s="1">
        <v>7.4589999999999996</v>
      </c>
      <c r="AL94" s="1">
        <v>7.4550000000000001</v>
      </c>
      <c r="AM94" s="1">
        <v>7.4749999999999996</v>
      </c>
      <c r="AN94" s="1">
        <v>7.484</v>
      </c>
      <c r="AO94" s="1">
        <v>7.4790000000000001</v>
      </c>
      <c r="AP94" s="1">
        <v>7.4740000000000002</v>
      </c>
      <c r="AQ94" s="1">
        <v>7.468</v>
      </c>
      <c r="AR94" s="1">
        <v>7.4749999999999996</v>
      </c>
      <c r="AS94" s="1">
        <v>7.4610000000000003</v>
      </c>
      <c r="AT94" s="1">
        <v>7.4930000000000003</v>
      </c>
      <c r="AU94" s="1">
        <v>7.4859999999999998</v>
      </c>
      <c r="AV94" s="1">
        <v>7.484</v>
      </c>
      <c r="AW94" s="1">
        <v>7.49</v>
      </c>
      <c r="AX94" s="1">
        <v>7.468</v>
      </c>
      <c r="AY94" s="1">
        <v>7.48</v>
      </c>
      <c r="AZ94" s="1">
        <v>7.468</v>
      </c>
      <c r="BA94" s="1">
        <v>7.4630000000000001</v>
      </c>
      <c r="BB94" s="1">
        <v>7.4560000000000004</v>
      </c>
      <c r="BC94" s="1">
        <v>7.48</v>
      </c>
      <c r="BD94" s="1">
        <v>7.4560000000000004</v>
      </c>
      <c r="BE94" s="1">
        <v>7.4710000000000001</v>
      </c>
      <c r="BF94" s="1">
        <v>7.4669999999999996</v>
      </c>
      <c r="BG94" s="1">
        <v>7.4889999999999999</v>
      </c>
      <c r="BH94" s="1">
        <v>7.4740000000000002</v>
      </c>
      <c r="BI94" s="1">
        <v>7.452</v>
      </c>
      <c r="BJ94" s="1">
        <v>7.4669999999999996</v>
      </c>
      <c r="BK94" s="1">
        <v>7.4630000000000001</v>
      </c>
      <c r="BL94" s="1">
        <v>7.452</v>
      </c>
      <c r="BN94" s="9">
        <v>24</v>
      </c>
      <c r="BO94" s="9">
        <v>1275</v>
      </c>
      <c r="BP94" s="10">
        <f t="shared" si="61"/>
        <v>-2.0779411764706214E-3</v>
      </c>
      <c r="BQ94" s="10">
        <f t="shared" si="62"/>
        <v>3.3088235294111585E-4</v>
      </c>
      <c r="BR94" s="10">
        <f t="shared" si="63"/>
        <v>3.3088235294111585E-4</v>
      </c>
      <c r="BS94" s="10">
        <f t="shared" si="64"/>
        <v>-2.88088235294124E-3</v>
      </c>
      <c r="BT94" s="10">
        <f t="shared" si="65"/>
        <v>-7.0588235294074612E-5</v>
      </c>
      <c r="BU94" s="10">
        <f t="shared" si="66"/>
        <v>-6.0588235294119328E-4</v>
      </c>
      <c r="BV94" s="10">
        <f t="shared" si="67"/>
        <v>2.2044117647058532E-3</v>
      </c>
      <c r="BW94" s="10">
        <f t="shared" si="68"/>
        <v>1.000000000000044E-3</v>
      </c>
      <c r="BX94" s="10">
        <f t="shared" si="69"/>
        <v>1.2676470588235439E-3</v>
      </c>
      <c r="BY94" s="10">
        <f t="shared" si="70"/>
        <v>-7.0588235294074612E-5</v>
      </c>
      <c r="BZ94" s="10">
        <f t="shared" si="71"/>
        <v>-1.5426470588235026E-3</v>
      </c>
      <c r="CA94" s="10">
        <f t="shared" si="72"/>
        <v>-1.2750000000000025E-3</v>
      </c>
      <c r="CB94" s="10">
        <f t="shared" si="73"/>
        <v>-7.0588235294074612E-5</v>
      </c>
      <c r="CC94" s="10">
        <f t="shared" si="74"/>
        <v>1.5352941176470438E-3</v>
      </c>
      <c r="CD94" s="10">
        <f t="shared" si="75"/>
        <v>-7.0588235294074612E-5</v>
      </c>
      <c r="CE94" s="10">
        <f t="shared" si="76"/>
        <v>1.5352941176470438E-3</v>
      </c>
      <c r="CF94" s="10">
        <f t="shared" si="77"/>
        <v>1.8029411764705439E-3</v>
      </c>
      <c r="CG94" s="10">
        <f t="shared" si="78"/>
        <v>-1.5426470588235026E-3</v>
      </c>
      <c r="CH94" s="10">
        <f t="shared" si="79"/>
        <v>-8.7352941176469326E-4</v>
      </c>
      <c r="CI94" s="10">
        <f t="shared" si="80"/>
        <v>5.5500000000000185E-3</v>
      </c>
      <c r="CJ94" s="10">
        <f t="shared" si="81"/>
        <v>-2.345588235294121E-3</v>
      </c>
      <c r="CK94" s="10">
        <f t="shared" si="82"/>
        <v>-1.1411764705881932E-3</v>
      </c>
      <c r="CL94" s="10">
        <f t="shared" si="83"/>
        <v>2.8735294117646624E-3</v>
      </c>
      <c r="CM94" s="10">
        <f t="shared" si="84"/>
        <v>-1.8102941176471213E-3</v>
      </c>
      <c r="CN94" s="10">
        <f t="shared" si="85"/>
        <v>-1.8102941176471213E-3</v>
      </c>
      <c r="CO94" s="10">
        <f t="shared" si="86"/>
        <v>1.4014705882352345E-3</v>
      </c>
      <c r="CP94" s="10">
        <f t="shared" si="87"/>
        <v>1.2676470588235439E-3</v>
      </c>
      <c r="CQ94" s="10">
        <f t="shared" si="88"/>
        <v>8.6617647058823458E-4</v>
      </c>
      <c r="CR94" s="10">
        <f t="shared" si="89"/>
        <v>4.6470588235292525E-4</v>
      </c>
      <c r="CS94" s="10">
        <f t="shared" si="90"/>
        <v>3.3088235294111585E-4</v>
      </c>
      <c r="CT94" s="10">
        <f t="shared" si="91"/>
        <v>8.6617647058823458E-4</v>
      </c>
      <c r="CU94" s="10">
        <f t="shared" si="92"/>
        <v>1.9705882352942533E-4</v>
      </c>
      <c r="CV94" s="10">
        <f t="shared" si="93"/>
        <v>-1.8102941176471213E-3</v>
      </c>
      <c r="CW94" s="10">
        <f t="shared" si="94"/>
        <v>-2.345588235294121E-3</v>
      </c>
      <c r="CX94" s="10">
        <f t="shared" si="95"/>
        <v>3.3088235294111585E-4</v>
      </c>
      <c r="CY94" s="10">
        <f t="shared" si="96"/>
        <v>1.5352941176470438E-3</v>
      </c>
      <c r="CZ94" s="10">
        <f t="shared" si="97"/>
        <v>8.6617647058823458E-4</v>
      </c>
      <c r="DA94" s="10">
        <f t="shared" si="98"/>
        <v>1.9705882352942533E-4</v>
      </c>
      <c r="DB94" s="10">
        <f t="shared" si="99"/>
        <v>-6.0588235294119328E-4</v>
      </c>
      <c r="DC94" s="10">
        <f t="shared" si="100"/>
        <v>3.3088235294111585E-4</v>
      </c>
      <c r="DD94" s="10">
        <f t="shared" si="101"/>
        <v>-1.5426470588235026E-3</v>
      </c>
      <c r="DE94" s="10">
        <f t="shared" si="102"/>
        <v>2.7397058823529718E-3</v>
      </c>
      <c r="DF94" s="10">
        <f t="shared" si="103"/>
        <v>1.8029411764705439E-3</v>
      </c>
      <c r="DG94" s="10">
        <f t="shared" si="104"/>
        <v>1.5352941176470438E-3</v>
      </c>
      <c r="DH94" s="10">
        <f t="shared" si="105"/>
        <v>2.3382352941176627E-3</v>
      </c>
      <c r="DI94" s="10">
        <f t="shared" si="106"/>
        <v>-6.0588235294119328E-4</v>
      </c>
      <c r="DJ94" s="10">
        <f t="shared" si="107"/>
        <v>1.000000000000044E-3</v>
      </c>
      <c r="DK94" s="10">
        <f t="shared" si="108"/>
        <v>-6.0588235294119328E-4</v>
      </c>
      <c r="DL94" s="10">
        <f t="shared" si="109"/>
        <v>-1.2750000000000025E-3</v>
      </c>
      <c r="DM94" s="10">
        <f t="shared" si="110"/>
        <v>-2.211764705882312E-3</v>
      </c>
      <c r="DN94" s="10">
        <f t="shared" si="111"/>
        <v>1.000000000000044E-3</v>
      </c>
      <c r="DO94" s="10">
        <f t="shared" si="112"/>
        <v>-2.211764705882312E-3</v>
      </c>
      <c r="DP94" s="10">
        <f t="shared" si="113"/>
        <v>-2.04411764705884E-4</v>
      </c>
      <c r="DQ94" s="10">
        <f t="shared" si="114"/>
        <v>-7.3970588235300274E-4</v>
      </c>
      <c r="DR94" s="10">
        <f t="shared" si="115"/>
        <v>2.2044117647058532E-3</v>
      </c>
      <c r="DS94" s="10">
        <f t="shared" si="116"/>
        <v>1.9705882352942533E-4</v>
      </c>
      <c r="DT94" s="10">
        <f t="shared" si="117"/>
        <v>-2.7470588235294306E-3</v>
      </c>
      <c r="DU94" s="10">
        <f t="shared" si="118"/>
        <v>-7.3970588235300274E-4</v>
      </c>
      <c r="DV94" s="10">
        <f t="shared" si="119"/>
        <v>-1.2750000000000025E-3</v>
      </c>
      <c r="DW94" s="10">
        <f t="shared" si="120"/>
        <v>-2.7470588235294306E-3</v>
      </c>
    </row>
    <row r="95" spans="2:127" x14ac:dyDescent="0.45">
      <c r="B95" s="1">
        <v>24</v>
      </c>
      <c r="C95" s="1">
        <v>1290</v>
      </c>
      <c r="D95" s="7">
        <f t="shared" si="121"/>
        <v>7.5604395604395602</v>
      </c>
      <c r="E95" s="1">
        <v>7.5439999999999996</v>
      </c>
      <c r="F95" s="1">
        <v>7.5620000000000003</v>
      </c>
      <c r="G95" s="1">
        <v>7.5620000000000003</v>
      </c>
      <c r="H95" s="1">
        <v>7.54</v>
      </c>
      <c r="I95" s="1">
        <v>7.5620000000000003</v>
      </c>
      <c r="J95" s="1">
        <v>7.5579999999999998</v>
      </c>
      <c r="K95" s="1">
        <v>7.5780000000000003</v>
      </c>
      <c r="L95" s="1">
        <v>7.569</v>
      </c>
      <c r="M95" s="1">
        <v>7.57</v>
      </c>
      <c r="N95" s="1">
        <v>7.5579999999999998</v>
      </c>
      <c r="O95" s="1">
        <v>7.5469999999999997</v>
      </c>
      <c r="P95" s="1">
        <v>7.55</v>
      </c>
      <c r="Q95" s="1">
        <v>7.5590000000000002</v>
      </c>
      <c r="R95" s="1">
        <v>7.5709999999999997</v>
      </c>
      <c r="S95" s="1">
        <v>7.56</v>
      </c>
      <c r="T95" s="1">
        <v>7.5730000000000004</v>
      </c>
      <c r="U95" s="1">
        <v>7.5739999999999998</v>
      </c>
      <c r="V95" s="1">
        <v>7.5510000000000002</v>
      </c>
      <c r="W95" s="1">
        <v>7.5519999999999996</v>
      </c>
      <c r="X95" s="1">
        <v>7.5960000000000001</v>
      </c>
      <c r="Y95" s="1">
        <v>7.5410000000000004</v>
      </c>
      <c r="Z95" s="1">
        <v>7.5540000000000003</v>
      </c>
      <c r="AA95" s="1">
        <v>7.5750000000000002</v>
      </c>
      <c r="AB95" s="1">
        <v>7.5410000000000004</v>
      </c>
      <c r="AC95" s="1">
        <v>7.548</v>
      </c>
      <c r="AD95" s="1">
        <v>7.5709999999999997</v>
      </c>
      <c r="AE95" s="1">
        <v>7.57</v>
      </c>
      <c r="AF95" s="1">
        <v>7.569</v>
      </c>
      <c r="AG95" s="1">
        <v>7.5650000000000004</v>
      </c>
      <c r="AH95" s="1">
        <v>7.5629999999999997</v>
      </c>
      <c r="AI95" s="1">
        <v>7.5670000000000002</v>
      </c>
      <c r="AJ95" s="1">
        <v>7.56</v>
      </c>
      <c r="AK95" s="1">
        <v>7.5460000000000003</v>
      </c>
      <c r="AL95" s="1">
        <v>7.54</v>
      </c>
      <c r="AM95" s="1">
        <v>7.5620000000000003</v>
      </c>
      <c r="AN95" s="1">
        <v>7.5709999999999997</v>
      </c>
      <c r="AO95" s="1">
        <v>7.5739999999999998</v>
      </c>
      <c r="AP95" s="1">
        <v>7.56</v>
      </c>
      <c r="AQ95" s="1">
        <v>7.5549999999999997</v>
      </c>
      <c r="AR95" s="1">
        <v>7.5629999999999997</v>
      </c>
      <c r="AS95" s="1">
        <v>7.5460000000000003</v>
      </c>
      <c r="AT95" s="1">
        <v>7.5819999999999999</v>
      </c>
      <c r="AU95" s="1">
        <v>7.5780000000000003</v>
      </c>
      <c r="AV95" s="1">
        <v>7.5540000000000003</v>
      </c>
      <c r="AW95" s="1">
        <v>7.5780000000000003</v>
      </c>
      <c r="AX95" s="1">
        <v>7.5549999999999997</v>
      </c>
      <c r="AY95" s="1">
        <v>7.5670000000000002</v>
      </c>
      <c r="AZ95" s="1">
        <v>7.5579999999999998</v>
      </c>
      <c r="BA95" s="1">
        <v>7.5510000000000002</v>
      </c>
      <c r="BB95" s="1">
        <v>7.5410000000000004</v>
      </c>
      <c r="BC95" s="1">
        <v>7.57</v>
      </c>
      <c r="BD95" s="1">
        <v>7.5410000000000004</v>
      </c>
      <c r="BE95" s="1">
        <v>7.5590000000000002</v>
      </c>
      <c r="BF95" s="1">
        <v>7.5579999999999998</v>
      </c>
      <c r="BG95" s="1">
        <v>7.5789999999999997</v>
      </c>
      <c r="BH95" s="1">
        <v>7.556</v>
      </c>
      <c r="BI95" s="1">
        <v>7.5410000000000004</v>
      </c>
      <c r="BJ95" s="1">
        <v>7.5549999999999997</v>
      </c>
      <c r="BK95" s="1">
        <v>7.55</v>
      </c>
      <c r="BL95" s="1">
        <v>7.5430000000000001</v>
      </c>
      <c r="BN95" s="9">
        <v>24</v>
      </c>
      <c r="BO95" s="9">
        <v>1290</v>
      </c>
      <c r="BP95" s="10">
        <f t="shared" si="61"/>
        <v>-2.1744186046511881E-3</v>
      </c>
      <c r="BQ95" s="10">
        <f t="shared" si="62"/>
        <v>2.0639534883727437E-4</v>
      </c>
      <c r="BR95" s="10">
        <f t="shared" si="63"/>
        <v>2.0639534883727437E-4</v>
      </c>
      <c r="BS95" s="10">
        <f t="shared" si="64"/>
        <v>-2.7034883720929901E-3</v>
      </c>
      <c r="BT95" s="10">
        <f t="shared" si="65"/>
        <v>2.0639534883727437E-4</v>
      </c>
      <c r="BU95" s="10">
        <f t="shared" si="66"/>
        <v>-3.2267441860464531E-4</v>
      </c>
      <c r="BV95" s="10">
        <f t="shared" si="67"/>
        <v>2.322674418604718E-3</v>
      </c>
      <c r="BW95" s="10">
        <f t="shared" si="68"/>
        <v>1.132267441860487E-3</v>
      </c>
      <c r="BX95" s="10">
        <f t="shared" si="69"/>
        <v>1.2645348837209962E-3</v>
      </c>
      <c r="BY95" s="10">
        <f t="shared" si="70"/>
        <v>-3.2267441860464531E-4</v>
      </c>
      <c r="BZ95" s="10">
        <f t="shared" si="71"/>
        <v>-1.7776162790697776E-3</v>
      </c>
      <c r="CA95" s="10">
        <f t="shared" si="72"/>
        <v>-1.3808139534883673E-3</v>
      </c>
      <c r="CB95" s="10">
        <f t="shared" si="73"/>
        <v>-1.9040697674413604E-4</v>
      </c>
      <c r="CC95" s="10">
        <f t="shared" si="74"/>
        <v>1.3968023255813882E-3</v>
      </c>
      <c r="CD95" s="10">
        <f t="shared" si="75"/>
        <v>-5.8139534883744224E-5</v>
      </c>
      <c r="CE95" s="10">
        <f t="shared" si="76"/>
        <v>1.6613372093024067E-3</v>
      </c>
      <c r="CF95" s="10">
        <f t="shared" si="77"/>
        <v>1.7936046511627985E-3</v>
      </c>
      <c r="CG95" s="10">
        <f t="shared" si="78"/>
        <v>-1.248546511627858E-3</v>
      </c>
      <c r="CH95" s="10">
        <f t="shared" si="79"/>
        <v>-1.1162790697674661E-3</v>
      </c>
      <c r="CI95" s="10">
        <f t="shared" si="80"/>
        <v>4.7034883720930634E-3</v>
      </c>
      <c r="CJ95" s="10">
        <f t="shared" si="81"/>
        <v>-2.5712209302324808E-3</v>
      </c>
      <c r="CK95" s="10">
        <f t="shared" si="82"/>
        <v>-8.5174418604644754E-4</v>
      </c>
      <c r="CL95" s="10">
        <f t="shared" si="83"/>
        <v>1.9258720930233077E-3</v>
      </c>
      <c r="CM95" s="10">
        <f t="shared" si="84"/>
        <v>-2.5712209302324808E-3</v>
      </c>
      <c r="CN95" s="10">
        <f t="shared" si="85"/>
        <v>-1.6453488372092683E-3</v>
      </c>
      <c r="CO95" s="10">
        <f t="shared" si="86"/>
        <v>1.3968023255813882E-3</v>
      </c>
      <c r="CP95" s="10">
        <f t="shared" si="87"/>
        <v>1.2645348837209962E-3</v>
      </c>
      <c r="CQ95" s="10">
        <f t="shared" si="88"/>
        <v>1.132267441860487E-3</v>
      </c>
      <c r="CR95" s="10">
        <f t="shared" si="89"/>
        <v>6.0319767441868472E-4</v>
      </c>
      <c r="CS95" s="10">
        <f t="shared" si="90"/>
        <v>3.3866279069766619E-4</v>
      </c>
      <c r="CT95" s="10">
        <f t="shared" si="91"/>
        <v>8.6773255813958584E-4</v>
      </c>
      <c r="CU95" s="10">
        <f t="shared" si="92"/>
        <v>-5.8139534883744224E-5</v>
      </c>
      <c r="CV95" s="10">
        <f t="shared" si="93"/>
        <v>-1.9098837209301695E-3</v>
      </c>
      <c r="CW95" s="10">
        <f t="shared" si="94"/>
        <v>-2.7034883720929901E-3</v>
      </c>
      <c r="CX95" s="10">
        <f t="shared" si="95"/>
        <v>2.0639534883727437E-4</v>
      </c>
      <c r="CY95" s="10">
        <f t="shared" si="96"/>
        <v>1.3968023255813882E-3</v>
      </c>
      <c r="CZ95" s="10">
        <f t="shared" si="97"/>
        <v>1.7936046511627985E-3</v>
      </c>
      <c r="DA95" s="10">
        <f t="shared" si="98"/>
        <v>-5.8139534883744224E-5</v>
      </c>
      <c r="DB95" s="10">
        <f t="shared" si="99"/>
        <v>-7.194767441860557E-4</v>
      </c>
      <c r="DC95" s="10">
        <f t="shared" si="100"/>
        <v>3.3866279069766619E-4</v>
      </c>
      <c r="DD95" s="10">
        <f t="shared" si="101"/>
        <v>-1.9098837209301695E-3</v>
      </c>
      <c r="DE95" s="10">
        <f t="shared" si="102"/>
        <v>2.8517441860465204E-3</v>
      </c>
      <c r="DF95" s="10">
        <f t="shared" si="103"/>
        <v>2.322674418604718E-3</v>
      </c>
      <c r="DG95" s="10">
        <f t="shared" si="104"/>
        <v>-8.5174418604644754E-4</v>
      </c>
      <c r="DH95" s="10">
        <f t="shared" si="105"/>
        <v>2.322674418604718E-3</v>
      </c>
      <c r="DI95" s="10">
        <f t="shared" si="106"/>
        <v>-7.194767441860557E-4</v>
      </c>
      <c r="DJ95" s="10">
        <f t="shared" si="107"/>
        <v>8.6773255813958584E-4</v>
      </c>
      <c r="DK95" s="10">
        <f t="shared" si="108"/>
        <v>-3.2267441860464531E-4</v>
      </c>
      <c r="DL95" s="10">
        <f t="shared" si="109"/>
        <v>-1.248546511627858E-3</v>
      </c>
      <c r="DM95" s="10">
        <f t="shared" si="110"/>
        <v>-2.5712209302324808E-3</v>
      </c>
      <c r="DN95" s="10">
        <f t="shared" si="111"/>
        <v>1.2645348837209962E-3</v>
      </c>
      <c r="DO95" s="10">
        <f t="shared" si="112"/>
        <v>-2.5712209302324808E-3</v>
      </c>
      <c r="DP95" s="10">
        <f t="shared" si="113"/>
        <v>-1.9040697674413604E-4</v>
      </c>
      <c r="DQ95" s="10">
        <f t="shared" si="114"/>
        <v>-3.2267441860464531E-4</v>
      </c>
      <c r="DR95" s="10">
        <f t="shared" si="115"/>
        <v>2.4549418604651102E-3</v>
      </c>
      <c r="DS95" s="10">
        <f t="shared" si="116"/>
        <v>-5.8720930232554643E-4</v>
      </c>
      <c r="DT95" s="10">
        <f t="shared" si="117"/>
        <v>-2.5712209302324808E-3</v>
      </c>
      <c r="DU95" s="10">
        <f t="shared" si="118"/>
        <v>-7.194767441860557E-4</v>
      </c>
      <c r="DV95" s="10">
        <f t="shared" si="119"/>
        <v>-1.3808139534883673E-3</v>
      </c>
      <c r="DW95" s="10">
        <f t="shared" si="120"/>
        <v>-2.3066860465115798E-3</v>
      </c>
    </row>
    <row r="96" spans="2:127" x14ac:dyDescent="0.45">
      <c r="B96" s="1">
        <v>24</v>
      </c>
      <c r="C96" s="1">
        <v>1305</v>
      </c>
      <c r="D96" s="7">
        <f t="shared" si="121"/>
        <v>7.6483516483516487</v>
      </c>
      <c r="E96" s="1">
        <v>7.6340000000000003</v>
      </c>
      <c r="F96" s="1">
        <v>7.65</v>
      </c>
      <c r="G96" s="1">
        <v>7.65</v>
      </c>
      <c r="H96" s="1">
        <v>7.6269999999999998</v>
      </c>
      <c r="I96" s="1">
        <v>7.6509999999999998</v>
      </c>
      <c r="J96" s="1">
        <v>7.6470000000000002</v>
      </c>
      <c r="K96" s="1">
        <v>7.6689999999999996</v>
      </c>
      <c r="L96" s="1">
        <v>7.6639999999999997</v>
      </c>
      <c r="M96" s="1">
        <v>7.6580000000000004</v>
      </c>
      <c r="N96" s="1">
        <v>7.6449999999999996</v>
      </c>
      <c r="O96" s="1">
        <v>7.6379999999999999</v>
      </c>
      <c r="P96" s="1">
        <v>7.6379999999999999</v>
      </c>
      <c r="Q96" s="1">
        <v>7.6470000000000002</v>
      </c>
      <c r="R96" s="1">
        <v>7.6580000000000004</v>
      </c>
      <c r="S96" s="1">
        <v>7.6470000000000002</v>
      </c>
      <c r="T96" s="1">
        <v>7.6609999999999996</v>
      </c>
      <c r="U96" s="1">
        <v>7.6609999999999996</v>
      </c>
      <c r="V96" s="1">
        <v>7.6390000000000002</v>
      </c>
      <c r="W96" s="1">
        <v>7.6379999999999999</v>
      </c>
      <c r="X96" s="1">
        <v>7.665</v>
      </c>
      <c r="Y96" s="1">
        <v>7.63</v>
      </c>
      <c r="Z96" s="1">
        <v>7.6390000000000002</v>
      </c>
      <c r="AA96" s="1">
        <v>7.6660000000000004</v>
      </c>
      <c r="AB96" s="1">
        <v>7.63</v>
      </c>
      <c r="AC96" s="1">
        <v>7.6379999999999999</v>
      </c>
      <c r="AD96" s="1">
        <v>7.6589999999999998</v>
      </c>
      <c r="AE96" s="1">
        <v>7.6580000000000004</v>
      </c>
      <c r="AF96" s="1">
        <v>7.6580000000000004</v>
      </c>
      <c r="AG96" s="1">
        <v>7.6550000000000002</v>
      </c>
      <c r="AH96" s="1">
        <v>7.6509999999999998</v>
      </c>
      <c r="AI96" s="1">
        <v>7.6580000000000004</v>
      </c>
      <c r="AJ96" s="1">
        <v>7.649</v>
      </c>
      <c r="AK96" s="1">
        <v>7.63</v>
      </c>
      <c r="AL96" s="1">
        <v>7.63</v>
      </c>
      <c r="AM96" s="1">
        <v>7.6509999999999998</v>
      </c>
      <c r="AN96" s="1">
        <v>7.6589999999999998</v>
      </c>
      <c r="AO96" s="1">
        <v>7.6639999999999997</v>
      </c>
      <c r="AP96" s="1">
        <v>7.6470000000000002</v>
      </c>
      <c r="AQ96" s="1">
        <v>7.6429999999999998</v>
      </c>
      <c r="AR96" s="1">
        <v>7.6529999999999996</v>
      </c>
      <c r="AS96" s="1">
        <v>7.6260000000000003</v>
      </c>
      <c r="AT96" s="1">
        <v>7.6680000000000001</v>
      </c>
      <c r="AU96" s="1">
        <v>7.6689999999999996</v>
      </c>
      <c r="AV96" s="1">
        <v>7.6779999999999999</v>
      </c>
      <c r="AW96" s="1">
        <v>7.6660000000000004</v>
      </c>
      <c r="AX96" s="1">
        <v>7.6420000000000003</v>
      </c>
      <c r="AY96" s="1">
        <v>7.6580000000000004</v>
      </c>
      <c r="AZ96" s="1">
        <v>7.6429999999999998</v>
      </c>
      <c r="BA96" s="1">
        <v>7.6379999999999999</v>
      </c>
      <c r="BB96" s="1">
        <v>7.63</v>
      </c>
      <c r="BC96" s="1">
        <v>7.6580000000000004</v>
      </c>
      <c r="BD96" s="1">
        <v>7.6280000000000001</v>
      </c>
      <c r="BE96" s="1">
        <v>7.65</v>
      </c>
      <c r="BF96" s="1">
        <v>7.6470000000000002</v>
      </c>
      <c r="BG96" s="1">
        <v>7.6660000000000004</v>
      </c>
      <c r="BH96" s="1">
        <v>7.6420000000000003</v>
      </c>
      <c r="BI96" s="1">
        <v>7.63</v>
      </c>
      <c r="BJ96" s="1">
        <v>7.6420000000000003</v>
      </c>
      <c r="BK96" s="1">
        <v>7.6390000000000002</v>
      </c>
      <c r="BL96" s="1">
        <v>7.6310000000000002</v>
      </c>
      <c r="BN96" s="9">
        <v>24</v>
      </c>
      <c r="BO96" s="9">
        <v>1305</v>
      </c>
      <c r="BP96" s="10">
        <f t="shared" si="61"/>
        <v>-1.8764367816091979E-3</v>
      </c>
      <c r="BQ96" s="10">
        <f t="shared" si="62"/>
        <v>2.1551724137930956E-4</v>
      </c>
      <c r="BR96" s="10">
        <f t="shared" si="63"/>
        <v>2.1551724137930956E-4</v>
      </c>
      <c r="BS96" s="10">
        <f t="shared" si="64"/>
        <v>-2.7916666666667426E-3</v>
      </c>
      <c r="BT96" s="10">
        <f t="shared" si="65"/>
        <v>3.4626436781601874E-4</v>
      </c>
      <c r="BU96" s="10">
        <f t="shared" si="66"/>
        <v>-1.7672413793105011E-4</v>
      </c>
      <c r="BV96" s="10">
        <f t="shared" si="67"/>
        <v>2.6997126436780605E-3</v>
      </c>
      <c r="BW96" s="10">
        <f t="shared" si="68"/>
        <v>2.0459770114941663E-3</v>
      </c>
      <c r="BX96" s="10">
        <f t="shared" si="69"/>
        <v>1.2614942528735634E-3</v>
      </c>
      <c r="BY96" s="10">
        <f t="shared" si="70"/>
        <v>-4.3821839080470065E-4</v>
      </c>
      <c r="BZ96" s="10">
        <f t="shared" si="71"/>
        <v>-1.3534482758621291E-3</v>
      </c>
      <c r="CA96" s="10">
        <f t="shared" si="72"/>
        <v>-1.3534482758621291E-3</v>
      </c>
      <c r="CB96" s="10">
        <f t="shared" si="73"/>
        <v>-1.7672413793105011E-4</v>
      </c>
      <c r="CC96" s="10">
        <f t="shared" si="74"/>
        <v>1.2614942528735634E-3</v>
      </c>
      <c r="CD96" s="10">
        <f t="shared" si="75"/>
        <v>-1.7672413793105011E-4</v>
      </c>
      <c r="CE96" s="10">
        <f t="shared" si="76"/>
        <v>1.653735632183807E-3</v>
      </c>
      <c r="CF96" s="10">
        <f t="shared" si="77"/>
        <v>1.653735632183807E-3</v>
      </c>
      <c r="CG96" s="10">
        <f t="shared" si="78"/>
        <v>-1.2227011494253038E-3</v>
      </c>
      <c r="CH96" s="10">
        <f t="shared" si="79"/>
        <v>-1.3534482758621291E-3</v>
      </c>
      <c r="CI96" s="10">
        <f t="shared" si="80"/>
        <v>2.1767241379309918E-3</v>
      </c>
      <c r="CJ96" s="10">
        <f t="shared" si="81"/>
        <v>-2.3994252873563828E-3</v>
      </c>
      <c r="CK96" s="10">
        <f t="shared" si="82"/>
        <v>-1.2227011494253038E-3</v>
      </c>
      <c r="CL96" s="10">
        <f t="shared" si="83"/>
        <v>2.3074712643678169E-3</v>
      </c>
      <c r="CM96" s="10">
        <f t="shared" si="84"/>
        <v>-2.3994252873563828E-3</v>
      </c>
      <c r="CN96" s="10">
        <f t="shared" si="85"/>
        <v>-1.3534482758621291E-3</v>
      </c>
      <c r="CO96" s="10">
        <f t="shared" si="86"/>
        <v>1.3922413793102724E-3</v>
      </c>
      <c r="CP96" s="10">
        <f t="shared" si="87"/>
        <v>1.2614942528735634E-3</v>
      </c>
      <c r="CQ96" s="10">
        <f t="shared" si="88"/>
        <v>1.2614942528735634E-3</v>
      </c>
      <c r="CR96" s="10">
        <f t="shared" si="89"/>
        <v>8.692528735632037E-4</v>
      </c>
      <c r="CS96" s="10">
        <f t="shared" si="90"/>
        <v>3.4626436781601874E-4</v>
      </c>
      <c r="CT96" s="10">
        <f t="shared" si="91"/>
        <v>1.2614942528735634E-3</v>
      </c>
      <c r="CU96" s="10">
        <f t="shared" si="92"/>
        <v>8.4770114942484299E-5</v>
      </c>
      <c r="CV96" s="10">
        <f t="shared" si="93"/>
        <v>-2.3994252873563828E-3</v>
      </c>
      <c r="CW96" s="10">
        <f t="shared" si="94"/>
        <v>-2.3994252873563828E-3</v>
      </c>
      <c r="CX96" s="10">
        <f t="shared" si="95"/>
        <v>3.4626436781601874E-4</v>
      </c>
      <c r="CY96" s="10">
        <f t="shared" si="96"/>
        <v>1.3922413793102724E-3</v>
      </c>
      <c r="CZ96" s="10">
        <f t="shared" si="97"/>
        <v>2.0459770114941663E-3</v>
      </c>
      <c r="DA96" s="10">
        <f t="shared" si="98"/>
        <v>-1.7672413793105011E-4</v>
      </c>
      <c r="DB96" s="10">
        <f t="shared" si="99"/>
        <v>-6.9971264367823507E-4</v>
      </c>
      <c r="DC96" s="10">
        <f t="shared" si="100"/>
        <v>6.0775862068955316E-4</v>
      </c>
      <c r="DD96" s="10">
        <f t="shared" si="101"/>
        <v>-2.9224137931034518E-3</v>
      </c>
      <c r="DE96" s="10">
        <f t="shared" si="102"/>
        <v>2.5689655172413516E-3</v>
      </c>
      <c r="DF96" s="10">
        <f t="shared" si="103"/>
        <v>2.6997126436780605E-3</v>
      </c>
      <c r="DG96" s="10">
        <f t="shared" si="104"/>
        <v>3.8764367816091399E-3</v>
      </c>
      <c r="DH96" s="10">
        <f t="shared" si="105"/>
        <v>2.3074712643678169E-3</v>
      </c>
      <c r="DI96" s="10">
        <f t="shared" si="106"/>
        <v>-8.3045977011494423E-4</v>
      </c>
      <c r="DJ96" s="10">
        <f t="shared" si="107"/>
        <v>1.2614942528735634E-3</v>
      </c>
      <c r="DK96" s="10">
        <f t="shared" si="108"/>
        <v>-6.9971264367823507E-4</v>
      </c>
      <c r="DL96" s="10">
        <f t="shared" si="109"/>
        <v>-1.3534482758621291E-3</v>
      </c>
      <c r="DM96" s="10">
        <f t="shared" si="110"/>
        <v>-2.3994252873563828E-3</v>
      </c>
      <c r="DN96" s="10">
        <f t="shared" si="111"/>
        <v>1.2614942528735634E-3</v>
      </c>
      <c r="DO96" s="10">
        <f t="shared" si="112"/>
        <v>-2.6609195402299171E-3</v>
      </c>
      <c r="DP96" s="10">
        <f t="shared" si="113"/>
        <v>2.1551724137930956E-4</v>
      </c>
      <c r="DQ96" s="10">
        <f t="shared" si="114"/>
        <v>-1.7672413793105011E-4</v>
      </c>
      <c r="DR96" s="10">
        <f t="shared" si="115"/>
        <v>2.3074712643678169E-3</v>
      </c>
      <c r="DS96" s="10">
        <f t="shared" si="116"/>
        <v>-8.3045977011494423E-4</v>
      </c>
      <c r="DT96" s="10">
        <f t="shared" si="117"/>
        <v>-2.3994252873563828E-3</v>
      </c>
      <c r="DU96" s="10">
        <f t="shared" si="118"/>
        <v>-8.3045977011494423E-4</v>
      </c>
      <c r="DV96" s="10">
        <f t="shared" si="119"/>
        <v>-1.2227011494253038E-3</v>
      </c>
      <c r="DW96" s="10">
        <f t="shared" si="120"/>
        <v>-2.2686781609195577E-3</v>
      </c>
    </row>
    <row r="97" spans="2:127" x14ac:dyDescent="0.45">
      <c r="B97" s="1">
        <v>24</v>
      </c>
      <c r="C97" s="1">
        <v>1320</v>
      </c>
      <c r="D97" s="7">
        <f t="shared" si="121"/>
        <v>7.7362637362637363</v>
      </c>
      <c r="E97" s="1">
        <v>7.7220000000000004</v>
      </c>
      <c r="F97" s="1">
        <v>7.7380000000000004</v>
      </c>
      <c r="G97" s="1">
        <v>7.7370000000000001</v>
      </c>
      <c r="H97" s="1">
        <v>7.7149999999999999</v>
      </c>
      <c r="I97" s="1">
        <v>7.7380000000000004</v>
      </c>
      <c r="J97" s="1">
        <v>7.7370000000000001</v>
      </c>
      <c r="K97" s="1">
        <v>7.758</v>
      </c>
      <c r="L97" s="1">
        <v>7.7439999999999998</v>
      </c>
      <c r="M97" s="1">
        <v>7.7460000000000004</v>
      </c>
      <c r="N97" s="1">
        <v>7.7329999999999997</v>
      </c>
      <c r="O97" s="1">
        <v>7.7270000000000003</v>
      </c>
      <c r="P97" s="1">
        <v>7.7249999999999996</v>
      </c>
      <c r="Q97" s="1">
        <v>7.734</v>
      </c>
      <c r="R97" s="1">
        <v>7.7450000000000001</v>
      </c>
      <c r="S97" s="1">
        <v>7.7370000000000001</v>
      </c>
      <c r="T97" s="1">
        <v>7.7489999999999997</v>
      </c>
      <c r="U97" s="1">
        <v>7.7480000000000002</v>
      </c>
      <c r="V97" s="1">
        <v>7.7270000000000003</v>
      </c>
      <c r="W97" s="1">
        <v>7.726</v>
      </c>
      <c r="X97" s="1">
        <v>7.7629999999999999</v>
      </c>
      <c r="Y97" s="1">
        <v>7.718</v>
      </c>
      <c r="Z97" s="1">
        <v>7.7270000000000003</v>
      </c>
      <c r="AA97" s="1">
        <v>7.75</v>
      </c>
      <c r="AB97" s="1">
        <v>7.7210000000000001</v>
      </c>
      <c r="AC97" s="1">
        <v>7.7270000000000003</v>
      </c>
      <c r="AD97" s="1">
        <v>7.7480000000000002</v>
      </c>
      <c r="AE97" s="1">
        <v>7.7460000000000004</v>
      </c>
      <c r="AF97" s="1">
        <v>7.7480000000000002</v>
      </c>
      <c r="AG97" s="1">
        <v>7.7439999999999998</v>
      </c>
      <c r="AH97" s="1">
        <v>7.7389999999999999</v>
      </c>
      <c r="AI97" s="1">
        <v>7.7460000000000004</v>
      </c>
      <c r="AJ97" s="1">
        <v>7.7380000000000004</v>
      </c>
      <c r="AK97" s="1">
        <v>7.718</v>
      </c>
      <c r="AL97" s="1">
        <v>7.7190000000000003</v>
      </c>
      <c r="AM97" s="1">
        <v>7.7370000000000001</v>
      </c>
      <c r="AN97" s="1">
        <v>7.7489999999999997</v>
      </c>
      <c r="AO97" s="1">
        <v>7.7460000000000004</v>
      </c>
      <c r="AP97" s="1">
        <v>7.7409999999999997</v>
      </c>
      <c r="AQ97" s="1">
        <v>7.734</v>
      </c>
      <c r="AR97" s="1">
        <v>7.7409999999999997</v>
      </c>
      <c r="AS97" s="1">
        <v>7.7229999999999999</v>
      </c>
      <c r="AT97" s="1">
        <v>7.7569999999999997</v>
      </c>
      <c r="AU97" s="1">
        <v>7.758</v>
      </c>
      <c r="AV97" s="1">
        <v>7.7069999999999999</v>
      </c>
      <c r="AW97" s="1">
        <v>7.7530000000000001</v>
      </c>
      <c r="AX97" s="1">
        <v>7.73</v>
      </c>
      <c r="AY97" s="1">
        <v>7.7409999999999997</v>
      </c>
      <c r="AZ97" s="1">
        <v>7.7309999999999999</v>
      </c>
      <c r="BA97" s="1">
        <v>7.726</v>
      </c>
      <c r="BB97" s="1">
        <v>7.7160000000000002</v>
      </c>
      <c r="BC97" s="1">
        <v>7.7489999999999997</v>
      </c>
      <c r="BD97" s="1">
        <v>7.7149999999999999</v>
      </c>
      <c r="BE97" s="1">
        <v>7.7380000000000004</v>
      </c>
      <c r="BF97" s="1">
        <v>7.7350000000000003</v>
      </c>
      <c r="BG97" s="1">
        <v>7.7489999999999997</v>
      </c>
      <c r="BH97" s="1">
        <v>7.7329999999999997</v>
      </c>
      <c r="BI97" s="1">
        <v>7.718</v>
      </c>
      <c r="BJ97" s="1">
        <v>7.73</v>
      </c>
      <c r="BK97" s="1">
        <v>7.7220000000000004</v>
      </c>
      <c r="BL97" s="1">
        <v>7.7220000000000004</v>
      </c>
      <c r="BN97" s="9">
        <v>24</v>
      </c>
      <c r="BO97" s="9">
        <v>1320</v>
      </c>
      <c r="BP97" s="10">
        <f t="shared" si="61"/>
        <v>-1.8437499999999522E-3</v>
      </c>
      <c r="BQ97" s="10">
        <f t="shared" si="62"/>
        <v>2.2443181818186788E-4</v>
      </c>
      <c r="BR97" s="10">
        <f t="shared" si="63"/>
        <v>9.5170454545461097E-5</v>
      </c>
      <c r="BS97" s="10">
        <f t="shared" si="64"/>
        <v>-2.7485795454545701E-3</v>
      </c>
      <c r="BT97" s="10">
        <f t="shared" si="65"/>
        <v>2.2443181818186788E-4</v>
      </c>
      <c r="BU97" s="10">
        <f t="shared" si="66"/>
        <v>9.5170454545461097E-5</v>
      </c>
      <c r="BV97" s="10">
        <f t="shared" si="67"/>
        <v>2.8096590909090853E-3</v>
      </c>
      <c r="BW97" s="10">
        <f t="shared" si="68"/>
        <v>9.9999999999996424E-4</v>
      </c>
      <c r="BX97" s="10">
        <f t="shared" si="69"/>
        <v>1.258522727272778E-3</v>
      </c>
      <c r="BY97" s="10">
        <f t="shared" si="70"/>
        <v>-4.2187500000005133E-4</v>
      </c>
      <c r="BZ97" s="10">
        <f t="shared" si="71"/>
        <v>-1.1974431818181476E-3</v>
      </c>
      <c r="CA97" s="10">
        <f t="shared" si="72"/>
        <v>-1.4559659090909614E-3</v>
      </c>
      <c r="CB97" s="10">
        <f t="shared" si="73"/>
        <v>-2.926136363636445E-4</v>
      </c>
      <c r="CC97" s="10">
        <f t="shared" si="74"/>
        <v>1.1292613636363711E-3</v>
      </c>
      <c r="CD97" s="10">
        <f t="shared" si="75"/>
        <v>9.5170454545461097E-5</v>
      </c>
      <c r="CE97" s="10">
        <f t="shared" si="76"/>
        <v>1.6463068181817686E-3</v>
      </c>
      <c r="CF97" s="10">
        <f t="shared" si="77"/>
        <v>1.5170454545454766E-3</v>
      </c>
      <c r="CG97" s="10">
        <f t="shared" si="78"/>
        <v>-1.1974431818181476E-3</v>
      </c>
      <c r="CH97" s="10">
        <f t="shared" si="79"/>
        <v>-1.3267045454545545E-3</v>
      </c>
      <c r="CI97" s="10">
        <f t="shared" si="80"/>
        <v>3.4559659090908899E-3</v>
      </c>
      <c r="CJ97" s="10">
        <f t="shared" si="81"/>
        <v>-2.3607954545454644E-3</v>
      </c>
      <c r="CK97" s="10">
        <f t="shared" si="82"/>
        <v>-1.1974431818181476E-3</v>
      </c>
      <c r="CL97" s="10">
        <f t="shared" si="83"/>
        <v>1.7755681818181755E-3</v>
      </c>
      <c r="CM97" s="10">
        <f t="shared" si="84"/>
        <v>-1.9730113636363591E-3</v>
      </c>
      <c r="CN97" s="10">
        <f t="shared" si="85"/>
        <v>-1.1974431818181476E-3</v>
      </c>
      <c r="CO97" s="10">
        <f t="shared" si="86"/>
        <v>1.5170454545454766E-3</v>
      </c>
      <c r="CP97" s="10">
        <f t="shared" si="87"/>
        <v>1.258522727272778E-3</v>
      </c>
      <c r="CQ97" s="10">
        <f t="shared" si="88"/>
        <v>1.5170454545454766E-3</v>
      </c>
      <c r="CR97" s="10">
        <f t="shared" si="89"/>
        <v>9.9999999999996424E-4</v>
      </c>
      <c r="CS97" s="10">
        <f t="shared" si="90"/>
        <v>3.536931818181599E-4</v>
      </c>
      <c r="CT97" s="10">
        <f t="shared" si="91"/>
        <v>1.258522727272778E-3</v>
      </c>
      <c r="CU97" s="10">
        <f t="shared" si="92"/>
        <v>2.2443181818186788E-4</v>
      </c>
      <c r="CV97" s="10">
        <f t="shared" si="93"/>
        <v>-2.3607954545454644E-3</v>
      </c>
      <c r="CW97" s="10">
        <f t="shared" si="94"/>
        <v>-2.2315340909090579E-3</v>
      </c>
      <c r="CX97" s="10">
        <f t="shared" si="95"/>
        <v>9.5170454545461097E-5</v>
      </c>
      <c r="CY97" s="10">
        <f t="shared" si="96"/>
        <v>1.6463068181817686E-3</v>
      </c>
      <c r="CZ97" s="10">
        <f t="shared" si="97"/>
        <v>1.258522727272778E-3</v>
      </c>
      <c r="DA97" s="10">
        <f t="shared" si="98"/>
        <v>6.1221590909085874E-4</v>
      </c>
      <c r="DB97" s="10">
        <f t="shared" si="99"/>
        <v>-2.926136363636445E-4</v>
      </c>
      <c r="DC97" s="10">
        <f t="shared" si="100"/>
        <v>6.1221590909085874E-4</v>
      </c>
      <c r="DD97" s="10">
        <f t="shared" si="101"/>
        <v>-1.71448863636366E-3</v>
      </c>
      <c r="DE97" s="10">
        <f t="shared" si="102"/>
        <v>2.6803977272726789E-3</v>
      </c>
      <c r="DF97" s="10">
        <f t="shared" si="103"/>
        <v>2.8096590909090853E-3</v>
      </c>
      <c r="DG97" s="10">
        <f t="shared" si="104"/>
        <v>-3.7826704545454799E-3</v>
      </c>
      <c r="DH97" s="10">
        <f t="shared" si="105"/>
        <v>2.1633522727272812E-3</v>
      </c>
      <c r="DI97" s="10">
        <f t="shared" si="106"/>
        <v>-8.0965909090904213E-4</v>
      </c>
      <c r="DJ97" s="10">
        <f t="shared" si="107"/>
        <v>6.1221590909085874E-4</v>
      </c>
      <c r="DK97" s="10">
        <f t="shared" si="108"/>
        <v>-6.8039772727275006E-4</v>
      </c>
      <c r="DL97" s="10">
        <f t="shared" si="109"/>
        <v>-1.3267045454545545E-3</v>
      </c>
      <c r="DM97" s="10">
        <f t="shared" si="110"/>
        <v>-2.6193181818181632E-3</v>
      </c>
      <c r="DN97" s="10">
        <f t="shared" si="111"/>
        <v>1.6463068181817686E-3</v>
      </c>
      <c r="DO97" s="10">
        <f t="shared" si="112"/>
        <v>-2.7485795454545701E-3</v>
      </c>
      <c r="DP97" s="10">
        <f t="shared" si="113"/>
        <v>2.2443181818186788E-4</v>
      </c>
      <c r="DQ97" s="10">
        <f t="shared" si="114"/>
        <v>-1.633522727272377E-4</v>
      </c>
      <c r="DR97" s="10">
        <f t="shared" si="115"/>
        <v>1.6463068181817686E-3</v>
      </c>
      <c r="DS97" s="10">
        <f t="shared" si="116"/>
        <v>-4.2187500000005133E-4</v>
      </c>
      <c r="DT97" s="10">
        <f t="shared" si="117"/>
        <v>-2.3607954545454644E-3</v>
      </c>
      <c r="DU97" s="10">
        <f t="shared" si="118"/>
        <v>-8.0965909090904213E-4</v>
      </c>
      <c r="DV97" s="10">
        <f t="shared" si="119"/>
        <v>-1.8437499999999522E-3</v>
      </c>
      <c r="DW97" s="10">
        <f t="shared" si="120"/>
        <v>-1.8437499999999522E-3</v>
      </c>
    </row>
    <row r="98" spans="2:127" x14ac:dyDescent="0.45">
      <c r="B98" s="1">
        <v>24</v>
      </c>
      <c r="C98" s="1">
        <v>1335</v>
      </c>
      <c r="D98" s="7">
        <f t="shared" si="121"/>
        <v>7.8241758241758239</v>
      </c>
      <c r="E98" s="1">
        <v>7.81</v>
      </c>
      <c r="F98" s="1">
        <v>7.8280000000000003</v>
      </c>
      <c r="G98" s="1">
        <v>7.8239999999999998</v>
      </c>
      <c r="H98" s="1">
        <v>7.8019999999999996</v>
      </c>
      <c r="I98" s="1">
        <v>7.8259999999999996</v>
      </c>
      <c r="J98" s="1">
        <v>7.8259999999999996</v>
      </c>
      <c r="K98" s="1">
        <v>7.8479999999999999</v>
      </c>
      <c r="L98" s="1">
        <v>7.8319999999999999</v>
      </c>
      <c r="M98" s="1">
        <v>7.8319999999999999</v>
      </c>
      <c r="N98" s="1">
        <v>7.82</v>
      </c>
      <c r="O98" s="1">
        <v>7.8170000000000002</v>
      </c>
      <c r="P98" s="1">
        <v>7.8129999999999997</v>
      </c>
      <c r="Q98" s="1">
        <v>7.8239999999999998</v>
      </c>
      <c r="R98" s="1">
        <v>7.8330000000000002</v>
      </c>
      <c r="S98" s="1">
        <v>7.8250000000000002</v>
      </c>
      <c r="T98" s="1">
        <v>7.8390000000000004</v>
      </c>
      <c r="U98" s="1">
        <v>7.8339999999999996</v>
      </c>
      <c r="V98" s="1">
        <v>7.8150000000000004</v>
      </c>
      <c r="W98" s="1">
        <v>7.8140000000000001</v>
      </c>
      <c r="X98" s="1">
        <v>7.8559999999999999</v>
      </c>
      <c r="Y98" s="1">
        <v>7.8049999999999997</v>
      </c>
      <c r="Z98" s="1">
        <v>7.8140000000000001</v>
      </c>
      <c r="AA98" s="1">
        <v>7.8369999999999997</v>
      </c>
      <c r="AB98" s="1">
        <v>7.8090000000000002</v>
      </c>
      <c r="AC98" s="1">
        <v>7.8150000000000004</v>
      </c>
      <c r="AD98" s="1">
        <v>7.8360000000000003</v>
      </c>
      <c r="AE98" s="1">
        <v>7.8339999999999996</v>
      </c>
      <c r="AF98" s="1">
        <v>7.8360000000000003</v>
      </c>
      <c r="AG98" s="1">
        <v>7.8319999999999999</v>
      </c>
      <c r="AH98" s="1">
        <v>7.8280000000000003</v>
      </c>
      <c r="AI98" s="1">
        <v>7.8360000000000003</v>
      </c>
      <c r="AJ98" s="1">
        <v>7.8239999999999998</v>
      </c>
      <c r="AK98" s="1">
        <v>7.8090000000000002</v>
      </c>
      <c r="AL98" s="1">
        <v>7.806</v>
      </c>
      <c r="AM98" s="1">
        <v>7.8239999999999998</v>
      </c>
      <c r="AN98" s="1">
        <v>7.8369999999999997</v>
      </c>
      <c r="AO98" s="1">
        <v>7.8390000000000004</v>
      </c>
      <c r="AP98" s="1">
        <v>7.8259999999999996</v>
      </c>
      <c r="AQ98" s="1">
        <v>7.8179999999999996</v>
      </c>
      <c r="AR98" s="1">
        <v>7.8280000000000003</v>
      </c>
      <c r="AS98" s="1">
        <v>7.8029999999999999</v>
      </c>
      <c r="AT98" s="1">
        <v>7.8449999999999998</v>
      </c>
      <c r="AU98" s="1">
        <v>7.8470000000000004</v>
      </c>
      <c r="AV98" s="1">
        <v>7.82</v>
      </c>
      <c r="AW98" s="1">
        <v>7.843</v>
      </c>
      <c r="AX98" s="1">
        <v>7.8140000000000001</v>
      </c>
      <c r="AY98" s="1">
        <v>7.83</v>
      </c>
      <c r="AZ98" s="1">
        <v>7.8179999999999996</v>
      </c>
      <c r="BA98" s="1">
        <v>7.8140000000000001</v>
      </c>
      <c r="BB98" s="1">
        <v>7.8019999999999996</v>
      </c>
      <c r="BC98" s="1">
        <v>7.8369999999999997</v>
      </c>
      <c r="BD98" s="1">
        <v>7.8029999999999999</v>
      </c>
      <c r="BE98" s="1">
        <v>7.8259999999999996</v>
      </c>
      <c r="BF98" s="1">
        <v>7.8239999999999998</v>
      </c>
      <c r="BG98" s="1">
        <v>7.8369999999999997</v>
      </c>
      <c r="BH98" s="1">
        <v>7.8179999999999996</v>
      </c>
      <c r="BI98" s="1">
        <v>7.806</v>
      </c>
      <c r="BJ98" s="1">
        <v>7.8209999999999997</v>
      </c>
      <c r="BK98" s="1">
        <v>7.8090000000000002</v>
      </c>
      <c r="BL98" s="1">
        <v>7.81</v>
      </c>
      <c r="BN98" s="9">
        <v>24</v>
      </c>
      <c r="BO98" s="9">
        <v>1335</v>
      </c>
      <c r="BP98" s="10">
        <f t="shared" si="61"/>
        <v>-1.811797752809005E-3</v>
      </c>
      <c r="BQ98" s="10">
        <f t="shared" si="62"/>
        <v>4.887640449438912E-4</v>
      </c>
      <c r="BR98" s="10">
        <f t="shared" si="63"/>
        <v>-2.2471910112345851E-5</v>
      </c>
      <c r="BS98" s="10">
        <f t="shared" si="64"/>
        <v>-2.8342696629213657E-3</v>
      </c>
      <c r="BT98" s="10">
        <f t="shared" si="65"/>
        <v>2.3314606741571591E-4</v>
      </c>
      <c r="BU98" s="10">
        <f t="shared" si="66"/>
        <v>2.3314606741571591E-4</v>
      </c>
      <c r="BV98" s="10">
        <f t="shared" si="67"/>
        <v>3.0449438202247358E-3</v>
      </c>
      <c r="BW98" s="10">
        <f t="shared" si="68"/>
        <v>1.0000000000000145E-3</v>
      </c>
      <c r="BX98" s="10">
        <f t="shared" si="69"/>
        <v>1.0000000000000145E-3</v>
      </c>
      <c r="BY98" s="10">
        <f t="shared" si="70"/>
        <v>-5.3370786516846933E-4</v>
      </c>
      <c r="BZ98" s="10">
        <f t="shared" si="71"/>
        <v>-9.1713483146061868E-4</v>
      </c>
      <c r="CA98" s="10">
        <f t="shared" si="72"/>
        <v>-1.4283707865168558E-3</v>
      </c>
      <c r="CB98" s="10">
        <f t="shared" si="73"/>
        <v>-2.2471910112345851E-5</v>
      </c>
      <c r="CC98" s="10">
        <f t="shared" si="74"/>
        <v>1.1278089887641022E-3</v>
      </c>
      <c r="CD98" s="10">
        <f t="shared" si="75"/>
        <v>1.0533707865174179E-4</v>
      </c>
      <c r="CE98" s="10">
        <f t="shared" si="76"/>
        <v>1.8946629213484011E-3</v>
      </c>
      <c r="CF98" s="10">
        <f t="shared" si="77"/>
        <v>1.2556179775280764E-3</v>
      </c>
      <c r="CG98" s="10">
        <f t="shared" si="78"/>
        <v>-1.1727528089886805E-3</v>
      </c>
      <c r="CH98" s="10">
        <f t="shared" si="79"/>
        <v>-1.3005617977527681E-3</v>
      </c>
      <c r="CI98" s="10">
        <f t="shared" si="80"/>
        <v>4.0674157303370959E-3</v>
      </c>
      <c r="CJ98" s="10">
        <f t="shared" si="81"/>
        <v>-2.4508426966292161E-3</v>
      </c>
      <c r="CK98" s="10">
        <f t="shared" si="82"/>
        <v>-1.3005617977527681E-3</v>
      </c>
      <c r="CL98" s="10">
        <f t="shared" si="83"/>
        <v>1.6390449438202258E-3</v>
      </c>
      <c r="CM98" s="10">
        <f t="shared" si="84"/>
        <v>-1.9396067415729792E-3</v>
      </c>
      <c r="CN98" s="10">
        <f t="shared" si="85"/>
        <v>-1.1727528089886805E-3</v>
      </c>
      <c r="CO98" s="10">
        <f t="shared" si="86"/>
        <v>1.5112359550562516E-3</v>
      </c>
      <c r="CP98" s="10">
        <f t="shared" si="87"/>
        <v>1.2556179775280764E-3</v>
      </c>
      <c r="CQ98" s="10">
        <f t="shared" si="88"/>
        <v>1.5112359550562516E-3</v>
      </c>
      <c r="CR98" s="10">
        <f t="shared" si="89"/>
        <v>1.0000000000000145E-3</v>
      </c>
      <c r="CS98" s="10">
        <f t="shared" si="90"/>
        <v>4.887640449438912E-4</v>
      </c>
      <c r="CT98" s="10">
        <f t="shared" si="91"/>
        <v>1.5112359550562516E-3</v>
      </c>
      <c r="CU98" s="10">
        <f t="shared" si="92"/>
        <v>-2.2471910112345851E-5</v>
      </c>
      <c r="CV98" s="10">
        <f t="shared" si="93"/>
        <v>-1.9396067415729792E-3</v>
      </c>
      <c r="CW98" s="10">
        <f t="shared" si="94"/>
        <v>-2.3230337078651284E-3</v>
      </c>
      <c r="CX98" s="10">
        <f t="shared" si="95"/>
        <v>-2.2471910112345851E-5</v>
      </c>
      <c r="CY98" s="10">
        <f t="shared" si="96"/>
        <v>1.6390449438202258E-3</v>
      </c>
      <c r="CZ98" s="10">
        <f t="shared" si="97"/>
        <v>1.8946629213484011E-3</v>
      </c>
      <c r="DA98" s="10">
        <f t="shared" si="98"/>
        <v>2.3314606741571591E-4</v>
      </c>
      <c r="DB98" s="10">
        <f t="shared" si="99"/>
        <v>-7.8932584269664457E-4</v>
      </c>
      <c r="DC98" s="10">
        <f t="shared" si="100"/>
        <v>4.887640449438912E-4</v>
      </c>
      <c r="DD98" s="10">
        <f t="shared" si="101"/>
        <v>-2.7064606741572781E-3</v>
      </c>
      <c r="DE98" s="10">
        <f t="shared" si="102"/>
        <v>2.6615168539325862E-3</v>
      </c>
      <c r="DF98" s="10">
        <f t="shared" si="103"/>
        <v>2.9171348314607614E-3</v>
      </c>
      <c r="DG98" s="10">
        <f t="shared" si="104"/>
        <v>-5.3370786516846933E-4</v>
      </c>
      <c r="DH98" s="10">
        <f t="shared" si="105"/>
        <v>2.4058988764045245E-3</v>
      </c>
      <c r="DI98" s="10">
        <f t="shared" si="106"/>
        <v>-1.3005617977527681E-3</v>
      </c>
      <c r="DJ98" s="10">
        <f t="shared" si="107"/>
        <v>7.4438202247195293E-4</v>
      </c>
      <c r="DK98" s="10">
        <f t="shared" si="108"/>
        <v>-7.8932584269664457E-4</v>
      </c>
      <c r="DL98" s="10">
        <f t="shared" si="109"/>
        <v>-1.3005617977527681E-3</v>
      </c>
      <c r="DM98" s="10">
        <f t="shared" si="110"/>
        <v>-2.8342696629213657E-3</v>
      </c>
      <c r="DN98" s="10">
        <f t="shared" si="111"/>
        <v>1.6390449438202258E-3</v>
      </c>
      <c r="DO98" s="10">
        <f t="shared" si="112"/>
        <v>-2.7064606741572781E-3</v>
      </c>
      <c r="DP98" s="10">
        <f t="shared" si="113"/>
        <v>2.3314606741571591E-4</v>
      </c>
      <c r="DQ98" s="10">
        <f t="shared" si="114"/>
        <v>-2.2471910112345851E-5</v>
      </c>
      <c r="DR98" s="10">
        <f t="shared" si="115"/>
        <v>1.6390449438202258E-3</v>
      </c>
      <c r="DS98" s="10">
        <f t="shared" si="116"/>
        <v>-7.8932584269664457E-4</v>
      </c>
      <c r="DT98" s="10">
        <f t="shared" si="117"/>
        <v>-2.3230337078651284E-3</v>
      </c>
      <c r="DU98" s="10">
        <f t="shared" si="118"/>
        <v>-4.0589887640449522E-4</v>
      </c>
      <c r="DV98" s="10">
        <f t="shared" si="119"/>
        <v>-1.9396067415729792E-3</v>
      </c>
      <c r="DW98" s="10">
        <f t="shared" si="120"/>
        <v>-1.811797752809005E-3</v>
      </c>
    </row>
    <row r="99" spans="2:127" x14ac:dyDescent="0.45">
      <c r="B99" s="1">
        <v>24</v>
      </c>
      <c r="C99" s="1">
        <v>1350</v>
      </c>
      <c r="D99" s="7">
        <f t="shared" si="121"/>
        <v>7.9120879120879124</v>
      </c>
      <c r="E99" s="1">
        <v>7.8979999999999997</v>
      </c>
      <c r="F99" s="1">
        <v>7.9139999999999997</v>
      </c>
      <c r="G99" s="1">
        <v>7.91</v>
      </c>
      <c r="H99" s="1">
        <v>7.891</v>
      </c>
      <c r="I99" s="1">
        <v>7.9139999999999997</v>
      </c>
      <c r="J99" s="1">
        <v>7.9139999999999997</v>
      </c>
      <c r="K99" s="1">
        <v>7.9379999999999997</v>
      </c>
      <c r="L99" s="1">
        <v>7.92</v>
      </c>
      <c r="M99" s="1">
        <v>7.9210000000000003</v>
      </c>
      <c r="N99" s="1">
        <v>7.9080000000000004</v>
      </c>
      <c r="O99" s="1">
        <v>7.9059999999999997</v>
      </c>
      <c r="P99" s="1">
        <v>7.9009999999999998</v>
      </c>
      <c r="Q99" s="1">
        <v>7.91</v>
      </c>
      <c r="R99" s="1">
        <v>7.923</v>
      </c>
      <c r="S99" s="1">
        <v>7.9119999999999999</v>
      </c>
      <c r="T99" s="1">
        <v>7.9279999999999999</v>
      </c>
      <c r="U99" s="1">
        <v>7.9249999999999998</v>
      </c>
      <c r="V99" s="1">
        <v>7.9039999999999999</v>
      </c>
      <c r="W99" s="1">
        <v>7.9039999999999999</v>
      </c>
      <c r="X99" s="1">
        <v>7.9329999999999998</v>
      </c>
      <c r="Y99" s="1">
        <v>7.8940000000000001</v>
      </c>
      <c r="Z99" s="1">
        <v>7.9009999999999998</v>
      </c>
      <c r="AA99" s="1">
        <v>7.9249999999999998</v>
      </c>
      <c r="AB99" s="1">
        <v>7.8970000000000002</v>
      </c>
      <c r="AC99" s="1">
        <v>7.9039999999999999</v>
      </c>
      <c r="AD99" s="1">
        <v>7.923</v>
      </c>
      <c r="AE99" s="1">
        <v>7.9240000000000004</v>
      </c>
      <c r="AF99" s="1">
        <v>7.9249999999999998</v>
      </c>
      <c r="AG99" s="1">
        <v>7.9189999999999996</v>
      </c>
      <c r="AH99" s="1">
        <v>7.9130000000000003</v>
      </c>
      <c r="AI99" s="1">
        <v>7.9249999999999998</v>
      </c>
      <c r="AJ99" s="1">
        <v>7.9119999999999999</v>
      </c>
      <c r="AK99" s="1">
        <v>7.8970000000000002</v>
      </c>
      <c r="AL99" s="1">
        <v>7.8949999999999996</v>
      </c>
      <c r="AM99" s="1">
        <v>7.91</v>
      </c>
      <c r="AN99" s="1">
        <v>7.923</v>
      </c>
      <c r="AO99" s="1">
        <v>7.9279999999999999</v>
      </c>
      <c r="AP99" s="1">
        <v>7.9119999999999999</v>
      </c>
      <c r="AQ99" s="1">
        <v>7.9050000000000002</v>
      </c>
      <c r="AR99" s="1">
        <v>7.9189999999999996</v>
      </c>
      <c r="AS99" s="1">
        <v>7.8890000000000002</v>
      </c>
      <c r="AT99" s="1">
        <v>7.9349999999999996</v>
      </c>
      <c r="AU99" s="1">
        <v>7.9359999999999999</v>
      </c>
      <c r="AV99" s="1">
        <v>7.9130000000000003</v>
      </c>
      <c r="AW99" s="1">
        <v>7.9279999999999999</v>
      </c>
      <c r="AX99" s="1">
        <v>7.9020000000000001</v>
      </c>
      <c r="AY99" s="1">
        <v>7.9169999999999998</v>
      </c>
      <c r="AZ99" s="1">
        <v>7.9059999999999997</v>
      </c>
      <c r="BA99" s="1">
        <v>7.9009999999999998</v>
      </c>
      <c r="BB99" s="1">
        <v>7.8860000000000001</v>
      </c>
      <c r="BC99" s="1">
        <v>7.9249999999999998</v>
      </c>
      <c r="BD99" s="1">
        <v>7.8929999999999998</v>
      </c>
      <c r="BE99" s="1">
        <v>7.9139999999999997</v>
      </c>
      <c r="BF99" s="1">
        <v>7.9119999999999999</v>
      </c>
      <c r="BG99" s="1">
        <v>7.9279999999999999</v>
      </c>
      <c r="BH99" s="1">
        <v>7.9050000000000002</v>
      </c>
      <c r="BI99" s="1">
        <v>7.8940000000000001</v>
      </c>
      <c r="BJ99" s="1">
        <v>7.91</v>
      </c>
      <c r="BK99" s="1">
        <v>7.891</v>
      </c>
      <c r="BL99" s="1">
        <v>7.8979999999999997</v>
      </c>
      <c r="BN99" s="9">
        <v>24</v>
      </c>
      <c r="BO99" s="9">
        <v>1350</v>
      </c>
      <c r="BP99" s="10">
        <f t="shared" si="61"/>
        <v>-1.7805555555556346E-3</v>
      </c>
      <c r="BQ99" s="10">
        <f t="shared" si="62"/>
        <v>2.4166666666658947E-4</v>
      </c>
      <c r="BR99" s="10">
        <f t="shared" si="63"/>
        <v>-2.6388888888891039E-4</v>
      </c>
      <c r="BS99" s="10">
        <f t="shared" si="64"/>
        <v>-2.6652777777778154E-3</v>
      </c>
      <c r="BT99" s="10">
        <f t="shared" si="65"/>
        <v>2.4166666666658947E-4</v>
      </c>
      <c r="BU99" s="10">
        <f t="shared" si="66"/>
        <v>2.4166666666658947E-4</v>
      </c>
      <c r="BV99" s="10">
        <f t="shared" si="67"/>
        <v>3.2749999999999255E-3</v>
      </c>
      <c r="BW99" s="10">
        <f t="shared" si="68"/>
        <v>9.9999999999995145E-4</v>
      </c>
      <c r="BX99" s="10">
        <f t="shared" si="69"/>
        <v>1.1263888888888825E-3</v>
      </c>
      <c r="BY99" s="10">
        <f t="shared" si="70"/>
        <v>-5.1666666666666029E-4</v>
      </c>
      <c r="BZ99" s="10">
        <f t="shared" si="71"/>
        <v>-7.6944444444452251E-4</v>
      </c>
      <c r="CA99" s="10">
        <f t="shared" si="72"/>
        <v>-1.4013888888889535E-3</v>
      </c>
      <c r="CB99" s="10">
        <f t="shared" si="73"/>
        <v>-2.6388888888891039E-4</v>
      </c>
      <c r="CC99" s="10">
        <f t="shared" si="74"/>
        <v>1.3791666666666325E-3</v>
      </c>
      <c r="CD99" s="10">
        <f t="shared" si="75"/>
        <v>-1.1111111111160463E-5</v>
      </c>
      <c r="CE99" s="10">
        <f t="shared" si="76"/>
        <v>2.0111111111110634E-3</v>
      </c>
      <c r="CF99" s="10">
        <f t="shared" si="77"/>
        <v>1.6319444444443825E-3</v>
      </c>
      <c r="CG99" s="10">
        <f t="shared" si="78"/>
        <v>-1.0222222222222724E-3</v>
      </c>
      <c r="CH99" s="10">
        <f t="shared" si="79"/>
        <v>-1.0222222222222724E-3</v>
      </c>
      <c r="CI99" s="10">
        <f t="shared" si="80"/>
        <v>2.6430555555554945E-3</v>
      </c>
      <c r="CJ99" s="10">
        <f t="shared" si="81"/>
        <v>-2.2861111111111341E-3</v>
      </c>
      <c r="CK99" s="10">
        <f t="shared" si="82"/>
        <v>-1.4013888888889535E-3</v>
      </c>
      <c r="CL99" s="10">
        <f t="shared" si="83"/>
        <v>1.6319444444443825E-3</v>
      </c>
      <c r="CM99" s="10">
        <f t="shared" si="84"/>
        <v>-1.9069444444444533E-3</v>
      </c>
      <c r="CN99" s="10">
        <f t="shared" si="85"/>
        <v>-1.0222222222222724E-3</v>
      </c>
      <c r="CO99" s="10">
        <f t="shared" si="86"/>
        <v>1.3791666666666325E-3</v>
      </c>
      <c r="CP99" s="10">
        <f t="shared" si="87"/>
        <v>1.5055555555555636E-3</v>
      </c>
      <c r="CQ99" s="10">
        <f t="shared" si="88"/>
        <v>1.6319444444443825E-3</v>
      </c>
      <c r="CR99" s="10">
        <f t="shared" si="89"/>
        <v>8.7361111111102039E-4</v>
      </c>
      <c r="CS99" s="10">
        <f t="shared" si="90"/>
        <v>1.1527777777777063E-4</v>
      </c>
      <c r="CT99" s="10">
        <f t="shared" si="91"/>
        <v>1.6319444444443825E-3</v>
      </c>
      <c r="CU99" s="10">
        <f t="shared" si="92"/>
        <v>-1.1111111111160463E-5</v>
      </c>
      <c r="CV99" s="10">
        <f t="shared" si="93"/>
        <v>-1.9069444444444533E-3</v>
      </c>
      <c r="CW99" s="10">
        <f t="shared" si="94"/>
        <v>-2.1597222222223154E-3</v>
      </c>
      <c r="CX99" s="10">
        <f t="shared" si="95"/>
        <v>-2.6388888888891039E-4</v>
      </c>
      <c r="CY99" s="10">
        <f t="shared" si="96"/>
        <v>1.3791666666666325E-3</v>
      </c>
      <c r="CZ99" s="10">
        <f t="shared" si="97"/>
        <v>2.0111111111110634E-3</v>
      </c>
      <c r="DA99" s="10">
        <f t="shared" si="98"/>
        <v>-1.1111111111160463E-5</v>
      </c>
      <c r="DB99" s="10">
        <f t="shared" si="99"/>
        <v>-8.9583333333334136E-4</v>
      </c>
      <c r="DC99" s="10">
        <f t="shared" si="100"/>
        <v>8.7361111111102039E-4</v>
      </c>
      <c r="DD99" s="10">
        <f t="shared" si="101"/>
        <v>-2.9180555555555652E-3</v>
      </c>
      <c r="DE99" s="10">
        <f t="shared" si="102"/>
        <v>2.8958333333332443E-3</v>
      </c>
      <c r="DF99" s="10">
        <f t="shared" si="103"/>
        <v>3.0222222222221753E-3</v>
      </c>
      <c r="DG99" s="10">
        <f t="shared" si="104"/>
        <v>1.1527777777777063E-4</v>
      </c>
      <c r="DH99" s="10">
        <f t="shared" si="105"/>
        <v>2.0111111111110634E-3</v>
      </c>
      <c r="DI99" s="10">
        <f t="shared" si="106"/>
        <v>-1.2750000000000224E-3</v>
      </c>
      <c r="DJ99" s="10">
        <f t="shared" si="107"/>
        <v>6.2083333333327049E-4</v>
      </c>
      <c r="DK99" s="10">
        <f t="shared" si="108"/>
        <v>-7.6944444444452251E-4</v>
      </c>
      <c r="DL99" s="10">
        <f t="shared" si="109"/>
        <v>-1.4013888888889535E-3</v>
      </c>
      <c r="DM99" s="10">
        <f t="shared" si="110"/>
        <v>-3.2972222222222465E-3</v>
      </c>
      <c r="DN99" s="10">
        <f t="shared" si="111"/>
        <v>1.6319444444443825E-3</v>
      </c>
      <c r="DO99" s="10">
        <f t="shared" si="112"/>
        <v>-2.4125000000000656E-3</v>
      </c>
      <c r="DP99" s="10">
        <f t="shared" si="113"/>
        <v>2.4166666666658947E-4</v>
      </c>
      <c r="DQ99" s="10">
        <f t="shared" si="114"/>
        <v>-1.1111111111160463E-5</v>
      </c>
      <c r="DR99" s="10">
        <f t="shared" si="115"/>
        <v>2.0111111111110634E-3</v>
      </c>
      <c r="DS99" s="10">
        <f t="shared" si="116"/>
        <v>-8.9583333333334136E-4</v>
      </c>
      <c r="DT99" s="10">
        <f t="shared" si="117"/>
        <v>-2.2861111111111341E-3</v>
      </c>
      <c r="DU99" s="10">
        <f t="shared" si="118"/>
        <v>-2.6388888888891039E-4</v>
      </c>
      <c r="DV99" s="10">
        <f t="shared" si="119"/>
        <v>-2.6652777777778154E-3</v>
      </c>
      <c r="DW99" s="10">
        <f t="shared" si="120"/>
        <v>-1.7805555555556346E-3</v>
      </c>
    </row>
    <row r="100" spans="2:127" x14ac:dyDescent="0.45">
      <c r="B100" s="1">
        <v>24</v>
      </c>
      <c r="C100" s="1">
        <v>1365</v>
      </c>
      <c r="D100" s="7">
        <f t="shared" si="121"/>
        <v>8</v>
      </c>
      <c r="E100" s="1">
        <v>7.9880000000000004</v>
      </c>
      <c r="F100" s="1">
        <v>8.0030000000000001</v>
      </c>
      <c r="G100" s="1">
        <v>7.9960000000000004</v>
      </c>
      <c r="H100" s="1">
        <v>7.9770000000000003</v>
      </c>
      <c r="I100" s="1">
        <v>8.0009999999999994</v>
      </c>
      <c r="J100" s="1">
        <v>8.0030000000000001</v>
      </c>
      <c r="K100" s="1">
        <v>8.0269999999999992</v>
      </c>
      <c r="L100" s="1">
        <v>8.0150000000000006</v>
      </c>
      <c r="M100" s="1">
        <v>8.0090000000000003</v>
      </c>
      <c r="N100" s="1">
        <v>7.9939999999999998</v>
      </c>
      <c r="O100" s="1">
        <v>7.9939999999999998</v>
      </c>
      <c r="P100" s="1">
        <v>7.9889999999999999</v>
      </c>
      <c r="Q100" s="1">
        <v>7.9989999999999997</v>
      </c>
      <c r="R100" s="1">
        <v>8.0120000000000005</v>
      </c>
      <c r="S100" s="1">
        <v>7.9989999999999997</v>
      </c>
      <c r="T100" s="1">
        <v>8.016</v>
      </c>
      <c r="U100" s="1">
        <v>8.0129999999999999</v>
      </c>
      <c r="V100" s="1">
        <v>7.992</v>
      </c>
      <c r="W100" s="1">
        <v>7.99</v>
      </c>
      <c r="X100" s="1">
        <v>8.0239999999999991</v>
      </c>
      <c r="Y100" s="1">
        <v>7.9820000000000002</v>
      </c>
      <c r="Z100" s="1">
        <v>7.9880000000000004</v>
      </c>
      <c r="AA100" s="1">
        <v>8.0190000000000001</v>
      </c>
      <c r="AB100" s="1">
        <v>7.9850000000000003</v>
      </c>
      <c r="AC100" s="1">
        <v>7.9930000000000003</v>
      </c>
      <c r="AD100" s="1">
        <v>8.0090000000000003</v>
      </c>
      <c r="AE100" s="1">
        <v>8.0120000000000005</v>
      </c>
      <c r="AF100" s="1">
        <v>8.0129999999999999</v>
      </c>
      <c r="AG100" s="1">
        <v>8.0069999999999997</v>
      </c>
      <c r="AH100" s="1">
        <v>8.0009999999999994</v>
      </c>
      <c r="AI100" s="1">
        <v>8.0150000000000006</v>
      </c>
      <c r="AJ100" s="1">
        <v>8.0009999999999994</v>
      </c>
      <c r="AK100" s="1">
        <v>7.9859999999999998</v>
      </c>
      <c r="AL100" s="1">
        <v>7.984</v>
      </c>
      <c r="AM100" s="1">
        <v>7.9989999999999997</v>
      </c>
      <c r="AN100" s="1">
        <v>8.0090000000000003</v>
      </c>
      <c r="AO100" s="1">
        <v>8.0109999999999992</v>
      </c>
      <c r="AP100" s="1">
        <v>8.0079999999999991</v>
      </c>
      <c r="AQ100" s="1">
        <v>7.9960000000000004</v>
      </c>
      <c r="AR100" s="1">
        <v>8.0030000000000001</v>
      </c>
      <c r="AS100" s="1">
        <v>7.9740000000000002</v>
      </c>
      <c r="AT100" s="1">
        <v>8.0229999999999997</v>
      </c>
      <c r="AU100" s="1">
        <v>8.02</v>
      </c>
      <c r="AV100" s="1">
        <v>7.992</v>
      </c>
      <c r="AW100" s="1">
        <v>8.0150000000000006</v>
      </c>
      <c r="AX100" s="1">
        <v>7.9930000000000003</v>
      </c>
      <c r="AY100" s="1">
        <v>8.0069999999999997</v>
      </c>
      <c r="AZ100" s="1">
        <v>7.9930000000000003</v>
      </c>
      <c r="BA100" s="1">
        <v>7.99</v>
      </c>
      <c r="BB100" s="1">
        <v>7.9740000000000002</v>
      </c>
      <c r="BC100" s="1">
        <v>8.0150000000000006</v>
      </c>
      <c r="BD100" s="1">
        <v>7.9809999999999999</v>
      </c>
      <c r="BE100" s="1">
        <v>8.0030000000000001</v>
      </c>
      <c r="BF100" s="1">
        <v>7.9989999999999997</v>
      </c>
      <c r="BG100" s="1">
        <v>8.016</v>
      </c>
      <c r="BH100" s="1">
        <v>7.99</v>
      </c>
      <c r="BI100" s="1">
        <v>7.9809999999999999</v>
      </c>
      <c r="BJ100" s="1">
        <v>7.9989999999999997</v>
      </c>
      <c r="BK100" s="1">
        <v>7.98</v>
      </c>
      <c r="BL100" s="1">
        <v>7.9880000000000004</v>
      </c>
      <c r="BN100" s="9">
        <v>24</v>
      </c>
      <c r="BO100" s="9">
        <v>1365</v>
      </c>
      <c r="BP100" s="10">
        <f t="shared" si="61"/>
        <v>-1.4999999999999458E-3</v>
      </c>
      <c r="BQ100" s="10">
        <f t="shared" si="62"/>
        <v>3.7500000000001421E-4</v>
      </c>
      <c r="BR100" s="10">
        <f t="shared" si="63"/>
        <v>-4.9999999999994493E-4</v>
      </c>
      <c r="BS100" s="10">
        <f t="shared" si="64"/>
        <v>-2.8749999999999609E-3</v>
      </c>
      <c r="BT100" s="10">
        <f t="shared" si="65"/>
        <v>1.2499999999993072E-4</v>
      </c>
      <c r="BU100" s="10">
        <f t="shared" si="66"/>
        <v>3.7500000000001421E-4</v>
      </c>
      <c r="BV100" s="10">
        <f t="shared" si="67"/>
        <v>3.3749999999999059E-3</v>
      </c>
      <c r="BW100" s="10">
        <f t="shared" si="68"/>
        <v>1.8750000000000711E-3</v>
      </c>
      <c r="BX100" s="10">
        <f t="shared" si="69"/>
        <v>1.1250000000000426E-3</v>
      </c>
      <c r="BY100" s="10">
        <f t="shared" si="70"/>
        <v>-7.5000000000002842E-4</v>
      </c>
      <c r="BZ100" s="10">
        <f t="shared" si="71"/>
        <v>-7.5000000000002842E-4</v>
      </c>
      <c r="CA100" s="10">
        <f t="shared" si="72"/>
        <v>-1.3750000000000151E-3</v>
      </c>
      <c r="CB100" s="10">
        <f t="shared" si="73"/>
        <v>-1.2500000000004174E-4</v>
      </c>
      <c r="CC100" s="10">
        <f t="shared" si="74"/>
        <v>1.5000000000000568E-3</v>
      </c>
      <c r="CD100" s="10">
        <f t="shared" si="75"/>
        <v>-1.2500000000004174E-4</v>
      </c>
      <c r="CE100" s="10">
        <f t="shared" si="76"/>
        <v>2.0000000000000018E-3</v>
      </c>
      <c r="CF100" s="10">
        <f t="shared" si="77"/>
        <v>1.6249999999999876E-3</v>
      </c>
      <c r="CG100" s="10">
        <f t="shared" si="78"/>
        <v>-1.0000000000000009E-3</v>
      </c>
      <c r="CH100" s="10">
        <f t="shared" si="79"/>
        <v>-1.2499999999999734E-3</v>
      </c>
      <c r="CI100" s="10">
        <f t="shared" si="80"/>
        <v>2.9999999999998916E-3</v>
      </c>
      <c r="CJ100" s="10">
        <f t="shared" si="81"/>
        <v>-2.2499999999999742E-3</v>
      </c>
      <c r="CK100" s="10">
        <f t="shared" si="82"/>
        <v>-1.4999999999999458E-3</v>
      </c>
      <c r="CL100" s="10">
        <f t="shared" si="83"/>
        <v>2.375000000000016E-3</v>
      </c>
      <c r="CM100" s="10">
        <f t="shared" si="84"/>
        <v>-1.87499999999996E-3</v>
      </c>
      <c r="CN100" s="10">
        <f t="shared" si="85"/>
        <v>-8.7499999999995914E-4</v>
      </c>
      <c r="CO100" s="10">
        <f t="shared" si="86"/>
        <v>1.1250000000000426E-3</v>
      </c>
      <c r="CP100" s="10">
        <f t="shared" si="87"/>
        <v>1.5000000000000568E-3</v>
      </c>
      <c r="CQ100" s="10">
        <f t="shared" si="88"/>
        <v>1.6249999999999876E-3</v>
      </c>
      <c r="CR100" s="10">
        <f t="shared" si="89"/>
        <v>8.7499999999995914E-4</v>
      </c>
      <c r="CS100" s="10">
        <f t="shared" si="90"/>
        <v>1.2499999999993072E-4</v>
      </c>
      <c r="CT100" s="10">
        <f t="shared" si="91"/>
        <v>1.8750000000000711E-3</v>
      </c>
      <c r="CU100" s="10">
        <f t="shared" si="92"/>
        <v>1.2499999999993072E-4</v>
      </c>
      <c r="CV100" s="10">
        <f t="shared" si="93"/>
        <v>-1.7500000000000293E-3</v>
      </c>
      <c r="CW100" s="10">
        <f t="shared" si="94"/>
        <v>-2.0000000000000018E-3</v>
      </c>
      <c r="CX100" s="10">
        <f t="shared" si="95"/>
        <v>-1.2500000000004174E-4</v>
      </c>
      <c r="CY100" s="10">
        <f t="shared" si="96"/>
        <v>1.1250000000000426E-3</v>
      </c>
      <c r="CZ100" s="10">
        <f t="shared" si="97"/>
        <v>1.3749999999999041E-3</v>
      </c>
      <c r="DA100" s="10">
        <f t="shared" si="98"/>
        <v>9.9999999999988987E-4</v>
      </c>
      <c r="DB100" s="10">
        <f t="shared" si="99"/>
        <v>-4.9999999999994493E-4</v>
      </c>
      <c r="DC100" s="10">
        <f t="shared" si="100"/>
        <v>3.7500000000001421E-4</v>
      </c>
      <c r="DD100" s="10">
        <f t="shared" si="101"/>
        <v>-3.2499999999999751E-3</v>
      </c>
      <c r="DE100" s="10">
        <f t="shared" si="102"/>
        <v>2.8749999999999609E-3</v>
      </c>
      <c r="DF100" s="10">
        <f t="shared" si="103"/>
        <v>2.4999999999999467E-3</v>
      </c>
      <c r="DG100" s="10">
        <f t="shared" si="104"/>
        <v>-1.0000000000000009E-3</v>
      </c>
      <c r="DH100" s="10">
        <f t="shared" si="105"/>
        <v>1.8750000000000711E-3</v>
      </c>
      <c r="DI100" s="10">
        <f t="shared" si="106"/>
        <v>-8.7499999999995914E-4</v>
      </c>
      <c r="DJ100" s="10">
        <f t="shared" si="107"/>
        <v>8.7499999999995914E-4</v>
      </c>
      <c r="DK100" s="10">
        <f t="shared" si="108"/>
        <v>-8.7499999999995914E-4</v>
      </c>
      <c r="DL100" s="10">
        <f t="shared" si="109"/>
        <v>-1.2499999999999734E-3</v>
      </c>
      <c r="DM100" s="10">
        <f t="shared" si="110"/>
        <v>-3.2499999999999751E-3</v>
      </c>
      <c r="DN100" s="10">
        <f t="shared" si="111"/>
        <v>1.8750000000000711E-3</v>
      </c>
      <c r="DO100" s="10">
        <f t="shared" si="112"/>
        <v>-2.375000000000016E-3</v>
      </c>
      <c r="DP100" s="10">
        <f t="shared" si="113"/>
        <v>3.7500000000001421E-4</v>
      </c>
      <c r="DQ100" s="10">
        <f t="shared" si="114"/>
        <v>-1.2500000000004174E-4</v>
      </c>
      <c r="DR100" s="10">
        <f t="shared" si="115"/>
        <v>2.0000000000000018E-3</v>
      </c>
      <c r="DS100" s="10">
        <f t="shared" si="116"/>
        <v>-1.2499999999999734E-3</v>
      </c>
      <c r="DT100" s="10">
        <f t="shared" si="117"/>
        <v>-2.375000000000016E-3</v>
      </c>
      <c r="DU100" s="10">
        <f t="shared" si="118"/>
        <v>-1.2500000000004174E-4</v>
      </c>
      <c r="DV100" s="10">
        <f t="shared" si="119"/>
        <v>-2.4999999999999467E-3</v>
      </c>
      <c r="DW100" s="10">
        <f t="shared" si="120"/>
        <v>-1.4999999999999458E-3</v>
      </c>
    </row>
    <row r="101" spans="2:127" x14ac:dyDescent="0.45">
      <c r="B101" s="1">
        <v>24</v>
      </c>
      <c r="C101" s="1">
        <v>1380</v>
      </c>
      <c r="D101" s="7">
        <f t="shared" si="121"/>
        <v>8.0879120879120876</v>
      </c>
      <c r="E101" s="1">
        <v>8.0760000000000005</v>
      </c>
      <c r="F101" s="1">
        <v>8.0890000000000004</v>
      </c>
      <c r="G101" s="1">
        <v>8.0839999999999996</v>
      </c>
      <c r="H101" s="1">
        <v>8.0640000000000001</v>
      </c>
      <c r="I101" s="1">
        <v>8.0890000000000004</v>
      </c>
      <c r="J101" s="1">
        <v>8.0920000000000005</v>
      </c>
      <c r="K101" s="1">
        <v>8.1170000000000009</v>
      </c>
      <c r="L101" s="1">
        <v>8.0980000000000008</v>
      </c>
      <c r="M101" s="1">
        <v>8.0990000000000002</v>
      </c>
      <c r="N101" s="1">
        <v>8.0839999999999996</v>
      </c>
      <c r="O101" s="1">
        <v>8.0839999999999996</v>
      </c>
      <c r="P101" s="1">
        <v>8.077</v>
      </c>
      <c r="Q101" s="1">
        <v>8.0869999999999997</v>
      </c>
      <c r="R101" s="1">
        <v>8.1</v>
      </c>
      <c r="S101" s="1">
        <v>8.0869999999999997</v>
      </c>
      <c r="T101" s="1">
        <v>8.1059999999999999</v>
      </c>
      <c r="U101" s="1">
        <v>8.1020000000000003</v>
      </c>
      <c r="V101" s="1">
        <v>8.08</v>
      </c>
      <c r="W101" s="1">
        <v>8.0790000000000006</v>
      </c>
      <c r="X101" s="1">
        <v>8.1189999999999998</v>
      </c>
      <c r="Y101" s="1">
        <v>8.0690000000000008</v>
      </c>
      <c r="Z101" s="1">
        <v>8.077</v>
      </c>
      <c r="AA101" s="1">
        <v>8.1039999999999992</v>
      </c>
      <c r="AB101" s="1">
        <v>8.0719999999999992</v>
      </c>
      <c r="AC101" s="1">
        <v>8.0809999999999995</v>
      </c>
      <c r="AD101" s="1">
        <v>8.0960000000000001</v>
      </c>
      <c r="AE101" s="1">
        <v>8.1</v>
      </c>
      <c r="AF101" s="1">
        <v>8.1029999999999998</v>
      </c>
      <c r="AG101" s="1">
        <v>8.0950000000000006</v>
      </c>
      <c r="AH101" s="1">
        <v>8.0879999999999992</v>
      </c>
      <c r="AI101" s="1">
        <v>8.1029999999999998</v>
      </c>
      <c r="AJ101" s="1">
        <v>8.0850000000000009</v>
      </c>
      <c r="AK101" s="1">
        <v>8.0760000000000005</v>
      </c>
      <c r="AL101" s="1">
        <v>8.07</v>
      </c>
      <c r="AM101" s="1">
        <v>8.0850000000000009</v>
      </c>
      <c r="AN101" s="1">
        <v>8.1</v>
      </c>
      <c r="AO101" s="1">
        <v>8.1069999999999993</v>
      </c>
      <c r="AP101" s="1">
        <v>8.0920000000000005</v>
      </c>
      <c r="AQ101" s="1">
        <v>8.0809999999999995</v>
      </c>
      <c r="AR101" s="1">
        <v>8.0920000000000005</v>
      </c>
      <c r="AS101" s="1">
        <v>8.0679999999999996</v>
      </c>
      <c r="AT101" s="1">
        <v>8.1150000000000002</v>
      </c>
      <c r="AU101" s="1">
        <v>8.1080000000000005</v>
      </c>
      <c r="AV101" s="1">
        <v>8.0980000000000008</v>
      </c>
      <c r="AW101" s="1">
        <v>8.1039999999999992</v>
      </c>
      <c r="AX101" s="1">
        <v>8.0830000000000002</v>
      </c>
      <c r="AY101" s="1">
        <v>8.0950000000000006</v>
      </c>
      <c r="AZ101" s="1">
        <v>8.0830000000000002</v>
      </c>
      <c r="BA101" s="1">
        <v>8.077</v>
      </c>
      <c r="BB101" s="1">
        <v>8.0660000000000007</v>
      </c>
      <c r="BC101" s="1">
        <v>8.1020000000000003</v>
      </c>
      <c r="BD101" s="1">
        <v>8.0690000000000008</v>
      </c>
      <c r="BE101" s="1">
        <v>8.0920000000000005</v>
      </c>
      <c r="BF101" s="1">
        <v>8.0869999999999997</v>
      </c>
      <c r="BG101" s="1">
        <v>8.1080000000000005</v>
      </c>
      <c r="BH101" s="1">
        <v>8.0749999999999993</v>
      </c>
      <c r="BI101" s="1">
        <v>8.0679999999999996</v>
      </c>
      <c r="BJ101" s="1">
        <v>8.0850000000000009</v>
      </c>
      <c r="BK101" s="1">
        <v>8.0690000000000008</v>
      </c>
      <c r="BL101" s="1">
        <v>8.0749999999999993</v>
      </c>
      <c r="BN101" s="9">
        <v>24</v>
      </c>
      <c r="BO101" s="9">
        <v>1380</v>
      </c>
      <c r="BP101" s="10">
        <f t="shared" si="61"/>
        <v>-1.4728260869564199E-3</v>
      </c>
      <c r="BQ101" s="10">
        <f t="shared" si="62"/>
        <v>1.3451086956530698E-4</v>
      </c>
      <c r="BR101" s="10">
        <f t="shared" si="63"/>
        <v>-4.8369565217392014E-4</v>
      </c>
      <c r="BS101" s="10">
        <f t="shared" si="64"/>
        <v>-2.9565217391303894E-3</v>
      </c>
      <c r="BT101" s="10">
        <f t="shared" si="65"/>
        <v>1.3451086956530698E-4</v>
      </c>
      <c r="BU101" s="10">
        <f t="shared" si="66"/>
        <v>5.054347826087993E-4</v>
      </c>
      <c r="BV101" s="10">
        <f t="shared" si="67"/>
        <v>3.5964673913044956E-3</v>
      </c>
      <c r="BW101" s="10">
        <f t="shared" si="68"/>
        <v>1.247282608695784E-3</v>
      </c>
      <c r="BX101" s="10">
        <f t="shared" si="69"/>
        <v>1.3709239130435416E-3</v>
      </c>
      <c r="BY101" s="10">
        <f t="shared" si="70"/>
        <v>-4.8369565217392014E-4</v>
      </c>
      <c r="BZ101" s="10">
        <f t="shared" si="71"/>
        <v>-4.8369565217392014E-4</v>
      </c>
      <c r="CA101" s="10">
        <f t="shared" si="72"/>
        <v>-1.3491847826086624E-3</v>
      </c>
      <c r="CB101" s="10">
        <f t="shared" si="73"/>
        <v>-1.127717391304278E-4</v>
      </c>
      <c r="CC101" s="10">
        <f t="shared" si="74"/>
        <v>1.4945652173912992E-3</v>
      </c>
      <c r="CD101" s="10">
        <f t="shared" si="75"/>
        <v>-1.127717391304278E-4</v>
      </c>
      <c r="CE101" s="10">
        <f t="shared" si="76"/>
        <v>2.2364130434782839E-3</v>
      </c>
      <c r="CF101" s="10">
        <f t="shared" si="77"/>
        <v>1.7418478260870338E-3</v>
      </c>
      <c r="CG101" s="10">
        <f t="shared" si="78"/>
        <v>-9.7826086956516998E-4</v>
      </c>
      <c r="CH101" s="10">
        <f t="shared" si="79"/>
        <v>-1.1019021739129276E-3</v>
      </c>
      <c r="CI101" s="10">
        <f t="shared" si="80"/>
        <v>3.8437500000000108E-3</v>
      </c>
      <c r="CJ101" s="10">
        <f t="shared" si="81"/>
        <v>-2.338315217391162E-3</v>
      </c>
      <c r="CK101" s="10">
        <f t="shared" si="82"/>
        <v>-1.3491847826086624E-3</v>
      </c>
      <c r="CL101" s="10">
        <f t="shared" si="83"/>
        <v>1.9891304347825489E-3</v>
      </c>
      <c r="CM101" s="10">
        <f t="shared" si="84"/>
        <v>-1.9673913043478895E-3</v>
      </c>
      <c r="CN101" s="10">
        <f t="shared" si="85"/>
        <v>-8.5461956521741241E-4</v>
      </c>
      <c r="CO101" s="10">
        <f t="shared" si="86"/>
        <v>1.0000000000000492E-3</v>
      </c>
      <c r="CP101" s="10">
        <f t="shared" si="87"/>
        <v>1.4945652173912992E-3</v>
      </c>
      <c r="CQ101" s="10">
        <f t="shared" si="88"/>
        <v>1.8654891304347913E-3</v>
      </c>
      <c r="CR101" s="10">
        <f t="shared" si="89"/>
        <v>8.7635869565229167E-4</v>
      </c>
      <c r="CS101" s="10">
        <f t="shared" si="90"/>
        <v>1.086956521732977E-5</v>
      </c>
      <c r="CT101" s="10">
        <f t="shared" si="91"/>
        <v>1.8654891304347913E-3</v>
      </c>
      <c r="CU101" s="10">
        <f t="shared" si="92"/>
        <v>-3.6005434782594291E-4</v>
      </c>
      <c r="CV101" s="10">
        <f t="shared" si="93"/>
        <v>-1.4728260869564199E-3</v>
      </c>
      <c r="CW101" s="10">
        <f t="shared" si="94"/>
        <v>-2.2146739130434047E-3</v>
      </c>
      <c r="CX101" s="10">
        <f t="shared" si="95"/>
        <v>-3.6005434782594291E-4</v>
      </c>
      <c r="CY101" s="10">
        <f t="shared" si="96"/>
        <v>1.4945652173912992E-3</v>
      </c>
      <c r="CZ101" s="10">
        <f t="shared" si="97"/>
        <v>2.3600543478260413E-3</v>
      </c>
      <c r="DA101" s="10">
        <f t="shared" si="98"/>
        <v>5.054347826087993E-4</v>
      </c>
      <c r="DB101" s="10">
        <f t="shared" si="99"/>
        <v>-8.5461956521741241E-4</v>
      </c>
      <c r="DC101" s="10">
        <f t="shared" si="100"/>
        <v>5.054347826087993E-4</v>
      </c>
      <c r="DD101" s="10">
        <f t="shared" si="101"/>
        <v>-2.4619565217391393E-3</v>
      </c>
      <c r="DE101" s="10">
        <f t="shared" si="102"/>
        <v>3.3491847826087606E-3</v>
      </c>
      <c r="DF101" s="10">
        <f t="shared" si="103"/>
        <v>2.4836956521740185E-3</v>
      </c>
      <c r="DG101" s="10">
        <f t="shared" si="104"/>
        <v>1.247282608695784E-3</v>
      </c>
      <c r="DH101" s="10">
        <f t="shared" si="105"/>
        <v>1.9891304347825489E-3</v>
      </c>
      <c r="DI101" s="10">
        <f t="shared" si="106"/>
        <v>-6.0733695652167771E-4</v>
      </c>
      <c r="DJ101" s="10">
        <f t="shared" si="107"/>
        <v>8.7635869565229167E-4</v>
      </c>
      <c r="DK101" s="10">
        <f t="shared" si="108"/>
        <v>-6.0733695652167771E-4</v>
      </c>
      <c r="DL101" s="10">
        <f t="shared" si="109"/>
        <v>-1.3491847826086624E-3</v>
      </c>
      <c r="DM101" s="10">
        <f t="shared" si="110"/>
        <v>-2.7092391304346544E-3</v>
      </c>
      <c r="DN101" s="10">
        <f t="shared" si="111"/>
        <v>1.7418478260870338E-3</v>
      </c>
      <c r="DO101" s="10">
        <f t="shared" si="112"/>
        <v>-2.338315217391162E-3</v>
      </c>
      <c r="DP101" s="10">
        <f t="shared" si="113"/>
        <v>5.054347826087993E-4</v>
      </c>
      <c r="DQ101" s="10">
        <f t="shared" si="114"/>
        <v>-1.127717391304278E-4</v>
      </c>
      <c r="DR101" s="10">
        <f t="shared" si="115"/>
        <v>2.4836956521740185E-3</v>
      </c>
      <c r="DS101" s="10">
        <f t="shared" si="116"/>
        <v>-1.5964673913043972E-3</v>
      </c>
      <c r="DT101" s="10">
        <f t="shared" si="117"/>
        <v>-2.4619565217391393E-3</v>
      </c>
      <c r="DU101" s="10">
        <f t="shared" si="118"/>
        <v>-3.6005434782594291E-4</v>
      </c>
      <c r="DV101" s="10">
        <f t="shared" si="119"/>
        <v>-2.338315217391162E-3</v>
      </c>
      <c r="DW101" s="10">
        <f t="shared" si="120"/>
        <v>-1.5964673913043972E-3</v>
      </c>
    </row>
    <row r="102" spans="2:127" x14ac:dyDescent="0.45">
      <c r="B102" s="1">
        <v>24</v>
      </c>
      <c r="C102" s="1">
        <v>1395</v>
      </c>
      <c r="D102" s="7">
        <f t="shared" si="121"/>
        <v>8.1758241758241752</v>
      </c>
      <c r="E102" s="1">
        <v>8.1639999999999997</v>
      </c>
      <c r="F102" s="1">
        <v>8.1760000000000002</v>
      </c>
      <c r="G102" s="1">
        <v>8.1739999999999995</v>
      </c>
      <c r="H102" s="1">
        <v>8.1489999999999991</v>
      </c>
      <c r="I102" s="1">
        <v>8.1780000000000008</v>
      </c>
      <c r="J102" s="1">
        <v>8.1790000000000003</v>
      </c>
      <c r="K102" s="1">
        <v>8.2059999999999995</v>
      </c>
      <c r="L102" s="1">
        <v>8.1820000000000004</v>
      </c>
      <c r="M102" s="1">
        <v>8.1869999999999994</v>
      </c>
      <c r="N102" s="1">
        <v>8.1739999999999995</v>
      </c>
      <c r="O102" s="1">
        <v>8.1720000000000006</v>
      </c>
      <c r="P102" s="1">
        <v>8.1639999999999997</v>
      </c>
      <c r="Q102" s="1">
        <v>8.1780000000000008</v>
      </c>
      <c r="R102" s="1">
        <v>8.19</v>
      </c>
      <c r="S102" s="1">
        <v>8.1760000000000002</v>
      </c>
      <c r="T102" s="1">
        <v>8.1940000000000008</v>
      </c>
      <c r="U102" s="1">
        <v>8.19</v>
      </c>
      <c r="V102" s="1">
        <v>8.1669999999999998</v>
      </c>
      <c r="W102" s="1">
        <v>8.1649999999999991</v>
      </c>
      <c r="X102" s="1">
        <v>8.1989999999999998</v>
      </c>
      <c r="Y102" s="1">
        <v>8.157</v>
      </c>
      <c r="Z102" s="1">
        <v>8.1639999999999997</v>
      </c>
      <c r="AA102" s="1">
        <v>8.1910000000000007</v>
      </c>
      <c r="AB102" s="1">
        <v>8.1609999999999996</v>
      </c>
      <c r="AC102" s="1">
        <v>8.1690000000000005</v>
      </c>
      <c r="AD102" s="1">
        <v>8.1829999999999998</v>
      </c>
      <c r="AE102" s="1">
        <v>8.1880000000000006</v>
      </c>
      <c r="AF102" s="1">
        <v>8.1910000000000007</v>
      </c>
      <c r="AG102" s="1">
        <v>8.1839999999999993</v>
      </c>
      <c r="AH102" s="1">
        <v>8.1750000000000007</v>
      </c>
      <c r="AI102" s="1">
        <v>8.19</v>
      </c>
      <c r="AJ102" s="1">
        <v>8.1750000000000007</v>
      </c>
      <c r="AK102" s="1">
        <v>8.1609999999999996</v>
      </c>
      <c r="AL102" s="1">
        <v>8.1590000000000007</v>
      </c>
      <c r="AM102" s="1">
        <v>8.1739999999999995</v>
      </c>
      <c r="AN102" s="1">
        <v>8.1880000000000006</v>
      </c>
      <c r="AO102" s="1">
        <v>8.1940000000000008</v>
      </c>
      <c r="AP102" s="1">
        <v>8.1790000000000003</v>
      </c>
      <c r="AQ102" s="1">
        <v>8.1690000000000005</v>
      </c>
      <c r="AR102" s="1">
        <v>8.1820000000000004</v>
      </c>
      <c r="AS102" s="1">
        <v>8.15</v>
      </c>
      <c r="AT102" s="1">
        <v>8.2050000000000001</v>
      </c>
      <c r="AU102" s="1">
        <v>8.1980000000000004</v>
      </c>
      <c r="AV102" s="1">
        <v>8.1419999999999995</v>
      </c>
      <c r="AW102" s="1">
        <v>8.1940000000000008</v>
      </c>
      <c r="AX102" s="1">
        <v>8.1690000000000005</v>
      </c>
      <c r="AY102" s="1">
        <v>8.1829999999999998</v>
      </c>
      <c r="AZ102" s="1">
        <v>8.1690000000000005</v>
      </c>
      <c r="BA102" s="1">
        <v>8.1630000000000003</v>
      </c>
      <c r="BB102" s="1">
        <v>8.1519999999999992</v>
      </c>
      <c r="BC102" s="1">
        <v>8.1929999999999996</v>
      </c>
      <c r="BD102" s="1">
        <v>8.157</v>
      </c>
      <c r="BE102" s="1">
        <v>8.18</v>
      </c>
      <c r="BF102" s="1">
        <v>8.1720000000000006</v>
      </c>
      <c r="BG102" s="1">
        <v>8.1929999999999996</v>
      </c>
      <c r="BH102" s="1">
        <v>8.1630000000000003</v>
      </c>
      <c r="BI102" s="1">
        <v>8.1530000000000005</v>
      </c>
      <c r="BJ102" s="1">
        <v>8.1720000000000006</v>
      </c>
      <c r="BK102" s="1">
        <v>8.157</v>
      </c>
      <c r="BL102" s="1">
        <v>8.1609999999999996</v>
      </c>
      <c r="BN102" s="9">
        <v>24</v>
      </c>
      <c r="BO102" s="9">
        <v>1395</v>
      </c>
      <c r="BP102" s="10">
        <f t="shared" si="61"/>
        <v>-1.4462365591397452E-3</v>
      </c>
      <c r="BQ102" s="10">
        <f t="shared" si="62"/>
        <v>2.1505376344181545E-5</v>
      </c>
      <c r="BR102" s="10">
        <f t="shared" si="63"/>
        <v>-2.2311827956987865E-4</v>
      </c>
      <c r="BS102" s="10">
        <f t="shared" si="64"/>
        <v>-3.2809139784946537E-3</v>
      </c>
      <c r="BT102" s="10">
        <f t="shared" si="65"/>
        <v>2.6612903225824175E-4</v>
      </c>
      <c r="BU102" s="10">
        <f t="shared" si="66"/>
        <v>3.8844086021516319E-4</v>
      </c>
      <c r="BV102" s="10">
        <f t="shared" si="67"/>
        <v>3.690860215053781E-3</v>
      </c>
      <c r="BW102" s="10">
        <f t="shared" si="68"/>
        <v>7.5537634408614487E-4</v>
      </c>
      <c r="BX102" s="10">
        <f t="shared" si="69"/>
        <v>1.3669354838709694E-3</v>
      </c>
      <c r="BY102" s="10">
        <f t="shared" si="70"/>
        <v>-2.2311827956987865E-4</v>
      </c>
      <c r="BZ102" s="10">
        <f t="shared" si="71"/>
        <v>-4.6774193548372161E-4</v>
      </c>
      <c r="CA102" s="10">
        <f t="shared" si="72"/>
        <v>-1.4462365591397452E-3</v>
      </c>
      <c r="CB102" s="10">
        <f t="shared" si="73"/>
        <v>2.6612903225824175E-4</v>
      </c>
      <c r="CC102" s="10">
        <f t="shared" si="74"/>
        <v>1.7338709677419512E-3</v>
      </c>
      <c r="CD102" s="10">
        <f t="shared" si="75"/>
        <v>2.1505376344181545E-5</v>
      </c>
      <c r="CE102" s="10">
        <f t="shared" si="76"/>
        <v>2.2231182795700716E-3</v>
      </c>
      <c r="CF102" s="10">
        <f t="shared" si="77"/>
        <v>1.7338709677419512E-3</v>
      </c>
      <c r="CG102" s="10">
        <f t="shared" si="78"/>
        <v>-1.0793010752687634E-3</v>
      </c>
      <c r="CH102" s="10">
        <f t="shared" si="79"/>
        <v>-1.3239247311828237E-3</v>
      </c>
      <c r="CI102" s="10">
        <f t="shared" si="80"/>
        <v>2.8346774193548962E-3</v>
      </c>
      <c r="CJ102" s="10">
        <f t="shared" si="81"/>
        <v>-2.3024193548386298E-3</v>
      </c>
      <c r="CK102" s="10">
        <f t="shared" si="82"/>
        <v>-1.4462365591397452E-3</v>
      </c>
      <c r="CL102" s="10">
        <f t="shared" si="83"/>
        <v>1.85618279569909E-3</v>
      </c>
      <c r="CM102" s="10">
        <f t="shared" si="84"/>
        <v>-1.8131720430107268E-3</v>
      </c>
      <c r="CN102" s="10">
        <f t="shared" si="85"/>
        <v>-8.3467741935470323E-4</v>
      </c>
      <c r="CO102" s="10">
        <f t="shared" si="86"/>
        <v>8.7768817204306637E-4</v>
      </c>
      <c r="CP102" s="10">
        <f t="shared" si="87"/>
        <v>1.4892473118281082E-3</v>
      </c>
      <c r="CQ102" s="10">
        <f t="shared" si="88"/>
        <v>1.85618279569909E-3</v>
      </c>
      <c r="CR102" s="10">
        <f t="shared" si="89"/>
        <v>9.9999999999998788E-4</v>
      </c>
      <c r="CS102" s="10">
        <f t="shared" si="90"/>
        <v>-1.0080645161273992E-4</v>
      </c>
      <c r="CT102" s="10">
        <f t="shared" si="91"/>
        <v>1.7338709677419512E-3</v>
      </c>
      <c r="CU102" s="10">
        <f t="shared" si="92"/>
        <v>-1.0080645161273992E-4</v>
      </c>
      <c r="CV102" s="10">
        <f t="shared" si="93"/>
        <v>-1.8131720430107268E-3</v>
      </c>
      <c r="CW102" s="10">
        <f t="shared" si="94"/>
        <v>-2.05779569892457E-3</v>
      </c>
      <c r="CX102" s="10">
        <f t="shared" si="95"/>
        <v>-2.2311827956987865E-4</v>
      </c>
      <c r="CY102" s="10">
        <f t="shared" si="96"/>
        <v>1.4892473118281082E-3</v>
      </c>
      <c r="CZ102" s="10">
        <f t="shared" si="97"/>
        <v>2.2231182795700716E-3</v>
      </c>
      <c r="DA102" s="10">
        <f t="shared" si="98"/>
        <v>3.8844086021516319E-4</v>
      </c>
      <c r="DB102" s="10">
        <f t="shared" si="99"/>
        <v>-8.3467741935470323E-4</v>
      </c>
      <c r="DC102" s="10">
        <f t="shared" si="100"/>
        <v>7.5537634408614487E-4</v>
      </c>
      <c r="DD102" s="10">
        <f t="shared" si="101"/>
        <v>-3.1586021505375147E-3</v>
      </c>
      <c r="DE102" s="10">
        <f t="shared" si="102"/>
        <v>3.5685483870968597E-3</v>
      </c>
      <c r="DF102" s="10">
        <f t="shared" si="103"/>
        <v>2.7123655913979749E-3</v>
      </c>
      <c r="DG102" s="10">
        <f t="shared" si="104"/>
        <v>-4.1370967741935381E-3</v>
      </c>
      <c r="DH102" s="10">
        <f t="shared" si="105"/>
        <v>2.2231182795700716E-3</v>
      </c>
      <c r="DI102" s="10">
        <f t="shared" si="106"/>
        <v>-8.3467741935470323E-4</v>
      </c>
      <c r="DJ102" s="10">
        <f t="shared" si="107"/>
        <v>8.7768817204306637E-4</v>
      </c>
      <c r="DK102" s="10">
        <f t="shared" si="108"/>
        <v>-8.3467741935470323E-4</v>
      </c>
      <c r="DL102" s="10">
        <f t="shared" si="109"/>
        <v>-1.5685483870966667E-3</v>
      </c>
      <c r="DM102" s="10">
        <f t="shared" si="110"/>
        <v>-2.9139784946236717E-3</v>
      </c>
      <c r="DN102" s="10">
        <f t="shared" si="111"/>
        <v>2.100806451612933E-3</v>
      </c>
      <c r="DO102" s="10">
        <f t="shared" si="112"/>
        <v>-2.3024193548386298E-3</v>
      </c>
      <c r="DP102" s="10">
        <f t="shared" si="113"/>
        <v>5.107526881720847E-4</v>
      </c>
      <c r="DQ102" s="10">
        <f t="shared" si="114"/>
        <v>-4.6774193548372161E-4</v>
      </c>
      <c r="DR102" s="10">
        <f t="shared" si="115"/>
        <v>2.100806451612933E-3</v>
      </c>
      <c r="DS102" s="10">
        <f t="shared" si="116"/>
        <v>-1.5685483870966667E-3</v>
      </c>
      <c r="DT102" s="10">
        <f t="shared" si="117"/>
        <v>-2.7916666666665331E-3</v>
      </c>
      <c r="DU102" s="10">
        <f t="shared" si="118"/>
        <v>-4.6774193548372161E-4</v>
      </c>
      <c r="DV102" s="10">
        <f t="shared" si="119"/>
        <v>-2.3024193548386298E-3</v>
      </c>
      <c r="DW102" s="10">
        <f t="shared" si="120"/>
        <v>-1.8131720430107268E-3</v>
      </c>
    </row>
    <row r="103" spans="2:127" x14ac:dyDescent="0.45">
      <c r="B103" s="1">
        <v>24</v>
      </c>
      <c r="C103" s="1">
        <v>1410</v>
      </c>
      <c r="D103" s="7">
        <f t="shared" si="121"/>
        <v>8.2637362637362646</v>
      </c>
      <c r="E103" s="1">
        <v>8.2509999999999994</v>
      </c>
      <c r="F103" s="1">
        <v>8.2639999999999993</v>
      </c>
      <c r="G103" s="1">
        <v>8.2629999999999999</v>
      </c>
      <c r="H103" s="1">
        <v>8.2360000000000007</v>
      </c>
      <c r="I103" s="1">
        <v>8.2639999999999993</v>
      </c>
      <c r="J103" s="1">
        <v>8.266</v>
      </c>
      <c r="K103" s="1">
        <v>8.2959999999999994</v>
      </c>
      <c r="L103" s="1">
        <v>8.2710000000000008</v>
      </c>
      <c r="M103" s="1">
        <v>8.2739999999999991</v>
      </c>
      <c r="N103" s="1">
        <v>8.26</v>
      </c>
      <c r="O103" s="1">
        <v>8.26</v>
      </c>
      <c r="P103" s="1">
        <v>8.2490000000000006</v>
      </c>
      <c r="Q103" s="1">
        <v>8.266</v>
      </c>
      <c r="R103" s="1">
        <v>8.2780000000000005</v>
      </c>
      <c r="S103" s="1">
        <v>8.2639999999999993</v>
      </c>
      <c r="T103" s="1">
        <v>8.2810000000000006</v>
      </c>
      <c r="U103" s="1">
        <v>8.2789999999999999</v>
      </c>
      <c r="V103" s="1">
        <v>8.2550000000000008</v>
      </c>
      <c r="W103" s="1">
        <v>8.2520000000000007</v>
      </c>
      <c r="X103" s="1">
        <v>8.2810000000000006</v>
      </c>
      <c r="Y103" s="1">
        <v>8.2439999999999998</v>
      </c>
      <c r="Z103" s="1">
        <v>8.2550000000000008</v>
      </c>
      <c r="AA103" s="1">
        <v>8.282</v>
      </c>
      <c r="AB103" s="1">
        <v>8.2479999999999993</v>
      </c>
      <c r="AC103" s="1">
        <v>8.2579999999999991</v>
      </c>
      <c r="AD103" s="1">
        <v>8.2739999999999991</v>
      </c>
      <c r="AE103" s="1">
        <v>8.2769999999999992</v>
      </c>
      <c r="AF103" s="1">
        <v>8.2810000000000006</v>
      </c>
      <c r="AG103" s="1">
        <v>8.2729999999999997</v>
      </c>
      <c r="AH103" s="1">
        <v>8.2639999999999993</v>
      </c>
      <c r="AI103" s="1">
        <v>8.2780000000000005</v>
      </c>
      <c r="AJ103" s="1">
        <v>8.26</v>
      </c>
      <c r="AK103" s="1">
        <v>8.2490000000000006</v>
      </c>
      <c r="AL103" s="1">
        <v>8.2479999999999993</v>
      </c>
      <c r="AM103" s="1">
        <v>8.2579999999999991</v>
      </c>
      <c r="AN103" s="1">
        <v>8.2769999999999992</v>
      </c>
      <c r="AO103" s="1">
        <v>8.2829999999999995</v>
      </c>
      <c r="AP103" s="1">
        <v>8.2669999999999995</v>
      </c>
      <c r="AQ103" s="1">
        <v>8.2560000000000002</v>
      </c>
      <c r="AR103" s="1">
        <v>8.27</v>
      </c>
      <c r="AS103" s="1">
        <v>8.2409999999999997</v>
      </c>
      <c r="AT103" s="1">
        <v>8.2929999999999993</v>
      </c>
      <c r="AU103" s="1">
        <v>8.2859999999999996</v>
      </c>
      <c r="AV103" s="1">
        <v>8.2750000000000004</v>
      </c>
      <c r="AW103" s="1">
        <v>8.282</v>
      </c>
      <c r="AX103" s="1">
        <v>8.26</v>
      </c>
      <c r="AY103" s="1">
        <v>8.2739999999999991</v>
      </c>
      <c r="AZ103" s="1">
        <v>8.2550000000000008</v>
      </c>
      <c r="BA103" s="1">
        <v>8.2509999999999994</v>
      </c>
      <c r="BB103" s="1">
        <v>8.2409999999999997</v>
      </c>
      <c r="BC103" s="1">
        <v>8.2810000000000006</v>
      </c>
      <c r="BD103" s="1">
        <v>8.2439999999999998</v>
      </c>
      <c r="BE103" s="1">
        <v>8.2680000000000007</v>
      </c>
      <c r="BF103" s="1">
        <v>8.2590000000000003</v>
      </c>
      <c r="BG103" s="1">
        <v>8.2810000000000006</v>
      </c>
      <c r="BH103" s="1">
        <v>8.2490000000000006</v>
      </c>
      <c r="BI103" s="1">
        <v>8.24</v>
      </c>
      <c r="BJ103" s="1">
        <v>8.2620000000000005</v>
      </c>
      <c r="BK103" s="1">
        <v>8.2520000000000007</v>
      </c>
      <c r="BL103" s="1">
        <v>8.2479999999999993</v>
      </c>
      <c r="BN103" s="9">
        <v>24</v>
      </c>
      <c r="BO103" s="9">
        <v>1410</v>
      </c>
      <c r="BP103" s="10">
        <f t="shared" si="61"/>
        <v>-1.5412234042554876E-3</v>
      </c>
      <c r="BQ103" s="10">
        <f t="shared" si="62"/>
        <v>3.1914893616840593E-5</v>
      </c>
      <c r="BR103" s="10">
        <f t="shared" si="63"/>
        <v>-8.9095744680964666E-5</v>
      </c>
      <c r="BS103" s="10">
        <f t="shared" si="64"/>
        <v>-3.3563829787234263E-3</v>
      </c>
      <c r="BT103" s="10">
        <f t="shared" si="65"/>
        <v>3.1914893616840593E-5</v>
      </c>
      <c r="BU103" s="10">
        <f t="shared" si="66"/>
        <v>2.7393617021266608E-4</v>
      </c>
      <c r="BV103" s="10">
        <f t="shared" si="67"/>
        <v>3.9042553191487583E-3</v>
      </c>
      <c r="BW103" s="10">
        <f t="shared" si="68"/>
        <v>8.789893617021223E-4</v>
      </c>
      <c r="BX103" s="10">
        <f t="shared" si="69"/>
        <v>1.242021276595538E-3</v>
      </c>
      <c r="BY103" s="10">
        <f t="shared" si="70"/>
        <v>-4.5212765957459538E-4</v>
      </c>
      <c r="BZ103" s="10">
        <f t="shared" si="71"/>
        <v>-4.5212765957459538E-4</v>
      </c>
      <c r="CA103" s="10">
        <f t="shared" si="72"/>
        <v>-1.7832446808510982E-3</v>
      </c>
      <c r="CB103" s="10">
        <f t="shared" si="73"/>
        <v>2.7393617021266608E-4</v>
      </c>
      <c r="CC103" s="10">
        <f t="shared" si="74"/>
        <v>1.726063829787189E-3</v>
      </c>
      <c r="CD103" s="10">
        <f t="shared" si="75"/>
        <v>3.1914893616840593E-5</v>
      </c>
      <c r="CE103" s="10">
        <f t="shared" si="76"/>
        <v>2.0890957446808196E-3</v>
      </c>
      <c r="CF103" s="10">
        <f t="shared" si="77"/>
        <v>1.8470744680849944E-3</v>
      </c>
      <c r="CG103" s="10">
        <f t="shared" si="78"/>
        <v>-1.0571808510638366E-3</v>
      </c>
      <c r="CH103" s="10">
        <f t="shared" si="79"/>
        <v>-1.4202127659574675E-3</v>
      </c>
      <c r="CI103" s="10">
        <f t="shared" si="80"/>
        <v>2.0890957446808196E-3</v>
      </c>
      <c r="CJ103" s="10">
        <f t="shared" si="81"/>
        <v>-2.3882978723405546E-3</v>
      </c>
      <c r="CK103" s="10">
        <f t="shared" si="82"/>
        <v>-1.0571808510638366E-3</v>
      </c>
      <c r="CL103" s="10">
        <f t="shared" si="83"/>
        <v>2.2101063829786253E-3</v>
      </c>
      <c r="CM103" s="10">
        <f t="shared" si="84"/>
        <v>-1.9042553191491185E-3</v>
      </c>
      <c r="CN103" s="10">
        <f t="shared" si="85"/>
        <v>-6.9414893617042092E-4</v>
      </c>
      <c r="CO103" s="10">
        <f t="shared" si="86"/>
        <v>1.242021276595538E-3</v>
      </c>
      <c r="CP103" s="10">
        <f t="shared" si="87"/>
        <v>1.6050531914891689E-3</v>
      </c>
      <c r="CQ103" s="10">
        <f t="shared" si="88"/>
        <v>2.0890957446808196E-3</v>
      </c>
      <c r="CR103" s="10">
        <f t="shared" si="89"/>
        <v>1.1210106382977328E-3</v>
      </c>
      <c r="CS103" s="10">
        <f t="shared" si="90"/>
        <v>3.1914893616840593E-5</v>
      </c>
      <c r="CT103" s="10">
        <f t="shared" si="91"/>
        <v>1.726063829787189E-3</v>
      </c>
      <c r="CU103" s="10">
        <f t="shared" si="92"/>
        <v>-4.5212765957459538E-4</v>
      </c>
      <c r="CV103" s="10">
        <f t="shared" si="93"/>
        <v>-1.7832446808510982E-3</v>
      </c>
      <c r="CW103" s="10">
        <f t="shared" si="94"/>
        <v>-1.9042553191491185E-3</v>
      </c>
      <c r="CX103" s="10">
        <f t="shared" si="95"/>
        <v>-6.9414893617042092E-4</v>
      </c>
      <c r="CY103" s="10">
        <f t="shared" si="96"/>
        <v>1.6050531914891689E-3</v>
      </c>
      <c r="CZ103" s="10">
        <f t="shared" si="97"/>
        <v>2.3311170212764304E-3</v>
      </c>
      <c r="DA103" s="10">
        <f t="shared" si="98"/>
        <v>3.9494680851047132E-4</v>
      </c>
      <c r="DB103" s="10">
        <f t="shared" si="99"/>
        <v>-9.3617021276603141E-4</v>
      </c>
      <c r="DC103" s="10">
        <f t="shared" si="100"/>
        <v>7.5797872340410211E-4</v>
      </c>
      <c r="DD103" s="10">
        <f t="shared" si="101"/>
        <v>-2.7513297872341852E-3</v>
      </c>
      <c r="DE103" s="10">
        <f t="shared" si="102"/>
        <v>3.5412234042551277E-3</v>
      </c>
      <c r="DF103" s="10">
        <f t="shared" si="103"/>
        <v>2.6941489361700611E-3</v>
      </c>
      <c r="DG103" s="10">
        <f t="shared" si="104"/>
        <v>1.3630319148935583E-3</v>
      </c>
      <c r="DH103" s="10">
        <f t="shared" si="105"/>
        <v>2.2101063829786253E-3</v>
      </c>
      <c r="DI103" s="10">
        <f t="shared" si="106"/>
        <v>-4.5212765957459538E-4</v>
      </c>
      <c r="DJ103" s="10">
        <f t="shared" si="107"/>
        <v>1.242021276595538E-3</v>
      </c>
      <c r="DK103" s="10">
        <f t="shared" si="108"/>
        <v>-1.0571808510638366E-3</v>
      </c>
      <c r="DL103" s="10">
        <f t="shared" si="109"/>
        <v>-1.5412234042554876E-3</v>
      </c>
      <c r="DM103" s="10">
        <f t="shared" si="110"/>
        <v>-2.7513297872341852E-3</v>
      </c>
      <c r="DN103" s="10">
        <f t="shared" si="111"/>
        <v>2.0890957446808196E-3</v>
      </c>
      <c r="DO103" s="10">
        <f t="shared" si="112"/>
        <v>-2.3882978723405546E-3</v>
      </c>
      <c r="DP103" s="10">
        <f t="shared" si="113"/>
        <v>5.1595744680849151E-4</v>
      </c>
      <c r="DQ103" s="10">
        <f t="shared" si="114"/>
        <v>-5.7313829787240063E-4</v>
      </c>
      <c r="DR103" s="10">
        <f t="shared" si="115"/>
        <v>2.0890957446808196E-3</v>
      </c>
      <c r="DS103" s="10">
        <f t="shared" si="116"/>
        <v>-1.7832446808510982E-3</v>
      </c>
      <c r="DT103" s="10">
        <f t="shared" si="117"/>
        <v>-2.8723404255319904E-3</v>
      </c>
      <c r="DU103" s="10">
        <f t="shared" si="118"/>
        <v>-2.1010638297876992E-4</v>
      </c>
      <c r="DV103" s="10">
        <f t="shared" si="119"/>
        <v>-1.4202127659574675E-3</v>
      </c>
      <c r="DW103" s="10">
        <f t="shared" si="120"/>
        <v>-1.9042553191491185E-3</v>
      </c>
    </row>
    <row r="104" spans="2:127" x14ac:dyDescent="0.45">
      <c r="B104" s="1">
        <v>24</v>
      </c>
      <c r="C104" s="1">
        <v>1425</v>
      </c>
      <c r="D104" s="7">
        <f t="shared" si="121"/>
        <v>8.3516483516483522</v>
      </c>
      <c r="E104" s="1">
        <v>8.3379999999999992</v>
      </c>
      <c r="F104" s="1">
        <v>8.3529999999999998</v>
      </c>
      <c r="G104" s="1">
        <v>8.35</v>
      </c>
      <c r="H104" s="1">
        <v>8.3239999999999998</v>
      </c>
      <c r="I104" s="1">
        <v>8.3539999999999992</v>
      </c>
      <c r="J104" s="1">
        <v>8.3539999999999992</v>
      </c>
      <c r="K104" s="1">
        <v>8.3840000000000003</v>
      </c>
      <c r="L104" s="1">
        <v>8.3569999999999993</v>
      </c>
      <c r="M104" s="1">
        <v>8.3650000000000002</v>
      </c>
      <c r="N104" s="1">
        <v>8.3490000000000002</v>
      </c>
      <c r="O104" s="1">
        <v>8.3490000000000002</v>
      </c>
      <c r="P104" s="1">
        <v>8.3360000000000003</v>
      </c>
      <c r="Q104" s="1">
        <v>8.3550000000000004</v>
      </c>
      <c r="R104" s="1">
        <v>8.3650000000000002</v>
      </c>
      <c r="S104" s="1">
        <v>8.3529999999999998</v>
      </c>
      <c r="T104" s="1">
        <v>8.3659999999999997</v>
      </c>
      <c r="U104" s="1">
        <v>8.3670000000000009</v>
      </c>
      <c r="V104" s="1">
        <v>8.3390000000000004</v>
      </c>
      <c r="W104" s="1">
        <v>8.3390000000000004</v>
      </c>
      <c r="X104" s="1">
        <v>8.3740000000000006</v>
      </c>
      <c r="Y104" s="1">
        <v>8.3309999999999995</v>
      </c>
      <c r="Z104" s="1">
        <v>8.3420000000000005</v>
      </c>
      <c r="AA104" s="1">
        <v>8.3689999999999998</v>
      </c>
      <c r="AB104" s="1">
        <v>8.3360000000000003</v>
      </c>
      <c r="AC104" s="1">
        <v>8.3460000000000001</v>
      </c>
      <c r="AD104" s="1">
        <v>8.3629999999999995</v>
      </c>
      <c r="AE104" s="1">
        <v>8.3629999999999995</v>
      </c>
      <c r="AF104" s="1">
        <v>8.3670000000000009</v>
      </c>
      <c r="AG104" s="1">
        <v>8.359</v>
      </c>
      <c r="AH104" s="1">
        <v>8.3510000000000009</v>
      </c>
      <c r="AI104" s="1">
        <v>8.3659999999999997</v>
      </c>
      <c r="AJ104" s="1">
        <v>8.3490000000000002</v>
      </c>
      <c r="AK104" s="1">
        <v>8.3350000000000009</v>
      </c>
      <c r="AL104" s="1">
        <v>8.3360000000000003</v>
      </c>
      <c r="AM104" s="1">
        <v>8.3439999999999994</v>
      </c>
      <c r="AN104" s="1">
        <v>8.3650000000000002</v>
      </c>
      <c r="AO104" s="1">
        <v>8.3699999999999992</v>
      </c>
      <c r="AP104" s="1">
        <v>8.3569999999999993</v>
      </c>
      <c r="AQ104" s="1">
        <v>8.3439999999999994</v>
      </c>
      <c r="AR104" s="1">
        <v>8.3580000000000005</v>
      </c>
      <c r="AS104" s="1">
        <v>8.327</v>
      </c>
      <c r="AT104" s="1">
        <v>8.3800000000000008</v>
      </c>
      <c r="AU104" s="1">
        <v>8.3719999999999999</v>
      </c>
      <c r="AV104" s="1">
        <v>8.3339999999999996</v>
      </c>
      <c r="AW104" s="1">
        <v>8.3689999999999998</v>
      </c>
      <c r="AX104" s="1">
        <v>8.3490000000000002</v>
      </c>
      <c r="AY104" s="1">
        <v>8.3610000000000007</v>
      </c>
      <c r="AZ104" s="1">
        <v>8.343</v>
      </c>
      <c r="BA104" s="1">
        <v>8.3420000000000005</v>
      </c>
      <c r="BB104" s="1">
        <v>8.3279999999999994</v>
      </c>
      <c r="BC104" s="1">
        <v>8.3670000000000009</v>
      </c>
      <c r="BD104" s="1">
        <v>8.3339999999999996</v>
      </c>
      <c r="BE104" s="1">
        <v>8.3569999999999993</v>
      </c>
      <c r="BF104" s="1">
        <v>8.3469999999999995</v>
      </c>
      <c r="BG104" s="1">
        <v>8.3670000000000009</v>
      </c>
      <c r="BH104" s="1">
        <v>8.3339999999999996</v>
      </c>
      <c r="BI104" s="1">
        <v>8.327</v>
      </c>
      <c r="BJ104" s="1">
        <v>8.3490000000000002</v>
      </c>
      <c r="BK104" s="1">
        <v>8.3390000000000004</v>
      </c>
      <c r="BL104" s="1">
        <v>8.3360000000000003</v>
      </c>
      <c r="BN104" s="9">
        <v>24</v>
      </c>
      <c r="BO104" s="9">
        <v>1425</v>
      </c>
      <c r="BP104" s="10">
        <f t="shared" si="61"/>
        <v>-1.6342105263159495E-3</v>
      </c>
      <c r="BQ104" s="10">
        <f t="shared" si="62"/>
        <v>1.6184210526306586E-4</v>
      </c>
      <c r="BR104" s="10">
        <f t="shared" si="63"/>
        <v>-1.973684210527372E-4</v>
      </c>
      <c r="BS104" s="10">
        <f t="shared" si="64"/>
        <v>-3.3105263157895554E-3</v>
      </c>
      <c r="BT104" s="10">
        <f t="shared" si="65"/>
        <v>2.8157894736826266E-4</v>
      </c>
      <c r="BU104" s="10">
        <f t="shared" si="66"/>
        <v>2.8157894736826266E-4</v>
      </c>
      <c r="BV104" s="10">
        <f t="shared" si="67"/>
        <v>3.8736842105262931E-3</v>
      </c>
      <c r="BW104" s="10">
        <f t="shared" si="68"/>
        <v>6.4078947368406572E-4</v>
      </c>
      <c r="BX104" s="10">
        <f t="shared" si="69"/>
        <v>1.598684210526278E-3</v>
      </c>
      <c r="BY104" s="10">
        <f t="shared" si="70"/>
        <v>-3.1710526315793401E-4</v>
      </c>
      <c r="BZ104" s="10">
        <f t="shared" si="71"/>
        <v>-3.1710526315793401E-4</v>
      </c>
      <c r="CA104" s="10">
        <f t="shared" si="72"/>
        <v>-1.8736842105263431E-3</v>
      </c>
      <c r="CB104" s="10">
        <f t="shared" si="73"/>
        <v>4.0131578947367211E-4</v>
      </c>
      <c r="CC104" s="10">
        <f t="shared" si="74"/>
        <v>1.598684210526278E-3</v>
      </c>
      <c r="CD104" s="10">
        <f t="shared" si="75"/>
        <v>1.6184210526306586E-4</v>
      </c>
      <c r="CE104" s="10">
        <f t="shared" si="76"/>
        <v>1.7184210526314748E-3</v>
      </c>
      <c r="CF104" s="10">
        <f t="shared" si="77"/>
        <v>1.8381578947368844E-3</v>
      </c>
      <c r="CG104" s="10">
        <f t="shared" si="78"/>
        <v>-1.5144736842105399E-3</v>
      </c>
      <c r="CH104" s="10">
        <f t="shared" si="79"/>
        <v>-1.5144736842105399E-3</v>
      </c>
      <c r="CI104" s="10">
        <f t="shared" si="80"/>
        <v>2.6763157894736872E-3</v>
      </c>
      <c r="CJ104" s="10">
        <f t="shared" si="81"/>
        <v>-2.4723684210527525E-3</v>
      </c>
      <c r="CK104" s="10">
        <f t="shared" si="82"/>
        <v>-1.1552631578947369E-3</v>
      </c>
      <c r="CL104" s="10">
        <f t="shared" si="83"/>
        <v>2.0776315789472781E-3</v>
      </c>
      <c r="CM104" s="10">
        <f t="shared" si="84"/>
        <v>-1.8736842105263431E-3</v>
      </c>
      <c r="CN104" s="10">
        <f t="shared" si="85"/>
        <v>-6.7631578947373707E-4</v>
      </c>
      <c r="CO104" s="10">
        <f t="shared" si="86"/>
        <v>1.3592105263156718E-3</v>
      </c>
      <c r="CP104" s="10">
        <f t="shared" si="87"/>
        <v>1.3592105263156718E-3</v>
      </c>
      <c r="CQ104" s="10">
        <f t="shared" si="88"/>
        <v>1.8381578947368844E-3</v>
      </c>
      <c r="CR104" s="10">
        <f t="shared" si="89"/>
        <v>8.80263157894672E-4</v>
      </c>
      <c r="CS104" s="10">
        <f t="shared" si="90"/>
        <v>-7.763157894732773E-5</v>
      </c>
      <c r="CT104" s="10">
        <f t="shared" si="91"/>
        <v>1.7184210526314748E-3</v>
      </c>
      <c r="CU104" s="10">
        <f t="shared" si="92"/>
        <v>-3.1710526315793401E-4</v>
      </c>
      <c r="CV104" s="10">
        <f t="shared" si="93"/>
        <v>-1.9934210526315397E-3</v>
      </c>
      <c r="CW104" s="10">
        <f t="shared" si="94"/>
        <v>-1.8736842105263431E-3</v>
      </c>
      <c r="CX104" s="10">
        <f t="shared" si="95"/>
        <v>-9.1578947368434335E-4</v>
      </c>
      <c r="CY104" s="10">
        <f t="shared" si="96"/>
        <v>1.598684210526278E-3</v>
      </c>
      <c r="CZ104" s="10">
        <f t="shared" si="97"/>
        <v>2.1973684210524749E-3</v>
      </c>
      <c r="DA104" s="10">
        <f t="shared" si="98"/>
        <v>6.4078947368406572E-4</v>
      </c>
      <c r="DB104" s="10">
        <f t="shared" si="99"/>
        <v>-9.1578947368434335E-4</v>
      </c>
      <c r="DC104" s="10">
        <f t="shared" si="100"/>
        <v>7.6052631578947517E-4</v>
      </c>
      <c r="DD104" s="10">
        <f t="shared" si="101"/>
        <v>-2.9513157894737524E-3</v>
      </c>
      <c r="DE104" s="10">
        <f t="shared" si="102"/>
        <v>3.3947368421052932E-3</v>
      </c>
      <c r="DF104" s="10">
        <f t="shared" si="103"/>
        <v>2.4368421052630811E-3</v>
      </c>
      <c r="DG104" s="10">
        <f t="shared" si="104"/>
        <v>-2.1131578947369495E-3</v>
      </c>
      <c r="DH104" s="10">
        <f t="shared" si="105"/>
        <v>2.0776315789472781E-3</v>
      </c>
      <c r="DI104" s="10">
        <f t="shared" si="106"/>
        <v>-3.1710526315793401E-4</v>
      </c>
      <c r="DJ104" s="10">
        <f t="shared" si="107"/>
        <v>1.1197368421052782E-3</v>
      </c>
      <c r="DK104" s="10">
        <f t="shared" si="108"/>
        <v>-1.0355263157895401E-3</v>
      </c>
      <c r="DL104" s="10">
        <f t="shared" si="109"/>
        <v>-1.1552631578947369E-3</v>
      </c>
      <c r="DM104" s="10">
        <f t="shared" si="110"/>
        <v>-2.8315789473685555E-3</v>
      </c>
      <c r="DN104" s="10">
        <f t="shared" si="111"/>
        <v>1.8381578947368844E-3</v>
      </c>
      <c r="DO104" s="10">
        <f t="shared" si="112"/>
        <v>-2.1131578947369495E-3</v>
      </c>
      <c r="DP104" s="10">
        <f t="shared" si="113"/>
        <v>6.4078947368406572E-4</v>
      </c>
      <c r="DQ104" s="10">
        <f t="shared" si="114"/>
        <v>-5.5657894736854023E-4</v>
      </c>
      <c r="DR104" s="10">
        <f t="shared" si="115"/>
        <v>1.8381578947368844E-3</v>
      </c>
      <c r="DS104" s="10">
        <f t="shared" si="116"/>
        <v>-2.1131578947369495E-3</v>
      </c>
      <c r="DT104" s="10">
        <f t="shared" si="117"/>
        <v>-2.9513157894737524E-3</v>
      </c>
      <c r="DU104" s="10">
        <f t="shared" si="118"/>
        <v>-3.1710526315793401E-4</v>
      </c>
      <c r="DV104" s="10">
        <f t="shared" si="119"/>
        <v>-1.5144736842105399E-3</v>
      </c>
      <c r="DW104" s="10">
        <f t="shared" si="120"/>
        <v>-1.8736842105263431E-3</v>
      </c>
    </row>
    <row r="105" spans="2:127" x14ac:dyDescent="0.45">
      <c r="B105" s="1">
        <v>24</v>
      </c>
      <c r="C105" s="1">
        <v>1440</v>
      </c>
      <c r="D105" s="7">
        <f t="shared" si="121"/>
        <v>8.4395604395604398</v>
      </c>
      <c r="E105" s="1">
        <v>8.4260000000000002</v>
      </c>
      <c r="F105" s="1">
        <v>8.4420000000000002</v>
      </c>
      <c r="G105" s="1">
        <v>8.4390000000000001</v>
      </c>
      <c r="H105" s="1">
        <v>8.4109999999999996</v>
      </c>
      <c r="I105" s="1">
        <v>8.4410000000000007</v>
      </c>
      <c r="J105" s="1">
        <v>8.4420000000000002</v>
      </c>
      <c r="K105" s="1">
        <v>8.4719999999999995</v>
      </c>
      <c r="L105" s="1">
        <v>8.4420000000000002</v>
      </c>
      <c r="M105" s="1">
        <v>8.452</v>
      </c>
      <c r="N105" s="1">
        <v>8.4369999999999994</v>
      </c>
      <c r="O105" s="1">
        <v>8.4350000000000005</v>
      </c>
      <c r="P105" s="1">
        <v>8.4260000000000002</v>
      </c>
      <c r="Q105" s="1">
        <v>8.4450000000000003</v>
      </c>
      <c r="R105" s="1">
        <v>8.452</v>
      </c>
      <c r="S105" s="1">
        <v>8.4420000000000002</v>
      </c>
      <c r="T105" s="1">
        <v>8.4559999999999995</v>
      </c>
      <c r="U105" s="1">
        <v>8.4559999999999995</v>
      </c>
      <c r="V105" s="1">
        <v>8.4269999999999996</v>
      </c>
      <c r="W105" s="1">
        <v>8.4260000000000002</v>
      </c>
      <c r="X105" s="1">
        <v>8.4600000000000009</v>
      </c>
      <c r="Y105" s="1">
        <v>8.4190000000000005</v>
      </c>
      <c r="Z105" s="1">
        <v>8.43</v>
      </c>
      <c r="AA105" s="1">
        <v>8.4559999999999995</v>
      </c>
      <c r="AB105" s="1">
        <v>8.423</v>
      </c>
      <c r="AC105" s="1">
        <v>8.4329999999999998</v>
      </c>
      <c r="AD105" s="1">
        <v>8.452</v>
      </c>
      <c r="AE105" s="1">
        <v>8.452</v>
      </c>
      <c r="AF105" s="1">
        <v>8.4559999999999995</v>
      </c>
      <c r="AG105" s="1">
        <v>8.4459999999999997</v>
      </c>
      <c r="AH105" s="1">
        <v>8.4410000000000007</v>
      </c>
      <c r="AI105" s="1">
        <v>8.4529999999999994</v>
      </c>
      <c r="AJ105" s="1">
        <v>8.4339999999999993</v>
      </c>
      <c r="AK105" s="1">
        <v>8.4220000000000006</v>
      </c>
      <c r="AL105" s="1">
        <v>8.423</v>
      </c>
      <c r="AM105" s="1">
        <v>8.4339999999999993</v>
      </c>
      <c r="AN105" s="1">
        <v>8.4529999999999994</v>
      </c>
      <c r="AO105" s="1">
        <v>8.4559999999999995</v>
      </c>
      <c r="AP105" s="1">
        <v>8.4410000000000007</v>
      </c>
      <c r="AQ105" s="1">
        <v>8.4290000000000003</v>
      </c>
      <c r="AR105" s="1">
        <v>8.4459999999999997</v>
      </c>
      <c r="AS105" s="1">
        <v>8.4179999999999993</v>
      </c>
      <c r="AT105" s="1">
        <v>8.468</v>
      </c>
      <c r="AU105" s="1">
        <v>8.4600000000000009</v>
      </c>
      <c r="AV105" s="1">
        <v>8.43</v>
      </c>
      <c r="AW105" s="1">
        <v>8.4570000000000007</v>
      </c>
      <c r="AX105" s="1">
        <v>8.4350000000000005</v>
      </c>
      <c r="AY105" s="1">
        <v>8.4480000000000004</v>
      </c>
      <c r="AZ105" s="1">
        <v>8.43</v>
      </c>
      <c r="BA105" s="1">
        <v>8.4290000000000003</v>
      </c>
      <c r="BB105" s="1">
        <v>8.4149999999999991</v>
      </c>
      <c r="BC105" s="1">
        <v>8.4540000000000006</v>
      </c>
      <c r="BD105" s="1">
        <v>8.42</v>
      </c>
      <c r="BE105" s="1">
        <v>8.4429999999999996</v>
      </c>
      <c r="BF105" s="1">
        <v>8.4350000000000005</v>
      </c>
      <c r="BG105" s="1">
        <v>8.4559999999999995</v>
      </c>
      <c r="BH105" s="1">
        <v>8.42</v>
      </c>
      <c r="BI105" s="1">
        <v>8.4109999999999996</v>
      </c>
      <c r="BJ105" s="1">
        <v>8.4380000000000006</v>
      </c>
      <c r="BK105" s="1">
        <v>8.423</v>
      </c>
      <c r="BL105" s="1">
        <v>8.423</v>
      </c>
      <c r="BN105" s="9">
        <v>24</v>
      </c>
      <c r="BO105" s="9">
        <v>1440</v>
      </c>
      <c r="BP105" s="10">
        <f t="shared" si="61"/>
        <v>-1.6067708333333403E-3</v>
      </c>
      <c r="BQ105" s="10">
        <f t="shared" si="62"/>
        <v>2.8906249999999478E-4</v>
      </c>
      <c r="BR105" s="10">
        <f t="shared" si="63"/>
        <v>-6.6406250000018707E-5</v>
      </c>
      <c r="BS105" s="10">
        <f t="shared" si="64"/>
        <v>-3.3841145833334073E-3</v>
      </c>
      <c r="BT105" s="10">
        <f t="shared" si="65"/>
        <v>1.7057291666672711E-4</v>
      </c>
      <c r="BU105" s="10">
        <f t="shared" si="66"/>
        <v>2.8906249999999478E-4</v>
      </c>
      <c r="BV105" s="10">
        <f t="shared" si="67"/>
        <v>3.8437499999999188E-3</v>
      </c>
      <c r="BW105" s="10">
        <f t="shared" si="68"/>
        <v>2.8906249999999478E-4</v>
      </c>
      <c r="BX105" s="10">
        <f t="shared" si="69"/>
        <v>1.4739583333333028E-3</v>
      </c>
      <c r="BY105" s="10">
        <f t="shared" si="70"/>
        <v>-3.033854166667645E-4</v>
      </c>
      <c r="BZ105" s="10">
        <f t="shared" si="71"/>
        <v>-5.4036458333329984E-4</v>
      </c>
      <c r="CA105" s="10">
        <f t="shared" si="72"/>
        <v>-1.6067708333333403E-3</v>
      </c>
      <c r="CB105" s="10">
        <f t="shared" si="73"/>
        <v>6.4453125000000827E-4</v>
      </c>
      <c r="CC105" s="10">
        <f t="shared" si="74"/>
        <v>1.4739583333333028E-3</v>
      </c>
      <c r="CD105" s="10">
        <f t="shared" si="75"/>
        <v>2.8906249999999478E-4</v>
      </c>
      <c r="CE105" s="10">
        <f t="shared" si="76"/>
        <v>1.947916666666584E-3</v>
      </c>
      <c r="CF105" s="10">
        <f t="shared" si="77"/>
        <v>1.947916666666584E-3</v>
      </c>
      <c r="CG105" s="10">
        <f t="shared" si="78"/>
        <v>-1.4882812500000724E-3</v>
      </c>
      <c r="CH105" s="10">
        <f t="shared" si="79"/>
        <v>-1.6067708333333403E-3</v>
      </c>
      <c r="CI105" s="10">
        <f t="shared" si="80"/>
        <v>2.4218750000000754E-3</v>
      </c>
      <c r="CJ105" s="10">
        <f t="shared" si="81"/>
        <v>-2.4361979166666347E-3</v>
      </c>
      <c r="CK105" s="10">
        <f t="shared" si="82"/>
        <v>-1.1328125000000591E-3</v>
      </c>
      <c r="CL105" s="10">
        <f t="shared" si="83"/>
        <v>1.947916666666584E-3</v>
      </c>
      <c r="CM105" s="10">
        <f t="shared" si="84"/>
        <v>-1.9622395833333536E-3</v>
      </c>
      <c r="CN105" s="10">
        <f t="shared" si="85"/>
        <v>-7.7734375000004558E-4</v>
      </c>
      <c r="CO105" s="10">
        <f t="shared" si="86"/>
        <v>1.4739583333333028E-3</v>
      </c>
      <c r="CP105" s="10">
        <f t="shared" si="87"/>
        <v>1.4739583333333028E-3</v>
      </c>
      <c r="CQ105" s="10">
        <f t="shared" si="88"/>
        <v>1.947916666666584E-3</v>
      </c>
      <c r="CR105" s="10">
        <f t="shared" si="89"/>
        <v>7.6302083333327586E-4</v>
      </c>
      <c r="CS105" s="10">
        <f t="shared" si="90"/>
        <v>1.7057291666672711E-4</v>
      </c>
      <c r="CT105" s="10">
        <f t="shared" si="91"/>
        <v>1.5924479166665704E-3</v>
      </c>
      <c r="CU105" s="10">
        <f t="shared" si="92"/>
        <v>-6.5885416666677799E-4</v>
      </c>
      <c r="CV105" s="10">
        <f t="shared" si="93"/>
        <v>-2.0807291666666214E-3</v>
      </c>
      <c r="CW105" s="10">
        <f t="shared" si="94"/>
        <v>-1.9622395833333536E-3</v>
      </c>
      <c r="CX105" s="10">
        <f t="shared" si="95"/>
        <v>-6.5885416666677799E-4</v>
      </c>
      <c r="CY105" s="10">
        <f t="shared" si="96"/>
        <v>1.5924479166665704E-3</v>
      </c>
      <c r="CZ105" s="10">
        <f t="shared" si="97"/>
        <v>1.947916666666584E-3</v>
      </c>
      <c r="DA105" s="10">
        <f t="shared" si="98"/>
        <v>1.7057291666672711E-4</v>
      </c>
      <c r="DB105" s="10">
        <f t="shared" si="99"/>
        <v>-1.2513020833333267E-3</v>
      </c>
      <c r="DC105" s="10">
        <f t="shared" si="100"/>
        <v>7.6302083333327586E-4</v>
      </c>
      <c r="DD105" s="10">
        <f t="shared" si="101"/>
        <v>-2.5546875000001129E-3</v>
      </c>
      <c r="DE105" s="10">
        <f t="shared" si="102"/>
        <v>3.3697916666666377E-3</v>
      </c>
      <c r="DF105" s="10">
        <f t="shared" si="103"/>
        <v>2.4218750000000754E-3</v>
      </c>
      <c r="DG105" s="10">
        <f t="shared" si="104"/>
        <v>-1.1328125000000591E-3</v>
      </c>
      <c r="DH105" s="10">
        <f t="shared" si="105"/>
        <v>2.0664062500000621E-3</v>
      </c>
      <c r="DI105" s="10">
        <f t="shared" si="106"/>
        <v>-5.4036458333329984E-4</v>
      </c>
      <c r="DJ105" s="10">
        <f t="shared" si="107"/>
        <v>1.0000000000000217E-3</v>
      </c>
      <c r="DK105" s="10">
        <f t="shared" si="108"/>
        <v>-1.1328125000000591E-3</v>
      </c>
      <c r="DL105" s="10">
        <f t="shared" si="109"/>
        <v>-1.2513020833333267E-3</v>
      </c>
      <c r="DM105" s="10">
        <f t="shared" si="110"/>
        <v>-2.9101562500001262E-3</v>
      </c>
      <c r="DN105" s="10">
        <f t="shared" si="111"/>
        <v>1.7109375000000486E-3</v>
      </c>
      <c r="DO105" s="10">
        <f t="shared" si="112"/>
        <v>-2.3177083333333673E-3</v>
      </c>
      <c r="DP105" s="10">
        <f t="shared" si="113"/>
        <v>4.0755208333326243E-4</v>
      </c>
      <c r="DQ105" s="10">
        <f t="shared" si="114"/>
        <v>-5.4036458333329984E-4</v>
      </c>
      <c r="DR105" s="10">
        <f t="shared" si="115"/>
        <v>1.947916666666584E-3</v>
      </c>
      <c r="DS105" s="10">
        <f t="shared" si="116"/>
        <v>-2.3177083333333673E-3</v>
      </c>
      <c r="DT105" s="10">
        <f t="shared" si="117"/>
        <v>-3.3841145833334073E-3</v>
      </c>
      <c r="DU105" s="10">
        <f t="shared" si="118"/>
        <v>-1.8489583333328635E-4</v>
      </c>
      <c r="DV105" s="10">
        <f t="shared" si="119"/>
        <v>-1.9622395833333536E-3</v>
      </c>
      <c r="DW105" s="10">
        <f t="shared" si="120"/>
        <v>-1.9622395833333536E-3</v>
      </c>
    </row>
    <row r="106" spans="2:127" x14ac:dyDescent="0.45">
      <c r="B106" s="1">
        <v>24</v>
      </c>
      <c r="C106" s="1">
        <v>1455</v>
      </c>
      <c r="D106" s="7">
        <f t="shared" si="121"/>
        <v>8.5274725274725274</v>
      </c>
      <c r="E106" s="1">
        <v>8.5109999999999992</v>
      </c>
      <c r="F106" s="1">
        <v>8.532</v>
      </c>
      <c r="G106" s="1">
        <v>8.5259999999999998</v>
      </c>
      <c r="H106" s="1">
        <v>8.4990000000000006</v>
      </c>
      <c r="I106" s="1">
        <v>8.5289999999999999</v>
      </c>
      <c r="J106" s="1">
        <v>8.5280000000000005</v>
      </c>
      <c r="K106" s="1">
        <v>8.5609999999999999</v>
      </c>
      <c r="L106" s="1">
        <v>8.5299999999999994</v>
      </c>
      <c r="M106" s="1">
        <v>8.5380000000000003</v>
      </c>
      <c r="N106" s="1">
        <v>8.5259999999999998</v>
      </c>
      <c r="O106" s="1">
        <v>8.5220000000000002</v>
      </c>
      <c r="P106" s="1">
        <v>8.5150000000000006</v>
      </c>
      <c r="Q106" s="1">
        <v>8.5329999999999995</v>
      </c>
      <c r="R106" s="1">
        <v>8.5370000000000008</v>
      </c>
      <c r="S106" s="1">
        <v>8.5299999999999994</v>
      </c>
      <c r="T106" s="1">
        <v>8.5449999999999999</v>
      </c>
      <c r="U106" s="1">
        <v>8.5419999999999998</v>
      </c>
      <c r="V106" s="1">
        <v>8.5169999999999995</v>
      </c>
      <c r="W106" s="1">
        <v>8.5129999999999999</v>
      </c>
      <c r="X106" s="1">
        <v>8.548</v>
      </c>
      <c r="Y106" s="1">
        <v>8.5090000000000003</v>
      </c>
      <c r="Z106" s="1">
        <v>8.5169999999999995</v>
      </c>
      <c r="AA106" s="1">
        <v>8.5440000000000005</v>
      </c>
      <c r="AB106" s="1">
        <v>8.51</v>
      </c>
      <c r="AC106" s="1">
        <v>8.5210000000000008</v>
      </c>
      <c r="AD106" s="1">
        <v>8.5399999999999991</v>
      </c>
      <c r="AE106" s="1">
        <v>8.5399999999999991</v>
      </c>
      <c r="AF106" s="1">
        <v>8.5419999999999998</v>
      </c>
      <c r="AG106" s="1">
        <v>8.5329999999999995</v>
      </c>
      <c r="AH106" s="1">
        <v>8.5280000000000005</v>
      </c>
      <c r="AI106" s="1">
        <v>8.5380000000000003</v>
      </c>
      <c r="AJ106" s="1">
        <v>8.5210000000000008</v>
      </c>
      <c r="AK106" s="1">
        <v>8.51</v>
      </c>
      <c r="AL106" s="1">
        <v>8.5109999999999992</v>
      </c>
      <c r="AM106" s="1">
        <v>8.5220000000000002</v>
      </c>
      <c r="AN106" s="1">
        <v>8.5410000000000004</v>
      </c>
      <c r="AO106" s="1">
        <v>8.5399999999999991</v>
      </c>
      <c r="AP106" s="1">
        <v>8.5299999999999994</v>
      </c>
      <c r="AQ106" s="1">
        <v>8.5169999999999995</v>
      </c>
      <c r="AR106" s="1">
        <v>8.5340000000000007</v>
      </c>
      <c r="AS106" s="1">
        <v>8.5090000000000003</v>
      </c>
      <c r="AT106" s="1">
        <v>8.5559999999999992</v>
      </c>
      <c r="AU106" s="1">
        <v>8.548</v>
      </c>
      <c r="AV106" s="1">
        <v>8.5139999999999993</v>
      </c>
      <c r="AW106" s="1">
        <v>8.5470000000000006</v>
      </c>
      <c r="AX106" s="1">
        <v>8.5229999999999997</v>
      </c>
      <c r="AY106" s="1">
        <v>8.5359999999999996</v>
      </c>
      <c r="AZ106" s="1">
        <v>8.5180000000000007</v>
      </c>
      <c r="BA106" s="1">
        <v>8.5169999999999995</v>
      </c>
      <c r="BB106" s="1">
        <v>8.4990000000000006</v>
      </c>
      <c r="BC106" s="1">
        <v>8.5399999999999991</v>
      </c>
      <c r="BD106" s="1">
        <v>8.5069999999999997</v>
      </c>
      <c r="BE106" s="1">
        <v>8.532</v>
      </c>
      <c r="BF106" s="1">
        <v>8.5220000000000002</v>
      </c>
      <c r="BG106" s="1">
        <v>8.548</v>
      </c>
      <c r="BH106" s="1">
        <v>8.5039999999999996</v>
      </c>
      <c r="BI106" s="1">
        <v>8.5</v>
      </c>
      <c r="BJ106" s="1">
        <v>8.5250000000000004</v>
      </c>
      <c r="BK106" s="1">
        <v>8.5060000000000002</v>
      </c>
      <c r="BL106" s="1">
        <v>8.51</v>
      </c>
      <c r="BN106" s="9">
        <v>24</v>
      </c>
      <c r="BO106" s="9">
        <v>1455</v>
      </c>
      <c r="BP106" s="10">
        <f t="shared" si="61"/>
        <v>-1.9317010309279135E-3</v>
      </c>
      <c r="BQ106" s="10">
        <f t="shared" si="62"/>
        <v>5.3092783505156115E-4</v>
      </c>
      <c r="BR106" s="10">
        <f t="shared" si="63"/>
        <v>-1.7268041237114592E-4</v>
      </c>
      <c r="BS106" s="10">
        <f t="shared" si="64"/>
        <v>-3.3389175257731193E-3</v>
      </c>
      <c r="BT106" s="10">
        <f t="shared" si="65"/>
        <v>1.7912371134020763E-4</v>
      </c>
      <c r="BU106" s="10">
        <f t="shared" si="66"/>
        <v>6.1855670103159224E-5</v>
      </c>
      <c r="BV106" s="10">
        <f t="shared" si="67"/>
        <v>3.9317010309278403E-3</v>
      </c>
      <c r="BW106" s="10">
        <f t="shared" si="68"/>
        <v>2.9639175257725606E-4</v>
      </c>
      <c r="BX106" s="10">
        <f t="shared" si="69"/>
        <v>1.2345360824742684E-3</v>
      </c>
      <c r="BY106" s="10">
        <f t="shared" si="70"/>
        <v>-1.7268041237114592E-4</v>
      </c>
      <c r="BZ106" s="10">
        <f t="shared" si="71"/>
        <v>-6.4175257731954784E-4</v>
      </c>
      <c r="CA106" s="10">
        <f t="shared" si="72"/>
        <v>-1.4626288659793033E-3</v>
      </c>
      <c r="CB106" s="10">
        <f t="shared" si="73"/>
        <v>6.4819587628860956E-4</v>
      </c>
      <c r="CC106" s="10">
        <f t="shared" si="74"/>
        <v>1.1172680412372198E-3</v>
      </c>
      <c r="CD106" s="10">
        <f t="shared" si="75"/>
        <v>2.9639175257725606E-4</v>
      </c>
      <c r="CE106" s="10">
        <f t="shared" si="76"/>
        <v>2.0554123711340236E-3</v>
      </c>
      <c r="CF106" s="10">
        <f t="shared" si="77"/>
        <v>1.7036082474226701E-3</v>
      </c>
      <c r="CG106" s="10">
        <f t="shared" si="78"/>
        <v>-1.2280927835052065E-3</v>
      </c>
      <c r="CH106" s="10">
        <f t="shared" si="79"/>
        <v>-1.6971649484536085E-3</v>
      </c>
      <c r="CI106" s="10">
        <f t="shared" si="80"/>
        <v>2.4072164948453771E-3</v>
      </c>
      <c r="CJ106" s="10">
        <f t="shared" si="81"/>
        <v>-2.1662371134020105E-3</v>
      </c>
      <c r="CK106" s="10">
        <f t="shared" si="82"/>
        <v>-1.2280927835052065E-3</v>
      </c>
      <c r="CL106" s="10">
        <f t="shared" si="83"/>
        <v>1.9381443298969753E-3</v>
      </c>
      <c r="CM106" s="10">
        <f t="shared" si="84"/>
        <v>-2.0489690721649618E-3</v>
      </c>
      <c r="CN106" s="10">
        <f t="shared" si="85"/>
        <v>-7.5902061855659625E-4</v>
      </c>
      <c r="CO106" s="10">
        <f t="shared" si="86"/>
        <v>1.4690721649483652E-3</v>
      </c>
      <c r="CP106" s="10">
        <f t="shared" si="87"/>
        <v>1.4690721649483652E-3</v>
      </c>
      <c r="CQ106" s="10">
        <f t="shared" si="88"/>
        <v>1.7036082474226701E-3</v>
      </c>
      <c r="CR106" s="10">
        <f t="shared" si="89"/>
        <v>6.4819587628860956E-4</v>
      </c>
      <c r="CS106" s="10">
        <f t="shared" si="90"/>
        <v>6.1855670103159224E-5</v>
      </c>
      <c r="CT106" s="10">
        <f t="shared" si="91"/>
        <v>1.2345360824742684E-3</v>
      </c>
      <c r="CU106" s="10">
        <f t="shared" si="92"/>
        <v>-7.5902061855659625E-4</v>
      </c>
      <c r="CV106" s="10">
        <f t="shared" si="93"/>
        <v>-2.0489690721649618E-3</v>
      </c>
      <c r="CW106" s="10">
        <f t="shared" si="94"/>
        <v>-1.9317010309279135E-3</v>
      </c>
      <c r="CX106" s="10">
        <f t="shared" si="95"/>
        <v>-6.4175257731954784E-4</v>
      </c>
      <c r="CY106" s="10">
        <f t="shared" si="96"/>
        <v>1.5863402061856218E-3</v>
      </c>
      <c r="CZ106" s="10">
        <f t="shared" si="97"/>
        <v>1.4690721649483652E-3</v>
      </c>
      <c r="DA106" s="10">
        <f t="shared" si="98"/>
        <v>2.9639175257725606E-4</v>
      </c>
      <c r="DB106" s="10">
        <f t="shared" si="99"/>
        <v>-1.2280927835052065E-3</v>
      </c>
      <c r="DC106" s="10">
        <f t="shared" si="100"/>
        <v>7.6546391752586635E-4</v>
      </c>
      <c r="DD106" s="10">
        <f t="shared" si="101"/>
        <v>-2.1662371134020105E-3</v>
      </c>
      <c r="DE106" s="10">
        <f t="shared" si="102"/>
        <v>3.3453608247421811E-3</v>
      </c>
      <c r="DF106" s="10">
        <f t="shared" si="103"/>
        <v>2.4072164948453771E-3</v>
      </c>
      <c r="DG106" s="10">
        <f t="shared" si="104"/>
        <v>-1.57989690721656E-3</v>
      </c>
      <c r="DH106" s="10">
        <f t="shared" si="105"/>
        <v>2.2899484536083288E-3</v>
      </c>
      <c r="DI106" s="10">
        <f t="shared" si="106"/>
        <v>-5.2448453608249944E-4</v>
      </c>
      <c r="DJ106" s="10">
        <f t="shared" si="107"/>
        <v>9.9999999999996316E-4</v>
      </c>
      <c r="DK106" s="10">
        <f t="shared" si="108"/>
        <v>-1.1108247422679499E-3</v>
      </c>
      <c r="DL106" s="10">
        <f t="shared" si="109"/>
        <v>-1.2280927835052065E-3</v>
      </c>
      <c r="DM106" s="10">
        <f t="shared" si="110"/>
        <v>-3.3389175257731193E-3</v>
      </c>
      <c r="DN106" s="10">
        <f t="shared" si="111"/>
        <v>1.4690721649483652E-3</v>
      </c>
      <c r="DO106" s="10">
        <f t="shared" si="112"/>
        <v>-2.4007731958763157E-3</v>
      </c>
      <c r="DP106" s="10">
        <f t="shared" si="113"/>
        <v>5.3092783505156115E-4</v>
      </c>
      <c r="DQ106" s="10">
        <f t="shared" si="114"/>
        <v>-6.4175257731954784E-4</v>
      </c>
      <c r="DR106" s="10">
        <f t="shared" si="115"/>
        <v>2.4072164948453771E-3</v>
      </c>
      <c r="DS106" s="10">
        <f t="shared" si="116"/>
        <v>-2.7525773195876692E-3</v>
      </c>
      <c r="DT106" s="10">
        <f t="shared" si="117"/>
        <v>-3.221649484536071E-3</v>
      </c>
      <c r="DU106" s="10">
        <f t="shared" si="118"/>
        <v>-2.899484536081943E-4</v>
      </c>
      <c r="DV106" s="10">
        <f t="shared" si="119"/>
        <v>-2.518041237113364E-3</v>
      </c>
      <c r="DW106" s="10">
        <f t="shared" si="120"/>
        <v>-2.0489690721649618E-3</v>
      </c>
    </row>
    <row r="107" spans="2:127" x14ac:dyDescent="0.45">
      <c r="B107" s="1">
        <v>24</v>
      </c>
      <c r="C107" s="1">
        <v>1470</v>
      </c>
      <c r="D107" s="7">
        <f t="shared" si="121"/>
        <v>8.615384615384615</v>
      </c>
      <c r="E107" s="1">
        <v>8.5980000000000008</v>
      </c>
      <c r="F107" s="1">
        <v>8.6210000000000004</v>
      </c>
      <c r="G107" s="1">
        <v>8.6140000000000008</v>
      </c>
      <c r="H107" s="1">
        <v>8.5860000000000003</v>
      </c>
      <c r="I107" s="1">
        <v>8.6170000000000009</v>
      </c>
      <c r="J107" s="1">
        <v>8.6140000000000008</v>
      </c>
      <c r="K107" s="1">
        <v>8.65</v>
      </c>
      <c r="L107" s="1">
        <v>8.6170000000000009</v>
      </c>
      <c r="M107" s="1">
        <v>8.6280000000000001</v>
      </c>
      <c r="N107" s="1">
        <v>8.6140000000000008</v>
      </c>
      <c r="O107" s="1">
        <v>8.609</v>
      </c>
      <c r="P107" s="1">
        <v>8.6039999999999992</v>
      </c>
      <c r="Q107" s="1">
        <v>8.6219999999999999</v>
      </c>
      <c r="R107" s="1">
        <v>8.6219999999999999</v>
      </c>
      <c r="S107" s="1">
        <v>8.6199999999999992</v>
      </c>
      <c r="T107" s="1">
        <v>8.6329999999999991</v>
      </c>
      <c r="U107" s="1">
        <v>8.6289999999999996</v>
      </c>
      <c r="V107" s="1">
        <v>8.6039999999999992</v>
      </c>
      <c r="W107" s="1">
        <v>8.6010000000000009</v>
      </c>
      <c r="X107" s="1">
        <v>8.6329999999999991</v>
      </c>
      <c r="Y107" s="1">
        <v>8.5950000000000006</v>
      </c>
      <c r="Z107" s="1">
        <v>8.6050000000000004</v>
      </c>
      <c r="AA107" s="1">
        <v>8.6310000000000002</v>
      </c>
      <c r="AB107" s="1">
        <v>8.5969999999999995</v>
      </c>
      <c r="AC107" s="1">
        <v>8.6080000000000005</v>
      </c>
      <c r="AD107" s="1">
        <v>8.6280000000000001</v>
      </c>
      <c r="AE107" s="1">
        <v>8.6280000000000001</v>
      </c>
      <c r="AF107" s="1">
        <v>8.6289999999999996</v>
      </c>
      <c r="AG107" s="1">
        <v>8.6210000000000004</v>
      </c>
      <c r="AH107" s="1">
        <v>8.6170000000000009</v>
      </c>
      <c r="AI107" s="1">
        <v>8.6289999999999996</v>
      </c>
      <c r="AJ107" s="1">
        <v>8.61</v>
      </c>
      <c r="AK107" s="1">
        <v>8.5969999999999995</v>
      </c>
      <c r="AL107" s="1">
        <v>8.5990000000000002</v>
      </c>
      <c r="AM107" s="1">
        <v>8.609</v>
      </c>
      <c r="AN107" s="1">
        <v>8.6310000000000002</v>
      </c>
      <c r="AO107" s="1">
        <v>8.6310000000000002</v>
      </c>
      <c r="AP107" s="1">
        <v>8.6180000000000003</v>
      </c>
      <c r="AQ107" s="1">
        <v>8.6010000000000009</v>
      </c>
      <c r="AR107" s="1">
        <v>8.6210000000000004</v>
      </c>
      <c r="AS107" s="1">
        <v>8.5969999999999995</v>
      </c>
      <c r="AT107" s="1">
        <v>8.6430000000000007</v>
      </c>
      <c r="AU107" s="1">
        <v>8.6349999999999998</v>
      </c>
      <c r="AV107" s="1">
        <v>8.6120000000000001</v>
      </c>
      <c r="AW107" s="1">
        <v>8.6329999999999991</v>
      </c>
      <c r="AX107" s="1">
        <v>8.61</v>
      </c>
      <c r="AY107" s="1">
        <v>8.625</v>
      </c>
      <c r="AZ107" s="1">
        <v>8.6080000000000005</v>
      </c>
      <c r="BA107" s="1">
        <v>8.6050000000000004</v>
      </c>
      <c r="BB107" s="1">
        <v>8.5869999999999997</v>
      </c>
      <c r="BC107" s="1">
        <v>8.6280000000000001</v>
      </c>
      <c r="BD107" s="1">
        <v>8.5950000000000006</v>
      </c>
      <c r="BE107" s="1">
        <v>8.6180000000000003</v>
      </c>
      <c r="BF107" s="1">
        <v>8.61</v>
      </c>
      <c r="BG107" s="1">
        <v>8.6359999999999992</v>
      </c>
      <c r="BH107" s="1">
        <v>8.5969999999999995</v>
      </c>
      <c r="BI107" s="1">
        <v>8.5890000000000004</v>
      </c>
      <c r="BJ107" s="1">
        <v>8.6129999999999995</v>
      </c>
      <c r="BK107" s="1">
        <v>8.5990000000000002</v>
      </c>
      <c r="BL107" s="1">
        <v>8.5950000000000006</v>
      </c>
      <c r="BN107" s="9">
        <v>24</v>
      </c>
      <c r="BO107" s="9">
        <v>1470</v>
      </c>
      <c r="BP107" s="10">
        <f t="shared" si="61"/>
        <v>-2.017857142857008E-3</v>
      </c>
      <c r="BQ107" s="10">
        <f t="shared" si="62"/>
        <v>6.51785714285813E-4</v>
      </c>
      <c r="BR107" s="10">
        <f t="shared" si="63"/>
        <v>-1.6071428571414907E-4</v>
      </c>
      <c r="BS107" s="10">
        <f t="shared" si="64"/>
        <v>-3.4107142857142036E-3</v>
      </c>
      <c r="BT107" s="10">
        <f t="shared" si="65"/>
        <v>1.8750000000014987E-4</v>
      </c>
      <c r="BU107" s="10">
        <f t="shared" si="66"/>
        <v>-1.6071428571414907E-4</v>
      </c>
      <c r="BV107" s="10">
        <f t="shared" si="67"/>
        <v>4.0178571428572318E-3</v>
      </c>
      <c r="BW107" s="10">
        <f t="shared" si="68"/>
        <v>1.8750000000014987E-4</v>
      </c>
      <c r="BX107" s="10">
        <f t="shared" si="69"/>
        <v>1.4642857142857751E-3</v>
      </c>
      <c r="BY107" s="10">
        <f t="shared" si="70"/>
        <v>-1.6071428571414907E-4</v>
      </c>
      <c r="BZ107" s="10">
        <f t="shared" si="71"/>
        <v>-7.4107142857138264E-4</v>
      </c>
      <c r="CA107" s="10">
        <f t="shared" si="72"/>
        <v>-1.3214285714286164E-3</v>
      </c>
      <c r="CB107" s="10">
        <f t="shared" si="73"/>
        <v>7.678571428571773E-4</v>
      </c>
      <c r="CC107" s="10">
        <f t="shared" si="74"/>
        <v>7.678571428571773E-4</v>
      </c>
      <c r="CD107" s="10">
        <f t="shared" si="75"/>
        <v>5.3571428571424259E-4</v>
      </c>
      <c r="CE107" s="10">
        <f t="shared" si="76"/>
        <v>2.0446428571428026E-3</v>
      </c>
      <c r="CF107" s="10">
        <f t="shared" si="77"/>
        <v>1.5803571428571394E-3</v>
      </c>
      <c r="CG107" s="10">
        <f t="shared" si="78"/>
        <v>-1.3214285714286164E-3</v>
      </c>
      <c r="CH107" s="10">
        <f t="shared" si="79"/>
        <v>-1.6696428571427091E-3</v>
      </c>
      <c r="CI107" s="10">
        <f t="shared" si="80"/>
        <v>2.0446428571428026E-3</v>
      </c>
      <c r="CJ107" s="10">
        <f t="shared" si="81"/>
        <v>-2.3660714285713069E-3</v>
      </c>
      <c r="CK107" s="10">
        <f t="shared" si="82"/>
        <v>-1.2053571428570459E-3</v>
      </c>
      <c r="CL107" s="10">
        <f t="shared" si="83"/>
        <v>1.812500000000074E-3</v>
      </c>
      <c r="CM107" s="10">
        <f t="shared" si="84"/>
        <v>-2.1339285714285783E-3</v>
      </c>
      <c r="CN107" s="10">
        <f t="shared" si="85"/>
        <v>-8.5714285714274694E-4</v>
      </c>
      <c r="CO107" s="10">
        <f t="shared" si="86"/>
        <v>1.4642857142857751E-3</v>
      </c>
      <c r="CP107" s="10">
        <f t="shared" si="87"/>
        <v>1.4642857142857751E-3</v>
      </c>
      <c r="CQ107" s="10">
        <f t="shared" si="88"/>
        <v>1.5803571428571394E-3</v>
      </c>
      <c r="CR107" s="10">
        <f t="shared" si="89"/>
        <v>6.51785714285813E-4</v>
      </c>
      <c r="CS107" s="10">
        <f t="shared" si="90"/>
        <v>1.8750000000014987E-4</v>
      </c>
      <c r="CT107" s="10">
        <f t="shared" si="91"/>
        <v>1.5803571428571394E-3</v>
      </c>
      <c r="CU107" s="10">
        <f t="shared" si="92"/>
        <v>-6.2500000000001844E-4</v>
      </c>
      <c r="CV107" s="10">
        <f t="shared" si="93"/>
        <v>-2.1339285714285783E-3</v>
      </c>
      <c r="CW107" s="10">
        <f t="shared" si="94"/>
        <v>-1.9017857142856437E-3</v>
      </c>
      <c r="CX107" s="10">
        <f t="shared" si="95"/>
        <v>-7.4107142857138264E-4</v>
      </c>
      <c r="CY107" s="10">
        <f t="shared" si="96"/>
        <v>1.812500000000074E-3</v>
      </c>
      <c r="CZ107" s="10">
        <f t="shared" si="97"/>
        <v>1.812500000000074E-3</v>
      </c>
      <c r="DA107" s="10">
        <f t="shared" si="98"/>
        <v>3.0357142857151409E-4</v>
      </c>
      <c r="DB107" s="10">
        <f t="shared" si="99"/>
        <v>-1.6696428571427091E-3</v>
      </c>
      <c r="DC107" s="10">
        <f t="shared" si="100"/>
        <v>6.51785714285813E-4</v>
      </c>
      <c r="DD107" s="10">
        <f t="shared" si="101"/>
        <v>-2.1339285714285783E-3</v>
      </c>
      <c r="DE107" s="10">
        <f t="shared" si="102"/>
        <v>3.2053571428572697E-3</v>
      </c>
      <c r="DF107" s="10">
        <f t="shared" si="103"/>
        <v>2.2767857142857372E-3</v>
      </c>
      <c r="DG107" s="10">
        <f t="shared" si="104"/>
        <v>-3.9285714285708373E-4</v>
      </c>
      <c r="DH107" s="10">
        <f t="shared" si="105"/>
        <v>2.0446428571428026E-3</v>
      </c>
      <c r="DI107" s="10">
        <f t="shared" si="106"/>
        <v>-6.2500000000001844E-4</v>
      </c>
      <c r="DJ107" s="10">
        <f t="shared" si="107"/>
        <v>1.1160714285714762E-3</v>
      </c>
      <c r="DK107" s="10">
        <f t="shared" si="108"/>
        <v>-8.5714285714274694E-4</v>
      </c>
      <c r="DL107" s="10">
        <f t="shared" si="109"/>
        <v>-1.2053571428570459E-3</v>
      </c>
      <c r="DM107" s="10">
        <f t="shared" si="110"/>
        <v>-3.2946428571428393E-3</v>
      </c>
      <c r="DN107" s="10">
        <f t="shared" si="111"/>
        <v>1.4642857142857751E-3</v>
      </c>
      <c r="DO107" s="10">
        <f t="shared" si="112"/>
        <v>-2.3660714285713069E-3</v>
      </c>
      <c r="DP107" s="10">
        <f t="shared" si="113"/>
        <v>3.0357142857151409E-4</v>
      </c>
      <c r="DQ107" s="10">
        <f t="shared" si="114"/>
        <v>-6.2500000000001844E-4</v>
      </c>
      <c r="DR107" s="10">
        <f t="shared" si="115"/>
        <v>2.3928571428571016E-3</v>
      </c>
      <c r="DS107" s="10">
        <f t="shared" si="116"/>
        <v>-2.1339285714285783E-3</v>
      </c>
      <c r="DT107" s="10">
        <f t="shared" si="117"/>
        <v>-3.0624999999999047E-3</v>
      </c>
      <c r="DU107" s="10">
        <f t="shared" si="118"/>
        <v>-2.7678571428571948E-4</v>
      </c>
      <c r="DV107" s="10">
        <f t="shared" si="119"/>
        <v>-1.9017857142856437E-3</v>
      </c>
      <c r="DW107" s="10">
        <f t="shared" si="120"/>
        <v>-2.3660714285713069E-3</v>
      </c>
    </row>
    <row r="108" spans="2:127" x14ac:dyDescent="0.45">
      <c r="B108" s="1">
        <v>24</v>
      </c>
      <c r="C108" s="1">
        <v>1485</v>
      </c>
      <c r="D108" s="7">
        <f t="shared" si="121"/>
        <v>8.7032967032967026</v>
      </c>
      <c r="E108" s="1">
        <v>8.6850000000000005</v>
      </c>
      <c r="F108" s="1">
        <v>8.7089999999999996</v>
      </c>
      <c r="G108" s="1">
        <v>8.7010000000000005</v>
      </c>
      <c r="H108" s="1">
        <v>8.6739999999999995</v>
      </c>
      <c r="I108" s="1">
        <v>8.7050000000000001</v>
      </c>
      <c r="J108" s="1">
        <v>8.7010000000000005</v>
      </c>
      <c r="K108" s="1">
        <v>8.7379999999999995</v>
      </c>
      <c r="L108" s="1">
        <v>8.7050000000000001</v>
      </c>
      <c r="M108" s="1">
        <v>8.7149999999999999</v>
      </c>
      <c r="N108" s="1">
        <v>8.7010000000000005</v>
      </c>
      <c r="O108" s="1">
        <v>8.6959999999999997</v>
      </c>
      <c r="P108" s="1">
        <v>8.69</v>
      </c>
      <c r="Q108" s="1">
        <v>8.7119999999999997</v>
      </c>
      <c r="R108" s="1">
        <v>8.7089999999999996</v>
      </c>
      <c r="S108" s="1">
        <v>8.7089999999999996</v>
      </c>
      <c r="T108" s="1">
        <v>8.7219999999999995</v>
      </c>
      <c r="U108" s="1">
        <v>8.7189999999999994</v>
      </c>
      <c r="V108" s="1">
        <v>8.6920000000000002</v>
      </c>
      <c r="W108" s="1">
        <v>8.6880000000000006</v>
      </c>
      <c r="X108" s="1">
        <v>8.7230000000000008</v>
      </c>
      <c r="Y108" s="1">
        <v>8.6880000000000006</v>
      </c>
      <c r="Z108" s="1">
        <v>8.69</v>
      </c>
      <c r="AA108" s="1">
        <v>8.7170000000000005</v>
      </c>
      <c r="AB108" s="1">
        <v>8.6850000000000005</v>
      </c>
      <c r="AC108" s="1">
        <v>8.6959999999999997</v>
      </c>
      <c r="AD108" s="1">
        <v>8.7159999999999993</v>
      </c>
      <c r="AE108" s="1">
        <v>8.7159999999999993</v>
      </c>
      <c r="AF108" s="1">
        <v>8.7149999999999999</v>
      </c>
      <c r="AG108" s="1">
        <v>8.7080000000000002</v>
      </c>
      <c r="AH108" s="1">
        <v>8.7050000000000001</v>
      </c>
      <c r="AI108" s="1">
        <v>8.7170000000000005</v>
      </c>
      <c r="AJ108" s="1">
        <v>8.7010000000000005</v>
      </c>
      <c r="AK108" s="1">
        <v>8.6839999999999993</v>
      </c>
      <c r="AL108" s="1">
        <v>8.6859999999999999</v>
      </c>
      <c r="AM108" s="1">
        <v>8.6969999999999992</v>
      </c>
      <c r="AN108" s="1">
        <v>8.7189999999999994</v>
      </c>
      <c r="AO108" s="1">
        <v>8.7200000000000006</v>
      </c>
      <c r="AP108" s="1">
        <v>8.7050000000000001</v>
      </c>
      <c r="AQ108" s="1">
        <v>8.6859999999999999</v>
      </c>
      <c r="AR108" s="1">
        <v>8.7080000000000002</v>
      </c>
      <c r="AS108" s="1">
        <v>8.6850000000000005</v>
      </c>
      <c r="AT108" s="1">
        <v>8.7309999999999999</v>
      </c>
      <c r="AU108" s="1">
        <v>8.7230000000000008</v>
      </c>
      <c r="AV108" s="1">
        <v>8.69</v>
      </c>
      <c r="AW108" s="1">
        <v>8.7219999999999995</v>
      </c>
      <c r="AX108" s="1">
        <v>8.6969999999999992</v>
      </c>
      <c r="AY108" s="1">
        <v>8.7149999999999999</v>
      </c>
      <c r="AZ108" s="1">
        <v>8.6980000000000004</v>
      </c>
      <c r="BA108" s="1">
        <v>8.6920000000000002</v>
      </c>
      <c r="BB108" s="1">
        <v>8.6750000000000007</v>
      </c>
      <c r="BC108" s="1">
        <v>8.7159999999999993</v>
      </c>
      <c r="BD108" s="1">
        <v>8.6820000000000004</v>
      </c>
      <c r="BE108" s="1">
        <v>8.7070000000000007</v>
      </c>
      <c r="BF108" s="1">
        <v>8.6959999999999997</v>
      </c>
      <c r="BG108" s="1">
        <v>8.7219999999999995</v>
      </c>
      <c r="BH108" s="1">
        <v>8.6780000000000008</v>
      </c>
      <c r="BI108" s="1">
        <v>8.6739999999999995</v>
      </c>
      <c r="BJ108" s="1">
        <v>8.7029999999999994</v>
      </c>
      <c r="BK108" s="1">
        <v>8.6809999999999992</v>
      </c>
      <c r="BL108" s="1">
        <v>8.6850000000000005</v>
      </c>
      <c r="BN108" s="9">
        <v>24</v>
      </c>
      <c r="BO108" s="9">
        <v>1485</v>
      </c>
      <c r="BP108" s="10">
        <f t="shared" si="61"/>
        <v>-2.1022727272725873E-3</v>
      </c>
      <c r="BQ108" s="10">
        <f t="shared" si="62"/>
        <v>6.5530303030307091E-4</v>
      </c>
      <c r="BR108" s="10">
        <f t="shared" si="63"/>
        <v>-2.6388888888874716E-4</v>
      </c>
      <c r="BS108" s="10">
        <f t="shared" si="64"/>
        <v>-3.3661616161615921E-3</v>
      </c>
      <c r="BT108" s="10">
        <f t="shared" si="65"/>
        <v>1.9570707070716187E-4</v>
      </c>
      <c r="BU108" s="10">
        <f t="shared" si="66"/>
        <v>-2.6388888888874716E-4</v>
      </c>
      <c r="BV108" s="10">
        <f t="shared" si="67"/>
        <v>3.9873737373737686E-3</v>
      </c>
      <c r="BW108" s="10">
        <f t="shared" si="68"/>
        <v>1.9570707070716187E-4</v>
      </c>
      <c r="BX108" s="10">
        <f t="shared" si="69"/>
        <v>1.3446969696970365E-3</v>
      </c>
      <c r="BY108" s="10">
        <f t="shared" si="70"/>
        <v>-2.6388888888874716E-4</v>
      </c>
      <c r="BZ108" s="10">
        <f t="shared" si="71"/>
        <v>-8.3838383838378649E-4</v>
      </c>
      <c r="CA108" s="10">
        <f t="shared" si="72"/>
        <v>-1.5277777777777521E-3</v>
      </c>
      <c r="CB108" s="10">
        <f t="shared" si="73"/>
        <v>1.0000000000000536E-3</v>
      </c>
      <c r="CC108" s="10">
        <f t="shared" si="74"/>
        <v>6.5530303030307091E-4</v>
      </c>
      <c r="CD108" s="10">
        <f t="shared" si="75"/>
        <v>6.5530303030307091E-4</v>
      </c>
      <c r="CE108" s="10">
        <f t="shared" si="76"/>
        <v>2.1489898989899281E-3</v>
      </c>
      <c r="CF108" s="10">
        <f t="shared" si="77"/>
        <v>1.8042929292929454E-3</v>
      </c>
      <c r="CG108" s="10">
        <f t="shared" si="78"/>
        <v>-1.2979797979796954E-3</v>
      </c>
      <c r="CH108" s="10">
        <f t="shared" si="79"/>
        <v>-1.7575757575756046E-3</v>
      </c>
      <c r="CI108" s="10">
        <f t="shared" si="80"/>
        <v>2.2638888888890586E-3</v>
      </c>
      <c r="CJ108" s="10">
        <f t="shared" si="81"/>
        <v>-1.7575757575756046E-3</v>
      </c>
      <c r="CK108" s="10">
        <f t="shared" si="82"/>
        <v>-1.5277777777777521E-3</v>
      </c>
      <c r="CL108" s="10">
        <f t="shared" si="83"/>
        <v>1.5744949494950931E-3</v>
      </c>
      <c r="CM108" s="10">
        <f t="shared" si="84"/>
        <v>-2.1022727272725873E-3</v>
      </c>
      <c r="CN108" s="10">
        <f t="shared" si="85"/>
        <v>-8.3838383838378649E-4</v>
      </c>
      <c r="CO108" s="10">
        <f t="shared" si="86"/>
        <v>1.4595959595959627E-3</v>
      </c>
      <c r="CP108" s="10">
        <f t="shared" si="87"/>
        <v>1.4595959595959627E-3</v>
      </c>
      <c r="CQ108" s="10">
        <f t="shared" si="88"/>
        <v>1.3446969696970365E-3</v>
      </c>
      <c r="CR108" s="10">
        <f t="shared" si="89"/>
        <v>5.4040404040414463E-4</v>
      </c>
      <c r="CS108" s="10">
        <f t="shared" si="90"/>
        <v>1.9570707070716187E-4</v>
      </c>
      <c r="CT108" s="10">
        <f t="shared" si="91"/>
        <v>1.5744949494950931E-3</v>
      </c>
      <c r="CU108" s="10">
        <f t="shared" si="92"/>
        <v>-2.6388888888874716E-4</v>
      </c>
      <c r="CV108" s="10">
        <f t="shared" si="93"/>
        <v>-2.2171717171717178E-3</v>
      </c>
      <c r="CW108" s="10">
        <f t="shared" si="94"/>
        <v>-1.987373737373661E-3</v>
      </c>
      <c r="CX108" s="10">
        <f t="shared" si="95"/>
        <v>-7.2348484848486021E-4</v>
      </c>
      <c r="CY108" s="10">
        <f t="shared" si="96"/>
        <v>1.8042929292929454E-3</v>
      </c>
      <c r="CZ108" s="10">
        <f t="shared" si="97"/>
        <v>1.9191919191920757E-3</v>
      </c>
      <c r="DA108" s="10">
        <f t="shared" si="98"/>
        <v>1.9570707070716187E-4</v>
      </c>
      <c r="DB108" s="10">
        <f t="shared" si="99"/>
        <v>-1.987373737373661E-3</v>
      </c>
      <c r="DC108" s="10">
        <f t="shared" si="100"/>
        <v>5.4040404040414463E-4</v>
      </c>
      <c r="DD108" s="10">
        <f t="shared" si="101"/>
        <v>-2.1022727272725873E-3</v>
      </c>
      <c r="DE108" s="10">
        <f t="shared" si="102"/>
        <v>3.1830808080808765E-3</v>
      </c>
      <c r="DF108" s="10">
        <f t="shared" si="103"/>
        <v>2.2638888888890586E-3</v>
      </c>
      <c r="DG108" s="10">
        <f t="shared" si="104"/>
        <v>-1.5277777777777521E-3</v>
      </c>
      <c r="DH108" s="10">
        <f t="shared" si="105"/>
        <v>2.1489898989899281E-3</v>
      </c>
      <c r="DI108" s="10">
        <f t="shared" si="106"/>
        <v>-7.2348484848486021E-4</v>
      </c>
      <c r="DJ108" s="10">
        <f t="shared" si="107"/>
        <v>1.3446969696970365E-3</v>
      </c>
      <c r="DK108" s="10">
        <f t="shared" si="108"/>
        <v>-6.0858585858572989E-4</v>
      </c>
      <c r="DL108" s="10">
        <f t="shared" si="109"/>
        <v>-1.2979797979796954E-3</v>
      </c>
      <c r="DM108" s="10">
        <f t="shared" si="110"/>
        <v>-3.251262626262462E-3</v>
      </c>
      <c r="DN108" s="10">
        <f t="shared" si="111"/>
        <v>1.4595959595959627E-3</v>
      </c>
      <c r="DO108" s="10">
        <f t="shared" si="112"/>
        <v>-2.44696969696957E-3</v>
      </c>
      <c r="DP108" s="10">
        <f t="shared" si="113"/>
        <v>4.2550505050521846E-4</v>
      </c>
      <c r="DQ108" s="10">
        <f t="shared" si="114"/>
        <v>-8.3838383838378649E-4</v>
      </c>
      <c r="DR108" s="10">
        <f t="shared" si="115"/>
        <v>2.1489898989899281E-3</v>
      </c>
      <c r="DS108" s="10">
        <f t="shared" si="116"/>
        <v>-2.9065656565654789E-3</v>
      </c>
      <c r="DT108" s="10">
        <f t="shared" si="117"/>
        <v>-3.3661616161615921E-3</v>
      </c>
      <c r="DU108" s="10">
        <f t="shared" si="118"/>
        <v>-3.4090909090894686E-5</v>
      </c>
      <c r="DV108" s="10">
        <f t="shared" si="119"/>
        <v>-2.5618686868687005E-3</v>
      </c>
      <c r="DW108" s="10">
        <f t="shared" si="120"/>
        <v>-2.1022727272725873E-3</v>
      </c>
    </row>
    <row r="109" spans="2:127" x14ac:dyDescent="0.45">
      <c r="B109" s="1">
        <v>24</v>
      </c>
      <c r="C109" s="1">
        <v>1500</v>
      </c>
      <c r="D109" s="7">
        <f t="shared" si="121"/>
        <v>8.791208791208792</v>
      </c>
      <c r="E109" s="1">
        <v>8.7759999999999998</v>
      </c>
      <c r="F109" s="1">
        <v>8.7970000000000006</v>
      </c>
      <c r="G109" s="1">
        <v>8.7889999999999997</v>
      </c>
      <c r="H109" s="1">
        <v>8.7609999999999992</v>
      </c>
      <c r="I109" s="1">
        <v>8.7910000000000004</v>
      </c>
      <c r="J109" s="1">
        <v>8.7850000000000001</v>
      </c>
      <c r="K109" s="1">
        <v>8.8249999999999993</v>
      </c>
      <c r="L109" s="1">
        <v>8.7910000000000004</v>
      </c>
      <c r="M109" s="1">
        <v>8.8019999999999996</v>
      </c>
      <c r="N109" s="1">
        <v>8.7889999999999997</v>
      </c>
      <c r="O109" s="1">
        <v>8.7829999999999995</v>
      </c>
      <c r="P109" s="1">
        <v>8.7799999999999994</v>
      </c>
      <c r="Q109" s="1">
        <v>8.8000000000000007</v>
      </c>
      <c r="R109" s="1">
        <v>8.7959999999999994</v>
      </c>
      <c r="S109" s="1">
        <v>8.7959999999999994</v>
      </c>
      <c r="T109" s="1">
        <v>8.81</v>
      </c>
      <c r="U109" s="1">
        <v>8.8059999999999992</v>
      </c>
      <c r="V109" s="1">
        <v>8.7799999999999994</v>
      </c>
      <c r="W109" s="1">
        <v>8.7759999999999998</v>
      </c>
      <c r="X109" s="1">
        <v>8.8119999999999994</v>
      </c>
      <c r="Y109" s="1">
        <v>8.77</v>
      </c>
      <c r="Z109" s="1">
        <v>8.7799999999999994</v>
      </c>
      <c r="AA109" s="1">
        <v>8.8070000000000004</v>
      </c>
      <c r="AB109" s="1">
        <v>8.7729999999999997</v>
      </c>
      <c r="AC109" s="1">
        <v>8.7810000000000006</v>
      </c>
      <c r="AD109" s="1">
        <v>8.8019999999999996</v>
      </c>
      <c r="AE109" s="1">
        <v>8.8059999999999992</v>
      </c>
      <c r="AF109" s="1">
        <v>8.8000000000000007</v>
      </c>
      <c r="AG109" s="1">
        <v>8.7949999999999999</v>
      </c>
      <c r="AH109" s="1">
        <v>8.7910000000000004</v>
      </c>
      <c r="AI109" s="1">
        <v>8.8059999999999992</v>
      </c>
      <c r="AJ109" s="1">
        <v>8.7870000000000008</v>
      </c>
      <c r="AK109" s="1">
        <v>8.77</v>
      </c>
      <c r="AL109" s="1">
        <v>8.7739999999999991</v>
      </c>
      <c r="AM109" s="1">
        <v>8.7850000000000001</v>
      </c>
      <c r="AN109" s="1">
        <v>8.8059999999999992</v>
      </c>
      <c r="AO109" s="1">
        <v>8.81</v>
      </c>
      <c r="AP109" s="1">
        <v>8.7919999999999998</v>
      </c>
      <c r="AQ109" s="1">
        <v>8.7729999999999997</v>
      </c>
      <c r="AR109" s="1">
        <v>8.7970000000000006</v>
      </c>
      <c r="AS109" s="1">
        <v>8.7729999999999997</v>
      </c>
      <c r="AT109" s="1">
        <v>8.8209999999999997</v>
      </c>
      <c r="AU109" s="1">
        <v>8.8119999999999994</v>
      </c>
      <c r="AV109" s="1">
        <v>8.7769999999999992</v>
      </c>
      <c r="AW109" s="1">
        <v>8.8079999999999998</v>
      </c>
      <c r="AX109" s="1">
        <v>8.7840000000000007</v>
      </c>
      <c r="AY109" s="1">
        <v>8.8000000000000007</v>
      </c>
      <c r="AZ109" s="1">
        <v>8.7850000000000001</v>
      </c>
      <c r="BA109" s="1">
        <v>8.7810000000000006</v>
      </c>
      <c r="BB109" s="1">
        <v>8.7609999999999992</v>
      </c>
      <c r="BC109" s="1">
        <v>8.8059999999999992</v>
      </c>
      <c r="BD109" s="1">
        <v>8.7690000000000001</v>
      </c>
      <c r="BE109" s="1">
        <v>8.7949999999999999</v>
      </c>
      <c r="BF109" s="1">
        <v>8.7810000000000006</v>
      </c>
      <c r="BG109" s="1">
        <v>8.8140000000000001</v>
      </c>
      <c r="BH109" s="1">
        <v>8.7759999999999998</v>
      </c>
      <c r="BI109" s="1">
        <v>8.7620000000000005</v>
      </c>
      <c r="BJ109" s="1">
        <v>8.7889999999999997</v>
      </c>
      <c r="BK109" s="1">
        <v>8.7680000000000007</v>
      </c>
      <c r="BL109" s="1">
        <v>8.77</v>
      </c>
      <c r="BN109" s="9">
        <v>24</v>
      </c>
      <c r="BO109" s="9">
        <v>1500</v>
      </c>
      <c r="BP109" s="10">
        <f t="shared" si="61"/>
        <v>-1.7300000000001069E-3</v>
      </c>
      <c r="BQ109" s="10">
        <f t="shared" si="62"/>
        <v>6.5874999999998346E-4</v>
      </c>
      <c r="BR109" s="10">
        <f t="shared" si="63"/>
        <v>-2.5125000000011829E-4</v>
      </c>
      <c r="BS109" s="10">
        <f t="shared" si="64"/>
        <v>-3.4362500000001714E-3</v>
      </c>
      <c r="BT109" s="10">
        <f t="shared" si="65"/>
        <v>-2.3750000000042346E-5</v>
      </c>
      <c r="BU109" s="10">
        <f t="shared" si="66"/>
        <v>-7.0625000000006815E-4</v>
      </c>
      <c r="BV109" s="10">
        <f t="shared" si="67"/>
        <v>3.8437499999998343E-3</v>
      </c>
      <c r="BW109" s="10">
        <f t="shared" si="68"/>
        <v>-2.3750000000042346E-5</v>
      </c>
      <c r="BX109" s="10">
        <f t="shared" si="69"/>
        <v>1.2274999999998702E-3</v>
      </c>
      <c r="BY109" s="10">
        <f t="shared" si="70"/>
        <v>-2.5125000000011829E-4</v>
      </c>
      <c r="BZ109" s="10">
        <f t="shared" si="71"/>
        <v>-9.337500000001441E-4</v>
      </c>
      <c r="CA109" s="10">
        <f t="shared" si="72"/>
        <v>-1.2750000000001571E-3</v>
      </c>
      <c r="CB109" s="10">
        <f t="shared" si="73"/>
        <v>9.9999999999999633E-4</v>
      </c>
      <c r="CC109" s="10">
        <f t="shared" si="74"/>
        <v>5.4499999999984444E-4</v>
      </c>
      <c r="CD109" s="10">
        <f t="shared" si="75"/>
        <v>5.4499999999984444E-4</v>
      </c>
      <c r="CE109" s="10">
        <f t="shared" si="76"/>
        <v>2.1374999999999719E-3</v>
      </c>
      <c r="CF109" s="10">
        <f t="shared" si="77"/>
        <v>1.6824999999998202E-3</v>
      </c>
      <c r="CG109" s="10">
        <f t="shared" si="78"/>
        <v>-1.2750000000001571E-3</v>
      </c>
      <c r="CH109" s="10">
        <f t="shared" si="79"/>
        <v>-1.7300000000001069E-3</v>
      </c>
      <c r="CI109" s="10">
        <f t="shared" si="80"/>
        <v>2.364999999999846E-3</v>
      </c>
      <c r="CJ109" s="10">
        <f t="shared" si="81"/>
        <v>-2.4125000000001329E-3</v>
      </c>
      <c r="CK109" s="10">
        <f t="shared" si="82"/>
        <v>-1.2750000000001571E-3</v>
      </c>
      <c r="CL109" s="10">
        <f t="shared" si="83"/>
        <v>1.7962499999999591E-3</v>
      </c>
      <c r="CM109" s="10">
        <f t="shared" si="84"/>
        <v>-2.0712500000001199E-3</v>
      </c>
      <c r="CN109" s="10">
        <f t="shared" si="85"/>
        <v>-1.161250000000018E-3</v>
      </c>
      <c r="CO109" s="10">
        <f t="shared" si="86"/>
        <v>1.2274999999998702E-3</v>
      </c>
      <c r="CP109" s="10">
        <f t="shared" si="87"/>
        <v>1.6824999999998202E-3</v>
      </c>
      <c r="CQ109" s="10">
        <f t="shared" si="88"/>
        <v>9.9999999999999633E-4</v>
      </c>
      <c r="CR109" s="10">
        <f t="shared" si="89"/>
        <v>4.3124999999990751E-4</v>
      </c>
      <c r="CS109" s="10">
        <f t="shared" si="90"/>
        <v>-2.3750000000042346E-5</v>
      </c>
      <c r="CT109" s="10">
        <f t="shared" si="91"/>
        <v>1.6824999999998202E-3</v>
      </c>
      <c r="CU109" s="10">
        <f t="shared" si="92"/>
        <v>-4.787499999999922E-4</v>
      </c>
      <c r="CV109" s="10">
        <f t="shared" si="93"/>
        <v>-2.4125000000001329E-3</v>
      </c>
      <c r="CW109" s="10">
        <f t="shared" si="94"/>
        <v>-1.9575000000001826E-3</v>
      </c>
      <c r="CX109" s="10">
        <f t="shared" si="95"/>
        <v>-7.0625000000006815E-4</v>
      </c>
      <c r="CY109" s="10">
        <f t="shared" si="96"/>
        <v>1.6824999999998202E-3</v>
      </c>
      <c r="CZ109" s="10">
        <f t="shared" si="97"/>
        <v>2.1374999999999719E-3</v>
      </c>
      <c r="DA109" s="10">
        <f t="shared" si="98"/>
        <v>8.9999999999894608E-5</v>
      </c>
      <c r="DB109" s="10">
        <f t="shared" si="99"/>
        <v>-2.0712500000001199E-3</v>
      </c>
      <c r="DC109" s="10">
        <f t="shared" si="100"/>
        <v>6.5874999999998346E-4</v>
      </c>
      <c r="DD109" s="10">
        <f t="shared" si="101"/>
        <v>-2.0712500000001199E-3</v>
      </c>
      <c r="DE109" s="10">
        <f t="shared" si="102"/>
        <v>3.3887499999998845E-3</v>
      </c>
      <c r="DF109" s="10">
        <f t="shared" si="103"/>
        <v>2.364999999999846E-3</v>
      </c>
      <c r="DG109" s="10">
        <f t="shared" si="104"/>
        <v>-1.6162500000001699E-3</v>
      </c>
      <c r="DH109" s="10">
        <f t="shared" si="105"/>
        <v>1.9099999999998962E-3</v>
      </c>
      <c r="DI109" s="10">
        <f t="shared" si="106"/>
        <v>-8.2000000000000508E-4</v>
      </c>
      <c r="DJ109" s="10">
        <f t="shared" si="107"/>
        <v>9.9999999999999633E-4</v>
      </c>
      <c r="DK109" s="10">
        <f t="shared" si="108"/>
        <v>-7.0625000000006815E-4</v>
      </c>
      <c r="DL109" s="10">
        <f t="shared" si="109"/>
        <v>-1.161250000000018E-3</v>
      </c>
      <c r="DM109" s="10">
        <f t="shared" si="110"/>
        <v>-3.4362500000001714E-3</v>
      </c>
      <c r="DN109" s="10">
        <f t="shared" si="111"/>
        <v>1.6824999999998202E-3</v>
      </c>
      <c r="DO109" s="10">
        <f t="shared" si="112"/>
        <v>-2.5262500000000697E-3</v>
      </c>
      <c r="DP109" s="10">
        <f t="shared" si="113"/>
        <v>4.3124999999990751E-4</v>
      </c>
      <c r="DQ109" s="10">
        <f t="shared" si="114"/>
        <v>-1.161250000000018E-3</v>
      </c>
      <c r="DR109" s="10">
        <f t="shared" si="115"/>
        <v>2.5924999999999217E-3</v>
      </c>
      <c r="DS109" s="10">
        <f t="shared" si="116"/>
        <v>-1.7300000000001069E-3</v>
      </c>
      <c r="DT109" s="10">
        <f t="shared" si="117"/>
        <v>-3.3225000000000325E-3</v>
      </c>
      <c r="DU109" s="10">
        <f t="shared" si="118"/>
        <v>-2.5125000000011829E-4</v>
      </c>
      <c r="DV109" s="10">
        <f t="shared" si="119"/>
        <v>-2.6400000000000065E-3</v>
      </c>
      <c r="DW109" s="10">
        <f t="shared" si="120"/>
        <v>-2.4125000000001329E-3</v>
      </c>
    </row>
    <row r="110" spans="2:127" x14ac:dyDescent="0.45">
      <c r="B110" s="1">
        <v>24</v>
      </c>
      <c r="C110" s="1">
        <v>1515</v>
      </c>
      <c r="D110" s="7">
        <f t="shared" si="121"/>
        <v>8.8791208791208796</v>
      </c>
      <c r="E110" s="1">
        <v>8.8670000000000009</v>
      </c>
      <c r="F110" s="1">
        <v>8.8859999999999992</v>
      </c>
      <c r="G110" s="1">
        <v>8.8770000000000007</v>
      </c>
      <c r="H110" s="1">
        <v>8.8490000000000002</v>
      </c>
      <c r="I110" s="1">
        <v>8.8759999999999994</v>
      </c>
      <c r="J110" s="1">
        <v>8.8719999999999999</v>
      </c>
      <c r="K110" s="1">
        <v>8.9130000000000003</v>
      </c>
      <c r="L110" s="1">
        <v>8.8789999999999996</v>
      </c>
      <c r="M110" s="1">
        <v>8.8879999999999999</v>
      </c>
      <c r="N110" s="1">
        <v>8.8770000000000007</v>
      </c>
      <c r="O110" s="1">
        <v>8.8670000000000009</v>
      </c>
      <c r="P110" s="1">
        <v>8.8689999999999998</v>
      </c>
      <c r="Q110" s="1">
        <v>8.8870000000000005</v>
      </c>
      <c r="R110" s="1">
        <v>8.8829999999999991</v>
      </c>
      <c r="S110" s="1">
        <v>8.8829999999999991</v>
      </c>
      <c r="T110" s="1">
        <v>8.8979999999999997</v>
      </c>
      <c r="U110" s="1">
        <v>8.8940000000000001</v>
      </c>
      <c r="V110" s="1">
        <v>8.8680000000000003</v>
      </c>
      <c r="W110" s="1">
        <v>8.8629999999999995</v>
      </c>
      <c r="X110" s="1">
        <v>8.9030000000000005</v>
      </c>
      <c r="Y110" s="1">
        <v>8.86</v>
      </c>
      <c r="Z110" s="1">
        <v>8.8670000000000009</v>
      </c>
      <c r="AA110" s="1">
        <v>8.8949999999999996</v>
      </c>
      <c r="AB110" s="1">
        <v>8.86</v>
      </c>
      <c r="AC110" s="1">
        <v>8.8689999999999998</v>
      </c>
      <c r="AD110" s="1">
        <v>8.891</v>
      </c>
      <c r="AE110" s="1">
        <v>8.8940000000000001</v>
      </c>
      <c r="AF110" s="1">
        <v>8.8859999999999992</v>
      </c>
      <c r="AG110" s="1">
        <v>8.8800000000000008</v>
      </c>
      <c r="AH110" s="1">
        <v>8.8789999999999996</v>
      </c>
      <c r="AI110" s="1">
        <v>8.8949999999999996</v>
      </c>
      <c r="AJ110" s="1">
        <v>8.8759999999999994</v>
      </c>
      <c r="AK110" s="1">
        <v>8.8569999999999993</v>
      </c>
      <c r="AL110" s="1">
        <v>8.859</v>
      </c>
      <c r="AM110" s="1">
        <v>8.8710000000000004</v>
      </c>
      <c r="AN110" s="1">
        <v>8.8940000000000001</v>
      </c>
      <c r="AO110" s="1">
        <v>8.8989999999999991</v>
      </c>
      <c r="AP110" s="1">
        <v>8.8789999999999996</v>
      </c>
      <c r="AQ110" s="1">
        <v>8.8629999999999995</v>
      </c>
      <c r="AR110" s="1">
        <v>8.8840000000000003</v>
      </c>
      <c r="AS110" s="1">
        <v>8.8640000000000008</v>
      </c>
      <c r="AT110" s="1">
        <v>8.91</v>
      </c>
      <c r="AU110" s="1">
        <v>8.9019999999999992</v>
      </c>
      <c r="AV110" s="1">
        <v>8.8919999999999995</v>
      </c>
      <c r="AW110" s="1">
        <v>8.8949999999999996</v>
      </c>
      <c r="AX110" s="1">
        <v>8.8689999999999998</v>
      </c>
      <c r="AY110" s="1">
        <v>8.89</v>
      </c>
      <c r="AZ110" s="1">
        <v>8.875</v>
      </c>
      <c r="BA110" s="1">
        <v>8.8680000000000003</v>
      </c>
      <c r="BB110" s="1">
        <v>8.8490000000000002</v>
      </c>
      <c r="BC110" s="1">
        <v>8.8940000000000001</v>
      </c>
      <c r="BD110" s="1">
        <v>8.8559999999999999</v>
      </c>
      <c r="BE110" s="1">
        <v>8.8800000000000008</v>
      </c>
      <c r="BF110" s="1">
        <v>8.8670000000000009</v>
      </c>
      <c r="BG110" s="1">
        <v>8.8960000000000008</v>
      </c>
      <c r="BH110" s="1">
        <v>8.8539999999999992</v>
      </c>
      <c r="BI110" s="1">
        <v>8.8490000000000002</v>
      </c>
      <c r="BJ110" s="1">
        <v>8.8770000000000007</v>
      </c>
      <c r="BK110" s="1">
        <v>8.8529999999999998</v>
      </c>
      <c r="BL110" s="1">
        <v>8.8559999999999999</v>
      </c>
      <c r="BN110" s="9">
        <v>24</v>
      </c>
      <c r="BO110" s="9">
        <v>1515</v>
      </c>
      <c r="BP110" s="10">
        <f t="shared" si="61"/>
        <v>-1.3650990099009393E-3</v>
      </c>
      <c r="BQ110" s="10">
        <f t="shared" si="62"/>
        <v>7.7475247524738992E-4</v>
      </c>
      <c r="BR110" s="10">
        <f t="shared" si="63"/>
        <v>-2.38861386138587E-4</v>
      </c>
      <c r="BS110" s="10">
        <f t="shared" si="64"/>
        <v>-3.3923267326732933E-3</v>
      </c>
      <c r="BT110" s="10">
        <f t="shared" si="65"/>
        <v>-3.5148514851496228E-4</v>
      </c>
      <c r="BU110" s="10">
        <f t="shared" si="66"/>
        <v>-8.0198019801986308E-4</v>
      </c>
      <c r="BV110" s="10">
        <f t="shared" si="67"/>
        <v>3.815594059405921E-3</v>
      </c>
      <c r="BW110" s="10">
        <f t="shared" si="68"/>
        <v>-1.3613861386236594E-5</v>
      </c>
      <c r="BX110" s="10">
        <f t="shared" si="69"/>
        <v>9.9999999999994039E-4</v>
      </c>
      <c r="BY110" s="10">
        <f t="shared" si="70"/>
        <v>-2.38861386138587E-4</v>
      </c>
      <c r="BZ110" s="10">
        <f t="shared" si="71"/>
        <v>-1.3650990099009393E-3</v>
      </c>
      <c r="CA110" s="10">
        <f t="shared" si="72"/>
        <v>-1.1398514851485887E-3</v>
      </c>
      <c r="CB110" s="10">
        <f t="shared" si="73"/>
        <v>8.8737623762376522E-4</v>
      </c>
      <c r="CC110" s="10">
        <f t="shared" si="74"/>
        <v>4.3688118811866428E-4</v>
      </c>
      <c r="CD110" s="10">
        <f t="shared" si="75"/>
        <v>4.3688118811866428E-4</v>
      </c>
      <c r="CE110" s="10">
        <f t="shared" si="76"/>
        <v>2.1262376237622927E-3</v>
      </c>
      <c r="CF110" s="10">
        <f t="shared" si="77"/>
        <v>1.6757425742573917E-3</v>
      </c>
      <c r="CG110" s="10">
        <f t="shared" si="78"/>
        <v>-1.252475247524764E-3</v>
      </c>
      <c r="CH110" s="10">
        <f t="shared" si="79"/>
        <v>-1.81559405940604E-3</v>
      </c>
      <c r="CI110" s="10">
        <f t="shared" si="80"/>
        <v>2.6893564356435685E-3</v>
      </c>
      <c r="CJ110" s="10">
        <f t="shared" si="81"/>
        <v>-2.1534653465347655E-3</v>
      </c>
      <c r="CK110" s="10">
        <f t="shared" si="82"/>
        <v>-1.3650990099009393E-3</v>
      </c>
      <c r="CL110" s="10">
        <f t="shared" si="83"/>
        <v>1.7883663366335669E-3</v>
      </c>
      <c r="CM110" s="10">
        <f t="shared" si="84"/>
        <v>-2.1534653465347655E-3</v>
      </c>
      <c r="CN110" s="10">
        <f t="shared" si="85"/>
        <v>-1.1398514851485887E-3</v>
      </c>
      <c r="CO110" s="10">
        <f t="shared" si="86"/>
        <v>1.3378712871286661E-3</v>
      </c>
      <c r="CP110" s="10">
        <f t="shared" si="87"/>
        <v>1.6757425742573917E-3</v>
      </c>
      <c r="CQ110" s="10">
        <f t="shared" si="88"/>
        <v>7.7475247524738992E-4</v>
      </c>
      <c r="CR110" s="10">
        <f t="shared" si="89"/>
        <v>9.9009900990138671E-5</v>
      </c>
      <c r="CS110" s="10">
        <f t="shared" si="90"/>
        <v>-1.3613861386236594E-5</v>
      </c>
      <c r="CT110" s="10">
        <f t="shared" si="91"/>
        <v>1.7883663366335669E-3</v>
      </c>
      <c r="CU110" s="10">
        <f t="shared" si="92"/>
        <v>-3.5148514851496228E-4</v>
      </c>
      <c r="CV110" s="10">
        <f t="shared" si="93"/>
        <v>-2.4913366336634913E-3</v>
      </c>
      <c r="CW110" s="10">
        <f t="shared" si="94"/>
        <v>-2.2660891089109408E-3</v>
      </c>
      <c r="CX110" s="10">
        <f t="shared" si="95"/>
        <v>-9.1460396039603836E-4</v>
      </c>
      <c r="CY110" s="10">
        <f t="shared" si="96"/>
        <v>1.6757425742573917E-3</v>
      </c>
      <c r="CZ110" s="10">
        <f t="shared" si="97"/>
        <v>2.238861386138468E-3</v>
      </c>
      <c r="DA110" s="10">
        <f t="shared" si="98"/>
        <v>-1.3613861386236594E-5</v>
      </c>
      <c r="DB110" s="10">
        <f t="shared" si="99"/>
        <v>-1.81559405940604E-3</v>
      </c>
      <c r="DC110" s="10">
        <f t="shared" si="100"/>
        <v>5.4950495049503948E-4</v>
      </c>
      <c r="DD110" s="10">
        <f t="shared" si="101"/>
        <v>-1.7029702970296648E-3</v>
      </c>
      <c r="DE110" s="10">
        <f t="shared" si="102"/>
        <v>3.4777227722771952E-3</v>
      </c>
      <c r="DF110" s="10">
        <f t="shared" si="103"/>
        <v>2.5767326732671933E-3</v>
      </c>
      <c r="DG110" s="10">
        <f t="shared" si="104"/>
        <v>1.4504950495048412E-3</v>
      </c>
      <c r="DH110" s="10">
        <f t="shared" si="105"/>
        <v>1.7883663366335669E-3</v>
      </c>
      <c r="DI110" s="10">
        <f t="shared" si="106"/>
        <v>-1.1398514851485887E-3</v>
      </c>
      <c r="DJ110" s="10">
        <f t="shared" si="107"/>
        <v>1.2252475247524909E-3</v>
      </c>
      <c r="DK110" s="10">
        <f t="shared" si="108"/>
        <v>-4.6410891089113744E-4</v>
      </c>
      <c r="DL110" s="10">
        <f t="shared" si="109"/>
        <v>-1.252475247524764E-3</v>
      </c>
      <c r="DM110" s="10">
        <f t="shared" si="110"/>
        <v>-3.3923267326732933E-3</v>
      </c>
      <c r="DN110" s="10">
        <f t="shared" si="111"/>
        <v>1.6757425742573917E-3</v>
      </c>
      <c r="DO110" s="10">
        <f t="shared" si="112"/>
        <v>-2.6039603960396666E-3</v>
      </c>
      <c r="DP110" s="10">
        <f t="shared" si="113"/>
        <v>9.9009900990138671E-5</v>
      </c>
      <c r="DQ110" s="10">
        <f t="shared" si="114"/>
        <v>-1.3650990099009393E-3</v>
      </c>
      <c r="DR110" s="10">
        <f t="shared" si="115"/>
        <v>1.9009900990099421E-3</v>
      </c>
      <c r="DS110" s="10">
        <f t="shared" si="116"/>
        <v>-2.829207920792217E-3</v>
      </c>
      <c r="DT110" s="10">
        <f t="shared" si="117"/>
        <v>-3.3923267326732933E-3</v>
      </c>
      <c r="DU110" s="10">
        <f t="shared" si="118"/>
        <v>-2.38861386138587E-4</v>
      </c>
      <c r="DV110" s="10">
        <f t="shared" si="119"/>
        <v>-2.9418316831683923E-3</v>
      </c>
      <c r="DW110" s="10">
        <f t="shared" si="120"/>
        <v>-2.6039603960396666E-3</v>
      </c>
    </row>
    <row r="111" spans="2:127" x14ac:dyDescent="0.45">
      <c r="B111" s="1">
        <v>24</v>
      </c>
      <c r="C111" s="1">
        <v>1530</v>
      </c>
      <c r="D111" s="7">
        <f t="shared" si="121"/>
        <v>8.9670329670329672</v>
      </c>
      <c r="E111" s="1">
        <v>8.9550000000000001</v>
      </c>
      <c r="F111" s="1">
        <v>8.9740000000000002</v>
      </c>
      <c r="G111" s="1">
        <v>8.9640000000000004</v>
      </c>
      <c r="H111" s="1">
        <v>8.9359999999999999</v>
      </c>
      <c r="I111" s="1">
        <v>8.9670000000000005</v>
      </c>
      <c r="J111" s="1">
        <v>8.9619999999999997</v>
      </c>
      <c r="K111" s="1">
        <v>9.0039999999999996</v>
      </c>
      <c r="L111" s="1">
        <v>8.9589999999999996</v>
      </c>
      <c r="M111" s="1">
        <v>8.9770000000000003</v>
      </c>
      <c r="N111" s="1">
        <v>8.9640000000000004</v>
      </c>
      <c r="O111" s="1">
        <v>8.9529999999999994</v>
      </c>
      <c r="P111" s="1">
        <v>8.9580000000000002</v>
      </c>
      <c r="Q111" s="1">
        <v>8.9770000000000003</v>
      </c>
      <c r="R111" s="1">
        <v>8.9700000000000006</v>
      </c>
      <c r="S111" s="1">
        <v>8.9700000000000006</v>
      </c>
      <c r="T111" s="1">
        <v>8.9870000000000001</v>
      </c>
      <c r="U111" s="1">
        <v>8.9789999999999992</v>
      </c>
      <c r="V111" s="1">
        <v>8.9580000000000002</v>
      </c>
      <c r="W111" s="1">
        <v>8.9480000000000004</v>
      </c>
      <c r="X111" s="1">
        <v>8.9860000000000007</v>
      </c>
      <c r="Y111" s="1">
        <v>8.9469999999999992</v>
      </c>
      <c r="Z111" s="1">
        <v>8.952</v>
      </c>
      <c r="AA111" s="1">
        <v>8.9789999999999992</v>
      </c>
      <c r="AB111" s="1">
        <v>8.9440000000000008</v>
      </c>
      <c r="AC111" s="1">
        <v>8.9589999999999996</v>
      </c>
      <c r="AD111" s="1">
        <v>8.9770000000000003</v>
      </c>
      <c r="AE111" s="1">
        <v>8.9819999999999993</v>
      </c>
      <c r="AF111" s="1">
        <v>8.9719999999999995</v>
      </c>
      <c r="AG111" s="1">
        <v>8.9659999999999993</v>
      </c>
      <c r="AH111" s="1">
        <v>8.9629999999999992</v>
      </c>
      <c r="AI111" s="1">
        <v>8.9819999999999993</v>
      </c>
      <c r="AJ111" s="1">
        <v>8.9629999999999992</v>
      </c>
      <c r="AK111" s="1">
        <v>8.9440000000000008</v>
      </c>
      <c r="AL111" s="1">
        <v>8.9440000000000008</v>
      </c>
      <c r="AM111" s="1">
        <v>8.9580000000000002</v>
      </c>
      <c r="AN111" s="1">
        <v>8.9809999999999999</v>
      </c>
      <c r="AO111" s="1">
        <v>8.99</v>
      </c>
      <c r="AP111" s="1">
        <v>8.968</v>
      </c>
      <c r="AQ111" s="1">
        <v>8.9510000000000005</v>
      </c>
      <c r="AR111" s="1">
        <v>8.9719999999999995</v>
      </c>
      <c r="AS111" s="1">
        <v>8.9480000000000004</v>
      </c>
      <c r="AT111" s="1">
        <v>9.0020000000000007</v>
      </c>
      <c r="AU111" s="1">
        <v>8.9909999999999997</v>
      </c>
      <c r="AV111" s="1">
        <v>8.9489999999999998</v>
      </c>
      <c r="AW111" s="1">
        <v>8.9830000000000005</v>
      </c>
      <c r="AX111" s="1">
        <v>8.9559999999999995</v>
      </c>
      <c r="AY111" s="1">
        <v>8.9770000000000003</v>
      </c>
      <c r="AZ111" s="1">
        <v>8.9600000000000009</v>
      </c>
      <c r="BA111" s="1">
        <v>8.9559999999999995</v>
      </c>
      <c r="BB111" s="1">
        <v>8.9369999999999994</v>
      </c>
      <c r="BC111" s="1">
        <v>8.9849999999999994</v>
      </c>
      <c r="BD111" s="1">
        <v>8.9410000000000007</v>
      </c>
      <c r="BE111" s="1">
        <v>8.9710000000000001</v>
      </c>
      <c r="BF111" s="1">
        <v>8.9580000000000002</v>
      </c>
      <c r="BG111" s="1">
        <v>8.9870000000000001</v>
      </c>
      <c r="BH111" s="1">
        <v>8.9410000000000007</v>
      </c>
      <c r="BI111" s="1">
        <v>8.9359999999999999</v>
      </c>
      <c r="BJ111" s="1">
        <v>8.9640000000000004</v>
      </c>
      <c r="BK111" s="1">
        <v>8.9429999999999996</v>
      </c>
      <c r="BL111" s="1">
        <v>8.9440000000000008</v>
      </c>
      <c r="BN111" s="9">
        <v>24</v>
      </c>
      <c r="BO111" s="9">
        <v>1530</v>
      </c>
      <c r="BP111" s="10">
        <f t="shared" si="61"/>
        <v>-1.3419117647058875E-3</v>
      </c>
      <c r="BQ111" s="10">
        <f t="shared" si="62"/>
        <v>7.7696078431373455E-4</v>
      </c>
      <c r="BR111" s="10">
        <f t="shared" si="63"/>
        <v>-3.3823529411761415E-4</v>
      </c>
      <c r="BS111" s="10">
        <f t="shared" si="64"/>
        <v>-3.4607843137255097E-3</v>
      </c>
      <c r="BT111" s="10">
        <f t="shared" si="65"/>
        <v>-3.6764705881897183E-6</v>
      </c>
      <c r="BU111" s="10">
        <f t="shared" si="66"/>
        <v>-5.612745098039631E-4</v>
      </c>
      <c r="BV111" s="10">
        <f t="shared" si="67"/>
        <v>4.1225490196077812E-3</v>
      </c>
      <c r="BW111" s="10">
        <f t="shared" si="68"/>
        <v>-8.9583333333338754E-4</v>
      </c>
      <c r="BX111" s="10">
        <f t="shared" si="69"/>
        <v>1.1115196078431591E-3</v>
      </c>
      <c r="BY111" s="10">
        <f t="shared" si="70"/>
        <v>-3.3823529411761415E-4</v>
      </c>
      <c r="BZ111" s="10">
        <f t="shared" si="71"/>
        <v>-1.5649509803922364E-3</v>
      </c>
      <c r="CA111" s="10">
        <f t="shared" si="72"/>
        <v>-1.0073529411764631E-3</v>
      </c>
      <c r="CB111" s="10">
        <f t="shared" si="73"/>
        <v>1.1115196078431591E-3</v>
      </c>
      <c r="CC111" s="10">
        <f t="shared" si="74"/>
        <v>3.3088235294123473E-4</v>
      </c>
      <c r="CD111" s="10">
        <f t="shared" si="75"/>
        <v>3.3088235294123473E-4</v>
      </c>
      <c r="CE111" s="10">
        <f t="shared" si="76"/>
        <v>2.2267156862745079E-3</v>
      </c>
      <c r="CF111" s="10">
        <f t="shared" si="77"/>
        <v>1.3345588235293099E-3</v>
      </c>
      <c r="CG111" s="10">
        <f t="shared" si="78"/>
        <v>-1.0073529411764631E-3</v>
      </c>
      <c r="CH111" s="10">
        <f t="shared" si="79"/>
        <v>-2.122549019607812E-3</v>
      </c>
      <c r="CI111" s="10">
        <f t="shared" si="80"/>
        <v>2.1151960784314325E-3</v>
      </c>
      <c r="CJ111" s="10">
        <f t="shared" si="81"/>
        <v>-2.2340686274510855E-3</v>
      </c>
      <c r="CK111" s="10">
        <f t="shared" si="82"/>
        <v>-1.6764705882353118E-3</v>
      </c>
      <c r="CL111" s="10">
        <f t="shared" si="83"/>
        <v>1.3345588235293099E-3</v>
      </c>
      <c r="CM111" s="10">
        <f t="shared" si="84"/>
        <v>-2.5686274509803117E-3</v>
      </c>
      <c r="CN111" s="10">
        <f t="shared" si="85"/>
        <v>-8.9583333333338754E-4</v>
      </c>
      <c r="CO111" s="10">
        <f t="shared" si="86"/>
        <v>1.1115196078431591E-3</v>
      </c>
      <c r="CP111" s="10">
        <f t="shared" si="87"/>
        <v>1.6691176470587344E-3</v>
      </c>
      <c r="CQ111" s="10">
        <f t="shared" si="88"/>
        <v>5.539215686273856E-4</v>
      </c>
      <c r="CR111" s="10">
        <f t="shared" si="89"/>
        <v>-1.1519607843146327E-4</v>
      </c>
      <c r="CS111" s="10">
        <f t="shared" si="90"/>
        <v>-4.4975490196088772E-4</v>
      </c>
      <c r="CT111" s="10">
        <f t="shared" si="91"/>
        <v>1.6691176470587344E-3</v>
      </c>
      <c r="CU111" s="10">
        <f t="shared" si="92"/>
        <v>-4.4975490196088772E-4</v>
      </c>
      <c r="CV111" s="10">
        <f t="shared" si="93"/>
        <v>-2.5686274509803117E-3</v>
      </c>
      <c r="CW111" s="10">
        <f t="shared" si="94"/>
        <v>-2.5686274509803117E-3</v>
      </c>
      <c r="CX111" s="10">
        <f t="shared" si="95"/>
        <v>-1.0073529411764631E-3</v>
      </c>
      <c r="CY111" s="10">
        <f t="shared" si="96"/>
        <v>1.557598039215659E-3</v>
      </c>
      <c r="CZ111" s="10">
        <f t="shared" si="97"/>
        <v>2.5612745098039322E-3</v>
      </c>
      <c r="DA111" s="10">
        <f t="shared" si="98"/>
        <v>1.0784313725488572E-4</v>
      </c>
      <c r="DB111" s="10">
        <f t="shared" si="99"/>
        <v>-1.7879901960783874E-3</v>
      </c>
      <c r="DC111" s="10">
        <f t="shared" si="100"/>
        <v>5.539215686273856E-4</v>
      </c>
      <c r="DD111" s="10">
        <f t="shared" si="101"/>
        <v>-2.122549019607812E-3</v>
      </c>
      <c r="DE111" s="10">
        <f t="shared" si="102"/>
        <v>3.89950980392163E-3</v>
      </c>
      <c r="DF111" s="10">
        <f t="shared" si="103"/>
        <v>2.6727941176470076E-3</v>
      </c>
      <c r="DG111" s="10">
        <f t="shared" si="104"/>
        <v>-2.0110294117647361E-3</v>
      </c>
      <c r="DH111" s="10">
        <f t="shared" si="105"/>
        <v>1.780637254902008E-3</v>
      </c>
      <c r="DI111" s="10">
        <f t="shared" si="106"/>
        <v>-1.2303921568628121E-3</v>
      </c>
      <c r="DJ111" s="10">
        <f t="shared" si="107"/>
        <v>1.1115196078431591E-3</v>
      </c>
      <c r="DK111" s="10">
        <f t="shared" si="108"/>
        <v>-7.8431372549011408E-4</v>
      </c>
      <c r="DL111" s="10">
        <f t="shared" si="109"/>
        <v>-1.2303921568628121E-3</v>
      </c>
      <c r="DM111" s="10">
        <f t="shared" si="110"/>
        <v>-3.3492647058824339E-3</v>
      </c>
      <c r="DN111" s="10">
        <f t="shared" si="111"/>
        <v>2.003676470588159E-3</v>
      </c>
      <c r="DO111" s="10">
        <f t="shared" si="112"/>
        <v>-2.903186274509736E-3</v>
      </c>
      <c r="DP111" s="10">
        <f t="shared" si="113"/>
        <v>4.4240196078431017E-4</v>
      </c>
      <c r="DQ111" s="10">
        <f t="shared" si="114"/>
        <v>-1.0073529411764631E-3</v>
      </c>
      <c r="DR111" s="10">
        <f t="shared" si="115"/>
        <v>2.2267156862745079E-3</v>
      </c>
      <c r="DS111" s="10">
        <f t="shared" si="116"/>
        <v>-2.903186274509736E-3</v>
      </c>
      <c r="DT111" s="10">
        <f t="shared" si="117"/>
        <v>-3.4607843137255097E-3</v>
      </c>
      <c r="DU111" s="10">
        <f t="shared" si="118"/>
        <v>-3.3823529411761415E-4</v>
      </c>
      <c r="DV111" s="10">
        <f t="shared" si="119"/>
        <v>-2.6801470588235852E-3</v>
      </c>
      <c r="DW111" s="10">
        <f t="shared" si="120"/>
        <v>-2.5686274509803117E-3</v>
      </c>
    </row>
    <row r="112" spans="2:127" x14ac:dyDescent="0.45">
      <c r="B112" s="1">
        <v>24</v>
      </c>
      <c r="C112" s="1">
        <v>1545</v>
      </c>
      <c r="D112" s="7">
        <f t="shared" si="121"/>
        <v>9.0549450549450547</v>
      </c>
      <c r="E112" s="1">
        <v>9.0459999999999994</v>
      </c>
      <c r="F112" s="1">
        <v>9.0619999999999994</v>
      </c>
      <c r="G112" s="1">
        <v>9.048</v>
      </c>
      <c r="H112" s="1">
        <v>9.0239999999999991</v>
      </c>
      <c r="I112" s="1">
        <v>9.0570000000000004</v>
      </c>
      <c r="J112" s="1">
        <v>9.0510000000000002</v>
      </c>
      <c r="K112" s="1">
        <v>9.0960000000000001</v>
      </c>
      <c r="L112" s="1">
        <v>9.0440000000000005</v>
      </c>
      <c r="M112" s="1">
        <v>9.0649999999999995</v>
      </c>
      <c r="N112" s="1">
        <v>9.0500000000000007</v>
      </c>
      <c r="O112" s="1">
        <v>9.0429999999999993</v>
      </c>
      <c r="P112" s="1">
        <v>9.0459999999999994</v>
      </c>
      <c r="Q112" s="1">
        <v>9.0670000000000002</v>
      </c>
      <c r="R112" s="1">
        <v>9.0540000000000003</v>
      </c>
      <c r="S112" s="1">
        <v>9.0579999999999998</v>
      </c>
      <c r="T112" s="1">
        <v>9.077</v>
      </c>
      <c r="U112" s="1">
        <v>9.0660000000000007</v>
      </c>
      <c r="V112" s="1">
        <v>9.0459999999999994</v>
      </c>
      <c r="W112" s="1">
        <v>9.032</v>
      </c>
      <c r="X112" s="1">
        <v>9.0779999999999994</v>
      </c>
      <c r="Y112" s="1">
        <v>9.0350000000000001</v>
      </c>
      <c r="Z112" s="1">
        <v>9.0389999999999997</v>
      </c>
      <c r="AA112" s="1">
        <v>9.0690000000000008</v>
      </c>
      <c r="AB112" s="1">
        <v>9.032</v>
      </c>
      <c r="AC112" s="1">
        <v>9.048</v>
      </c>
      <c r="AD112" s="1">
        <v>9.0630000000000006</v>
      </c>
      <c r="AE112" s="1">
        <v>9.0690000000000008</v>
      </c>
      <c r="AF112" s="1">
        <v>9.0630000000000006</v>
      </c>
      <c r="AG112" s="1">
        <v>9.0549999999999997</v>
      </c>
      <c r="AH112" s="1">
        <v>9.0519999999999996</v>
      </c>
      <c r="AI112" s="1">
        <v>9.07</v>
      </c>
      <c r="AJ112" s="1">
        <v>9.0540000000000003</v>
      </c>
      <c r="AK112" s="1">
        <v>9.0289999999999999</v>
      </c>
      <c r="AL112" s="1">
        <v>9.0329999999999995</v>
      </c>
      <c r="AM112" s="1">
        <v>9.0459999999999994</v>
      </c>
      <c r="AN112" s="1">
        <v>9.0690000000000008</v>
      </c>
      <c r="AO112" s="1">
        <v>9.08</v>
      </c>
      <c r="AP112" s="1">
        <v>9.0579999999999998</v>
      </c>
      <c r="AQ112" s="1">
        <v>9.0389999999999997</v>
      </c>
      <c r="AR112" s="1">
        <v>9.0589999999999993</v>
      </c>
      <c r="AS112" s="1">
        <v>9.0359999999999996</v>
      </c>
      <c r="AT112" s="1">
        <v>9.0920000000000005</v>
      </c>
      <c r="AU112" s="1">
        <v>9.0809999999999995</v>
      </c>
      <c r="AV112" s="1">
        <v>9.0399999999999991</v>
      </c>
      <c r="AW112" s="1">
        <v>9.0709999999999997</v>
      </c>
      <c r="AX112" s="1">
        <v>9.0429999999999993</v>
      </c>
      <c r="AY112" s="1">
        <v>9.0660000000000007</v>
      </c>
      <c r="AZ112" s="1">
        <v>9.0470000000000006</v>
      </c>
      <c r="BA112" s="1">
        <v>9.0429999999999993</v>
      </c>
      <c r="BB112" s="1">
        <v>9.0229999999999997</v>
      </c>
      <c r="BC112" s="1">
        <v>9.0709999999999997</v>
      </c>
      <c r="BD112" s="1">
        <v>9.0280000000000005</v>
      </c>
      <c r="BE112" s="1">
        <v>9.0589999999999993</v>
      </c>
      <c r="BF112" s="1">
        <v>9.0459999999999994</v>
      </c>
      <c r="BG112" s="1">
        <v>9.0709999999999997</v>
      </c>
      <c r="BH112" s="1">
        <v>9.0289999999999999</v>
      </c>
      <c r="BI112" s="1">
        <v>9.0239999999999991</v>
      </c>
      <c r="BJ112" s="1">
        <v>9.0510000000000002</v>
      </c>
      <c r="BK112" s="1">
        <v>9.0310000000000006</v>
      </c>
      <c r="BL112" s="1">
        <v>9.0350000000000001</v>
      </c>
      <c r="BN112" s="9">
        <v>24</v>
      </c>
      <c r="BO112" s="9">
        <v>1545</v>
      </c>
      <c r="BP112" s="10">
        <f t="shared" si="61"/>
        <v>-9.8786407766995052E-4</v>
      </c>
      <c r="BQ112" s="10">
        <f t="shared" si="62"/>
        <v>7.7912621359218712E-4</v>
      </c>
      <c r="BR112" s="10">
        <f t="shared" si="63"/>
        <v>-7.6699029126210965E-4</v>
      </c>
      <c r="BS112" s="10">
        <f t="shared" si="64"/>
        <v>-3.4174757281554141E-3</v>
      </c>
      <c r="BT112" s="10">
        <f t="shared" si="65"/>
        <v>2.2694174757287948E-4</v>
      </c>
      <c r="BU112" s="10">
        <f t="shared" si="66"/>
        <v>-4.3567961165044661E-4</v>
      </c>
      <c r="BV112" s="10">
        <f t="shared" si="67"/>
        <v>4.5339805825243031E-3</v>
      </c>
      <c r="BW112" s="10">
        <f t="shared" si="68"/>
        <v>-1.2087378640775949E-3</v>
      </c>
      <c r="BX112" s="10">
        <f t="shared" si="69"/>
        <v>1.1104368932038501E-3</v>
      </c>
      <c r="BY112" s="10">
        <f t="shared" si="70"/>
        <v>-5.4611650485426888E-4</v>
      </c>
      <c r="BZ112" s="10">
        <f t="shared" si="71"/>
        <v>-1.3191747572816135E-3</v>
      </c>
      <c r="CA112" s="10">
        <f t="shared" si="72"/>
        <v>-9.8786407766995052E-4</v>
      </c>
      <c r="CB112" s="10">
        <f t="shared" si="73"/>
        <v>1.331310679611691E-3</v>
      </c>
      <c r="CC112" s="10">
        <f t="shared" si="74"/>
        <v>-1.0436893203878358E-4</v>
      </c>
      <c r="CD112" s="10">
        <f t="shared" si="75"/>
        <v>3.3737864077670177E-4</v>
      </c>
      <c r="CE112" s="10">
        <f t="shared" si="76"/>
        <v>2.4356796116505024E-3</v>
      </c>
      <c r="CF112" s="10">
        <f t="shared" si="77"/>
        <v>1.2208737864078687E-3</v>
      </c>
      <c r="CG112" s="10">
        <f t="shared" si="78"/>
        <v>-9.8786407766995052E-4</v>
      </c>
      <c r="CH112" s="10">
        <f t="shared" si="79"/>
        <v>-2.5339805825242471E-3</v>
      </c>
      <c r="CI112" s="10">
        <f t="shared" si="80"/>
        <v>2.5461165048543248E-3</v>
      </c>
      <c r="CJ112" s="10">
        <f t="shared" si="81"/>
        <v>-2.2026699029125841E-3</v>
      </c>
      <c r="CK112" s="10">
        <f t="shared" si="82"/>
        <v>-1.7609223300970988E-3</v>
      </c>
      <c r="CL112" s="10">
        <f t="shared" si="83"/>
        <v>1.5521844660195316E-3</v>
      </c>
      <c r="CM112" s="10">
        <f t="shared" si="84"/>
        <v>-2.5339805825242471E-3</v>
      </c>
      <c r="CN112" s="10">
        <f t="shared" si="85"/>
        <v>-7.6699029126210965E-4</v>
      </c>
      <c r="CO112" s="10">
        <f t="shared" si="86"/>
        <v>8.8956310679620557E-4</v>
      </c>
      <c r="CP112" s="10">
        <f t="shared" si="87"/>
        <v>1.5521844660195316E-3</v>
      </c>
      <c r="CQ112" s="10">
        <f t="shared" si="88"/>
        <v>8.8956310679620557E-4</v>
      </c>
      <c r="CR112" s="10">
        <f t="shared" si="89"/>
        <v>6.0679611650387134E-6</v>
      </c>
      <c r="CS112" s="10">
        <f t="shared" si="90"/>
        <v>-3.2524271844662435E-4</v>
      </c>
      <c r="CT112" s="10">
        <f t="shared" si="91"/>
        <v>1.6626213592233539E-3</v>
      </c>
      <c r="CU112" s="10">
        <f t="shared" si="92"/>
        <v>-1.0436893203878358E-4</v>
      </c>
      <c r="CV112" s="10">
        <f t="shared" si="93"/>
        <v>-2.86529126213591E-3</v>
      </c>
      <c r="CW112" s="10">
        <f t="shared" si="94"/>
        <v>-2.4235436893204248E-3</v>
      </c>
      <c r="CX112" s="10">
        <f t="shared" si="95"/>
        <v>-9.8786407766995052E-4</v>
      </c>
      <c r="CY112" s="10">
        <f t="shared" si="96"/>
        <v>1.5521844660195316E-3</v>
      </c>
      <c r="CZ112" s="10">
        <f t="shared" si="97"/>
        <v>2.7669902912621654E-3</v>
      </c>
      <c r="DA112" s="10">
        <f t="shared" si="98"/>
        <v>3.3737864077670177E-4</v>
      </c>
      <c r="DB112" s="10">
        <f t="shared" si="99"/>
        <v>-1.7609223300970988E-3</v>
      </c>
      <c r="DC112" s="10">
        <f t="shared" si="100"/>
        <v>4.4781553398052403E-4</v>
      </c>
      <c r="DD112" s="10">
        <f t="shared" si="101"/>
        <v>-2.0922330097087618E-3</v>
      </c>
      <c r="DE112" s="10">
        <f t="shared" si="102"/>
        <v>4.0922330097088178E-3</v>
      </c>
      <c r="DF112" s="10">
        <f t="shared" si="103"/>
        <v>2.8774271844659877E-3</v>
      </c>
      <c r="DG112" s="10">
        <f t="shared" si="104"/>
        <v>-1.6504854368932765E-3</v>
      </c>
      <c r="DH112" s="10">
        <f t="shared" si="105"/>
        <v>1.7730582524271763E-3</v>
      </c>
      <c r="DI112" s="10">
        <f t="shared" si="106"/>
        <v>-1.3191747572816135E-3</v>
      </c>
      <c r="DJ112" s="10">
        <f t="shared" si="107"/>
        <v>1.2208737864078687E-3</v>
      </c>
      <c r="DK112" s="10">
        <f t="shared" si="108"/>
        <v>-8.7742718446593196E-4</v>
      </c>
      <c r="DL112" s="10">
        <f t="shared" si="109"/>
        <v>-1.3191747572816135E-3</v>
      </c>
      <c r="DM112" s="10">
        <f t="shared" si="110"/>
        <v>-3.5279126213592364E-3</v>
      </c>
      <c r="DN112" s="10">
        <f t="shared" si="111"/>
        <v>1.7730582524271763E-3</v>
      </c>
      <c r="DO112" s="10">
        <f t="shared" si="112"/>
        <v>-2.9757281553397324E-3</v>
      </c>
      <c r="DP112" s="10">
        <f t="shared" si="113"/>
        <v>4.4781553398052403E-4</v>
      </c>
      <c r="DQ112" s="10">
        <f t="shared" si="114"/>
        <v>-9.8786407766995052E-4</v>
      </c>
      <c r="DR112" s="10">
        <f t="shared" si="115"/>
        <v>1.7730582524271763E-3</v>
      </c>
      <c r="DS112" s="10">
        <f t="shared" si="116"/>
        <v>-2.86529126213591E-3</v>
      </c>
      <c r="DT112" s="10">
        <f t="shared" si="117"/>
        <v>-3.4174757281554141E-3</v>
      </c>
      <c r="DU112" s="10">
        <f t="shared" si="118"/>
        <v>-4.3567961165044661E-4</v>
      </c>
      <c r="DV112" s="10">
        <f t="shared" si="119"/>
        <v>-2.6444174757280694E-3</v>
      </c>
      <c r="DW112" s="10">
        <f t="shared" si="120"/>
        <v>-2.2026699029125841E-3</v>
      </c>
    </row>
    <row r="113" spans="2:127" x14ac:dyDescent="0.45">
      <c r="B113" s="1">
        <v>24</v>
      </c>
      <c r="C113" s="1">
        <v>1560</v>
      </c>
      <c r="D113" s="7">
        <f t="shared" si="121"/>
        <v>9.1428571428571423</v>
      </c>
      <c r="E113" s="1">
        <v>9.1319999999999997</v>
      </c>
      <c r="F113" s="1">
        <v>9.1489999999999991</v>
      </c>
      <c r="G113" s="1">
        <v>9.1379999999999999</v>
      </c>
      <c r="H113" s="1">
        <v>9.1110000000000007</v>
      </c>
      <c r="I113" s="1">
        <v>9.1449999999999996</v>
      </c>
      <c r="J113" s="1">
        <v>9.1389999999999993</v>
      </c>
      <c r="K113" s="1">
        <v>9.1850000000000005</v>
      </c>
      <c r="L113" s="1">
        <v>9.1370000000000005</v>
      </c>
      <c r="M113" s="1">
        <v>9.1539999999999999</v>
      </c>
      <c r="N113" s="1">
        <v>9.1379999999999999</v>
      </c>
      <c r="O113" s="1">
        <v>9.1310000000000002</v>
      </c>
      <c r="P113" s="1">
        <v>9.1310000000000002</v>
      </c>
      <c r="Q113" s="1">
        <v>9.1539999999999999</v>
      </c>
      <c r="R113" s="1">
        <v>9.1389999999999993</v>
      </c>
      <c r="S113" s="1">
        <v>9.1460000000000008</v>
      </c>
      <c r="T113" s="1">
        <v>9.1639999999999997</v>
      </c>
      <c r="U113" s="1">
        <v>9.1509999999999998</v>
      </c>
      <c r="V113" s="1">
        <v>9.1319999999999997</v>
      </c>
      <c r="W113" s="1">
        <v>9.1199999999999992</v>
      </c>
      <c r="X113" s="1">
        <v>9.1579999999999995</v>
      </c>
      <c r="Y113" s="1">
        <v>9.1219999999999999</v>
      </c>
      <c r="Z113" s="1">
        <v>9.1270000000000007</v>
      </c>
      <c r="AA113" s="1">
        <v>9.157</v>
      </c>
      <c r="AB113" s="1">
        <v>9.1219999999999999</v>
      </c>
      <c r="AC113" s="1">
        <v>9.1370000000000005</v>
      </c>
      <c r="AD113" s="1">
        <v>9.1509999999999998</v>
      </c>
      <c r="AE113" s="1">
        <v>9.1560000000000006</v>
      </c>
      <c r="AF113" s="1">
        <v>9.1530000000000005</v>
      </c>
      <c r="AG113" s="1">
        <v>9.1449999999999996</v>
      </c>
      <c r="AH113" s="1">
        <v>9.1419999999999995</v>
      </c>
      <c r="AI113" s="1">
        <v>9.1609999999999996</v>
      </c>
      <c r="AJ113" s="1">
        <v>9.141</v>
      </c>
      <c r="AK113" s="1">
        <v>9.1189999999999998</v>
      </c>
      <c r="AL113" s="1">
        <v>9.1229999999999993</v>
      </c>
      <c r="AM113" s="1">
        <v>9.1340000000000003</v>
      </c>
      <c r="AN113" s="1">
        <v>9.157</v>
      </c>
      <c r="AO113" s="1">
        <v>9.1679999999999993</v>
      </c>
      <c r="AP113" s="1">
        <v>9.1470000000000002</v>
      </c>
      <c r="AQ113" s="1">
        <v>9.1270000000000007</v>
      </c>
      <c r="AR113" s="1">
        <v>9.1489999999999991</v>
      </c>
      <c r="AS113" s="1">
        <v>9.1259999999999994</v>
      </c>
      <c r="AT113" s="1">
        <v>9.1809999999999992</v>
      </c>
      <c r="AU113" s="1">
        <v>9.17</v>
      </c>
      <c r="AV113" s="1">
        <v>9.1310000000000002</v>
      </c>
      <c r="AW113" s="1">
        <v>9.16</v>
      </c>
      <c r="AX113" s="1">
        <v>9.1300000000000008</v>
      </c>
      <c r="AY113" s="1">
        <v>9.1539999999999999</v>
      </c>
      <c r="AZ113" s="1">
        <v>9.1349999999999998</v>
      </c>
      <c r="BA113" s="1">
        <v>9.1310000000000002</v>
      </c>
      <c r="BB113" s="1">
        <v>9.1080000000000005</v>
      </c>
      <c r="BC113" s="1">
        <v>9.1620000000000008</v>
      </c>
      <c r="BD113" s="1">
        <v>9.1150000000000002</v>
      </c>
      <c r="BE113" s="1">
        <v>9.1470000000000002</v>
      </c>
      <c r="BF113" s="1">
        <v>9.1340000000000003</v>
      </c>
      <c r="BG113" s="1">
        <v>9.157</v>
      </c>
      <c r="BH113" s="1">
        <v>9.1159999999999997</v>
      </c>
      <c r="BI113" s="1">
        <v>9.1110000000000007</v>
      </c>
      <c r="BJ113" s="1">
        <v>9.1379999999999999</v>
      </c>
      <c r="BK113" s="1">
        <v>9.1110000000000007</v>
      </c>
      <c r="BL113" s="1">
        <v>9.1219999999999999</v>
      </c>
      <c r="BN113" s="9">
        <v>24</v>
      </c>
      <c r="BO113" s="9">
        <v>1560</v>
      </c>
      <c r="BP113" s="10">
        <f t="shared" si="61"/>
        <v>-1.1874999999999802E-3</v>
      </c>
      <c r="BQ113" s="10">
        <f t="shared" si="62"/>
        <v>6.718749999999607E-4</v>
      </c>
      <c r="BR113" s="10">
        <f t="shared" si="63"/>
        <v>-5.3124999999995537E-4</v>
      </c>
      <c r="BS113" s="10">
        <f t="shared" si="64"/>
        <v>-3.484374999999873E-3</v>
      </c>
      <c r="BT113" s="10">
        <f t="shared" si="65"/>
        <v>2.3437500000000888E-4</v>
      </c>
      <c r="BU113" s="10">
        <f t="shared" si="66"/>
        <v>-4.2187500000001599E-4</v>
      </c>
      <c r="BV113" s="10">
        <f t="shared" si="67"/>
        <v>4.6093750000001099E-3</v>
      </c>
      <c r="BW113" s="10">
        <f t="shared" si="68"/>
        <v>-6.4062499999989475E-4</v>
      </c>
      <c r="BX113" s="10">
        <f t="shared" si="69"/>
        <v>1.2187500000000462E-3</v>
      </c>
      <c r="BY113" s="10">
        <f t="shared" si="70"/>
        <v>-5.3124999999995537E-4</v>
      </c>
      <c r="BZ113" s="10">
        <f t="shared" si="71"/>
        <v>-1.2968749999999196E-3</v>
      </c>
      <c r="CA113" s="10">
        <f t="shared" si="72"/>
        <v>-1.2968749999999196E-3</v>
      </c>
      <c r="CB113" s="10">
        <f t="shared" si="73"/>
        <v>1.2187500000000462E-3</v>
      </c>
      <c r="CC113" s="10">
        <f t="shared" si="74"/>
        <v>-4.2187500000001599E-4</v>
      </c>
      <c r="CD113" s="10">
        <f t="shared" si="75"/>
        <v>3.4375000000014255E-4</v>
      </c>
      <c r="CE113" s="10">
        <f t="shared" si="76"/>
        <v>2.3125000000000229E-3</v>
      </c>
      <c r="CF113" s="10">
        <f t="shared" si="77"/>
        <v>8.9062500000003375E-4</v>
      </c>
      <c r="CG113" s="10">
        <f t="shared" si="78"/>
        <v>-1.1874999999999802E-3</v>
      </c>
      <c r="CH113" s="10">
        <f t="shared" si="79"/>
        <v>-2.50000000000003E-3</v>
      </c>
      <c r="CI113" s="10">
        <f t="shared" si="80"/>
        <v>1.656249999999998E-3</v>
      </c>
      <c r="CJ113" s="10">
        <f t="shared" si="81"/>
        <v>-2.2812499999999569E-3</v>
      </c>
      <c r="CK113" s="10">
        <f t="shared" si="82"/>
        <v>-1.7343749999998714E-3</v>
      </c>
      <c r="CL113" s="10">
        <f t="shared" si="83"/>
        <v>1.5468750000000586E-3</v>
      </c>
      <c r="CM113" s="10">
        <f t="shared" si="84"/>
        <v>-2.2812499999999569E-3</v>
      </c>
      <c r="CN113" s="10">
        <f t="shared" si="85"/>
        <v>-6.4062499999989475E-4</v>
      </c>
      <c r="CO113" s="10">
        <f t="shared" si="86"/>
        <v>8.9062500000003375E-4</v>
      </c>
      <c r="CP113" s="10">
        <f t="shared" si="87"/>
        <v>1.4375000000001192E-3</v>
      </c>
      <c r="CQ113" s="10">
        <f t="shared" si="88"/>
        <v>1.1093750000001068E-3</v>
      </c>
      <c r="CR113" s="10">
        <f t="shared" si="89"/>
        <v>2.3437500000000888E-4</v>
      </c>
      <c r="CS113" s="10">
        <f t="shared" si="90"/>
        <v>-9.3750000000003553E-5</v>
      </c>
      <c r="CT113" s="10">
        <f t="shared" si="91"/>
        <v>1.9843750000000104E-3</v>
      </c>
      <c r="CU113" s="10">
        <f t="shared" si="92"/>
        <v>-2.0312499999994293E-4</v>
      </c>
      <c r="CV113" s="10">
        <f t="shared" si="93"/>
        <v>-2.6093749999999694E-3</v>
      </c>
      <c r="CW113" s="10">
        <f t="shared" si="94"/>
        <v>-2.1718750000000175E-3</v>
      </c>
      <c r="CX113" s="10">
        <f t="shared" si="95"/>
        <v>-9.6874999999990719E-4</v>
      </c>
      <c r="CY113" s="10">
        <f t="shared" si="96"/>
        <v>1.5468750000000586E-3</v>
      </c>
      <c r="CZ113" s="10">
        <f t="shared" si="97"/>
        <v>2.7499999999999747E-3</v>
      </c>
      <c r="DA113" s="10">
        <f t="shared" si="98"/>
        <v>4.5312500000008193E-4</v>
      </c>
      <c r="DB113" s="10">
        <f t="shared" si="99"/>
        <v>-1.7343749999998714E-3</v>
      </c>
      <c r="DC113" s="10">
        <f t="shared" si="100"/>
        <v>6.718749999999607E-4</v>
      </c>
      <c r="DD113" s="10">
        <f t="shared" si="101"/>
        <v>-1.8437500000000051E-3</v>
      </c>
      <c r="DE113" s="10">
        <f t="shared" si="102"/>
        <v>4.1718749999999638E-3</v>
      </c>
      <c r="DF113" s="10">
        <f t="shared" si="103"/>
        <v>2.9687500000000477E-3</v>
      </c>
      <c r="DG113" s="10">
        <f t="shared" si="104"/>
        <v>-1.2968749999999196E-3</v>
      </c>
      <c r="DH113" s="10">
        <f t="shared" si="105"/>
        <v>1.8750000000000711E-3</v>
      </c>
      <c r="DI113" s="10">
        <f t="shared" si="106"/>
        <v>-1.406249999999859E-3</v>
      </c>
      <c r="DJ113" s="10">
        <f t="shared" si="107"/>
        <v>1.2187500000000462E-3</v>
      </c>
      <c r="DK113" s="10">
        <f t="shared" si="108"/>
        <v>-8.593749999999678E-4</v>
      </c>
      <c r="DL113" s="10">
        <f t="shared" si="109"/>
        <v>-1.2968749999999196E-3</v>
      </c>
      <c r="DM113" s="10">
        <f t="shared" si="110"/>
        <v>-3.8124999999998854E-3</v>
      </c>
      <c r="DN113" s="10">
        <f t="shared" si="111"/>
        <v>2.0937500000001441E-3</v>
      </c>
      <c r="DO113" s="10">
        <f t="shared" si="112"/>
        <v>-3.0468749999999212E-3</v>
      </c>
      <c r="DP113" s="10">
        <f t="shared" si="113"/>
        <v>4.5312500000008193E-4</v>
      </c>
      <c r="DQ113" s="10">
        <f t="shared" si="114"/>
        <v>-9.6874999999990719E-4</v>
      </c>
      <c r="DR113" s="10">
        <f t="shared" si="115"/>
        <v>1.5468750000000586E-3</v>
      </c>
      <c r="DS113" s="10">
        <f t="shared" si="116"/>
        <v>-2.9374999999999818E-3</v>
      </c>
      <c r="DT113" s="10">
        <f t="shared" si="117"/>
        <v>-3.484374999999873E-3</v>
      </c>
      <c r="DU113" s="10">
        <f t="shared" si="118"/>
        <v>-5.3124999999995537E-4</v>
      </c>
      <c r="DV113" s="10">
        <f t="shared" si="119"/>
        <v>-3.484374999999873E-3</v>
      </c>
      <c r="DW113" s="10">
        <f t="shared" si="120"/>
        <v>-2.2812499999999569E-3</v>
      </c>
    </row>
    <row r="114" spans="2:127" x14ac:dyDescent="0.45">
      <c r="B114" s="1">
        <v>24</v>
      </c>
      <c r="C114" s="1">
        <v>1575</v>
      </c>
      <c r="D114" s="7">
        <f t="shared" si="121"/>
        <v>9.2307692307692299</v>
      </c>
      <c r="E114" s="1">
        <v>9.2189999999999994</v>
      </c>
      <c r="F114" s="1">
        <v>9.2370000000000001</v>
      </c>
      <c r="G114" s="1">
        <v>9.2249999999999996</v>
      </c>
      <c r="H114" s="1">
        <v>9.1980000000000004</v>
      </c>
      <c r="I114" s="1">
        <v>9.2330000000000005</v>
      </c>
      <c r="J114" s="1">
        <v>9.2289999999999992</v>
      </c>
      <c r="K114" s="1">
        <v>9.2739999999999991</v>
      </c>
      <c r="L114" s="1">
        <v>9.2230000000000008</v>
      </c>
      <c r="M114" s="1">
        <v>9.24</v>
      </c>
      <c r="N114" s="1">
        <v>9.2260000000000009</v>
      </c>
      <c r="O114" s="1">
        <v>9.2189999999999994</v>
      </c>
      <c r="P114" s="1">
        <v>9.2189999999999994</v>
      </c>
      <c r="Q114" s="1">
        <v>9.2420000000000009</v>
      </c>
      <c r="R114" s="1">
        <v>9.2270000000000003</v>
      </c>
      <c r="S114" s="1">
        <v>9.2330000000000005</v>
      </c>
      <c r="T114" s="1">
        <v>9.2520000000000007</v>
      </c>
      <c r="U114" s="1">
        <v>9.2409999999999997</v>
      </c>
      <c r="V114" s="1">
        <v>9.2210000000000001</v>
      </c>
      <c r="W114" s="1">
        <v>9.2100000000000009</v>
      </c>
      <c r="X114" s="1">
        <v>9.2479999999999993</v>
      </c>
      <c r="Y114" s="1">
        <v>9.2080000000000002</v>
      </c>
      <c r="Z114" s="1">
        <v>9.2129999999999992</v>
      </c>
      <c r="AA114" s="1">
        <v>9.2420000000000009</v>
      </c>
      <c r="AB114" s="1">
        <v>9.2100000000000009</v>
      </c>
      <c r="AC114" s="1">
        <v>9.2260000000000009</v>
      </c>
      <c r="AD114" s="1">
        <v>9.24</v>
      </c>
      <c r="AE114" s="1">
        <v>9.2439999999999998</v>
      </c>
      <c r="AF114" s="1">
        <v>9.24</v>
      </c>
      <c r="AG114" s="1">
        <v>9.234</v>
      </c>
      <c r="AH114" s="1">
        <v>9.23</v>
      </c>
      <c r="AI114" s="1">
        <v>9.2520000000000007</v>
      </c>
      <c r="AJ114" s="1">
        <v>9.2289999999999992</v>
      </c>
      <c r="AK114" s="1">
        <v>9.2080000000000002</v>
      </c>
      <c r="AL114" s="1">
        <v>9.2110000000000003</v>
      </c>
      <c r="AM114" s="1">
        <v>9.2210000000000001</v>
      </c>
      <c r="AN114" s="1">
        <v>9.2460000000000004</v>
      </c>
      <c r="AO114" s="1">
        <v>9.2550000000000008</v>
      </c>
      <c r="AP114" s="1">
        <v>9.2360000000000007</v>
      </c>
      <c r="AQ114" s="1">
        <v>9.2149999999999999</v>
      </c>
      <c r="AR114" s="1">
        <v>9.2360000000000007</v>
      </c>
      <c r="AS114" s="1">
        <v>9.2140000000000004</v>
      </c>
      <c r="AT114" s="1">
        <v>9.2690000000000001</v>
      </c>
      <c r="AU114" s="1">
        <v>9.2609999999999992</v>
      </c>
      <c r="AV114" s="1">
        <v>9.2100000000000009</v>
      </c>
      <c r="AW114" s="1">
        <v>9.2460000000000004</v>
      </c>
      <c r="AX114" s="1">
        <v>9.2149999999999999</v>
      </c>
      <c r="AY114" s="1">
        <v>9.2379999999999995</v>
      </c>
      <c r="AZ114" s="1">
        <v>9.2249999999999996</v>
      </c>
      <c r="BA114" s="1">
        <v>9.2189999999999994</v>
      </c>
      <c r="BB114" s="1">
        <v>9.1950000000000003</v>
      </c>
      <c r="BC114" s="1">
        <v>9.25</v>
      </c>
      <c r="BD114" s="1">
        <v>9.2029999999999994</v>
      </c>
      <c r="BE114" s="1">
        <v>9.2370000000000001</v>
      </c>
      <c r="BF114" s="1">
        <v>9.2249999999999996</v>
      </c>
      <c r="BG114" s="1">
        <v>9.2439999999999998</v>
      </c>
      <c r="BH114" s="1">
        <v>9.202</v>
      </c>
      <c r="BI114" s="1">
        <v>9.1989999999999998</v>
      </c>
      <c r="BJ114" s="1">
        <v>9.23</v>
      </c>
      <c r="BK114" s="1">
        <v>9.1980000000000004</v>
      </c>
      <c r="BL114" s="1">
        <v>9.2110000000000003</v>
      </c>
      <c r="BN114" s="9">
        <v>24</v>
      </c>
      <c r="BO114" s="9">
        <v>1575</v>
      </c>
      <c r="BP114" s="10">
        <f t="shared" si="61"/>
        <v>-1.2749999999999745E-3</v>
      </c>
      <c r="BQ114" s="10">
        <f t="shared" si="62"/>
        <v>6.7500000000009967E-4</v>
      </c>
      <c r="BR114" s="10">
        <f t="shared" si="63"/>
        <v>-6.2499999999994971E-4</v>
      </c>
      <c r="BS114" s="10">
        <f t="shared" si="64"/>
        <v>-3.5499999999998684E-3</v>
      </c>
      <c r="BT114" s="10">
        <f t="shared" si="65"/>
        <v>2.4166666666681401E-4</v>
      </c>
      <c r="BU114" s="10">
        <f t="shared" si="66"/>
        <v>-1.9166666666666407E-4</v>
      </c>
      <c r="BV114" s="10">
        <f t="shared" si="67"/>
        <v>4.6833333333333284E-3</v>
      </c>
      <c r="BW114" s="10">
        <f t="shared" si="68"/>
        <v>-8.4166666666649634E-4</v>
      </c>
      <c r="BX114" s="10">
        <f t="shared" si="69"/>
        <v>1.0000000000001119E-3</v>
      </c>
      <c r="BY114" s="10">
        <f t="shared" si="70"/>
        <v>-5.16666666666484E-4</v>
      </c>
      <c r="BZ114" s="10">
        <f t="shared" si="71"/>
        <v>-1.2749999999999745E-3</v>
      </c>
      <c r="CA114" s="10">
        <f t="shared" si="72"/>
        <v>-1.2749999999999745E-3</v>
      </c>
      <c r="CB114" s="10">
        <f t="shared" si="73"/>
        <v>1.216666666666851E-3</v>
      </c>
      <c r="CC114" s="10">
        <f t="shared" si="74"/>
        <v>-4.0833333333321068E-4</v>
      </c>
      <c r="CD114" s="10">
        <f t="shared" si="75"/>
        <v>2.4166666666681401E-4</v>
      </c>
      <c r="CE114" s="10">
        <f t="shared" si="76"/>
        <v>2.3000000000001613E-3</v>
      </c>
      <c r="CF114" s="10">
        <f t="shared" si="77"/>
        <v>1.1083333333333854E-3</v>
      </c>
      <c r="CG114" s="10">
        <f t="shared" si="78"/>
        <v>-1.0583333333332354E-3</v>
      </c>
      <c r="CH114" s="10">
        <f t="shared" si="79"/>
        <v>-2.249999999999819E-3</v>
      </c>
      <c r="CI114" s="10">
        <f t="shared" si="80"/>
        <v>1.8666666666666833E-3</v>
      </c>
      <c r="CJ114" s="10">
        <f t="shared" si="81"/>
        <v>-2.4666666666665581E-3</v>
      </c>
      <c r="CK114" s="10">
        <f t="shared" si="82"/>
        <v>-1.9249999999999992E-3</v>
      </c>
      <c r="CL114" s="10">
        <f t="shared" si="83"/>
        <v>1.216666666666851E-3</v>
      </c>
      <c r="CM114" s="10">
        <f t="shared" si="84"/>
        <v>-2.249999999999819E-3</v>
      </c>
      <c r="CN114" s="10">
        <f t="shared" si="85"/>
        <v>-5.16666666666484E-4</v>
      </c>
      <c r="CO114" s="10">
        <f t="shared" si="86"/>
        <v>1.0000000000001119E-3</v>
      </c>
      <c r="CP114" s="10">
        <f t="shared" si="87"/>
        <v>1.4333333333333977E-3</v>
      </c>
      <c r="CQ114" s="10">
        <f t="shared" si="88"/>
        <v>1.0000000000001119E-3</v>
      </c>
      <c r="CR114" s="10">
        <f t="shared" si="89"/>
        <v>3.5000000000008733E-4</v>
      </c>
      <c r="CS114" s="10">
        <f t="shared" si="90"/>
        <v>-8.3333333333198334E-5</v>
      </c>
      <c r="CT114" s="10">
        <f t="shared" si="91"/>
        <v>2.3000000000001613E-3</v>
      </c>
      <c r="CU114" s="10">
        <f t="shared" si="92"/>
        <v>-1.9166666666666407E-4</v>
      </c>
      <c r="CV114" s="10">
        <f t="shared" si="93"/>
        <v>-2.4666666666665581E-3</v>
      </c>
      <c r="CW114" s="10">
        <f t="shared" si="94"/>
        <v>-2.1416666666665457E-3</v>
      </c>
      <c r="CX114" s="10">
        <f t="shared" si="95"/>
        <v>-1.0583333333332354E-3</v>
      </c>
      <c r="CY114" s="10">
        <f t="shared" si="96"/>
        <v>1.6500000000001366E-3</v>
      </c>
      <c r="CZ114" s="10">
        <f t="shared" si="97"/>
        <v>2.6250000000001736E-3</v>
      </c>
      <c r="DA114" s="10">
        <f t="shared" si="98"/>
        <v>5.666666666668263E-4</v>
      </c>
      <c r="DB114" s="10">
        <f t="shared" si="99"/>
        <v>-1.7083333333332601E-3</v>
      </c>
      <c r="DC114" s="10">
        <f t="shared" si="100"/>
        <v>5.666666666668263E-4</v>
      </c>
      <c r="DD114" s="10">
        <f t="shared" si="101"/>
        <v>-1.8166666666665334E-3</v>
      </c>
      <c r="DE114" s="10">
        <f t="shared" si="102"/>
        <v>4.14166666666677E-3</v>
      </c>
      <c r="DF114" s="10">
        <f t="shared" si="103"/>
        <v>3.2750000000000058E-3</v>
      </c>
      <c r="DG114" s="10">
        <f t="shared" si="104"/>
        <v>-2.249999999999819E-3</v>
      </c>
      <c r="DH114" s="10">
        <f t="shared" si="105"/>
        <v>1.6500000000001366E-3</v>
      </c>
      <c r="DI114" s="10">
        <f t="shared" si="106"/>
        <v>-1.7083333333332601E-3</v>
      </c>
      <c r="DJ114" s="10">
        <f t="shared" si="107"/>
        <v>7.8333333333337294E-4</v>
      </c>
      <c r="DK114" s="10">
        <f t="shared" si="108"/>
        <v>-6.2499999999994971E-4</v>
      </c>
      <c r="DL114" s="10">
        <f t="shared" si="109"/>
        <v>-1.2749999999999745E-3</v>
      </c>
      <c r="DM114" s="10">
        <f t="shared" si="110"/>
        <v>-3.8749999999998807E-3</v>
      </c>
      <c r="DN114" s="10">
        <f t="shared" si="111"/>
        <v>2.0833333333334222E-3</v>
      </c>
      <c r="DO114" s="10">
        <f t="shared" si="112"/>
        <v>-3.0083333333333095E-3</v>
      </c>
      <c r="DP114" s="10">
        <f t="shared" si="113"/>
        <v>6.7500000000009967E-4</v>
      </c>
      <c r="DQ114" s="10">
        <f t="shared" si="114"/>
        <v>-6.2499999999994971E-4</v>
      </c>
      <c r="DR114" s="10">
        <f t="shared" si="115"/>
        <v>1.4333333333333977E-3</v>
      </c>
      <c r="DS114" s="10">
        <f t="shared" si="116"/>
        <v>-3.1166666666665828E-3</v>
      </c>
      <c r="DT114" s="10">
        <f t="shared" si="117"/>
        <v>-3.4416666666665951E-3</v>
      </c>
      <c r="DU114" s="10">
        <f t="shared" si="118"/>
        <v>-8.3333333333198334E-5</v>
      </c>
      <c r="DV114" s="10">
        <f t="shared" si="119"/>
        <v>-3.5499999999998684E-3</v>
      </c>
      <c r="DW114" s="10">
        <f t="shared" si="120"/>
        <v>-2.1416666666665457E-3</v>
      </c>
    </row>
    <row r="115" spans="2:127" x14ac:dyDescent="0.45">
      <c r="B115" s="1">
        <v>24</v>
      </c>
      <c r="C115" s="1">
        <v>1590</v>
      </c>
      <c r="D115" s="7">
        <f t="shared" si="121"/>
        <v>9.3186813186813193</v>
      </c>
      <c r="E115" s="1">
        <v>9.3070000000000004</v>
      </c>
      <c r="F115" s="1">
        <v>9.3249999999999993</v>
      </c>
      <c r="G115" s="1">
        <v>9.3119999999999994</v>
      </c>
      <c r="H115" s="1">
        <v>9.2840000000000007</v>
      </c>
      <c r="I115" s="1">
        <v>9.32</v>
      </c>
      <c r="J115" s="1">
        <v>9.3179999999999996</v>
      </c>
      <c r="K115" s="1">
        <v>9.3629999999999995</v>
      </c>
      <c r="L115" s="1">
        <v>9.3140000000000001</v>
      </c>
      <c r="M115" s="1">
        <v>9.3290000000000006</v>
      </c>
      <c r="N115" s="1">
        <v>9.3130000000000006</v>
      </c>
      <c r="O115" s="1">
        <v>9.3089999999999993</v>
      </c>
      <c r="P115" s="1">
        <v>9.3070000000000004</v>
      </c>
      <c r="Q115" s="1">
        <v>9.3249999999999993</v>
      </c>
      <c r="R115" s="1">
        <v>9.3179999999999996</v>
      </c>
      <c r="S115" s="1">
        <v>9.3209999999999997</v>
      </c>
      <c r="T115" s="1">
        <v>9.34</v>
      </c>
      <c r="U115" s="1">
        <v>9.3290000000000006</v>
      </c>
      <c r="V115" s="1">
        <v>9.3070000000000004</v>
      </c>
      <c r="W115" s="1">
        <v>9.298</v>
      </c>
      <c r="X115" s="1">
        <v>9.3390000000000004</v>
      </c>
      <c r="Y115" s="1">
        <v>9.2949999999999999</v>
      </c>
      <c r="Z115" s="1">
        <v>9.3010000000000002</v>
      </c>
      <c r="AA115" s="1">
        <v>9.3330000000000002</v>
      </c>
      <c r="AB115" s="1">
        <v>9.2989999999999995</v>
      </c>
      <c r="AC115" s="1">
        <v>9.3140000000000001</v>
      </c>
      <c r="AD115" s="1">
        <v>9.3260000000000005</v>
      </c>
      <c r="AE115" s="1">
        <v>9.3320000000000007</v>
      </c>
      <c r="AF115" s="1">
        <v>9.3309999999999995</v>
      </c>
      <c r="AG115" s="1">
        <v>9.3209999999999997</v>
      </c>
      <c r="AH115" s="1">
        <v>9.3179999999999996</v>
      </c>
      <c r="AI115" s="1">
        <v>9.34</v>
      </c>
      <c r="AJ115" s="1">
        <v>9.3130000000000006</v>
      </c>
      <c r="AK115" s="1">
        <v>9.2970000000000006</v>
      </c>
      <c r="AL115" s="1">
        <v>9.2989999999999995</v>
      </c>
      <c r="AM115" s="1">
        <v>9.3059999999999992</v>
      </c>
      <c r="AN115" s="1">
        <v>9.3330000000000002</v>
      </c>
      <c r="AO115" s="1">
        <v>9.3409999999999993</v>
      </c>
      <c r="AP115" s="1">
        <v>9.3219999999999992</v>
      </c>
      <c r="AQ115" s="1">
        <v>9.3019999999999996</v>
      </c>
      <c r="AR115" s="1">
        <v>9.3239999999999998</v>
      </c>
      <c r="AS115" s="1">
        <v>9.2989999999999995</v>
      </c>
      <c r="AT115" s="1">
        <v>9.3580000000000005</v>
      </c>
      <c r="AU115" s="1">
        <v>9.3390000000000004</v>
      </c>
      <c r="AV115" s="1">
        <v>9.3089999999999993</v>
      </c>
      <c r="AW115" s="1">
        <v>9.3320000000000007</v>
      </c>
      <c r="AX115" s="1">
        <v>9.3030000000000008</v>
      </c>
      <c r="AY115" s="1">
        <v>9.3290000000000006</v>
      </c>
      <c r="AZ115" s="1">
        <v>9.31</v>
      </c>
      <c r="BA115" s="1">
        <v>9.3070000000000004</v>
      </c>
      <c r="BB115" s="1">
        <v>9.2799999999999994</v>
      </c>
      <c r="BC115" s="1">
        <v>9.3390000000000004</v>
      </c>
      <c r="BD115" s="1">
        <v>9.2929999999999993</v>
      </c>
      <c r="BE115" s="1">
        <v>9.3249999999999993</v>
      </c>
      <c r="BF115" s="1">
        <v>9.3119999999999994</v>
      </c>
      <c r="BG115" s="1">
        <v>9.3320000000000007</v>
      </c>
      <c r="BH115" s="1">
        <v>9.2910000000000004</v>
      </c>
      <c r="BI115" s="1">
        <v>9.2880000000000003</v>
      </c>
      <c r="BJ115" s="1">
        <v>9.3179999999999996</v>
      </c>
      <c r="BK115" s="1">
        <v>9.2829999999999995</v>
      </c>
      <c r="BL115" s="1">
        <v>9.2989999999999995</v>
      </c>
      <c r="BN115" s="9">
        <v>24</v>
      </c>
      <c r="BO115" s="9">
        <v>1590</v>
      </c>
      <c r="BP115" s="10">
        <f t="shared" si="61"/>
        <v>-1.2535377358490845E-3</v>
      </c>
      <c r="BQ115" s="10">
        <f t="shared" si="62"/>
        <v>6.7806603773570362E-4</v>
      </c>
      <c r="BR115" s="10">
        <f t="shared" si="63"/>
        <v>-7.1698113207560631E-4</v>
      </c>
      <c r="BS115" s="10">
        <f t="shared" si="64"/>
        <v>-3.7216981132075413E-3</v>
      </c>
      <c r="BT115" s="10">
        <f t="shared" si="65"/>
        <v>1.4150943396222551E-4</v>
      </c>
      <c r="BU115" s="10">
        <f t="shared" si="66"/>
        <v>-7.3113207547280106E-5</v>
      </c>
      <c r="BV115" s="10">
        <f t="shared" si="67"/>
        <v>4.7558962264149761E-3</v>
      </c>
      <c r="BW115" s="10">
        <f t="shared" si="68"/>
        <v>-5.0235849056610071E-4</v>
      </c>
      <c r="BX115" s="10">
        <f t="shared" si="69"/>
        <v>1.1073113207547148E-3</v>
      </c>
      <c r="BY115" s="10">
        <f t="shared" si="70"/>
        <v>-6.0966981132075826E-4</v>
      </c>
      <c r="BZ115" s="10">
        <f t="shared" si="71"/>
        <v>-1.0389150943397696E-3</v>
      </c>
      <c r="CA115" s="10">
        <f t="shared" si="72"/>
        <v>-1.2535377358490845E-3</v>
      </c>
      <c r="CB115" s="10">
        <f t="shared" si="73"/>
        <v>6.7806603773570362E-4</v>
      </c>
      <c r="CC115" s="10">
        <f t="shared" si="74"/>
        <v>-7.3113207547280106E-5</v>
      </c>
      <c r="CD115" s="10">
        <f t="shared" si="75"/>
        <v>2.4882075471688303E-4</v>
      </c>
      <c r="CE115" s="10">
        <f t="shared" si="76"/>
        <v>2.287735849056519E-3</v>
      </c>
      <c r="CF115" s="10">
        <f t="shared" si="77"/>
        <v>1.1073113207547148E-3</v>
      </c>
      <c r="CG115" s="10">
        <f t="shared" si="78"/>
        <v>-1.2535377358490845E-3</v>
      </c>
      <c r="CH115" s="10">
        <f t="shared" si="79"/>
        <v>-2.219339622641574E-3</v>
      </c>
      <c r="CI115" s="10">
        <f t="shared" si="80"/>
        <v>2.1804245283018617E-3</v>
      </c>
      <c r="CJ115" s="10">
        <f t="shared" si="81"/>
        <v>-2.5412735849057368E-3</v>
      </c>
      <c r="CK115" s="10">
        <f t="shared" si="82"/>
        <v>-1.8974056603774108E-3</v>
      </c>
      <c r="CL115" s="10">
        <f t="shared" si="83"/>
        <v>1.5365566037735354E-3</v>
      </c>
      <c r="CM115" s="10">
        <f t="shared" si="84"/>
        <v>-2.1120283018869162E-3</v>
      </c>
      <c r="CN115" s="10">
        <f t="shared" si="85"/>
        <v>-5.0235849056610071E-4</v>
      </c>
      <c r="CO115" s="10">
        <f t="shared" si="86"/>
        <v>7.8537735849055178E-4</v>
      </c>
      <c r="CP115" s="10">
        <f t="shared" si="87"/>
        <v>1.4292452830188781E-3</v>
      </c>
      <c r="CQ115" s="10">
        <f t="shared" si="88"/>
        <v>1.3219339622640299E-3</v>
      </c>
      <c r="CR115" s="10">
        <f t="shared" si="89"/>
        <v>2.4882075471688303E-4</v>
      </c>
      <c r="CS115" s="10">
        <f t="shared" si="90"/>
        <v>-7.3113207547280106E-5</v>
      </c>
      <c r="CT115" s="10">
        <f t="shared" si="91"/>
        <v>2.287735849056519E-3</v>
      </c>
      <c r="CU115" s="10">
        <f t="shared" si="92"/>
        <v>-6.0966981132075826E-4</v>
      </c>
      <c r="CV115" s="10">
        <f t="shared" si="93"/>
        <v>-2.3266509433962313E-3</v>
      </c>
      <c r="CW115" s="10">
        <f t="shared" si="94"/>
        <v>-2.1120283018869162E-3</v>
      </c>
      <c r="CX115" s="10">
        <f t="shared" si="95"/>
        <v>-1.3608490566039326E-3</v>
      </c>
      <c r="CY115" s="10">
        <f t="shared" si="96"/>
        <v>1.5365566037735354E-3</v>
      </c>
      <c r="CZ115" s="10">
        <f t="shared" si="97"/>
        <v>2.3950471698111768E-3</v>
      </c>
      <c r="DA115" s="10">
        <f t="shared" si="98"/>
        <v>3.5613207547154053E-4</v>
      </c>
      <c r="DB115" s="10">
        <f t="shared" si="99"/>
        <v>-1.7900943396227532E-3</v>
      </c>
      <c r="DC115" s="10">
        <f t="shared" si="100"/>
        <v>5.7075471698104618E-4</v>
      </c>
      <c r="DD115" s="10">
        <f t="shared" si="101"/>
        <v>-2.1120283018869162E-3</v>
      </c>
      <c r="DE115" s="10">
        <f t="shared" si="102"/>
        <v>4.2193396226414982E-3</v>
      </c>
      <c r="DF115" s="10">
        <f t="shared" si="103"/>
        <v>2.1804245283018617E-3</v>
      </c>
      <c r="DG115" s="10">
        <f t="shared" si="104"/>
        <v>-1.0389150943397696E-3</v>
      </c>
      <c r="DH115" s="10">
        <f t="shared" si="105"/>
        <v>1.4292452830188781E-3</v>
      </c>
      <c r="DI115" s="10">
        <f t="shared" si="106"/>
        <v>-1.682783018867905E-3</v>
      </c>
      <c r="DJ115" s="10">
        <f t="shared" si="107"/>
        <v>1.1073113207547148E-3</v>
      </c>
      <c r="DK115" s="10">
        <f t="shared" si="108"/>
        <v>-9.316037735849213E-4</v>
      </c>
      <c r="DL115" s="10">
        <f t="shared" si="109"/>
        <v>-1.2535377358490845E-3</v>
      </c>
      <c r="DM115" s="10">
        <f t="shared" si="110"/>
        <v>-4.1509433962265523E-3</v>
      </c>
      <c r="DN115" s="10">
        <f t="shared" si="111"/>
        <v>2.1804245283018617E-3</v>
      </c>
      <c r="DO115" s="10">
        <f t="shared" si="112"/>
        <v>-2.7558962264152428E-3</v>
      </c>
      <c r="DP115" s="10">
        <f t="shared" si="113"/>
        <v>6.7806603773570362E-4</v>
      </c>
      <c r="DQ115" s="10">
        <f t="shared" si="114"/>
        <v>-7.1698113207560631E-4</v>
      </c>
      <c r="DR115" s="10">
        <f t="shared" si="115"/>
        <v>1.4292452830188781E-3</v>
      </c>
      <c r="DS115" s="10">
        <f t="shared" si="116"/>
        <v>-2.9705188679245574E-3</v>
      </c>
      <c r="DT115" s="10">
        <f t="shared" si="117"/>
        <v>-3.2924528301887207E-3</v>
      </c>
      <c r="DU115" s="10">
        <f t="shared" si="118"/>
        <v>-7.3113207547280106E-5</v>
      </c>
      <c r="DV115" s="10">
        <f t="shared" si="119"/>
        <v>-3.8290094339623894E-3</v>
      </c>
      <c r="DW115" s="10">
        <f t="shared" si="120"/>
        <v>-2.1120283018869162E-3</v>
      </c>
    </row>
    <row r="116" spans="2:127" x14ac:dyDescent="0.45">
      <c r="B116" s="1">
        <v>24</v>
      </c>
      <c r="C116" s="1">
        <v>1605</v>
      </c>
      <c r="D116" s="7">
        <f t="shared" si="121"/>
        <v>9.4065934065934069</v>
      </c>
      <c r="E116" s="1">
        <v>9.3940000000000001</v>
      </c>
      <c r="F116" s="1">
        <v>9.4120000000000008</v>
      </c>
      <c r="G116" s="1">
        <v>9.3970000000000002</v>
      </c>
      <c r="H116" s="1">
        <v>9.3729999999999993</v>
      </c>
      <c r="I116" s="1">
        <v>9.4060000000000006</v>
      </c>
      <c r="J116" s="1">
        <v>9.4079999999999995</v>
      </c>
      <c r="K116" s="1">
        <v>9.4510000000000005</v>
      </c>
      <c r="L116" s="1">
        <v>9.4079999999999995</v>
      </c>
      <c r="M116" s="1">
        <v>9.4190000000000005</v>
      </c>
      <c r="N116" s="1">
        <v>9.4019999999999992</v>
      </c>
      <c r="O116" s="1">
        <v>9.3970000000000002</v>
      </c>
      <c r="P116" s="1">
        <v>9.3940000000000001</v>
      </c>
      <c r="Q116" s="1">
        <v>9.4130000000000003</v>
      </c>
      <c r="R116" s="1">
        <v>9.4090000000000007</v>
      </c>
      <c r="S116" s="1">
        <v>9.4060000000000006</v>
      </c>
      <c r="T116" s="1">
        <v>9.4280000000000008</v>
      </c>
      <c r="U116" s="1">
        <v>9.42</v>
      </c>
      <c r="V116" s="1">
        <v>9.3960000000000008</v>
      </c>
      <c r="W116" s="1">
        <v>9.3859999999999992</v>
      </c>
      <c r="X116" s="1">
        <v>9.4169999999999998</v>
      </c>
      <c r="Y116" s="1">
        <v>9.3829999999999991</v>
      </c>
      <c r="Z116" s="1">
        <v>9.39</v>
      </c>
      <c r="AA116" s="1">
        <v>9.4209999999999994</v>
      </c>
      <c r="AB116" s="1">
        <v>9.3859999999999992</v>
      </c>
      <c r="AC116" s="1">
        <v>9.4009999999999998</v>
      </c>
      <c r="AD116" s="1">
        <v>9.4149999999999991</v>
      </c>
      <c r="AE116" s="1">
        <v>9.42</v>
      </c>
      <c r="AF116" s="1">
        <v>9.4190000000000005</v>
      </c>
      <c r="AG116" s="1">
        <v>9.4090000000000007</v>
      </c>
      <c r="AH116" s="1">
        <v>9.4049999999999994</v>
      </c>
      <c r="AI116" s="1">
        <v>9.43</v>
      </c>
      <c r="AJ116" s="1">
        <v>9.3979999999999997</v>
      </c>
      <c r="AK116" s="1">
        <v>9.3829999999999991</v>
      </c>
      <c r="AL116" s="1">
        <v>9.3870000000000005</v>
      </c>
      <c r="AM116" s="1">
        <v>9.3960000000000008</v>
      </c>
      <c r="AN116" s="1">
        <v>9.423</v>
      </c>
      <c r="AO116" s="1">
        <v>9.4309999999999992</v>
      </c>
      <c r="AP116" s="1">
        <v>9.4120000000000008</v>
      </c>
      <c r="AQ116" s="1">
        <v>9.3889999999999993</v>
      </c>
      <c r="AR116" s="1">
        <v>9.4120000000000008</v>
      </c>
      <c r="AS116" s="1">
        <v>9.3859999999999992</v>
      </c>
      <c r="AT116" s="1">
        <v>9.4440000000000008</v>
      </c>
      <c r="AU116" s="1">
        <v>9.4350000000000005</v>
      </c>
      <c r="AV116" s="1">
        <v>9.3819999999999997</v>
      </c>
      <c r="AW116" s="1">
        <v>9.42</v>
      </c>
      <c r="AX116" s="1">
        <v>9.3919999999999995</v>
      </c>
      <c r="AY116" s="1">
        <v>9.4169999999999998</v>
      </c>
      <c r="AZ116" s="1">
        <v>9.3979999999999997</v>
      </c>
      <c r="BA116" s="1">
        <v>9.3940000000000001</v>
      </c>
      <c r="BB116" s="1">
        <v>9.3640000000000008</v>
      </c>
      <c r="BC116" s="1">
        <v>9.4280000000000008</v>
      </c>
      <c r="BD116" s="1">
        <v>9.3819999999999997</v>
      </c>
      <c r="BE116" s="1">
        <v>9.4149999999999991</v>
      </c>
      <c r="BF116" s="1">
        <v>9.4</v>
      </c>
      <c r="BG116" s="1">
        <v>9.42</v>
      </c>
      <c r="BH116" s="1">
        <v>9.375</v>
      </c>
      <c r="BI116" s="1">
        <v>9.3780000000000001</v>
      </c>
      <c r="BJ116" s="1">
        <v>9.4049999999999994</v>
      </c>
      <c r="BK116" s="1">
        <v>9.3689999999999998</v>
      </c>
      <c r="BL116" s="1">
        <v>9.3889999999999993</v>
      </c>
      <c r="BN116" s="9">
        <v>24</v>
      </c>
      <c r="BO116" s="9">
        <v>1605</v>
      </c>
      <c r="BP116" s="10">
        <f t="shared" si="61"/>
        <v>-1.3387850467289936E-3</v>
      </c>
      <c r="BQ116" s="10">
        <f t="shared" si="62"/>
        <v>5.7476635514023774E-4</v>
      </c>
      <c r="BR116" s="10">
        <f t="shared" si="63"/>
        <v>-1.0198598130841216E-3</v>
      </c>
      <c r="BS116" s="10">
        <f t="shared" si="64"/>
        <v>-3.5712616822430967E-3</v>
      </c>
      <c r="BT116" s="10">
        <f t="shared" si="65"/>
        <v>-6.3084112149506053E-5</v>
      </c>
      <c r="BU116" s="10">
        <f t="shared" si="66"/>
        <v>1.4953271028028266E-4</v>
      </c>
      <c r="BV116" s="10">
        <f t="shared" si="67"/>
        <v>4.7207943925233831E-3</v>
      </c>
      <c r="BW116" s="10">
        <f t="shared" si="68"/>
        <v>1.4953271028028266E-4</v>
      </c>
      <c r="BX116" s="10">
        <f t="shared" si="69"/>
        <v>1.3189252336448759E-3</v>
      </c>
      <c r="BY116" s="10">
        <f t="shared" si="70"/>
        <v>-4.8831775700946113E-4</v>
      </c>
      <c r="BZ116" s="10">
        <f t="shared" si="71"/>
        <v>-1.0198598130841216E-3</v>
      </c>
      <c r="CA116" s="10">
        <f t="shared" si="72"/>
        <v>-1.3387850467289936E-3</v>
      </c>
      <c r="CB116" s="10">
        <f t="shared" si="73"/>
        <v>6.8107476635513207E-4</v>
      </c>
      <c r="CC116" s="10">
        <f t="shared" si="74"/>
        <v>2.5584112149536583E-4</v>
      </c>
      <c r="CD116" s="10">
        <f t="shared" si="75"/>
        <v>-6.3084112149506053E-5</v>
      </c>
      <c r="CE116" s="10">
        <f t="shared" si="76"/>
        <v>2.2757009345794913E-3</v>
      </c>
      <c r="CF116" s="10">
        <f t="shared" si="77"/>
        <v>1.4252336448597701E-3</v>
      </c>
      <c r="CG116" s="10">
        <f t="shared" si="78"/>
        <v>-1.1261682242990161E-3</v>
      </c>
      <c r="CH116" s="10">
        <f t="shared" si="79"/>
        <v>-2.1892523364487148E-3</v>
      </c>
      <c r="CI116" s="10">
        <f t="shared" si="80"/>
        <v>1.1063084112148984E-3</v>
      </c>
      <c r="CJ116" s="10">
        <f t="shared" si="81"/>
        <v>-2.5081775700935868E-3</v>
      </c>
      <c r="CK116" s="10">
        <f t="shared" si="82"/>
        <v>-1.7640186915887598E-3</v>
      </c>
      <c r="CL116" s="10">
        <f t="shared" si="83"/>
        <v>1.5315420560746645E-3</v>
      </c>
      <c r="CM116" s="10">
        <f t="shared" si="84"/>
        <v>-2.1892523364487148E-3</v>
      </c>
      <c r="CN116" s="10">
        <f t="shared" si="85"/>
        <v>-5.9462616822435546E-4</v>
      </c>
      <c r="CO116" s="10">
        <f t="shared" si="86"/>
        <v>8.9369158878492073E-4</v>
      </c>
      <c r="CP116" s="10">
        <f t="shared" si="87"/>
        <v>1.4252336448597701E-3</v>
      </c>
      <c r="CQ116" s="10">
        <f t="shared" si="88"/>
        <v>1.3189252336448759E-3</v>
      </c>
      <c r="CR116" s="10">
        <f t="shared" si="89"/>
        <v>2.5584112149536583E-4</v>
      </c>
      <c r="CS116" s="10">
        <f t="shared" si="90"/>
        <v>-1.6939252336458925E-4</v>
      </c>
      <c r="CT116" s="10">
        <f t="shared" si="91"/>
        <v>2.4883177570092802E-3</v>
      </c>
      <c r="CU116" s="10">
        <f t="shared" si="92"/>
        <v>-9.1355140186922732E-4</v>
      </c>
      <c r="CV116" s="10">
        <f t="shared" si="93"/>
        <v>-2.5081775700935868E-3</v>
      </c>
      <c r="CW116" s="10">
        <f t="shared" si="94"/>
        <v>-2.0829439252336318E-3</v>
      </c>
      <c r="CX116" s="10">
        <f t="shared" si="95"/>
        <v>-1.1261682242990161E-3</v>
      </c>
      <c r="CY116" s="10">
        <f t="shared" si="96"/>
        <v>1.7441588785046421E-3</v>
      </c>
      <c r="CZ116" s="10">
        <f t="shared" si="97"/>
        <v>2.5946261682241747E-3</v>
      </c>
      <c r="DA116" s="10">
        <f t="shared" si="98"/>
        <v>5.7476635514023774E-4</v>
      </c>
      <c r="DB116" s="10">
        <f t="shared" si="99"/>
        <v>-1.8703271028038431E-3</v>
      </c>
      <c r="DC116" s="10">
        <f t="shared" si="100"/>
        <v>5.7476635514023774E-4</v>
      </c>
      <c r="DD116" s="10">
        <f t="shared" si="101"/>
        <v>-2.1892523364487148E-3</v>
      </c>
      <c r="DE116" s="10">
        <f t="shared" si="102"/>
        <v>3.9766355140187452E-3</v>
      </c>
      <c r="DF116" s="10">
        <f t="shared" si="103"/>
        <v>3.0198598130841297E-3</v>
      </c>
      <c r="DG116" s="10">
        <f t="shared" si="104"/>
        <v>-2.6144859813084812E-3</v>
      </c>
      <c r="DH116" s="10">
        <f t="shared" si="105"/>
        <v>1.4252336448597701E-3</v>
      </c>
      <c r="DI116" s="10">
        <f t="shared" si="106"/>
        <v>-1.5514018691589711E-3</v>
      </c>
      <c r="DJ116" s="10">
        <f t="shared" si="107"/>
        <v>1.1063084112148984E-3</v>
      </c>
      <c r="DK116" s="10">
        <f t="shared" si="108"/>
        <v>-9.1355140186922732E-4</v>
      </c>
      <c r="DL116" s="10">
        <f t="shared" si="109"/>
        <v>-1.3387850467289936E-3</v>
      </c>
      <c r="DM116" s="10">
        <f t="shared" si="110"/>
        <v>-4.5280373831775239E-3</v>
      </c>
      <c r="DN116" s="10">
        <f t="shared" si="111"/>
        <v>2.2757009345794913E-3</v>
      </c>
      <c r="DO116" s="10">
        <f t="shared" si="112"/>
        <v>-2.6144859813084812E-3</v>
      </c>
      <c r="DP116" s="10">
        <f t="shared" si="113"/>
        <v>8.9369158878492073E-4</v>
      </c>
      <c r="DQ116" s="10">
        <f t="shared" si="114"/>
        <v>-7.0093457943924979E-4</v>
      </c>
      <c r="DR116" s="10">
        <f t="shared" si="115"/>
        <v>1.4252336448597701E-3</v>
      </c>
      <c r="DS116" s="10">
        <f t="shared" si="116"/>
        <v>-3.3586448598131192E-3</v>
      </c>
      <c r="DT116" s="10">
        <f t="shared" si="117"/>
        <v>-3.0397196261682472E-3</v>
      </c>
      <c r="DU116" s="10">
        <f t="shared" si="118"/>
        <v>-1.6939252336458925E-4</v>
      </c>
      <c r="DV116" s="10">
        <f t="shared" si="119"/>
        <v>-3.9964953271028631E-3</v>
      </c>
      <c r="DW116" s="10">
        <f t="shared" si="120"/>
        <v>-1.8703271028038431E-3</v>
      </c>
    </row>
    <row r="117" spans="2:127" x14ac:dyDescent="0.45">
      <c r="B117" s="1">
        <v>24</v>
      </c>
      <c r="C117" s="1">
        <v>1620</v>
      </c>
      <c r="D117" s="7">
        <f t="shared" si="121"/>
        <v>9.4945054945054945</v>
      </c>
      <c r="E117" s="1">
        <v>9.4819999999999993</v>
      </c>
      <c r="F117" s="1">
        <v>9.4990000000000006</v>
      </c>
      <c r="G117" s="1">
        <v>9.4870000000000001</v>
      </c>
      <c r="H117" s="1">
        <v>9.4589999999999996</v>
      </c>
      <c r="I117" s="1">
        <v>9.4930000000000003</v>
      </c>
      <c r="J117" s="1">
        <v>9.4960000000000004</v>
      </c>
      <c r="K117" s="1">
        <v>9.5389999999999997</v>
      </c>
      <c r="L117" s="1">
        <v>9.4920000000000009</v>
      </c>
      <c r="M117" s="1">
        <v>9.5079999999999991</v>
      </c>
      <c r="N117" s="1">
        <v>9.4909999999999997</v>
      </c>
      <c r="O117" s="1">
        <v>9.4870000000000001</v>
      </c>
      <c r="P117" s="1">
        <v>9.4809999999999999</v>
      </c>
      <c r="Q117" s="1">
        <v>9.4969999999999999</v>
      </c>
      <c r="R117" s="1">
        <v>9.4969999999999999</v>
      </c>
      <c r="S117" s="1">
        <v>9.4949999999999992</v>
      </c>
      <c r="T117" s="1">
        <v>9.516</v>
      </c>
      <c r="U117" s="1">
        <v>9.5079999999999991</v>
      </c>
      <c r="V117" s="1">
        <v>9.4819999999999993</v>
      </c>
      <c r="W117" s="1">
        <v>9.4740000000000002</v>
      </c>
      <c r="X117" s="1">
        <v>9.5039999999999996</v>
      </c>
      <c r="Y117" s="1">
        <v>9.4740000000000002</v>
      </c>
      <c r="Z117" s="1">
        <v>9.48</v>
      </c>
      <c r="AA117" s="1">
        <v>9.5079999999999991</v>
      </c>
      <c r="AB117" s="1">
        <v>9.4740000000000002</v>
      </c>
      <c r="AC117" s="1">
        <v>9.4890000000000008</v>
      </c>
      <c r="AD117" s="1">
        <v>9.5</v>
      </c>
      <c r="AE117" s="1">
        <v>9.5079999999999991</v>
      </c>
      <c r="AF117" s="1">
        <v>9.5079999999999991</v>
      </c>
      <c r="AG117" s="1">
        <v>9.4969999999999999</v>
      </c>
      <c r="AH117" s="1">
        <v>9.4909999999999997</v>
      </c>
      <c r="AI117" s="1">
        <v>9.5190000000000001</v>
      </c>
      <c r="AJ117" s="1">
        <v>9.4870000000000001</v>
      </c>
      <c r="AK117" s="1">
        <v>9.4719999999999995</v>
      </c>
      <c r="AL117" s="1">
        <v>9.4760000000000009</v>
      </c>
      <c r="AM117" s="1">
        <v>9.484</v>
      </c>
      <c r="AN117" s="1">
        <v>9.5109999999999992</v>
      </c>
      <c r="AO117" s="1">
        <v>9.5180000000000007</v>
      </c>
      <c r="AP117" s="1">
        <v>9.4969999999999999</v>
      </c>
      <c r="AQ117" s="1">
        <v>9.4779999999999998</v>
      </c>
      <c r="AR117" s="1">
        <v>9.5</v>
      </c>
      <c r="AS117" s="1">
        <v>9.4760000000000009</v>
      </c>
      <c r="AT117" s="1">
        <v>9.5329999999999995</v>
      </c>
      <c r="AU117" s="1">
        <v>9.5220000000000002</v>
      </c>
      <c r="AV117" s="1">
        <v>9.4719999999999995</v>
      </c>
      <c r="AW117" s="1">
        <v>9.5079999999999991</v>
      </c>
      <c r="AX117" s="1">
        <v>9.484</v>
      </c>
      <c r="AY117" s="1">
        <v>9.5050000000000008</v>
      </c>
      <c r="AZ117" s="1">
        <v>9.484</v>
      </c>
      <c r="BA117" s="1">
        <v>9.4819999999999993</v>
      </c>
      <c r="BB117" s="1">
        <v>9.4550000000000001</v>
      </c>
      <c r="BC117" s="1">
        <v>9.516</v>
      </c>
      <c r="BD117" s="1">
        <v>9.4719999999999995</v>
      </c>
      <c r="BE117" s="1">
        <v>9.5030000000000001</v>
      </c>
      <c r="BF117" s="1">
        <v>9.4870000000000001</v>
      </c>
      <c r="BG117" s="1">
        <v>9.5079999999999991</v>
      </c>
      <c r="BH117" s="1">
        <v>9.4619999999999997</v>
      </c>
      <c r="BI117" s="1">
        <v>9.4649999999999999</v>
      </c>
      <c r="BJ117" s="1">
        <v>9.4960000000000004</v>
      </c>
      <c r="BK117" s="1">
        <v>9.4580000000000002</v>
      </c>
      <c r="BL117" s="1">
        <v>9.4779999999999998</v>
      </c>
      <c r="BN117" s="9">
        <v>24</v>
      </c>
      <c r="BO117" s="9">
        <v>1620</v>
      </c>
      <c r="BP117" s="10">
        <f t="shared" si="61"/>
        <v>-1.3171296296297036E-3</v>
      </c>
      <c r="BQ117" s="10">
        <f t="shared" si="62"/>
        <v>4.7337962962968596E-4</v>
      </c>
      <c r="BR117" s="10">
        <f t="shared" si="63"/>
        <v>-7.9050925925925079E-4</v>
      </c>
      <c r="BS117" s="10">
        <f t="shared" si="64"/>
        <v>-3.7395833333333742E-3</v>
      </c>
      <c r="BT117" s="10">
        <f t="shared" si="65"/>
        <v>-1.5856481481478244E-4</v>
      </c>
      <c r="BU117" s="10">
        <f t="shared" si="66"/>
        <v>1.5740740740745175E-4</v>
      </c>
      <c r="BV117" s="10">
        <f t="shared" si="67"/>
        <v>4.6863425925925588E-3</v>
      </c>
      <c r="BW117" s="10">
        <f t="shared" si="68"/>
        <v>-2.6388888888879817E-4</v>
      </c>
      <c r="BX117" s="10">
        <f t="shared" si="69"/>
        <v>1.4212962962962014E-3</v>
      </c>
      <c r="BY117" s="10">
        <f t="shared" si="70"/>
        <v>-3.6921296296300095E-4</v>
      </c>
      <c r="BZ117" s="10">
        <f t="shared" si="71"/>
        <v>-7.9050925925925079E-4</v>
      </c>
      <c r="CA117" s="10">
        <f t="shared" si="72"/>
        <v>-1.4224537037037192E-3</v>
      </c>
      <c r="CB117" s="10">
        <f t="shared" si="73"/>
        <v>2.6273148148146748E-4</v>
      </c>
      <c r="CC117" s="10">
        <f t="shared" si="74"/>
        <v>2.6273148148146748E-4</v>
      </c>
      <c r="CD117" s="10">
        <f t="shared" si="75"/>
        <v>5.2083333333248959E-5</v>
      </c>
      <c r="CE117" s="10">
        <f t="shared" si="76"/>
        <v>2.2638888888888882E-3</v>
      </c>
      <c r="CF117" s="10">
        <f t="shared" si="77"/>
        <v>1.4212962962962014E-3</v>
      </c>
      <c r="CG117" s="10">
        <f t="shared" si="78"/>
        <v>-1.3171296296297036E-3</v>
      </c>
      <c r="CH117" s="10">
        <f t="shared" si="79"/>
        <v>-2.1597222222222035E-3</v>
      </c>
      <c r="CI117" s="10">
        <f t="shared" si="80"/>
        <v>9.9999999999995145E-4</v>
      </c>
      <c r="CJ117" s="10">
        <f t="shared" si="81"/>
        <v>-2.1597222222222035E-3</v>
      </c>
      <c r="CK117" s="10">
        <f t="shared" si="82"/>
        <v>-1.5277777777777349E-3</v>
      </c>
      <c r="CL117" s="10">
        <f t="shared" si="83"/>
        <v>1.4212962962962014E-3</v>
      </c>
      <c r="CM117" s="10">
        <f t="shared" si="84"/>
        <v>-2.1597222222222035E-3</v>
      </c>
      <c r="CN117" s="10">
        <f t="shared" si="85"/>
        <v>-5.7986111111103236E-4</v>
      </c>
      <c r="CO117" s="10">
        <f t="shared" si="86"/>
        <v>5.7870370370370161E-4</v>
      </c>
      <c r="CP117" s="10">
        <f t="shared" si="87"/>
        <v>1.4212962962962014E-3</v>
      </c>
      <c r="CQ117" s="10">
        <f t="shared" si="88"/>
        <v>1.4212962962962014E-3</v>
      </c>
      <c r="CR117" s="10">
        <f t="shared" si="89"/>
        <v>2.6273148148146748E-4</v>
      </c>
      <c r="CS117" s="10">
        <f t="shared" si="90"/>
        <v>-3.6921296296300095E-4</v>
      </c>
      <c r="CT117" s="10">
        <f t="shared" si="91"/>
        <v>2.5798611111111226E-3</v>
      </c>
      <c r="CU117" s="10">
        <f t="shared" si="92"/>
        <v>-7.9050925925925079E-4</v>
      </c>
      <c r="CV117" s="10">
        <f t="shared" si="93"/>
        <v>-2.3703703703704219E-3</v>
      </c>
      <c r="CW117" s="10">
        <f t="shared" si="94"/>
        <v>-1.9490740740739849E-3</v>
      </c>
      <c r="CX117" s="10">
        <f t="shared" si="95"/>
        <v>-1.106481481481485E-3</v>
      </c>
      <c r="CY117" s="10">
        <f t="shared" si="96"/>
        <v>1.7372685185184356E-3</v>
      </c>
      <c r="CZ117" s="10">
        <f t="shared" si="97"/>
        <v>2.4745370370371066E-3</v>
      </c>
      <c r="DA117" s="10">
        <f t="shared" si="98"/>
        <v>2.6273148148146748E-4</v>
      </c>
      <c r="DB117" s="10">
        <f t="shared" si="99"/>
        <v>-1.7384259259259534E-3</v>
      </c>
      <c r="DC117" s="10">
        <f t="shared" si="100"/>
        <v>5.7870370370370161E-4</v>
      </c>
      <c r="DD117" s="10">
        <f t="shared" si="101"/>
        <v>-1.9490740740739849E-3</v>
      </c>
      <c r="DE117" s="10">
        <f t="shared" si="102"/>
        <v>4.0543981481480909E-3</v>
      </c>
      <c r="DF117" s="10">
        <f t="shared" si="103"/>
        <v>2.8958333333333566E-3</v>
      </c>
      <c r="DG117" s="10">
        <f t="shared" si="104"/>
        <v>-2.3703703703704219E-3</v>
      </c>
      <c r="DH117" s="10">
        <f t="shared" si="105"/>
        <v>1.4212962962962014E-3</v>
      </c>
      <c r="DI117" s="10">
        <f t="shared" si="106"/>
        <v>-1.106481481481485E-3</v>
      </c>
      <c r="DJ117" s="10">
        <f t="shared" si="107"/>
        <v>1.1053240740741543E-3</v>
      </c>
      <c r="DK117" s="10">
        <f t="shared" si="108"/>
        <v>-1.106481481481485E-3</v>
      </c>
      <c r="DL117" s="10">
        <f t="shared" si="109"/>
        <v>-1.3171296296297036E-3</v>
      </c>
      <c r="DM117" s="10">
        <f t="shared" si="110"/>
        <v>-4.1608796296296246E-3</v>
      </c>
      <c r="DN117" s="10">
        <f t="shared" si="111"/>
        <v>2.2638888888888882E-3</v>
      </c>
      <c r="DO117" s="10">
        <f t="shared" si="112"/>
        <v>-2.3703703703704219E-3</v>
      </c>
      <c r="DP117" s="10">
        <f t="shared" si="113"/>
        <v>8.946759259259358E-4</v>
      </c>
      <c r="DQ117" s="10">
        <f t="shared" si="114"/>
        <v>-7.9050925925925079E-4</v>
      </c>
      <c r="DR117" s="10">
        <f t="shared" si="115"/>
        <v>1.4212962962962014E-3</v>
      </c>
      <c r="DS117" s="10">
        <f t="shared" si="116"/>
        <v>-3.4236111111111403E-3</v>
      </c>
      <c r="DT117" s="10">
        <f t="shared" si="117"/>
        <v>-3.1076388888889059E-3</v>
      </c>
      <c r="DU117" s="10">
        <f t="shared" si="118"/>
        <v>1.5740740740745175E-4</v>
      </c>
      <c r="DV117" s="10">
        <f t="shared" si="119"/>
        <v>-3.8449074074073902E-3</v>
      </c>
      <c r="DW117" s="10">
        <f t="shared" si="120"/>
        <v>-1.7384259259259534E-3</v>
      </c>
    </row>
    <row r="118" spans="2:127" x14ac:dyDescent="0.45">
      <c r="B118" s="1">
        <v>24</v>
      </c>
      <c r="C118" s="1">
        <v>1635</v>
      </c>
      <c r="D118" s="7">
        <f t="shared" si="121"/>
        <v>9.5824175824175821</v>
      </c>
      <c r="E118" s="1">
        <v>9.5690000000000008</v>
      </c>
      <c r="F118" s="1">
        <v>9.5860000000000003</v>
      </c>
      <c r="G118" s="1">
        <v>9.5760000000000005</v>
      </c>
      <c r="H118" s="1">
        <v>9.5429999999999993</v>
      </c>
      <c r="I118" s="1">
        <v>9.5809999999999995</v>
      </c>
      <c r="J118" s="1">
        <v>9.5839999999999996</v>
      </c>
      <c r="K118" s="1">
        <v>9.6280000000000001</v>
      </c>
      <c r="L118" s="1">
        <v>9.5790000000000006</v>
      </c>
      <c r="M118" s="1">
        <v>9.5980000000000008</v>
      </c>
      <c r="N118" s="1">
        <v>9.5809999999999995</v>
      </c>
      <c r="O118" s="1">
        <v>9.5749999999999993</v>
      </c>
      <c r="P118" s="1">
        <v>9.5679999999999996</v>
      </c>
      <c r="Q118" s="1">
        <v>9.5869999999999997</v>
      </c>
      <c r="R118" s="1">
        <v>9.5869999999999997</v>
      </c>
      <c r="S118" s="1">
        <v>9.5839999999999996</v>
      </c>
      <c r="T118" s="1">
        <v>9.6050000000000004</v>
      </c>
      <c r="U118" s="1">
        <v>9.5960000000000001</v>
      </c>
      <c r="V118" s="1">
        <v>9.5709999999999997</v>
      </c>
      <c r="W118" s="1">
        <v>9.5609999999999999</v>
      </c>
      <c r="X118" s="1">
        <v>9.5960000000000001</v>
      </c>
      <c r="Y118" s="1">
        <v>9.56</v>
      </c>
      <c r="Z118" s="1">
        <v>9.5679999999999996</v>
      </c>
      <c r="AA118" s="1">
        <v>9.5980000000000008</v>
      </c>
      <c r="AB118" s="1">
        <v>9.5609999999999999</v>
      </c>
      <c r="AC118" s="1">
        <v>9.5790000000000006</v>
      </c>
      <c r="AD118" s="1">
        <v>9.5879999999999992</v>
      </c>
      <c r="AE118" s="1">
        <v>9.5960000000000001</v>
      </c>
      <c r="AF118" s="1">
        <v>9.5960000000000001</v>
      </c>
      <c r="AG118" s="1">
        <v>9.5879999999999992</v>
      </c>
      <c r="AH118" s="1">
        <v>9.5790000000000006</v>
      </c>
      <c r="AI118" s="1">
        <v>9.6069999999999993</v>
      </c>
      <c r="AJ118" s="1">
        <v>9.5730000000000004</v>
      </c>
      <c r="AK118" s="1">
        <v>9.56</v>
      </c>
      <c r="AL118" s="1">
        <v>9.5619999999999994</v>
      </c>
      <c r="AM118" s="1">
        <v>9.5709999999999997</v>
      </c>
      <c r="AN118" s="1">
        <v>9.6020000000000003</v>
      </c>
      <c r="AO118" s="1">
        <v>9.6059999999999999</v>
      </c>
      <c r="AP118" s="1">
        <v>9.5860000000000003</v>
      </c>
      <c r="AQ118" s="1">
        <v>9.5670000000000002</v>
      </c>
      <c r="AR118" s="1">
        <v>9.59</v>
      </c>
      <c r="AS118" s="1">
        <v>9.56</v>
      </c>
      <c r="AT118" s="1">
        <v>9.6189999999999998</v>
      </c>
      <c r="AU118" s="1">
        <v>9.6110000000000007</v>
      </c>
      <c r="AV118" s="1">
        <v>9.5609999999999999</v>
      </c>
      <c r="AW118" s="1">
        <v>9.5960000000000001</v>
      </c>
      <c r="AX118" s="1">
        <v>9.5719999999999992</v>
      </c>
      <c r="AY118" s="1">
        <v>9.5950000000000006</v>
      </c>
      <c r="AZ118" s="1">
        <v>9.5719999999999992</v>
      </c>
      <c r="BA118" s="1">
        <v>9.5690000000000008</v>
      </c>
      <c r="BB118" s="1">
        <v>9.5429999999999993</v>
      </c>
      <c r="BC118" s="1">
        <v>9.6050000000000004</v>
      </c>
      <c r="BD118" s="1">
        <v>9.56</v>
      </c>
      <c r="BE118" s="1">
        <v>9.5909999999999993</v>
      </c>
      <c r="BF118" s="1">
        <v>9.5730000000000004</v>
      </c>
      <c r="BG118" s="1">
        <v>9.5950000000000006</v>
      </c>
      <c r="BH118" s="1">
        <v>9.5530000000000008</v>
      </c>
      <c r="BI118" s="1">
        <v>9.5519999999999996</v>
      </c>
      <c r="BJ118" s="1">
        <v>9.5809999999999995</v>
      </c>
      <c r="BK118" s="1">
        <v>9.5489999999999995</v>
      </c>
      <c r="BL118" s="1">
        <v>9.5670000000000002</v>
      </c>
      <c r="BN118" s="9">
        <v>24</v>
      </c>
      <c r="BO118" s="9">
        <v>1635</v>
      </c>
      <c r="BP118" s="10">
        <f t="shared" si="61"/>
        <v>-1.4002293577980471E-3</v>
      </c>
      <c r="BQ118" s="10">
        <f t="shared" si="62"/>
        <v>3.7385321100923602E-4</v>
      </c>
      <c r="BR118" s="10">
        <f t="shared" si="63"/>
        <v>-6.6972477064211795E-4</v>
      </c>
      <c r="BS118" s="10">
        <f t="shared" si="64"/>
        <v>-4.1135321100917895E-3</v>
      </c>
      <c r="BT118" s="10">
        <f t="shared" si="65"/>
        <v>-1.4793577981653364E-4</v>
      </c>
      <c r="BU118" s="10">
        <f t="shared" si="66"/>
        <v>1.6513761467889108E-4</v>
      </c>
      <c r="BV118" s="10">
        <f t="shared" si="67"/>
        <v>4.7568807339449966E-3</v>
      </c>
      <c r="BW118" s="10">
        <f t="shared" si="68"/>
        <v>-3.566513761466932E-4</v>
      </c>
      <c r="BX118" s="10">
        <f t="shared" si="69"/>
        <v>1.6261467889909348E-3</v>
      </c>
      <c r="BY118" s="10">
        <f t="shared" si="70"/>
        <v>-1.4793577981653364E-4</v>
      </c>
      <c r="BZ118" s="10">
        <f t="shared" si="71"/>
        <v>-7.7408256880738308E-4</v>
      </c>
      <c r="CA118" s="10">
        <f t="shared" si="72"/>
        <v>-1.5045871559633123E-3</v>
      </c>
      <c r="CB118" s="10">
        <f t="shared" si="73"/>
        <v>4.782110091743158E-4</v>
      </c>
      <c r="CC118" s="10">
        <f t="shared" si="74"/>
        <v>4.782110091743158E-4</v>
      </c>
      <c r="CD118" s="10">
        <f t="shared" si="75"/>
        <v>1.6513761467889108E-4</v>
      </c>
      <c r="CE118" s="10">
        <f t="shared" si="76"/>
        <v>2.3566513761468641E-3</v>
      </c>
      <c r="CF118" s="10">
        <f t="shared" si="77"/>
        <v>1.41743119266059E-3</v>
      </c>
      <c r="CG118" s="10">
        <f t="shared" si="78"/>
        <v>-1.1915137614678876E-3</v>
      </c>
      <c r="CH118" s="10">
        <f t="shared" si="79"/>
        <v>-2.2350917431192413E-3</v>
      </c>
      <c r="CI118" s="10">
        <f t="shared" si="80"/>
        <v>1.41743119266059E-3</v>
      </c>
      <c r="CJ118" s="10">
        <f t="shared" si="81"/>
        <v>-2.3394495412843211E-3</v>
      </c>
      <c r="CK118" s="10">
        <f t="shared" si="82"/>
        <v>-1.5045871559633123E-3</v>
      </c>
      <c r="CL118" s="10">
        <f t="shared" si="83"/>
        <v>1.6261467889909348E-3</v>
      </c>
      <c r="CM118" s="10">
        <f t="shared" si="84"/>
        <v>-2.2350917431192413E-3</v>
      </c>
      <c r="CN118" s="10">
        <f t="shared" si="85"/>
        <v>-3.566513761466932E-4</v>
      </c>
      <c r="CO118" s="10">
        <f t="shared" si="86"/>
        <v>5.8256880733939564E-4</v>
      </c>
      <c r="CP118" s="10">
        <f t="shared" si="87"/>
        <v>1.41743119266059E-3</v>
      </c>
      <c r="CQ118" s="10">
        <f t="shared" si="88"/>
        <v>1.41743119266059E-3</v>
      </c>
      <c r="CR118" s="10">
        <f t="shared" si="89"/>
        <v>5.8256880733939564E-4</v>
      </c>
      <c r="CS118" s="10">
        <f t="shared" si="90"/>
        <v>-3.566513761466932E-4</v>
      </c>
      <c r="CT118" s="10">
        <f t="shared" si="91"/>
        <v>2.5653669724770237E-3</v>
      </c>
      <c r="CU118" s="10">
        <f t="shared" si="92"/>
        <v>-9.8279816513754253E-4</v>
      </c>
      <c r="CV118" s="10">
        <f t="shared" si="93"/>
        <v>-2.3394495412843211E-3</v>
      </c>
      <c r="CW118" s="10">
        <f t="shared" si="94"/>
        <v>-2.1307339449541619E-3</v>
      </c>
      <c r="CX118" s="10">
        <f t="shared" si="95"/>
        <v>-1.1915137614678876E-3</v>
      </c>
      <c r="CY118" s="10">
        <f t="shared" si="96"/>
        <v>2.0435779816514394E-3</v>
      </c>
      <c r="CZ118" s="10">
        <f t="shared" si="97"/>
        <v>2.4610091743119439E-3</v>
      </c>
      <c r="DA118" s="10">
        <f t="shared" si="98"/>
        <v>3.7385321100923602E-4</v>
      </c>
      <c r="DB118" s="10">
        <f t="shared" si="99"/>
        <v>-1.6089449541283921E-3</v>
      </c>
      <c r="DC118" s="10">
        <f t="shared" si="100"/>
        <v>7.9128440366974049E-4</v>
      </c>
      <c r="DD118" s="10">
        <f t="shared" si="101"/>
        <v>-2.3394495412843211E-3</v>
      </c>
      <c r="DE118" s="10">
        <f t="shared" si="102"/>
        <v>3.8176605504587225E-3</v>
      </c>
      <c r="DF118" s="10">
        <f t="shared" si="103"/>
        <v>2.9827981651377134E-3</v>
      </c>
      <c r="DG118" s="10">
        <f t="shared" si="104"/>
        <v>-2.2350917431192413E-3</v>
      </c>
      <c r="DH118" s="10">
        <f t="shared" si="105"/>
        <v>1.41743119266059E-3</v>
      </c>
      <c r="DI118" s="10">
        <f t="shared" si="106"/>
        <v>-1.0871559633028078E-3</v>
      </c>
      <c r="DJ118" s="10">
        <f t="shared" si="107"/>
        <v>1.3130733944955101E-3</v>
      </c>
      <c r="DK118" s="10">
        <f t="shared" si="108"/>
        <v>-1.0871559633028078E-3</v>
      </c>
      <c r="DL118" s="10">
        <f t="shared" si="109"/>
        <v>-1.4002293577980471E-3</v>
      </c>
      <c r="DM118" s="10">
        <f t="shared" si="110"/>
        <v>-4.1135321100917895E-3</v>
      </c>
      <c r="DN118" s="10">
        <f t="shared" si="111"/>
        <v>2.3566513761468641E-3</v>
      </c>
      <c r="DO118" s="10">
        <f t="shared" si="112"/>
        <v>-2.3394495412843211E-3</v>
      </c>
      <c r="DP118" s="10">
        <f t="shared" si="113"/>
        <v>8.9564220183482033E-4</v>
      </c>
      <c r="DQ118" s="10">
        <f t="shared" si="114"/>
        <v>-9.8279816513754253E-4</v>
      </c>
      <c r="DR118" s="10">
        <f t="shared" si="115"/>
        <v>1.3130733944955101E-3</v>
      </c>
      <c r="DS118" s="10">
        <f t="shared" si="116"/>
        <v>-3.0699541284402504E-3</v>
      </c>
      <c r="DT118" s="10">
        <f t="shared" si="117"/>
        <v>-3.1743119266055158E-3</v>
      </c>
      <c r="DU118" s="10">
        <f t="shared" si="118"/>
        <v>-1.4793577981653364E-4</v>
      </c>
      <c r="DV118" s="10">
        <f t="shared" si="119"/>
        <v>-3.4873853211009405E-3</v>
      </c>
      <c r="DW118" s="10">
        <f t="shared" si="120"/>
        <v>-1.6089449541283921E-3</v>
      </c>
    </row>
    <row r="119" spans="2:127" x14ac:dyDescent="0.45">
      <c r="B119" s="1">
        <v>24</v>
      </c>
      <c r="C119" s="1">
        <v>1650</v>
      </c>
      <c r="D119" s="7">
        <f t="shared" si="121"/>
        <v>9.6703296703296697</v>
      </c>
      <c r="E119" s="1">
        <v>9.6560000000000006</v>
      </c>
      <c r="F119" s="1">
        <v>9.6709999999999994</v>
      </c>
      <c r="G119" s="1">
        <v>9.6660000000000004</v>
      </c>
      <c r="H119" s="1">
        <v>9.6319999999999997</v>
      </c>
      <c r="I119" s="1">
        <v>9.6679999999999993</v>
      </c>
      <c r="J119" s="1">
        <v>9.6720000000000006</v>
      </c>
      <c r="K119" s="1">
        <v>9.7159999999999993</v>
      </c>
      <c r="L119" s="1">
        <v>9.6669999999999998</v>
      </c>
      <c r="M119" s="1">
        <v>9.6869999999999994</v>
      </c>
      <c r="N119" s="1">
        <v>9.67</v>
      </c>
      <c r="O119" s="1">
        <v>9.6630000000000003</v>
      </c>
      <c r="P119" s="1">
        <v>9.6530000000000005</v>
      </c>
      <c r="Q119" s="1">
        <v>9.6750000000000007</v>
      </c>
      <c r="R119" s="1">
        <v>9.6750000000000007</v>
      </c>
      <c r="S119" s="1">
        <v>9.6720000000000006</v>
      </c>
      <c r="T119" s="1">
        <v>9.6910000000000007</v>
      </c>
      <c r="U119" s="1">
        <v>9.6850000000000005</v>
      </c>
      <c r="V119" s="1">
        <v>9.6560000000000006</v>
      </c>
      <c r="W119" s="1">
        <v>9.6479999999999997</v>
      </c>
      <c r="X119" s="1">
        <v>9.68</v>
      </c>
      <c r="Y119" s="1">
        <v>9.6509999999999998</v>
      </c>
      <c r="Z119" s="1">
        <v>9.6560000000000006</v>
      </c>
      <c r="AA119" s="1">
        <v>9.6859999999999999</v>
      </c>
      <c r="AB119" s="1">
        <v>9.6479999999999997</v>
      </c>
      <c r="AC119" s="1">
        <v>9.6660000000000004</v>
      </c>
      <c r="AD119" s="1">
        <v>9.6780000000000008</v>
      </c>
      <c r="AE119" s="1">
        <v>9.6829999999999998</v>
      </c>
      <c r="AF119" s="1">
        <v>9.6859999999999999</v>
      </c>
      <c r="AG119" s="1">
        <v>9.6780000000000008</v>
      </c>
      <c r="AH119" s="1">
        <v>9.6679999999999993</v>
      </c>
      <c r="AI119" s="1">
        <v>9.6940000000000008</v>
      </c>
      <c r="AJ119" s="1">
        <v>9.657</v>
      </c>
      <c r="AK119" s="1">
        <v>9.6479999999999997</v>
      </c>
      <c r="AL119" s="1">
        <v>9.6519999999999992</v>
      </c>
      <c r="AM119" s="1">
        <v>9.6560000000000006</v>
      </c>
      <c r="AN119" s="1">
        <v>9.6910000000000007</v>
      </c>
      <c r="AO119" s="1">
        <v>9.6940000000000008</v>
      </c>
      <c r="AP119" s="1">
        <v>9.6720000000000006</v>
      </c>
      <c r="AQ119" s="1">
        <v>9.6530000000000005</v>
      </c>
      <c r="AR119" s="1">
        <v>9.68</v>
      </c>
      <c r="AS119" s="1">
        <v>9.6479999999999997</v>
      </c>
      <c r="AT119" s="1">
        <v>9.7080000000000002</v>
      </c>
      <c r="AU119" s="1">
        <v>9.6989999999999998</v>
      </c>
      <c r="AV119" s="1">
        <v>9.641</v>
      </c>
      <c r="AW119" s="1">
        <v>9.6859999999999999</v>
      </c>
      <c r="AX119" s="1">
        <v>9.66</v>
      </c>
      <c r="AY119" s="1">
        <v>9.6829999999999998</v>
      </c>
      <c r="AZ119" s="1">
        <v>9.657</v>
      </c>
      <c r="BA119" s="1">
        <v>9.657</v>
      </c>
      <c r="BB119" s="1">
        <v>9.6300000000000008</v>
      </c>
      <c r="BC119" s="1">
        <v>9.6910000000000007</v>
      </c>
      <c r="BD119" s="1">
        <v>9.6489999999999991</v>
      </c>
      <c r="BE119" s="1">
        <v>9.68</v>
      </c>
      <c r="BF119" s="1">
        <v>9.66</v>
      </c>
      <c r="BG119" s="1">
        <v>9.6820000000000004</v>
      </c>
      <c r="BH119" s="1">
        <v>9.6449999999999996</v>
      </c>
      <c r="BI119" s="1">
        <v>9.6370000000000005</v>
      </c>
      <c r="BJ119" s="1">
        <v>9.6679999999999993</v>
      </c>
      <c r="BK119" s="1">
        <v>9.6359999999999992</v>
      </c>
      <c r="BL119" s="1">
        <v>9.6519999999999992</v>
      </c>
      <c r="BN119" s="9">
        <v>24</v>
      </c>
      <c r="BO119" s="9">
        <v>1650</v>
      </c>
      <c r="BP119" s="10">
        <f t="shared" si="61"/>
        <v>-1.4818181818180591E-3</v>
      </c>
      <c r="BQ119" s="10">
        <f t="shared" si="62"/>
        <v>6.9318181818179737E-5</v>
      </c>
      <c r="BR119" s="10">
        <f t="shared" si="63"/>
        <v>-4.4772727272717199E-4</v>
      </c>
      <c r="BS119" s="10">
        <f t="shared" si="64"/>
        <v>-3.963636363636335E-3</v>
      </c>
      <c r="BT119" s="10">
        <f t="shared" si="65"/>
        <v>-2.4090909090910477E-4</v>
      </c>
      <c r="BU119" s="10">
        <f t="shared" si="66"/>
        <v>1.7272727272739702E-4</v>
      </c>
      <c r="BV119" s="10">
        <f t="shared" si="67"/>
        <v>4.7227272727272639E-3</v>
      </c>
      <c r="BW119" s="10">
        <f t="shared" si="68"/>
        <v>-3.4431818181813838E-4</v>
      </c>
      <c r="BX119" s="10">
        <f t="shared" si="69"/>
        <v>1.7238636363636358E-3</v>
      </c>
      <c r="BY119" s="10">
        <f t="shared" si="70"/>
        <v>-3.4090909090853866E-5</v>
      </c>
      <c r="BZ119" s="10">
        <f t="shared" si="71"/>
        <v>-7.5795454545445648E-4</v>
      </c>
      <c r="CA119" s="10">
        <f t="shared" si="72"/>
        <v>-1.7920454545453436E-3</v>
      </c>
      <c r="CB119" s="10">
        <f t="shared" si="73"/>
        <v>4.8295454545468154E-4</v>
      </c>
      <c r="CC119" s="10">
        <f t="shared" si="74"/>
        <v>4.8295454545468154E-4</v>
      </c>
      <c r="CD119" s="10">
        <f t="shared" si="75"/>
        <v>1.7272727272739702E-4</v>
      </c>
      <c r="CE119" s="10">
        <f t="shared" si="76"/>
        <v>2.1375000000001376E-3</v>
      </c>
      <c r="CF119" s="10">
        <f t="shared" si="77"/>
        <v>1.5170454545455686E-3</v>
      </c>
      <c r="CG119" s="10">
        <f t="shared" si="78"/>
        <v>-1.4818181818180591E-3</v>
      </c>
      <c r="CH119" s="10">
        <f t="shared" si="79"/>
        <v>-2.3090909090908792E-3</v>
      </c>
      <c r="CI119" s="10">
        <f t="shared" si="80"/>
        <v>1.0000000000000332E-3</v>
      </c>
      <c r="CJ119" s="10">
        <f t="shared" si="81"/>
        <v>-1.9988636363635947E-3</v>
      </c>
      <c r="CK119" s="10">
        <f t="shared" si="82"/>
        <v>-1.4818181818180591E-3</v>
      </c>
      <c r="CL119" s="10">
        <f t="shared" si="83"/>
        <v>1.6204545454546022E-3</v>
      </c>
      <c r="CM119" s="10">
        <f t="shared" si="84"/>
        <v>-2.3090909090908792E-3</v>
      </c>
      <c r="CN119" s="10">
        <f t="shared" si="85"/>
        <v>-4.4772727272717199E-4</v>
      </c>
      <c r="CO119" s="10">
        <f t="shared" si="86"/>
        <v>7.9318181818196609E-4</v>
      </c>
      <c r="CP119" s="10">
        <f t="shared" si="87"/>
        <v>1.3102272727273177E-3</v>
      </c>
      <c r="CQ119" s="10">
        <f t="shared" si="88"/>
        <v>1.6204545454546022E-3</v>
      </c>
      <c r="CR119" s="10">
        <f t="shared" si="89"/>
        <v>7.9318181818196609E-4</v>
      </c>
      <c r="CS119" s="10">
        <f t="shared" si="90"/>
        <v>-2.4090909090910477E-4</v>
      </c>
      <c r="CT119" s="10">
        <f t="shared" si="91"/>
        <v>2.447727272727422E-3</v>
      </c>
      <c r="CU119" s="10">
        <f t="shared" si="92"/>
        <v>-1.3784090909090255E-3</v>
      </c>
      <c r="CV119" s="10">
        <f t="shared" si="93"/>
        <v>-2.3090909090908792E-3</v>
      </c>
      <c r="CW119" s="10">
        <f t="shared" si="94"/>
        <v>-1.8954545454545608E-3</v>
      </c>
      <c r="CX119" s="10">
        <f t="shared" si="95"/>
        <v>-1.4818181818180591E-3</v>
      </c>
      <c r="CY119" s="10">
        <f t="shared" si="96"/>
        <v>2.1375000000001376E-3</v>
      </c>
      <c r="CZ119" s="10">
        <f t="shared" si="97"/>
        <v>2.447727272727422E-3</v>
      </c>
      <c r="DA119" s="10">
        <f t="shared" si="98"/>
        <v>1.7272727272739702E-4</v>
      </c>
      <c r="DB119" s="10">
        <f t="shared" si="99"/>
        <v>-1.7920454545453436E-3</v>
      </c>
      <c r="DC119" s="10">
        <f t="shared" si="100"/>
        <v>1.0000000000000332E-3</v>
      </c>
      <c r="DD119" s="10">
        <f t="shared" si="101"/>
        <v>-2.3090909090908792E-3</v>
      </c>
      <c r="DE119" s="10">
        <f t="shared" si="102"/>
        <v>3.8954545454546272E-3</v>
      </c>
      <c r="DF119" s="10">
        <f t="shared" si="103"/>
        <v>2.9647727272727738E-3</v>
      </c>
      <c r="DG119" s="10">
        <f t="shared" si="104"/>
        <v>-3.0329545454544815E-3</v>
      </c>
      <c r="DH119" s="10">
        <f t="shared" si="105"/>
        <v>1.6204545454546022E-3</v>
      </c>
      <c r="DI119" s="10">
        <f t="shared" si="106"/>
        <v>-1.068181818181741E-3</v>
      </c>
      <c r="DJ119" s="10">
        <f t="shared" si="107"/>
        <v>1.3102272727273177E-3</v>
      </c>
      <c r="DK119" s="10">
        <f t="shared" si="108"/>
        <v>-1.3784090909090255E-3</v>
      </c>
      <c r="DL119" s="10">
        <f t="shared" si="109"/>
        <v>-1.3784090909090255E-3</v>
      </c>
      <c r="DM119" s="10">
        <f t="shared" si="110"/>
        <v>-4.1704545454544027E-3</v>
      </c>
      <c r="DN119" s="10">
        <f t="shared" si="111"/>
        <v>2.1375000000001376E-3</v>
      </c>
      <c r="DO119" s="10">
        <f t="shared" si="112"/>
        <v>-2.2056818181818453E-3</v>
      </c>
      <c r="DP119" s="10">
        <f t="shared" si="113"/>
        <v>1.0000000000000332E-3</v>
      </c>
      <c r="DQ119" s="10">
        <f t="shared" si="114"/>
        <v>-1.068181818181741E-3</v>
      </c>
      <c r="DR119" s="10">
        <f t="shared" si="115"/>
        <v>1.2068181818182841E-3</v>
      </c>
      <c r="DS119" s="10">
        <f t="shared" si="116"/>
        <v>-2.6193181818181636E-3</v>
      </c>
      <c r="DT119" s="10">
        <f t="shared" si="117"/>
        <v>-3.4465909090907998E-3</v>
      </c>
      <c r="DU119" s="10">
        <f t="shared" si="118"/>
        <v>-2.4090909090910477E-4</v>
      </c>
      <c r="DV119" s="10">
        <f t="shared" si="119"/>
        <v>-3.5500000000000171E-3</v>
      </c>
      <c r="DW119" s="10">
        <f t="shared" si="120"/>
        <v>-1.8954545454545608E-3</v>
      </c>
    </row>
    <row r="120" spans="2:127" x14ac:dyDescent="0.45">
      <c r="B120" s="1">
        <v>24</v>
      </c>
      <c r="C120" s="1">
        <v>1665</v>
      </c>
      <c r="D120" s="7">
        <f t="shared" si="121"/>
        <v>9.7582417582417591</v>
      </c>
      <c r="E120" s="1">
        <v>9.7439999999999998</v>
      </c>
      <c r="F120" s="1">
        <v>9.7590000000000003</v>
      </c>
      <c r="G120" s="1">
        <v>9.7550000000000008</v>
      </c>
      <c r="H120" s="1">
        <v>9.7200000000000006</v>
      </c>
      <c r="I120" s="1">
        <v>9.7560000000000002</v>
      </c>
      <c r="J120" s="1">
        <v>9.76</v>
      </c>
      <c r="K120" s="1">
        <v>9.8040000000000003</v>
      </c>
      <c r="L120" s="1">
        <v>9.7539999999999996</v>
      </c>
      <c r="M120" s="1">
        <v>9.7769999999999992</v>
      </c>
      <c r="N120" s="1">
        <v>9.7590000000000003</v>
      </c>
      <c r="O120" s="1">
        <v>9.7509999999999994</v>
      </c>
      <c r="P120" s="1">
        <v>9.7390000000000008</v>
      </c>
      <c r="Q120" s="1">
        <v>9.7650000000000006</v>
      </c>
      <c r="R120" s="1">
        <v>9.7629999999999999</v>
      </c>
      <c r="S120" s="1">
        <v>9.76</v>
      </c>
      <c r="T120" s="1">
        <v>9.7750000000000004</v>
      </c>
      <c r="U120" s="1">
        <v>9.7729999999999997</v>
      </c>
      <c r="V120" s="1">
        <v>9.7420000000000009</v>
      </c>
      <c r="W120" s="1">
        <v>9.7360000000000007</v>
      </c>
      <c r="X120" s="1">
        <v>9.7669999999999995</v>
      </c>
      <c r="Y120" s="1">
        <v>9.7319999999999993</v>
      </c>
      <c r="Z120" s="1">
        <v>9.7439999999999998</v>
      </c>
      <c r="AA120" s="1">
        <v>9.7739999999999991</v>
      </c>
      <c r="AB120" s="1">
        <v>9.7360000000000007</v>
      </c>
      <c r="AC120" s="1">
        <v>9.7520000000000007</v>
      </c>
      <c r="AD120" s="1">
        <v>9.766</v>
      </c>
      <c r="AE120" s="1">
        <v>9.77</v>
      </c>
      <c r="AF120" s="1">
        <v>9.7739999999999991</v>
      </c>
      <c r="AG120" s="1">
        <v>9.7650000000000006</v>
      </c>
      <c r="AH120" s="1">
        <v>9.7579999999999991</v>
      </c>
      <c r="AI120" s="1">
        <v>9.7840000000000007</v>
      </c>
      <c r="AJ120" s="1">
        <v>9.7439999999999998</v>
      </c>
      <c r="AK120" s="1">
        <v>9.7330000000000005</v>
      </c>
      <c r="AL120" s="1">
        <v>9.74</v>
      </c>
      <c r="AM120" s="1">
        <v>9.7430000000000003</v>
      </c>
      <c r="AN120" s="1">
        <v>9.7789999999999999</v>
      </c>
      <c r="AO120" s="1">
        <v>9.7789999999999999</v>
      </c>
      <c r="AP120" s="1">
        <v>9.76</v>
      </c>
      <c r="AQ120" s="1">
        <v>9.7430000000000003</v>
      </c>
      <c r="AR120" s="1">
        <v>9.7669999999999995</v>
      </c>
      <c r="AS120" s="1">
        <v>9.7349999999999994</v>
      </c>
      <c r="AT120" s="1">
        <v>9.7929999999999993</v>
      </c>
      <c r="AU120" s="1">
        <v>9.7880000000000003</v>
      </c>
      <c r="AV120" s="1">
        <v>9.7319999999999993</v>
      </c>
      <c r="AW120" s="1">
        <v>9.7750000000000004</v>
      </c>
      <c r="AX120" s="1">
        <v>9.7479999999999993</v>
      </c>
      <c r="AY120" s="1">
        <v>9.7729999999999997</v>
      </c>
      <c r="AZ120" s="1">
        <v>9.7460000000000004</v>
      </c>
      <c r="BA120" s="1">
        <v>9.7469999999999999</v>
      </c>
      <c r="BB120" s="1">
        <v>9.7170000000000005</v>
      </c>
      <c r="BC120" s="1">
        <v>9.7789999999999999</v>
      </c>
      <c r="BD120" s="1">
        <v>9.7360000000000007</v>
      </c>
      <c r="BE120" s="1">
        <v>9.7690000000000001</v>
      </c>
      <c r="BF120" s="1">
        <v>9.7469999999999999</v>
      </c>
      <c r="BG120" s="1">
        <v>9.7729999999999997</v>
      </c>
      <c r="BH120" s="1">
        <v>9.7240000000000002</v>
      </c>
      <c r="BI120" s="1">
        <v>9.7240000000000002</v>
      </c>
      <c r="BJ120" s="1">
        <v>9.7560000000000002</v>
      </c>
      <c r="BK120" s="1">
        <v>9.7240000000000002</v>
      </c>
      <c r="BL120" s="1">
        <v>9.74</v>
      </c>
      <c r="BN120" s="9">
        <v>24</v>
      </c>
      <c r="BO120" s="9">
        <v>1665</v>
      </c>
      <c r="BP120" s="10">
        <f t="shared" si="61"/>
        <v>-1.4594594594595706E-3</v>
      </c>
      <c r="BQ120" s="10">
        <f t="shared" si="62"/>
        <v>7.7702702702649632E-5</v>
      </c>
      <c r="BR120" s="10">
        <f t="shared" si="63"/>
        <v>-3.3220720720721509E-4</v>
      </c>
      <c r="BS120" s="10">
        <f t="shared" si="64"/>
        <v>-3.9189189189189413E-3</v>
      </c>
      <c r="BT120" s="10">
        <f t="shared" si="65"/>
        <v>-2.2972972972979444E-4</v>
      </c>
      <c r="BU120" s="10">
        <f t="shared" si="66"/>
        <v>1.801801801800703E-4</v>
      </c>
      <c r="BV120" s="10">
        <f t="shared" si="67"/>
        <v>4.6891891891891286E-3</v>
      </c>
      <c r="BW120" s="10">
        <f t="shared" si="68"/>
        <v>-4.3468468468481781E-4</v>
      </c>
      <c r="BX120" s="10">
        <f t="shared" si="69"/>
        <v>1.9222972972971319E-3</v>
      </c>
      <c r="BY120" s="10">
        <f t="shared" si="70"/>
        <v>7.7702702702649632E-5</v>
      </c>
      <c r="BZ120" s="10">
        <f t="shared" si="71"/>
        <v>-7.4211711711726189E-4</v>
      </c>
      <c r="CA120" s="10">
        <f t="shared" si="72"/>
        <v>-1.9718468468468558E-3</v>
      </c>
      <c r="CB120" s="10">
        <f t="shared" si="73"/>
        <v>6.9256756756753773E-4</v>
      </c>
      <c r="CC120" s="10">
        <f t="shared" si="74"/>
        <v>4.8761261261251438E-4</v>
      </c>
      <c r="CD120" s="10">
        <f t="shared" si="75"/>
        <v>1.801801801800703E-4</v>
      </c>
      <c r="CE120" s="10">
        <f t="shared" si="76"/>
        <v>1.7173423423422905E-3</v>
      </c>
      <c r="CF120" s="10">
        <f t="shared" si="77"/>
        <v>1.5123873873872672E-3</v>
      </c>
      <c r="CG120" s="10">
        <f t="shared" si="78"/>
        <v>-1.664414414414412E-3</v>
      </c>
      <c r="CH120" s="10">
        <f t="shared" si="79"/>
        <v>-2.2792792792793001E-3</v>
      </c>
      <c r="CI120" s="10">
        <f t="shared" si="80"/>
        <v>8.9752252252237909E-4</v>
      </c>
      <c r="CJ120" s="10">
        <f t="shared" si="81"/>
        <v>-2.6891891891893467E-3</v>
      </c>
      <c r="CK120" s="10">
        <f t="shared" si="82"/>
        <v>-1.4594594594595706E-3</v>
      </c>
      <c r="CL120" s="10">
        <f t="shared" si="83"/>
        <v>1.6148648648646878E-3</v>
      </c>
      <c r="CM120" s="10">
        <f t="shared" si="84"/>
        <v>-2.2792792792793001E-3</v>
      </c>
      <c r="CN120" s="10">
        <f t="shared" si="85"/>
        <v>-6.3963963963965917E-4</v>
      </c>
      <c r="CO120" s="10">
        <f t="shared" si="86"/>
        <v>7.9504504504495841E-4</v>
      </c>
      <c r="CP120" s="10">
        <f t="shared" si="87"/>
        <v>1.2049549549548232E-3</v>
      </c>
      <c r="CQ120" s="10">
        <f t="shared" si="88"/>
        <v>1.6148648648646878E-3</v>
      </c>
      <c r="CR120" s="10">
        <f t="shared" si="89"/>
        <v>6.9256756756753773E-4</v>
      </c>
      <c r="CS120" s="10">
        <f t="shared" si="90"/>
        <v>-2.477477477495308E-5</v>
      </c>
      <c r="CT120" s="10">
        <f t="shared" si="91"/>
        <v>2.6396396396396226E-3</v>
      </c>
      <c r="CU120" s="10">
        <f t="shared" si="92"/>
        <v>-1.4594594594595706E-3</v>
      </c>
      <c r="CV120" s="10">
        <f t="shared" si="93"/>
        <v>-2.586711711711744E-3</v>
      </c>
      <c r="CW120" s="10">
        <f t="shared" si="94"/>
        <v>-1.8693693693694353E-3</v>
      </c>
      <c r="CX120" s="10">
        <f t="shared" si="95"/>
        <v>-1.5619369369369914E-3</v>
      </c>
      <c r="CY120" s="10">
        <f t="shared" si="96"/>
        <v>2.1272522522521554E-3</v>
      </c>
      <c r="CZ120" s="10">
        <f t="shared" si="97"/>
        <v>2.1272522522521554E-3</v>
      </c>
      <c r="DA120" s="10">
        <f t="shared" si="98"/>
        <v>1.801801801800703E-4</v>
      </c>
      <c r="DB120" s="10">
        <f t="shared" si="99"/>
        <v>-1.5619369369369914E-3</v>
      </c>
      <c r="DC120" s="10">
        <f t="shared" si="100"/>
        <v>8.9752252252237909E-4</v>
      </c>
      <c r="DD120" s="10">
        <f t="shared" si="101"/>
        <v>-2.3817567567569029E-3</v>
      </c>
      <c r="DE120" s="10">
        <f t="shared" si="102"/>
        <v>3.5619369369367729E-3</v>
      </c>
      <c r="DF120" s="10">
        <f t="shared" si="103"/>
        <v>3.0495495495494874E-3</v>
      </c>
      <c r="DG120" s="10">
        <f t="shared" si="104"/>
        <v>-2.6891891891893467E-3</v>
      </c>
      <c r="DH120" s="10">
        <f t="shared" si="105"/>
        <v>1.7173423423422905E-3</v>
      </c>
      <c r="DI120" s="10">
        <f t="shared" si="106"/>
        <v>-1.049549549549706E-3</v>
      </c>
      <c r="DJ120" s="10">
        <f t="shared" si="107"/>
        <v>1.5123873873872672E-3</v>
      </c>
      <c r="DK120" s="10">
        <f t="shared" si="108"/>
        <v>-1.2545045045045473E-3</v>
      </c>
      <c r="DL120" s="10">
        <f t="shared" si="109"/>
        <v>-1.1520270270271265E-3</v>
      </c>
      <c r="DM120" s="10">
        <f t="shared" si="110"/>
        <v>-4.2263513513513852E-3</v>
      </c>
      <c r="DN120" s="10">
        <f t="shared" si="111"/>
        <v>2.1272522522521554E-3</v>
      </c>
      <c r="DO120" s="10">
        <f t="shared" si="112"/>
        <v>-2.2792792792793001E-3</v>
      </c>
      <c r="DP120" s="10">
        <f t="shared" si="113"/>
        <v>1.1024774774774024E-3</v>
      </c>
      <c r="DQ120" s="10">
        <f t="shared" si="114"/>
        <v>-1.1520270270271265E-3</v>
      </c>
      <c r="DR120" s="10">
        <f t="shared" si="115"/>
        <v>1.5123873873872672E-3</v>
      </c>
      <c r="DS120" s="10">
        <f t="shared" si="116"/>
        <v>-3.5090090090090765E-3</v>
      </c>
      <c r="DT120" s="10">
        <f t="shared" si="117"/>
        <v>-3.5090090090090765E-3</v>
      </c>
      <c r="DU120" s="10">
        <f t="shared" si="118"/>
        <v>-2.2972972972979444E-4</v>
      </c>
      <c r="DV120" s="10">
        <f t="shared" si="119"/>
        <v>-3.5090090090090765E-3</v>
      </c>
      <c r="DW120" s="10">
        <f t="shared" si="120"/>
        <v>-1.8693693693694353E-3</v>
      </c>
    </row>
    <row r="121" spans="2:127" x14ac:dyDescent="0.45">
      <c r="B121" s="1">
        <v>24</v>
      </c>
      <c r="C121" s="1">
        <v>1680</v>
      </c>
      <c r="D121" s="7">
        <f t="shared" si="121"/>
        <v>9.8461538461538467</v>
      </c>
      <c r="E121" s="1">
        <v>9.83</v>
      </c>
      <c r="F121" s="1">
        <v>9.8490000000000002</v>
      </c>
      <c r="G121" s="1">
        <v>9.8450000000000006</v>
      </c>
      <c r="H121" s="1">
        <v>9.8070000000000004</v>
      </c>
      <c r="I121" s="1">
        <v>9.843</v>
      </c>
      <c r="J121" s="1">
        <v>9.8469999999999995</v>
      </c>
      <c r="K121" s="1">
        <v>9.8919999999999995</v>
      </c>
      <c r="L121" s="1">
        <v>9.8450000000000006</v>
      </c>
      <c r="M121" s="1">
        <v>9.8650000000000002</v>
      </c>
      <c r="N121" s="1">
        <v>9.8469999999999995</v>
      </c>
      <c r="O121" s="1">
        <v>9.8390000000000004</v>
      </c>
      <c r="P121" s="1">
        <v>9.827</v>
      </c>
      <c r="Q121" s="1">
        <v>9.8510000000000009</v>
      </c>
      <c r="R121" s="1">
        <v>9.85</v>
      </c>
      <c r="S121" s="1">
        <v>9.8490000000000002</v>
      </c>
      <c r="T121" s="1">
        <v>9.8620000000000001</v>
      </c>
      <c r="U121" s="1">
        <v>9.8620000000000001</v>
      </c>
      <c r="V121" s="1">
        <v>9.827</v>
      </c>
      <c r="W121" s="1">
        <v>9.8230000000000004</v>
      </c>
      <c r="X121" s="1">
        <v>9.85</v>
      </c>
      <c r="Y121" s="1">
        <v>9.82</v>
      </c>
      <c r="Z121" s="1">
        <v>9.8320000000000007</v>
      </c>
      <c r="AA121" s="1">
        <v>9.8620000000000001</v>
      </c>
      <c r="AB121" s="1">
        <v>9.8239999999999998</v>
      </c>
      <c r="AC121" s="1">
        <v>9.8409999999999993</v>
      </c>
      <c r="AD121" s="1">
        <v>9.8539999999999992</v>
      </c>
      <c r="AE121" s="1">
        <v>9.8580000000000005</v>
      </c>
      <c r="AF121" s="1">
        <v>9.8620000000000001</v>
      </c>
      <c r="AG121" s="1">
        <v>9.8529999999999998</v>
      </c>
      <c r="AH121" s="1">
        <v>9.8460000000000001</v>
      </c>
      <c r="AI121" s="1">
        <v>9.8699999999999992</v>
      </c>
      <c r="AJ121" s="1">
        <v>9.8309999999999995</v>
      </c>
      <c r="AK121" s="1">
        <v>9.82</v>
      </c>
      <c r="AL121" s="1">
        <v>9.8279999999999994</v>
      </c>
      <c r="AM121" s="1">
        <v>9.8320000000000007</v>
      </c>
      <c r="AN121" s="1">
        <v>9.8680000000000003</v>
      </c>
      <c r="AO121" s="1">
        <v>9.8640000000000008</v>
      </c>
      <c r="AP121" s="1">
        <v>9.8490000000000002</v>
      </c>
      <c r="AQ121" s="1">
        <v>9.8279999999999994</v>
      </c>
      <c r="AR121" s="1">
        <v>9.8569999999999993</v>
      </c>
      <c r="AS121" s="1">
        <v>9.8219999999999992</v>
      </c>
      <c r="AT121" s="1">
        <v>9.8810000000000002</v>
      </c>
      <c r="AU121" s="1">
        <v>9.8740000000000006</v>
      </c>
      <c r="AV121" s="1">
        <v>9.8190000000000008</v>
      </c>
      <c r="AW121" s="1">
        <v>9.8640000000000008</v>
      </c>
      <c r="AX121" s="1">
        <v>9.8360000000000003</v>
      </c>
      <c r="AY121" s="1">
        <v>9.8610000000000007</v>
      </c>
      <c r="AZ121" s="1">
        <v>9.8320000000000007</v>
      </c>
      <c r="BA121" s="1">
        <v>9.8360000000000003</v>
      </c>
      <c r="BB121" s="1">
        <v>9.8040000000000003</v>
      </c>
      <c r="BC121" s="1">
        <v>9.8689999999999998</v>
      </c>
      <c r="BD121" s="1">
        <v>9.8239999999999998</v>
      </c>
      <c r="BE121" s="1">
        <v>9.8550000000000004</v>
      </c>
      <c r="BF121" s="1">
        <v>9.8350000000000009</v>
      </c>
      <c r="BG121" s="1">
        <v>9.86</v>
      </c>
      <c r="BH121" s="1">
        <v>9.8089999999999993</v>
      </c>
      <c r="BI121" s="1">
        <v>9.8109999999999999</v>
      </c>
      <c r="BJ121" s="1">
        <v>9.8450000000000006</v>
      </c>
      <c r="BK121" s="1">
        <v>9.8160000000000007</v>
      </c>
      <c r="BL121" s="1">
        <v>9.827</v>
      </c>
      <c r="BN121" s="9">
        <v>24</v>
      </c>
      <c r="BO121" s="9">
        <v>1680</v>
      </c>
      <c r="BP121" s="10">
        <f t="shared" si="61"/>
        <v>-1.6406250000000483E-3</v>
      </c>
      <c r="BQ121" s="10">
        <f t="shared" si="62"/>
        <v>2.8906249999996469E-4</v>
      </c>
      <c r="BR121" s="10">
        <f t="shared" si="63"/>
        <v>-1.1718749999999056E-4</v>
      </c>
      <c r="BS121" s="10">
        <f t="shared" si="64"/>
        <v>-3.9765625000000165E-3</v>
      </c>
      <c r="BT121" s="10">
        <f t="shared" si="65"/>
        <v>-3.203125000000584E-4</v>
      </c>
      <c r="BU121" s="10">
        <f t="shared" si="66"/>
        <v>8.593749999989686E-5</v>
      </c>
      <c r="BV121" s="10">
        <f t="shared" si="67"/>
        <v>4.6562499999998896E-3</v>
      </c>
      <c r="BW121" s="10">
        <f t="shared" si="68"/>
        <v>-1.1718749999999056E-4</v>
      </c>
      <c r="BX121" s="10">
        <f t="shared" si="69"/>
        <v>1.9140624999999661E-3</v>
      </c>
      <c r="BY121" s="10">
        <f t="shared" si="70"/>
        <v>8.593749999989686E-5</v>
      </c>
      <c r="BZ121" s="10">
        <f t="shared" si="71"/>
        <v>-7.2656250000001366E-4</v>
      </c>
      <c r="CA121" s="10">
        <f t="shared" si="72"/>
        <v>-1.9453125000000598E-3</v>
      </c>
      <c r="CB121" s="10">
        <f t="shared" si="73"/>
        <v>4.9218750000003253E-4</v>
      </c>
      <c r="CC121" s="10">
        <f t="shared" si="74"/>
        <v>3.9062499999990841E-4</v>
      </c>
      <c r="CD121" s="10">
        <f t="shared" si="75"/>
        <v>2.8906249999996469E-4</v>
      </c>
      <c r="CE121" s="10">
        <f t="shared" si="76"/>
        <v>1.6093749999999546E-3</v>
      </c>
      <c r="CF121" s="10">
        <f t="shared" si="77"/>
        <v>1.6093749999999546E-3</v>
      </c>
      <c r="CG121" s="10">
        <f t="shared" si="78"/>
        <v>-1.9453125000000598E-3</v>
      </c>
      <c r="CH121" s="10">
        <f t="shared" si="79"/>
        <v>-2.3515625000000151E-3</v>
      </c>
      <c r="CI121" s="10">
        <f t="shared" si="80"/>
        <v>3.9062499999990841E-4</v>
      </c>
      <c r="CJ121" s="10">
        <f t="shared" si="81"/>
        <v>-2.6562500000000266E-3</v>
      </c>
      <c r="CK121" s="10">
        <f t="shared" si="82"/>
        <v>-1.4374999999999805E-3</v>
      </c>
      <c r="CL121" s="10">
        <f t="shared" si="83"/>
        <v>1.6093749999999546E-3</v>
      </c>
      <c r="CM121" s="10">
        <f t="shared" si="84"/>
        <v>-2.2500000000000714E-3</v>
      </c>
      <c r="CN121" s="10">
        <f t="shared" si="85"/>
        <v>-5.2343750000012623E-4</v>
      </c>
      <c r="CO121" s="10">
        <f t="shared" si="86"/>
        <v>7.9687499999986366E-4</v>
      </c>
      <c r="CP121" s="10">
        <f t="shared" si="87"/>
        <v>1.2031249999999993E-3</v>
      </c>
      <c r="CQ121" s="10">
        <f t="shared" si="88"/>
        <v>1.6093749999999546E-3</v>
      </c>
      <c r="CR121" s="10">
        <f t="shared" si="89"/>
        <v>6.9531249999991995E-4</v>
      </c>
      <c r="CS121" s="10">
        <f t="shared" si="90"/>
        <v>-1.5625000000046851E-5</v>
      </c>
      <c r="CT121" s="10">
        <f t="shared" si="91"/>
        <v>2.4218749999998651E-3</v>
      </c>
      <c r="CU121" s="10">
        <f t="shared" si="92"/>
        <v>-1.5390625000001046E-3</v>
      </c>
      <c r="CV121" s="10">
        <f t="shared" si="93"/>
        <v>-2.6562500000000266E-3</v>
      </c>
      <c r="CW121" s="10">
        <f t="shared" si="94"/>
        <v>-1.8437500000001161E-3</v>
      </c>
      <c r="CX121" s="10">
        <f t="shared" si="95"/>
        <v>-1.4374999999999805E-3</v>
      </c>
      <c r="CY121" s="10">
        <f t="shared" si="96"/>
        <v>2.2187499999999777E-3</v>
      </c>
      <c r="CZ121" s="10">
        <f t="shared" si="97"/>
        <v>1.8125000000000224E-3</v>
      </c>
      <c r="DA121" s="10">
        <f t="shared" si="98"/>
        <v>2.8906249999996469E-4</v>
      </c>
      <c r="DB121" s="10">
        <f t="shared" si="99"/>
        <v>-1.8437500000001161E-3</v>
      </c>
      <c r="DC121" s="10">
        <f t="shared" si="100"/>
        <v>1.1015624999998752E-3</v>
      </c>
      <c r="DD121" s="10">
        <f t="shared" si="101"/>
        <v>-2.4531250000001392E-3</v>
      </c>
      <c r="DE121" s="10">
        <f t="shared" si="102"/>
        <v>3.5390624999999676E-3</v>
      </c>
      <c r="DF121" s="10">
        <f t="shared" si="103"/>
        <v>2.8281250000000008E-3</v>
      </c>
      <c r="DG121" s="10">
        <f t="shared" si="104"/>
        <v>-2.7578124999999704E-3</v>
      </c>
      <c r="DH121" s="10">
        <f t="shared" si="105"/>
        <v>1.8125000000000224E-3</v>
      </c>
      <c r="DI121" s="10">
        <f t="shared" si="106"/>
        <v>-1.0312500000000252E-3</v>
      </c>
      <c r="DJ121" s="10">
        <f t="shared" si="107"/>
        <v>1.5078125000000109E-3</v>
      </c>
      <c r="DK121" s="10">
        <f t="shared" si="108"/>
        <v>-1.4374999999999805E-3</v>
      </c>
      <c r="DL121" s="10">
        <f t="shared" si="109"/>
        <v>-1.0312500000000252E-3</v>
      </c>
      <c r="DM121" s="10">
        <f t="shared" si="110"/>
        <v>-4.2812500000000281E-3</v>
      </c>
      <c r="DN121" s="10">
        <f t="shared" si="111"/>
        <v>2.3203124999999214E-3</v>
      </c>
      <c r="DO121" s="10">
        <f t="shared" si="112"/>
        <v>-2.2500000000000714E-3</v>
      </c>
      <c r="DP121" s="10">
        <f t="shared" si="113"/>
        <v>8.9843749999998779E-4</v>
      </c>
      <c r="DQ121" s="10">
        <f t="shared" si="114"/>
        <v>-1.1328124999999689E-3</v>
      </c>
      <c r="DR121" s="10">
        <f t="shared" si="115"/>
        <v>1.4062499999998868E-3</v>
      </c>
      <c r="DS121" s="10">
        <f t="shared" si="116"/>
        <v>-3.7734375000001291E-3</v>
      </c>
      <c r="DT121" s="10">
        <f t="shared" si="117"/>
        <v>-3.5703125000000613E-3</v>
      </c>
      <c r="DU121" s="10">
        <f t="shared" si="118"/>
        <v>-1.1718749999999056E-4</v>
      </c>
      <c r="DV121" s="10">
        <f t="shared" si="119"/>
        <v>-3.0624999999999819E-3</v>
      </c>
      <c r="DW121" s="10">
        <f t="shared" si="120"/>
        <v>-1.9453125000000598E-3</v>
      </c>
    </row>
    <row r="122" spans="2:127" x14ac:dyDescent="0.45">
      <c r="B122" s="1">
        <v>24</v>
      </c>
      <c r="C122" s="1">
        <v>1695</v>
      </c>
      <c r="D122" s="7">
        <f t="shared" si="121"/>
        <v>9.9340659340659343</v>
      </c>
      <c r="E122" s="1">
        <v>9.9160000000000004</v>
      </c>
      <c r="F122" s="1">
        <v>9.9380000000000006</v>
      </c>
      <c r="G122" s="1">
        <v>9.9309999999999992</v>
      </c>
      <c r="H122" s="1">
        <v>9.8930000000000007</v>
      </c>
      <c r="I122" s="1">
        <v>9.9309999999999992</v>
      </c>
      <c r="J122" s="1">
        <v>9.9350000000000005</v>
      </c>
      <c r="K122" s="1">
        <v>9.98</v>
      </c>
      <c r="L122" s="1">
        <v>9.9260000000000002</v>
      </c>
      <c r="M122" s="1">
        <v>9.9529999999999994</v>
      </c>
      <c r="N122" s="1">
        <v>9.9350000000000005</v>
      </c>
      <c r="O122" s="1">
        <v>9.9250000000000007</v>
      </c>
      <c r="P122" s="1">
        <v>9.9149999999999991</v>
      </c>
      <c r="Q122" s="1">
        <v>9.9380000000000006</v>
      </c>
      <c r="R122" s="1">
        <v>9.9369999999999994</v>
      </c>
      <c r="S122" s="1">
        <v>9.9369999999999994</v>
      </c>
      <c r="T122" s="1">
        <v>9.9529999999999994</v>
      </c>
      <c r="U122" s="1">
        <v>9.9489999999999998</v>
      </c>
      <c r="V122" s="1">
        <v>9.9149999999999991</v>
      </c>
      <c r="W122" s="1">
        <v>9.9109999999999996</v>
      </c>
      <c r="X122" s="1">
        <v>9.9410000000000007</v>
      </c>
      <c r="Y122" s="1">
        <v>9.91</v>
      </c>
      <c r="Z122" s="1">
        <v>9.9220000000000006</v>
      </c>
      <c r="AA122" s="1">
        <v>9.9480000000000004</v>
      </c>
      <c r="AB122" s="1">
        <v>9.9109999999999996</v>
      </c>
      <c r="AC122" s="1">
        <v>9.9269999999999996</v>
      </c>
      <c r="AD122" s="1">
        <v>9.9440000000000008</v>
      </c>
      <c r="AE122" s="1">
        <v>9.9459999999999997</v>
      </c>
      <c r="AF122" s="1">
        <v>9.952</v>
      </c>
      <c r="AG122" s="1">
        <v>9.9410000000000007</v>
      </c>
      <c r="AH122" s="1">
        <v>9.9339999999999993</v>
      </c>
      <c r="AI122" s="1">
        <v>9.9570000000000007</v>
      </c>
      <c r="AJ122" s="1">
        <v>9.9149999999999991</v>
      </c>
      <c r="AK122" s="1">
        <v>9.9060000000000006</v>
      </c>
      <c r="AL122" s="1">
        <v>9.9149999999999991</v>
      </c>
      <c r="AM122" s="1">
        <v>9.9220000000000006</v>
      </c>
      <c r="AN122" s="1">
        <v>9.9559999999999995</v>
      </c>
      <c r="AO122" s="1">
        <v>9.952</v>
      </c>
      <c r="AP122" s="1">
        <v>9.9350000000000005</v>
      </c>
      <c r="AQ122" s="1">
        <v>9.9149999999999991</v>
      </c>
      <c r="AR122" s="1">
        <v>9.9450000000000003</v>
      </c>
      <c r="AS122" s="1">
        <v>9.9109999999999996</v>
      </c>
      <c r="AT122" s="1">
        <v>9.968</v>
      </c>
      <c r="AU122" s="1">
        <v>9.9610000000000003</v>
      </c>
      <c r="AV122" s="1">
        <v>9.9139999999999997</v>
      </c>
      <c r="AW122" s="1">
        <v>9.952</v>
      </c>
      <c r="AX122" s="1">
        <v>9.9260000000000002</v>
      </c>
      <c r="AY122" s="1">
        <v>9.9489999999999998</v>
      </c>
      <c r="AZ122" s="1">
        <v>9.9209999999999994</v>
      </c>
      <c r="BA122" s="1">
        <v>9.923</v>
      </c>
      <c r="BB122" s="1">
        <v>9.8889999999999993</v>
      </c>
      <c r="BC122" s="1">
        <v>9.9529999999999994</v>
      </c>
      <c r="BD122" s="1">
        <v>9.9120000000000008</v>
      </c>
      <c r="BE122" s="1">
        <v>9.9440000000000008</v>
      </c>
      <c r="BF122" s="1">
        <v>9.923</v>
      </c>
      <c r="BG122" s="1">
        <v>9.9420000000000002</v>
      </c>
      <c r="BH122" s="1">
        <v>9.9039999999999999</v>
      </c>
      <c r="BI122" s="1">
        <v>9.8989999999999991</v>
      </c>
      <c r="BJ122" s="1">
        <v>9.9309999999999992</v>
      </c>
      <c r="BK122" s="1">
        <v>9.907</v>
      </c>
      <c r="BL122" s="1">
        <v>9.9139999999999997</v>
      </c>
      <c r="BN122" s="9">
        <v>24</v>
      </c>
      <c r="BO122" s="9">
        <v>1695</v>
      </c>
      <c r="BP122" s="10">
        <f t="shared" si="61"/>
        <v>-1.8185840707964464E-3</v>
      </c>
      <c r="BQ122" s="10">
        <f t="shared" si="62"/>
        <v>3.9601769911508215E-4</v>
      </c>
      <c r="BR122" s="10">
        <f t="shared" si="63"/>
        <v>-3.0862831858417876E-4</v>
      </c>
      <c r="BS122" s="10">
        <f t="shared" si="64"/>
        <v>-4.1338495575220791E-3</v>
      </c>
      <c r="BT122" s="10">
        <f t="shared" si="65"/>
        <v>-3.0862831858417876E-4</v>
      </c>
      <c r="BU122" s="10">
        <f t="shared" si="66"/>
        <v>9.4026548672592857E-5</v>
      </c>
      <c r="BV122" s="10">
        <f t="shared" si="67"/>
        <v>4.6238938053097534E-3</v>
      </c>
      <c r="BW122" s="10">
        <f t="shared" si="68"/>
        <v>-8.1194690265487513E-4</v>
      </c>
      <c r="BX122" s="10">
        <f t="shared" si="69"/>
        <v>1.9059734513273499E-3</v>
      </c>
      <c r="BY122" s="10">
        <f t="shared" si="70"/>
        <v>9.4026548672592857E-5</v>
      </c>
      <c r="BZ122" s="10">
        <f t="shared" si="71"/>
        <v>-9.1261061946897861E-4</v>
      </c>
      <c r="CA122" s="10">
        <f t="shared" si="72"/>
        <v>-1.9192477876107288E-3</v>
      </c>
      <c r="CB122" s="10">
        <f t="shared" si="73"/>
        <v>3.9601769911508215E-4</v>
      </c>
      <c r="CC122" s="10">
        <f t="shared" si="74"/>
        <v>2.9535398230079988E-4</v>
      </c>
      <c r="CD122" s="10">
        <f t="shared" si="75"/>
        <v>2.9535398230079988E-4</v>
      </c>
      <c r="CE122" s="10">
        <f t="shared" si="76"/>
        <v>1.9059734513273499E-3</v>
      </c>
      <c r="CF122" s="10">
        <f t="shared" si="77"/>
        <v>1.5033185840707571E-3</v>
      </c>
      <c r="CG122" s="10">
        <f t="shared" si="78"/>
        <v>-1.9192477876107288E-3</v>
      </c>
      <c r="CH122" s="10">
        <f t="shared" si="79"/>
        <v>-2.3219026548673216E-3</v>
      </c>
      <c r="CI122" s="10">
        <f t="shared" si="80"/>
        <v>6.980088495575715E-4</v>
      </c>
      <c r="CJ122" s="10">
        <f t="shared" si="81"/>
        <v>-2.4225663716814253E-3</v>
      </c>
      <c r="CK122" s="10">
        <f t="shared" si="82"/>
        <v>-1.214601769911468E-3</v>
      </c>
      <c r="CL122" s="10">
        <f t="shared" si="83"/>
        <v>1.4026548672566536E-3</v>
      </c>
      <c r="CM122" s="10">
        <f t="shared" si="84"/>
        <v>-2.3219026548673216E-3</v>
      </c>
      <c r="CN122" s="10">
        <f t="shared" si="85"/>
        <v>-7.1128318584077154E-4</v>
      </c>
      <c r="CO122" s="10">
        <f t="shared" si="86"/>
        <v>1.0000000000000607E-3</v>
      </c>
      <c r="CP122" s="10">
        <f t="shared" si="87"/>
        <v>1.2013274336282677E-3</v>
      </c>
      <c r="CQ122" s="10">
        <f t="shared" si="88"/>
        <v>1.8053097345132464E-3</v>
      </c>
      <c r="CR122" s="10">
        <f t="shared" si="89"/>
        <v>6.980088495575715E-4</v>
      </c>
      <c r="CS122" s="10">
        <f t="shared" si="90"/>
        <v>-6.6371681416894561E-6</v>
      </c>
      <c r="CT122" s="10">
        <f t="shared" si="91"/>
        <v>2.3086283185841214E-3</v>
      </c>
      <c r="CU122" s="10">
        <f t="shared" si="92"/>
        <v>-1.9192477876107288E-3</v>
      </c>
      <c r="CV122" s="10">
        <f t="shared" si="93"/>
        <v>-2.825221238938018E-3</v>
      </c>
      <c r="CW122" s="10">
        <f t="shared" si="94"/>
        <v>-1.9192477876107288E-3</v>
      </c>
      <c r="CX122" s="10">
        <f t="shared" si="95"/>
        <v>-1.214601769911468E-3</v>
      </c>
      <c r="CY122" s="10">
        <f t="shared" si="96"/>
        <v>2.2079646017698394E-3</v>
      </c>
      <c r="CZ122" s="10">
        <f t="shared" si="97"/>
        <v>1.8053097345132464E-3</v>
      </c>
      <c r="DA122" s="10">
        <f t="shared" si="98"/>
        <v>9.4026548672592857E-5</v>
      </c>
      <c r="DB122" s="10">
        <f t="shared" si="99"/>
        <v>-1.9192477876107288E-3</v>
      </c>
      <c r="DC122" s="10">
        <f t="shared" si="100"/>
        <v>1.1006637168141642E-3</v>
      </c>
      <c r="DD122" s="10">
        <f t="shared" si="101"/>
        <v>-2.3219026548673216E-3</v>
      </c>
      <c r="DE122" s="10">
        <f t="shared" si="102"/>
        <v>3.4159292035397964E-3</v>
      </c>
      <c r="DF122" s="10">
        <f t="shared" si="103"/>
        <v>2.7112831858407144E-3</v>
      </c>
      <c r="DG122" s="10">
        <f t="shared" si="104"/>
        <v>-2.0199115044248323E-3</v>
      </c>
      <c r="DH122" s="10">
        <f t="shared" si="105"/>
        <v>1.8053097345132464E-3</v>
      </c>
      <c r="DI122" s="10">
        <f t="shared" si="106"/>
        <v>-8.1194690265487513E-4</v>
      </c>
      <c r="DJ122" s="10">
        <f t="shared" si="107"/>
        <v>1.5033185840707571E-3</v>
      </c>
      <c r="DK122" s="10">
        <f t="shared" si="108"/>
        <v>-1.3152654867257501E-3</v>
      </c>
      <c r="DL122" s="10">
        <f t="shared" si="109"/>
        <v>-1.1139380530973645E-3</v>
      </c>
      <c r="DM122" s="10">
        <f t="shared" si="110"/>
        <v>-4.5365044247788503E-3</v>
      </c>
      <c r="DN122" s="10">
        <f t="shared" si="111"/>
        <v>1.9059734513273499E-3</v>
      </c>
      <c r="DO122" s="10">
        <f t="shared" si="112"/>
        <v>-2.2212389380530393E-3</v>
      </c>
      <c r="DP122" s="10">
        <f t="shared" si="113"/>
        <v>1.0000000000000607E-3</v>
      </c>
      <c r="DQ122" s="10">
        <f t="shared" si="114"/>
        <v>-1.1139380530973645E-3</v>
      </c>
      <c r="DR122" s="10">
        <f t="shared" si="115"/>
        <v>7.9867256637167498E-4</v>
      </c>
      <c r="DS122" s="10">
        <f t="shared" si="116"/>
        <v>-3.0265486725664036E-3</v>
      </c>
      <c r="DT122" s="10">
        <f t="shared" si="117"/>
        <v>-3.529867256637279E-3</v>
      </c>
      <c r="DU122" s="10">
        <f t="shared" si="118"/>
        <v>-3.0862831858417876E-4</v>
      </c>
      <c r="DV122" s="10">
        <f t="shared" si="119"/>
        <v>-2.7245575221239143E-3</v>
      </c>
      <c r="DW122" s="10">
        <f t="shared" si="120"/>
        <v>-2.0199115044248323E-3</v>
      </c>
    </row>
    <row r="123" spans="2:127" x14ac:dyDescent="0.45">
      <c r="B123" s="1">
        <v>24</v>
      </c>
      <c r="C123" s="1">
        <v>1710</v>
      </c>
      <c r="D123" s="7">
        <f t="shared" si="121"/>
        <v>10.021978021978022</v>
      </c>
      <c r="E123" s="1">
        <v>9.9990000000000006</v>
      </c>
      <c r="F123" s="1">
        <v>10.026</v>
      </c>
      <c r="G123" s="1">
        <v>10.021000000000001</v>
      </c>
      <c r="H123" s="1">
        <v>9.9789999999999992</v>
      </c>
      <c r="I123" s="1">
        <v>10.02</v>
      </c>
      <c r="J123" s="1">
        <v>10.022</v>
      </c>
      <c r="K123" s="1">
        <v>10.067</v>
      </c>
      <c r="L123" s="1">
        <v>10.015000000000001</v>
      </c>
      <c r="M123" s="1">
        <v>10.041</v>
      </c>
      <c r="N123" s="1">
        <v>10.023999999999999</v>
      </c>
      <c r="O123" s="1">
        <v>10.010999999999999</v>
      </c>
      <c r="P123" s="1">
        <v>10.002000000000001</v>
      </c>
      <c r="Q123" s="1">
        <v>10.028</v>
      </c>
      <c r="R123" s="1">
        <v>10.023999999999999</v>
      </c>
      <c r="S123" s="1">
        <v>10.026</v>
      </c>
      <c r="T123" s="1">
        <v>10.039999999999999</v>
      </c>
      <c r="U123" s="1">
        <v>10.036</v>
      </c>
      <c r="V123" s="1">
        <v>10.003</v>
      </c>
      <c r="W123" s="1">
        <v>9.9990000000000006</v>
      </c>
      <c r="X123" s="1">
        <v>10.028</v>
      </c>
      <c r="Y123" s="1">
        <v>9.9979999999999993</v>
      </c>
      <c r="Z123" s="1">
        <v>10.009</v>
      </c>
      <c r="AA123" s="1">
        <v>10.036</v>
      </c>
      <c r="AB123" s="1">
        <v>9.9969999999999999</v>
      </c>
      <c r="AC123" s="1">
        <v>10.013999999999999</v>
      </c>
      <c r="AD123" s="1">
        <v>10.032</v>
      </c>
      <c r="AE123" s="1">
        <v>10.034000000000001</v>
      </c>
      <c r="AF123" s="1">
        <v>10.039</v>
      </c>
      <c r="AG123" s="1">
        <v>10.029</v>
      </c>
      <c r="AH123" s="1">
        <v>10.022</v>
      </c>
      <c r="AI123" s="1">
        <v>10.047000000000001</v>
      </c>
      <c r="AJ123" s="1">
        <v>10.005000000000001</v>
      </c>
      <c r="AK123" s="1">
        <v>9.9909999999999997</v>
      </c>
      <c r="AL123" s="1">
        <v>10.003</v>
      </c>
      <c r="AM123" s="1">
        <v>10.01</v>
      </c>
      <c r="AN123" s="1">
        <v>10.045</v>
      </c>
      <c r="AO123" s="1">
        <v>10.041</v>
      </c>
      <c r="AP123" s="1">
        <v>10.021000000000001</v>
      </c>
      <c r="AQ123" s="1">
        <v>10.000999999999999</v>
      </c>
      <c r="AR123" s="1">
        <v>10.032</v>
      </c>
      <c r="AS123" s="1">
        <v>9.9979999999999993</v>
      </c>
      <c r="AT123" s="1">
        <v>10.055999999999999</v>
      </c>
      <c r="AU123" s="1">
        <v>10.048</v>
      </c>
      <c r="AV123" s="1">
        <v>9.9990000000000006</v>
      </c>
      <c r="AW123" s="1">
        <v>10.039999999999999</v>
      </c>
      <c r="AX123" s="1">
        <v>10.013999999999999</v>
      </c>
      <c r="AY123" s="1">
        <v>10.037000000000001</v>
      </c>
      <c r="AZ123" s="1">
        <v>10.009</v>
      </c>
      <c r="BA123" s="1">
        <v>10.013</v>
      </c>
      <c r="BB123" s="1">
        <v>9.9779999999999998</v>
      </c>
      <c r="BC123" s="1">
        <v>10.041</v>
      </c>
      <c r="BD123" s="1">
        <v>10.002000000000001</v>
      </c>
      <c r="BE123" s="1">
        <v>10.029999999999999</v>
      </c>
      <c r="BF123" s="1">
        <v>10.010999999999999</v>
      </c>
      <c r="BG123" s="1">
        <v>10.029999999999999</v>
      </c>
      <c r="BH123" s="1">
        <v>9.9819999999999993</v>
      </c>
      <c r="BI123" s="1">
        <v>9.9870000000000001</v>
      </c>
      <c r="BJ123" s="1">
        <v>10.02</v>
      </c>
      <c r="BK123" s="1">
        <v>9.9879999999999995</v>
      </c>
      <c r="BL123" s="1">
        <v>10.000999999999999</v>
      </c>
      <c r="BN123" s="9">
        <v>24</v>
      </c>
      <c r="BO123" s="9">
        <v>1710</v>
      </c>
      <c r="BP123" s="10">
        <f t="shared" si="61"/>
        <v>-2.2927631578946736E-3</v>
      </c>
      <c r="BQ123" s="10">
        <f t="shared" si="62"/>
        <v>4.0131578947367216E-4</v>
      </c>
      <c r="BR123" s="10">
        <f t="shared" si="63"/>
        <v>-9.7587719298158416E-5</v>
      </c>
      <c r="BS123" s="10">
        <f t="shared" si="64"/>
        <v>-4.2883771929825279E-3</v>
      </c>
      <c r="BT123" s="10">
        <f t="shared" si="65"/>
        <v>-1.9736842105266632E-4</v>
      </c>
      <c r="BU123" s="10">
        <f t="shared" si="66"/>
        <v>2.1929824561722474E-6</v>
      </c>
      <c r="BV123" s="10">
        <f t="shared" si="67"/>
        <v>4.4923245614035337E-3</v>
      </c>
      <c r="BW123" s="10">
        <f t="shared" si="68"/>
        <v>-6.9627192982449685E-4</v>
      </c>
      <c r="BX123" s="10">
        <f t="shared" si="69"/>
        <v>1.8980263157895184E-3</v>
      </c>
      <c r="BY123" s="10">
        <f t="shared" si="70"/>
        <v>2.0175438596483359E-4</v>
      </c>
      <c r="BZ123" s="10">
        <f t="shared" si="71"/>
        <v>-1.0953947368421741E-3</v>
      </c>
      <c r="CA123" s="10">
        <f t="shared" si="72"/>
        <v>-1.9934210526315046E-3</v>
      </c>
      <c r="CB123" s="10">
        <f t="shared" si="73"/>
        <v>6.0087719298251071E-4</v>
      </c>
      <c r="CC123" s="10">
        <f t="shared" si="74"/>
        <v>2.0175438596483359E-4</v>
      </c>
      <c r="CD123" s="10">
        <f t="shared" si="75"/>
        <v>4.0131578947367216E-4</v>
      </c>
      <c r="CE123" s="10">
        <f t="shared" si="76"/>
        <v>1.7982456140350105E-3</v>
      </c>
      <c r="CF123" s="10">
        <f t="shared" si="77"/>
        <v>1.3991228070175106E-3</v>
      </c>
      <c r="CG123" s="10">
        <f t="shared" si="78"/>
        <v>-1.8936403508771739E-3</v>
      </c>
      <c r="CH123" s="10">
        <f t="shared" si="79"/>
        <v>-2.2927631578946736E-3</v>
      </c>
      <c r="CI123" s="10">
        <f t="shared" si="80"/>
        <v>6.0087719298251071E-4</v>
      </c>
      <c r="CJ123" s="10">
        <f t="shared" si="81"/>
        <v>-2.3925438596491817E-3</v>
      </c>
      <c r="CK123" s="10">
        <f t="shared" si="82"/>
        <v>-1.2949561403508354E-3</v>
      </c>
      <c r="CL123" s="10">
        <f t="shared" si="83"/>
        <v>1.3991228070175106E-3</v>
      </c>
      <c r="CM123" s="10">
        <f t="shared" si="84"/>
        <v>-2.4923245614035124E-3</v>
      </c>
      <c r="CN123" s="10">
        <f t="shared" si="85"/>
        <v>-7.9605263157900481E-4</v>
      </c>
      <c r="CO123" s="10">
        <f t="shared" si="86"/>
        <v>1.0000000000000106E-3</v>
      </c>
      <c r="CP123" s="10">
        <f t="shared" si="87"/>
        <v>1.1995614035088492E-3</v>
      </c>
      <c r="CQ123" s="10">
        <f t="shared" si="88"/>
        <v>1.6984649122806798E-3</v>
      </c>
      <c r="CR123" s="10">
        <f t="shared" si="89"/>
        <v>7.006578947368414E-4</v>
      </c>
      <c r="CS123" s="10">
        <f t="shared" si="90"/>
        <v>2.1929824561722474E-6</v>
      </c>
      <c r="CT123" s="10">
        <f t="shared" si="91"/>
        <v>2.4967105263158569E-3</v>
      </c>
      <c r="CU123" s="10">
        <f t="shared" si="92"/>
        <v>-1.6940789473683354E-3</v>
      </c>
      <c r="CV123" s="10">
        <f t="shared" si="93"/>
        <v>-3.0910087719298509E-3</v>
      </c>
      <c r="CW123" s="10">
        <f t="shared" si="94"/>
        <v>-1.8936403508771739E-3</v>
      </c>
      <c r="CX123" s="10">
        <f t="shared" si="95"/>
        <v>-1.1951754385965047E-3</v>
      </c>
      <c r="CY123" s="10">
        <f t="shared" si="96"/>
        <v>2.2971491228070181E-3</v>
      </c>
      <c r="CZ123" s="10">
        <f t="shared" si="97"/>
        <v>1.8980263157895184E-3</v>
      </c>
      <c r="DA123" s="10">
        <f t="shared" si="98"/>
        <v>-9.7587719298158416E-5</v>
      </c>
      <c r="DB123" s="10">
        <f t="shared" si="99"/>
        <v>-2.0932017543860123E-3</v>
      </c>
      <c r="DC123" s="10">
        <f t="shared" si="100"/>
        <v>1.0000000000000106E-3</v>
      </c>
      <c r="DD123" s="10">
        <f t="shared" si="101"/>
        <v>-2.3925438596491817E-3</v>
      </c>
      <c r="DE123" s="10">
        <f t="shared" si="102"/>
        <v>3.3947368421051874E-3</v>
      </c>
      <c r="DF123" s="10">
        <f t="shared" si="103"/>
        <v>2.5964912280701876E-3</v>
      </c>
      <c r="DG123" s="10">
        <f t="shared" si="104"/>
        <v>-2.2927631578946736E-3</v>
      </c>
      <c r="DH123" s="10">
        <f t="shared" si="105"/>
        <v>1.7982456140350105E-3</v>
      </c>
      <c r="DI123" s="10">
        <f t="shared" si="106"/>
        <v>-7.9605263157900481E-4</v>
      </c>
      <c r="DJ123" s="10">
        <f t="shared" si="107"/>
        <v>1.4989035087720184E-3</v>
      </c>
      <c r="DK123" s="10">
        <f t="shared" si="108"/>
        <v>-1.2949561403508354E-3</v>
      </c>
      <c r="DL123" s="10">
        <f t="shared" si="109"/>
        <v>-8.958333333333355E-4</v>
      </c>
      <c r="DM123" s="10">
        <f t="shared" si="110"/>
        <v>-4.3881578947368586E-3</v>
      </c>
      <c r="DN123" s="10">
        <f t="shared" si="111"/>
        <v>1.8980263157895184E-3</v>
      </c>
      <c r="DO123" s="10">
        <f t="shared" si="112"/>
        <v>-1.9934210526315046E-3</v>
      </c>
      <c r="DP123" s="10">
        <f t="shared" si="113"/>
        <v>8.004385964911721E-4</v>
      </c>
      <c r="DQ123" s="10">
        <f t="shared" si="114"/>
        <v>-1.0953947368421741E-3</v>
      </c>
      <c r="DR123" s="10">
        <f t="shared" si="115"/>
        <v>8.004385964911721E-4</v>
      </c>
      <c r="DS123" s="10">
        <f t="shared" si="116"/>
        <v>-3.9890350877193588E-3</v>
      </c>
      <c r="DT123" s="10">
        <f t="shared" si="117"/>
        <v>-3.4901315789473506E-3</v>
      </c>
      <c r="DU123" s="10">
        <f t="shared" si="118"/>
        <v>-1.9736842105266632E-4</v>
      </c>
      <c r="DV123" s="10">
        <f t="shared" si="119"/>
        <v>-3.3903508771930199E-3</v>
      </c>
      <c r="DW123" s="10">
        <f t="shared" si="120"/>
        <v>-2.0932017543860123E-3</v>
      </c>
    </row>
    <row r="124" spans="2:127" x14ac:dyDescent="0.45">
      <c r="B124" s="1">
        <v>24</v>
      </c>
      <c r="C124" s="1">
        <v>1725</v>
      </c>
      <c r="D124" s="7">
        <f t="shared" si="121"/>
        <v>10.109890109890109</v>
      </c>
      <c r="E124" s="1">
        <v>10.086</v>
      </c>
      <c r="F124" s="1">
        <v>10.116</v>
      </c>
      <c r="G124" s="1">
        <v>10.108000000000001</v>
      </c>
      <c r="H124" s="1">
        <v>10.066000000000001</v>
      </c>
      <c r="I124" s="1">
        <v>10.106</v>
      </c>
      <c r="J124" s="1">
        <v>10.109</v>
      </c>
      <c r="K124" s="1">
        <v>10.154</v>
      </c>
      <c r="L124" s="1">
        <v>10.101000000000001</v>
      </c>
      <c r="M124" s="1">
        <v>10.129</v>
      </c>
      <c r="N124" s="1">
        <v>10.11</v>
      </c>
      <c r="O124" s="1">
        <v>10.098000000000001</v>
      </c>
      <c r="P124" s="1">
        <v>10.09</v>
      </c>
      <c r="Q124" s="1">
        <v>10.116</v>
      </c>
      <c r="R124" s="1">
        <v>10.11</v>
      </c>
      <c r="S124" s="1">
        <v>10.113</v>
      </c>
      <c r="T124" s="1">
        <v>10.128</v>
      </c>
      <c r="U124" s="1">
        <v>10.124000000000001</v>
      </c>
      <c r="V124" s="1">
        <v>10.09</v>
      </c>
      <c r="W124" s="1">
        <v>10.086</v>
      </c>
      <c r="X124" s="1">
        <v>10.112</v>
      </c>
      <c r="Y124" s="1">
        <v>10.085000000000001</v>
      </c>
      <c r="Z124" s="1">
        <v>10.098000000000001</v>
      </c>
      <c r="AA124" s="1">
        <v>10.122999999999999</v>
      </c>
      <c r="AB124" s="1">
        <v>10.083</v>
      </c>
      <c r="AC124" s="1">
        <v>10.101000000000001</v>
      </c>
      <c r="AD124" s="1">
        <v>10.119</v>
      </c>
      <c r="AE124" s="1">
        <v>10.122999999999999</v>
      </c>
      <c r="AF124" s="1">
        <v>10.125</v>
      </c>
      <c r="AG124" s="1">
        <v>10.117000000000001</v>
      </c>
      <c r="AH124" s="1">
        <v>10.11</v>
      </c>
      <c r="AI124" s="1">
        <v>10.135999999999999</v>
      </c>
      <c r="AJ124" s="1">
        <v>10.093</v>
      </c>
      <c r="AK124" s="1">
        <v>10.077999999999999</v>
      </c>
      <c r="AL124" s="1">
        <v>10.090999999999999</v>
      </c>
      <c r="AM124" s="1">
        <v>10.097</v>
      </c>
      <c r="AN124" s="1">
        <v>10.135</v>
      </c>
      <c r="AO124" s="1">
        <v>10.129</v>
      </c>
      <c r="AP124" s="1">
        <v>10.109</v>
      </c>
      <c r="AQ124" s="1">
        <v>10.086</v>
      </c>
      <c r="AR124" s="1">
        <v>10.119999999999999</v>
      </c>
      <c r="AS124" s="1">
        <v>10.087</v>
      </c>
      <c r="AT124" s="1">
        <v>10.14</v>
      </c>
      <c r="AU124" s="1">
        <v>10.135</v>
      </c>
      <c r="AV124" s="1">
        <v>10.077999999999999</v>
      </c>
      <c r="AW124" s="1">
        <v>10.128</v>
      </c>
      <c r="AX124" s="1">
        <v>10.101000000000001</v>
      </c>
      <c r="AY124" s="1">
        <v>10.124000000000001</v>
      </c>
      <c r="AZ124" s="1">
        <v>10.098000000000001</v>
      </c>
      <c r="BA124" s="1">
        <v>10.1</v>
      </c>
      <c r="BB124" s="1">
        <v>10.06</v>
      </c>
      <c r="BC124" s="1">
        <v>10.129</v>
      </c>
      <c r="BD124" s="1">
        <v>10.09</v>
      </c>
      <c r="BE124" s="1">
        <v>10.119</v>
      </c>
      <c r="BF124" s="1">
        <v>10.1</v>
      </c>
      <c r="BG124" s="1">
        <v>10.117000000000001</v>
      </c>
      <c r="BH124" s="1">
        <v>10.07</v>
      </c>
      <c r="BI124" s="1">
        <v>10.074999999999999</v>
      </c>
      <c r="BJ124" s="1">
        <v>10.108000000000001</v>
      </c>
      <c r="BK124" s="1">
        <v>10.074999999999999</v>
      </c>
      <c r="BL124" s="1">
        <v>10.087</v>
      </c>
      <c r="BN124" s="9">
        <v>24</v>
      </c>
      <c r="BO124" s="9">
        <v>1725</v>
      </c>
      <c r="BP124" s="10">
        <f t="shared" si="61"/>
        <v>-2.3630434782608016E-3</v>
      </c>
      <c r="BQ124" s="10">
        <f t="shared" si="62"/>
        <v>6.043478260869614E-4</v>
      </c>
      <c r="BR124" s="10">
        <f t="shared" si="63"/>
        <v>-1.8695652173903842E-4</v>
      </c>
      <c r="BS124" s="10">
        <f t="shared" si="64"/>
        <v>-4.341304347825977E-3</v>
      </c>
      <c r="BT124" s="10">
        <f t="shared" si="65"/>
        <v>-3.847826086956262E-4</v>
      </c>
      <c r="BU124" s="10">
        <f t="shared" si="66"/>
        <v>-8.8043478260832356E-5</v>
      </c>
      <c r="BV124" s="10">
        <f t="shared" si="67"/>
        <v>4.3630434782609001E-3</v>
      </c>
      <c r="BW124" s="10">
        <f t="shared" si="68"/>
        <v>-8.7934782608683224E-4</v>
      </c>
      <c r="BX124" s="10">
        <f t="shared" si="69"/>
        <v>1.8902173913043429E-3</v>
      </c>
      <c r="BY124" s="10">
        <f t="shared" si="70"/>
        <v>1.0869565217373695E-5</v>
      </c>
      <c r="BZ124" s="10">
        <f t="shared" si="71"/>
        <v>-1.176086956521626E-3</v>
      </c>
      <c r="CA124" s="10">
        <f t="shared" si="72"/>
        <v>-1.9673913043478015E-3</v>
      </c>
      <c r="CB124" s="10">
        <f t="shared" si="73"/>
        <v>6.043478260869614E-4</v>
      </c>
      <c r="CC124" s="10">
        <f t="shared" si="74"/>
        <v>1.0869565217373695E-5</v>
      </c>
      <c r="CD124" s="10">
        <f t="shared" si="75"/>
        <v>3.0760869565216756E-4</v>
      </c>
      <c r="CE124" s="10">
        <f t="shared" si="76"/>
        <v>1.7913043478261369E-3</v>
      </c>
      <c r="CF124" s="10">
        <f t="shared" si="77"/>
        <v>1.395652173913137E-3</v>
      </c>
      <c r="CG124" s="10">
        <f t="shared" si="78"/>
        <v>-1.9673913043478015E-3</v>
      </c>
      <c r="CH124" s="10">
        <f t="shared" si="79"/>
        <v>-2.3630434782608016E-3</v>
      </c>
      <c r="CI124" s="10">
        <f t="shared" si="80"/>
        <v>2.0869565217396152E-4</v>
      </c>
      <c r="CJ124" s="10">
        <f t="shared" si="81"/>
        <v>-2.4619565217390074E-3</v>
      </c>
      <c r="CK124" s="10">
        <f t="shared" si="82"/>
        <v>-1.176086956521626E-3</v>
      </c>
      <c r="CL124" s="10">
        <f t="shared" si="83"/>
        <v>1.2967391304347551E-3</v>
      </c>
      <c r="CM124" s="10">
        <f t="shared" si="84"/>
        <v>-2.6597826086955955E-3</v>
      </c>
      <c r="CN124" s="10">
        <f t="shared" si="85"/>
        <v>-8.7934782608683224E-4</v>
      </c>
      <c r="CO124" s="10">
        <f t="shared" si="86"/>
        <v>9.010869565217553E-4</v>
      </c>
      <c r="CP124" s="10">
        <f t="shared" si="87"/>
        <v>1.2967391304347551E-3</v>
      </c>
      <c r="CQ124" s="10">
        <f t="shared" si="88"/>
        <v>1.494565217391343E-3</v>
      </c>
      <c r="CR124" s="10">
        <f t="shared" si="89"/>
        <v>7.0326086956534316E-4</v>
      </c>
      <c r="CS124" s="10">
        <f t="shared" si="90"/>
        <v>1.0869565217373695E-5</v>
      </c>
      <c r="CT124" s="10">
        <f t="shared" si="91"/>
        <v>2.5826086956521367E-3</v>
      </c>
      <c r="CU124" s="10">
        <f t="shared" si="92"/>
        <v>-1.6706521739130078E-3</v>
      </c>
      <c r="CV124" s="10">
        <f t="shared" si="93"/>
        <v>-3.1543478260869771E-3</v>
      </c>
      <c r="CW124" s="10">
        <f t="shared" si="94"/>
        <v>-1.8684782608695955E-3</v>
      </c>
      <c r="CX124" s="10">
        <f t="shared" si="95"/>
        <v>-1.2750000000000079E-3</v>
      </c>
      <c r="CY124" s="10">
        <f t="shared" si="96"/>
        <v>2.4836956521739305E-3</v>
      </c>
      <c r="CZ124" s="10">
        <f t="shared" si="97"/>
        <v>1.8902173913043429E-3</v>
      </c>
      <c r="DA124" s="10">
        <f t="shared" si="98"/>
        <v>-8.8043478260832356E-5</v>
      </c>
      <c r="DB124" s="10">
        <f t="shared" si="99"/>
        <v>-2.3630434782608016E-3</v>
      </c>
      <c r="DC124" s="10">
        <f t="shared" si="100"/>
        <v>9.9999999999996142E-4</v>
      </c>
      <c r="DD124" s="10">
        <f t="shared" si="101"/>
        <v>-2.2641304347825954E-3</v>
      </c>
      <c r="DE124" s="10">
        <f t="shared" si="102"/>
        <v>2.9782608695653125E-3</v>
      </c>
      <c r="DF124" s="10">
        <f t="shared" si="103"/>
        <v>2.4836956521739305E-3</v>
      </c>
      <c r="DG124" s="10">
        <f t="shared" si="104"/>
        <v>-3.1543478260869771E-3</v>
      </c>
      <c r="DH124" s="10">
        <f t="shared" si="105"/>
        <v>1.7913043478261369E-3</v>
      </c>
      <c r="DI124" s="10">
        <f t="shared" si="106"/>
        <v>-8.7934782608683224E-4</v>
      </c>
      <c r="DJ124" s="10">
        <f t="shared" si="107"/>
        <v>1.395652173913137E-3</v>
      </c>
      <c r="DK124" s="10">
        <f t="shared" si="108"/>
        <v>-1.176086956521626E-3</v>
      </c>
      <c r="DL124" s="10">
        <f t="shared" si="109"/>
        <v>-9.78260869565214E-4</v>
      </c>
      <c r="DM124" s="10">
        <f t="shared" si="110"/>
        <v>-4.9347826086955648E-3</v>
      </c>
      <c r="DN124" s="10">
        <f t="shared" si="111"/>
        <v>1.8902173913043429E-3</v>
      </c>
      <c r="DO124" s="10">
        <f t="shared" si="112"/>
        <v>-1.9673913043478015E-3</v>
      </c>
      <c r="DP124" s="10">
        <f t="shared" si="113"/>
        <v>9.010869565217553E-4</v>
      </c>
      <c r="DQ124" s="10">
        <f t="shared" si="114"/>
        <v>-9.78260869565214E-4</v>
      </c>
      <c r="DR124" s="10">
        <f t="shared" si="115"/>
        <v>7.0326086956534316E-4</v>
      </c>
      <c r="DS124" s="10">
        <f t="shared" si="116"/>
        <v>-3.9456521739129769E-3</v>
      </c>
      <c r="DT124" s="10">
        <f t="shared" si="117"/>
        <v>-3.451086956521771E-3</v>
      </c>
      <c r="DU124" s="10">
        <f t="shared" si="118"/>
        <v>-1.8695652173903842E-4</v>
      </c>
      <c r="DV124" s="10">
        <f t="shared" si="119"/>
        <v>-3.451086956521771E-3</v>
      </c>
      <c r="DW124" s="10">
        <f t="shared" si="120"/>
        <v>-2.2641304347825954E-3</v>
      </c>
    </row>
    <row r="125" spans="2:127" x14ac:dyDescent="0.45">
      <c r="B125" s="1">
        <v>24</v>
      </c>
      <c r="C125" s="1">
        <v>1740</v>
      </c>
      <c r="D125" s="7">
        <f t="shared" si="121"/>
        <v>10.197802197802197</v>
      </c>
      <c r="E125" s="1">
        <v>10.177</v>
      </c>
      <c r="F125" s="1">
        <v>10.202999999999999</v>
      </c>
      <c r="G125" s="1">
        <v>10.196999999999999</v>
      </c>
      <c r="H125" s="1">
        <v>10.154</v>
      </c>
      <c r="I125" s="1">
        <v>10.193</v>
      </c>
      <c r="J125" s="1">
        <v>10.195</v>
      </c>
      <c r="K125" s="1">
        <v>10.239000000000001</v>
      </c>
      <c r="L125" s="1">
        <v>10.189</v>
      </c>
      <c r="M125" s="1">
        <v>10.218999999999999</v>
      </c>
      <c r="N125" s="1">
        <v>10.199999999999999</v>
      </c>
      <c r="O125" s="1">
        <v>10.185</v>
      </c>
      <c r="P125" s="1">
        <v>10.177</v>
      </c>
      <c r="Q125" s="1">
        <v>10.204000000000001</v>
      </c>
      <c r="R125" s="1">
        <v>10.196999999999999</v>
      </c>
      <c r="S125" s="1">
        <v>10.202999999999999</v>
      </c>
      <c r="T125" s="1">
        <v>10.215999999999999</v>
      </c>
      <c r="U125" s="1">
        <v>10.211</v>
      </c>
      <c r="V125" s="1">
        <v>10.178000000000001</v>
      </c>
      <c r="W125" s="1">
        <v>10.173999999999999</v>
      </c>
      <c r="X125" s="1">
        <v>10.204000000000001</v>
      </c>
      <c r="Y125" s="1">
        <v>10.173999999999999</v>
      </c>
      <c r="Z125" s="1">
        <v>10.185</v>
      </c>
      <c r="AA125" s="1">
        <v>10.209</v>
      </c>
      <c r="AB125" s="1">
        <v>10.17</v>
      </c>
      <c r="AC125" s="1">
        <v>10.185</v>
      </c>
      <c r="AD125" s="1">
        <v>10.205</v>
      </c>
      <c r="AE125" s="1">
        <v>10.209</v>
      </c>
      <c r="AF125" s="1">
        <v>10.209</v>
      </c>
      <c r="AG125" s="1">
        <v>10.205</v>
      </c>
      <c r="AH125" s="1">
        <v>10.199</v>
      </c>
      <c r="AI125" s="1">
        <v>10.223000000000001</v>
      </c>
      <c r="AJ125" s="1">
        <v>10.18</v>
      </c>
      <c r="AK125" s="1">
        <v>10.164999999999999</v>
      </c>
      <c r="AL125" s="1">
        <v>10.177</v>
      </c>
      <c r="AM125" s="1">
        <v>10.183999999999999</v>
      </c>
      <c r="AN125" s="1">
        <v>10.223000000000001</v>
      </c>
      <c r="AO125" s="1">
        <v>10.215999999999999</v>
      </c>
      <c r="AP125" s="1">
        <v>10.195</v>
      </c>
      <c r="AQ125" s="1">
        <v>10.173</v>
      </c>
      <c r="AR125" s="1">
        <v>10.208</v>
      </c>
      <c r="AS125" s="1">
        <v>10.176</v>
      </c>
      <c r="AT125" s="1">
        <v>10.227</v>
      </c>
      <c r="AU125" s="1">
        <v>10.224</v>
      </c>
      <c r="AV125" s="1">
        <v>10.176</v>
      </c>
      <c r="AW125" s="1">
        <v>10.215999999999999</v>
      </c>
      <c r="AX125" s="1">
        <v>10.188000000000001</v>
      </c>
      <c r="AY125" s="1">
        <v>10.211</v>
      </c>
      <c r="AZ125" s="1">
        <v>10.186</v>
      </c>
      <c r="BA125" s="1">
        <v>10.188000000000001</v>
      </c>
      <c r="BB125" s="1">
        <v>10.15</v>
      </c>
      <c r="BC125" s="1">
        <v>10.218999999999999</v>
      </c>
      <c r="BD125" s="1">
        <v>10.177</v>
      </c>
      <c r="BE125" s="1">
        <v>10.205</v>
      </c>
      <c r="BF125" s="1">
        <v>10.183999999999999</v>
      </c>
      <c r="BG125" s="1">
        <v>10.208</v>
      </c>
      <c r="BH125" s="1">
        <v>10.154999999999999</v>
      </c>
      <c r="BI125" s="1">
        <v>10.163</v>
      </c>
      <c r="BJ125" s="1">
        <v>10.196</v>
      </c>
      <c r="BK125" s="1">
        <v>10.163</v>
      </c>
      <c r="BL125" s="1">
        <v>10.170999999999999</v>
      </c>
      <c r="BN125" s="9">
        <v>24</v>
      </c>
      <c r="BO125" s="9">
        <v>1740</v>
      </c>
      <c r="BP125" s="10">
        <f t="shared" si="61"/>
        <v>-2.0398706896551425E-3</v>
      </c>
      <c r="BQ125" s="10">
        <f t="shared" si="62"/>
        <v>5.0969827586207943E-4</v>
      </c>
      <c r="BR125" s="10">
        <f t="shared" si="63"/>
        <v>-7.86637931034602E-5</v>
      </c>
      <c r="BS125" s="10">
        <f t="shared" si="64"/>
        <v>-4.2952586206895949E-3</v>
      </c>
      <c r="BT125" s="10">
        <f t="shared" si="65"/>
        <v>-4.7090517241376185E-4</v>
      </c>
      <c r="BU125" s="10">
        <f t="shared" si="66"/>
        <v>-2.7478448275852394E-4</v>
      </c>
      <c r="BV125" s="10">
        <f t="shared" si="67"/>
        <v>4.0398706896553165E-3</v>
      </c>
      <c r="BW125" s="10">
        <f t="shared" si="68"/>
        <v>-8.6314655172406354E-4</v>
      </c>
      <c r="BX125" s="10">
        <f t="shared" si="69"/>
        <v>2.0786637931034602E-3</v>
      </c>
      <c r="BY125" s="10">
        <f t="shared" si="70"/>
        <v>2.1551724137930958E-4</v>
      </c>
      <c r="BZ125" s="10">
        <f t="shared" si="71"/>
        <v>-1.2553879310343652E-3</v>
      </c>
      <c r="CA125" s="10">
        <f t="shared" si="72"/>
        <v>-2.0398706896551425E-3</v>
      </c>
      <c r="CB125" s="10">
        <f t="shared" si="73"/>
        <v>6.0775862068978539E-4</v>
      </c>
      <c r="CC125" s="10">
        <f t="shared" si="74"/>
        <v>-7.86637931034602E-5</v>
      </c>
      <c r="CD125" s="10">
        <f t="shared" si="75"/>
        <v>5.0969827586207943E-4</v>
      </c>
      <c r="CE125" s="10">
        <f t="shared" si="76"/>
        <v>1.7844827586206904E-3</v>
      </c>
      <c r="CF125" s="10">
        <f t="shared" si="77"/>
        <v>1.2941810344828568E-3</v>
      </c>
      <c r="CG125" s="10">
        <f t="shared" si="78"/>
        <v>-1.9418103448274365E-3</v>
      </c>
      <c r="CH125" s="10">
        <f t="shared" si="79"/>
        <v>-2.3340517241379126E-3</v>
      </c>
      <c r="CI125" s="10">
        <f t="shared" si="80"/>
        <v>6.0775862068978539E-4</v>
      </c>
      <c r="CJ125" s="10">
        <f t="shared" si="81"/>
        <v>-2.3340517241379126E-3</v>
      </c>
      <c r="CK125" s="10">
        <f t="shared" si="82"/>
        <v>-1.2553879310343652E-3</v>
      </c>
      <c r="CL125" s="10">
        <f t="shared" si="83"/>
        <v>1.098060344827619E-3</v>
      </c>
      <c r="CM125" s="10">
        <f t="shared" si="84"/>
        <v>-2.7262931034482143E-3</v>
      </c>
      <c r="CN125" s="10">
        <f t="shared" si="85"/>
        <v>-1.2553879310343652E-3</v>
      </c>
      <c r="CO125" s="10">
        <f t="shared" si="86"/>
        <v>7.0581896551731734E-4</v>
      </c>
      <c r="CP125" s="10">
        <f t="shared" si="87"/>
        <v>1.098060344827619E-3</v>
      </c>
      <c r="CQ125" s="10">
        <f t="shared" si="88"/>
        <v>1.098060344827619E-3</v>
      </c>
      <c r="CR125" s="10">
        <f t="shared" si="89"/>
        <v>7.0581896551731734E-4</v>
      </c>
      <c r="CS125" s="10">
        <f t="shared" si="90"/>
        <v>1.1745689655177773E-4</v>
      </c>
      <c r="CT125" s="10">
        <f t="shared" si="91"/>
        <v>2.4709051724139362E-3</v>
      </c>
      <c r="CU125" s="10">
        <f t="shared" si="92"/>
        <v>-1.7456896551723729E-3</v>
      </c>
      <c r="CV125" s="10">
        <f t="shared" si="93"/>
        <v>-3.2165948275862219E-3</v>
      </c>
      <c r="CW125" s="10">
        <f t="shared" si="94"/>
        <v>-2.0398706896551425E-3</v>
      </c>
      <c r="CX125" s="10">
        <f t="shared" si="95"/>
        <v>-1.3534482758620712E-3</v>
      </c>
      <c r="CY125" s="10">
        <f t="shared" si="96"/>
        <v>2.4709051724139362E-3</v>
      </c>
      <c r="CZ125" s="10">
        <f t="shared" si="97"/>
        <v>1.7844827586206904E-3</v>
      </c>
      <c r="DA125" s="10">
        <f t="shared" si="98"/>
        <v>-2.7478448275852394E-4</v>
      </c>
      <c r="DB125" s="10">
        <f t="shared" si="99"/>
        <v>-2.4321120689654442E-3</v>
      </c>
      <c r="DC125" s="10">
        <f t="shared" si="100"/>
        <v>1.0000000000000872E-3</v>
      </c>
      <c r="DD125" s="10">
        <f t="shared" si="101"/>
        <v>-2.1379310344826746E-3</v>
      </c>
      <c r="DE125" s="10">
        <f t="shared" si="102"/>
        <v>2.8631465517242375E-3</v>
      </c>
      <c r="DF125" s="10">
        <f t="shared" si="103"/>
        <v>2.5689655172414678E-3</v>
      </c>
      <c r="DG125" s="10">
        <f t="shared" si="104"/>
        <v>-2.1379310344826746E-3</v>
      </c>
      <c r="DH125" s="10">
        <f t="shared" si="105"/>
        <v>1.7844827586206904E-3</v>
      </c>
      <c r="DI125" s="10">
        <f t="shared" si="106"/>
        <v>-9.6120689655159537E-4</v>
      </c>
      <c r="DJ125" s="10">
        <f t="shared" si="107"/>
        <v>1.2941810344828568E-3</v>
      </c>
      <c r="DK125" s="10">
        <f t="shared" si="108"/>
        <v>-1.1573275862068334E-3</v>
      </c>
      <c r="DL125" s="10">
        <f t="shared" si="109"/>
        <v>-9.6120689655159537E-4</v>
      </c>
      <c r="DM125" s="10">
        <f t="shared" si="110"/>
        <v>-4.6874999999998966E-3</v>
      </c>
      <c r="DN125" s="10">
        <f t="shared" si="111"/>
        <v>2.0786637931034602E-3</v>
      </c>
      <c r="DO125" s="10">
        <f t="shared" si="112"/>
        <v>-2.0398706896551425E-3</v>
      </c>
      <c r="DP125" s="10">
        <f t="shared" si="113"/>
        <v>7.0581896551731734E-4</v>
      </c>
      <c r="DQ125" s="10">
        <f t="shared" si="114"/>
        <v>-1.3534482758620712E-3</v>
      </c>
      <c r="DR125" s="10">
        <f t="shared" si="115"/>
        <v>1.0000000000000872E-3</v>
      </c>
      <c r="DS125" s="10">
        <f t="shared" si="116"/>
        <v>-4.1971982758620633E-3</v>
      </c>
      <c r="DT125" s="10">
        <f t="shared" si="117"/>
        <v>-3.4127155172412856E-3</v>
      </c>
      <c r="DU125" s="10">
        <f t="shared" si="118"/>
        <v>-1.7672413793099205E-4</v>
      </c>
      <c r="DV125" s="10">
        <f t="shared" si="119"/>
        <v>-3.4127155172412856E-3</v>
      </c>
      <c r="DW125" s="10">
        <f t="shared" si="120"/>
        <v>-2.6282327586206822E-3</v>
      </c>
    </row>
    <row r="126" spans="2:127" x14ac:dyDescent="0.45">
      <c r="B126" s="1">
        <v>24</v>
      </c>
      <c r="C126" s="1">
        <v>1755</v>
      </c>
      <c r="D126" s="7">
        <f t="shared" si="121"/>
        <v>10.285714285714286</v>
      </c>
      <c r="E126" s="1">
        <v>10.265000000000001</v>
      </c>
      <c r="F126" s="1">
        <v>10.291</v>
      </c>
      <c r="G126" s="1">
        <v>10.284000000000001</v>
      </c>
      <c r="H126" s="1">
        <v>10.241</v>
      </c>
      <c r="I126" s="1">
        <v>10.279</v>
      </c>
      <c r="J126" s="1">
        <v>10.281000000000001</v>
      </c>
      <c r="K126" s="1">
        <v>10.327</v>
      </c>
      <c r="L126" s="1">
        <v>10.276999999999999</v>
      </c>
      <c r="M126" s="1">
        <v>10.305999999999999</v>
      </c>
      <c r="N126" s="1">
        <v>10.288</v>
      </c>
      <c r="O126" s="1">
        <v>10.269</v>
      </c>
      <c r="P126" s="1">
        <v>10.265000000000001</v>
      </c>
      <c r="Q126" s="1">
        <v>10.292</v>
      </c>
      <c r="R126" s="1">
        <v>10.284000000000001</v>
      </c>
      <c r="S126" s="1">
        <v>10.289</v>
      </c>
      <c r="T126" s="1">
        <v>10.303000000000001</v>
      </c>
      <c r="U126" s="1">
        <v>10.298999999999999</v>
      </c>
      <c r="V126" s="1">
        <v>10.265000000000001</v>
      </c>
      <c r="W126" s="1">
        <v>10.260999999999999</v>
      </c>
      <c r="X126" s="1">
        <v>10.288</v>
      </c>
      <c r="Y126" s="1">
        <v>10.260999999999999</v>
      </c>
      <c r="Z126" s="1">
        <v>10.273</v>
      </c>
      <c r="AA126" s="1">
        <v>10.298</v>
      </c>
      <c r="AB126" s="1">
        <v>10.257999999999999</v>
      </c>
      <c r="AC126" s="1">
        <v>10.272</v>
      </c>
      <c r="AD126" s="1">
        <v>10.294</v>
      </c>
      <c r="AE126" s="1">
        <v>10.295999999999999</v>
      </c>
      <c r="AF126" s="1">
        <v>10.295</v>
      </c>
      <c r="AG126" s="1">
        <v>10.291</v>
      </c>
      <c r="AH126" s="1">
        <v>10.285</v>
      </c>
      <c r="AI126" s="1">
        <v>10.311</v>
      </c>
      <c r="AJ126" s="1">
        <v>10.268000000000001</v>
      </c>
      <c r="AK126" s="1">
        <v>10.253</v>
      </c>
      <c r="AL126" s="1">
        <v>10.263999999999999</v>
      </c>
      <c r="AM126" s="1">
        <v>10.273</v>
      </c>
      <c r="AN126" s="1">
        <v>10.311</v>
      </c>
      <c r="AO126" s="1">
        <v>10.304</v>
      </c>
      <c r="AP126" s="1">
        <v>10.28</v>
      </c>
      <c r="AQ126" s="1">
        <v>10.260999999999999</v>
      </c>
      <c r="AR126" s="1">
        <v>10.295</v>
      </c>
      <c r="AS126" s="1">
        <v>10.262</v>
      </c>
      <c r="AT126" s="1">
        <v>10.318</v>
      </c>
      <c r="AU126" s="1">
        <v>10.313000000000001</v>
      </c>
      <c r="AV126" s="1">
        <v>10.252000000000001</v>
      </c>
      <c r="AW126" s="1">
        <v>10.304</v>
      </c>
      <c r="AX126" s="1">
        <v>10.275</v>
      </c>
      <c r="AY126" s="1">
        <v>10.302</v>
      </c>
      <c r="AZ126" s="1">
        <v>10.275</v>
      </c>
      <c r="BA126" s="1">
        <v>10.276</v>
      </c>
      <c r="BB126" s="1">
        <v>10.234999999999999</v>
      </c>
      <c r="BC126" s="1">
        <v>10.307</v>
      </c>
      <c r="BD126" s="1">
        <v>10.263999999999999</v>
      </c>
      <c r="BE126" s="1">
        <v>10.295</v>
      </c>
      <c r="BF126" s="1">
        <v>10.27</v>
      </c>
      <c r="BG126" s="1">
        <v>10.295999999999999</v>
      </c>
      <c r="BH126" s="1">
        <v>10.249000000000001</v>
      </c>
      <c r="BI126" s="1">
        <v>10.252000000000001</v>
      </c>
      <c r="BJ126" s="1">
        <v>10.284000000000001</v>
      </c>
      <c r="BK126" s="1">
        <v>10.257</v>
      </c>
      <c r="BL126" s="1">
        <v>10.260999999999999</v>
      </c>
      <c r="BN126" s="9">
        <v>24</v>
      </c>
      <c r="BO126" s="9">
        <v>1755</v>
      </c>
      <c r="BP126" s="10">
        <f t="shared" si="61"/>
        <v>-2.0138888888889075E-3</v>
      </c>
      <c r="BQ126" s="10">
        <f t="shared" si="62"/>
        <v>5.1388888888885076E-4</v>
      </c>
      <c r="BR126" s="10">
        <f t="shared" si="63"/>
        <v>-1.6666666666667298E-4</v>
      </c>
      <c r="BS126" s="10">
        <f t="shared" si="64"/>
        <v>-4.3472222222223295E-3</v>
      </c>
      <c r="BT126" s="10">
        <f t="shared" si="65"/>
        <v>-6.5277777777786002E-4</v>
      </c>
      <c r="BU126" s="10">
        <f t="shared" si="66"/>
        <v>-4.5833333333335067E-4</v>
      </c>
      <c r="BV126" s="10">
        <f t="shared" si="67"/>
        <v>4.0138888888888108E-3</v>
      </c>
      <c r="BW126" s="10">
        <f t="shared" si="68"/>
        <v>-8.4722222222236943E-4</v>
      </c>
      <c r="BX126" s="10">
        <f t="shared" si="69"/>
        <v>1.9722222222220667E-3</v>
      </c>
      <c r="BY126" s="10">
        <f t="shared" si="70"/>
        <v>2.2222222222217306E-4</v>
      </c>
      <c r="BZ126" s="10">
        <f t="shared" si="71"/>
        <v>-1.6250000000000615E-3</v>
      </c>
      <c r="CA126" s="10">
        <f t="shared" si="72"/>
        <v>-2.0138888888889075E-3</v>
      </c>
      <c r="CB126" s="10">
        <f t="shared" si="73"/>
        <v>6.1111111111101905E-4</v>
      </c>
      <c r="CC126" s="10">
        <f t="shared" si="74"/>
        <v>-1.6666666666667298E-4</v>
      </c>
      <c r="CD126" s="10">
        <f t="shared" si="75"/>
        <v>3.1944444444434141E-4</v>
      </c>
      <c r="CE126" s="10">
        <f t="shared" si="76"/>
        <v>1.6805555555555617E-3</v>
      </c>
      <c r="CF126" s="10">
        <f t="shared" si="77"/>
        <v>1.2916666666665428E-3</v>
      </c>
      <c r="CG126" s="10">
        <f t="shared" si="78"/>
        <v>-2.0138888888889075E-3</v>
      </c>
      <c r="CH126" s="10">
        <f t="shared" si="79"/>
        <v>-2.4027777777779263E-3</v>
      </c>
      <c r="CI126" s="10">
        <f t="shared" si="80"/>
        <v>2.2222222222217306E-4</v>
      </c>
      <c r="CJ126" s="10">
        <f t="shared" si="81"/>
        <v>-2.4027777777779263E-3</v>
      </c>
      <c r="CK126" s="10">
        <f t="shared" si="82"/>
        <v>-1.2361111111112155E-3</v>
      </c>
      <c r="CL126" s="10">
        <f t="shared" si="83"/>
        <v>1.1944444444443746E-3</v>
      </c>
      <c r="CM126" s="10">
        <f t="shared" si="84"/>
        <v>-2.6944444444446038E-3</v>
      </c>
      <c r="CN126" s="10">
        <f t="shared" si="85"/>
        <v>-1.3333333333333838E-3</v>
      </c>
      <c r="CO126" s="10">
        <f t="shared" si="86"/>
        <v>8.0555555555552846E-4</v>
      </c>
      <c r="CP126" s="10">
        <f t="shared" si="87"/>
        <v>9.9999999999986515E-4</v>
      </c>
      <c r="CQ126" s="10">
        <f t="shared" si="88"/>
        <v>9.0277777777769675E-4</v>
      </c>
      <c r="CR126" s="10">
        <f t="shared" si="89"/>
        <v>5.1388888888885076E-4</v>
      </c>
      <c r="CS126" s="10">
        <f t="shared" si="90"/>
        <v>-6.9444444444504645E-5</v>
      </c>
      <c r="CT126" s="10">
        <f t="shared" si="91"/>
        <v>2.4583333333332534E-3</v>
      </c>
      <c r="CU126" s="10">
        <f t="shared" si="92"/>
        <v>-1.7222222222222298E-3</v>
      </c>
      <c r="CV126" s="10">
        <f t="shared" si="93"/>
        <v>-3.1805555555556183E-3</v>
      </c>
      <c r="CW126" s="10">
        <f t="shared" si="94"/>
        <v>-2.1111111111112484E-3</v>
      </c>
      <c r="CX126" s="10">
        <f t="shared" si="95"/>
        <v>-1.2361111111112155E-3</v>
      </c>
      <c r="CY126" s="10">
        <f t="shared" si="96"/>
        <v>2.4583333333332534E-3</v>
      </c>
      <c r="CZ126" s="10">
        <f t="shared" si="97"/>
        <v>1.7777777777777299E-3</v>
      </c>
      <c r="DA126" s="10">
        <f t="shared" si="98"/>
        <v>-5.5555555555569173E-4</v>
      </c>
      <c r="DB126" s="10">
        <f t="shared" si="99"/>
        <v>-2.4027777777779263E-3</v>
      </c>
      <c r="DC126" s="10">
        <f t="shared" si="100"/>
        <v>9.0277777777769675E-4</v>
      </c>
      <c r="DD126" s="10">
        <f t="shared" si="101"/>
        <v>-2.305555555555585E-3</v>
      </c>
      <c r="DE126" s="10">
        <f t="shared" si="102"/>
        <v>3.1388888888887775E-3</v>
      </c>
      <c r="DF126" s="10">
        <f t="shared" si="103"/>
        <v>2.652777777777763E-3</v>
      </c>
      <c r="DG126" s="10">
        <f t="shared" si="104"/>
        <v>-3.2777777777777866E-3</v>
      </c>
      <c r="DH126" s="10">
        <f t="shared" si="105"/>
        <v>1.7777777777777299E-3</v>
      </c>
      <c r="DI126" s="10">
        <f t="shared" si="106"/>
        <v>-1.0416666666667061E-3</v>
      </c>
      <c r="DJ126" s="10">
        <f t="shared" si="107"/>
        <v>1.5833333333332205E-3</v>
      </c>
      <c r="DK126" s="10">
        <f t="shared" si="108"/>
        <v>-1.0416666666667061E-3</v>
      </c>
      <c r="DL126" s="10">
        <f t="shared" si="109"/>
        <v>-9.4444444444453772E-4</v>
      </c>
      <c r="DM126" s="10">
        <f t="shared" si="110"/>
        <v>-4.9305555555556844E-3</v>
      </c>
      <c r="DN126" s="10">
        <f t="shared" si="111"/>
        <v>2.0694444444444076E-3</v>
      </c>
      <c r="DO126" s="10">
        <f t="shared" si="112"/>
        <v>-2.1111111111112484E-3</v>
      </c>
      <c r="DP126" s="10">
        <f t="shared" si="113"/>
        <v>9.0277777777769675E-4</v>
      </c>
      <c r="DQ126" s="10">
        <f t="shared" si="114"/>
        <v>-1.5277777777778932E-3</v>
      </c>
      <c r="DR126" s="10">
        <f t="shared" si="115"/>
        <v>9.9999999999986515E-4</v>
      </c>
      <c r="DS126" s="10">
        <f t="shared" si="116"/>
        <v>-3.5694444444444645E-3</v>
      </c>
      <c r="DT126" s="10">
        <f t="shared" si="117"/>
        <v>-3.2777777777777866E-3</v>
      </c>
      <c r="DU126" s="10">
        <f t="shared" si="118"/>
        <v>-1.6666666666667298E-4</v>
      </c>
      <c r="DV126" s="10">
        <f t="shared" si="119"/>
        <v>-2.7916666666667721E-3</v>
      </c>
      <c r="DW126" s="10">
        <f t="shared" si="120"/>
        <v>-2.4027777777779263E-3</v>
      </c>
    </row>
    <row r="127" spans="2:127" x14ac:dyDescent="0.45">
      <c r="B127" s="1">
        <v>24</v>
      </c>
      <c r="C127" s="1">
        <v>1770</v>
      </c>
      <c r="D127" s="7">
        <f t="shared" si="121"/>
        <v>10.373626373626374</v>
      </c>
      <c r="E127" s="1">
        <v>10.353</v>
      </c>
      <c r="F127" s="1">
        <v>10.378</v>
      </c>
      <c r="G127" s="1">
        <v>10.372</v>
      </c>
      <c r="H127" s="1">
        <v>10.327</v>
      </c>
      <c r="I127" s="1">
        <v>10.367000000000001</v>
      </c>
      <c r="J127" s="1">
        <v>10.371</v>
      </c>
      <c r="K127" s="1">
        <v>10.417</v>
      </c>
      <c r="L127" s="1">
        <v>10.359</v>
      </c>
      <c r="M127" s="1">
        <v>10.394</v>
      </c>
      <c r="N127" s="1">
        <v>10.375999999999999</v>
      </c>
      <c r="O127" s="1">
        <v>10.356</v>
      </c>
      <c r="P127" s="1">
        <v>10.353</v>
      </c>
      <c r="Q127" s="1">
        <v>10.378</v>
      </c>
      <c r="R127" s="1">
        <v>10.371</v>
      </c>
      <c r="S127" s="1">
        <v>10.375</v>
      </c>
      <c r="T127" s="1">
        <v>10.391</v>
      </c>
      <c r="U127" s="1">
        <v>10.385999999999999</v>
      </c>
      <c r="V127" s="1">
        <v>10.353</v>
      </c>
      <c r="W127" s="1">
        <v>10.348000000000001</v>
      </c>
      <c r="X127" s="1">
        <v>10.372</v>
      </c>
      <c r="Y127" s="1">
        <v>10.353</v>
      </c>
      <c r="Z127" s="1">
        <v>10.361000000000001</v>
      </c>
      <c r="AA127" s="1">
        <v>10.387</v>
      </c>
      <c r="AB127" s="1">
        <v>10.343999999999999</v>
      </c>
      <c r="AC127" s="1">
        <v>10.363</v>
      </c>
      <c r="AD127" s="1">
        <v>10.379</v>
      </c>
      <c r="AE127" s="1">
        <v>10.385999999999999</v>
      </c>
      <c r="AF127" s="1">
        <v>10.382</v>
      </c>
      <c r="AG127" s="1">
        <v>10.375999999999999</v>
      </c>
      <c r="AH127" s="1">
        <v>10.374000000000001</v>
      </c>
      <c r="AI127" s="1">
        <v>10.401</v>
      </c>
      <c r="AJ127" s="1">
        <v>10.352</v>
      </c>
      <c r="AK127" s="1">
        <v>10.337999999999999</v>
      </c>
      <c r="AL127" s="1">
        <v>10.349</v>
      </c>
      <c r="AM127" s="1">
        <v>10.36</v>
      </c>
      <c r="AN127" s="1">
        <v>10.398999999999999</v>
      </c>
      <c r="AO127" s="1">
        <v>10.393000000000001</v>
      </c>
      <c r="AP127" s="1">
        <v>10.371</v>
      </c>
      <c r="AQ127" s="1">
        <v>10.351000000000001</v>
      </c>
      <c r="AR127" s="1">
        <v>10.382999999999999</v>
      </c>
      <c r="AS127" s="1">
        <v>10.351000000000001</v>
      </c>
      <c r="AT127" s="1">
        <v>10.407</v>
      </c>
      <c r="AU127" s="1">
        <v>10.401</v>
      </c>
      <c r="AV127" s="1">
        <v>10.342000000000001</v>
      </c>
      <c r="AW127" s="1">
        <v>10.391</v>
      </c>
      <c r="AX127" s="1">
        <v>10.36</v>
      </c>
      <c r="AY127" s="1">
        <v>10.388999999999999</v>
      </c>
      <c r="AZ127" s="1">
        <v>10.364000000000001</v>
      </c>
      <c r="BA127" s="1">
        <v>10.364000000000001</v>
      </c>
      <c r="BB127" s="1">
        <v>10.321</v>
      </c>
      <c r="BC127" s="1">
        <v>10.397</v>
      </c>
      <c r="BD127" s="1">
        <v>10.351000000000001</v>
      </c>
      <c r="BE127" s="1">
        <v>10.382999999999999</v>
      </c>
      <c r="BF127" s="1">
        <v>10.36</v>
      </c>
      <c r="BG127" s="1">
        <v>10.382</v>
      </c>
      <c r="BH127" s="1">
        <v>10.333</v>
      </c>
      <c r="BI127" s="1">
        <v>10.337</v>
      </c>
      <c r="BJ127" s="1">
        <v>10.37</v>
      </c>
      <c r="BK127" s="1">
        <v>10.337</v>
      </c>
      <c r="BL127" s="1">
        <v>10.349</v>
      </c>
      <c r="BN127" s="9">
        <v>24</v>
      </c>
      <c r="BO127" s="9">
        <v>1770</v>
      </c>
      <c r="BP127" s="10">
        <f t="shared" si="61"/>
        <v>-1.988347457627185E-3</v>
      </c>
      <c r="BQ127" s="10">
        <f t="shared" si="62"/>
        <v>4.216101694914931E-4</v>
      </c>
      <c r="BR127" s="10">
        <f t="shared" si="63"/>
        <v>-1.5677966101700338E-4</v>
      </c>
      <c r="BS127" s="10">
        <f t="shared" si="64"/>
        <v>-4.4947033898305559E-3</v>
      </c>
      <c r="BT127" s="10">
        <f t="shared" si="65"/>
        <v>-6.3877118644063626E-4</v>
      </c>
      <c r="BU127" s="10">
        <f t="shared" si="66"/>
        <v>-2.5317796610169571E-4</v>
      </c>
      <c r="BV127" s="10">
        <f t="shared" si="67"/>
        <v>4.1811440677965491E-3</v>
      </c>
      <c r="BW127" s="10">
        <f t="shared" si="68"/>
        <v>-1.4099576271186887E-3</v>
      </c>
      <c r="BX127" s="10">
        <f t="shared" si="69"/>
        <v>1.9639830508474264E-3</v>
      </c>
      <c r="BY127" s="10">
        <f t="shared" si="70"/>
        <v>2.2881355932193717E-4</v>
      </c>
      <c r="BZ127" s="10">
        <f t="shared" si="71"/>
        <v>-1.6991525423729369E-3</v>
      </c>
      <c r="CA127" s="10">
        <f t="shared" si="72"/>
        <v>-1.988347457627185E-3</v>
      </c>
      <c r="CB127" s="10">
        <f t="shared" si="73"/>
        <v>4.216101694914931E-4</v>
      </c>
      <c r="CC127" s="10">
        <f t="shared" si="74"/>
        <v>-2.5317796610169571E-4</v>
      </c>
      <c r="CD127" s="10">
        <f t="shared" si="75"/>
        <v>1.3241525423724485E-4</v>
      </c>
      <c r="CE127" s="10">
        <f t="shared" si="76"/>
        <v>1.6747881355931784E-3</v>
      </c>
      <c r="CF127" s="10">
        <f t="shared" si="77"/>
        <v>1.1927966101693743E-3</v>
      </c>
      <c r="CG127" s="10">
        <f t="shared" si="78"/>
        <v>-1.988347457627185E-3</v>
      </c>
      <c r="CH127" s="10">
        <f t="shared" si="79"/>
        <v>-2.4703389830508181E-3</v>
      </c>
      <c r="CI127" s="10">
        <f t="shared" si="80"/>
        <v>-1.5677966101700338E-4</v>
      </c>
      <c r="CJ127" s="10">
        <f t="shared" si="81"/>
        <v>-1.988347457627185E-3</v>
      </c>
      <c r="CK127" s="10">
        <f t="shared" si="82"/>
        <v>-1.2171610169491327E-3</v>
      </c>
      <c r="CL127" s="10">
        <f t="shared" si="83"/>
        <v>1.2891949152542379E-3</v>
      </c>
      <c r="CM127" s="10">
        <f t="shared" si="84"/>
        <v>-2.8559322033899297E-3</v>
      </c>
      <c r="CN127" s="10">
        <f t="shared" si="85"/>
        <v>-1.0243644067797482E-3</v>
      </c>
      <c r="CO127" s="10">
        <f t="shared" si="86"/>
        <v>5.1800847457618546E-4</v>
      </c>
      <c r="CP127" s="10">
        <f t="shared" si="87"/>
        <v>1.1927966101693743E-3</v>
      </c>
      <c r="CQ127" s="10">
        <f t="shared" si="88"/>
        <v>8.072033898304336E-4</v>
      </c>
      <c r="CR127" s="10">
        <f t="shared" si="89"/>
        <v>2.2881355932193717E-4</v>
      </c>
      <c r="CS127" s="10">
        <f t="shared" si="90"/>
        <v>3.6016949152552516E-5</v>
      </c>
      <c r="CT127" s="10">
        <f t="shared" si="91"/>
        <v>2.6387711864406154E-3</v>
      </c>
      <c r="CU127" s="10">
        <f t="shared" si="92"/>
        <v>-2.0847457627118774E-3</v>
      </c>
      <c r="CV127" s="10">
        <f t="shared" si="93"/>
        <v>-3.4343220338984262E-3</v>
      </c>
      <c r="CW127" s="10">
        <f t="shared" si="94"/>
        <v>-2.3739406779661257E-3</v>
      </c>
      <c r="CX127" s="10">
        <f t="shared" si="95"/>
        <v>-1.3135593220339964E-3</v>
      </c>
      <c r="CY127" s="10">
        <f t="shared" si="96"/>
        <v>2.4459745762710596E-3</v>
      </c>
      <c r="CZ127" s="10">
        <f t="shared" si="97"/>
        <v>1.8675847457627342E-3</v>
      </c>
      <c r="DA127" s="10">
        <f t="shared" si="98"/>
        <v>-2.5317796610169571E-4</v>
      </c>
      <c r="DB127" s="10">
        <f t="shared" si="99"/>
        <v>-2.1811440677965699E-3</v>
      </c>
      <c r="DC127" s="10">
        <f t="shared" si="100"/>
        <v>9.0360169491512596E-4</v>
      </c>
      <c r="DD127" s="10">
        <f t="shared" si="101"/>
        <v>-2.1811440677965699E-3</v>
      </c>
      <c r="DE127" s="10">
        <f t="shared" si="102"/>
        <v>3.2171610169491119E-3</v>
      </c>
      <c r="DF127" s="10">
        <f t="shared" si="103"/>
        <v>2.6387711864406154E-3</v>
      </c>
      <c r="DG127" s="10">
        <f t="shared" si="104"/>
        <v>-3.0487288135593146E-3</v>
      </c>
      <c r="DH127" s="10">
        <f t="shared" si="105"/>
        <v>1.6747881355931784E-3</v>
      </c>
      <c r="DI127" s="10">
        <f t="shared" si="106"/>
        <v>-1.3135593220339964E-3</v>
      </c>
      <c r="DJ127" s="10">
        <f t="shared" si="107"/>
        <v>1.4819915254236224E-3</v>
      </c>
      <c r="DK127" s="10">
        <f t="shared" si="108"/>
        <v>-9.2796610169488451E-4</v>
      </c>
      <c r="DL127" s="10">
        <f t="shared" si="109"/>
        <v>-9.2796610169488451E-4</v>
      </c>
      <c r="DM127" s="10">
        <f t="shared" si="110"/>
        <v>-5.0730932203390524E-3</v>
      </c>
      <c r="DN127" s="10">
        <f t="shared" si="111"/>
        <v>2.2531779661016747E-3</v>
      </c>
      <c r="DO127" s="10">
        <f t="shared" si="112"/>
        <v>-2.1811440677965699E-3</v>
      </c>
      <c r="DP127" s="10">
        <f t="shared" si="113"/>
        <v>9.0360169491512596E-4</v>
      </c>
      <c r="DQ127" s="10">
        <f t="shared" si="114"/>
        <v>-1.3135593220339964E-3</v>
      </c>
      <c r="DR127" s="10">
        <f t="shared" si="115"/>
        <v>8.072033898304336E-4</v>
      </c>
      <c r="DS127" s="10">
        <f t="shared" si="116"/>
        <v>-3.9163135593220594E-3</v>
      </c>
      <c r="DT127" s="10">
        <f t="shared" si="117"/>
        <v>-3.5307203389831187E-3</v>
      </c>
      <c r="DU127" s="10">
        <f t="shared" si="118"/>
        <v>-3.4957627118655931E-4</v>
      </c>
      <c r="DV127" s="10">
        <f t="shared" si="119"/>
        <v>-3.5307203389831187E-3</v>
      </c>
      <c r="DW127" s="10">
        <f t="shared" si="120"/>
        <v>-2.3739406779661257E-3</v>
      </c>
    </row>
    <row r="128" spans="2:127" x14ac:dyDescent="0.45">
      <c r="B128" s="1">
        <v>24</v>
      </c>
      <c r="C128" s="1">
        <v>1785</v>
      </c>
      <c r="D128" s="7">
        <f t="shared" si="121"/>
        <v>10.461538461538462</v>
      </c>
      <c r="E128" s="1">
        <v>10.441000000000001</v>
      </c>
      <c r="F128" s="1">
        <v>10.465999999999999</v>
      </c>
      <c r="G128" s="1">
        <v>10.46</v>
      </c>
      <c r="H128" s="1">
        <v>10.414</v>
      </c>
      <c r="I128" s="1">
        <v>10.456</v>
      </c>
      <c r="J128" s="1">
        <v>10.46</v>
      </c>
      <c r="K128" s="1">
        <v>10.507</v>
      </c>
      <c r="L128" s="1">
        <v>10.446999999999999</v>
      </c>
      <c r="M128" s="1">
        <v>10.484999999999999</v>
      </c>
      <c r="N128" s="1">
        <v>10.462</v>
      </c>
      <c r="O128" s="1">
        <v>10.444000000000001</v>
      </c>
      <c r="P128" s="1">
        <v>10.44</v>
      </c>
      <c r="Q128" s="1">
        <v>10.467000000000001</v>
      </c>
      <c r="R128" s="1">
        <v>10.458</v>
      </c>
      <c r="S128" s="1">
        <v>10.462999999999999</v>
      </c>
      <c r="T128" s="1">
        <v>10.478</v>
      </c>
      <c r="U128" s="1">
        <v>10.473000000000001</v>
      </c>
      <c r="V128" s="1">
        <v>10.44</v>
      </c>
      <c r="W128" s="1">
        <v>10.433</v>
      </c>
      <c r="X128" s="1">
        <v>10.458</v>
      </c>
      <c r="Y128" s="1">
        <v>10.436</v>
      </c>
      <c r="Z128" s="1">
        <v>10.448</v>
      </c>
      <c r="AA128" s="1">
        <v>10.475</v>
      </c>
      <c r="AB128" s="1">
        <v>10.429</v>
      </c>
      <c r="AC128" s="1">
        <v>10.451000000000001</v>
      </c>
      <c r="AD128" s="1">
        <v>10.467000000000001</v>
      </c>
      <c r="AE128" s="1">
        <v>10.473000000000001</v>
      </c>
      <c r="AF128" s="1">
        <v>10.47</v>
      </c>
      <c r="AG128" s="1">
        <v>10.467000000000001</v>
      </c>
      <c r="AH128" s="1">
        <v>10.46</v>
      </c>
      <c r="AI128" s="1">
        <v>10.489000000000001</v>
      </c>
      <c r="AJ128" s="1">
        <v>10.44</v>
      </c>
      <c r="AK128" s="1">
        <v>10.422000000000001</v>
      </c>
      <c r="AL128" s="1">
        <v>10.439</v>
      </c>
      <c r="AM128" s="1">
        <v>10.448</v>
      </c>
      <c r="AN128" s="1">
        <v>10.489000000000001</v>
      </c>
      <c r="AO128" s="1">
        <v>10.481</v>
      </c>
      <c r="AP128" s="1">
        <v>10.458</v>
      </c>
      <c r="AQ128" s="1">
        <v>10.439</v>
      </c>
      <c r="AR128" s="1">
        <v>10.471</v>
      </c>
      <c r="AS128" s="1">
        <v>10.439</v>
      </c>
      <c r="AT128" s="1">
        <v>10.494</v>
      </c>
      <c r="AU128" s="1">
        <v>10.49</v>
      </c>
      <c r="AV128" s="1">
        <v>10.426</v>
      </c>
      <c r="AW128" s="1">
        <v>10.478999999999999</v>
      </c>
      <c r="AX128" s="1">
        <v>10.445</v>
      </c>
      <c r="AY128" s="1">
        <v>10.477</v>
      </c>
      <c r="AZ128" s="1">
        <v>10.45</v>
      </c>
      <c r="BA128" s="1">
        <v>10.454000000000001</v>
      </c>
      <c r="BB128" s="1">
        <v>10.403</v>
      </c>
      <c r="BC128" s="1">
        <v>10.483000000000001</v>
      </c>
      <c r="BD128" s="1">
        <v>10.436999999999999</v>
      </c>
      <c r="BE128" s="1">
        <v>10.473000000000001</v>
      </c>
      <c r="BF128" s="1">
        <v>10.448</v>
      </c>
      <c r="BG128" s="1">
        <v>10.464</v>
      </c>
      <c r="BH128" s="1">
        <v>10.417999999999999</v>
      </c>
      <c r="BI128" s="1">
        <v>10.426</v>
      </c>
      <c r="BJ128" s="1">
        <v>10.455</v>
      </c>
      <c r="BK128" s="1">
        <v>10.420999999999999</v>
      </c>
      <c r="BL128" s="1">
        <v>10.439</v>
      </c>
      <c r="BN128" s="9">
        <v>24</v>
      </c>
      <c r="BO128" s="9">
        <v>1785</v>
      </c>
      <c r="BP128" s="10">
        <f t="shared" si="61"/>
        <v>-1.9632352941175908E-3</v>
      </c>
      <c r="BQ128" s="10">
        <f t="shared" si="62"/>
        <v>4.2647058823521447E-4</v>
      </c>
      <c r="BR128" s="10">
        <f t="shared" si="63"/>
        <v>-1.4705882352934331E-4</v>
      </c>
      <c r="BS128" s="10">
        <f t="shared" si="64"/>
        <v>-4.5441176470588651E-3</v>
      </c>
      <c r="BT128" s="10">
        <f t="shared" si="65"/>
        <v>-5.2941176470594161E-4</v>
      </c>
      <c r="BU128" s="10">
        <f t="shared" si="66"/>
        <v>-1.4705882352934331E-4</v>
      </c>
      <c r="BV128" s="10">
        <f t="shared" si="67"/>
        <v>4.3455882352940733E-3</v>
      </c>
      <c r="BW128" s="10">
        <f t="shared" si="68"/>
        <v>-1.3897058823530331E-3</v>
      </c>
      <c r="BX128" s="10">
        <f t="shared" si="69"/>
        <v>2.2426470588234621E-3</v>
      </c>
      <c r="BY128" s="10">
        <f t="shared" si="70"/>
        <v>4.4117647058786019E-5</v>
      </c>
      <c r="BZ128" s="10">
        <f t="shared" si="71"/>
        <v>-1.676470588235227E-3</v>
      </c>
      <c r="CA128" s="10">
        <f t="shared" si="72"/>
        <v>-2.0588235294118251E-3</v>
      </c>
      <c r="CB128" s="10">
        <f t="shared" si="73"/>
        <v>5.22058823529449E-4</v>
      </c>
      <c r="CC128" s="10">
        <f t="shared" si="74"/>
        <v>-3.3823529411764245E-4</v>
      </c>
      <c r="CD128" s="10">
        <f t="shared" si="75"/>
        <v>1.3970588235285067E-4</v>
      </c>
      <c r="CE128" s="10">
        <f t="shared" si="76"/>
        <v>1.5735294117646696E-3</v>
      </c>
      <c r="CF128" s="10">
        <f t="shared" si="77"/>
        <v>1.0955882352941765E-3</v>
      </c>
      <c r="CG128" s="10">
        <f t="shared" si="78"/>
        <v>-2.0588235294118251E-3</v>
      </c>
      <c r="CH128" s="10">
        <f t="shared" si="79"/>
        <v>-2.7279411764706174E-3</v>
      </c>
      <c r="CI128" s="10">
        <f t="shared" si="80"/>
        <v>-3.3823529411764245E-4</v>
      </c>
      <c r="CJ128" s="10">
        <f t="shared" si="81"/>
        <v>-2.4411764705882539E-3</v>
      </c>
      <c r="CK128" s="10">
        <f t="shared" si="82"/>
        <v>-1.2941176470587985E-3</v>
      </c>
      <c r="CL128" s="10">
        <f t="shared" si="83"/>
        <v>1.2867647058823059E-3</v>
      </c>
      <c r="CM128" s="10">
        <f t="shared" si="84"/>
        <v>-3.1102941176470462E-3</v>
      </c>
      <c r="CN128" s="10">
        <f t="shared" si="85"/>
        <v>-1.0073529411764347E-3</v>
      </c>
      <c r="CO128" s="10">
        <f t="shared" si="86"/>
        <v>5.22058823529449E-4</v>
      </c>
      <c r="CP128" s="10">
        <f t="shared" si="87"/>
        <v>1.0955882352941765E-3</v>
      </c>
      <c r="CQ128" s="10">
        <f t="shared" si="88"/>
        <v>8.0882352941181275E-4</v>
      </c>
      <c r="CR128" s="10">
        <f t="shared" si="89"/>
        <v>5.22058823529449E-4</v>
      </c>
      <c r="CS128" s="10">
        <f t="shared" si="90"/>
        <v>-1.4705882352934331E-4</v>
      </c>
      <c r="CT128" s="10">
        <f t="shared" si="91"/>
        <v>2.6250000000000604E-3</v>
      </c>
      <c r="CU128" s="10">
        <f t="shared" si="92"/>
        <v>-2.0588235294118251E-3</v>
      </c>
      <c r="CV128" s="10">
        <f t="shared" si="93"/>
        <v>-3.7794117647058385E-3</v>
      </c>
      <c r="CW128" s="10">
        <f t="shared" si="94"/>
        <v>-2.1544117647058899E-3</v>
      </c>
      <c r="CX128" s="10">
        <f t="shared" si="95"/>
        <v>-1.2941176470587985E-3</v>
      </c>
      <c r="CY128" s="10">
        <f t="shared" si="96"/>
        <v>2.6250000000000604E-3</v>
      </c>
      <c r="CZ128" s="10">
        <f t="shared" si="97"/>
        <v>1.8602941176470336E-3</v>
      </c>
      <c r="DA128" s="10">
        <f t="shared" si="98"/>
        <v>-3.3823529411764245E-4</v>
      </c>
      <c r="DB128" s="10">
        <f t="shared" si="99"/>
        <v>-2.1544117647058899E-3</v>
      </c>
      <c r="DC128" s="10">
        <f t="shared" si="100"/>
        <v>9.0441176470587744E-4</v>
      </c>
      <c r="DD128" s="10">
        <f t="shared" si="101"/>
        <v>-2.1544117647058899E-3</v>
      </c>
      <c r="DE128" s="10">
        <f t="shared" si="102"/>
        <v>3.1029411764705536E-3</v>
      </c>
      <c r="DF128" s="10">
        <f t="shared" si="103"/>
        <v>2.7205882352941248E-3</v>
      </c>
      <c r="DG128" s="10">
        <f t="shared" si="104"/>
        <v>-3.3970588235294097E-3</v>
      </c>
      <c r="DH128" s="10">
        <f t="shared" si="105"/>
        <v>1.6691176470587344E-3</v>
      </c>
      <c r="DI128" s="10">
        <f t="shared" si="106"/>
        <v>-1.5808823529411624E-3</v>
      </c>
      <c r="DJ128" s="10">
        <f t="shared" si="107"/>
        <v>1.477941176470605E-3</v>
      </c>
      <c r="DK128" s="10">
        <f t="shared" si="108"/>
        <v>-1.1029411764706691E-3</v>
      </c>
      <c r="DL128" s="10">
        <f t="shared" si="109"/>
        <v>-7.2058823529407088E-4</v>
      </c>
      <c r="DM128" s="10">
        <f t="shared" si="110"/>
        <v>-5.5955882352940857E-3</v>
      </c>
      <c r="DN128" s="10">
        <f t="shared" si="111"/>
        <v>2.0514705882353325E-3</v>
      </c>
      <c r="DO128" s="10">
        <f t="shared" si="112"/>
        <v>-2.3455882352941891E-3</v>
      </c>
      <c r="DP128" s="10">
        <f t="shared" si="113"/>
        <v>1.0955882352941765E-3</v>
      </c>
      <c r="DQ128" s="10">
        <f t="shared" si="114"/>
        <v>-1.2941176470587985E-3</v>
      </c>
      <c r="DR128" s="10">
        <f t="shared" si="115"/>
        <v>2.3529411764708515E-4</v>
      </c>
      <c r="DS128" s="10">
        <f t="shared" si="116"/>
        <v>-4.1617647058824368E-3</v>
      </c>
      <c r="DT128" s="10">
        <f t="shared" si="117"/>
        <v>-3.3970588235294097E-3</v>
      </c>
      <c r="DU128" s="10">
        <f t="shared" si="118"/>
        <v>-6.250000000000063E-4</v>
      </c>
      <c r="DV128" s="10">
        <f t="shared" si="119"/>
        <v>-3.8750000000000728E-3</v>
      </c>
      <c r="DW128" s="10">
        <f t="shared" si="120"/>
        <v>-2.1544117647058899E-3</v>
      </c>
    </row>
    <row r="129" spans="2:127" x14ac:dyDescent="0.45">
      <c r="B129" s="1">
        <v>24</v>
      </c>
      <c r="C129" s="1">
        <v>1800</v>
      </c>
      <c r="D129" s="7">
        <f t="shared" si="121"/>
        <v>10.549450549450549</v>
      </c>
      <c r="E129" s="1">
        <v>10.53</v>
      </c>
      <c r="F129" s="1">
        <v>10.553000000000001</v>
      </c>
      <c r="G129" s="1">
        <v>10.544</v>
      </c>
      <c r="H129" s="1">
        <v>10.502000000000001</v>
      </c>
      <c r="I129" s="1">
        <v>10.544</v>
      </c>
      <c r="J129" s="1">
        <v>10.55</v>
      </c>
      <c r="K129" s="1">
        <v>10.596</v>
      </c>
      <c r="L129" s="1">
        <v>10.534000000000001</v>
      </c>
      <c r="M129" s="1">
        <v>10.573</v>
      </c>
      <c r="N129" s="1">
        <v>10.551</v>
      </c>
      <c r="O129" s="1">
        <v>10.532</v>
      </c>
      <c r="P129" s="1">
        <v>10.528</v>
      </c>
      <c r="Q129" s="1">
        <v>10.553000000000001</v>
      </c>
      <c r="R129" s="1">
        <v>10.54</v>
      </c>
      <c r="S129" s="1">
        <v>10.55</v>
      </c>
      <c r="T129" s="1">
        <v>10.566000000000001</v>
      </c>
      <c r="U129" s="1">
        <v>10.555</v>
      </c>
      <c r="V129" s="1">
        <v>10.526999999999999</v>
      </c>
      <c r="W129" s="1">
        <v>10.52</v>
      </c>
      <c r="X129" s="1">
        <v>10.544</v>
      </c>
      <c r="Y129" s="1">
        <v>10.523999999999999</v>
      </c>
      <c r="Z129" s="1">
        <v>10.535</v>
      </c>
      <c r="AA129" s="1">
        <v>10.558999999999999</v>
      </c>
      <c r="AB129" s="1">
        <v>10.516999999999999</v>
      </c>
      <c r="AC129" s="1">
        <v>10.538</v>
      </c>
      <c r="AD129" s="1">
        <v>10.553000000000001</v>
      </c>
      <c r="AE129" s="1">
        <v>10.558999999999999</v>
      </c>
      <c r="AF129" s="1">
        <v>10.561999999999999</v>
      </c>
      <c r="AG129" s="1">
        <v>10.558</v>
      </c>
      <c r="AH129" s="1">
        <v>10.547000000000001</v>
      </c>
      <c r="AI129" s="1">
        <v>10.577999999999999</v>
      </c>
      <c r="AJ129" s="1">
        <v>10.526999999999999</v>
      </c>
      <c r="AK129" s="1">
        <v>10.510999999999999</v>
      </c>
      <c r="AL129" s="1">
        <v>10.528</v>
      </c>
      <c r="AM129" s="1">
        <v>10.535</v>
      </c>
      <c r="AN129" s="1">
        <v>10.577999999999999</v>
      </c>
      <c r="AO129" s="1">
        <v>10.57</v>
      </c>
      <c r="AP129" s="1">
        <v>10.545999999999999</v>
      </c>
      <c r="AQ129" s="1">
        <v>10.526999999999999</v>
      </c>
      <c r="AR129" s="1">
        <v>10.558</v>
      </c>
      <c r="AS129" s="1">
        <v>10.526999999999999</v>
      </c>
      <c r="AT129" s="1">
        <v>10.584</v>
      </c>
      <c r="AU129" s="1">
        <v>10.577999999999999</v>
      </c>
      <c r="AV129" s="1">
        <v>10.513</v>
      </c>
      <c r="AW129" s="1">
        <v>10.566000000000001</v>
      </c>
      <c r="AX129" s="1">
        <v>10.535</v>
      </c>
      <c r="AY129" s="1">
        <v>10.563000000000001</v>
      </c>
      <c r="AZ129" s="1">
        <v>10.535</v>
      </c>
      <c r="BA129" s="1">
        <v>10.54</v>
      </c>
      <c r="BB129" s="1">
        <v>10.494</v>
      </c>
      <c r="BC129" s="1">
        <v>10.573</v>
      </c>
      <c r="BD129" s="1">
        <v>10.523</v>
      </c>
      <c r="BE129" s="1">
        <v>10.561999999999999</v>
      </c>
      <c r="BF129" s="1">
        <v>10.538</v>
      </c>
      <c r="BG129" s="1">
        <v>10.547000000000001</v>
      </c>
      <c r="BH129" s="1">
        <v>10.515000000000001</v>
      </c>
      <c r="BI129" s="1">
        <v>10.513</v>
      </c>
      <c r="BJ129" s="1">
        <v>10.544</v>
      </c>
      <c r="BK129" s="1">
        <v>10.513</v>
      </c>
      <c r="BL129" s="1">
        <v>10.526999999999999</v>
      </c>
      <c r="BN129" s="9">
        <v>24</v>
      </c>
      <c r="BO129" s="9">
        <v>1800</v>
      </c>
      <c r="BP129" s="10">
        <f t="shared" si="61"/>
        <v>-1.8437500000000439E-3</v>
      </c>
      <c r="BQ129" s="10">
        <f t="shared" si="62"/>
        <v>3.3645833333342812E-4</v>
      </c>
      <c r="BR129" s="10">
        <f t="shared" si="63"/>
        <v>-5.1666666666660423E-4</v>
      </c>
      <c r="BS129" s="10">
        <f t="shared" si="64"/>
        <v>-4.4979166666665868E-3</v>
      </c>
      <c r="BT129" s="10">
        <f t="shared" si="65"/>
        <v>-5.1666666666660423E-4</v>
      </c>
      <c r="BU129" s="10">
        <f t="shared" si="66"/>
        <v>5.2083333333417342E-5</v>
      </c>
      <c r="BV129" s="10">
        <f t="shared" si="67"/>
        <v>4.4125000000000249E-3</v>
      </c>
      <c r="BW129" s="10">
        <f t="shared" si="68"/>
        <v>-1.4645833333332507E-3</v>
      </c>
      <c r="BX129" s="10">
        <f t="shared" si="69"/>
        <v>2.2322916666667209E-3</v>
      </c>
      <c r="BY129" s="10">
        <f t="shared" si="70"/>
        <v>1.4687500000003147E-4</v>
      </c>
      <c r="BZ129" s="10">
        <f t="shared" si="71"/>
        <v>-1.6541666666666473E-3</v>
      </c>
      <c r="CA129" s="10">
        <f t="shared" si="72"/>
        <v>-2.0333333333332725E-3</v>
      </c>
      <c r="CB129" s="10">
        <f t="shared" si="73"/>
        <v>3.3645833333342812E-4</v>
      </c>
      <c r="CC129" s="10">
        <f t="shared" si="74"/>
        <v>-8.9583333333339752E-4</v>
      </c>
      <c r="CD129" s="10">
        <f t="shared" si="75"/>
        <v>5.2083333333417342E-5</v>
      </c>
      <c r="CE129" s="10">
        <f t="shared" si="76"/>
        <v>1.5687500000000855E-3</v>
      </c>
      <c r="CF129" s="10">
        <f t="shared" si="77"/>
        <v>5.2604166666665644E-4</v>
      </c>
      <c r="CG129" s="10">
        <f t="shared" si="78"/>
        <v>-2.1281250000000549E-3</v>
      </c>
      <c r="CH129" s="10">
        <f t="shared" si="79"/>
        <v>-2.7916666666666905E-3</v>
      </c>
      <c r="CI129" s="10">
        <f t="shared" si="80"/>
        <v>-5.1666666666660423E-4</v>
      </c>
      <c r="CJ129" s="10">
        <f t="shared" si="81"/>
        <v>-2.4125000000000656E-3</v>
      </c>
      <c r="CK129" s="10">
        <f t="shared" si="82"/>
        <v>-1.3697916666666366E-3</v>
      </c>
      <c r="CL129" s="10">
        <f t="shared" si="83"/>
        <v>9.0520833333328134E-4</v>
      </c>
      <c r="CM129" s="10">
        <f t="shared" si="84"/>
        <v>-3.0760416666667013E-3</v>
      </c>
      <c r="CN129" s="10">
        <f t="shared" si="85"/>
        <v>-1.0854166666666258E-3</v>
      </c>
      <c r="CO129" s="10">
        <f t="shared" si="86"/>
        <v>3.3645833333342812E-4</v>
      </c>
      <c r="CP129" s="10">
        <f t="shared" si="87"/>
        <v>9.0520833333328134E-4</v>
      </c>
      <c r="CQ129" s="10">
        <f t="shared" si="88"/>
        <v>1.1895833333332921E-3</v>
      </c>
      <c r="CR129" s="10">
        <f t="shared" si="89"/>
        <v>8.1041666666666718E-4</v>
      </c>
      <c r="CS129" s="10">
        <f t="shared" si="90"/>
        <v>-2.3229166666659343E-4</v>
      </c>
      <c r="CT129" s="10">
        <f t="shared" si="91"/>
        <v>2.70624999999996E-3</v>
      </c>
      <c r="CU129" s="10">
        <f t="shared" si="92"/>
        <v>-2.1281250000000549E-3</v>
      </c>
      <c r="CV129" s="10">
        <f t="shared" si="93"/>
        <v>-3.6447916666667228E-3</v>
      </c>
      <c r="CW129" s="10">
        <f t="shared" si="94"/>
        <v>-2.0333333333332725E-3</v>
      </c>
      <c r="CX129" s="10">
        <f t="shared" si="95"/>
        <v>-1.3697916666666366E-3</v>
      </c>
      <c r="CY129" s="10">
        <f t="shared" si="96"/>
        <v>2.70624999999996E-3</v>
      </c>
      <c r="CZ129" s="10">
        <f t="shared" si="97"/>
        <v>1.9479166666667104E-3</v>
      </c>
      <c r="DA129" s="10">
        <f t="shared" si="98"/>
        <v>-3.2708333333337597E-4</v>
      </c>
      <c r="DB129" s="10">
        <f t="shared" si="99"/>
        <v>-2.1281250000000549E-3</v>
      </c>
      <c r="DC129" s="10">
        <f t="shared" si="100"/>
        <v>8.1041666666666718E-4</v>
      </c>
      <c r="DD129" s="10">
        <f t="shared" si="101"/>
        <v>-2.1281250000000549E-3</v>
      </c>
      <c r="DE129" s="10">
        <f t="shared" si="102"/>
        <v>3.2749999999999815E-3</v>
      </c>
      <c r="DF129" s="10">
        <f t="shared" si="103"/>
        <v>2.70624999999996E-3</v>
      </c>
      <c r="DG129" s="10">
        <f t="shared" si="104"/>
        <v>-3.4552083333333262E-3</v>
      </c>
      <c r="DH129" s="10">
        <f t="shared" si="105"/>
        <v>1.5687500000000855E-3</v>
      </c>
      <c r="DI129" s="10">
        <f t="shared" si="106"/>
        <v>-1.3697916666666366E-3</v>
      </c>
      <c r="DJ129" s="10">
        <f t="shared" si="107"/>
        <v>1.2843750000000745E-3</v>
      </c>
      <c r="DK129" s="10">
        <f t="shared" si="108"/>
        <v>-1.3697916666666366E-3</v>
      </c>
      <c r="DL129" s="10">
        <f t="shared" si="109"/>
        <v>-8.9583333333339752E-4</v>
      </c>
      <c r="DM129" s="10">
        <f t="shared" si="110"/>
        <v>-5.2562500000000048E-3</v>
      </c>
      <c r="DN129" s="10">
        <f t="shared" si="111"/>
        <v>2.2322916666667209E-3</v>
      </c>
      <c r="DO129" s="10">
        <f t="shared" si="112"/>
        <v>-2.5072916666666798E-3</v>
      </c>
      <c r="DP129" s="10">
        <f t="shared" si="113"/>
        <v>1.1895833333332921E-3</v>
      </c>
      <c r="DQ129" s="10">
        <f t="shared" si="114"/>
        <v>-1.0854166666666258E-3</v>
      </c>
      <c r="DR129" s="10">
        <f t="shared" si="115"/>
        <v>-2.3229166666659343E-4</v>
      </c>
      <c r="DS129" s="10">
        <f t="shared" si="116"/>
        <v>-3.2656249999999296E-3</v>
      </c>
      <c r="DT129" s="10">
        <f t="shared" si="117"/>
        <v>-3.4552083333333262E-3</v>
      </c>
      <c r="DU129" s="10">
        <f t="shared" si="118"/>
        <v>-5.1666666666660423E-4</v>
      </c>
      <c r="DV129" s="10">
        <f t="shared" si="119"/>
        <v>-3.4552083333333262E-3</v>
      </c>
      <c r="DW129" s="10">
        <f t="shared" si="120"/>
        <v>-2.1281250000000549E-3</v>
      </c>
    </row>
    <row r="130" spans="2:127" x14ac:dyDescent="0.45">
      <c r="B130" s="1">
        <v>24</v>
      </c>
      <c r="C130" s="1">
        <v>1815</v>
      </c>
      <c r="D130" s="7">
        <f t="shared" si="121"/>
        <v>10.637362637362637</v>
      </c>
      <c r="E130" s="1">
        <v>10.616</v>
      </c>
      <c r="F130" s="1">
        <v>10.638999999999999</v>
      </c>
      <c r="G130" s="1">
        <v>10.632999999999999</v>
      </c>
      <c r="H130" s="1">
        <v>10.587999999999999</v>
      </c>
      <c r="I130" s="1">
        <v>10.632999999999999</v>
      </c>
      <c r="J130" s="1">
        <v>10.638999999999999</v>
      </c>
      <c r="K130" s="1">
        <v>10.686</v>
      </c>
      <c r="L130" s="1">
        <v>10.625</v>
      </c>
      <c r="M130" s="1">
        <v>10.657999999999999</v>
      </c>
      <c r="N130" s="1">
        <v>10.638</v>
      </c>
      <c r="O130" s="1">
        <v>10.62</v>
      </c>
      <c r="P130" s="1">
        <v>10.615</v>
      </c>
      <c r="Q130" s="1">
        <v>10.641999999999999</v>
      </c>
      <c r="R130" s="1">
        <v>10.63</v>
      </c>
      <c r="S130" s="1">
        <v>10.637</v>
      </c>
      <c r="T130" s="1">
        <v>10.653</v>
      </c>
      <c r="U130" s="1">
        <v>10.645</v>
      </c>
      <c r="V130" s="1">
        <v>10.615</v>
      </c>
      <c r="W130" s="1">
        <v>10.61</v>
      </c>
      <c r="X130" s="1">
        <v>10.634</v>
      </c>
      <c r="Y130" s="1">
        <v>10.611000000000001</v>
      </c>
      <c r="Z130" s="1">
        <v>10.622</v>
      </c>
      <c r="AA130" s="1">
        <v>10.648999999999999</v>
      </c>
      <c r="AB130" s="1">
        <v>10.606999999999999</v>
      </c>
      <c r="AC130" s="1">
        <v>10.627000000000001</v>
      </c>
      <c r="AD130" s="1">
        <v>10.641</v>
      </c>
      <c r="AE130" s="1">
        <v>10.648</v>
      </c>
      <c r="AF130" s="1">
        <v>10.65</v>
      </c>
      <c r="AG130" s="1">
        <v>10.645</v>
      </c>
      <c r="AH130" s="1">
        <v>10.637</v>
      </c>
      <c r="AI130" s="1">
        <v>10.667999999999999</v>
      </c>
      <c r="AJ130" s="1">
        <v>10.615</v>
      </c>
      <c r="AK130" s="1">
        <v>10.6</v>
      </c>
      <c r="AL130" s="1">
        <v>10.615</v>
      </c>
      <c r="AM130" s="1">
        <v>10.622999999999999</v>
      </c>
      <c r="AN130" s="1">
        <v>10.664999999999999</v>
      </c>
      <c r="AO130" s="1">
        <v>10.657</v>
      </c>
      <c r="AP130" s="1">
        <v>10.634</v>
      </c>
      <c r="AQ130" s="1">
        <v>10.614000000000001</v>
      </c>
      <c r="AR130" s="1">
        <v>10.646000000000001</v>
      </c>
      <c r="AS130" s="1">
        <v>10.615</v>
      </c>
      <c r="AT130" s="1">
        <v>10.672000000000001</v>
      </c>
      <c r="AU130" s="1">
        <v>10.669</v>
      </c>
      <c r="AV130" s="1">
        <v>10.6</v>
      </c>
      <c r="AW130" s="1">
        <v>10.654</v>
      </c>
      <c r="AX130" s="1">
        <v>10.62</v>
      </c>
      <c r="AY130" s="1">
        <v>10.653</v>
      </c>
      <c r="AZ130" s="1">
        <v>10.622999999999999</v>
      </c>
      <c r="BA130" s="1">
        <v>10.627000000000001</v>
      </c>
      <c r="BB130" s="1">
        <v>10.577999999999999</v>
      </c>
      <c r="BC130" s="1">
        <v>10.661</v>
      </c>
      <c r="BD130" s="1">
        <v>10.611000000000001</v>
      </c>
      <c r="BE130" s="1">
        <v>10.65</v>
      </c>
      <c r="BF130" s="1">
        <v>10.625999999999999</v>
      </c>
      <c r="BG130" s="1">
        <v>10.637</v>
      </c>
      <c r="BH130" s="1">
        <v>10.595000000000001</v>
      </c>
      <c r="BI130" s="1">
        <v>10.601000000000001</v>
      </c>
      <c r="BJ130" s="1">
        <v>10.634</v>
      </c>
      <c r="BK130" s="1">
        <v>10.596</v>
      </c>
      <c r="BL130" s="1">
        <v>10.615</v>
      </c>
      <c r="BN130" s="9">
        <v>24</v>
      </c>
      <c r="BO130" s="9">
        <v>1815</v>
      </c>
      <c r="BP130" s="10">
        <f t="shared" si="61"/>
        <v>-2.0082644628099037E-3</v>
      </c>
      <c r="BQ130" s="10">
        <f t="shared" si="62"/>
        <v>1.5392561983469517E-4</v>
      </c>
      <c r="BR130" s="10">
        <f t="shared" si="63"/>
        <v>-4.1012396694218575E-4</v>
      </c>
      <c r="BS130" s="10">
        <f t="shared" si="64"/>
        <v>-4.6404958677686257E-3</v>
      </c>
      <c r="BT130" s="10">
        <f t="shared" si="65"/>
        <v>-4.1012396694218575E-4</v>
      </c>
      <c r="BU130" s="10">
        <f t="shared" si="66"/>
        <v>1.5392561983469517E-4</v>
      </c>
      <c r="BV130" s="10">
        <f t="shared" si="67"/>
        <v>4.5723140495868174E-3</v>
      </c>
      <c r="BW130" s="10">
        <f t="shared" si="68"/>
        <v>-1.1621900826445824E-3</v>
      </c>
      <c r="BX130" s="10">
        <f t="shared" si="69"/>
        <v>1.9400826446280958E-3</v>
      </c>
      <c r="BY130" s="10">
        <f t="shared" si="70"/>
        <v>5.9917355371937358E-5</v>
      </c>
      <c r="BZ130" s="10">
        <f t="shared" si="71"/>
        <v>-1.6322314049587053E-3</v>
      </c>
      <c r="CA130" s="10">
        <f t="shared" si="72"/>
        <v>-2.1022727272726614E-3</v>
      </c>
      <c r="CB130" s="10">
        <f t="shared" si="73"/>
        <v>4.3595041322313561E-4</v>
      </c>
      <c r="CC130" s="10">
        <f t="shared" si="74"/>
        <v>-6.9214876033045914E-4</v>
      </c>
      <c r="CD130" s="10">
        <f t="shared" si="75"/>
        <v>-3.4090909090820465E-5</v>
      </c>
      <c r="CE130" s="10">
        <f t="shared" si="76"/>
        <v>1.4700413223141396E-3</v>
      </c>
      <c r="CF130" s="10">
        <f t="shared" si="77"/>
        <v>7.1797520661157608E-4</v>
      </c>
      <c r="CG130" s="10">
        <f t="shared" si="78"/>
        <v>-2.1022727272726614E-3</v>
      </c>
      <c r="CH130" s="10">
        <f t="shared" si="79"/>
        <v>-2.5723140495867844E-3</v>
      </c>
      <c r="CI130" s="10">
        <f t="shared" si="80"/>
        <v>-3.1611570247926091E-4</v>
      </c>
      <c r="CJ130" s="10">
        <f t="shared" si="81"/>
        <v>-2.4783057851238597E-3</v>
      </c>
      <c r="CK130" s="10">
        <f t="shared" si="82"/>
        <v>-1.4442148760330227E-3</v>
      </c>
      <c r="CL130" s="10">
        <f t="shared" si="83"/>
        <v>1.0940082644627744E-3</v>
      </c>
      <c r="CM130" s="10">
        <f t="shared" si="84"/>
        <v>-2.8543388429752249E-3</v>
      </c>
      <c r="CN130" s="10">
        <f t="shared" si="85"/>
        <v>-9.7417355371889967E-4</v>
      </c>
      <c r="CO130" s="10">
        <f t="shared" si="86"/>
        <v>3.419421487603778E-4</v>
      </c>
      <c r="CP130" s="10">
        <f t="shared" si="87"/>
        <v>1.0000000000000165E-3</v>
      </c>
      <c r="CQ130" s="10">
        <f t="shared" si="88"/>
        <v>1.1880165289256991E-3</v>
      </c>
      <c r="CR130" s="10">
        <f t="shared" si="89"/>
        <v>7.1797520661157608E-4</v>
      </c>
      <c r="CS130" s="10">
        <f t="shared" si="90"/>
        <v>-3.4090909090820465E-5</v>
      </c>
      <c r="CT130" s="10">
        <f t="shared" si="91"/>
        <v>2.8801652892561751E-3</v>
      </c>
      <c r="CU130" s="10">
        <f t="shared" si="92"/>
        <v>-2.1022727272726614E-3</v>
      </c>
      <c r="CV130" s="10">
        <f t="shared" si="93"/>
        <v>-3.5123966942148636E-3</v>
      </c>
      <c r="CW130" s="10">
        <f t="shared" si="94"/>
        <v>-2.1022727272726614E-3</v>
      </c>
      <c r="CX130" s="10">
        <f t="shared" si="95"/>
        <v>-1.350206611570265E-3</v>
      </c>
      <c r="CY130" s="10">
        <f t="shared" si="96"/>
        <v>2.5981404958677345E-3</v>
      </c>
      <c r="CZ130" s="10">
        <f t="shared" si="97"/>
        <v>1.8460743801653379E-3</v>
      </c>
      <c r="DA130" s="10">
        <f t="shared" si="98"/>
        <v>-3.1611570247926091E-4</v>
      </c>
      <c r="DB130" s="10">
        <f t="shared" si="99"/>
        <v>-2.1962809917354192E-3</v>
      </c>
      <c r="DC130" s="10">
        <f t="shared" si="100"/>
        <v>8.1198347107450087E-4</v>
      </c>
      <c r="DD130" s="10">
        <f t="shared" si="101"/>
        <v>-2.1022727272726614E-3</v>
      </c>
      <c r="DE130" s="10">
        <f t="shared" si="102"/>
        <v>3.2561983471075403E-3</v>
      </c>
      <c r="DF130" s="10">
        <f t="shared" si="103"/>
        <v>2.9741735537190997E-3</v>
      </c>
      <c r="DG130" s="10">
        <f t="shared" si="104"/>
        <v>-3.5123966942148636E-3</v>
      </c>
      <c r="DH130" s="10">
        <f t="shared" si="105"/>
        <v>1.5640495867768973E-3</v>
      </c>
      <c r="DI130" s="10">
        <f t="shared" si="106"/>
        <v>-1.6322314049587053E-3</v>
      </c>
      <c r="DJ130" s="10">
        <f t="shared" si="107"/>
        <v>1.4700413223141396E-3</v>
      </c>
      <c r="DK130" s="10">
        <f t="shared" si="108"/>
        <v>-1.350206611570265E-3</v>
      </c>
      <c r="DL130" s="10">
        <f t="shared" si="109"/>
        <v>-9.7417355371889967E-4</v>
      </c>
      <c r="DM130" s="10">
        <f t="shared" si="110"/>
        <v>-5.580578512396705E-3</v>
      </c>
      <c r="DN130" s="10">
        <f t="shared" si="111"/>
        <v>2.2221074380165363E-3</v>
      </c>
      <c r="DO130" s="10">
        <f t="shared" si="112"/>
        <v>-2.4783057851238597E-3</v>
      </c>
      <c r="DP130" s="10">
        <f t="shared" si="113"/>
        <v>1.1880165289256991E-3</v>
      </c>
      <c r="DQ130" s="10">
        <f t="shared" si="114"/>
        <v>-1.0681818181818245E-3</v>
      </c>
      <c r="DR130" s="10">
        <f t="shared" si="115"/>
        <v>-3.4090909090820465E-5</v>
      </c>
      <c r="DS130" s="10">
        <f t="shared" si="116"/>
        <v>-3.9824380165288196E-3</v>
      </c>
      <c r="DT130" s="10">
        <f t="shared" si="117"/>
        <v>-3.418388429751939E-3</v>
      </c>
      <c r="DU130" s="10">
        <f t="shared" si="118"/>
        <v>-3.1611570247926091E-4</v>
      </c>
      <c r="DV130" s="10">
        <f t="shared" si="119"/>
        <v>-3.8884297520660619E-3</v>
      </c>
      <c r="DW130" s="10">
        <f t="shared" si="120"/>
        <v>-2.1022727272726614E-3</v>
      </c>
    </row>
    <row r="131" spans="2:127" x14ac:dyDescent="0.45">
      <c r="B131" s="1">
        <v>24</v>
      </c>
      <c r="C131" s="1">
        <v>1830</v>
      </c>
      <c r="D131" s="7">
        <f t="shared" si="121"/>
        <v>10.725274725274724</v>
      </c>
      <c r="E131" s="1">
        <v>10.702999999999999</v>
      </c>
      <c r="F131" s="1">
        <v>10.728</v>
      </c>
      <c r="G131" s="1">
        <v>10.721</v>
      </c>
      <c r="H131" s="1">
        <v>10.676</v>
      </c>
      <c r="I131" s="1">
        <v>10.718</v>
      </c>
      <c r="J131" s="1">
        <v>10.728</v>
      </c>
      <c r="K131" s="1">
        <v>10.773999999999999</v>
      </c>
      <c r="L131" s="1">
        <v>10.714</v>
      </c>
      <c r="M131" s="1">
        <v>10.744999999999999</v>
      </c>
      <c r="N131" s="1">
        <v>10.722</v>
      </c>
      <c r="O131" s="1">
        <v>10.707000000000001</v>
      </c>
      <c r="P131" s="1">
        <v>10.702</v>
      </c>
      <c r="Q131" s="1">
        <v>10.731999999999999</v>
      </c>
      <c r="R131" s="1">
        <v>10.721</v>
      </c>
      <c r="S131" s="1">
        <v>10.725</v>
      </c>
      <c r="T131" s="1">
        <v>10.741</v>
      </c>
      <c r="U131" s="1">
        <v>10.736000000000001</v>
      </c>
      <c r="V131" s="1">
        <v>10.702</v>
      </c>
      <c r="W131" s="1">
        <v>10.698</v>
      </c>
      <c r="X131" s="1">
        <v>10.718999999999999</v>
      </c>
      <c r="Y131" s="1">
        <v>10.699</v>
      </c>
      <c r="Z131" s="1">
        <v>10.709</v>
      </c>
      <c r="AA131" s="1">
        <v>10.737</v>
      </c>
      <c r="AB131" s="1">
        <v>10.695</v>
      </c>
      <c r="AC131" s="1">
        <v>10.714</v>
      </c>
      <c r="AD131" s="1">
        <v>10.728999999999999</v>
      </c>
      <c r="AE131" s="1">
        <v>10.734</v>
      </c>
      <c r="AF131" s="1">
        <v>10.737</v>
      </c>
      <c r="AG131" s="1">
        <v>10.734</v>
      </c>
      <c r="AH131" s="1">
        <v>10.724</v>
      </c>
      <c r="AI131" s="1">
        <v>10.757</v>
      </c>
      <c r="AJ131" s="1">
        <v>10.702999999999999</v>
      </c>
      <c r="AK131" s="1">
        <v>10.686999999999999</v>
      </c>
      <c r="AL131" s="1">
        <v>10.705</v>
      </c>
      <c r="AM131" s="1">
        <v>10.711</v>
      </c>
      <c r="AN131" s="1">
        <v>10.753</v>
      </c>
      <c r="AO131" s="1">
        <v>10.747999999999999</v>
      </c>
      <c r="AP131" s="1">
        <v>10.721</v>
      </c>
      <c r="AQ131" s="1">
        <v>10.702999999999999</v>
      </c>
      <c r="AR131" s="1">
        <v>10.734</v>
      </c>
      <c r="AS131" s="1">
        <v>10.702</v>
      </c>
      <c r="AT131" s="1">
        <v>10.76</v>
      </c>
      <c r="AU131" s="1">
        <v>10.757</v>
      </c>
      <c r="AV131" s="1">
        <v>10.691000000000001</v>
      </c>
      <c r="AW131" s="1">
        <v>10.741</v>
      </c>
      <c r="AX131" s="1">
        <v>10.707000000000001</v>
      </c>
      <c r="AY131" s="1">
        <v>10.741</v>
      </c>
      <c r="AZ131" s="1">
        <v>10.711</v>
      </c>
      <c r="BA131" s="1">
        <v>10.714</v>
      </c>
      <c r="BB131" s="1">
        <v>10.664</v>
      </c>
      <c r="BC131" s="1">
        <v>10.749000000000001</v>
      </c>
      <c r="BD131" s="1">
        <v>10.702</v>
      </c>
      <c r="BE131" s="1">
        <v>10.738</v>
      </c>
      <c r="BF131" s="1">
        <v>10.714</v>
      </c>
      <c r="BG131" s="1">
        <v>10.726000000000001</v>
      </c>
      <c r="BH131" s="1">
        <v>10.68</v>
      </c>
      <c r="BI131" s="1">
        <v>10.69</v>
      </c>
      <c r="BJ131" s="1">
        <v>10.724</v>
      </c>
      <c r="BK131" s="1">
        <v>10.680999999999999</v>
      </c>
      <c r="BL131" s="1">
        <v>10.702</v>
      </c>
      <c r="BN131" s="9">
        <v>24</v>
      </c>
      <c r="BO131" s="9">
        <v>1830</v>
      </c>
      <c r="BP131" s="10">
        <f t="shared" si="61"/>
        <v>-2.0768442622950633E-3</v>
      </c>
      <c r="BQ131" s="10">
        <f t="shared" si="62"/>
        <v>2.5409836065578981E-4</v>
      </c>
      <c r="BR131" s="10">
        <f t="shared" si="63"/>
        <v>-3.9856557377040925E-4</v>
      </c>
      <c r="BS131" s="10">
        <f t="shared" si="64"/>
        <v>-4.5942622950818782E-3</v>
      </c>
      <c r="BT131" s="10">
        <f t="shared" si="65"/>
        <v>-6.7827868852451826E-4</v>
      </c>
      <c r="BU131" s="10">
        <f t="shared" si="66"/>
        <v>2.5409836065578981E-4</v>
      </c>
      <c r="BV131" s="10">
        <f t="shared" si="67"/>
        <v>4.5430327868852399E-3</v>
      </c>
      <c r="BW131" s="10">
        <f t="shared" si="68"/>
        <v>-1.0512295081966084E-3</v>
      </c>
      <c r="BX131" s="10">
        <f t="shared" si="69"/>
        <v>1.8391393442622969E-3</v>
      </c>
      <c r="BY131" s="10">
        <f t="shared" si="70"/>
        <v>-3.0532786885242814E-4</v>
      </c>
      <c r="BZ131" s="10">
        <f t="shared" si="71"/>
        <v>-1.7038934426228075E-3</v>
      </c>
      <c r="CA131" s="10">
        <f t="shared" si="72"/>
        <v>-2.1700819672130444E-3</v>
      </c>
      <c r="CB131" s="10">
        <f t="shared" si="73"/>
        <v>6.2704918032787987E-4</v>
      </c>
      <c r="CC131" s="10">
        <f t="shared" si="74"/>
        <v>-3.9856557377040925E-4</v>
      </c>
      <c r="CD131" s="10">
        <f t="shared" si="75"/>
        <v>-2.5614754098319161E-5</v>
      </c>
      <c r="CE131" s="10">
        <f t="shared" si="76"/>
        <v>1.4661885245902068E-3</v>
      </c>
      <c r="CF131" s="10">
        <f t="shared" si="77"/>
        <v>1.0000000000001355E-3</v>
      </c>
      <c r="CG131" s="10">
        <f t="shared" si="78"/>
        <v>-2.1700819672130444E-3</v>
      </c>
      <c r="CH131" s="10">
        <f t="shared" si="79"/>
        <v>-2.5430327868851345E-3</v>
      </c>
      <c r="CI131" s="10">
        <f t="shared" si="80"/>
        <v>-5.8504098360653714E-4</v>
      </c>
      <c r="CJ131" s="10">
        <f t="shared" si="81"/>
        <v>-2.4497950819671534E-3</v>
      </c>
      <c r="CK131" s="10">
        <f t="shared" si="82"/>
        <v>-1.5174180327868453E-3</v>
      </c>
      <c r="CL131" s="10">
        <f t="shared" si="83"/>
        <v>1.0932377049181167E-3</v>
      </c>
      <c r="CM131" s="10">
        <f t="shared" si="84"/>
        <v>-2.8227459016392435E-3</v>
      </c>
      <c r="CN131" s="10">
        <f t="shared" si="85"/>
        <v>-1.0512295081966084E-3</v>
      </c>
      <c r="CO131" s="10">
        <f t="shared" si="86"/>
        <v>3.4733606557377092E-4</v>
      </c>
      <c r="CP131" s="10">
        <f t="shared" si="87"/>
        <v>8.1352459016400776E-4</v>
      </c>
      <c r="CQ131" s="10">
        <f t="shared" si="88"/>
        <v>1.0932377049181167E-3</v>
      </c>
      <c r="CR131" s="10">
        <f t="shared" si="89"/>
        <v>8.1352459016400776E-4</v>
      </c>
      <c r="CS131" s="10">
        <f t="shared" si="90"/>
        <v>-1.1885245901630028E-4</v>
      </c>
      <c r="CT131" s="10">
        <f t="shared" si="91"/>
        <v>2.9579918032787327E-3</v>
      </c>
      <c r="CU131" s="10">
        <f t="shared" si="92"/>
        <v>-2.0768442622950633E-3</v>
      </c>
      <c r="CV131" s="10">
        <f t="shared" si="93"/>
        <v>-3.568647540983589E-3</v>
      </c>
      <c r="CW131" s="10">
        <f t="shared" si="94"/>
        <v>-1.8903688524589354E-3</v>
      </c>
      <c r="CX131" s="10">
        <f t="shared" si="95"/>
        <v>-1.3309426229507174E-3</v>
      </c>
      <c r="CY131" s="10">
        <f t="shared" si="96"/>
        <v>2.585040983606643E-3</v>
      </c>
      <c r="CZ131" s="10">
        <f t="shared" si="97"/>
        <v>2.1188524590164061E-3</v>
      </c>
      <c r="DA131" s="10">
        <f t="shared" si="98"/>
        <v>-3.9856557377040925E-4</v>
      </c>
      <c r="DB131" s="10">
        <f t="shared" si="99"/>
        <v>-2.0768442622950633E-3</v>
      </c>
      <c r="DC131" s="10">
        <f t="shared" si="100"/>
        <v>8.1352459016400776E-4</v>
      </c>
      <c r="DD131" s="10">
        <f t="shared" si="101"/>
        <v>-2.1700819672130444E-3</v>
      </c>
      <c r="DE131" s="10">
        <f t="shared" si="102"/>
        <v>3.2377049180328417E-3</v>
      </c>
      <c r="DF131" s="10">
        <f t="shared" si="103"/>
        <v>2.9579918032787327E-3</v>
      </c>
      <c r="DG131" s="10">
        <f t="shared" si="104"/>
        <v>-3.1956967213113336E-3</v>
      </c>
      <c r="DH131" s="10">
        <f t="shared" si="105"/>
        <v>1.4661885245902068E-3</v>
      </c>
      <c r="DI131" s="10">
        <f t="shared" si="106"/>
        <v>-1.7038934426228075E-3</v>
      </c>
      <c r="DJ131" s="10">
        <f t="shared" si="107"/>
        <v>1.4661885245902068E-3</v>
      </c>
      <c r="DK131" s="10">
        <f t="shared" si="108"/>
        <v>-1.3309426229507174E-3</v>
      </c>
      <c r="DL131" s="10">
        <f t="shared" si="109"/>
        <v>-1.0512295081966084E-3</v>
      </c>
      <c r="DM131" s="10">
        <f t="shared" si="110"/>
        <v>-5.7131147540983142E-3</v>
      </c>
      <c r="DN131" s="10">
        <f t="shared" si="111"/>
        <v>2.2120901639345529E-3</v>
      </c>
      <c r="DO131" s="10">
        <f t="shared" si="112"/>
        <v>-2.1700819672130444E-3</v>
      </c>
      <c r="DP131" s="10">
        <f t="shared" si="113"/>
        <v>1.186475409836098E-3</v>
      </c>
      <c r="DQ131" s="10">
        <f t="shared" si="114"/>
        <v>-1.0512295081966084E-3</v>
      </c>
      <c r="DR131" s="10">
        <f t="shared" si="115"/>
        <v>6.7622950819827587E-5</v>
      </c>
      <c r="DS131" s="10">
        <f t="shared" si="116"/>
        <v>-4.2213114754097881E-3</v>
      </c>
      <c r="DT131" s="10">
        <f t="shared" si="117"/>
        <v>-3.2889344262294804E-3</v>
      </c>
      <c r="DU131" s="10">
        <f t="shared" si="118"/>
        <v>-1.1885245901630028E-4</v>
      </c>
      <c r="DV131" s="10">
        <f t="shared" si="119"/>
        <v>-4.128073770491807E-3</v>
      </c>
      <c r="DW131" s="10">
        <f t="shared" si="120"/>
        <v>-2.1700819672130444E-3</v>
      </c>
    </row>
    <row r="132" spans="2:127" x14ac:dyDescent="0.45">
      <c r="B132" s="1">
        <v>24</v>
      </c>
      <c r="C132" s="1">
        <v>1845</v>
      </c>
      <c r="D132" s="7">
        <f t="shared" si="121"/>
        <v>10.813186813186814</v>
      </c>
      <c r="E132" s="1">
        <v>10.79</v>
      </c>
      <c r="F132" s="1">
        <v>10.814</v>
      </c>
      <c r="G132" s="1">
        <v>10.805999999999999</v>
      </c>
      <c r="H132" s="1">
        <v>10.763</v>
      </c>
      <c r="I132" s="1">
        <v>10.805999999999999</v>
      </c>
      <c r="J132" s="1">
        <v>10.817</v>
      </c>
      <c r="K132" s="1">
        <v>10.863</v>
      </c>
      <c r="L132" s="1">
        <v>10.797000000000001</v>
      </c>
      <c r="M132" s="1">
        <v>10.836</v>
      </c>
      <c r="N132" s="1">
        <v>10.811999999999999</v>
      </c>
      <c r="O132" s="1">
        <v>10.797000000000001</v>
      </c>
      <c r="P132" s="1">
        <v>10.789</v>
      </c>
      <c r="Q132" s="1">
        <v>10.818</v>
      </c>
      <c r="R132" s="1">
        <v>10.81</v>
      </c>
      <c r="S132" s="1">
        <v>10.81</v>
      </c>
      <c r="T132" s="1">
        <v>10.829000000000001</v>
      </c>
      <c r="U132" s="1">
        <v>10.824</v>
      </c>
      <c r="V132" s="1">
        <v>10.789</v>
      </c>
      <c r="W132" s="1">
        <v>10.786</v>
      </c>
      <c r="X132" s="1">
        <v>10.804</v>
      </c>
      <c r="Y132" s="1">
        <v>10.786</v>
      </c>
      <c r="Z132" s="1">
        <v>10.797000000000001</v>
      </c>
      <c r="AA132" s="1">
        <v>10.827</v>
      </c>
      <c r="AB132" s="1">
        <v>10.782999999999999</v>
      </c>
      <c r="AC132" s="1">
        <v>10.802</v>
      </c>
      <c r="AD132" s="1">
        <v>10.817</v>
      </c>
      <c r="AE132" s="1">
        <v>10.821</v>
      </c>
      <c r="AF132" s="1">
        <v>10.827</v>
      </c>
      <c r="AG132" s="1">
        <v>10.82</v>
      </c>
      <c r="AH132" s="1">
        <v>10.811999999999999</v>
      </c>
      <c r="AI132" s="1">
        <v>10.846</v>
      </c>
      <c r="AJ132" s="1">
        <v>10.789</v>
      </c>
      <c r="AK132" s="1">
        <v>10.775</v>
      </c>
      <c r="AL132" s="1">
        <v>10.791</v>
      </c>
      <c r="AM132" s="1">
        <v>10.798999999999999</v>
      </c>
      <c r="AN132" s="1">
        <v>10.842000000000001</v>
      </c>
      <c r="AO132" s="1">
        <v>10.835000000000001</v>
      </c>
      <c r="AP132" s="1">
        <v>10.81</v>
      </c>
      <c r="AQ132" s="1">
        <v>10.79</v>
      </c>
      <c r="AR132" s="1">
        <v>10.821</v>
      </c>
      <c r="AS132" s="1">
        <v>10.79</v>
      </c>
      <c r="AT132" s="1">
        <v>10.847</v>
      </c>
      <c r="AU132" s="1">
        <v>10.846</v>
      </c>
      <c r="AV132" s="1">
        <v>10.773999999999999</v>
      </c>
      <c r="AW132" s="1">
        <v>10.827</v>
      </c>
      <c r="AX132" s="1">
        <v>10.795</v>
      </c>
      <c r="AY132" s="1">
        <v>10.827999999999999</v>
      </c>
      <c r="AZ132" s="1">
        <v>10.798</v>
      </c>
      <c r="BA132" s="1">
        <v>10.801</v>
      </c>
      <c r="BB132" s="1">
        <v>10.753</v>
      </c>
      <c r="BC132" s="1">
        <v>10.836</v>
      </c>
      <c r="BD132" s="1">
        <v>10.79</v>
      </c>
      <c r="BE132" s="1">
        <v>10.827</v>
      </c>
      <c r="BF132" s="1">
        <v>10.802</v>
      </c>
      <c r="BG132" s="1">
        <v>10.813000000000001</v>
      </c>
      <c r="BH132" s="1">
        <v>10.766999999999999</v>
      </c>
      <c r="BI132" s="1">
        <v>10.778</v>
      </c>
      <c r="BJ132" s="1">
        <v>10.811999999999999</v>
      </c>
      <c r="BK132" s="1">
        <v>10.772</v>
      </c>
      <c r="BL132" s="1">
        <v>10.791</v>
      </c>
      <c r="BN132" s="9">
        <v>24</v>
      </c>
      <c r="BO132" s="9">
        <v>1845</v>
      </c>
      <c r="BP132" s="10">
        <f t="shared" si="61"/>
        <v>-2.144308943089571E-3</v>
      </c>
      <c r="BQ132" s="10">
        <f t="shared" si="62"/>
        <v>7.5203252032464199E-5</v>
      </c>
      <c r="BR132" s="10">
        <f t="shared" si="63"/>
        <v>-6.6463414634160224E-4</v>
      </c>
      <c r="BS132" s="10">
        <f t="shared" si="64"/>
        <v>-4.6412601626016963E-3</v>
      </c>
      <c r="BT132" s="10">
        <f t="shared" si="65"/>
        <v>-6.6463414634160224E-4</v>
      </c>
      <c r="BU132" s="10">
        <f t="shared" si="66"/>
        <v>3.5264227642271861E-4</v>
      </c>
      <c r="BV132" s="10">
        <f t="shared" si="67"/>
        <v>4.6067073170730673E-3</v>
      </c>
      <c r="BW132" s="10">
        <f t="shared" si="68"/>
        <v>-1.4969512195122012E-3</v>
      </c>
      <c r="BX132" s="10">
        <f t="shared" si="69"/>
        <v>2.1097560975609415E-3</v>
      </c>
      <c r="BY132" s="10">
        <f t="shared" si="70"/>
        <v>-1.0975609756109349E-4</v>
      </c>
      <c r="BZ132" s="10">
        <f t="shared" si="71"/>
        <v>-1.4969512195122012E-3</v>
      </c>
      <c r="CA132" s="10">
        <f t="shared" si="72"/>
        <v>-2.2367886178862677E-3</v>
      </c>
      <c r="CB132" s="10">
        <f t="shared" si="73"/>
        <v>4.4512195121941528E-4</v>
      </c>
      <c r="CC132" s="10">
        <f t="shared" si="74"/>
        <v>-2.9471544715448691E-4</v>
      </c>
      <c r="CD132" s="10">
        <f t="shared" si="75"/>
        <v>-2.9471544715448691E-4</v>
      </c>
      <c r="CE132" s="10">
        <f t="shared" si="76"/>
        <v>1.4623983739837363E-3</v>
      </c>
      <c r="CF132" s="10">
        <f t="shared" si="77"/>
        <v>9.9999999999992413E-4</v>
      </c>
      <c r="CG132" s="10">
        <f t="shared" si="78"/>
        <v>-2.2367886178862677E-3</v>
      </c>
      <c r="CH132" s="10">
        <f t="shared" si="79"/>
        <v>-2.5142276422765223E-3</v>
      </c>
      <c r="CI132" s="10">
        <f t="shared" si="80"/>
        <v>-8.495934959349957E-4</v>
      </c>
      <c r="CJ132" s="10">
        <f t="shared" si="81"/>
        <v>-2.5142276422765223E-3</v>
      </c>
      <c r="CK132" s="10">
        <f t="shared" si="82"/>
        <v>-1.4969512195122012E-3</v>
      </c>
      <c r="CL132" s="10">
        <f t="shared" si="83"/>
        <v>1.2774390243901785E-3</v>
      </c>
      <c r="CM132" s="10">
        <f t="shared" si="84"/>
        <v>-2.7916666666667764E-3</v>
      </c>
      <c r="CN132" s="10">
        <f t="shared" si="85"/>
        <v>-1.0345528455285534E-3</v>
      </c>
      <c r="CO132" s="10">
        <f t="shared" si="86"/>
        <v>3.5264227642271861E-4</v>
      </c>
      <c r="CP132" s="10">
        <f t="shared" si="87"/>
        <v>7.2256097560966968E-4</v>
      </c>
      <c r="CQ132" s="10">
        <f t="shared" si="88"/>
        <v>1.2774390243901785E-3</v>
      </c>
      <c r="CR132" s="10">
        <f t="shared" si="89"/>
        <v>6.3008130081297295E-4</v>
      </c>
      <c r="CS132" s="10">
        <f t="shared" si="90"/>
        <v>-1.0975609756109349E-4</v>
      </c>
      <c r="CT132" s="10">
        <f t="shared" si="91"/>
        <v>3.0345528455284015E-3</v>
      </c>
      <c r="CU132" s="10">
        <f t="shared" si="92"/>
        <v>-2.2367886178862677E-3</v>
      </c>
      <c r="CV132" s="10">
        <f t="shared" si="93"/>
        <v>-3.5315040650406786E-3</v>
      </c>
      <c r="CW132" s="10">
        <f t="shared" si="94"/>
        <v>-2.0518292682927099E-3</v>
      </c>
      <c r="CX132" s="10">
        <f t="shared" si="95"/>
        <v>-1.3119918699188078E-3</v>
      </c>
      <c r="CY132" s="10">
        <f t="shared" si="96"/>
        <v>2.6646341463414506E-3</v>
      </c>
      <c r="CZ132" s="10">
        <f t="shared" si="97"/>
        <v>2.0172764227642452E-3</v>
      </c>
      <c r="DA132" s="10">
        <f t="shared" si="98"/>
        <v>-2.9471544715448691E-4</v>
      </c>
      <c r="DB132" s="10">
        <f t="shared" si="99"/>
        <v>-2.144308943089571E-3</v>
      </c>
      <c r="DC132" s="10">
        <f t="shared" si="100"/>
        <v>7.2256097560966968E-4</v>
      </c>
      <c r="DD132" s="10">
        <f t="shared" si="101"/>
        <v>-2.144308943089571E-3</v>
      </c>
      <c r="DE132" s="10">
        <f t="shared" si="102"/>
        <v>3.1270325203250982E-3</v>
      </c>
      <c r="DF132" s="10">
        <f t="shared" si="103"/>
        <v>3.0345528455284015E-3</v>
      </c>
      <c r="DG132" s="10">
        <f t="shared" si="104"/>
        <v>-3.6239837398375396E-3</v>
      </c>
      <c r="DH132" s="10">
        <f t="shared" si="105"/>
        <v>1.2774390243901785E-3</v>
      </c>
      <c r="DI132" s="10">
        <f t="shared" si="106"/>
        <v>-1.6819105691057588E-3</v>
      </c>
      <c r="DJ132" s="10">
        <f t="shared" si="107"/>
        <v>1.3699186991868752E-3</v>
      </c>
      <c r="DK132" s="10">
        <f t="shared" si="108"/>
        <v>-1.4044715447155045E-3</v>
      </c>
      <c r="DL132" s="10">
        <f t="shared" si="109"/>
        <v>-1.1270325203252502E-3</v>
      </c>
      <c r="DM132" s="10">
        <f t="shared" si="110"/>
        <v>-5.5660569105691563E-3</v>
      </c>
      <c r="DN132" s="10">
        <f t="shared" si="111"/>
        <v>2.1097560975609415E-3</v>
      </c>
      <c r="DO132" s="10">
        <f t="shared" si="112"/>
        <v>-2.144308943089571E-3</v>
      </c>
      <c r="DP132" s="10">
        <f t="shared" si="113"/>
        <v>1.2774390243901785E-3</v>
      </c>
      <c r="DQ132" s="10">
        <f t="shared" si="114"/>
        <v>-1.0345528455285534E-3</v>
      </c>
      <c r="DR132" s="10">
        <f t="shared" si="115"/>
        <v>-1.7276422764232508E-5</v>
      </c>
      <c r="DS132" s="10">
        <f t="shared" si="116"/>
        <v>-4.2713414634147455E-3</v>
      </c>
      <c r="DT132" s="10">
        <f t="shared" si="117"/>
        <v>-3.2540650406504244E-3</v>
      </c>
      <c r="DU132" s="10">
        <f t="shared" si="118"/>
        <v>-1.0975609756109349E-4</v>
      </c>
      <c r="DV132" s="10">
        <f t="shared" si="119"/>
        <v>-3.8089430894309331E-3</v>
      </c>
      <c r="DW132" s="10">
        <f t="shared" si="120"/>
        <v>-2.0518292682927099E-3</v>
      </c>
    </row>
    <row r="133" spans="2:127" x14ac:dyDescent="0.45">
      <c r="B133" s="1">
        <v>24</v>
      </c>
      <c r="C133" s="1">
        <v>1860</v>
      </c>
      <c r="D133" s="7">
        <f t="shared" si="121"/>
        <v>10.901098901098901</v>
      </c>
      <c r="E133" s="1">
        <v>10.878</v>
      </c>
      <c r="F133" s="1">
        <v>10.903</v>
      </c>
      <c r="G133" s="1">
        <v>10.894</v>
      </c>
      <c r="H133" s="1">
        <v>10.85</v>
      </c>
      <c r="I133" s="1">
        <v>10.894</v>
      </c>
      <c r="J133" s="1">
        <v>10.904999999999999</v>
      </c>
      <c r="K133" s="1">
        <v>10.951000000000001</v>
      </c>
      <c r="L133" s="1">
        <v>10.888</v>
      </c>
      <c r="M133" s="1">
        <v>10.926</v>
      </c>
      <c r="N133" s="1">
        <v>10.9</v>
      </c>
      <c r="O133" s="1">
        <v>10.885</v>
      </c>
      <c r="P133" s="1">
        <v>10.875</v>
      </c>
      <c r="Q133" s="1">
        <v>10.904999999999999</v>
      </c>
      <c r="R133" s="1">
        <v>10.9</v>
      </c>
      <c r="S133" s="1">
        <v>10.897</v>
      </c>
      <c r="T133" s="1">
        <v>10.919</v>
      </c>
      <c r="U133" s="1">
        <v>10.913</v>
      </c>
      <c r="V133" s="1">
        <v>10.877000000000001</v>
      </c>
      <c r="W133" s="1">
        <v>10.874000000000001</v>
      </c>
      <c r="X133" s="1">
        <v>10.888999999999999</v>
      </c>
      <c r="Y133" s="1">
        <v>10.874000000000001</v>
      </c>
      <c r="Z133" s="1">
        <v>10.885999999999999</v>
      </c>
      <c r="AA133" s="1">
        <v>10.914999999999999</v>
      </c>
      <c r="AB133" s="1">
        <v>10.871</v>
      </c>
      <c r="AC133" s="1">
        <v>10.888999999999999</v>
      </c>
      <c r="AD133" s="1">
        <v>10.903</v>
      </c>
      <c r="AE133" s="1">
        <v>10.909000000000001</v>
      </c>
      <c r="AF133" s="1">
        <v>10.914999999999999</v>
      </c>
      <c r="AG133" s="1">
        <v>10.907999999999999</v>
      </c>
      <c r="AH133" s="1">
        <v>10.896000000000001</v>
      </c>
      <c r="AI133" s="1">
        <v>10.933999999999999</v>
      </c>
      <c r="AJ133" s="1">
        <v>10.877000000000001</v>
      </c>
      <c r="AK133" s="1">
        <v>10.865</v>
      </c>
      <c r="AL133" s="1">
        <v>10.88</v>
      </c>
      <c r="AM133" s="1">
        <v>10.885999999999999</v>
      </c>
      <c r="AN133" s="1">
        <v>10.930999999999999</v>
      </c>
      <c r="AO133" s="1">
        <v>10.922000000000001</v>
      </c>
      <c r="AP133" s="1">
        <v>10.9</v>
      </c>
      <c r="AQ133" s="1">
        <v>10.877000000000001</v>
      </c>
      <c r="AR133" s="1">
        <v>10.907999999999999</v>
      </c>
      <c r="AS133" s="1">
        <v>10.877000000000001</v>
      </c>
      <c r="AT133" s="1">
        <v>10.935</v>
      </c>
      <c r="AU133" s="1">
        <v>10.932</v>
      </c>
      <c r="AV133" s="1">
        <v>10.862</v>
      </c>
      <c r="AW133" s="1">
        <v>10.916</v>
      </c>
      <c r="AX133" s="1">
        <v>10.885</v>
      </c>
      <c r="AY133" s="1">
        <v>10.916</v>
      </c>
      <c r="AZ133" s="1">
        <v>10.885999999999999</v>
      </c>
      <c r="BA133" s="1">
        <v>10.888</v>
      </c>
      <c r="BB133" s="1">
        <v>10.84</v>
      </c>
      <c r="BC133" s="1">
        <v>10.926</v>
      </c>
      <c r="BD133" s="1">
        <v>10.88</v>
      </c>
      <c r="BE133" s="1">
        <v>10.914999999999999</v>
      </c>
      <c r="BF133" s="1">
        <v>10.888999999999999</v>
      </c>
      <c r="BG133" s="1">
        <v>10.904999999999999</v>
      </c>
      <c r="BH133" s="1">
        <v>10.855</v>
      </c>
      <c r="BI133" s="1">
        <v>10.867000000000001</v>
      </c>
      <c r="BJ133" s="1">
        <v>10.9</v>
      </c>
      <c r="BK133" s="1">
        <v>10.859</v>
      </c>
      <c r="BL133" s="1">
        <v>10.877000000000001</v>
      </c>
      <c r="BN133" s="9">
        <v>24</v>
      </c>
      <c r="BO133" s="9">
        <v>1860</v>
      </c>
      <c r="BP133" s="10">
        <f t="shared" si="61"/>
        <v>-2.1189516129032477E-3</v>
      </c>
      <c r="BQ133" s="10">
        <f t="shared" si="62"/>
        <v>1.7439516129033337E-4</v>
      </c>
      <c r="BR133" s="10">
        <f t="shared" si="63"/>
        <v>-6.5120967741937529E-4</v>
      </c>
      <c r="BS133" s="10">
        <f t="shared" si="64"/>
        <v>-4.6875000000000649E-3</v>
      </c>
      <c r="BT133" s="10">
        <f t="shared" si="65"/>
        <v>-6.5120967741937529E-4</v>
      </c>
      <c r="BU133" s="10">
        <f t="shared" si="66"/>
        <v>3.5786290322571554E-4</v>
      </c>
      <c r="BV133" s="10">
        <f t="shared" si="67"/>
        <v>4.5776209677419501E-3</v>
      </c>
      <c r="BW133" s="10">
        <f t="shared" si="68"/>
        <v>-1.2016129032258478E-3</v>
      </c>
      <c r="BX133" s="10">
        <f t="shared" si="69"/>
        <v>2.2842741935483689E-3</v>
      </c>
      <c r="BY133" s="10">
        <f t="shared" si="70"/>
        <v>-1.0080645161290286E-4</v>
      </c>
      <c r="BZ133" s="10">
        <f t="shared" si="71"/>
        <v>-1.476814516129084E-3</v>
      </c>
      <c r="CA133" s="10">
        <f t="shared" si="72"/>
        <v>-2.3941532258064837E-3</v>
      </c>
      <c r="CB133" s="10">
        <f t="shared" si="73"/>
        <v>3.5786290322571554E-4</v>
      </c>
      <c r="CC133" s="10">
        <f t="shared" si="74"/>
        <v>-1.0080645161290286E-4</v>
      </c>
      <c r="CD133" s="10">
        <f t="shared" si="75"/>
        <v>-3.7600806451613912E-4</v>
      </c>
      <c r="CE133" s="10">
        <f t="shared" si="76"/>
        <v>1.6421370967742055E-3</v>
      </c>
      <c r="CF133" s="10">
        <f t="shared" si="77"/>
        <v>1.0917338709677332E-3</v>
      </c>
      <c r="CG133" s="10">
        <f t="shared" si="78"/>
        <v>-2.2106854838709385E-3</v>
      </c>
      <c r="CH133" s="10">
        <f t="shared" si="79"/>
        <v>-2.485887096774175E-3</v>
      </c>
      <c r="CI133" s="10">
        <f t="shared" si="80"/>
        <v>-1.1098790322581567E-3</v>
      </c>
      <c r="CJ133" s="10">
        <f t="shared" si="81"/>
        <v>-2.485887096774175E-3</v>
      </c>
      <c r="CK133" s="10">
        <f t="shared" si="82"/>
        <v>-1.385080645161393E-3</v>
      </c>
      <c r="CL133" s="10">
        <f t="shared" si="83"/>
        <v>1.2752016129031153E-3</v>
      </c>
      <c r="CM133" s="10">
        <f t="shared" si="84"/>
        <v>-2.7610887096774111E-3</v>
      </c>
      <c r="CN133" s="10">
        <f t="shared" si="85"/>
        <v>-1.1098790322581567E-3</v>
      </c>
      <c r="CO133" s="10">
        <f t="shared" si="86"/>
        <v>1.7439516129033337E-4</v>
      </c>
      <c r="CP133" s="10">
        <f t="shared" si="87"/>
        <v>7.247983870968058E-4</v>
      </c>
      <c r="CQ133" s="10">
        <f t="shared" si="88"/>
        <v>1.2752016129031153E-3</v>
      </c>
      <c r="CR133" s="10">
        <f t="shared" si="89"/>
        <v>6.3306451612895177E-4</v>
      </c>
      <c r="CS133" s="10">
        <f t="shared" si="90"/>
        <v>-4.6774193548383019E-4</v>
      </c>
      <c r="CT133" s="10">
        <f t="shared" si="91"/>
        <v>3.0181451612902237E-3</v>
      </c>
      <c r="CU133" s="10">
        <f t="shared" si="92"/>
        <v>-2.2106854838709385E-3</v>
      </c>
      <c r="CV133" s="10">
        <f t="shared" si="93"/>
        <v>-3.3114919354838837E-3</v>
      </c>
      <c r="CW133" s="10">
        <f t="shared" si="94"/>
        <v>-1.9354838709677025E-3</v>
      </c>
      <c r="CX133" s="10">
        <f t="shared" si="95"/>
        <v>-1.385080645161393E-3</v>
      </c>
      <c r="CY133" s="10">
        <f t="shared" si="96"/>
        <v>2.7429435483869876E-3</v>
      </c>
      <c r="CZ133" s="10">
        <f t="shared" si="97"/>
        <v>1.9173387096774418E-3</v>
      </c>
      <c r="DA133" s="10">
        <f t="shared" si="98"/>
        <v>-1.0080645161290286E-4</v>
      </c>
      <c r="DB133" s="10">
        <f t="shared" si="99"/>
        <v>-2.2106854838709385E-3</v>
      </c>
      <c r="DC133" s="10">
        <f t="shared" si="100"/>
        <v>6.3306451612895177E-4</v>
      </c>
      <c r="DD133" s="10">
        <f t="shared" si="101"/>
        <v>-2.2106854838709385E-3</v>
      </c>
      <c r="DE133" s="10">
        <f t="shared" si="102"/>
        <v>3.109879032258078E-3</v>
      </c>
      <c r="DF133" s="10">
        <f t="shared" si="103"/>
        <v>2.8346774193548415E-3</v>
      </c>
      <c r="DG133" s="10">
        <f t="shared" si="104"/>
        <v>-3.5866935483871197E-3</v>
      </c>
      <c r="DH133" s="10">
        <f t="shared" si="105"/>
        <v>1.3669354838709694E-3</v>
      </c>
      <c r="DI133" s="10">
        <f t="shared" si="106"/>
        <v>-1.476814516129084E-3</v>
      </c>
      <c r="DJ133" s="10">
        <f t="shared" si="107"/>
        <v>1.3669354838709694E-3</v>
      </c>
      <c r="DK133" s="10">
        <f t="shared" si="108"/>
        <v>-1.385080645161393E-3</v>
      </c>
      <c r="DL133" s="10">
        <f t="shared" si="109"/>
        <v>-1.2016129032258478E-3</v>
      </c>
      <c r="DM133" s="10">
        <f t="shared" si="110"/>
        <v>-5.6048387096774644E-3</v>
      </c>
      <c r="DN133" s="10">
        <f t="shared" si="111"/>
        <v>2.2842741935483689E-3</v>
      </c>
      <c r="DO133" s="10">
        <f t="shared" si="112"/>
        <v>-1.9354838709677025E-3</v>
      </c>
      <c r="DP133" s="10">
        <f t="shared" si="113"/>
        <v>1.2752016129031153E-3</v>
      </c>
      <c r="DQ133" s="10">
        <f t="shared" si="114"/>
        <v>-1.1098790322581567E-3</v>
      </c>
      <c r="DR133" s="10">
        <f t="shared" si="115"/>
        <v>3.5786290322571554E-4</v>
      </c>
      <c r="DS133" s="10">
        <f t="shared" si="116"/>
        <v>-4.2288306451612832E-3</v>
      </c>
      <c r="DT133" s="10">
        <f t="shared" si="117"/>
        <v>-3.1280241935483385E-3</v>
      </c>
      <c r="DU133" s="10">
        <f t="shared" si="118"/>
        <v>-1.0080645161290286E-4</v>
      </c>
      <c r="DV133" s="10">
        <f t="shared" si="119"/>
        <v>-3.8618951612903558E-3</v>
      </c>
      <c r="DW133" s="10">
        <f t="shared" si="120"/>
        <v>-2.2106854838709385E-3</v>
      </c>
    </row>
    <row r="134" spans="2:127" x14ac:dyDescent="0.45">
      <c r="B134" s="1">
        <v>24</v>
      </c>
      <c r="C134" s="1">
        <v>1875</v>
      </c>
      <c r="D134" s="7">
        <f t="shared" si="121"/>
        <v>10.989010989010989</v>
      </c>
      <c r="E134" s="1">
        <v>10.965999999999999</v>
      </c>
      <c r="F134" s="1">
        <v>10.988</v>
      </c>
      <c r="G134" s="1">
        <v>10.987</v>
      </c>
      <c r="H134" s="1">
        <v>10.936</v>
      </c>
      <c r="I134" s="1">
        <v>10.981</v>
      </c>
      <c r="J134" s="1">
        <v>10.993</v>
      </c>
      <c r="K134" s="1">
        <v>11.041</v>
      </c>
      <c r="L134" s="1">
        <v>10.977</v>
      </c>
      <c r="M134" s="1">
        <v>11.012</v>
      </c>
      <c r="N134" s="1">
        <v>10.989000000000001</v>
      </c>
      <c r="O134" s="1">
        <v>10.973000000000001</v>
      </c>
      <c r="P134" s="1">
        <v>10.962</v>
      </c>
      <c r="Q134" s="1">
        <v>10.992000000000001</v>
      </c>
      <c r="R134" s="1">
        <v>10.989000000000001</v>
      </c>
      <c r="S134" s="1">
        <v>10.987</v>
      </c>
      <c r="T134" s="1">
        <v>11.006</v>
      </c>
      <c r="U134" s="1">
        <v>11.002000000000001</v>
      </c>
      <c r="V134" s="1">
        <v>10.964</v>
      </c>
      <c r="W134" s="1">
        <v>10.961</v>
      </c>
      <c r="X134" s="1">
        <v>10.977</v>
      </c>
      <c r="Y134" s="1">
        <v>10.964</v>
      </c>
      <c r="Z134" s="1">
        <v>10.973000000000001</v>
      </c>
      <c r="AA134" s="1">
        <v>11.003</v>
      </c>
      <c r="AB134" s="1">
        <v>10.961</v>
      </c>
      <c r="AC134" s="1">
        <v>10.977</v>
      </c>
      <c r="AD134" s="1">
        <v>10.989000000000001</v>
      </c>
      <c r="AE134" s="1">
        <v>10.996</v>
      </c>
      <c r="AF134" s="1">
        <v>11.003</v>
      </c>
      <c r="AG134" s="1">
        <v>10.996</v>
      </c>
      <c r="AH134" s="1">
        <v>10.984</v>
      </c>
      <c r="AI134" s="1">
        <v>11.022</v>
      </c>
      <c r="AJ134" s="1">
        <v>10.962</v>
      </c>
      <c r="AK134" s="1">
        <v>10.951000000000001</v>
      </c>
      <c r="AL134" s="1">
        <v>10.968</v>
      </c>
      <c r="AM134" s="1">
        <v>10.976000000000001</v>
      </c>
      <c r="AN134" s="1">
        <v>11.021000000000001</v>
      </c>
      <c r="AO134" s="1">
        <v>11.01</v>
      </c>
      <c r="AP134" s="1">
        <v>10.987</v>
      </c>
      <c r="AQ134" s="1">
        <v>10.965</v>
      </c>
      <c r="AR134" s="1">
        <v>10.997999999999999</v>
      </c>
      <c r="AS134" s="1">
        <v>10.965</v>
      </c>
      <c r="AT134" s="1">
        <v>11.021000000000001</v>
      </c>
      <c r="AU134" s="1">
        <v>11.021000000000001</v>
      </c>
      <c r="AV134" s="1">
        <v>10.954000000000001</v>
      </c>
      <c r="AW134" s="1">
        <v>11.006</v>
      </c>
      <c r="AX134" s="1">
        <v>10.973000000000001</v>
      </c>
      <c r="AY134" s="1">
        <v>11.004</v>
      </c>
      <c r="AZ134" s="1">
        <v>10.973000000000001</v>
      </c>
      <c r="BA134" s="1">
        <v>10.973000000000001</v>
      </c>
      <c r="BB134" s="1">
        <v>10.93</v>
      </c>
      <c r="BC134" s="1">
        <v>11.013999999999999</v>
      </c>
      <c r="BD134" s="1">
        <v>10.968999999999999</v>
      </c>
      <c r="BE134" s="1">
        <v>11.002000000000001</v>
      </c>
      <c r="BF134" s="1">
        <v>10.976000000000001</v>
      </c>
      <c r="BG134" s="1">
        <v>10.991</v>
      </c>
      <c r="BH134" s="1">
        <v>10.945</v>
      </c>
      <c r="BI134" s="1">
        <v>10.955</v>
      </c>
      <c r="BJ134" s="1">
        <v>10.988</v>
      </c>
      <c r="BK134" s="1">
        <v>10.952999999999999</v>
      </c>
      <c r="BL134" s="1">
        <v>10.965</v>
      </c>
      <c r="BN134" s="9">
        <v>24</v>
      </c>
      <c r="BO134" s="9">
        <v>1875</v>
      </c>
      <c r="BP134" s="10">
        <f t="shared" si="61"/>
        <v>-2.0940000000000667E-3</v>
      </c>
      <c r="BQ134" s="10">
        <f t="shared" si="62"/>
        <v>-9.200000000004494E-5</v>
      </c>
      <c r="BR134" s="10">
        <f t="shared" si="63"/>
        <v>-1.829999999999945E-4</v>
      </c>
      <c r="BS134" s="10">
        <f t="shared" si="64"/>
        <v>-4.8240000000000088E-3</v>
      </c>
      <c r="BT134" s="10">
        <f t="shared" si="65"/>
        <v>-7.2900000000001523E-4</v>
      </c>
      <c r="BU134" s="10">
        <f t="shared" si="66"/>
        <v>3.6300000000002617E-4</v>
      </c>
      <c r="BV134" s="10">
        <f t="shared" si="67"/>
        <v>4.7310000000000303E-3</v>
      </c>
      <c r="BW134" s="10">
        <f t="shared" si="68"/>
        <v>-1.0929999999999751E-3</v>
      </c>
      <c r="BX134" s="10">
        <f t="shared" si="69"/>
        <v>2.0920000000000378E-3</v>
      </c>
      <c r="BY134" s="10">
        <f t="shared" si="70"/>
        <v>-9.9999999993372047E-7</v>
      </c>
      <c r="BZ134" s="10">
        <f t="shared" si="71"/>
        <v>-1.4569999999999349E-3</v>
      </c>
      <c r="CA134" s="10">
        <f t="shared" si="72"/>
        <v>-2.458000000000027E-3</v>
      </c>
      <c r="CB134" s="10">
        <f t="shared" si="73"/>
        <v>2.7200000000007665E-4</v>
      </c>
      <c r="CC134" s="10">
        <f t="shared" si="74"/>
        <v>-9.9999999993372047E-7</v>
      </c>
      <c r="CD134" s="10">
        <f t="shared" si="75"/>
        <v>-1.829999999999945E-4</v>
      </c>
      <c r="CE134" s="10">
        <f t="shared" si="76"/>
        <v>1.5460000000000172E-3</v>
      </c>
      <c r="CF134" s="10">
        <f t="shared" si="77"/>
        <v>1.1820000000000571E-3</v>
      </c>
      <c r="CG134" s="10">
        <f t="shared" si="78"/>
        <v>-2.275999999999966E-3</v>
      </c>
      <c r="CH134" s="10">
        <f t="shared" si="79"/>
        <v>-2.5489999999999762E-3</v>
      </c>
      <c r="CI134" s="10">
        <f t="shared" si="80"/>
        <v>-1.0929999999999751E-3</v>
      </c>
      <c r="CJ134" s="10">
        <f t="shared" si="81"/>
        <v>-2.275999999999966E-3</v>
      </c>
      <c r="CK134" s="10">
        <f t="shared" si="82"/>
        <v>-1.4569999999999349E-3</v>
      </c>
      <c r="CL134" s="10">
        <f t="shared" si="83"/>
        <v>1.2730000000000068E-3</v>
      </c>
      <c r="CM134" s="10">
        <f t="shared" si="84"/>
        <v>-2.5489999999999762E-3</v>
      </c>
      <c r="CN134" s="10">
        <f t="shared" si="85"/>
        <v>-1.0929999999999751E-3</v>
      </c>
      <c r="CO134" s="10">
        <f t="shared" si="86"/>
        <v>-9.9999999993372047E-7</v>
      </c>
      <c r="CP134" s="10">
        <f t="shared" si="87"/>
        <v>6.3600000000003649E-4</v>
      </c>
      <c r="CQ134" s="10">
        <f t="shared" si="88"/>
        <v>1.2730000000000068E-3</v>
      </c>
      <c r="CR134" s="10">
        <f t="shared" si="89"/>
        <v>6.3600000000003649E-4</v>
      </c>
      <c r="CS134" s="10">
        <f t="shared" si="90"/>
        <v>-4.5600000000000485E-4</v>
      </c>
      <c r="CT134" s="10">
        <f t="shared" si="91"/>
        <v>3.0020000000000185E-3</v>
      </c>
      <c r="CU134" s="10">
        <f t="shared" si="92"/>
        <v>-2.458000000000027E-3</v>
      </c>
      <c r="CV134" s="10">
        <f t="shared" si="93"/>
        <v>-3.4589999999999569E-3</v>
      </c>
      <c r="CW134" s="10">
        <f t="shared" si="94"/>
        <v>-1.9120000000000061E-3</v>
      </c>
      <c r="CX134" s="10">
        <f t="shared" si="95"/>
        <v>-1.1839999999999247E-3</v>
      </c>
      <c r="CY134" s="10">
        <f t="shared" si="96"/>
        <v>2.9110000000000689E-3</v>
      </c>
      <c r="CZ134" s="10">
        <f t="shared" si="97"/>
        <v>1.909999999999977E-3</v>
      </c>
      <c r="DA134" s="10">
        <f t="shared" si="98"/>
        <v>-1.829999999999945E-4</v>
      </c>
      <c r="DB134" s="10">
        <f t="shared" si="99"/>
        <v>-2.1850000000000164E-3</v>
      </c>
      <c r="DC134" s="10">
        <f t="shared" si="100"/>
        <v>8.1799999999993564E-4</v>
      </c>
      <c r="DD134" s="10">
        <f t="shared" si="101"/>
        <v>-2.1850000000000164E-3</v>
      </c>
      <c r="DE134" s="10">
        <f t="shared" si="102"/>
        <v>2.9110000000000689E-3</v>
      </c>
      <c r="DF134" s="10">
        <f t="shared" si="103"/>
        <v>2.9110000000000689E-3</v>
      </c>
      <c r="DG134" s="10">
        <f t="shared" si="104"/>
        <v>-3.1859999999999467E-3</v>
      </c>
      <c r="DH134" s="10">
        <f t="shared" si="105"/>
        <v>1.5460000000000172E-3</v>
      </c>
      <c r="DI134" s="10">
        <f t="shared" si="106"/>
        <v>-1.4569999999999349E-3</v>
      </c>
      <c r="DJ134" s="10">
        <f t="shared" si="107"/>
        <v>1.3639999999999564E-3</v>
      </c>
      <c r="DK134" s="10">
        <f t="shared" si="108"/>
        <v>-1.4569999999999349E-3</v>
      </c>
      <c r="DL134" s="10">
        <f t="shared" si="109"/>
        <v>-1.4569999999999349E-3</v>
      </c>
      <c r="DM134" s="10">
        <f t="shared" si="110"/>
        <v>-5.3700000000000293E-3</v>
      </c>
      <c r="DN134" s="10">
        <f t="shared" si="111"/>
        <v>2.2739999999999371E-3</v>
      </c>
      <c r="DO134" s="10">
        <f t="shared" si="112"/>
        <v>-1.8210000000000565E-3</v>
      </c>
      <c r="DP134" s="10">
        <f t="shared" si="113"/>
        <v>1.1820000000000571E-3</v>
      </c>
      <c r="DQ134" s="10">
        <f t="shared" si="114"/>
        <v>-1.1839999999999247E-3</v>
      </c>
      <c r="DR134" s="10">
        <f t="shared" si="115"/>
        <v>1.8099999999996542E-4</v>
      </c>
      <c r="DS134" s="10">
        <f t="shared" si="116"/>
        <v>-4.0049999999999773E-3</v>
      </c>
      <c r="DT134" s="10">
        <f t="shared" si="117"/>
        <v>-3.0949999999999971E-3</v>
      </c>
      <c r="DU134" s="10">
        <f t="shared" si="118"/>
        <v>-9.200000000004494E-5</v>
      </c>
      <c r="DV134" s="10">
        <f t="shared" si="119"/>
        <v>-3.2770000000000576E-3</v>
      </c>
      <c r="DW134" s="10">
        <f t="shared" si="120"/>
        <v>-2.1850000000000164E-3</v>
      </c>
    </row>
    <row r="135" spans="2:127" x14ac:dyDescent="0.45">
      <c r="B135" s="1">
        <v>24</v>
      </c>
      <c r="C135" s="1">
        <v>1890</v>
      </c>
      <c r="D135" s="7">
        <f t="shared" si="121"/>
        <v>11.076923076923077</v>
      </c>
      <c r="E135" s="1">
        <v>11.053000000000001</v>
      </c>
      <c r="F135" s="1">
        <v>11.074999999999999</v>
      </c>
      <c r="G135" s="1">
        <v>11.076000000000001</v>
      </c>
      <c r="H135" s="1">
        <v>11.022</v>
      </c>
      <c r="I135" s="1">
        <v>11.068</v>
      </c>
      <c r="J135" s="1">
        <v>11.08</v>
      </c>
      <c r="K135" s="1">
        <v>11.129</v>
      </c>
      <c r="L135" s="1">
        <v>11.067</v>
      </c>
      <c r="M135" s="1">
        <v>11.102</v>
      </c>
      <c r="N135" s="1">
        <v>11.077999999999999</v>
      </c>
      <c r="O135" s="1">
        <v>11.061</v>
      </c>
      <c r="P135" s="1">
        <v>11.048</v>
      </c>
      <c r="Q135" s="1">
        <v>11.084</v>
      </c>
      <c r="R135" s="1">
        <v>11.079000000000001</v>
      </c>
      <c r="S135" s="1">
        <v>11.074999999999999</v>
      </c>
      <c r="T135" s="1">
        <v>11.093999999999999</v>
      </c>
      <c r="U135" s="1">
        <v>11.09</v>
      </c>
      <c r="V135" s="1">
        <v>11.05</v>
      </c>
      <c r="W135" s="1">
        <v>11.048999999999999</v>
      </c>
      <c r="X135" s="1">
        <v>11.061</v>
      </c>
      <c r="Y135" s="1">
        <v>11.052</v>
      </c>
      <c r="Z135" s="1">
        <v>11.061</v>
      </c>
      <c r="AA135" s="1">
        <v>11.090999999999999</v>
      </c>
      <c r="AB135" s="1">
        <v>11.045999999999999</v>
      </c>
      <c r="AC135" s="1">
        <v>11.065</v>
      </c>
      <c r="AD135" s="1">
        <v>11.08</v>
      </c>
      <c r="AE135" s="1">
        <v>11.083</v>
      </c>
      <c r="AF135" s="1">
        <v>11.090999999999999</v>
      </c>
      <c r="AG135" s="1">
        <v>11.084</v>
      </c>
      <c r="AH135" s="1">
        <v>11.073</v>
      </c>
      <c r="AI135" s="1">
        <v>11.11</v>
      </c>
      <c r="AJ135" s="1">
        <v>11.048</v>
      </c>
      <c r="AK135" s="1">
        <v>11.04</v>
      </c>
      <c r="AL135" s="1">
        <v>11.054</v>
      </c>
      <c r="AM135" s="1">
        <v>11.063000000000001</v>
      </c>
      <c r="AN135" s="1">
        <v>11.109</v>
      </c>
      <c r="AO135" s="1">
        <v>11.099</v>
      </c>
      <c r="AP135" s="1">
        <v>11.074999999999999</v>
      </c>
      <c r="AQ135" s="1">
        <v>11.055999999999999</v>
      </c>
      <c r="AR135" s="1">
        <v>11.087</v>
      </c>
      <c r="AS135" s="1">
        <v>11.05</v>
      </c>
      <c r="AT135" s="1">
        <v>11.109</v>
      </c>
      <c r="AU135" s="1">
        <v>11.109</v>
      </c>
      <c r="AV135" s="1">
        <v>11.044</v>
      </c>
      <c r="AW135" s="1">
        <v>11.093999999999999</v>
      </c>
      <c r="AX135" s="1">
        <v>11.061</v>
      </c>
      <c r="AY135" s="1">
        <v>11.093999999999999</v>
      </c>
      <c r="AZ135" s="1">
        <v>11.063000000000001</v>
      </c>
      <c r="BA135" s="1">
        <v>11.06</v>
      </c>
      <c r="BB135" s="1">
        <v>11.018000000000001</v>
      </c>
      <c r="BC135" s="1">
        <v>11.101000000000001</v>
      </c>
      <c r="BD135" s="1">
        <v>11.057</v>
      </c>
      <c r="BE135" s="1">
        <v>11.09</v>
      </c>
      <c r="BF135" s="1">
        <v>11.061</v>
      </c>
      <c r="BG135" s="1">
        <v>11.08</v>
      </c>
      <c r="BH135" s="1">
        <v>11.025</v>
      </c>
      <c r="BI135" s="1">
        <v>11.042</v>
      </c>
      <c r="BJ135" s="1">
        <v>11.074999999999999</v>
      </c>
      <c r="BK135" s="1">
        <v>11.04</v>
      </c>
      <c r="BL135" s="1">
        <v>11.053000000000001</v>
      </c>
      <c r="BN135" s="9">
        <v>24</v>
      </c>
      <c r="BO135" s="9">
        <v>1890</v>
      </c>
      <c r="BP135" s="10">
        <f t="shared" si="61"/>
        <v>-2.1597222222221233E-3</v>
      </c>
      <c r="BQ135" s="10">
        <f t="shared" si="62"/>
        <v>-1.7361111111115058E-4</v>
      </c>
      <c r="BR135" s="10">
        <f t="shared" si="63"/>
        <v>-8.3333333333262478E-5</v>
      </c>
      <c r="BS135" s="10">
        <f t="shared" si="64"/>
        <v>-4.9583333333332869E-3</v>
      </c>
      <c r="BT135" s="10">
        <f t="shared" si="65"/>
        <v>-8.0555555555556553E-4</v>
      </c>
      <c r="BU135" s="10">
        <f t="shared" si="66"/>
        <v>2.7777777777780889E-4</v>
      </c>
      <c r="BV135" s="10">
        <f t="shared" si="67"/>
        <v>4.7013888888888739E-3</v>
      </c>
      <c r="BW135" s="10">
        <f t="shared" si="68"/>
        <v>-8.9583333333329333E-4</v>
      </c>
      <c r="BX135" s="10">
        <f t="shared" si="69"/>
        <v>2.263888888888942E-3</v>
      </c>
      <c r="BY135" s="10">
        <f t="shared" si="70"/>
        <v>9.7222222222193011E-5</v>
      </c>
      <c r="BZ135" s="10">
        <f t="shared" si="71"/>
        <v>-1.4374999999999805E-3</v>
      </c>
      <c r="CA135" s="10">
        <f t="shared" si="72"/>
        <v>-2.6111111111110827E-3</v>
      </c>
      <c r="CB135" s="10">
        <f t="shared" si="73"/>
        <v>6.3888888888888025E-4</v>
      </c>
      <c r="CC135" s="10">
        <f t="shared" si="74"/>
        <v>1.8750000000008113E-4</v>
      </c>
      <c r="CD135" s="10">
        <f t="shared" si="75"/>
        <v>-1.7361111111115058E-4</v>
      </c>
      <c r="CE135" s="10">
        <f t="shared" si="76"/>
        <v>1.5416666666666387E-3</v>
      </c>
      <c r="CF135" s="10">
        <f t="shared" si="77"/>
        <v>1.1805555555555675E-3</v>
      </c>
      <c r="CG135" s="10">
        <f t="shared" si="78"/>
        <v>-2.4305555555554667E-3</v>
      </c>
      <c r="CH135" s="10">
        <f t="shared" si="79"/>
        <v>-2.5208333333333549E-3</v>
      </c>
      <c r="CI135" s="10">
        <f t="shared" si="80"/>
        <v>-1.4374999999999805E-3</v>
      </c>
      <c r="CJ135" s="10">
        <f t="shared" si="81"/>
        <v>-2.2500000000000111E-3</v>
      </c>
      <c r="CK135" s="10">
        <f t="shared" si="82"/>
        <v>-1.4374999999999805E-3</v>
      </c>
      <c r="CL135" s="10">
        <f t="shared" si="83"/>
        <v>1.2708333333332951E-3</v>
      </c>
      <c r="CM135" s="10">
        <f t="shared" si="84"/>
        <v>-2.7916666666666983E-3</v>
      </c>
      <c r="CN135" s="10">
        <f t="shared" si="85"/>
        <v>-1.076388888888909E-3</v>
      </c>
      <c r="CO135" s="10">
        <f t="shared" si="86"/>
        <v>2.7777777777780889E-4</v>
      </c>
      <c r="CP135" s="10">
        <f t="shared" si="87"/>
        <v>5.4861111111115246E-4</v>
      </c>
      <c r="CQ135" s="10">
        <f t="shared" si="88"/>
        <v>1.2708333333332951E-3</v>
      </c>
      <c r="CR135" s="10">
        <f t="shared" si="89"/>
        <v>6.3888888888888025E-4</v>
      </c>
      <c r="CS135" s="10">
        <f t="shared" si="90"/>
        <v>-3.5416666666660609E-4</v>
      </c>
      <c r="CT135" s="10">
        <f t="shared" si="91"/>
        <v>2.9861111111110844E-3</v>
      </c>
      <c r="CU135" s="10">
        <f t="shared" si="92"/>
        <v>-2.6111111111110827E-3</v>
      </c>
      <c r="CV135" s="10">
        <f t="shared" si="93"/>
        <v>-3.3333333333333856E-3</v>
      </c>
      <c r="CW135" s="10">
        <f t="shared" si="94"/>
        <v>-2.0694444444443955E-3</v>
      </c>
      <c r="CX135" s="10">
        <f t="shared" si="95"/>
        <v>-1.2569444444443646E-3</v>
      </c>
      <c r="CY135" s="10">
        <f t="shared" si="96"/>
        <v>2.8958333333333566E-3</v>
      </c>
      <c r="CZ135" s="10">
        <f t="shared" si="97"/>
        <v>1.9930555555555981E-3</v>
      </c>
      <c r="DA135" s="10">
        <f t="shared" si="98"/>
        <v>-1.7361111111115058E-4</v>
      </c>
      <c r="DB135" s="10">
        <f t="shared" si="99"/>
        <v>-1.8888888888889399E-3</v>
      </c>
      <c r="DC135" s="10">
        <f t="shared" si="100"/>
        <v>9.0972222222222387E-4</v>
      </c>
      <c r="DD135" s="10">
        <f t="shared" si="101"/>
        <v>-2.4305555555554667E-3</v>
      </c>
      <c r="DE135" s="10">
        <f t="shared" si="102"/>
        <v>2.8958333333333566E-3</v>
      </c>
      <c r="DF135" s="10">
        <f t="shared" si="103"/>
        <v>2.8958333333333566E-3</v>
      </c>
      <c r="DG135" s="10">
        <f t="shared" si="104"/>
        <v>-2.9722222222221539E-3</v>
      </c>
      <c r="DH135" s="10">
        <f t="shared" si="105"/>
        <v>1.5416666666666387E-3</v>
      </c>
      <c r="DI135" s="10">
        <f t="shared" si="106"/>
        <v>-1.4374999999999805E-3</v>
      </c>
      <c r="DJ135" s="10">
        <f t="shared" si="107"/>
        <v>1.5416666666666387E-3</v>
      </c>
      <c r="DK135" s="10">
        <f t="shared" si="108"/>
        <v>-1.2569444444443646E-3</v>
      </c>
      <c r="DL135" s="10">
        <f t="shared" si="109"/>
        <v>-1.5277777777777083E-3</v>
      </c>
      <c r="DM135" s="10">
        <f t="shared" si="110"/>
        <v>-5.3194444444443585E-3</v>
      </c>
      <c r="DN135" s="10">
        <f t="shared" si="111"/>
        <v>2.1736111111112142E-3</v>
      </c>
      <c r="DO135" s="10">
        <f t="shared" si="112"/>
        <v>-1.7986111111110519E-3</v>
      </c>
      <c r="DP135" s="10">
        <f t="shared" si="113"/>
        <v>1.1805555555555675E-3</v>
      </c>
      <c r="DQ135" s="10">
        <f t="shared" si="114"/>
        <v>-1.4374999999999805E-3</v>
      </c>
      <c r="DR135" s="10">
        <f t="shared" si="115"/>
        <v>2.7777777777780889E-4</v>
      </c>
      <c r="DS135" s="10">
        <f t="shared" si="116"/>
        <v>-4.6874999999999434E-3</v>
      </c>
      <c r="DT135" s="10">
        <f t="shared" si="117"/>
        <v>-3.15277777777777E-3</v>
      </c>
      <c r="DU135" s="10">
        <f t="shared" si="118"/>
        <v>-1.7361111111115058E-4</v>
      </c>
      <c r="DV135" s="10">
        <f t="shared" si="119"/>
        <v>-3.3333333333333856E-3</v>
      </c>
      <c r="DW135" s="10">
        <f t="shared" si="120"/>
        <v>-2.1597222222221233E-3</v>
      </c>
    </row>
    <row r="136" spans="2:127" x14ac:dyDescent="0.45">
      <c r="B136" s="1">
        <v>24</v>
      </c>
      <c r="C136" s="1">
        <v>1905</v>
      </c>
      <c r="D136" s="7">
        <f t="shared" si="121"/>
        <v>11.164835164835164</v>
      </c>
      <c r="E136" s="1">
        <v>11.141</v>
      </c>
      <c r="F136" s="1">
        <v>11.162000000000001</v>
      </c>
      <c r="G136" s="1">
        <v>11.167</v>
      </c>
      <c r="H136" s="1">
        <v>11.111000000000001</v>
      </c>
      <c r="I136" s="1">
        <v>11.156000000000001</v>
      </c>
      <c r="J136" s="1">
        <v>11.167999999999999</v>
      </c>
      <c r="K136" s="1">
        <v>11.218999999999999</v>
      </c>
      <c r="L136" s="1">
        <v>11.154999999999999</v>
      </c>
      <c r="M136" s="1">
        <v>11.189</v>
      </c>
      <c r="N136" s="1">
        <v>11.167</v>
      </c>
      <c r="O136" s="1">
        <v>11.148999999999999</v>
      </c>
      <c r="P136" s="1">
        <v>11.135999999999999</v>
      </c>
      <c r="Q136" s="1">
        <v>11.173999999999999</v>
      </c>
      <c r="R136" s="1">
        <v>11.167999999999999</v>
      </c>
      <c r="S136" s="1">
        <v>11.163</v>
      </c>
      <c r="T136" s="1">
        <v>11.180999999999999</v>
      </c>
      <c r="U136" s="1">
        <v>11.178000000000001</v>
      </c>
      <c r="V136" s="1">
        <v>11.137</v>
      </c>
      <c r="W136" s="1">
        <v>11.137</v>
      </c>
      <c r="X136" s="1">
        <v>11.151999999999999</v>
      </c>
      <c r="Y136" s="1">
        <v>11.137</v>
      </c>
      <c r="Z136" s="1">
        <v>11.148</v>
      </c>
      <c r="AA136" s="1">
        <v>11.180999999999999</v>
      </c>
      <c r="AB136" s="1">
        <v>11.135999999999999</v>
      </c>
      <c r="AC136" s="1">
        <v>11.153</v>
      </c>
      <c r="AD136" s="1">
        <v>11.17</v>
      </c>
      <c r="AE136" s="1">
        <v>11.167999999999999</v>
      </c>
      <c r="AF136" s="1">
        <v>11.179</v>
      </c>
      <c r="AG136" s="1">
        <v>11.172000000000001</v>
      </c>
      <c r="AH136" s="1">
        <v>11.162000000000001</v>
      </c>
      <c r="AI136" s="1">
        <v>11.196</v>
      </c>
      <c r="AJ136" s="1">
        <v>11.132</v>
      </c>
      <c r="AK136" s="1">
        <v>11.125999999999999</v>
      </c>
      <c r="AL136" s="1">
        <v>11.144</v>
      </c>
      <c r="AM136" s="1">
        <v>11.148</v>
      </c>
      <c r="AN136" s="1">
        <v>11.196999999999999</v>
      </c>
      <c r="AO136" s="1">
        <v>11.183</v>
      </c>
      <c r="AP136" s="1">
        <v>11.162000000000001</v>
      </c>
      <c r="AQ136" s="1">
        <v>11.141</v>
      </c>
      <c r="AR136" s="1">
        <v>11.173999999999999</v>
      </c>
      <c r="AS136" s="1">
        <v>11.138999999999999</v>
      </c>
      <c r="AT136" s="1">
        <v>11.196999999999999</v>
      </c>
      <c r="AU136" s="1">
        <v>11.196999999999999</v>
      </c>
      <c r="AV136" s="1">
        <v>11.128</v>
      </c>
      <c r="AW136" s="1">
        <v>11.182</v>
      </c>
      <c r="AX136" s="1">
        <v>11.148999999999999</v>
      </c>
      <c r="AY136" s="1">
        <v>11.182</v>
      </c>
      <c r="AZ136" s="1">
        <v>11.147</v>
      </c>
      <c r="BA136" s="1">
        <v>11.148999999999999</v>
      </c>
      <c r="BB136" s="1">
        <v>11.106</v>
      </c>
      <c r="BC136" s="1">
        <v>11.189</v>
      </c>
      <c r="BD136" s="1">
        <v>11.145</v>
      </c>
      <c r="BE136" s="1">
        <v>11.178000000000001</v>
      </c>
      <c r="BF136" s="1">
        <v>11.148</v>
      </c>
      <c r="BG136" s="1">
        <v>11.167</v>
      </c>
      <c r="BH136" s="1">
        <v>11.111000000000001</v>
      </c>
      <c r="BI136" s="1">
        <v>11.128</v>
      </c>
      <c r="BJ136" s="1">
        <v>11.162000000000001</v>
      </c>
      <c r="BK136" s="1">
        <v>11.128</v>
      </c>
      <c r="BL136" s="1">
        <v>11.138999999999999</v>
      </c>
      <c r="BN136" s="9">
        <v>24</v>
      </c>
      <c r="BO136" s="9">
        <v>1905</v>
      </c>
      <c r="BP136" s="10">
        <f t="shared" si="61"/>
        <v>-2.1348425196849857E-3</v>
      </c>
      <c r="BQ136" s="10">
        <f t="shared" si="62"/>
        <v>-2.5393700787389075E-4</v>
      </c>
      <c r="BR136" s="10">
        <f t="shared" si="63"/>
        <v>1.938976377953115E-4</v>
      </c>
      <c r="BS136" s="10">
        <f t="shared" si="64"/>
        <v>-4.821850393700677E-3</v>
      </c>
      <c r="BT136" s="10">
        <f t="shared" si="65"/>
        <v>-7.9133858267706073E-4</v>
      </c>
      <c r="BU136" s="10">
        <f t="shared" si="66"/>
        <v>2.8346456692912011E-4</v>
      </c>
      <c r="BV136" s="10">
        <f t="shared" si="67"/>
        <v>4.8513779527559059E-3</v>
      </c>
      <c r="BW136" s="10">
        <f t="shared" si="68"/>
        <v>-8.8090551181102853E-4</v>
      </c>
      <c r="BX136" s="10">
        <f t="shared" si="69"/>
        <v>2.164370078740215E-3</v>
      </c>
      <c r="BY136" s="10">
        <f t="shared" si="70"/>
        <v>1.938976377953115E-4</v>
      </c>
      <c r="BZ136" s="10">
        <f t="shared" si="71"/>
        <v>-1.4183070866141984E-3</v>
      </c>
      <c r="CA136" s="10">
        <f t="shared" si="72"/>
        <v>-2.5826771653543472E-3</v>
      </c>
      <c r="CB136" s="10">
        <f t="shared" si="73"/>
        <v>8.2086614173229014E-4</v>
      </c>
      <c r="CC136" s="10">
        <f t="shared" si="74"/>
        <v>2.8346456692912011E-4</v>
      </c>
      <c r="CD136" s="10">
        <f t="shared" si="75"/>
        <v>-1.6437007874008214E-4</v>
      </c>
      <c r="CE136" s="10">
        <f t="shared" si="76"/>
        <v>1.4478346456692688E-3</v>
      </c>
      <c r="CF136" s="10">
        <f t="shared" si="77"/>
        <v>1.1791338582678428E-3</v>
      </c>
      <c r="CG136" s="10">
        <f t="shared" si="78"/>
        <v>-2.4931102362203794E-3</v>
      </c>
      <c r="CH136" s="10">
        <f t="shared" si="79"/>
        <v>-2.4931102362203794E-3</v>
      </c>
      <c r="CI136" s="10">
        <f t="shared" si="80"/>
        <v>-1.1496062992126135E-3</v>
      </c>
      <c r="CJ136" s="10">
        <f t="shared" si="81"/>
        <v>-2.4931102362203794E-3</v>
      </c>
      <c r="CK136" s="10">
        <f t="shared" si="82"/>
        <v>-1.507874015748007E-3</v>
      </c>
      <c r="CL136" s="10">
        <f t="shared" si="83"/>
        <v>1.4478346456692688E-3</v>
      </c>
      <c r="CM136" s="10">
        <f t="shared" si="84"/>
        <v>-2.5826771653543472E-3</v>
      </c>
      <c r="CN136" s="10">
        <f t="shared" si="85"/>
        <v>-1.0600393700786457E-3</v>
      </c>
      <c r="CO136" s="10">
        <f t="shared" si="86"/>
        <v>4.6259842519689651E-4</v>
      </c>
      <c r="CP136" s="10">
        <f t="shared" si="87"/>
        <v>2.8346456692912011E-4</v>
      </c>
      <c r="CQ136" s="10">
        <f t="shared" si="88"/>
        <v>1.2687007874016515E-3</v>
      </c>
      <c r="CR136" s="10">
        <f t="shared" si="89"/>
        <v>6.4173228346467285E-4</v>
      </c>
      <c r="CS136" s="10">
        <f t="shared" si="90"/>
        <v>-2.5393700787389075E-4</v>
      </c>
      <c r="CT136" s="10">
        <f t="shared" si="91"/>
        <v>2.7913385826771938E-3</v>
      </c>
      <c r="CU136" s="10">
        <f t="shared" si="92"/>
        <v>-2.9409448818897409E-3</v>
      </c>
      <c r="CV136" s="10">
        <f t="shared" si="93"/>
        <v>-3.4783464566929107E-3</v>
      </c>
      <c r="CW136" s="10">
        <f t="shared" si="94"/>
        <v>-1.8661417322834008E-3</v>
      </c>
      <c r="CX136" s="10">
        <f t="shared" si="95"/>
        <v>-1.507874015748007E-3</v>
      </c>
      <c r="CY136" s="10">
        <f t="shared" si="96"/>
        <v>2.8809055118110024E-3</v>
      </c>
      <c r="CZ136" s="10">
        <f t="shared" si="97"/>
        <v>1.6269685039370452E-3</v>
      </c>
      <c r="DA136" s="10">
        <f t="shared" si="98"/>
        <v>-2.5393700787389075E-4</v>
      </c>
      <c r="DB136" s="10">
        <f t="shared" si="99"/>
        <v>-2.1348425196849857E-3</v>
      </c>
      <c r="DC136" s="10">
        <f t="shared" si="100"/>
        <v>8.2086614173229014E-4</v>
      </c>
      <c r="DD136" s="10">
        <f t="shared" si="101"/>
        <v>-2.3139763779527621E-3</v>
      </c>
      <c r="DE136" s="10">
        <f t="shared" si="102"/>
        <v>2.8809055118110024E-3</v>
      </c>
      <c r="DF136" s="10">
        <f t="shared" si="103"/>
        <v>2.8809055118110024E-3</v>
      </c>
      <c r="DG136" s="10">
        <f t="shared" si="104"/>
        <v>-3.2992125984251343E-3</v>
      </c>
      <c r="DH136" s="10">
        <f t="shared" si="105"/>
        <v>1.5374015748032366E-3</v>
      </c>
      <c r="DI136" s="10">
        <f t="shared" si="106"/>
        <v>-1.4183070866141984E-3</v>
      </c>
      <c r="DJ136" s="10">
        <f t="shared" si="107"/>
        <v>1.5374015748032366E-3</v>
      </c>
      <c r="DK136" s="10">
        <f t="shared" si="108"/>
        <v>-1.5974409448818157E-3</v>
      </c>
      <c r="DL136" s="10">
        <f t="shared" si="109"/>
        <v>-1.4183070866141984E-3</v>
      </c>
      <c r="DM136" s="10">
        <f t="shared" si="110"/>
        <v>-5.2696850393700381E-3</v>
      </c>
      <c r="DN136" s="10">
        <f t="shared" si="111"/>
        <v>2.164370078740215E-3</v>
      </c>
      <c r="DO136" s="10">
        <f t="shared" si="112"/>
        <v>-1.7765748031495921E-3</v>
      </c>
      <c r="DP136" s="10">
        <f t="shared" si="113"/>
        <v>1.1791338582678428E-3</v>
      </c>
      <c r="DQ136" s="10">
        <f t="shared" si="114"/>
        <v>-1.507874015748007E-3</v>
      </c>
      <c r="DR136" s="10">
        <f t="shared" si="115"/>
        <v>1.938976377953115E-4</v>
      </c>
      <c r="DS136" s="10">
        <f t="shared" si="116"/>
        <v>-4.821850393700677E-3</v>
      </c>
      <c r="DT136" s="10">
        <f t="shared" si="117"/>
        <v>-3.2992125984251343E-3</v>
      </c>
      <c r="DU136" s="10">
        <f t="shared" si="118"/>
        <v>-2.5393700787389075E-4</v>
      </c>
      <c r="DV136" s="10">
        <f t="shared" si="119"/>
        <v>-3.2992125984251343E-3</v>
      </c>
      <c r="DW136" s="10">
        <f t="shared" si="120"/>
        <v>-2.3139763779527621E-3</v>
      </c>
    </row>
    <row r="137" spans="2:127" x14ac:dyDescent="0.45">
      <c r="B137" s="1">
        <v>24</v>
      </c>
      <c r="C137" s="1">
        <v>1920</v>
      </c>
      <c r="D137" s="7">
        <f t="shared" si="121"/>
        <v>11.252747252747254</v>
      </c>
      <c r="E137" s="1">
        <v>11.228</v>
      </c>
      <c r="F137" s="1">
        <v>11.250999999999999</v>
      </c>
      <c r="G137" s="1">
        <v>11.257</v>
      </c>
      <c r="H137" s="1">
        <v>11.2</v>
      </c>
      <c r="I137" s="1">
        <v>11.243</v>
      </c>
      <c r="J137" s="1">
        <v>11.254</v>
      </c>
      <c r="K137" s="1">
        <v>11.307</v>
      </c>
      <c r="L137" s="1">
        <v>11.24</v>
      </c>
      <c r="M137" s="1">
        <v>11.278</v>
      </c>
      <c r="N137" s="1">
        <v>11.255000000000001</v>
      </c>
      <c r="O137" s="1">
        <v>11.238</v>
      </c>
      <c r="P137" s="1">
        <v>11.223000000000001</v>
      </c>
      <c r="Q137" s="1">
        <v>11.262</v>
      </c>
      <c r="R137" s="1">
        <v>11.257</v>
      </c>
      <c r="S137" s="1">
        <v>11.25</v>
      </c>
      <c r="T137" s="1">
        <v>11.266999999999999</v>
      </c>
      <c r="U137" s="1">
        <v>11.265000000000001</v>
      </c>
      <c r="V137" s="1">
        <v>11.223000000000001</v>
      </c>
      <c r="W137" s="1">
        <v>11.224</v>
      </c>
      <c r="X137" s="1">
        <v>11.234</v>
      </c>
      <c r="Y137" s="1">
        <v>11.224</v>
      </c>
      <c r="Z137" s="1">
        <v>11.236000000000001</v>
      </c>
      <c r="AA137" s="1">
        <v>11.266999999999999</v>
      </c>
      <c r="AB137" s="1">
        <v>11.223000000000001</v>
      </c>
      <c r="AC137" s="1">
        <v>11.239000000000001</v>
      </c>
      <c r="AD137" s="1">
        <v>11.257999999999999</v>
      </c>
      <c r="AE137" s="1">
        <v>11.257</v>
      </c>
      <c r="AF137" s="1">
        <v>11.266</v>
      </c>
      <c r="AG137" s="1">
        <v>11.260999999999999</v>
      </c>
      <c r="AH137" s="1">
        <v>11.25</v>
      </c>
      <c r="AI137" s="1">
        <v>11.281000000000001</v>
      </c>
      <c r="AJ137" s="1">
        <v>11.215</v>
      </c>
      <c r="AK137" s="1">
        <v>11.212999999999999</v>
      </c>
      <c r="AL137" s="1">
        <v>11.231999999999999</v>
      </c>
      <c r="AM137" s="1">
        <v>11.238</v>
      </c>
      <c r="AN137" s="1">
        <v>11.285</v>
      </c>
      <c r="AO137" s="1">
        <v>11.272</v>
      </c>
      <c r="AP137" s="1">
        <v>11.247999999999999</v>
      </c>
      <c r="AQ137" s="1">
        <v>11.228999999999999</v>
      </c>
      <c r="AR137" s="1">
        <v>11.262</v>
      </c>
      <c r="AS137" s="1">
        <v>11.225</v>
      </c>
      <c r="AT137" s="1">
        <v>11.282</v>
      </c>
      <c r="AU137" s="1">
        <v>11.285</v>
      </c>
      <c r="AV137" s="1">
        <v>11.215</v>
      </c>
      <c r="AW137" s="1">
        <v>11.27</v>
      </c>
      <c r="AX137" s="1">
        <v>11.236000000000001</v>
      </c>
      <c r="AY137" s="1">
        <v>11.269</v>
      </c>
      <c r="AZ137" s="1">
        <v>11.234</v>
      </c>
      <c r="BA137" s="1">
        <v>11.238</v>
      </c>
      <c r="BB137" s="1">
        <v>11.193</v>
      </c>
      <c r="BC137" s="1">
        <v>11.276999999999999</v>
      </c>
      <c r="BD137" s="1">
        <v>11.231999999999999</v>
      </c>
      <c r="BE137" s="1">
        <v>11.265000000000001</v>
      </c>
      <c r="BF137" s="1">
        <v>11.234999999999999</v>
      </c>
      <c r="BG137" s="1">
        <v>11.254</v>
      </c>
      <c r="BH137" s="1">
        <v>11.196999999999999</v>
      </c>
      <c r="BI137" s="1">
        <v>11.215</v>
      </c>
      <c r="BJ137" s="1">
        <v>11.247999999999999</v>
      </c>
      <c r="BK137" s="1">
        <v>11.209</v>
      </c>
      <c r="BL137" s="1">
        <v>11.224</v>
      </c>
      <c r="BN137" s="9">
        <v>24</v>
      </c>
      <c r="BO137" s="9">
        <v>1920</v>
      </c>
      <c r="BP137" s="10">
        <f t="shared" ref="BP137:BP200" si="122">(E137-$D137)/$D137</f>
        <v>-2.1992187500000995E-3</v>
      </c>
      <c r="BQ137" s="10">
        <f t="shared" ref="BQ137:BQ200" si="123">(F137-$D137)/$D137</f>
        <v>-1.5527343750012731E-4</v>
      </c>
      <c r="BR137" s="10">
        <f t="shared" ref="BR137:BR200" si="124">(G137-$D137)/$D137</f>
        <v>3.7792968749989284E-4</v>
      </c>
      <c r="BS137" s="10">
        <f t="shared" ref="BS137:BS200" si="125">(H137-$D137)/$D137</f>
        <v>-4.6875000000001412E-3</v>
      </c>
      <c r="BT137" s="10">
        <f t="shared" ref="BT137:BT200" si="126">(I137-$D137)/$D137</f>
        <v>-8.6621093750004891E-4</v>
      </c>
      <c r="BU137" s="10">
        <f t="shared" ref="BU137:BU200" si="127">(J137-$D137)/$D137</f>
        <v>1.1132812499988277E-4</v>
      </c>
      <c r="BV137" s="10">
        <f t="shared" ref="BV137:BV200" si="128">(K137-$D137)/$D137</f>
        <v>4.821289062499956E-3</v>
      </c>
      <c r="BW137" s="10">
        <f t="shared" ref="BW137:BW200" si="129">(L137-$D137)/$D137</f>
        <v>-1.1328125000000591E-3</v>
      </c>
      <c r="BX137" s="10">
        <f t="shared" ref="BX137:BX200" si="130">(M137-$D137)/$D137</f>
        <v>2.2441406249999636E-3</v>
      </c>
      <c r="BY137" s="10">
        <f t="shared" ref="BY137:BY200" si="131">(N137-$D137)/$D137</f>
        <v>2.0019531249999137E-4</v>
      </c>
      <c r="BZ137" s="10">
        <f t="shared" ref="BZ137:BZ200" si="132">(O137-$D137)/$D137</f>
        <v>-1.3105468750001185E-3</v>
      </c>
      <c r="CA137" s="10">
        <f t="shared" ref="CA137:CA200" si="133">(P137-$D137)/$D137</f>
        <v>-2.6435546875000111E-3</v>
      </c>
      <c r="CB137" s="10">
        <f t="shared" ref="CB137:CB200" si="134">(Q137-$D137)/$D137</f>
        <v>8.2226562499996224E-4</v>
      </c>
      <c r="CC137" s="10">
        <f t="shared" ref="CC137:CC200" si="135">(R137-$D137)/$D137</f>
        <v>3.7792968749989284E-4</v>
      </c>
      <c r="CD137" s="10">
        <f t="shared" ref="CD137:CD200" si="136">(S137-$D137)/$D137</f>
        <v>-2.4414062500007806E-4</v>
      </c>
      <c r="CE137" s="10">
        <f t="shared" ref="CE137:CE200" si="137">(T137-$D137)/$D137</f>
        <v>1.2666015624998739E-3</v>
      </c>
      <c r="CF137" s="10">
        <f t="shared" ref="CF137:CF200" si="138">(U137-$D137)/$D137</f>
        <v>1.0888671874999725E-3</v>
      </c>
      <c r="CG137" s="10">
        <f t="shared" ref="CG137:CG200" si="139">(V137-$D137)/$D137</f>
        <v>-2.6435546875000111E-3</v>
      </c>
      <c r="CH137" s="10">
        <f t="shared" ref="CH137:CH200" si="140">(W137-$D137)/$D137</f>
        <v>-2.5546875000000604E-3</v>
      </c>
      <c r="CI137" s="10">
        <f t="shared" ref="CI137:CI200" si="141">(X137-$D137)/$D137</f>
        <v>-1.6660156250000791E-3</v>
      </c>
      <c r="CJ137" s="10">
        <f t="shared" ref="CJ137:CJ200" si="142">(Y137-$D137)/$D137</f>
        <v>-2.5546875000000604E-3</v>
      </c>
      <c r="CK137" s="10">
        <f t="shared" ref="CK137:CK200" si="143">(Z137-$D137)/$D137</f>
        <v>-1.4882812500000198E-3</v>
      </c>
      <c r="CL137" s="10">
        <f t="shared" ref="CL137:CL200" si="144">(AA137-$D137)/$D137</f>
        <v>1.2666015624998739E-3</v>
      </c>
      <c r="CM137" s="10">
        <f t="shared" ref="CM137:CM200" si="145">(AB137-$D137)/$D137</f>
        <v>-2.6435546875000111E-3</v>
      </c>
      <c r="CN137" s="10">
        <f t="shared" ref="CN137:CN200" si="146">(AC137-$D137)/$D137</f>
        <v>-1.2216796875000099E-3</v>
      </c>
      <c r="CO137" s="10">
        <f t="shared" ref="CO137:CO200" si="147">(AD137-$D137)/$D137</f>
        <v>4.6679687499984358E-4</v>
      </c>
      <c r="CP137" s="10">
        <f t="shared" ref="CP137:CP200" si="148">(AE137-$D137)/$D137</f>
        <v>3.7792968749989284E-4</v>
      </c>
      <c r="CQ137" s="10">
        <f t="shared" ref="CQ137:CQ200" si="149">(AF137-$D137)/$D137</f>
        <v>1.1777343749999232E-3</v>
      </c>
      <c r="CR137" s="10">
        <f t="shared" ref="CR137:CR200" si="150">(AG137-$D137)/$D137</f>
        <v>7.3339843749985363E-4</v>
      </c>
      <c r="CS137" s="10">
        <f t="shared" ref="CS137:CS200" si="151">(AH137-$D137)/$D137</f>
        <v>-2.4414062500007806E-4</v>
      </c>
      <c r="CT137" s="10">
        <f t="shared" ref="CT137:CT200" si="152">(AI137-$D137)/$D137</f>
        <v>2.5107421874999737E-3</v>
      </c>
      <c r="CU137" s="10">
        <f t="shared" ref="CU137:CU200" si="153">(AJ137-$D137)/$D137</f>
        <v>-3.3544921875000903E-3</v>
      </c>
      <c r="CV137" s="10">
        <f t="shared" ref="CV137:CV200" si="154">(AK137-$D137)/$D137</f>
        <v>-3.5322265625001496E-3</v>
      </c>
      <c r="CW137" s="10">
        <f t="shared" ref="CW137:CW200" si="155">(AL137-$D137)/$D137</f>
        <v>-1.8437500000001385E-3</v>
      </c>
      <c r="CX137" s="10">
        <f t="shared" ref="CX137:CX200" si="156">(AM137-$D137)/$D137</f>
        <v>-1.3105468750001185E-3</v>
      </c>
      <c r="CY137" s="10">
        <f t="shared" ref="CY137:CY200" si="157">(AN137-$D137)/$D137</f>
        <v>2.8662109374999341E-3</v>
      </c>
      <c r="CZ137" s="10">
        <f t="shared" ref="CZ137:CZ200" si="158">(AO137-$D137)/$D137</f>
        <v>1.7109374999999432E-3</v>
      </c>
      <c r="DA137" s="10">
        <f t="shared" ref="DA137:DA200" si="159">(AP137-$D137)/$D137</f>
        <v>-4.2187500000013736E-4</v>
      </c>
      <c r="DB137" s="10">
        <f t="shared" ref="DB137:DB200" si="160">(AQ137-$D137)/$D137</f>
        <v>-2.1103515625001488E-3</v>
      </c>
      <c r="DC137" s="10">
        <f t="shared" ref="DC137:DC200" si="161">(AR137-$D137)/$D137</f>
        <v>8.2226562499996224E-4</v>
      </c>
      <c r="DD137" s="10">
        <f t="shared" ref="DD137:DD200" si="162">(AS137-$D137)/$D137</f>
        <v>-2.4658203125001096E-3</v>
      </c>
      <c r="DE137" s="10">
        <f t="shared" ref="DE137:DE200" si="163">(AT137-$D137)/$D137</f>
        <v>2.5996093749999245E-3</v>
      </c>
      <c r="DF137" s="10">
        <f t="shared" ref="DF137:DF200" si="164">(AU137-$D137)/$D137</f>
        <v>2.8662109374999341E-3</v>
      </c>
      <c r="DG137" s="10">
        <f t="shared" ref="DG137:DG200" si="165">(AV137-$D137)/$D137</f>
        <v>-3.3544921875000903E-3</v>
      </c>
      <c r="DH137" s="10">
        <f t="shared" ref="DH137:DH200" si="166">(AW137-$D137)/$D137</f>
        <v>1.5332031249998838E-3</v>
      </c>
      <c r="DI137" s="10">
        <f t="shared" ref="DI137:DI200" si="167">(AX137-$D137)/$D137</f>
        <v>-1.4882812500000198E-3</v>
      </c>
      <c r="DJ137" s="10">
        <f t="shared" ref="DJ137:DJ200" si="168">(AY137-$D137)/$D137</f>
        <v>1.4443359374999331E-3</v>
      </c>
      <c r="DK137" s="10">
        <f t="shared" ref="DK137:DK200" si="169">(AZ137-$D137)/$D137</f>
        <v>-1.6660156250000791E-3</v>
      </c>
      <c r="DL137" s="10">
        <f t="shared" ref="DL137:DL200" si="170">(BA137-$D137)/$D137</f>
        <v>-1.3105468750001185E-3</v>
      </c>
      <c r="DM137" s="10">
        <f t="shared" ref="DM137:DM200" si="171">(BB137-$D137)/$D137</f>
        <v>-5.3095703125001122E-3</v>
      </c>
      <c r="DN137" s="10">
        <f t="shared" ref="DN137:DN200" si="172">(BC137-$D137)/$D137</f>
        <v>2.155273437499855E-3</v>
      </c>
      <c r="DO137" s="10">
        <f t="shared" ref="DO137:DO200" si="173">(BD137-$D137)/$D137</f>
        <v>-1.8437500000001385E-3</v>
      </c>
      <c r="DP137" s="10">
        <f t="shared" ref="DP137:DP200" si="174">(BE137-$D137)/$D137</f>
        <v>1.0888671874999725E-3</v>
      </c>
      <c r="DQ137" s="10">
        <f t="shared" ref="DQ137:DQ200" si="175">(BF137-$D137)/$D137</f>
        <v>-1.5771484375001284E-3</v>
      </c>
      <c r="DR137" s="10">
        <f t="shared" ref="DR137:DR200" si="176">(BG137-$D137)/$D137</f>
        <v>1.1132812499988277E-4</v>
      </c>
      <c r="DS137" s="10">
        <f t="shared" ref="DS137:DS200" si="177">(BH137-$D137)/$D137</f>
        <v>-4.9541015625001513E-3</v>
      </c>
      <c r="DT137" s="10">
        <f t="shared" ref="DT137:DT200" si="178">(BI137-$D137)/$D137</f>
        <v>-3.3544921875000903E-3</v>
      </c>
      <c r="DU137" s="10">
        <f t="shared" ref="DU137:DU200" si="179">(BJ137-$D137)/$D137</f>
        <v>-4.2187500000013736E-4</v>
      </c>
      <c r="DV137" s="10">
        <f t="shared" ref="DV137:DV200" si="180">(BK137-$D137)/$D137</f>
        <v>-3.8876953125001105E-3</v>
      </c>
      <c r="DW137" s="10">
        <f t="shared" ref="DW137:DW200" si="181">(BL137-$D137)/$D137</f>
        <v>-2.5546875000000604E-3</v>
      </c>
    </row>
    <row r="138" spans="2:127" x14ac:dyDescent="0.45">
      <c r="B138" s="1">
        <v>24</v>
      </c>
      <c r="C138" s="1">
        <v>1935</v>
      </c>
      <c r="D138" s="7">
        <f t="shared" ref="D138:D201" si="182">24*C138/4095</f>
        <v>11.340659340659341</v>
      </c>
      <c r="E138" s="1">
        <v>11.311999999999999</v>
      </c>
      <c r="F138" s="1">
        <v>11.340999999999999</v>
      </c>
      <c r="G138" s="1">
        <v>11.343</v>
      </c>
      <c r="H138" s="1">
        <v>11.286</v>
      </c>
      <c r="I138" s="1">
        <v>11.33</v>
      </c>
      <c r="J138" s="1">
        <v>11.340999999999999</v>
      </c>
      <c r="K138" s="1">
        <v>11.394</v>
      </c>
      <c r="L138" s="1">
        <v>11.327</v>
      </c>
      <c r="M138" s="1">
        <v>11.366</v>
      </c>
      <c r="N138" s="1">
        <v>11.342000000000001</v>
      </c>
      <c r="O138" s="1">
        <v>11.324</v>
      </c>
      <c r="P138" s="1">
        <v>11.311</v>
      </c>
      <c r="Q138" s="1">
        <v>11.35</v>
      </c>
      <c r="R138" s="1">
        <v>11.343</v>
      </c>
      <c r="S138" s="1">
        <v>11.335000000000001</v>
      </c>
      <c r="T138" s="1">
        <v>11.356</v>
      </c>
      <c r="U138" s="1">
        <v>11.353</v>
      </c>
      <c r="V138" s="1">
        <v>11.311</v>
      </c>
      <c r="W138" s="1">
        <v>11.311</v>
      </c>
      <c r="X138" s="1">
        <v>11.326000000000001</v>
      </c>
      <c r="Y138" s="1">
        <v>11.314</v>
      </c>
      <c r="Z138" s="1">
        <v>11.323</v>
      </c>
      <c r="AA138" s="1">
        <v>11.353</v>
      </c>
      <c r="AB138" s="1">
        <v>11.308999999999999</v>
      </c>
      <c r="AC138" s="1">
        <v>11.327</v>
      </c>
      <c r="AD138" s="1">
        <v>11.346</v>
      </c>
      <c r="AE138" s="1">
        <v>11.345000000000001</v>
      </c>
      <c r="AF138" s="1">
        <v>11.353999999999999</v>
      </c>
      <c r="AG138" s="1">
        <v>11.349</v>
      </c>
      <c r="AH138" s="1">
        <v>11.337999999999999</v>
      </c>
      <c r="AI138" s="1">
        <v>11.369</v>
      </c>
      <c r="AJ138" s="1">
        <v>11.303000000000001</v>
      </c>
      <c r="AK138" s="1">
        <v>11.3</v>
      </c>
      <c r="AL138" s="1">
        <v>11.319000000000001</v>
      </c>
      <c r="AM138" s="1">
        <v>11.327</v>
      </c>
      <c r="AN138" s="1">
        <v>11.372999999999999</v>
      </c>
      <c r="AO138" s="1">
        <v>11.356999999999999</v>
      </c>
      <c r="AP138" s="1">
        <v>11.337</v>
      </c>
      <c r="AQ138" s="1">
        <v>11.318</v>
      </c>
      <c r="AR138" s="1">
        <v>11.35</v>
      </c>
      <c r="AS138" s="1">
        <v>11.315</v>
      </c>
      <c r="AT138" s="1">
        <v>11.369</v>
      </c>
      <c r="AU138" s="1">
        <v>11.371</v>
      </c>
      <c r="AV138" s="1">
        <v>11.295999999999999</v>
      </c>
      <c r="AW138" s="1">
        <v>11.36</v>
      </c>
      <c r="AX138" s="1">
        <v>11.324</v>
      </c>
      <c r="AY138" s="1">
        <v>11.358000000000001</v>
      </c>
      <c r="AZ138" s="1">
        <v>11.324</v>
      </c>
      <c r="BA138" s="1">
        <v>11.324</v>
      </c>
      <c r="BB138" s="1">
        <v>11.281000000000001</v>
      </c>
      <c r="BC138" s="1">
        <v>11.362</v>
      </c>
      <c r="BD138" s="1">
        <v>11.321999999999999</v>
      </c>
      <c r="BE138" s="1">
        <v>11.353</v>
      </c>
      <c r="BF138" s="1">
        <v>11.321999999999999</v>
      </c>
      <c r="BG138" s="1">
        <v>11.342000000000001</v>
      </c>
      <c r="BH138" s="1">
        <v>11.284000000000001</v>
      </c>
      <c r="BI138" s="1">
        <v>11.304</v>
      </c>
      <c r="BJ138" s="1">
        <v>11.335000000000001</v>
      </c>
      <c r="BK138" s="1">
        <v>11.304</v>
      </c>
      <c r="BL138" s="1">
        <v>11.308999999999999</v>
      </c>
      <c r="BN138" s="9">
        <v>24</v>
      </c>
      <c r="BO138" s="9">
        <v>1935</v>
      </c>
      <c r="BP138" s="10">
        <f t="shared" si="122"/>
        <v>-2.5271317829458403E-3</v>
      </c>
      <c r="BQ138" s="10">
        <f t="shared" si="123"/>
        <v>3.0038759689811159E-5</v>
      </c>
      <c r="BR138" s="10">
        <f t="shared" si="124"/>
        <v>2.0639534883715687E-4</v>
      </c>
      <c r="BS138" s="10">
        <f t="shared" si="125"/>
        <v>-4.8197674418605507E-3</v>
      </c>
      <c r="BT138" s="10">
        <f t="shared" si="126"/>
        <v>-9.3992248062019863E-4</v>
      </c>
      <c r="BU138" s="10">
        <f t="shared" si="127"/>
        <v>3.0038759689811159E-5</v>
      </c>
      <c r="BV138" s="10">
        <f t="shared" si="128"/>
        <v>4.7034883720929845E-3</v>
      </c>
      <c r="BW138" s="10">
        <f t="shared" si="129"/>
        <v>-1.2044573643411388E-3</v>
      </c>
      <c r="BX138" s="10">
        <f t="shared" si="130"/>
        <v>2.2344961240309278E-3</v>
      </c>
      <c r="BY138" s="10">
        <f t="shared" si="131"/>
        <v>1.1821705426356234E-4</v>
      </c>
      <c r="BZ138" s="10">
        <f t="shared" si="132"/>
        <v>-1.468992248062079E-3</v>
      </c>
      <c r="CA138" s="10">
        <f t="shared" si="133"/>
        <v>-2.6153100775194345E-3</v>
      </c>
      <c r="CB138" s="10">
        <f t="shared" si="134"/>
        <v>8.2364341085263185E-4</v>
      </c>
      <c r="CC138" s="10">
        <f t="shared" si="135"/>
        <v>2.0639534883715687E-4</v>
      </c>
      <c r="CD138" s="10">
        <f t="shared" si="136"/>
        <v>-4.9903100775191265E-4</v>
      </c>
      <c r="CE138" s="10">
        <f t="shared" si="137"/>
        <v>1.3527131782945124E-3</v>
      </c>
      <c r="CF138" s="10">
        <f t="shared" si="138"/>
        <v>1.0881782945735721E-3</v>
      </c>
      <c r="CG138" s="10">
        <f t="shared" si="139"/>
        <v>-2.6153100775194345E-3</v>
      </c>
      <c r="CH138" s="10">
        <f t="shared" si="140"/>
        <v>-2.6153100775194345E-3</v>
      </c>
      <c r="CI138" s="10">
        <f t="shared" si="141"/>
        <v>-1.2926356589147334E-3</v>
      </c>
      <c r="CJ138" s="10">
        <f t="shared" si="142"/>
        <v>-2.3507751937984944E-3</v>
      </c>
      <c r="CK138" s="10">
        <f t="shared" si="143"/>
        <v>-1.5571705426356737E-3</v>
      </c>
      <c r="CL138" s="10">
        <f t="shared" si="144"/>
        <v>1.0881782945735721E-3</v>
      </c>
      <c r="CM138" s="10">
        <f t="shared" si="145"/>
        <v>-2.7916666666667803E-3</v>
      </c>
      <c r="CN138" s="10">
        <f t="shared" si="146"/>
        <v>-1.2044573643411388E-3</v>
      </c>
      <c r="CO138" s="10">
        <f t="shared" si="147"/>
        <v>4.7093023255809712E-4</v>
      </c>
      <c r="CP138" s="10">
        <f t="shared" si="148"/>
        <v>3.8275193798450259E-4</v>
      </c>
      <c r="CQ138" s="10">
        <f t="shared" si="149"/>
        <v>1.1763565891471667E-3</v>
      </c>
      <c r="CR138" s="10">
        <f t="shared" si="150"/>
        <v>7.3546511627903732E-4</v>
      </c>
      <c r="CS138" s="10">
        <f t="shared" si="151"/>
        <v>-2.3449612403112909E-4</v>
      </c>
      <c r="CT138" s="10">
        <f t="shared" si="152"/>
        <v>2.4990310077518678E-3</v>
      </c>
      <c r="CU138" s="10">
        <f t="shared" si="153"/>
        <v>-3.3207364341085043E-3</v>
      </c>
      <c r="CV138" s="10">
        <f t="shared" si="154"/>
        <v>-3.5852713178294443E-3</v>
      </c>
      <c r="CW138" s="10">
        <f t="shared" si="155"/>
        <v>-1.9098837209302083E-3</v>
      </c>
      <c r="CX138" s="10">
        <f t="shared" si="156"/>
        <v>-1.2044573643411388E-3</v>
      </c>
      <c r="CY138" s="10">
        <f t="shared" si="157"/>
        <v>2.8517441860464025E-3</v>
      </c>
      <c r="CZ138" s="10">
        <f t="shared" si="158"/>
        <v>1.440891472868107E-3</v>
      </c>
      <c r="DA138" s="10">
        <f t="shared" si="159"/>
        <v>-3.2267441860472365E-4</v>
      </c>
      <c r="DB138" s="10">
        <f t="shared" si="160"/>
        <v>-1.9980620155039598E-3</v>
      </c>
      <c r="DC138" s="10">
        <f t="shared" si="161"/>
        <v>8.2364341085263185E-4</v>
      </c>
      <c r="DD138" s="10">
        <f t="shared" si="162"/>
        <v>-2.2625968992248998E-3</v>
      </c>
      <c r="DE138" s="10">
        <f t="shared" si="163"/>
        <v>2.4990310077518678E-3</v>
      </c>
      <c r="DF138" s="10">
        <f t="shared" si="164"/>
        <v>2.6753875968992136E-3</v>
      </c>
      <c r="DG138" s="10">
        <f t="shared" si="165"/>
        <v>-3.937984496124136E-3</v>
      </c>
      <c r="DH138" s="10">
        <f t="shared" si="166"/>
        <v>1.7054263565890473E-3</v>
      </c>
      <c r="DI138" s="10">
        <f t="shared" si="167"/>
        <v>-1.468992248062079E-3</v>
      </c>
      <c r="DJ138" s="10">
        <f t="shared" si="168"/>
        <v>1.5290697674418582E-3</v>
      </c>
      <c r="DK138" s="10">
        <f t="shared" si="169"/>
        <v>-1.468992248062079E-3</v>
      </c>
      <c r="DL138" s="10">
        <f t="shared" si="170"/>
        <v>-1.468992248062079E-3</v>
      </c>
      <c r="DM138" s="10">
        <f t="shared" si="171"/>
        <v>-5.2606589147286805E-3</v>
      </c>
      <c r="DN138" s="10">
        <f t="shared" si="172"/>
        <v>1.8817829457363929E-3</v>
      </c>
      <c r="DO138" s="10">
        <f t="shared" si="173"/>
        <v>-1.6453488372094249E-3</v>
      </c>
      <c r="DP138" s="10">
        <f t="shared" si="174"/>
        <v>1.0881782945735721E-3</v>
      </c>
      <c r="DQ138" s="10">
        <f t="shared" si="175"/>
        <v>-1.6453488372094249E-3</v>
      </c>
      <c r="DR138" s="10">
        <f t="shared" si="176"/>
        <v>1.1821705426356234E-4</v>
      </c>
      <c r="DS138" s="10">
        <f t="shared" si="177"/>
        <v>-4.99612403100774E-3</v>
      </c>
      <c r="DT138" s="10">
        <f t="shared" si="178"/>
        <v>-3.2325581395349096E-3</v>
      </c>
      <c r="DU138" s="10">
        <f t="shared" si="179"/>
        <v>-4.9903100775191265E-4</v>
      </c>
      <c r="DV138" s="10">
        <f t="shared" si="180"/>
        <v>-3.2325581395349096E-3</v>
      </c>
      <c r="DW138" s="10">
        <f t="shared" si="181"/>
        <v>-2.7916666666667803E-3</v>
      </c>
    </row>
    <row r="139" spans="2:127" x14ac:dyDescent="0.45">
      <c r="B139" s="1">
        <v>24</v>
      </c>
      <c r="C139" s="1">
        <v>1950</v>
      </c>
      <c r="D139" s="7">
        <f t="shared" si="182"/>
        <v>11.428571428571429</v>
      </c>
      <c r="E139" s="1">
        <v>11.398</v>
      </c>
      <c r="F139" s="1">
        <v>11.429</v>
      </c>
      <c r="G139" s="1">
        <v>11.433</v>
      </c>
      <c r="H139" s="1">
        <v>11.372</v>
      </c>
      <c r="I139" s="1">
        <v>11.417999999999999</v>
      </c>
      <c r="J139" s="1">
        <v>11.427</v>
      </c>
      <c r="K139" s="1">
        <v>11.481999999999999</v>
      </c>
      <c r="L139" s="1">
        <v>11.413</v>
      </c>
      <c r="M139" s="1">
        <v>11.455</v>
      </c>
      <c r="N139" s="1">
        <v>11.43</v>
      </c>
      <c r="O139" s="1">
        <v>11.411</v>
      </c>
      <c r="P139" s="1">
        <v>11.398</v>
      </c>
      <c r="Q139" s="1">
        <v>11.436999999999999</v>
      </c>
      <c r="R139" s="1">
        <v>11.43</v>
      </c>
      <c r="S139" s="1">
        <v>11.425000000000001</v>
      </c>
      <c r="T139" s="1">
        <v>11.446</v>
      </c>
      <c r="U139" s="1">
        <v>11.441000000000001</v>
      </c>
      <c r="V139" s="1">
        <v>11.398999999999999</v>
      </c>
      <c r="W139" s="1">
        <v>11.398999999999999</v>
      </c>
      <c r="X139" s="1">
        <v>11.414999999999999</v>
      </c>
      <c r="Y139" s="1">
        <v>11.403</v>
      </c>
      <c r="Z139" s="1">
        <v>11.411</v>
      </c>
      <c r="AA139" s="1">
        <v>11.441000000000001</v>
      </c>
      <c r="AB139" s="1">
        <v>11.398</v>
      </c>
      <c r="AC139" s="1">
        <v>11.414</v>
      </c>
      <c r="AD139" s="1">
        <v>11.433999999999999</v>
      </c>
      <c r="AE139" s="1">
        <v>11.433</v>
      </c>
      <c r="AF139" s="1">
        <v>11.442</v>
      </c>
      <c r="AG139" s="1">
        <v>11.436</v>
      </c>
      <c r="AH139" s="1">
        <v>11.425000000000001</v>
      </c>
      <c r="AI139" s="1">
        <v>11.459</v>
      </c>
      <c r="AJ139" s="1">
        <v>11.388</v>
      </c>
      <c r="AK139" s="1">
        <v>11.384</v>
      </c>
      <c r="AL139" s="1">
        <v>11.407</v>
      </c>
      <c r="AM139" s="1">
        <v>11.417</v>
      </c>
      <c r="AN139" s="1">
        <v>11.46</v>
      </c>
      <c r="AO139" s="1">
        <v>11.448</v>
      </c>
      <c r="AP139" s="1">
        <v>11.423</v>
      </c>
      <c r="AQ139" s="1">
        <v>11.403</v>
      </c>
      <c r="AR139" s="1">
        <v>11.436999999999999</v>
      </c>
      <c r="AS139" s="1">
        <v>11.403</v>
      </c>
      <c r="AT139" s="1">
        <v>11.457000000000001</v>
      </c>
      <c r="AU139" s="1">
        <v>11.457000000000001</v>
      </c>
      <c r="AV139" s="1">
        <v>11.391</v>
      </c>
      <c r="AW139" s="1">
        <v>11.448</v>
      </c>
      <c r="AX139" s="1">
        <v>11.413</v>
      </c>
      <c r="AY139" s="1">
        <v>11.444000000000001</v>
      </c>
      <c r="AZ139" s="1">
        <v>11.413</v>
      </c>
      <c r="BA139" s="1">
        <v>11.413</v>
      </c>
      <c r="BB139" s="1">
        <v>11.368</v>
      </c>
      <c r="BC139" s="1">
        <v>11.452</v>
      </c>
      <c r="BD139" s="1">
        <v>11.41</v>
      </c>
      <c r="BE139" s="1">
        <v>11.438000000000001</v>
      </c>
      <c r="BF139" s="1">
        <v>11.407999999999999</v>
      </c>
      <c r="BG139" s="1">
        <v>11.429</v>
      </c>
      <c r="BH139" s="1">
        <v>11.372999999999999</v>
      </c>
      <c r="BI139" s="1">
        <v>11.391999999999999</v>
      </c>
      <c r="BJ139" s="1">
        <v>11.423</v>
      </c>
      <c r="BK139" s="1">
        <v>11.384</v>
      </c>
      <c r="BL139" s="1">
        <v>11.395</v>
      </c>
      <c r="BN139" s="9">
        <v>24</v>
      </c>
      <c r="BO139" s="9">
        <v>1950</v>
      </c>
      <c r="BP139" s="10">
        <f t="shared" si="122"/>
        <v>-2.6750000000000493E-3</v>
      </c>
      <c r="BQ139" s="10">
        <f t="shared" si="123"/>
        <v>3.750000000000142E-5</v>
      </c>
      <c r="BR139" s="10">
        <f t="shared" si="124"/>
        <v>3.8749999999996285E-4</v>
      </c>
      <c r="BS139" s="10">
        <f t="shared" si="125"/>
        <v>-4.9500000000000316E-3</v>
      </c>
      <c r="BT139" s="10">
        <f t="shared" si="126"/>
        <v>-9.2500000000008689E-4</v>
      </c>
      <c r="BU139" s="10">
        <f t="shared" si="127"/>
        <v>-1.3750000000005701E-4</v>
      </c>
      <c r="BV139" s="10">
        <f t="shared" si="128"/>
        <v>4.6749999999999179E-3</v>
      </c>
      <c r="BW139" s="10">
        <f t="shared" si="129"/>
        <v>-1.3624999999999998E-3</v>
      </c>
      <c r="BX139" s="10">
        <f t="shared" si="130"/>
        <v>2.3124999999999838E-3</v>
      </c>
      <c r="BY139" s="10">
        <f t="shared" si="131"/>
        <v>1.2499999999995292E-4</v>
      </c>
      <c r="BZ139" s="10">
        <f t="shared" si="132"/>
        <v>-1.5375000000000581E-3</v>
      </c>
      <c r="CA139" s="10">
        <f t="shared" si="133"/>
        <v>-2.6750000000000493E-3</v>
      </c>
      <c r="CB139" s="10">
        <f t="shared" si="134"/>
        <v>7.3749999999992431E-4</v>
      </c>
      <c r="CC139" s="10">
        <f t="shared" si="135"/>
        <v>1.2499999999995292E-4</v>
      </c>
      <c r="CD139" s="10">
        <f t="shared" si="136"/>
        <v>-3.1249999999996E-4</v>
      </c>
      <c r="CE139" s="10">
        <f t="shared" si="137"/>
        <v>1.5249999999999541E-3</v>
      </c>
      <c r="CF139" s="10">
        <f t="shared" si="138"/>
        <v>1.0875000000000411E-3</v>
      </c>
      <c r="CG139" s="10">
        <f t="shared" si="139"/>
        <v>-2.587500000000098E-3</v>
      </c>
      <c r="CH139" s="10">
        <f t="shared" si="140"/>
        <v>-2.587500000000098E-3</v>
      </c>
      <c r="CI139" s="10">
        <f t="shared" si="141"/>
        <v>-1.1875000000000967E-3</v>
      </c>
      <c r="CJ139" s="10">
        <f t="shared" si="142"/>
        <v>-2.2374999999999813E-3</v>
      </c>
      <c r="CK139" s="10">
        <f t="shared" si="143"/>
        <v>-1.5375000000000581E-3</v>
      </c>
      <c r="CL139" s="10">
        <f t="shared" si="144"/>
        <v>1.0875000000000411E-3</v>
      </c>
      <c r="CM139" s="10">
        <f t="shared" si="145"/>
        <v>-2.6750000000000493E-3</v>
      </c>
      <c r="CN139" s="10">
        <f t="shared" si="146"/>
        <v>-1.2750000000000482E-3</v>
      </c>
      <c r="CO139" s="10">
        <f t="shared" si="147"/>
        <v>4.7499999999991435E-4</v>
      </c>
      <c r="CP139" s="10">
        <f t="shared" si="148"/>
        <v>3.8749999999996285E-4</v>
      </c>
      <c r="CQ139" s="10">
        <f t="shared" si="149"/>
        <v>1.1749999999999927E-3</v>
      </c>
      <c r="CR139" s="10">
        <f t="shared" si="150"/>
        <v>6.4999999999997276E-4</v>
      </c>
      <c r="CS139" s="10">
        <f t="shared" si="151"/>
        <v>-3.1249999999996E-4</v>
      </c>
      <c r="CT139" s="10">
        <f t="shared" si="152"/>
        <v>2.6624999999999453E-3</v>
      </c>
      <c r="CU139" s="10">
        <f t="shared" si="153"/>
        <v>-3.550000000000031E-3</v>
      </c>
      <c r="CV139" s="10">
        <f t="shared" si="154"/>
        <v>-3.8999999999999924E-3</v>
      </c>
      <c r="CW139" s="10">
        <f t="shared" si="155"/>
        <v>-1.8875000000000196E-3</v>
      </c>
      <c r="CX139" s="10">
        <f t="shared" si="156"/>
        <v>-1.0125000000000383E-3</v>
      </c>
      <c r="CY139" s="10">
        <f t="shared" si="157"/>
        <v>2.7500000000000523E-3</v>
      </c>
      <c r="CZ139" s="10">
        <f t="shared" si="158"/>
        <v>1.7000000000000125E-3</v>
      </c>
      <c r="DA139" s="10">
        <f t="shared" si="159"/>
        <v>-4.8750000000001846E-4</v>
      </c>
      <c r="DB139" s="10">
        <f t="shared" si="160"/>
        <v>-2.2374999999999813E-3</v>
      </c>
      <c r="DC139" s="10">
        <f t="shared" si="161"/>
        <v>7.3749999999992431E-4</v>
      </c>
      <c r="DD139" s="10">
        <f t="shared" si="162"/>
        <v>-2.2374999999999813E-3</v>
      </c>
      <c r="DE139" s="10">
        <f t="shared" si="163"/>
        <v>2.4875000000000422E-3</v>
      </c>
      <c r="DF139" s="10">
        <f t="shared" si="164"/>
        <v>2.4875000000000422E-3</v>
      </c>
      <c r="DG139" s="10">
        <f t="shared" si="165"/>
        <v>-3.2875000000000209E-3</v>
      </c>
      <c r="DH139" s="10">
        <f t="shared" si="166"/>
        <v>1.7000000000000125E-3</v>
      </c>
      <c r="DI139" s="10">
        <f t="shared" si="167"/>
        <v>-1.3624999999999998E-3</v>
      </c>
      <c r="DJ139" s="10">
        <f t="shared" si="168"/>
        <v>1.350000000000051E-3</v>
      </c>
      <c r="DK139" s="10">
        <f t="shared" si="169"/>
        <v>-1.3624999999999998E-3</v>
      </c>
      <c r="DL139" s="10">
        <f t="shared" si="170"/>
        <v>-1.3624999999999998E-3</v>
      </c>
      <c r="DM139" s="10">
        <f t="shared" si="171"/>
        <v>-5.2999999999999931E-3</v>
      </c>
      <c r="DN139" s="10">
        <f t="shared" si="172"/>
        <v>2.0499999999999742E-3</v>
      </c>
      <c r="DO139" s="10">
        <f t="shared" si="173"/>
        <v>-1.6250000000000097E-3</v>
      </c>
      <c r="DP139" s="10">
        <f t="shared" si="174"/>
        <v>8.2500000000003122E-4</v>
      </c>
      <c r="DQ139" s="10">
        <f t="shared" si="175"/>
        <v>-1.8000000000000683E-3</v>
      </c>
      <c r="DR139" s="10">
        <f t="shared" si="176"/>
        <v>3.750000000000142E-5</v>
      </c>
      <c r="DS139" s="10">
        <f t="shared" si="177"/>
        <v>-4.8625000000000803E-3</v>
      </c>
      <c r="DT139" s="10">
        <f t="shared" si="178"/>
        <v>-3.2000000000000695E-3</v>
      </c>
      <c r="DU139" s="10">
        <f t="shared" si="179"/>
        <v>-4.8750000000001846E-4</v>
      </c>
      <c r="DV139" s="10">
        <f t="shared" si="180"/>
        <v>-3.8999999999999924E-3</v>
      </c>
      <c r="DW139" s="10">
        <f t="shared" si="181"/>
        <v>-2.9375000000000594E-3</v>
      </c>
    </row>
    <row r="140" spans="2:127" x14ac:dyDescent="0.45">
      <c r="B140" s="1">
        <v>24</v>
      </c>
      <c r="C140" s="1">
        <v>1965</v>
      </c>
      <c r="D140" s="7">
        <f t="shared" si="182"/>
        <v>11.516483516483516</v>
      </c>
      <c r="E140" s="1">
        <v>11.48</v>
      </c>
      <c r="F140" s="1">
        <v>11.516999999999999</v>
      </c>
      <c r="G140" s="1">
        <v>11.52</v>
      </c>
      <c r="H140" s="1">
        <v>11.459</v>
      </c>
      <c r="I140" s="1">
        <v>11.505000000000001</v>
      </c>
      <c r="J140" s="1">
        <v>11.513999999999999</v>
      </c>
      <c r="K140" s="1">
        <v>11.57</v>
      </c>
      <c r="L140" s="1">
        <v>11.502000000000001</v>
      </c>
      <c r="M140" s="1">
        <v>11.541</v>
      </c>
      <c r="N140" s="1">
        <v>11.516999999999999</v>
      </c>
      <c r="O140" s="1">
        <v>11.497</v>
      </c>
      <c r="P140" s="1">
        <v>11.486000000000001</v>
      </c>
      <c r="Q140" s="1">
        <v>11.528</v>
      </c>
      <c r="R140" s="1">
        <v>11.516999999999999</v>
      </c>
      <c r="S140" s="1">
        <v>11.512</v>
      </c>
      <c r="T140" s="1">
        <v>11.532999999999999</v>
      </c>
      <c r="U140" s="1">
        <v>11.528</v>
      </c>
      <c r="V140" s="1">
        <v>11.486000000000001</v>
      </c>
      <c r="W140" s="1">
        <v>11.486000000000001</v>
      </c>
      <c r="X140" s="1">
        <v>11.500999999999999</v>
      </c>
      <c r="Y140" s="1">
        <v>11.49</v>
      </c>
      <c r="Z140" s="1">
        <v>11.497999999999999</v>
      </c>
      <c r="AA140" s="1">
        <v>11.528</v>
      </c>
      <c r="AB140" s="1">
        <v>11.484</v>
      </c>
      <c r="AC140" s="1">
        <v>11.499000000000001</v>
      </c>
      <c r="AD140" s="1">
        <v>11.522</v>
      </c>
      <c r="AE140" s="1">
        <v>11.52</v>
      </c>
      <c r="AF140" s="1">
        <v>11.529</v>
      </c>
      <c r="AG140" s="1">
        <v>11.521000000000001</v>
      </c>
      <c r="AH140" s="1">
        <v>11.512</v>
      </c>
      <c r="AI140" s="1">
        <v>11.544</v>
      </c>
      <c r="AJ140" s="1">
        <v>11.476000000000001</v>
      </c>
      <c r="AK140" s="1">
        <v>11.471</v>
      </c>
      <c r="AL140" s="1">
        <v>11.494</v>
      </c>
      <c r="AM140" s="1">
        <v>11.505000000000001</v>
      </c>
      <c r="AN140" s="1">
        <v>11.548</v>
      </c>
      <c r="AO140" s="1">
        <v>11.537000000000001</v>
      </c>
      <c r="AP140" s="1">
        <v>11.51</v>
      </c>
      <c r="AQ140" s="1">
        <v>11.487</v>
      </c>
      <c r="AR140" s="1">
        <v>11.523999999999999</v>
      </c>
      <c r="AS140" s="1">
        <v>11.491</v>
      </c>
      <c r="AT140" s="1">
        <v>11.541</v>
      </c>
      <c r="AU140" s="1">
        <v>11.545</v>
      </c>
      <c r="AV140" s="1">
        <v>11.475</v>
      </c>
      <c r="AW140" s="1">
        <v>11.536</v>
      </c>
      <c r="AX140" s="1">
        <v>11.499000000000001</v>
      </c>
      <c r="AY140" s="1">
        <v>11.532</v>
      </c>
      <c r="AZ140" s="1">
        <v>11.500999999999999</v>
      </c>
      <c r="BA140" s="1">
        <v>11.497999999999999</v>
      </c>
      <c r="BB140" s="1">
        <v>11.452999999999999</v>
      </c>
      <c r="BC140" s="1">
        <v>11.54</v>
      </c>
      <c r="BD140" s="1">
        <v>11.497999999999999</v>
      </c>
      <c r="BE140" s="1">
        <v>11.525</v>
      </c>
      <c r="BF140" s="1">
        <v>11.494999999999999</v>
      </c>
      <c r="BG140" s="1">
        <v>11.516999999999999</v>
      </c>
      <c r="BH140" s="1">
        <v>11.459</v>
      </c>
      <c r="BI140" s="1">
        <v>11.478999999999999</v>
      </c>
      <c r="BJ140" s="1">
        <v>11.512</v>
      </c>
      <c r="BK140" s="1">
        <v>11.471</v>
      </c>
      <c r="BL140" s="1">
        <v>11.481999999999999</v>
      </c>
      <c r="BN140" s="9">
        <v>24</v>
      </c>
      <c r="BO140" s="9">
        <v>1965</v>
      </c>
      <c r="BP140" s="10">
        <f t="shared" si="122"/>
        <v>-3.1679389312976678E-3</v>
      </c>
      <c r="BQ140" s="10">
        <f t="shared" si="123"/>
        <v>4.4847328244233002E-5</v>
      </c>
      <c r="BR140" s="10">
        <f t="shared" si="124"/>
        <v>3.0534351145034976E-4</v>
      </c>
      <c r="BS140" s="10">
        <f t="shared" si="125"/>
        <v>-4.9914122137404851E-3</v>
      </c>
      <c r="BT140" s="10">
        <f t="shared" si="126"/>
        <v>-9.9713740458007966E-4</v>
      </c>
      <c r="BU140" s="10">
        <f t="shared" si="127"/>
        <v>-2.1564885496188374E-4</v>
      </c>
      <c r="BV140" s="10">
        <f t="shared" si="128"/>
        <v>4.6469465648855263E-3</v>
      </c>
      <c r="BW140" s="10">
        <f t="shared" si="129"/>
        <v>-1.2576335877861964E-3</v>
      </c>
      <c r="BX140" s="10">
        <f t="shared" si="130"/>
        <v>2.1288167938931669E-3</v>
      </c>
      <c r="BY140" s="10">
        <f t="shared" si="131"/>
        <v>4.4847328244233002E-5</v>
      </c>
      <c r="BZ140" s="10">
        <f t="shared" si="132"/>
        <v>-1.6917938931297759E-3</v>
      </c>
      <c r="CA140" s="10">
        <f t="shared" si="133"/>
        <v>-2.6469465648854343E-3</v>
      </c>
      <c r="CB140" s="10">
        <f t="shared" si="134"/>
        <v>1.0000000000000458E-3</v>
      </c>
      <c r="CC140" s="10">
        <f t="shared" si="135"/>
        <v>4.4847328244233002E-5</v>
      </c>
      <c r="CD140" s="10">
        <f t="shared" si="136"/>
        <v>-3.8931297709919209E-4</v>
      </c>
      <c r="CE140" s="10">
        <f t="shared" si="137"/>
        <v>1.4341603053434709E-3</v>
      </c>
      <c r="CF140" s="10">
        <f t="shared" si="138"/>
        <v>1.0000000000000458E-3</v>
      </c>
      <c r="CG140" s="10">
        <f t="shared" si="139"/>
        <v>-2.6469465648854343E-3</v>
      </c>
      <c r="CH140" s="10">
        <f t="shared" si="140"/>
        <v>-2.6469465648854343E-3</v>
      </c>
      <c r="CI140" s="10">
        <f t="shared" si="141"/>
        <v>-1.3444656488550049E-3</v>
      </c>
      <c r="CJ140" s="10">
        <f t="shared" si="142"/>
        <v>-2.2996183206106633E-3</v>
      </c>
      <c r="CK140" s="10">
        <f t="shared" si="143"/>
        <v>-1.6049618320611216E-3</v>
      </c>
      <c r="CL140" s="10">
        <f t="shared" si="144"/>
        <v>1.0000000000000458E-3</v>
      </c>
      <c r="CM140" s="10">
        <f t="shared" si="145"/>
        <v>-2.8206106870228968E-3</v>
      </c>
      <c r="CN140" s="10">
        <f t="shared" si="146"/>
        <v>-1.5181297709923132E-3</v>
      </c>
      <c r="CO140" s="10">
        <f t="shared" si="147"/>
        <v>4.790076335878123E-4</v>
      </c>
      <c r="CP140" s="10">
        <f t="shared" si="148"/>
        <v>3.0534351145034976E-4</v>
      </c>
      <c r="CQ140" s="10">
        <f t="shared" si="149"/>
        <v>1.0868320610687E-3</v>
      </c>
      <c r="CR140" s="10">
        <f t="shared" si="150"/>
        <v>3.9217557251915814E-4</v>
      </c>
      <c r="CS140" s="10">
        <f t="shared" si="151"/>
        <v>-3.8931297709919209E-4</v>
      </c>
      <c r="CT140" s="10">
        <f t="shared" si="152"/>
        <v>2.3893129770992836E-3</v>
      </c>
      <c r="CU140" s="10">
        <f t="shared" si="153"/>
        <v>-3.5152671755724388E-3</v>
      </c>
      <c r="CV140" s="10">
        <f t="shared" si="154"/>
        <v>-3.9494274809160181E-3</v>
      </c>
      <c r="CW140" s="10">
        <f t="shared" si="155"/>
        <v>-1.9522900763358924E-3</v>
      </c>
      <c r="CX140" s="10">
        <f t="shared" si="156"/>
        <v>-9.9713740458007966E-4</v>
      </c>
      <c r="CY140" s="10">
        <f t="shared" si="157"/>
        <v>2.7366412213740547E-3</v>
      </c>
      <c r="CZ140" s="10">
        <f t="shared" si="158"/>
        <v>1.7814885496183961E-3</v>
      </c>
      <c r="DA140" s="10">
        <f t="shared" si="159"/>
        <v>-5.6297709923665469E-4</v>
      </c>
      <c r="DB140" s="10">
        <f t="shared" si="160"/>
        <v>-2.56011450381678E-3</v>
      </c>
      <c r="DC140" s="10">
        <f t="shared" si="161"/>
        <v>6.5267175572512068E-4</v>
      </c>
      <c r="DD140" s="10">
        <f t="shared" si="162"/>
        <v>-2.2127862595420094E-3</v>
      </c>
      <c r="DE140" s="10">
        <f t="shared" si="163"/>
        <v>2.1288167938931669E-3</v>
      </c>
      <c r="DF140" s="10">
        <f t="shared" si="164"/>
        <v>2.4761450381679379E-3</v>
      </c>
      <c r="DG140" s="10">
        <f t="shared" si="165"/>
        <v>-3.6020992366412471E-3</v>
      </c>
      <c r="DH140" s="10">
        <f t="shared" si="166"/>
        <v>1.6946564885495876E-3</v>
      </c>
      <c r="DI140" s="10">
        <f t="shared" si="167"/>
        <v>-1.5181297709923132E-3</v>
      </c>
      <c r="DJ140" s="10">
        <f t="shared" si="168"/>
        <v>1.3473282442748168E-3</v>
      </c>
      <c r="DK140" s="10">
        <f t="shared" si="169"/>
        <v>-1.3444656488550049E-3</v>
      </c>
      <c r="DL140" s="10">
        <f t="shared" si="170"/>
        <v>-1.6049618320611216E-3</v>
      </c>
      <c r="DM140" s="10">
        <f t="shared" si="171"/>
        <v>-5.5124045801527187E-3</v>
      </c>
      <c r="DN140" s="10">
        <f t="shared" si="172"/>
        <v>2.0419847328243586E-3</v>
      </c>
      <c r="DO140" s="10">
        <f t="shared" si="173"/>
        <v>-1.6049618320611216E-3</v>
      </c>
      <c r="DP140" s="10">
        <f t="shared" si="174"/>
        <v>7.3950381679392912E-4</v>
      </c>
      <c r="DQ140" s="10">
        <f t="shared" si="175"/>
        <v>-1.8654580152672384E-3</v>
      </c>
      <c r="DR140" s="10">
        <f t="shared" si="176"/>
        <v>4.4847328244233002E-5</v>
      </c>
      <c r="DS140" s="10">
        <f t="shared" si="177"/>
        <v>-4.9914122137404851E-3</v>
      </c>
      <c r="DT140" s="10">
        <f t="shared" si="178"/>
        <v>-3.254770992366476E-3</v>
      </c>
      <c r="DU140" s="10">
        <f t="shared" si="179"/>
        <v>-3.8931297709919209E-4</v>
      </c>
      <c r="DV140" s="10">
        <f t="shared" si="180"/>
        <v>-3.9494274809160181E-3</v>
      </c>
      <c r="DW140" s="10">
        <f t="shared" si="181"/>
        <v>-2.9942748091603597E-3</v>
      </c>
    </row>
    <row r="141" spans="2:127" x14ac:dyDescent="0.45">
      <c r="B141" s="1">
        <v>24</v>
      </c>
      <c r="C141" s="1">
        <v>1980</v>
      </c>
      <c r="D141" s="7">
        <f t="shared" si="182"/>
        <v>11.604395604395604</v>
      </c>
      <c r="E141" s="1">
        <v>11.571</v>
      </c>
      <c r="F141" s="1">
        <v>11.605</v>
      </c>
      <c r="G141" s="1">
        <v>11.609</v>
      </c>
      <c r="H141" s="1">
        <v>11.545</v>
      </c>
      <c r="I141" s="1">
        <v>11.592000000000001</v>
      </c>
      <c r="J141" s="1">
        <v>11.598000000000001</v>
      </c>
      <c r="K141" s="1">
        <v>11.657</v>
      </c>
      <c r="L141" s="1">
        <v>11.589</v>
      </c>
      <c r="M141" s="1">
        <v>11.63</v>
      </c>
      <c r="N141" s="1">
        <v>11.605</v>
      </c>
      <c r="O141" s="1">
        <v>11.582000000000001</v>
      </c>
      <c r="P141" s="1">
        <v>11.574</v>
      </c>
      <c r="Q141" s="1">
        <v>11.616</v>
      </c>
      <c r="R141" s="1">
        <v>11.603999999999999</v>
      </c>
      <c r="S141" s="1">
        <v>11.598000000000001</v>
      </c>
      <c r="T141" s="1">
        <v>11.621</v>
      </c>
      <c r="U141" s="1">
        <v>11.613</v>
      </c>
      <c r="V141" s="1">
        <v>11.574</v>
      </c>
      <c r="W141" s="1">
        <v>11.573</v>
      </c>
      <c r="X141" s="1">
        <v>11.586</v>
      </c>
      <c r="Y141" s="1">
        <v>11.583</v>
      </c>
      <c r="Z141" s="1">
        <v>11.586</v>
      </c>
      <c r="AA141" s="1">
        <v>11.616</v>
      </c>
      <c r="AB141" s="1">
        <v>11.57</v>
      </c>
      <c r="AC141" s="1">
        <v>11.585000000000001</v>
      </c>
      <c r="AD141" s="1">
        <v>11.609</v>
      </c>
      <c r="AE141" s="1">
        <v>11.606999999999999</v>
      </c>
      <c r="AF141" s="1">
        <v>11.615</v>
      </c>
      <c r="AG141" s="1">
        <v>11.609</v>
      </c>
      <c r="AH141" s="1">
        <v>11.6</v>
      </c>
      <c r="AI141" s="1">
        <v>11.632</v>
      </c>
      <c r="AJ141" s="1">
        <v>11.566000000000001</v>
      </c>
      <c r="AK141" s="1">
        <v>11.555999999999999</v>
      </c>
      <c r="AL141" s="1">
        <v>11.582000000000001</v>
      </c>
      <c r="AM141" s="1">
        <v>11.593</v>
      </c>
      <c r="AN141" s="1">
        <v>11.635</v>
      </c>
      <c r="AO141" s="1">
        <v>11.625999999999999</v>
      </c>
      <c r="AP141" s="1">
        <v>11.596</v>
      </c>
      <c r="AQ141" s="1">
        <v>11.574999999999999</v>
      </c>
      <c r="AR141" s="1">
        <v>11.612</v>
      </c>
      <c r="AS141" s="1">
        <v>11.579000000000001</v>
      </c>
      <c r="AT141" s="1">
        <v>11.628</v>
      </c>
      <c r="AU141" s="1">
        <v>11.635</v>
      </c>
      <c r="AV141" s="1">
        <v>11.563000000000001</v>
      </c>
      <c r="AW141" s="1">
        <v>11.622999999999999</v>
      </c>
      <c r="AX141" s="1">
        <v>11.586</v>
      </c>
      <c r="AY141" s="1">
        <v>11.619</v>
      </c>
      <c r="AZ141" s="1">
        <v>11.59</v>
      </c>
      <c r="BA141" s="1">
        <v>11.586</v>
      </c>
      <c r="BB141" s="1">
        <v>11.54</v>
      </c>
      <c r="BC141" s="1">
        <v>11.628</v>
      </c>
      <c r="BD141" s="1">
        <v>11.586</v>
      </c>
      <c r="BE141" s="1">
        <v>11.612</v>
      </c>
      <c r="BF141" s="1">
        <v>11.582000000000001</v>
      </c>
      <c r="BG141" s="1">
        <v>11.609</v>
      </c>
      <c r="BH141" s="1">
        <v>11.544</v>
      </c>
      <c r="BI141" s="1">
        <v>11.569000000000001</v>
      </c>
      <c r="BJ141" s="1">
        <v>11.598000000000001</v>
      </c>
      <c r="BK141" s="1">
        <v>11.56</v>
      </c>
      <c r="BL141" s="1">
        <v>11.566000000000001</v>
      </c>
      <c r="BN141" s="9">
        <v>24</v>
      </c>
      <c r="BO141" s="9">
        <v>1980</v>
      </c>
      <c r="BP141" s="10">
        <f t="shared" si="122"/>
        <v>-2.8778409090909006E-3</v>
      </c>
      <c r="BQ141" s="10">
        <f t="shared" si="123"/>
        <v>5.2083333333402034E-5</v>
      </c>
      <c r="BR141" s="10">
        <f t="shared" si="124"/>
        <v>3.967803030303338E-4</v>
      </c>
      <c r="BS141" s="10">
        <f t="shared" si="125"/>
        <v>-5.1183712121211861E-3</v>
      </c>
      <c r="BT141" s="10">
        <f t="shared" si="126"/>
        <v>-1.068181818181741E-3</v>
      </c>
      <c r="BU141" s="10">
        <f t="shared" si="127"/>
        <v>-5.5113636363626674E-4</v>
      </c>
      <c r="BV141" s="10">
        <f t="shared" si="128"/>
        <v>4.533143939393974E-3</v>
      </c>
      <c r="BW141" s="10">
        <f t="shared" si="129"/>
        <v>-1.326704545454478E-3</v>
      </c>
      <c r="BX141" s="10">
        <f t="shared" si="130"/>
        <v>2.2064393939394931E-3</v>
      </c>
      <c r="BY141" s="10">
        <f t="shared" si="131"/>
        <v>5.2083333333402034E-5</v>
      </c>
      <c r="BZ141" s="10">
        <f t="shared" si="132"/>
        <v>-1.9299242424241469E-3</v>
      </c>
      <c r="CA141" s="10">
        <f t="shared" si="133"/>
        <v>-2.6193181818181632E-3</v>
      </c>
      <c r="CB141" s="10">
        <f t="shared" si="134"/>
        <v>1.0000000000000026E-3</v>
      </c>
      <c r="CC141" s="10">
        <f t="shared" si="135"/>
        <v>-3.4090909090945711E-5</v>
      </c>
      <c r="CD141" s="10">
        <f t="shared" si="136"/>
        <v>-5.5113636363626674E-4</v>
      </c>
      <c r="CE141" s="10">
        <f t="shared" si="137"/>
        <v>1.4308712121212821E-3</v>
      </c>
      <c r="CF141" s="10">
        <f t="shared" si="138"/>
        <v>7.4147727272726551E-4</v>
      </c>
      <c r="CG141" s="10">
        <f t="shared" si="139"/>
        <v>-2.6193181818181632E-3</v>
      </c>
      <c r="CH141" s="10">
        <f t="shared" si="140"/>
        <v>-2.7054924242423581E-3</v>
      </c>
      <c r="CI141" s="10">
        <f t="shared" si="141"/>
        <v>-1.5852272727272152E-3</v>
      </c>
      <c r="CJ141" s="10">
        <f t="shared" si="142"/>
        <v>-1.8437499999999522E-3</v>
      </c>
      <c r="CK141" s="10">
        <f t="shared" si="143"/>
        <v>-1.5852272727272152E-3</v>
      </c>
      <c r="CL141" s="10">
        <f t="shared" si="144"/>
        <v>1.0000000000000026E-3</v>
      </c>
      <c r="CM141" s="10">
        <f t="shared" si="145"/>
        <v>-2.9640151515150951E-3</v>
      </c>
      <c r="CN141" s="10">
        <f t="shared" si="146"/>
        <v>-1.6714015151514097E-3</v>
      </c>
      <c r="CO141" s="10">
        <f t="shared" si="147"/>
        <v>3.967803030303338E-4</v>
      </c>
      <c r="CP141" s="10">
        <f t="shared" si="148"/>
        <v>2.2443181818179137E-4</v>
      </c>
      <c r="CQ141" s="10">
        <f t="shared" si="149"/>
        <v>9.1382575757580791E-4</v>
      </c>
      <c r="CR141" s="10">
        <f t="shared" si="150"/>
        <v>3.967803030303338E-4</v>
      </c>
      <c r="CS141" s="10">
        <f t="shared" si="151"/>
        <v>-3.7878787878787743E-4</v>
      </c>
      <c r="CT141" s="10">
        <f t="shared" si="152"/>
        <v>2.3787878787878826E-3</v>
      </c>
      <c r="CU141" s="10">
        <f t="shared" si="153"/>
        <v>-3.3087121212120271E-3</v>
      </c>
      <c r="CV141" s="10">
        <f t="shared" si="154"/>
        <v>-4.1704545454545857E-3</v>
      </c>
      <c r="CW141" s="10">
        <f t="shared" si="155"/>
        <v>-1.9299242424241469E-3</v>
      </c>
      <c r="CX141" s="10">
        <f t="shared" si="156"/>
        <v>-9.8200757575754626E-4</v>
      </c>
      <c r="CY141" s="10">
        <f t="shared" si="157"/>
        <v>2.6373106060606196E-3</v>
      </c>
      <c r="CZ141" s="10">
        <f t="shared" si="158"/>
        <v>1.8617424242424086E-3</v>
      </c>
      <c r="DA141" s="10">
        <f t="shared" si="159"/>
        <v>-7.2348484848480915E-4</v>
      </c>
      <c r="DB141" s="10">
        <f t="shared" si="160"/>
        <v>-2.5331439393939687E-3</v>
      </c>
      <c r="DC141" s="10">
        <f t="shared" si="161"/>
        <v>6.5530303030307091E-4</v>
      </c>
      <c r="DD141" s="10">
        <f t="shared" si="162"/>
        <v>-2.1884469696968841E-3</v>
      </c>
      <c r="DE141" s="10">
        <f t="shared" si="163"/>
        <v>2.0340909090909511E-3</v>
      </c>
      <c r="DF141" s="10">
        <f t="shared" si="164"/>
        <v>2.6373106060606196E-3</v>
      </c>
      <c r="DG141" s="10">
        <f t="shared" si="165"/>
        <v>-3.5672348484847641E-3</v>
      </c>
      <c r="DH141" s="10">
        <f t="shared" si="166"/>
        <v>1.6032196969696713E-3</v>
      </c>
      <c r="DI141" s="10">
        <f t="shared" si="167"/>
        <v>-1.5852272727272152E-3</v>
      </c>
      <c r="DJ141" s="10">
        <f t="shared" si="168"/>
        <v>1.2585227272727396E-3</v>
      </c>
      <c r="DK141" s="10">
        <f t="shared" si="169"/>
        <v>-1.2405303030302833E-3</v>
      </c>
      <c r="DL141" s="10">
        <f t="shared" si="170"/>
        <v>-1.5852272727272152E-3</v>
      </c>
      <c r="DM141" s="10">
        <f t="shared" si="171"/>
        <v>-5.549242424242466E-3</v>
      </c>
      <c r="DN141" s="10">
        <f t="shared" si="172"/>
        <v>2.0340909090909511E-3</v>
      </c>
      <c r="DO141" s="10">
        <f t="shared" si="173"/>
        <v>-1.5852272727272152E-3</v>
      </c>
      <c r="DP141" s="10">
        <f t="shared" si="174"/>
        <v>6.5530303030307091E-4</v>
      </c>
      <c r="DQ141" s="10">
        <f t="shared" si="175"/>
        <v>-1.9299242424241469E-3</v>
      </c>
      <c r="DR141" s="10">
        <f t="shared" si="176"/>
        <v>3.967803030303338E-4</v>
      </c>
      <c r="DS141" s="10">
        <f t="shared" si="177"/>
        <v>-5.204545454545381E-3</v>
      </c>
      <c r="DT141" s="10">
        <f t="shared" si="178"/>
        <v>-3.0501893939392896E-3</v>
      </c>
      <c r="DU141" s="10">
        <f t="shared" si="179"/>
        <v>-5.5113636363626674E-4</v>
      </c>
      <c r="DV141" s="10">
        <f t="shared" si="180"/>
        <v>-3.8257575757575011E-3</v>
      </c>
      <c r="DW141" s="10">
        <f t="shared" si="181"/>
        <v>-3.3087121212120271E-3</v>
      </c>
    </row>
    <row r="142" spans="2:127" x14ac:dyDescent="0.45">
      <c r="B142" s="1">
        <v>24</v>
      </c>
      <c r="C142" s="1">
        <v>1995</v>
      </c>
      <c r="D142" s="7">
        <f t="shared" si="182"/>
        <v>11.692307692307692</v>
      </c>
      <c r="E142" s="1">
        <v>11.659000000000001</v>
      </c>
      <c r="F142" s="1">
        <v>11.693</v>
      </c>
      <c r="G142" s="1">
        <v>11.696999999999999</v>
      </c>
      <c r="H142" s="1">
        <v>11.632</v>
      </c>
      <c r="I142" s="1">
        <v>11.678000000000001</v>
      </c>
      <c r="J142" s="1">
        <v>11.685</v>
      </c>
      <c r="K142" s="1">
        <v>11.742000000000001</v>
      </c>
      <c r="L142" s="1">
        <v>11.677</v>
      </c>
      <c r="M142" s="1">
        <v>11.715999999999999</v>
      </c>
      <c r="N142" s="1">
        <v>11.692</v>
      </c>
      <c r="O142" s="1">
        <v>11.667999999999999</v>
      </c>
      <c r="P142" s="1">
        <v>11.661</v>
      </c>
      <c r="Q142" s="1">
        <v>11.706</v>
      </c>
      <c r="R142" s="1">
        <v>11.689</v>
      </c>
      <c r="S142" s="1">
        <v>11.686999999999999</v>
      </c>
      <c r="T142" s="1">
        <v>11.71</v>
      </c>
      <c r="U142" s="1">
        <v>11.701000000000001</v>
      </c>
      <c r="V142" s="1">
        <v>11.661</v>
      </c>
      <c r="W142" s="1">
        <v>11.661</v>
      </c>
      <c r="X142" s="1">
        <v>11.673</v>
      </c>
      <c r="Y142" s="1">
        <v>11.664999999999999</v>
      </c>
      <c r="Z142" s="1">
        <v>11.673</v>
      </c>
      <c r="AA142" s="1">
        <v>11.704000000000001</v>
      </c>
      <c r="AB142" s="1">
        <v>11.657</v>
      </c>
      <c r="AC142" s="1">
        <v>11.67</v>
      </c>
      <c r="AD142" s="1">
        <v>11.699</v>
      </c>
      <c r="AE142" s="1">
        <v>11.692</v>
      </c>
      <c r="AF142" s="1">
        <v>11.699</v>
      </c>
      <c r="AG142" s="1">
        <v>11.695</v>
      </c>
      <c r="AH142" s="1">
        <v>11.686999999999999</v>
      </c>
      <c r="AI142" s="1">
        <v>11.718999999999999</v>
      </c>
      <c r="AJ142" s="1">
        <v>11.654</v>
      </c>
      <c r="AK142" s="1">
        <v>11.643000000000001</v>
      </c>
      <c r="AL142" s="1">
        <v>11.669</v>
      </c>
      <c r="AM142" s="1">
        <v>11.680999999999999</v>
      </c>
      <c r="AN142" s="1">
        <v>11.726000000000001</v>
      </c>
      <c r="AO142" s="1">
        <v>11.712</v>
      </c>
      <c r="AP142" s="1">
        <v>11.683999999999999</v>
      </c>
      <c r="AQ142" s="1">
        <v>11.664999999999999</v>
      </c>
      <c r="AR142" s="1">
        <v>11.699</v>
      </c>
      <c r="AS142" s="1">
        <v>11.669</v>
      </c>
      <c r="AT142" s="1">
        <v>11.718999999999999</v>
      </c>
      <c r="AU142" s="1">
        <v>11.723000000000001</v>
      </c>
      <c r="AV142" s="1">
        <v>11.651</v>
      </c>
      <c r="AW142" s="1">
        <v>11.712</v>
      </c>
      <c r="AX142" s="1">
        <v>11.672000000000001</v>
      </c>
      <c r="AY142" s="1">
        <v>11.707000000000001</v>
      </c>
      <c r="AZ142" s="1">
        <v>11.68</v>
      </c>
      <c r="BA142" s="1">
        <v>11.673</v>
      </c>
      <c r="BB142" s="1">
        <v>11.628</v>
      </c>
      <c r="BC142" s="1">
        <v>11.714</v>
      </c>
      <c r="BD142" s="1">
        <v>11.673</v>
      </c>
      <c r="BE142" s="1">
        <v>11.699</v>
      </c>
      <c r="BF142" s="1">
        <v>11.667999999999999</v>
      </c>
      <c r="BG142" s="1">
        <v>11.692</v>
      </c>
      <c r="BH142" s="1">
        <v>11.63</v>
      </c>
      <c r="BI142" s="1">
        <v>11.654</v>
      </c>
      <c r="BJ142" s="1">
        <v>11.688000000000001</v>
      </c>
      <c r="BK142" s="1">
        <v>11.648999999999999</v>
      </c>
      <c r="BL142" s="1">
        <v>11.653</v>
      </c>
      <c r="BN142" s="9">
        <v>24</v>
      </c>
      <c r="BO142" s="9">
        <v>1995</v>
      </c>
      <c r="BP142" s="10">
        <f t="shared" si="122"/>
        <v>-2.8486842105261978E-3</v>
      </c>
      <c r="BQ142" s="10">
        <f t="shared" si="123"/>
        <v>5.9210526315815092E-5</v>
      </c>
      <c r="BR142" s="10">
        <f t="shared" si="124"/>
        <v>4.0131578947367216E-4</v>
      </c>
      <c r="BS142" s="10">
        <f t="shared" si="125"/>
        <v>-5.1578947368420749E-3</v>
      </c>
      <c r="BT142" s="10">
        <f t="shared" si="126"/>
        <v>-1.223684210526187E-3</v>
      </c>
      <c r="BU142" s="10">
        <f t="shared" si="127"/>
        <v>-6.2499999999989907E-4</v>
      </c>
      <c r="BV142" s="10">
        <f t="shared" si="128"/>
        <v>4.2500000000001339E-3</v>
      </c>
      <c r="BW142" s="10">
        <f t="shared" si="129"/>
        <v>-1.3092105263157652E-3</v>
      </c>
      <c r="BX142" s="10">
        <f t="shared" si="130"/>
        <v>2.0263157894736834E-3</v>
      </c>
      <c r="BY142" s="10">
        <f t="shared" si="131"/>
        <v>-2.6315789473611194E-5</v>
      </c>
      <c r="BZ142" s="10">
        <f t="shared" si="132"/>
        <v>-2.0789473684210574E-3</v>
      </c>
      <c r="CA142" s="10">
        <f t="shared" si="133"/>
        <v>-2.6776315789473456E-3</v>
      </c>
      <c r="CB142" s="10">
        <f t="shared" si="134"/>
        <v>1.1710526315789646E-3</v>
      </c>
      <c r="CC142" s="10">
        <f t="shared" si="135"/>
        <v>-2.8289473684204198E-4</v>
      </c>
      <c r="CD142" s="10">
        <f t="shared" si="136"/>
        <v>-4.539473684210465E-4</v>
      </c>
      <c r="CE142" s="10">
        <f t="shared" si="137"/>
        <v>1.5131578947369735E-3</v>
      </c>
      <c r="CF142" s="10">
        <f t="shared" si="138"/>
        <v>7.4342105263168121E-4</v>
      </c>
      <c r="CG142" s="10">
        <f t="shared" si="139"/>
        <v>-2.6776315789473456E-3</v>
      </c>
      <c r="CH142" s="10">
        <f t="shared" si="140"/>
        <v>-2.6776315789473456E-3</v>
      </c>
      <c r="CI142" s="10">
        <f t="shared" si="141"/>
        <v>-1.6513157894736223E-3</v>
      </c>
      <c r="CJ142" s="10">
        <f t="shared" si="142"/>
        <v>-2.3355263157894884E-3</v>
      </c>
      <c r="CK142" s="10">
        <f t="shared" si="143"/>
        <v>-1.6513157894736223E-3</v>
      </c>
      <c r="CL142" s="10">
        <f t="shared" si="144"/>
        <v>1.0000000000001119E-3</v>
      </c>
      <c r="CM142" s="10">
        <f t="shared" si="145"/>
        <v>-3.0197368421052023E-3</v>
      </c>
      <c r="CN142" s="10">
        <f t="shared" si="146"/>
        <v>-1.9078947368420531E-3</v>
      </c>
      <c r="CO142" s="10">
        <f t="shared" si="147"/>
        <v>5.7236842105267663E-4</v>
      </c>
      <c r="CP142" s="10">
        <f t="shared" si="148"/>
        <v>-2.6315789473611194E-5</v>
      </c>
      <c r="CQ142" s="10">
        <f t="shared" si="149"/>
        <v>5.7236842105267663E-4</v>
      </c>
      <c r="CR142" s="10">
        <f t="shared" si="150"/>
        <v>2.3026315789481959E-4</v>
      </c>
      <c r="CS142" s="10">
        <f t="shared" si="151"/>
        <v>-4.539473684210465E-4</v>
      </c>
      <c r="CT142" s="10">
        <f t="shared" si="152"/>
        <v>2.282894736842114E-3</v>
      </c>
      <c r="CU142" s="10">
        <f t="shared" si="153"/>
        <v>-3.2763157894736333E-3</v>
      </c>
      <c r="CV142" s="10">
        <f t="shared" si="154"/>
        <v>-4.2171052631577782E-3</v>
      </c>
      <c r="CW142" s="10">
        <f t="shared" si="155"/>
        <v>-1.9934210526314795E-3</v>
      </c>
      <c r="CX142" s="10">
        <f t="shared" si="156"/>
        <v>-9.6710526315790812E-4</v>
      </c>
      <c r="CY142" s="10">
        <f t="shared" si="157"/>
        <v>2.8815789473685539E-3</v>
      </c>
      <c r="CZ142" s="10">
        <f t="shared" si="158"/>
        <v>1.6842105263158262E-3</v>
      </c>
      <c r="DA142" s="10">
        <f t="shared" si="159"/>
        <v>-7.1052631578947731E-4</v>
      </c>
      <c r="DB142" s="10">
        <f t="shared" si="160"/>
        <v>-2.3355263157894884E-3</v>
      </c>
      <c r="DC142" s="10">
        <f t="shared" si="161"/>
        <v>5.7236842105267663E-4</v>
      </c>
      <c r="DD142" s="10">
        <f t="shared" si="162"/>
        <v>-1.9934210526314795E-3</v>
      </c>
      <c r="DE142" s="10">
        <f t="shared" si="163"/>
        <v>2.282894736842114E-3</v>
      </c>
      <c r="DF142" s="10">
        <f t="shared" si="164"/>
        <v>2.6250000000001229E-3</v>
      </c>
      <c r="DG142" s="10">
        <f t="shared" si="165"/>
        <v>-3.5328947368420639E-3</v>
      </c>
      <c r="DH142" s="10">
        <f t="shared" si="166"/>
        <v>1.6842105263158262E-3</v>
      </c>
      <c r="DI142" s="10">
        <f t="shared" si="167"/>
        <v>-1.7368421052630484E-3</v>
      </c>
      <c r="DJ142" s="10">
        <f t="shared" si="168"/>
        <v>1.2565789473685427E-3</v>
      </c>
      <c r="DK142" s="10">
        <f t="shared" si="169"/>
        <v>-1.0526315789473344E-3</v>
      </c>
      <c r="DL142" s="10">
        <f t="shared" si="170"/>
        <v>-1.6513157894736223E-3</v>
      </c>
      <c r="DM142" s="10">
        <f t="shared" si="171"/>
        <v>-5.499999999999932E-3</v>
      </c>
      <c r="DN142" s="10">
        <f t="shared" si="172"/>
        <v>1.8552631578948307E-3</v>
      </c>
      <c r="DO142" s="10">
        <f t="shared" si="173"/>
        <v>-1.6513157894736223E-3</v>
      </c>
      <c r="DP142" s="10">
        <f t="shared" si="174"/>
        <v>5.7236842105267663E-4</v>
      </c>
      <c r="DQ142" s="10">
        <f t="shared" si="175"/>
        <v>-2.0789473684210574E-3</v>
      </c>
      <c r="DR142" s="10">
        <f t="shared" si="176"/>
        <v>-2.6315789473611194E-5</v>
      </c>
      <c r="DS142" s="10">
        <f t="shared" si="177"/>
        <v>-5.328947368420928E-3</v>
      </c>
      <c r="DT142" s="10">
        <f t="shared" si="178"/>
        <v>-3.2763157894736333E-3</v>
      </c>
      <c r="DU142" s="10">
        <f t="shared" si="179"/>
        <v>-3.6842105263146826E-4</v>
      </c>
      <c r="DV142" s="10">
        <f t="shared" si="180"/>
        <v>-3.7039473684210684E-3</v>
      </c>
      <c r="DW142" s="10">
        <f t="shared" si="181"/>
        <v>-3.3618421052630594E-3</v>
      </c>
    </row>
    <row r="143" spans="2:127" x14ac:dyDescent="0.45">
      <c r="B143" s="1">
        <v>24</v>
      </c>
      <c r="C143" s="1">
        <v>2010</v>
      </c>
      <c r="D143" s="7">
        <f t="shared" si="182"/>
        <v>11.780219780219781</v>
      </c>
      <c r="E143" s="1">
        <v>11.749000000000001</v>
      </c>
      <c r="F143" s="1">
        <v>11.779</v>
      </c>
      <c r="G143" s="1">
        <v>11.786</v>
      </c>
      <c r="H143" s="1">
        <v>11.72</v>
      </c>
      <c r="I143" s="1">
        <v>11.766999999999999</v>
      </c>
      <c r="J143" s="1">
        <v>11.775</v>
      </c>
      <c r="K143" s="1">
        <v>11.833</v>
      </c>
      <c r="L143" s="1">
        <v>11.76</v>
      </c>
      <c r="M143" s="1">
        <v>11.805</v>
      </c>
      <c r="N143" s="1">
        <v>11.776999999999999</v>
      </c>
      <c r="O143" s="1">
        <v>11.753</v>
      </c>
      <c r="P143" s="1">
        <v>11.749000000000001</v>
      </c>
      <c r="Q143" s="1">
        <v>11.792</v>
      </c>
      <c r="R143" s="1">
        <v>11.776999999999999</v>
      </c>
      <c r="S143" s="1">
        <v>11.772</v>
      </c>
      <c r="T143" s="1">
        <v>11.798</v>
      </c>
      <c r="U143" s="1">
        <v>11.79</v>
      </c>
      <c r="V143" s="1">
        <v>11.747999999999999</v>
      </c>
      <c r="W143" s="1">
        <v>11.747999999999999</v>
      </c>
      <c r="X143" s="1">
        <v>11.756</v>
      </c>
      <c r="Y143" s="1">
        <v>11.753</v>
      </c>
      <c r="Z143" s="1">
        <v>11.76</v>
      </c>
      <c r="AA143" s="1">
        <v>11.79</v>
      </c>
      <c r="AB143" s="1">
        <v>11.744</v>
      </c>
      <c r="AC143" s="1">
        <v>11.760999999999999</v>
      </c>
      <c r="AD143" s="1">
        <v>11.786</v>
      </c>
      <c r="AE143" s="1">
        <v>11.78</v>
      </c>
      <c r="AF143" s="1">
        <v>11.784000000000001</v>
      </c>
      <c r="AG143" s="1">
        <v>11.782</v>
      </c>
      <c r="AH143" s="1">
        <v>11.773</v>
      </c>
      <c r="AI143" s="1">
        <v>11.805999999999999</v>
      </c>
      <c r="AJ143" s="1">
        <v>11.739000000000001</v>
      </c>
      <c r="AK143" s="1">
        <v>11.728999999999999</v>
      </c>
      <c r="AL143" s="1">
        <v>11.756</v>
      </c>
      <c r="AM143" s="1">
        <v>11.769</v>
      </c>
      <c r="AN143" s="1">
        <v>11.813000000000001</v>
      </c>
      <c r="AO143" s="1">
        <v>11.802</v>
      </c>
      <c r="AP143" s="1">
        <v>11.773</v>
      </c>
      <c r="AQ143" s="1">
        <v>11.753</v>
      </c>
      <c r="AR143" s="1">
        <v>11.786</v>
      </c>
      <c r="AS143" s="1">
        <v>11.757999999999999</v>
      </c>
      <c r="AT143" s="1">
        <v>11.807</v>
      </c>
      <c r="AU143" s="1">
        <v>11.811</v>
      </c>
      <c r="AV143" s="1">
        <v>11.731</v>
      </c>
      <c r="AW143" s="1">
        <v>11.798</v>
      </c>
      <c r="AX143" s="1">
        <v>11.757</v>
      </c>
      <c r="AY143" s="1">
        <v>11.794</v>
      </c>
      <c r="AZ143" s="1">
        <v>11.768000000000001</v>
      </c>
      <c r="BA143" s="1">
        <v>11.76</v>
      </c>
      <c r="BB143" s="1">
        <v>11.715999999999999</v>
      </c>
      <c r="BC143" s="1">
        <v>11.805</v>
      </c>
      <c r="BD143" s="1">
        <v>11.76</v>
      </c>
      <c r="BE143" s="1">
        <v>11.788</v>
      </c>
      <c r="BF143" s="1">
        <v>11.757</v>
      </c>
      <c r="BG143" s="1">
        <v>11.78</v>
      </c>
      <c r="BH143" s="1">
        <v>11.715999999999999</v>
      </c>
      <c r="BI143" s="1">
        <v>11.742000000000001</v>
      </c>
      <c r="BJ143" s="1">
        <v>11.776</v>
      </c>
      <c r="BK143" s="1">
        <v>11.739000000000001</v>
      </c>
      <c r="BL143" s="1">
        <v>11.741</v>
      </c>
      <c r="BN143" s="9">
        <v>24</v>
      </c>
      <c r="BO143" s="9">
        <v>2010</v>
      </c>
      <c r="BP143" s="10">
        <f t="shared" si="122"/>
        <v>-2.6501865671641981E-3</v>
      </c>
      <c r="BQ143" s="10">
        <f t="shared" si="123"/>
        <v>-1.035447761194765E-4</v>
      </c>
      <c r="BR143" s="10">
        <f t="shared" si="124"/>
        <v>4.9067164179094345E-4</v>
      </c>
      <c r="BS143" s="10">
        <f t="shared" si="125"/>
        <v>-5.1119402985074745E-3</v>
      </c>
      <c r="BT143" s="10">
        <f t="shared" si="126"/>
        <v>-1.1222014925374255E-3</v>
      </c>
      <c r="BU143" s="10">
        <f t="shared" si="127"/>
        <v>-4.4309701492540921E-4</v>
      </c>
      <c r="BV143" s="10">
        <f t="shared" si="128"/>
        <v>4.480410447761143E-3</v>
      </c>
      <c r="BW143" s="10">
        <f t="shared" si="129"/>
        <v>-1.7164179104478454E-3</v>
      </c>
      <c r="BX143" s="10">
        <f t="shared" si="130"/>
        <v>2.1035447761193126E-3</v>
      </c>
      <c r="BY143" s="10">
        <f t="shared" si="131"/>
        <v>-2.7332089552251825E-4</v>
      </c>
      <c r="BZ143" s="10">
        <f t="shared" si="132"/>
        <v>-2.3106343283582653E-3</v>
      </c>
      <c r="CA143" s="10">
        <f t="shared" si="133"/>
        <v>-2.6501865671641981E-3</v>
      </c>
      <c r="CB143" s="10">
        <f t="shared" si="134"/>
        <v>9.9999999999991806E-4</v>
      </c>
      <c r="CC143" s="10">
        <f t="shared" si="135"/>
        <v>-2.7332089552251825E-4</v>
      </c>
      <c r="CD143" s="10">
        <f t="shared" si="136"/>
        <v>-6.9776119402989651E-4</v>
      </c>
      <c r="CE143" s="10">
        <f t="shared" si="137"/>
        <v>1.5093283582088926E-3</v>
      </c>
      <c r="CF143" s="10">
        <f t="shared" si="138"/>
        <v>8.3022388059687618E-4</v>
      </c>
      <c r="CG143" s="10">
        <f t="shared" si="139"/>
        <v>-2.7350746268657946E-3</v>
      </c>
      <c r="CH143" s="10">
        <f t="shared" si="140"/>
        <v>-2.7350746268657946E-3</v>
      </c>
      <c r="CI143" s="10">
        <f t="shared" si="141"/>
        <v>-2.055970149253778E-3</v>
      </c>
      <c r="CJ143" s="10">
        <f t="shared" si="142"/>
        <v>-2.3106343283582653E-3</v>
      </c>
      <c r="CK143" s="10">
        <f t="shared" si="143"/>
        <v>-1.7164179104478454E-3</v>
      </c>
      <c r="CL143" s="10">
        <f t="shared" si="144"/>
        <v>8.3022388059687618E-4</v>
      </c>
      <c r="CM143" s="10">
        <f t="shared" si="145"/>
        <v>-3.074626865671727E-3</v>
      </c>
      <c r="CN143" s="10">
        <f t="shared" si="146"/>
        <v>-1.6315298507464E-3</v>
      </c>
      <c r="CO143" s="10">
        <f t="shared" si="147"/>
        <v>4.9067164179094345E-4</v>
      </c>
      <c r="CP143" s="10">
        <f t="shared" si="148"/>
        <v>-1.8656716418031015E-5</v>
      </c>
      <c r="CQ143" s="10">
        <f t="shared" si="149"/>
        <v>3.2089552238805249E-4</v>
      </c>
      <c r="CR143" s="10">
        <f t="shared" si="150"/>
        <v>1.5111940298501075E-4</v>
      </c>
      <c r="CS143" s="10">
        <f t="shared" si="151"/>
        <v>-6.1287313432845103E-4</v>
      </c>
      <c r="CT143" s="10">
        <f t="shared" si="152"/>
        <v>2.1884328358207578E-3</v>
      </c>
      <c r="CU143" s="10">
        <f t="shared" si="153"/>
        <v>-3.4990671641791054E-3</v>
      </c>
      <c r="CV143" s="10">
        <f t="shared" si="154"/>
        <v>-4.3479477611941637E-3</v>
      </c>
      <c r="CW143" s="10">
        <f t="shared" si="155"/>
        <v>-2.055970149253778E-3</v>
      </c>
      <c r="CX143" s="10">
        <f t="shared" si="156"/>
        <v>-9.5242537313438376E-4</v>
      </c>
      <c r="CY143" s="10">
        <f t="shared" si="157"/>
        <v>2.7826492537313288E-3</v>
      </c>
      <c r="CZ143" s="10">
        <f t="shared" si="158"/>
        <v>1.8488805970148252E-3</v>
      </c>
      <c r="DA143" s="10">
        <f t="shared" si="159"/>
        <v>-6.1287313432845103E-4</v>
      </c>
      <c r="DB143" s="10">
        <f t="shared" si="160"/>
        <v>-2.3106343283582653E-3</v>
      </c>
      <c r="DC143" s="10">
        <f t="shared" si="161"/>
        <v>4.9067164179094345E-4</v>
      </c>
      <c r="DD143" s="10">
        <f t="shared" si="162"/>
        <v>-1.8861940298508873E-3</v>
      </c>
      <c r="DE143" s="10">
        <f t="shared" si="163"/>
        <v>2.2733208955223543E-3</v>
      </c>
      <c r="DF143" s="10">
        <f t="shared" si="164"/>
        <v>2.6128731343282871E-3</v>
      </c>
      <c r="DG143" s="10">
        <f t="shared" si="165"/>
        <v>-4.1781716417911216E-3</v>
      </c>
      <c r="DH143" s="10">
        <f t="shared" si="166"/>
        <v>1.5093283582088926E-3</v>
      </c>
      <c r="DI143" s="10">
        <f t="shared" si="167"/>
        <v>-1.9710820895523329E-3</v>
      </c>
      <c r="DJ143" s="10">
        <f t="shared" si="168"/>
        <v>1.1697761194029597E-3</v>
      </c>
      <c r="DK143" s="10">
        <f t="shared" si="169"/>
        <v>-1.0373134328358292E-3</v>
      </c>
      <c r="DL143" s="10">
        <f t="shared" si="170"/>
        <v>-1.7164179104478454E-3</v>
      </c>
      <c r="DM143" s="10">
        <f t="shared" si="171"/>
        <v>-5.4514925373135579E-3</v>
      </c>
      <c r="DN143" s="10">
        <f t="shared" si="172"/>
        <v>2.1035447761193126E-3</v>
      </c>
      <c r="DO143" s="10">
        <f t="shared" si="173"/>
        <v>-1.7164179104478454E-3</v>
      </c>
      <c r="DP143" s="10">
        <f t="shared" si="174"/>
        <v>6.6044776119398522E-4</v>
      </c>
      <c r="DQ143" s="10">
        <f t="shared" si="175"/>
        <v>-1.9710820895523329E-3</v>
      </c>
      <c r="DR143" s="10">
        <f t="shared" si="176"/>
        <v>-1.8656716418031015E-5</v>
      </c>
      <c r="DS143" s="10">
        <f t="shared" si="177"/>
        <v>-5.4514925373135579E-3</v>
      </c>
      <c r="DT143" s="10">
        <f t="shared" si="178"/>
        <v>-3.2444029850746182E-3</v>
      </c>
      <c r="DU143" s="10">
        <f t="shared" si="179"/>
        <v>-3.5820895522396373E-4</v>
      </c>
      <c r="DV143" s="10">
        <f t="shared" si="180"/>
        <v>-3.4990671641791054E-3</v>
      </c>
      <c r="DW143" s="10">
        <f t="shared" si="181"/>
        <v>-3.3292910447762143E-3</v>
      </c>
    </row>
    <row r="144" spans="2:127" x14ac:dyDescent="0.45">
      <c r="B144" s="1">
        <v>24</v>
      </c>
      <c r="C144" s="1">
        <v>2025</v>
      </c>
      <c r="D144" s="7">
        <f t="shared" si="182"/>
        <v>11.868131868131869</v>
      </c>
      <c r="E144" s="1">
        <v>11.837</v>
      </c>
      <c r="F144" s="1">
        <v>11.868</v>
      </c>
      <c r="G144" s="1">
        <v>11.874000000000001</v>
      </c>
      <c r="H144" s="1">
        <v>11.805999999999999</v>
      </c>
      <c r="I144" s="1">
        <v>11.853</v>
      </c>
      <c r="J144" s="1">
        <v>11.862</v>
      </c>
      <c r="K144" s="1">
        <v>11.923</v>
      </c>
      <c r="L144" s="1">
        <v>11.847</v>
      </c>
      <c r="M144" s="1">
        <v>11.891</v>
      </c>
      <c r="N144" s="1">
        <v>11.867000000000001</v>
      </c>
      <c r="O144" s="1">
        <v>11.843</v>
      </c>
      <c r="P144" s="1">
        <v>11.836</v>
      </c>
      <c r="Q144" s="1">
        <v>11.881</v>
      </c>
      <c r="R144" s="1">
        <v>11.863</v>
      </c>
      <c r="S144" s="1">
        <v>11.859</v>
      </c>
      <c r="T144" s="1">
        <v>11.885</v>
      </c>
      <c r="U144" s="1">
        <v>11.875999999999999</v>
      </c>
      <c r="V144" s="1">
        <v>11.836</v>
      </c>
      <c r="W144" s="1">
        <v>11.834</v>
      </c>
      <c r="X144" s="1">
        <v>11.847</v>
      </c>
      <c r="Y144" s="1">
        <v>11.840999999999999</v>
      </c>
      <c r="Z144" s="1">
        <v>11.847</v>
      </c>
      <c r="AA144" s="1">
        <v>11.878</v>
      </c>
      <c r="AB144" s="1">
        <v>11.832000000000001</v>
      </c>
      <c r="AC144" s="1">
        <v>11.851000000000001</v>
      </c>
      <c r="AD144" s="1">
        <v>11.872</v>
      </c>
      <c r="AE144" s="1">
        <v>11.868</v>
      </c>
      <c r="AF144" s="1">
        <v>11.874000000000001</v>
      </c>
      <c r="AG144" s="1">
        <v>11.87</v>
      </c>
      <c r="AH144" s="1">
        <v>11.86</v>
      </c>
      <c r="AI144" s="1">
        <v>11.895</v>
      </c>
      <c r="AJ144" s="1">
        <v>11.824</v>
      </c>
      <c r="AK144" s="1">
        <v>11.814</v>
      </c>
      <c r="AL144" s="1">
        <v>11.843</v>
      </c>
      <c r="AM144" s="1">
        <v>11.856999999999999</v>
      </c>
      <c r="AN144" s="1">
        <v>11.9</v>
      </c>
      <c r="AO144" s="1">
        <v>11.89</v>
      </c>
      <c r="AP144" s="1">
        <v>11.862</v>
      </c>
      <c r="AQ144" s="1">
        <v>11.840999999999999</v>
      </c>
      <c r="AR144" s="1">
        <v>11.872</v>
      </c>
      <c r="AS144" s="1">
        <v>11.848000000000001</v>
      </c>
      <c r="AT144" s="1">
        <v>11.895</v>
      </c>
      <c r="AU144" s="1">
        <v>11.901</v>
      </c>
      <c r="AV144" s="1">
        <v>11.821999999999999</v>
      </c>
      <c r="AW144" s="1">
        <v>11.885999999999999</v>
      </c>
      <c r="AX144" s="1">
        <v>11.843999999999999</v>
      </c>
      <c r="AY144" s="1">
        <v>11.881</v>
      </c>
      <c r="AZ144" s="1">
        <v>11.856</v>
      </c>
      <c r="BA144" s="1">
        <v>11.847</v>
      </c>
      <c r="BB144" s="1">
        <v>11.803000000000001</v>
      </c>
      <c r="BC144" s="1">
        <v>11.891</v>
      </c>
      <c r="BD144" s="1">
        <v>11.847</v>
      </c>
      <c r="BE144" s="1">
        <v>11.878</v>
      </c>
      <c r="BF144" s="1">
        <v>11.843999999999999</v>
      </c>
      <c r="BG144" s="1">
        <v>11.868</v>
      </c>
      <c r="BH144" s="1">
        <v>11.807</v>
      </c>
      <c r="BI144" s="1">
        <v>11.829000000000001</v>
      </c>
      <c r="BJ144" s="1">
        <v>11.859</v>
      </c>
      <c r="BK144" s="1">
        <v>11.818</v>
      </c>
      <c r="BL144" s="1">
        <v>11.829000000000001</v>
      </c>
      <c r="BN144" s="9">
        <v>24</v>
      </c>
      <c r="BO144" s="9">
        <v>2025</v>
      </c>
      <c r="BP144" s="10">
        <f t="shared" si="122"/>
        <v>-2.623148148148209E-3</v>
      </c>
      <c r="BQ144" s="10">
        <f t="shared" si="123"/>
        <v>-1.1111111111123045E-5</v>
      </c>
      <c r="BR144" s="10">
        <f t="shared" si="124"/>
        <v>4.9444444444445164E-4</v>
      </c>
      <c r="BS144" s="10">
        <f t="shared" si="125"/>
        <v>-5.2351851851852949E-3</v>
      </c>
      <c r="BT144" s="10">
        <f t="shared" si="126"/>
        <v>-1.2750000000000597E-3</v>
      </c>
      <c r="BU144" s="10">
        <f t="shared" si="127"/>
        <v>-5.1666666666669769E-4</v>
      </c>
      <c r="BV144" s="10">
        <f t="shared" si="128"/>
        <v>4.6231481481481124E-3</v>
      </c>
      <c r="BW144" s="10">
        <f t="shared" si="129"/>
        <v>-1.7805555555556346E-3</v>
      </c>
      <c r="BX144" s="10">
        <f t="shared" si="130"/>
        <v>1.9268518518518135E-3</v>
      </c>
      <c r="BY144" s="10">
        <f t="shared" si="131"/>
        <v>-9.53703703703356E-5</v>
      </c>
      <c r="BZ144" s="10">
        <f t="shared" si="132"/>
        <v>-2.1175925925926344E-3</v>
      </c>
      <c r="CA144" s="10">
        <f t="shared" si="133"/>
        <v>-2.7074074074074218E-3</v>
      </c>
      <c r="CB144" s="10">
        <f t="shared" si="134"/>
        <v>1.0842592592592388E-3</v>
      </c>
      <c r="CC144" s="10">
        <f t="shared" si="135"/>
        <v>-4.3240740740748518E-4</v>
      </c>
      <c r="CD144" s="10">
        <f t="shared" si="136"/>
        <v>-7.6944444444448511E-4</v>
      </c>
      <c r="CE144" s="10">
        <f t="shared" si="137"/>
        <v>1.4212962962962389E-3</v>
      </c>
      <c r="CF144" s="10">
        <f t="shared" si="138"/>
        <v>6.6296296296287677E-4</v>
      </c>
      <c r="CG144" s="10">
        <f t="shared" si="139"/>
        <v>-2.7074074074074218E-3</v>
      </c>
      <c r="CH144" s="10">
        <f t="shared" si="140"/>
        <v>-2.8759259259259966E-3</v>
      </c>
      <c r="CI144" s="10">
        <f t="shared" si="141"/>
        <v>-1.7805555555556346E-3</v>
      </c>
      <c r="CJ144" s="10">
        <f t="shared" si="142"/>
        <v>-2.2861111111112092E-3</v>
      </c>
      <c r="CK144" s="10">
        <f t="shared" si="143"/>
        <v>-1.7805555555556346E-3</v>
      </c>
      <c r="CL144" s="10">
        <f t="shared" si="144"/>
        <v>8.3148148148145151E-4</v>
      </c>
      <c r="CM144" s="10">
        <f t="shared" si="145"/>
        <v>-3.0444444444444217E-3</v>
      </c>
      <c r="CN144" s="10">
        <f t="shared" si="146"/>
        <v>-1.4435185185184848E-3</v>
      </c>
      <c r="CO144" s="10">
        <f t="shared" si="147"/>
        <v>3.2592592592587685E-4</v>
      </c>
      <c r="CP144" s="10">
        <f t="shared" si="148"/>
        <v>-1.1111111111123045E-5</v>
      </c>
      <c r="CQ144" s="10">
        <f t="shared" si="149"/>
        <v>4.9444444444445164E-4</v>
      </c>
      <c r="CR144" s="10">
        <f t="shared" si="150"/>
        <v>1.5740740740730207E-4</v>
      </c>
      <c r="CS144" s="10">
        <f t="shared" si="151"/>
        <v>-6.8518518518527255E-4</v>
      </c>
      <c r="CT144" s="10">
        <f t="shared" si="152"/>
        <v>2.2638888888888136E-3</v>
      </c>
      <c r="CU144" s="10">
        <f t="shared" si="153"/>
        <v>-3.718518518518571E-3</v>
      </c>
      <c r="CV144" s="10">
        <f t="shared" si="154"/>
        <v>-4.561111111111146E-3</v>
      </c>
      <c r="CW144" s="10">
        <f t="shared" si="155"/>
        <v>-2.1175925925926344E-3</v>
      </c>
      <c r="CX144" s="10">
        <f t="shared" si="156"/>
        <v>-9.3796296296305985E-4</v>
      </c>
      <c r="CY144" s="10">
        <f t="shared" si="157"/>
        <v>2.6851851851851754E-3</v>
      </c>
      <c r="CZ144" s="10">
        <f t="shared" si="158"/>
        <v>1.842592592592601E-3</v>
      </c>
      <c r="DA144" s="10">
        <f t="shared" si="159"/>
        <v>-5.1666666666669769E-4</v>
      </c>
      <c r="DB144" s="10">
        <f t="shared" si="160"/>
        <v>-2.2861111111112092E-3</v>
      </c>
      <c r="DC144" s="10">
        <f t="shared" si="161"/>
        <v>3.2592592592587685E-4</v>
      </c>
      <c r="DD144" s="10">
        <f t="shared" si="162"/>
        <v>-1.6962962962962722E-3</v>
      </c>
      <c r="DE144" s="10">
        <f t="shared" si="163"/>
        <v>2.2638888888888136E-3</v>
      </c>
      <c r="DF144" s="10">
        <f t="shared" si="164"/>
        <v>2.7694444444443882E-3</v>
      </c>
      <c r="DG144" s="10">
        <f t="shared" si="165"/>
        <v>-3.8870370370371458E-3</v>
      </c>
      <c r="DH144" s="10">
        <f t="shared" si="166"/>
        <v>1.5055555555554515E-3</v>
      </c>
      <c r="DI144" s="10">
        <f t="shared" si="167"/>
        <v>-2.0333333333334216E-3</v>
      </c>
      <c r="DJ144" s="10">
        <f t="shared" si="168"/>
        <v>1.0842592592592388E-3</v>
      </c>
      <c r="DK144" s="10">
        <f t="shared" si="169"/>
        <v>-1.0222222222222724E-3</v>
      </c>
      <c r="DL144" s="10">
        <f t="shared" si="170"/>
        <v>-1.7805555555556346E-3</v>
      </c>
      <c r="DM144" s="10">
        <f t="shared" si="171"/>
        <v>-5.4879629629629324E-3</v>
      </c>
      <c r="DN144" s="10">
        <f t="shared" si="172"/>
        <v>1.9268518518518135E-3</v>
      </c>
      <c r="DO144" s="10">
        <f t="shared" si="173"/>
        <v>-1.7805555555556346E-3</v>
      </c>
      <c r="DP144" s="10">
        <f t="shared" si="174"/>
        <v>8.3148148148145151E-4</v>
      </c>
      <c r="DQ144" s="10">
        <f t="shared" si="175"/>
        <v>-2.0333333333334216E-3</v>
      </c>
      <c r="DR144" s="10">
        <f t="shared" si="176"/>
        <v>-1.1111111111123045E-5</v>
      </c>
      <c r="DS144" s="10">
        <f t="shared" si="177"/>
        <v>-5.1509259259259329E-3</v>
      </c>
      <c r="DT144" s="10">
        <f t="shared" si="178"/>
        <v>-3.2972222222222088E-3</v>
      </c>
      <c r="DU144" s="10">
        <f t="shared" si="179"/>
        <v>-7.6944444444448511E-4</v>
      </c>
      <c r="DV144" s="10">
        <f t="shared" si="180"/>
        <v>-4.2240740740741457E-3</v>
      </c>
      <c r="DW144" s="10">
        <f t="shared" si="181"/>
        <v>-3.2972222222222088E-3</v>
      </c>
    </row>
    <row r="145" spans="2:127" x14ac:dyDescent="0.45">
      <c r="B145" s="1">
        <v>24</v>
      </c>
      <c r="C145" s="1">
        <v>2040</v>
      </c>
      <c r="D145" s="7">
        <f t="shared" si="182"/>
        <v>11.956043956043956</v>
      </c>
      <c r="E145" s="1">
        <v>11.925000000000001</v>
      </c>
      <c r="F145" s="1">
        <v>11.955</v>
      </c>
      <c r="G145" s="1">
        <v>11.961</v>
      </c>
      <c r="H145" s="1">
        <v>11.894</v>
      </c>
      <c r="I145" s="1">
        <v>11.943</v>
      </c>
      <c r="J145" s="1">
        <v>11.95</v>
      </c>
      <c r="K145" s="1">
        <v>12.010999999999999</v>
      </c>
      <c r="L145" s="1">
        <v>11.933</v>
      </c>
      <c r="M145" s="1">
        <v>11.98</v>
      </c>
      <c r="N145" s="1">
        <v>11.954000000000001</v>
      </c>
      <c r="O145" s="1">
        <v>11.929</v>
      </c>
      <c r="P145" s="1">
        <v>11.923</v>
      </c>
      <c r="Q145" s="1">
        <v>11.967000000000001</v>
      </c>
      <c r="R145" s="1">
        <v>11.948</v>
      </c>
      <c r="S145" s="1">
        <v>11.946</v>
      </c>
      <c r="T145" s="1">
        <v>11.973000000000001</v>
      </c>
      <c r="U145" s="1">
        <v>11.961</v>
      </c>
      <c r="V145" s="1">
        <v>11.923</v>
      </c>
      <c r="W145" s="1">
        <v>11.92</v>
      </c>
      <c r="X145" s="1">
        <v>11.927</v>
      </c>
      <c r="Y145" s="1">
        <v>11.933</v>
      </c>
      <c r="Z145" s="1">
        <v>11.932</v>
      </c>
      <c r="AA145" s="1">
        <v>11.962999999999999</v>
      </c>
      <c r="AB145" s="1">
        <v>11.92</v>
      </c>
      <c r="AC145" s="1">
        <v>11.936999999999999</v>
      </c>
      <c r="AD145" s="1">
        <v>11.958</v>
      </c>
      <c r="AE145" s="1">
        <v>11.955</v>
      </c>
      <c r="AF145" s="1">
        <v>11.962</v>
      </c>
      <c r="AG145" s="1">
        <v>11.958</v>
      </c>
      <c r="AH145" s="1">
        <v>11.944000000000001</v>
      </c>
      <c r="AI145" s="1">
        <v>11.981999999999999</v>
      </c>
      <c r="AJ145" s="1">
        <v>11.913</v>
      </c>
      <c r="AK145" s="1">
        <v>11.9</v>
      </c>
      <c r="AL145" s="1">
        <v>11.932</v>
      </c>
      <c r="AM145" s="1">
        <v>11.944000000000001</v>
      </c>
      <c r="AN145" s="1">
        <v>11.988</v>
      </c>
      <c r="AO145" s="1">
        <v>11.977</v>
      </c>
      <c r="AP145" s="1">
        <v>11.948</v>
      </c>
      <c r="AQ145" s="1">
        <v>11.932</v>
      </c>
      <c r="AR145" s="1">
        <v>11.958</v>
      </c>
      <c r="AS145" s="1">
        <v>11.935</v>
      </c>
      <c r="AT145" s="1">
        <v>11.984999999999999</v>
      </c>
      <c r="AU145" s="1">
        <v>11.989000000000001</v>
      </c>
      <c r="AV145" s="1">
        <v>11.906000000000001</v>
      </c>
      <c r="AW145" s="1">
        <v>11.974</v>
      </c>
      <c r="AX145" s="1">
        <v>11.929</v>
      </c>
      <c r="AY145" s="1">
        <v>11.965999999999999</v>
      </c>
      <c r="AZ145" s="1">
        <v>11.942</v>
      </c>
      <c r="BA145" s="1">
        <v>11.933</v>
      </c>
      <c r="BB145" s="1">
        <v>11.89</v>
      </c>
      <c r="BC145" s="1">
        <v>11.98</v>
      </c>
      <c r="BD145" s="1">
        <v>11.932</v>
      </c>
      <c r="BE145" s="1">
        <v>11.965999999999999</v>
      </c>
      <c r="BF145" s="1">
        <v>11.932</v>
      </c>
      <c r="BG145" s="1">
        <v>11.954000000000001</v>
      </c>
      <c r="BH145" s="1">
        <v>11.891</v>
      </c>
      <c r="BI145" s="1">
        <v>11.916</v>
      </c>
      <c r="BJ145" s="1">
        <v>11.946</v>
      </c>
      <c r="BK145" s="1">
        <v>11.909000000000001</v>
      </c>
      <c r="BL145" s="1">
        <v>11.916</v>
      </c>
      <c r="BN145" s="9">
        <v>24</v>
      </c>
      <c r="BO145" s="9">
        <v>2040</v>
      </c>
      <c r="BP145" s="10">
        <f t="shared" si="122"/>
        <v>-2.5965073529411299E-3</v>
      </c>
      <c r="BQ145" s="10">
        <f t="shared" si="123"/>
        <v>-8.7316176470595355E-5</v>
      </c>
      <c r="BR145" s="10">
        <f t="shared" si="124"/>
        <v>4.1452205882354132E-4</v>
      </c>
      <c r="BS145" s="10">
        <f t="shared" si="125"/>
        <v>-5.1893382352941201E-3</v>
      </c>
      <c r="BT145" s="10">
        <f t="shared" si="126"/>
        <v>-1.0909926470588688E-3</v>
      </c>
      <c r="BU145" s="10">
        <f t="shared" si="127"/>
        <v>-5.0551470588242541E-4</v>
      </c>
      <c r="BV145" s="10">
        <f t="shared" si="128"/>
        <v>4.5965073529410988E-3</v>
      </c>
      <c r="BW145" s="10">
        <f t="shared" si="129"/>
        <v>-1.9273897058823802E-3</v>
      </c>
      <c r="BX145" s="10">
        <f t="shared" si="130"/>
        <v>2.0036764705882578E-3</v>
      </c>
      <c r="BY145" s="10">
        <f t="shared" si="131"/>
        <v>-1.7095588235290193E-4</v>
      </c>
      <c r="BZ145" s="10">
        <f t="shared" si="132"/>
        <v>-2.2619485294117551E-3</v>
      </c>
      <c r="CA145" s="10">
        <f t="shared" si="133"/>
        <v>-2.7637867647058918E-3</v>
      </c>
      <c r="CB145" s="10">
        <f t="shared" si="134"/>
        <v>9.1636029411767798E-4</v>
      </c>
      <c r="CC145" s="10">
        <f t="shared" si="135"/>
        <v>-6.7279411764703859E-4</v>
      </c>
      <c r="CD145" s="10">
        <f t="shared" si="136"/>
        <v>-8.4007352941180031E-4</v>
      </c>
      <c r="CE145" s="10">
        <f t="shared" si="137"/>
        <v>1.4181985294118146E-3</v>
      </c>
      <c r="CF145" s="10">
        <f t="shared" si="138"/>
        <v>4.1452205882354132E-4</v>
      </c>
      <c r="CG145" s="10">
        <f t="shared" si="139"/>
        <v>-2.7637867647058918E-3</v>
      </c>
      <c r="CH145" s="10">
        <f t="shared" si="140"/>
        <v>-3.0147058823529601E-3</v>
      </c>
      <c r="CI145" s="10">
        <f t="shared" si="141"/>
        <v>-2.4292279411765169E-3</v>
      </c>
      <c r="CJ145" s="10">
        <f t="shared" si="142"/>
        <v>-1.9273897058823802E-3</v>
      </c>
      <c r="CK145" s="10">
        <f t="shared" si="143"/>
        <v>-2.0110294117646867E-3</v>
      </c>
      <c r="CL145" s="10">
        <f t="shared" si="144"/>
        <v>5.8180147058815444E-4</v>
      </c>
      <c r="CM145" s="10">
        <f t="shared" si="145"/>
        <v>-3.0147058823529601E-3</v>
      </c>
      <c r="CN145" s="10">
        <f t="shared" si="146"/>
        <v>-1.5928308823530053E-3</v>
      </c>
      <c r="CO145" s="10">
        <f t="shared" si="147"/>
        <v>1.6360294117647299E-4</v>
      </c>
      <c r="CP145" s="10">
        <f t="shared" si="148"/>
        <v>-8.7316176470595355E-5</v>
      </c>
      <c r="CQ145" s="10">
        <f t="shared" si="149"/>
        <v>4.9816176470584791E-4</v>
      </c>
      <c r="CR145" s="10">
        <f t="shared" si="150"/>
        <v>1.6360294117647299E-4</v>
      </c>
      <c r="CS145" s="10">
        <f t="shared" si="151"/>
        <v>-1.0073529411764135E-3</v>
      </c>
      <c r="CT145" s="10">
        <f t="shared" si="152"/>
        <v>2.1709558823528709E-3</v>
      </c>
      <c r="CU145" s="10">
        <f t="shared" si="153"/>
        <v>-3.6001838235294034E-3</v>
      </c>
      <c r="CV145" s="10">
        <f t="shared" si="154"/>
        <v>-4.6874999999999833E-3</v>
      </c>
      <c r="CW145" s="10">
        <f t="shared" si="155"/>
        <v>-2.0110294117646867E-3</v>
      </c>
      <c r="CX145" s="10">
        <f t="shared" si="156"/>
        <v>-1.0073529411764135E-3</v>
      </c>
      <c r="CY145" s="10">
        <f t="shared" si="157"/>
        <v>2.6727941176470076E-3</v>
      </c>
      <c r="CZ145" s="10">
        <f t="shared" si="158"/>
        <v>1.7527573529411895E-3</v>
      </c>
      <c r="DA145" s="10">
        <f t="shared" si="159"/>
        <v>-6.7279411764703859E-4</v>
      </c>
      <c r="DB145" s="10">
        <f t="shared" si="160"/>
        <v>-2.0110294117646867E-3</v>
      </c>
      <c r="DC145" s="10">
        <f t="shared" si="161"/>
        <v>1.6360294117647299E-4</v>
      </c>
      <c r="DD145" s="10">
        <f t="shared" si="162"/>
        <v>-1.7601102941176186E-3</v>
      </c>
      <c r="DE145" s="10">
        <f t="shared" si="163"/>
        <v>2.4218749999999393E-3</v>
      </c>
      <c r="DF145" s="10">
        <f t="shared" si="164"/>
        <v>2.7564338235294629E-3</v>
      </c>
      <c r="DG145" s="10">
        <f t="shared" si="165"/>
        <v>-4.1856617647058466E-3</v>
      </c>
      <c r="DH145" s="10">
        <f t="shared" si="166"/>
        <v>1.5018382352941211E-3</v>
      </c>
      <c r="DI145" s="10">
        <f t="shared" si="167"/>
        <v>-2.2619485294117551E-3</v>
      </c>
      <c r="DJ145" s="10">
        <f t="shared" si="168"/>
        <v>8.327205882352228E-4</v>
      </c>
      <c r="DK145" s="10">
        <f t="shared" si="169"/>
        <v>-1.1746323529411753E-3</v>
      </c>
      <c r="DL145" s="10">
        <f t="shared" si="170"/>
        <v>-1.9273897058823802E-3</v>
      </c>
      <c r="DM145" s="10">
        <f t="shared" si="171"/>
        <v>-5.5238970588234945E-3</v>
      </c>
      <c r="DN145" s="10">
        <f t="shared" si="172"/>
        <v>2.0036764705882578E-3</v>
      </c>
      <c r="DO145" s="10">
        <f t="shared" si="173"/>
        <v>-2.0110294117646867E-3</v>
      </c>
      <c r="DP145" s="10">
        <f t="shared" si="174"/>
        <v>8.327205882352228E-4</v>
      </c>
      <c r="DQ145" s="10">
        <f t="shared" si="175"/>
        <v>-2.0110294117646867E-3</v>
      </c>
      <c r="DR145" s="10">
        <f t="shared" si="176"/>
        <v>-1.7095588235290193E-4</v>
      </c>
      <c r="DS145" s="10">
        <f t="shared" si="177"/>
        <v>-5.440257352941188E-3</v>
      </c>
      <c r="DT145" s="10">
        <f t="shared" si="178"/>
        <v>-3.349264705882335E-3</v>
      </c>
      <c r="DU145" s="10">
        <f t="shared" si="179"/>
        <v>-8.4007352941180031E-4</v>
      </c>
      <c r="DV145" s="10">
        <f t="shared" si="180"/>
        <v>-3.9347426470587787E-3</v>
      </c>
      <c r="DW145" s="10">
        <f t="shared" si="181"/>
        <v>-3.349264705882335E-3</v>
      </c>
    </row>
    <row r="146" spans="2:127" x14ac:dyDescent="0.45">
      <c r="B146" s="1">
        <v>24</v>
      </c>
      <c r="C146" s="1">
        <v>2055</v>
      </c>
      <c r="D146" s="7">
        <f t="shared" si="182"/>
        <v>12.043956043956044</v>
      </c>
      <c r="E146" s="1">
        <v>12.010999999999999</v>
      </c>
      <c r="F146" s="1">
        <v>12.041</v>
      </c>
      <c r="G146" s="1">
        <v>12.047000000000001</v>
      </c>
      <c r="H146" s="1">
        <v>11.981</v>
      </c>
      <c r="I146" s="1">
        <v>12.031000000000001</v>
      </c>
      <c r="J146" s="1">
        <v>12.038</v>
      </c>
      <c r="K146" s="1">
        <v>12.102</v>
      </c>
      <c r="L146" s="1">
        <v>12.02</v>
      </c>
      <c r="M146" s="1">
        <v>12.066000000000001</v>
      </c>
      <c r="N146" s="1">
        <v>12.037000000000001</v>
      </c>
      <c r="O146" s="1">
        <v>12.018000000000001</v>
      </c>
      <c r="P146" s="1">
        <v>12.010999999999999</v>
      </c>
      <c r="Q146" s="1">
        <v>12.057</v>
      </c>
      <c r="R146" s="1">
        <v>12.037000000000001</v>
      </c>
      <c r="S146" s="1">
        <v>12.028</v>
      </c>
      <c r="T146" s="1">
        <v>12.06</v>
      </c>
      <c r="U146" s="1">
        <v>12.045999999999999</v>
      </c>
      <c r="V146" s="1">
        <v>12.007999999999999</v>
      </c>
      <c r="W146" s="1">
        <v>12.009</v>
      </c>
      <c r="X146" s="1">
        <v>12.018000000000001</v>
      </c>
      <c r="Y146" s="1">
        <v>12.018000000000001</v>
      </c>
      <c r="Z146" s="1">
        <v>12.018000000000001</v>
      </c>
      <c r="AA146" s="1">
        <v>12.053000000000001</v>
      </c>
      <c r="AB146" s="1">
        <v>12.009</v>
      </c>
      <c r="AC146" s="1">
        <v>12.026</v>
      </c>
      <c r="AD146" s="1">
        <v>12.045</v>
      </c>
      <c r="AE146" s="1">
        <v>12.041</v>
      </c>
      <c r="AF146" s="1">
        <v>12.048999999999999</v>
      </c>
      <c r="AG146" s="1">
        <v>12.045</v>
      </c>
      <c r="AH146" s="1">
        <v>12.034000000000001</v>
      </c>
      <c r="AI146" s="1">
        <v>12.069000000000001</v>
      </c>
      <c r="AJ146" s="1">
        <v>12</v>
      </c>
      <c r="AK146" s="1">
        <v>11.989000000000001</v>
      </c>
      <c r="AL146" s="1">
        <v>12.02</v>
      </c>
      <c r="AM146" s="1">
        <v>12.032</v>
      </c>
      <c r="AN146" s="1">
        <v>12.076000000000001</v>
      </c>
      <c r="AO146" s="1">
        <v>12.068</v>
      </c>
      <c r="AP146" s="1">
        <v>12.038</v>
      </c>
      <c r="AQ146" s="1">
        <v>12.02</v>
      </c>
      <c r="AR146" s="1">
        <v>12.045999999999999</v>
      </c>
      <c r="AS146" s="1">
        <v>12.02</v>
      </c>
      <c r="AT146" s="1">
        <v>12.071999999999999</v>
      </c>
      <c r="AU146" s="1">
        <v>12.08</v>
      </c>
      <c r="AV146" s="1">
        <v>11.997</v>
      </c>
      <c r="AW146" s="1">
        <v>12.061</v>
      </c>
      <c r="AX146" s="1">
        <v>12.010999999999999</v>
      </c>
      <c r="AY146" s="1">
        <v>12.054</v>
      </c>
      <c r="AZ146" s="1">
        <v>12.03</v>
      </c>
      <c r="BA146" s="1">
        <v>12.02</v>
      </c>
      <c r="BB146" s="1">
        <v>11.975</v>
      </c>
      <c r="BC146" s="1">
        <v>12.066000000000001</v>
      </c>
      <c r="BD146" s="1">
        <v>12.02</v>
      </c>
      <c r="BE146" s="1">
        <v>12.053000000000001</v>
      </c>
      <c r="BF146" s="1">
        <v>12.02</v>
      </c>
      <c r="BG146" s="1">
        <v>12.041</v>
      </c>
      <c r="BH146" s="1">
        <v>11.986000000000001</v>
      </c>
      <c r="BI146" s="1">
        <v>12.004</v>
      </c>
      <c r="BJ146" s="1">
        <v>12.034000000000001</v>
      </c>
      <c r="BK146" s="1">
        <v>11.993</v>
      </c>
      <c r="BL146" s="1">
        <v>12.004</v>
      </c>
      <c r="BN146" s="9">
        <v>24</v>
      </c>
      <c r="BO146" s="9">
        <v>2055</v>
      </c>
      <c r="BP146" s="10">
        <f t="shared" si="122"/>
        <v>-2.7363138686131894E-3</v>
      </c>
      <c r="BQ146" s="10">
        <f t="shared" si="123"/>
        <v>-2.4543795620433591E-4</v>
      </c>
      <c r="BR146" s="10">
        <f t="shared" si="124"/>
        <v>2.5273722627743478E-4</v>
      </c>
      <c r="BS146" s="10">
        <f t="shared" si="125"/>
        <v>-5.2271897810218957E-3</v>
      </c>
      <c r="BT146" s="10">
        <f t="shared" si="126"/>
        <v>-1.075729927007238E-3</v>
      </c>
      <c r="BU146" s="10">
        <f t="shared" si="127"/>
        <v>-4.9452554744522132E-4</v>
      </c>
      <c r="BV146" s="10">
        <f t="shared" si="128"/>
        <v>4.81934306569347E-3</v>
      </c>
      <c r="BW146" s="10">
        <f t="shared" si="129"/>
        <v>-1.9890510948905333E-3</v>
      </c>
      <c r="BX146" s="10">
        <f t="shared" si="130"/>
        <v>1.8302919708029928E-3</v>
      </c>
      <c r="BY146" s="10">
        <f t="shared" si="131"/>
        <v>-5.7755474452546719E-4</v>
      </c>
      <c r="BZ146" s="10">
        <f t="shared" si="132"/>
        <v>-2.1551094890510255E-3</v>
      </c>
      <c r="CA146" s="10">
        <f t="shared" si="133"/>
        <v>-2.7363138686131894E-3</v>
      </c>
      <c r="CB146" s="10">
        <f t="shared" si="134"/>
        <v>1.0830291970803368E-3</v>
      </c>
      <c r="CC146" s="10">
        <f t="shared" si="135"/>
        <v>-5.7755474452546719E-4</v>
      </c>
      <c r="CD146" s="10">
        <f t="shared" si="136"/>
        <v>-1.3248175182481233E-3</v>
      </c>
      <c r="CE146" s="10">
        <f t="shared" si="137"/>
        <v>1.3321167883212223E-3</v>
      </c>
      <c r="CF146" s="10">
        <f t="shared" si="138"/>
        <v>1.6970802919704135E-4</v>
      </c>
      <c r="CG146" s="10">
        <f t="shared" si="139"/>
        <v>-2.9854014598540749E-3</v>
      </c>
      <c r="CH146" s="10">
        <f t="shared" si="140"/>
        <v>-2.9023722627736816E-3</v>
      </c>
      <c r="CI146" s="10">
        <f t="shared" si="141"/>
        <v>-2.1551094890510255E-3</v>
      </c>
      <c r="CJ146" s="10">
        <f t="shared" si="142"/>
        <v>-2.1551094890510255E-3</v>
      </c>
      <c r="CK146" s="10">
        <f t="shared" si="143"/>
        <v>-2.1551094890510255E-3</v>
      </c>
      <c r="CL146" s="10">
        <f t="shared" si="144"/>
        <v>7.5091240875920548E-4</v>
      </c>
      <c r="CM146" s="10">
        <f t="shared" si="145"/>
        <v>-2.9023722627736816E-3</v>
      </c>
      <c r="CN146" s="10">
        <f t="shared" si="146"/>
        <v>-1.4908759124087627E-3</v>
      </c>
      <c r="CO146" s="10">
        <f t="shared" si="147"/>
        <v>8.6678832116795389E-5</v>
      </c>
      <c r="CP146" s="10">
        <f t="shared" si="148"/>
        <v>-2.4543795620433591E-4</v>
      </c>
      <c r="CQ146" s="10">
        <f t="shared" si="149"/>
        <v>4.1879562043792669E-4</v>
      </c>
      <c r="CR146" s="10">
        <f t="shared" si="150"/>
        <v>8.6678832116795389E-5</v>
      </c>
      <c r="CS146" s="10">
        <f t="shared" si="151"/>
        <v>-8.2664233576635259E-4</v>
      </c>
      <c r="CT146" s="10">
        <f t="shared" si="152"/>
        <v>2.0793795620438781E-3</v>
      </c>
      <c r="CU146" s="10">
        <f t="shared" si="153"/>
        <v>-3.6496350364963372E-3</v>
      </c>
      <c r="CV146" s="10">
        <f t="shared" si="154"/>
        <v>-4.5629562043794855E-3</v>
      </c>
      <c r="CW146" s="10">
        <f t="shared" si="155"/>
        <v>-1.9890510948905333E-3</v>
      </c>
      <c r="CX146" s="10">
        <f t="shared" si="156"/>
        <v>-9.927007299269919E-4</v>
      </c>
      <c r="CY146" s="10">
        <f t="shared" si="157"/>
        <v>2.660583941605895E-3</v>
      </c>
      <c r="CZ146" s="10">
        <f t="shared" si="158"/>
        <v>1.9963503649634848E-3</v>
      </c>
      <c r="DA146" s="10">
        <f t="shared" si="159"/>
        <v>-4.9452554744522132E-4</v>
      </c>
      <c r="DB146" s="10">
        <f t="shared" si="160"/>
        <v>-1.9890510948905333E-3</v>
      </c>
      <c r="DC146" s="10">
        <f t="shared" si="161"/>
        <v>1.6970802919704135E-4</v>
      </c>
      <c r="DD146" s="10">
        <f t="shared" si="162"/>
        <v>-1.9890510948905333E-3</v>
      </c>
      <c r="DE146" s="10">
        <f t="shared" si="163"/>
        <v>2.3284671532846162E-3</v>
      </c>
      <c r="DF146" s="10">
        <f t="shared" si="164"/>
        <v>2.992700729927026E-3</v>
      </c>
      <c r="DG146" s="10">
        <f t="shared" si="165"/>
        <v>-3.8987226277372227E-3</v>
      </c>
      <c r="DH146" s="10">
        <f t="shared" si="166"/>
        <v>1.4151459854014681E-3</v>
      </c>
      <c r="DI146" s="10">
        <f t="shared" si="167"/>
        <v>-2.7363138686131894E-3</v>
      </c>
      <c r="DJ146" s="10">
        <f t="shared" si="168"/>
        <v>8.3394160583945146E-4</v>
      </c>
      <c r="DK146" s="10">
        <f t="shared" si="169"/>
        <v>-1.1587591240876313E-3</v>
      </c>
      <c r="DL146" s="10">
        <f t="shared" si="170"/>
        <v>-1.9890510948905333E-3</v>
      </c>
      <c r="DM146" s="10">
        <f t="shared" si="171"/>
        <v>-5.7253649635036659E-3</v>
      </c>
      <c r="DN146" s="10">
        <f t="shared" si="172"/>
        <v>1.8302919708029928E-3</v>
      </c>
      <c r="DO146" s="10">
        <f t="shared" si="173"/>
        <v>-1.9890510948905333E-3</v>
      </c>
      <c r="DP146" s="10">
        <f t="shared" si="174"/>
        <v>7.5091240875920548E-4</v>
      </c>
      <c r="DQ146" s="10">
        <f t="shared" si="175"/>
        <v>-1.9890510948905333E-3</v>
      </c>
      <c r="DR146" s="10">
        <f t="shared" si="176"/>
        <v>-2.4543795620433591E-4</v>
      </c>
      <c r="DS146" s="10">
        <f t="shared" si="177"/>
        <v>-4.812043795620371E-3</v>
      </c>
      <c r="DT146" s="10">
        <f t="shared" si="178"/>
        <v>-3.3175182481752063E-3</v>
      </c>
      <c r="DU146" s="10">
        <f t="shared" si="179"/>
        <v>-8.2664233576635259E-4</v>
      </c>
      <c r="DV146" s="10">
        <f t="shared" si="180"/>
        <v>-4.2308394160583537E-3</v>
      </c>
      <c r="DW146" s="10">
        <f t="shared" si="181"/>
        <v>-3.3175182481752063E-3</v>
      </c>
    </row>
    <row r="147" spans="2:127" x14ac:dyDescent="0.45">
      <c r="B147" s="1">
        <v>24</v>
      </c>
      <c r="C147" s="1">
        <v>2070</v>
      </c>
      <c r="D147" s="7">
        <f t="shared" si="182"/>
        <v>12.131868131868131</v>
      </c>
      <c r="E147" s="1">
        <v>12.099</v>
      </c>
      <c r="F147" s="1">
        <v>12.129</v>
      </c>
      <c r="G147" s="1">
        <v>12.135999999999999</v>
      </c>
      <c r="H147" s="1">
        <v>12.068</v>
      </c>
      <c r="I147" s="1">
        <v>12.119</v>
      </c>
      <c r="J147" s="1">
        <v>12.127000000000001</v>
      </c>
      <c r="K147" s="1">
        <v>12.19</v>
      </c>
      <c r="L147" s="1">
        <v>12.111000000000001</v>
      </c>
      <c r="M147" s="1">
        <v>12.154999999999999</v>
      </c>
      <c r="N147" s="1">
        <v>12.122999999999999</v>
      </c>
      <c r="O147" s="1">
        <v>12.103999999999999</v>
      </c>
      <c r="P147" s="1">
        <v>12.099</v>
      </c>
      <c r="Q147" s="1">
        <v>12.144</v>
      </c>
      <c r="R147" s="1">
        <v>12.127000000000001</v>
      </c>
      <c r="S147" s="1">
        <v>12.117000000000001</v>
      </c>
      <c r="T147" s="1">
        <v>12.148</v>
      </c>
      <c r="U147" s="1">
        <v>12.138</v>
      </c>
      <c r="V147" s="1">
        <v>12.098000000000001</v>
      </c>
      <c r="W147" s="1">
        <v>12.099</v>
      </c>
      <c r="X147" s="1">
        <v>12.099</v>
      </c>
      <c r="Y147" s="1">
        <v>12.103999999999999</v>
      </c>
      <c r="Z147" s="1">
        <v>12.106</v>
      </c>
      <c r="AA147" s="1">
        <v>12.141999999999999</v>
      </c>
      <c r="AB147" s="1">
        <v>12.098000000000001</v>
      </c>
      <c r="AC147" s="1">
        <v>12.112</v>
      </c>
      <c r="AD147" s="1">
        <v>12.132999999999999</v>
      </c>
      <c r="AE147" s="1">
        <v>12.125999999999999</v>
      </c>
      <c r="AF147" s="1">
        <v>12.137</v>
      </c>
      <c r="AG147" s="1">
        <v>12.134</v>
      </c>
      <c r="AH147" s="1">
        <v>12.122</v>
      </c>
      <c r="AI147" s="1">
        <v>12.159000000000001</v>
      </c>
      <c r="AJ147" s="1">
        <v>12.085000000000001</v>
      </c>
      <c r="AK147" s="1">
        <v>12.079000000000001</v>
      </c>
      <c r="AL147" s="1">
        <v>12.106999999999999</v>
      </c>
      <c r="AM147" s="1">
        <v>12.122</v>
      </c>
      <c r="AN147" s="1">
        <v>12.161</v>
      </c>
      <c r="AO147" s="1">
        <v>12.156000000000001</v>
      </c>
      <c r="AP147" s="1">
        <v>12.125999999999999</v>
      </c>
      <c r="AQ147" s="1">
        <v>12.106</v>
      </c>
      <c r="AR147" s="1">
        <v>12.135999999999999</v>
      </c>
      <c r="AS147" s="1">
        <v>12.106999999999999</v>
      </c>
      <c r="AT147" s="1">
        <v>12.16</v>
      </c>
      <c r="AU147" s="1">
        <v>12.167999999999999</v>
      </c>
      <c r="AV147" s="1">
        <v>12.077</v>
      </c>
      <c r="AW147" s="1">
        <v>12.146000000000001</v>
      </c>
      <c r="AX147" s="1">
        <v>12.1</v>
      </c>
      <c r="AY147" s="1">
        <v>12.146000000000001</v>
      </c>
      <c r="AZ147" s="1">
        <v>12.117000000000001</v>
      </c>
      <c r="BA147" s="1">
        <v>12.108000000000001</v>
      </c>
      <c r="BB147" s="1">
        <v>12.06</v>
      </c>
      <c r="BC147" s="1">
        <v>12.156000000000001</v>
      </c>
      <c r="BD147" s="1">
        <v>12.108000000000001</v>
      </c>
      <c r="BE147" s="1">
        <v>12.141</v>
      </c>
      <c r="BF147" s="1">
        <v>12.108000000000001</v>
      </c>
      <c r="BG147" s="1">
        <v>12.13</v>
      </c>
      <c r="BH147" s="1">
        <v>12.065</v>
      </c>
      <c r="BI147" s="1">
        <v>12.093</v>
      </c>
      <c r="BJ147" s="1">
        <v>12.125</v>
      </c>
      <c r="BK147" s="1">
        <v>12.074</v>
      </c>
      <c r="BL147" s="1">
        <v>12.089</v>
      </c>
      <c r="BN147" s="9">
        <v>24</v>
      </c>
      <c r="BO147" s="9">
        <v>2070</v>
      </c>
      <c r="BP147" s="10">
        <f t="shared" si="122"/>
        <v>-2.7092391304347277E-3</v>
      </c>
      <c r="BQ147" s="10">
        <f t="shared" si="123"/>
        <v>-2.3641304347825858E-4</v>
      </c>
      <c r="BR147" s="10">
        <f t="shared" si="124"/>
        <v>3.4057971014490293E-4</v>
      </c>
      <c r="BS147" s="10">
        <f t="shared" si="125"/>
        <v>-5.264492753623182E-3</v>
      </c>
      <c r="BT147" s="10">
        <f t="shared" si="126"/>
        <v>-1.0606884057970817E-3</v>
      </c>
      <c r="BU147" s="10">
        <f t="shared" si="127"/>
        <v>-4.0126811594193534E-4</v>
      </c>
      <c r="BV147" s="10">
        <f t="shared" si="128"/>
        <v>4.7916666666666646E-3</v>
      </c>
      <c r="BW147" s="10">
        <f t="shared" si="129"/>
        <v>-1.7201086956520814E-3</v>
      </c>
      <c r="BX147" s="10">
        <f t="shared" si="130"/>
        <v>1.9067028985507105E-3</v>
      </c>
      <c r="BY147" s="10">
        <f t="shared" si="131"/>
        <v>-7.3097826086958165E-4</v>
      </c>
      <c r="BZ147" s="10">
        <f t="shared" si="132"/>
        <v>-2.2971014492753892E-3</v>
      </c>
      <c r="CA147" s="10">
        <f t="shared" si="133"/>
        <v>-2.7092391304347277E-3</v>
      </c>
      <c r="CB147" s="10">
        <f t="shared" si="134"/>
        <v>1.0000000000000492E-3</v>
      </c>
      <c r="CC147" s="10">
        <f t="shared" si="135"/>
        <v>-4.0126811594193534E-4</v>
      </c>
      <c r="CD147" s="10">
        <f t="shared" si="136"/>
        <v>-1.2255434782607584E-3</v>
      </c>
      <c r="CE147" s="10">
        <f t="shared" si="137"/>
        <v>1.3297101449275491E-3</v>
      </c>
      <c r="CF147" s="10">
        <f t="shared" si="138"/>
        <v>5.0543478260872611E-4</v>
      </c>
      <c r="CG147" s="10">
        <f t="shared" si="139"/>
        <v>-2.7916666666665661E-3</v>
      </c>
      <c r="CH147" s="10">
        <f t="shared" si="140"/>
        <v>-2.7092391304347277E-3</v>
      </c>
      <c r="CI147" s="10">
        <f t="shared" si="141"/>
        <v>-2.7092391304347277E-3</v>
      </c>
      <c r="CJ147" s="10">
        <f t="shared" si="142"/>
        <v>-2.2971014492753892E-3</v>
      </c>
      <c r="CK147" s="10">
        <f t="shared" si="143"/>
        <v>-2.1322463768115663E-3</v>
      </c>
      <c r="CL147" s="10">
        <f t="shared" si="144"/>
        <v>8.3514492753622601E-4</v>
      </c>
      <c r="CM147" s="10">
        <f t="shared" si="145"/>
        <v>-2.7916666666665661E-3</v>
      </c>
      <c r="CN147" s="10">
        <f t="shared" si="146"/>
        <v>-1.6376811594202431E-3</v>
      </c>
      <c r="CO147" s="10">
        <f t="shared" si="147"/>
        <v>9.3297101449241353E-5</v>
      </c>
      <c r="CP147" s="10">
        <f t="shared" si="148"/>
        <v>-4.8369565217392014E-4</v>
      </c>
      <c r="CQ147" s="10">
        <f t="shared" si="149"/>
        <v>4.2300724637688773E-4</v>
      </c>
      <c r="CR147" s="10">
        <f t="shared" si="150"/>
        <v>1.7572463768122617E-4</v>
      </c>
      <c r="CS147" s="10">
        <f t="shared" si="151"/>
        <v>-8.1340579710142003E-4</v>
      </c>
      <c r="CT147" s="10">
        <f t="shared" si="152"/>
        <v>2.2364130434783568E-3</v>
      </c>
      <c r="CU147" s="10">
        <f t="shared" si="153"/>
        <v>-3.8632246376810505E-3</v>
      </c>
      <c r="CV147" s="10">
        <f t="shared" si="154"/>
        <v>-4.357789855072374E-3</v>
      </c>
      <c r="CW147" s="10">
        <f t="shared" si="155"/>
        <v>-2.0498188405797279E-3</v>
      </c>
      <c r="CX147" s="10">
        <f t="shared" si="156"/>
        <v>-8.1340579710142003E-4</v>
      </c>
      <c r="CY147" s="10">
        <f t="shared" si="157"/>
        <v>2.4012681159420336E-3</v>
      </c>
      <c r="CZ147" s="10">
        <f t="shared" si="158"/>
        <v>1.9891304347826955E-3</v>
      </c>
      <c r="DA147" s="10">
        <f t="shared" si="159"/>
        <v>-4.8369565217392014E-4</v>
      </c>
      <c r="DB147" s="10">
        <f t="shared" si="160"/>
        <v>-2.1322463768115663E-3</v>
      </c>
      <c r="DC147" s="10">
        <f t="shared" si="161"/>
        <v>3.4057971014490293E-4</v>
      </c>
      <c r="DD147" s="10">
        <f t="shared" si="162"/>
        <v>-2.0498188405797279E-3</v>
      </c>
      <c r="DE147" s="10">
        <f t="shared" si="163"/>
        <v>2.3188405797101952E-3</v>
      </c>
      <c r="DF147" s="10">
        <f t="shared" si="164"/>
        <v>2.9782608695651954E-3</v>
      </c>
      <c r="DG147" s="10">
        <f t="shared" si="165"/>
        <v>-4.5226449275361973E-3</v>
      </c>
      <c r="DH147" s="10">
        <f t="shared" si="166"/>
        <v>1.1648550724638724E-3</v>
      </c>
      <c r="DI147" s="10">
        <f t="shared" si="167"/>
        <v>-2.6268115942028893E-3</v>
      </c>
      <c r="DJ147" s="10">
        <f t="shared" si="168"/>
        <v>1.1648550724638724E-3</v>
      </c>
      <c r="DK147" s="10">
        <f t="shared" si="169"/>
        <v>-1.2255434782607584E-3</v>
      </c>
      <c r="DL147" s="10">
        <f t="shared" si="170"/>
        <v>-1.9673913043477429E-3</v>
      </c>
      <c r="DM147" s="10">
        <f t="shared" si="171"/>
        <v>-5.9239130434781814E-3</v>
      </c>
      <c r="DN147" s="10">
        <f t="shared" si="172"/>
        <v>1.9891304347826955E-3</v>
      </c>
      <c r="DO147" s="10">
        <f t="shared" si="173"/>
        <v>-1.9673913043477429E-3</v>
      </c>
      <c r="DP147" s="10">
        <f t="shared" si="174"/>
        <v>7.5271739130438762E-4</v>
      </c>
      <c r="DQ147" s="10">
        <f t="shared" si="175"/>
        <v>-1.9673913043477429E-3</v>
      </c>
      <c r="DR147" s="10">
        <f t="shared" si="176"/>
        <v>-1.5398550724627378E-4</v>
      </c>
      <c r="DS147" s="10">
        <f t="shared" si="177"/>
        <v>-5.5117753623188433E-3</v>
      </c>
      <c r="DT147" s="10">
        <f t="shared" si="178"/>
        <v>-3.2038043478260507E-3</v>
      </c>
      <c r="DU147" s="10">
        <f t="shared" si="179"/>
        <v>-5.6612318840575852E-4</v>
      </c>
      <c r="DV147" s="10">
        <f t="shared" si="180"/>
        <v>-4.7699275362318586E-3</v>
      </c>
      <c r="DW147" s="10">
        <f t="shared" si="181"/>
        <v>-3.5335144927535508E-3</v>
      </c>
    </row>
    <row r="148" spans="2:127" x14ac:dyDescent="0.45">
      <c r="B148" s="1">
        <v>24</v>
      </c>
      <c r="C148" s="1">
        <v>2085</v>
      </c>
      <c r="D148" s="7">
        <f t="shared" si="182"/>
        <v>12.219780219780219</v>
      </c>
      <c r="E148" s="1">
        <v>12.186999999999999</v>
      </c>
      <c r="F148" s="1">
        <v>12.217000000000001</v>
      </c>
      <c r="G148" s="1">
        <v>12.221</v>
      </c>
      <c r="H148" s="1">
        <v>12.153</v>
      </c>
      <c r="I148" s="1">
        <v>12.205</v>
      </c>
      <c r="J148" s="1">
        <v>12.217000000000001</v>
      </c>
      <c r="K148" s="1">
        <v>12.281000000000001</v>
      </c>
      <c r="L148" s="1">
        <v>12.196999999999999</v>
      </c>
      <c r="M148" s="1">
        <v>12.244</v>
      </c>
      <c r="N148" s="1">
        <v>12.212999999999999</v>
      </c>
      <c r="O148" s="1">
        <v>12.192</v>
      </c>
      <c r="P148" s="1">
        <v>12.186999999999999</v>
      </c>
      <c r="Q148" s="1">
        <v>12.231999999999999</v>
      </c>
      <c r="R148" s="1">
        <v>12.215999999999999</v>
      </c>
      <c r="S148" s="1">
        <v>12.202999999999999</v>
      </c>
      <c r="T148" s="1">
        <v>12.236000000000001</v>
      </c>
      <c r="U148" s="1">
        <v>12.226000000000001</v>
      </c>
      <c r="V148" s="1">
        <v>12.186</v>
      </c>
      <c r="W148" s="1">
        <v>12.186999999999999</v>
      </c>
      <c r="X148" s="1">
        <v>12.186999999999999</v>
      </c>
      <c r="Y148" s="1">
        <v>12.191000000000001</v>
      </c>
      <c r="Z148" s="1">
        <v>12.192</v>
      </c>
      <c r="AA148" s="1">
        <v>12.231999999999999</v>
      </c>
      <c r="AB148" s="1">
        <v>12.183999999999999</v>
      </c>
      <c r="AC148" s="1">
        <v>12.201000000000001</v>
      </c>
      <c r="AD148" s="1">
        <v>12.221</v>
      </c>
      <c r="AE148" s="1">
        <v>12.212999999999999</v>
      </c>
      <c r="AF148" s="1">
        <v>12.225</v>
      </c>
      <c r="AG148" s="1">
        <v>12.221</v>
      </c>
      <c r="AH148" s="1">
        <v>12.209</v>
      </c>
      <c r="AI148" s="1">
        <v>12.247</v>
      </c>
      <c r="AJ148" s="1">
        <v>12.173</v>
      </c>
      <c r="AK148" s="1">
        <v>12.164999999999999</v>
      </c>
      <c r="AL148" s="1">
        <v>12.195</v>
      </c>
      <c r="AM148" s="1">
        <v>12.21</v>
      </c>
      <c r="AN148" s="1">
        <v>12.250999999999999</v>
      </c>
      <c r="AO148" s="1">
        <v>12.244</v>
      </c>
      <c r="AP148" s="1">
        <v>12.214</v>
      </c>
      <c r="AQ148" s="1">
        <v>12.192</v>
      </c>
      <c r="AR148" s="1">
        <v>12.222</v>
      </c>
      <c r="AS148" s="1">
        <v>12.195</v>
      </c>
      <c r="AT148" s="1">
        <v>12.247999999999999</v>
      </c>
      <c r="AU148" s="1">
        <v>12.256</v>
      </c>
      <c r="AV148" s="1">
        <v>12.164</v>
      </c>
      <c r="AW148" s="1">
        <v>12.234999999999999</v>
      </c>
      <c r="AX148" s="1">
        <v>12.191000000000001</v>
      </c>
      <c r="AY148" s="1">
        <v>12.233000000000001</v>
      </c>
      <c r="AZ148" s="1">
        <v>12.205</v>
      </c>
      <c r="BA148" s="1">
        <v>12.194000000000001</v>
      </c>
      <c r="BB148" s="1">
        <v>12.15</v>
      </c>
      <c r="BC148" s="1">
        <v>12.244</v>
      </c>
      <c r="BD148" s="1">
        <v>12.198</v>
      </c>
      <c r="BE148" s="1">
        <v>12.228999999999999</v>
      </c>
      <c r="BF148" s="1">
        <v>12.196999999999999</v>
      </c>
      <c r="BG148" s="1">
        <v>12.218</v>
      </c>
      <c r="BH148" s="1">
        <v>12.148999999999999</v>
      </c>
      <c r="BI148" s="1">
        <v>12.182</v>
      </c>
      <c r="BJ148" s="1">
        <v>12.212999999999999</v>
      </c>
      <c r="BK148" s="1">
        <v>12.16</v>
      </c>
      <c r="BL148" s="1">
        <v>12.178000000000001</v>
      </c>
      <c r="BN148" s="9">
        <v>24</v>
      </c>
      <c r="BO148" s="9">
        <v>2085</v>
      </c>
      <c r="BP148" s="10">
        <f t="shared" si="122"/>
        <v>-2.6825539568345186E-3</v>
      </c>
      <c r="BQ148" s="10">
        <f t="shared" si="123"/>
        <v>-2.2751798561140388E-4</v>
      </c>
      <c r="BR148" s="10">
        <f t="shared" si="124"/>
        <v>9.9820143884962962E-5</v>
      </c>
      <c r="BS148" s="10">
        <f t="shared" si="125"/>
        <v>-5.4649280575538549E-3</v>
      </c>
      <c r="BT148" s="10">
        <f t="shared" si="126"/>
        <v>-1.2095323741006497E-3</v>
      </c>
      <c r="BU148" s="10">
        <f t="shared" si="127"/>
        <v>-2.2751798561140388E-4</v>
      </c>
      <c r="BV148" s="10">
        <f t="shared" si="128"/>
        <v>5.0098920863310475E-3</v>
      </c>
      <c r="BW148" s="10">
        <f t="shared" si="129"/>
        <v>-1.8642086330935288E-3</v>
      </c>
      <c r="BX148" s="10">
        <f t="shared" si="130"/>
        <v>1.982014388489254E-3</v>
      </c>
      <c r="BY148" s="10">
        <f t="shared" si="131"/>
        <v>-5.5485611510791609E-4</v>
      </c>
      <c r="BZ148" s="10">
        <f t="shared" si="132"/>
        <v>-2.2733812949639509E-3</v>
      </c>
      <c r="CA148" s="10">
        <f t="shared" si="133"/>
        <v>-2.6825539568345186E-3</v>
      </c>
      <c r="CB148" s="10">
        <f t="shared" si="134"/>
        <v>1.000000000000008E-3</v>
      </c>
      <c r="CC148" s="10">
        <f t="shared" si="135"/>
        <v>-3.0935251798560459E-4</v>
      </c>
      <c r="CD148" s="10">
        <f t="shared" si="136"/>
        <v>-1.3732014388489059E-3</v>
      </c>
      <c r="CE148" s="10">
        <f t="shared" si="137"/>
        <v>1.3273381294965205E-3</v>
      </c>
      <c r="CF148" s="10">
        <f t="shared" si="138"/>
        <v>5.0899280575553054E-4</v>
      </c>
      <c r="CG148" s="10">
        <f t="shared" si="139"/>
        <v>-2.7643884892085738E-3</v>
      </c>
      <c r="CH148" s="10">
        <f t="shared" si="140"/>
        <v>-2.6825539568345186E-3</v>
      </c>
      <c r="CI148" s="10">
        <f t="shared" si="141"/>
        <v>-2.6825539568345186E-3</v>
      </c>
      <c r="CJ148" s="10">
        <f t="shared" si="142"/>
        <v>-2.3552158273380066E-3</v>
      </c>
      <c r="CK148" s="10">
        <f t="shared" si="143"/>
        <v>-2.2733812949639509E-3</v>
      </c>
      <c r="CL148" s="10">
        <f t="shared" si="144"/>
        <v>1.000000000000008E-3</v>
      </c>
      <c r="CM148" s="10">
        <f t="shared" si="145"/>
        <v>-2.92805755395683E-3</v>
      </c>
      <c r="CN148" s="10">
        <f t="shared" si="146"/>
        <v>-1.5368705035970166E-3</v>
      </c>
      <c r="CO148" s="10">
        <f t="shared" si="147"/>
        <v>9.9820143884962962E-5</v>
      </c>
      <c r="CP148" s="10">
        <f t="shared" si="148"/>
        <v>-5.5485611510791609E-4</v>
      </c>
      <c r="CQ148" s="10">
        <f t="shared" si="149"/>
        <v>4.271582733813298E-4</v>
      </c>
      <c r="CR148" s="10">
        <f t="shared" si="150"/>
        <v>9.9820143884962962E-5</v>
      </c>
      <c r="CS148" s="10">
        <f t="shared" si="151"/>
        <v>-8.8219424460428289E-4</v>
      </c>
      <c r="CT148" s="10">
        <f t="shared" si="152"/>
        <v>2.2275179856115655E-3</v>
      </c>
      <c r="CU148" s="10">
        <f t="shared" si="153"/>
        <v>-3.8282374100718753E-3</v>
      </c>
      <c r="CV148" s="10">
        <f t="shared" si="154"/>
        <v>-4.4829136690647539E-3</v>
      </c>
      <c r="CW148" s="10">
        <f t="shared" si="155"/>
        <v>-2.0278776978416395E-3</v>
      </c>
      <c r="CX148" s="10">
        <f t="shared" si="156"/>
        <v>-8.0035971223008226E-4</v>
      </c>
      <c r="CY148" s="10">
        <f t="shared" si="157"/>
        <v>2.5548561151079322E-3</v>
      </c>
      <c r="CZ148" s="10">
        <f t="shared" si="158"/>
        <v>1.982014388489254E-3</v>
      </c>
      <c r="DA148" s="10">
        <f t="shared" si="159"/>
        <v>-4.7302158273371535E-4</v>
      </c>
      <c r="DB148" s="10">
        <f t="shared" si="160"/>
        <v>-2.2733812949639509E-3</v>
      </c>
      <c r="DC148" s="10">
        <f t="shared" si="161"/>
        <v>1.8165467625901833E-4</v>
      </c>
      <c r="DD148" s="10">
        <f t="shared" si="162"/>
        <v>-2.0278776978416395E-3</v>
      </c>
      <c r="DE148" s="10">
        <f t="shared" si="163"/>
        <v>2.3093525179856207E-3</v>
      </c>
      <c r="DF148" s="10">
        <f t="shared" si="164"/>
        <v>2.9640287769784998E-3</v>
      </c>
      <c r="DG148" s="10">
        <f t="shared" si="165"/>
        <v>-4.5647482014388096E-3</v>
      </c>
      <c r="DH148" s="10">
        <f t="shared" si="166"/>
        <v>1.2455035971223197E-3</v>
      </c>
      <c r="DI148" s="10">
        <f t="shared" si="167"/>
        <v>-2.3552158273380066E-3</v>
      </c>
      <c r="DJ148" s="10">
        <f t="shared" si="168"/>
        <v>1.0818345323742088E-3</v>
      </c>
      <c r="DK148" s="10">
        <f t="shared" si="169"/>
        <v>-1.2095323741006497E-3</v>
      </c>
      <c r="DL148" s="10">
        <f t="shared" si="170"/>
        <v>-2.1097122302156952E-3</v>
      </c>
      <c r="DM148" s="10">
        <f t="shared" si="171"/>
        <v>-5.7104316546761668E-3</v>
      </c>
      <c r="DN148" s="10">
        <f t="shared" si="172"/>
        <v>1.982014388489254E-3</v>
      </c>
      <c r="DO148" s="10">
        <f t="shared" si="173"/>
        <v>-1.782374100719328E-3</v>
      </c>
      <c r="DP148" s="10">
        <f t="shared" si="174"/>
        <v>7.5449640287769671E-4</v>
      </c>
      <c r="DQ148" s="10">
        <f t="shared" si="175"/>
        <v>-1.8642086330935288E-3</v>
      </c>
      <c r="DR148" s="10">
        <f t="shared" si="176"/>
        <v>-1.456834532373485E-4</v>
      </c>
      <c r="DS148" s="10">
        <f t="shared" si="177"/>
        <v>-5.7922661870503673E-3</v>
      </c>
      <c r="DT148" s="10">
        <f t="shared" si="178"/>
        <v>-3.0917266187049409E-3</v>
      </c>
      <c r="DU148" s="10">
        <f t="shared" si="179"/>
        <v>-5.5485611510791609E-4</v>
      </c>
      <c r="DV148" s="10">
        <f t="shared" si="180"/>
        <v>-4.8920863309351763E-3</v>
      </c>
      <c r="DW148" s="10">
        <f t="shared" si="181"/>
        <v>-3.4190647482013076E-3</v>
      </c>
    </row>
    <row r="149" spans="2:127" x14ac:dyDescent="0.45">
      <c r="B149" s="1">
        <v>24</v>
      </c>
      <c r="C149" s="1">
        <v>2100</v>
      </c>
      <c r="D149" s="7">
        <f t="shared" si="182"/>
        <v>12.307692307692308</v>
      </c>
      <c r="E149" s="1">
        <v>12.273</v>
      </c>
      <c r="F149" s="1">
        <v>12.305</v>
      </c>
      <c r="G149" s="1">
        <v>12.308999999999999</v>
      </c>
      <c r="H149" s="1">
        <v>12.24</v>
      </c>
      <c r="I149" s="1">
        <v>12.292</v>
      </c>
      <c r="J149" s="1">
        <v>12.304</v>
      </c>
      <c r="K149" s="1">
        <v>12.367000000000001</v>
      </c>
      <c r="L149" s="1">
        <v>12.286</v>
      </c>
      <c r="M149" s="1">
        <v>12.332000000000001</v>
      </c>
      <c r="N149" s="1">
        <v>12.304</v>
      </c>
      <c r="O149" s="1">
        <v>12.281000000000001</v>
      </c>
      <c r="P149" s="1">
        <v>12.273999999999999</v>
      </c>
      <c r="Q149" s="1">
        <v>12.317</v>
      </c>
      <c r="R149" s="1">
        <v>12.305</v>
      </c>
      <c r="S149" s="1">
        <v>12.292</v>
      </c>
      <c r="T149" s="1">
        <v>12.324</v>
      </c>
      <c r="U149" s="1">
        <v>12.316000000000001</v>
      </c>
      <c r="V149" s="1">
        <v>12.273</v>
      </c>
      <c r="W149" s="1">
        <v>12.275</v>
      </c>
      <c r="X149" s="1">
        <v>12.27</v>
      </c>
      <c r="Y149" s="1">
        <v>12.281000000000001</v>
      </c>
      <c r="Z149" s="1">
        <v>12.282</v>
      </c>
      <c r="AA149" s="1">
        <v>12.319000000000001</v>
      </c>
      <c r="AB149" s="1">
        <v>12.271000000000001</v>
      </c>
      <c r="AC149" s="1">
        <v>12.287000000000001</v>
      </c>
      <c r="AD149" s="1">
        <v>12.305999999999999</v>
      </c>
      <c r="AE149" s="1">
        <v>12.3</v>
      </c>
      <c r="AF149" s="1">
        <v>12.313000000000001</v>
      </c>
      <c r="AG149" s="1">
        <v>12.308999999999999</v>
      </c>
      <c r="AH149" s="1">
        <v>12.297000000000001</v>
      </c>
      <c r="AI149" s="1">
        <v>12.335000000000001</v>
      </c>
      <c r="AJ149" s="1">
        <v>12.259</v>
      </c>
      <c r="AK149" s="1">
        <v>12.252000000000001</v>
      </c>
      <c r="AL149" s="1">
        <v>12.282</v>
      </c>
      <c r="AM149" s="1">
        <v>12.297000000000001</v>
      </c>
      <c r="AN149" s="1">
        <v>12.34</v>
      </c>
      <c r="AO149" s="1">
        <v>12.331</v>
      </c>
      <c r="AP149" s="1">
        <v>12.302</v>
      </c>
      <c r="AQ149" s="1">
        <v>12.279</v>
      </c>
      <c r="AR149" s="1">
        <v>12.31</v>
      </c>
      <c r="AS149" s="1">
        <v>12.282</v>
      </c>
      <c r="AT149" s="1">
        <v>12.336</v>
      </c>
      <c r="AU149" s="1">
        <v>12.343</v>
      </c>
      <c r="AV149" s="1">
        <v>12.247</v>
      </c>
      <c r="AW149" s="1">
        <v>12.323</v>
      </c>
      <c r="AX149" s="1">
        <v>12.278</v>
      </c>
      <c r="AY149" s="1">
        <v>12.32</v>
      </c>
      <c r="AZ149" s="1">
        <v>12.294</v>
      </c>
      <c r="BA149" s="1">
        <v>12.282</v>
      </c>
      <c r="BB149" s="1">
        <v>12.237</v>
      </c>
      <c r="BC149" s="1">
        <v>12.329000000000001</v>
      </c>
      <c r="BD149" s="1">
        <v>12.285</v>
      </c>
      <c r="BE149" s="1">
        <v>12.317</v>
      </c>
      <c r="BF149" s="1">
        <v>12.282</v>
      </c>
      <c r="BG149" s="1">
        <v>12.305</v>
      </c>
      <c r="BH149" s="1">
        <v>12.239000000000001</v>
      </c>
      <c r="BI149" s="1">
        <v>12.27</v>
      </c>
      <c r="BJ149" s="1">
        <v>12.302</v>
      </c>
      <c r="BK149" s="1">
        <v>12.249000000000001</v>
      </c>
      <c r="BL149" s="1">
        <v>12.266</v>
      </c>
      <c r="BN149" s="9">
        <v>24</v>
      </c>
      <c r="BO149" s="9">
        <v>2100</v>
      </c>
      <c r="BP149" s="10">
        <f t="shared" si="122"/>
        <v>-2.8187500000000807E-3</v>
      </c>
      <c r="BQ149" s="10">
        <f t="shared" si="123"/>
        <v>-2.1875000000007858E-4</v>
      </c>
      <c r="BR149" s="10">
        <f t="shared" si="124"/>
        <v>1.062499999998856E-4</v>
      </c>
      <c r="BS149" s="10">
        <f t="shared" si="125"/>
        <v>-5.5000000000000378E-3</v>
      </c>
      <c r="BT149" s="10">
        <f t="shared" si="126"/>
        <v>-1.2750000000000703E-3</v>
      </c>
      <c r="BU149" s="10">
        <f t="shared" si="127"/>
        <v>-3.0000000000003353E-4</v>
      </c>
      <c r="BV149" s="10">
        <f t="shared" si="128"/>
        <v>4.8187500000000157E-3</v>
      </c>
      <c r="BW149" s="10">
        <f t="shared" si="129"/>
        <v>-1.7625000000000889E-3</v>
      </c>
      <c r="BX149" s="10">
        <f t="shared" si="130"/>
        <v>1.9750000000000045E-3</v>
      </c>
      <c r="BY149" s="10">
        <f t="shared" si="131"/>
        <v>-3.0000000000003353E-4</v>
      </c>
      <c r="BZ149" s="10">
        <f t="shared" si="132"/>
        <v>-2.1687500000000079E-3</v>
      </c>
      <c r="CA149" s="10">
        <f t="shared" si="133"/>
        <v>-2.7375000000001257E-3</v>
      </c>
      <c r="CB149" s="10">
        <f t="shared" si="134"/>
        <v>7.5624999999995834E-4</v>
      </c>
      <c r="CC149" s="10">
        <f t="shared" si="135"/>
        <v>-2.1875000000007858E-4</v>
      </c>
      <c r="CD149" s="10">
        <f t="shared" si="136"/>
        <v>-1.2750000000000703E-3</v>
      </c>
      <c r="CE149" s="10">
        <f t="shared" si="137"/>
        <v>1.3249999999999317E-3</v>
      </c>
      <c r="CF149" s="10">
        <f t="shared" si="138"/>
        <v>6.7500000000000329E-4</v>
      </c>
      <c r="CG149" s="10">
        <f t="shared" si="139"/>
        <v>-2.8187500000000807E-3</v>
      </c>
      <c r="CH149" s="10">
        <f t="shared" si="140"/>
        <v>-2.6562500000000266E-3</v>
      </c>
      <c r="CI149" s="10">
        <f t="shared" si="141"/>
        <v>-3.0625000000000899E-3</v>
      </c>
      <c r="CJ149" s="10">
        <f t="shared" si="142"/>
        <v>-2.1687500000000079E-3</v>
      </c>
      <c r="CK149" s="10">
        <f t="shared" si="143"/>
        <v>-2.0875000000000533E-3</v>
      </c>
      <c r="CL149" s="10">
        <f t="shared" si="144"/>
        <v>9.1875000000001255E-4</v>
      </c>
      <c r="CM149" s="10">
        <f t="shared" si="145"/>
        <v>-2.9812499999999909E-3</v>
      </c>
      <c r="CN149" s="10">
        <f t="shared" si="146"/>
        <v>-1.6812499999999896E-3</v>
      </c>
      <c r="CO149" s="10">
        <f t="shared" si="147"/>
        <v>-1.3750000000012363E-4</v>
      </c>
      <c r="CP149" s="10">
        <f t="shared" si="148"/>
        <v>-6.2499999999999774E-4</v>
      </c>
      <c r="CQ149" s="10">
        <f t="shared" si="149"/>
        <v>4.3124999999999414E-4</v>
      </c>
      <c r="CR149" s="10">
        <f t="shared" si="150"/>
        <v>1.062499999998856E-4</v>
      </c>
      <c r="CS149" s="10">
        <f t="shared" si="151"/>
        <v>-8.6875000000000699E-4</v>
      </c>
      <c r="CT149" s="10">
        <f t="shared" si="152"/>
        <v>2.2187500000000137E-3</v>
      </c>
      <c r="CU149" s="10">
        <f t="shared" si="153"/>
        <v>-3.9562500000000275E-3</v>
      </c>
      <c r="CV149" s="10">
        <f t="shared" si="154"/>
        <v>-4.5250000000000012E-3</v>
      </c>
      <c r="CW149" s="10">
        <f t="shared" si="155"/>
        <v>-2.0875000000000533E-3</v>
      </c>
      <c r="CX149" s="10">
        <f t="shared" si="156"/>
        <v>-8.6875000000000699E-4</v>
      </c>
      <c r="CY149" s="10">
        <f t="shared" si="157"/>
        <v>2.6249999999999329E-3</v>
      </c>
      <c r="CZ149" s="10">
        <f t="shared" si="158"/>
        <v>1.8937499999999051E-3</v>
      </c>
      <c r="DA149" s="10">
        <f t="shared" si="159"/>
        <v>-4.6250000000008784E-4</v>
      </c>
      <c r="DB149" s="10">
        <f t="shared" si="160"/>
        <v>-2.3312500000000624E-3</v>
      </c>
      <c r="DC149" s="10">
        <f t="shared" si="161"/>
        <v>1.8749999999998488E-4</v>
      </c>
      <c r="DD149" s="10">
        <f t="shared" si="162"/>
        <v>-2.0875000000000533E-3</v>
      </c>
      <c r="DE149" s="10">
        <f t="shared" si="163"/>
        <v>2.2999999999999687E-3</v>
      </c>
      <c r="DF149" s="10">
        <f t="shared" si="164"/>
        <v>2.8687499999999421E-3</v>
      </c>
      <c r="DG149" s="10">
        <f t="shared" si="165"/>
        <v>-4.9312500000000641E-3</v>
      </c>
      <c r="DH149" s="10">
        <f t="shared" si="166"/>
        <v>1.2437499999999766E-3</v>
      </c>
      <c r="DI149" s="10">
        <f t="shared" si="167"/>
        <v>-2.4125000000000171E-3</v>
      </c>
      <c r="DJ149" s="10">
        <f t="shared" si="168"/>
        <v>9.9999999999996749E-4</v>
      </c>
      <c r="DK149" s="10">
        <f t="shared" si="169"/>
        <v>-1.1125000000000163E-3</v>
      </c>
      <c r="DL149" s="10">
        <f t="shared" si="170"/>
        <v>-2.0875000000000533E-3</v>
      </c>
      <c r="DM149" s="10">
        <f t="shared" si="171"/>
        <v>-5.7437500000000474E-3</v>
      </c>
      <c r="DN149" s="10">
        <f t="shared" si="172"/>
        <v>1.7312499999999952E-3</v>
      </c>
      <c r="DO149" s="10">
        <f t="shared" si="173"/>
        <v>-1.8437500000000439E-3</v>
      </c>
      <c r="DP149" s="10">
        <f t="shared" si="174"/>
        <v>7.5624999999995834E-4</v>
      </c>
      <c r="DQ149" s="10">
        <f t="shared" si="175"/>
        <v>-2.0875000000000533E-3</v>
      </c>
      <c r="DR149" s="10">
        <f t="shared" si="176"/>
        <v>-2.1875000000007858E-4</v>
      </c>
      <c r="DS149" s="10">
        <f t="shared" si="177"/>
        <v>-5.5812499999999925E-3</v>
      </c>
      <c r="DT149" s="10">
        <f t="shared" si="178"/>
        <v>-3.0625000000000899E-3</v>
      </c>
      <c r="DU149" s="10">
        <f t="shared" si="179"/>
        <v>-4.6250000000008784E-4</v>
      </c>
      <c r="DV149" s="10">
        <f t="shared" si="180"/>
        <v>-4.76875000000001E-3</v>
      </c>
      <c r="DW149" s="10">
        <f t="shared" si="181"/>
        <v>-3.3875000000000541E-3</v>
      </c>
    </row>
    <row r="150" spans="2:127" x14ac:dyDescent="0.45">
      <c r="B150" s="1">
        <v>24</v>
      </c>
      <c r="C150" s="1">
        <v>2115</v>
      </c>
      <c r="D150" s="7">
        <f t="shared" si="182"/>
        <v>12.395604395604396</v>
      </c>
      <c r="E150" s="1">
        <v>12.362</v>
      </c>
      <c r="F150" s="1">
        <v>12.391999999999999</v>
      </c>
      <c r="G150" s="1">
        <v>12.398999999999999</v>
      </c>
      <c r="H150" s="1">
        <v>12.324999999999999</v>
      </c>
      <c r="I150" s="1">
        <v>12.38</v>
      </c>
      <c r="J150" s="1">
        <v>12.391999999999999</v>
      </c>
      <c r="K150" s="1">
        <v>12.458</v>
      </c>
      <c r="L150" s="1">
        <v>12.374000000000001</v>
      </c>
      <c r="M150" s="1">
        <v>12.422000000000001</v>
      </c>
      <c r="N150" s="1">
        <v>12.393000000000001</v>
      </c>
      <c r="O150" s="1">
        <v>12.37</v>
      </c>
      <c r="P150" s="1">
        <v>12.362</v>
      </c>
      <c r="Q150" s="1">
        <v>12.404</v>
      </c>
      <c r="R150" s="1">
        <v>12.395</v>
      </c>
      <c r="S150" s="1">
        <v>12.381</v>
      </c>
      <c r="T150" s="1">
        <v>12.412000000000001</v>
      </c>
      <c r="U150" s="1">
        <v>12.404</v>
      </c>
      <c r="V150" s="1">
        <v>12.361000000000001</v>
      </c>
      <c r="W150" s="1">
        <v>12.362</v>
      </c>
      <c r="X150" s="1">
        <v>12.353999999999999</v>
      </c>
      <c r="Y150" s="1">
        <v>12.367000000000001</v>
      </c>
      <c r="Z150" s="1">
        <v>12.369</v>
      </c>
      <c r="AA150" s="1">
        <v>12.407999999999999</v>
      </c>
      <c r="AB150" s="1">
        <v>12.358000000000001</v>
      </c>
      <c r="AC150" s="1">
        <v>12.375999999999999</v>
      </c>
      <c r="AD150" s="1">
        <v>12.393000000000001</v>
      </c>
      <c r="AE150" s="1">
        <v>12.385</v>
      </c>
      <c r="AF150" s="1">
        <v>12.401</v>
      </c>
      <c r="AG150" s="1">
        <v>12.397</v>
      </c>
      <c r="AH150" s="1">
        <v>12.382</v>
      </c>
      <c r="AI150" s="1">
        <v>12.423</v>
      </c>
      <c r="AJ150" s="1">
        <v>12.343</v>
      </c>
      <c r="AK150" s="1">
        <v>12.339</v>
      </c>
      <c r="AL150" s="1">
        <v>12.369</v>
      </c>
      <c r="AM150" s="1">
        <v>12.384</v>
      </c>
      <c r="AN150" s="1">
        <v>12.43</v>
      </c>
      <c r="AO150" s="1">
        <v>12.417999999999999</v>
      </c>
      <c r="AP150" s="1">
        <v>12.391</v>
      </c>
      <c r="AQ150" s="1">
        <v>12.367000000000001</v>
      </c>
      <c r="AR150" s="1">
        <v>12.398999999999999</v>
      </c>
      <c r="AS150" s="1">
        <v>12.369</v>
      </c>
      <c r="AT150" s="1">
        <v>12.423</v>
      </c>
      <c r="AU150" s="1">
        <v>12.43</v>
      </c>
      <c r="AV150" s="1">
        <v>12.332000000000001</v>
      </c>
      <c r="AW150" s="1">
        <v>12.411</v>
      </c>
      <c r="AX150" s="1">
        <v>12.366</v>
      </c>
      <c r="AY150" s="1">
        <v>12.407</v>
      </c>
      <c r="AZ150" s="1">
        <v>12.38</v>
      </c>
      <c r="BA150" s="1">
        <v>12.367000000000001</v>
      </c>
      <c r="BB150" s="1">
        <v>12.323</v>
      </c>
      <c r="BC150" s="1">
        <v>12.414999999999999</v>
      </c>
      <c r="BD150" s="1">
        <v>12.372999999999999</v>
      </c>
      <c r="BE150" s="1">
        <v>12.403</v>
      </c>
      <c r="BF150" s="1">
        <v>12.37</v>
      </c>
      <c r="BG150" s="1">
        <v>12.397</v>
      </c>
      <c r="BH150" s="1">
        <v>12.324999999999999</v>
      </c>
      <c r="BI150" s="1">
        <v>12.358000000000001</v>
      </c>
      <c r="BJ150" s="1">
        <v>12.391</v>
      </c>
      <c r="BK150" s="1">
        <v>12.343999999999999</v>
      </c>
      <c r="BL150" s="1">
        <v>12.353</v>
      </c>
      <c r="BN150" s="9">
        <v>24</v>
      </c>
      <c r="BO150" s="9">
        <v>2115</v>
      </c>
      <c r="BP150" s="10">
        <f t="shared" si="122"/>
        <v>-2.7109929078014401E-3</v>
      </c>
      <c r="BQ150" s="10">
        <f t="shared" si="123"/>
        <v>-2.9078014184404511E-4</v>
      </c>
      <c r="BR150" s="10">
        <f t="shared" si="124"/>
        <v>2.7393617021266608E-4</v>
      </c>
      <c r="BS150" s="10">
        <f t="shared" si="125"/>
        <v>-5.69592198581569E-3</v>
      </c>
      <c r="BT150" s="10">
        <f t="shared" si="126"/>
        <v>-1.2588652482269172E-3</v>
      </c>
      <c r="BU150" s="10">
        <f t="shared" si="127"/>
        <v>-2.9078014184404511E-4</v>
      </c>
      <c r="BV150" s="10">
        <f t="shared" si="128"/>
        <v>5.0336879432623964E-3</v>
      </c>
      <c r="BW150" s="10">
        <f t="shared" si="129"/>
        <v>-1.7429078014184248E-3</v>
      </c>
      <c r="BX150" s="10">
        <f t="shared" si="130"/>
        <v>2.1294326241134932E-3</v>
      </c>
      <c r="BY150" s="10">
        <f t="shared" si="131"/>
        <v>-2.1010638297869829E-4</v>
      </c>
      <c r="BZ150" s="10">
        <f t="shared" si="132"/>
        <v>-2.0656028368795255E-3</v>
      </c>
      <c r="CA150" s="10">
        <f t="shared" si="133"/>
        <v>-2.7109929078014401E-3</v>
      </c>
      <c r="CB150" s="10">
        <f t="shared" si="134"/>
        <v>6.7730496453897028E-4</v>
      </c>
      <c r="CC150" s="10">
        <f t="shared" si="135"/>
        <v>-4.8758865248291265E-5</v>
      </c>
      <c r="CD150" s="10">
        <f t="shared" si="136"/>
        <v>-1.1781914893617136E-3</v>
      </c>
      <c r="CE150" s="10">
        <f t="shared" si="137"/>
        <v>1.3226950354610282E-3</v>
      </c>
      <c r="CF150" s="10">
        <f t="shared" si="138"/>
        <v>6.7730496453897028E-4</v>
      </c>
      <c r="CG150" s="10">
        <f t="shared" si="139"/>
        <v>-2.7916666666666437E-3</v>
      </c>
      <c r="CH150" s="10">
        <f t="shared" si="140"/>
        <v>-2.7109929078014401E-3</v>
      </c>
      <c r="CI150" s="10">
        <f t="shared" si="141"/>
        <v>-3.3563829787234983E-3</v>
      </c>
      <c r="CJ150" s="10">
        <f t="shared" si="142"/>
        <v>-2.3076241134751363E-3</v>
      </c>
      <c r="CK150" s="10">
        <f t="shared" si="143"/>
        <v>-2.1462765957447291E-3</v>
      </c>
      <c r="CL150" s="10">
        <f t="shared" si="144"/>
        <v>9.999999999999276E-4</v>
      </c>
      <c r="CM150" s="10">
        <f t="shared" si="145"/>
        <v>-3.0336879432623976E-3</v>
      </c>
      <c r="CN150" s="10">
        <f t="shared" si="146"/>
        <v>-1.5815602836880178E-3</v>
      </c>
      <c r="CO150" s="10">
        <f t="shared" si="147"/>
        <v>-2.1010638297869829E-4</v>
      </c>
      <c r="CP150" s="10">
        <f t="shared" si="148"/>
        <v>-8.5549645390075636E-4</v>
      </c>
      <c r="CQ150" s="10">
        <f t="shared" si="149"/>
        <v>4.352836879432164E-4</v>
      </c>
      <c r="CR150" s="10">
        <f t="shared" si="150"/>
        <v>1.1258865248225907E-4</v>
      </c>
      <c r="CS150" s="10">
        <f t="shared" si="151"/>
        <v>-1.0975177304965102E-3</v>
      </c>
      <c r="CT150" s="10">
        <f t="shared" si="152"/>
        <v>2.2101063829786968E-3</v>
      </c>
      <c r="CU150" s="10">
        <f t="shared" si="153"/>
        <v>-4.2437943262411664E-3</v>
      </c>
      <c r="CV150" s="10">
        <f t="shared" si="154"/>
        <v>-4.5664893617021239E-3</v>
      </c>
      <c r="CW150" s="10">
        <f t="shared" si="155"/>
        <v>-2.1462765957447291E-3</v>
      </c>
      <c r="CX150" s="10">
        <f t="shared" si="156"/>
        <v>-9.3617021276595986E-4</v>
      </c>
      <c r="CY150" s="10">
        <f t="shared" si="157"/>
        <v>2.7748226950354083E-3</v>
      </c>
      <c r="CZ150" s="10">
        <f t="shared" si="158"/>
        <v>1.8067375886523928E-3</v>
      </c>
      <c r="DA150" s="10">
        <f t="shared" si="159"/>
        <v>-3.7145390070924861E-4</v>
      </c>
      <c r="DB150" s="10">
        <f t="shared" si="160"/>
        <v>-2.3076241134751363E-3</v>
      </c>
      <c r="DC150" s="10">
        <f t="shared" si="161"/>
        <v>2.7393617021266608E-4</v>
      </c>
      <c r="DD150" s="10">
        <f t="shared" si="162"/>
        <v>-2.1462765957447291E-3</v>
      </c>
      <c r="DE150" s="10">
        <f t="shared" si="163"/>
        <v>2.2101063829786968E-3</v>
      </c>
      <c r="DF150" s="10">
        <f t="shared" si="164"/>
        <v>2.7748226950354083E-3</v>
      </c>
      <c r="DG150" s="10">
        <f t="shared" si="165"/>
        <v>-5.131205673758835E-3</v>
      </c>
      <c r="DH150" s="10">
        <f t="shared" si="166"/>
        <v>1.2420212765956815E-3</v>
      </c>
      <c r="DI150" s="10">
        <f t="shared" si="167"/>
        <v>-2.388297872340483E-3</v>
      </c>
      <c r="DJ150" s="10">
        <f t="shared" si="168"/>
        <v>9.193262411347241E-4</v>
      </c>
      <c r="DK150" s="10">
        <f t="shared" si="169"/>
        <v>-1.2588652482269172E-3</v>
      </c>
      <c r="DL150" s="10">
        <f t="shared" si="170"/>
        <v>-2.3076241134751363E-3</v>
      </c>
      <c r="DM150" s="10">
        <f t="shared" si="171"/>
        <v>-5.8572695035460972E-3</v>
      </c>
      <c r="DN150" s="10">
        <f t="shared" si="172"/>
        <v>1.5647163120566388E-3</v>
      </c>
      <c r="DO150" s="10">
        <f t="shared" si="173"/>
        <v>-1.8235815602837718E-3</v>
      </c>
      <c r="DP150" s="10">
        <f t="shared" si="174"/>
        <v>5.9663120567376678E-4</v>
      </c>
      <c r="DQ150" s="10">
        <f t="shared" si="175"/>
        <v>-2.0656028368795255E-3</v>
      </c>
      <c r="DR150" s="10">
        <f t="shared" si="176"/>
        <v>1.1258865248225907E-4</v>
      </c>
      <c r="DS150" s="10">
        <f t="shared" si="177"/>
        <v>-5.69592198581569E-3</v>
      </c>
      <c r="DT150" s="10">
        <f t="shared" si="178"/>
        <v>-3.0336879432623976E-3</v>
      </c>
      <c r="DU150" s="10">
        <f t="shared" si="179"/>
        <v>-3.7145390070924861E-4</v>
      </c>
      <c r="DV150" s="10">
        <f t="shared" si="180"/>
        <v>-4.1631205673759632E-3</v>
      </c>
      <c r="DW150" s="10">
        <f t="shared" si="181"/>
        <v>-3.4370567375887019E-3</v>
      </c>
    </row>
    <row r="151" spans="2:127" x14ac:dyDescent="0.45">
      <c r="B151" s="1">
        <v>24</v>
      </c>
      <c r="C151" s="1">
        <v>2130</v>
      </c>
      <c r="D151" s="7">
        <f t="shared" si="182"/>
        <v>12.483516483516484</v>
      </c>
      <c r="E151" s="1">
        <v>12.45</v>
      </c>
      <c r="F151" s="1">
        <v>12.477</v>
      </c>
      <c r="G151" s="1">
        <v>12.49</v>
      </c>
      <c r="H151" s="1">
        <v>12.414</v>
      </c>
      <c r="I151" s="1">
        <v>12.468</v>
      </c>
      <c r="J151" s="1">
        <v>12.478999999999999</v>
      </c>
      <c r="K151" s="1">
        <v>12.548</v>
      </c>
      <c r="L151" s="1">
        <v>12.464</v>
      </c>
      <c r="M151" s="1">
        <v>12.51</v>
      </c>
      <c r="N151" s="1">
        <v>12.483000000000001</v>
      </c>
      <c r="O151" s="1">
        <v>12.46</v>
      </c>
      <c r="P151" s="1">
        <v>12.449</v>
      </c>
      <c r="Q151" s="1">
        <v>12.494999999999999</v>
      </c>
      <c r="R151" s="1">
        <v>12.483000000000001</v>
      </c>
      <c r="S151" s="1">
        <v>12.472</v>
      </c>
      <c r="T151" s="1">
        <v>12.5</v>
      </c>
      <c r="U151" s="1">
        <v>12.492000000000001</v>
      </c>
      <c r="V151" s="1">
        <v>12.446999999999999</v>
      </c>
      <c r="W151" s="1">
        <v>12.45</v>
      </c>
      <c r="X151" s="1">
        <v>12.441000000000001</v>
      </c>
      <c r="Y151" s="1">
        <v>12.457000000000001</v>
      </c>
      <c r="Z151" s="1">
        <v>12.456</v>
      </c>
      <c r="AA151" s="1">
        <v>12.494999999999999</v>
      </c>
      <c r="AB151" s="1">
        <v>12.445</v>
      </c>
      <c r="AC151" s="1">
        <v>12.461</v>
      </c>
      <c r="AD151" s="1">
        <v>12.484</v>
      </c>
      <c r="AE151" s="1">
        <v>12.472</v>
      </c>
      <c r="AF151" s="1">
        <v>12.491</v>
      </c>
      <c r="AG151" s="1">
        <v>12.484</v>
      </c>
      <c r="AH151" s="1">
        <v>12.472</v>
      </c>
      <c r="AI151" s="1">
        <v>12.51</v>
      </c>
      <c r="AJ151" s="1">
        <v>12.428000000000001</v>
      </c>
      <c r="AK151" s="1">
        <v>12.427</v>
      </c>
      <c r="AL151" s="1">
        <v>12.457000000000001</v>
      </c>
      <c r="AM151" s="1">
        <v>12.472</v>
      </c>
      <c r="AN151" s="1">
        <v>12.519</v>
      </c>
      <c r="AO151" s="1">
        <v>12.504</v>
      </c>
      <c r="AP151" s="1">
        <v>12.477</v>
      </c>
      <c r="AQ151" s="1">
        <v>12.454000000000001</v>
      </c>
      <c r="AR151" s="1">
        <v>12.49</v>
      </c>
      <c r="AS151" s="1">
        <v>12.454000000000001</v>
      </c>
      <c r="AT151" s="1">
        <v>12.51</v>
      </c>
      <c r="AU151" s="1">
        <v>12.515000000000001</v>
      </c>
      <c r="AV151" s="1">
        <v>12.426</v>
      </c>
      <c r="AW151" s="1">
        <v>12.499000000000001</v>
      </c>
      <c r="AX151" s="1">
        <v>12.456</v>
      </c>
      <c r="AY151" s="1">
        <v>12.494999999999999</v>
      </c>
      <c r="AZ151" s="1">
        <v>12.465999999999999</v>
      </c>
      <c r="BA151" s="1">
        <v>12.454000000000001</v>
      </c>
      <c r="BB151" s="1">
        <v>12.412000000000001</v>
      </c>
      <c r="BC151" s="1">
        <v>12.503</v>
      </c>
      <c r="BD151" s="1">
        <v>12.46</v>
      </c>
      <c r="BE151" s="1">
        <v>12.492000000000001</v>
      </c>
      <c r="BF151" s="1">
        <v>12.456</v>
      </c>
      <c r="BG151" s="1">
        <v>12.484999999999999</v>
      </c>
      <c r="BH151" s="1">
        <v>12.407</v>
      </c>
      <c r="BI151" s="1">
        <v>12.445</v>
      </c>
      <c r="BJ151" s="1">
        <v>12.48</v>
      </c>
      <c r="BK151" s="1">
        <v>12.427</v>
      </c>
      <c r="BL151" s="1">
        <v>12.439</v>
      </c>
      <c r="BN151" s="9">
        <v>24</v>
      </c>
      <c r="BO151" s="9">
        <v>2130</v>
      </c>
      <c r="BP151" s="10">
        <f t="shared" si="122"/>
        <v>-2.6848591549296389E-3</v>
      </c>
      <c r="BQ151" s="10">
        <f t="shared" si="123"/>
        <v>-5.2200704225350072E-4</v>
      </c>
      <c r="BR151" s="10">
        <f t="shared" si="124"/>
        <v>5.1936619718311093E-4</v>
      </c>
      <c r="BS151" s="10">
        <f t="shared" si="125"/>
        <v>-5.5686619718310149E-3</v>
      </c>
      <c r="BT151" s="10">
        <f t="shared" si="126"/>
        <v>-1.2429577464788803E-3</v>
      </c>
      <c r="BU151" s="10">
        <f t="shared" si="127"/>
        <v>-3.6179577464795574E-4</v>
      </c>
      <c r="BV151" s="10">
        <f t="shared" si="128"/>
        <v>5.1654929577464774E-3</v>
      </c>
      <c r="BW151" s="10">
        <f t="shared" si="129"/>
        <v>-1.5633802816901125E-3</v>
      </c>
      <c r="BX151" s="10">
        <f t="shared" si="130"/>
        <v>2.1214788732394148E-3</v>
      </c>
      <c r="BY151" s="10">
        <f t="shared" si="131"/>
        <v>-4.1373239436581149E-5</v>
      </c>
      <c r="BZ151" s="10">
        <f t="shared" si="132"/>
        <v>-1.8838028169013449E-3</v>
      </c>
      <c r="CA151" s="10">
        <f t="shared" si="133"/>
        <v>-2.7649647887324114E-3</v>
      </c>
      <c r="CB151" s="10">
        <f t="shared" si="134"/>
        <v>9.198943661971158E-4</v>
      </c>
      <c r="CC151" s="10">
        <f t="shared" si="135"/>
        <v>-4.1373239436581149E-5</v>
      </c>
      <c r="CD151" s="10">
        <f t="shared" si="136"/>
        <v>-9.2253521126764784E-4</v>
      </c>
      <c r="CE151" s="10">
        <f t="shared" si="137"/>
        <v>1.3204225352112628E-3</v>
      </c>
      <c r="CF151" s="10">
        <f t="shared" si="138"/>
        <v>6.7957746478879827E-4</v>
      </c>
      <c r="CG151" s="10">
        <f t="shared" si="139"/>
        <v>-2.9251760563380989E-3</v>
      </c>
      <c r="CH151" s="10">
        <f t="shared" si="140"/>
        <v>-2.6848591549296389E-3</v>
      </c>
      <c r="CI151" s="10">
        <f t="shared" si="141"/>
        <v>-3.4058098591548762E-3</v>
      </c>
      <c r="CJ151" s="10">
        <f t="shared" si="142"/>
        <v>-2.1241197183098047E-3</v>
      </c>
      <c r="CK151" s="10">
        <f t="shared" si="143"/>
        <v>-2.2042253521127194E-3</v>
      </c>
      <c r="CL151" s="10">
        <f t="shared" si="144"/>
        <v>9.198943661971158E-4</v>
      </c>
      <c r="CM151" s="10">
        <f t="shared" si="145"/>
        <v>-3.0853873239436438E-3</v>
      </c>
      <c r="CN151" s="10">
        <f t="shared" si="146"/>
        <v>-1.8036971830985723E-3</v>
      </c>
      <c r="CO151" s="10">
        <f t="shared" si="147"/>
        <v>3.8732394366191356E-5</v>
      </c>
      <c r="CP151" s="10">
        <f t="shared" si="148"/>
        <v>-9.2253521126764784E-4</v>
      </c>
      <c r="CQ151" s="10">
        <f t="shared" si="149"/>
        <v>5.9947183098588348E-4</v>
      </c>
      <c r="CR151" s="10">
        <f t="shared" si="150"/>
        <v>3.8732394366191356E-5</v>
      </c>
      <c r="CS151" s="10">
        <f t="shared" si="151"/>
        <v>-9.2253521126764784E-4</v>
      </c>
      <c r="CT151" s="10">
        <f t="shared" si="152"/>
        <v>2.1214788732394148E-3</v>
      </c>
      <c r="CU151" s="10">
        <f t="shared" si="153"/>
        <v>-4.4471830985914878E-3</v>
      </c>
      <c r="CV151" s="10">
        <f t="shared" si="154"/>
        <v>-4.5272887323944029E-3</v>
      </c>
      <c r="CW151" s="10">
        <f t="shared" si="155"/>
        <v>-2.1241197183098047E-3</v>
      </c>
      <c r="CX151" s="10">
        <f t="shared" si="156"/>
        <v>-9.2253521126764784E-4</v>
      </c>
      <c r="CY151" s="10">
        <f t="shared" si="157"/>
        <v>2.8424295774647943E-3</v>
      </c>
      <c r="CZ151" s="10">
        <f t="shared" si="158"/>
        <v>1.6408450704224952E-3</v>
      </c>
      <c r="DA151" s="10">
        <f t="shared" si="159"/>
        <v>-5.2200704225350072E-4</v>
      </c>
      <c r="DB151" s="10">
        <f t="shared" si="160"/>
        <v>-2.3644366197182643E-3</v>
      </c>
      <c r="DC151" s="10">
        <f t="shared" si="161"/>
        <v>5.1936619718311093E-4</v>
      </c>
      <c r="DD151" s="10">
        <f t="shared" si="162"/>
        <v>-2.3644366197182643E-3</v>
      </c>
      <c r="DE151" s="10">
        <f t="shared" si="163"/>
        <v>2.1214788732394148E-3</v>
      </c>
      <c r="DF151" s="10">
        <f t="shared" si="164"/>
        <v>2.5220070422535619E-3</v>
      </c>
      <c r="DG151" s="10">
        <f t="shared" si="165"/>
        <v>-4.6073943661971749E-3</v>
      </c>
      <c r="DH151" s="10">
        <f t="shared" si="166"/>
        <v>1.2403169014084904E-3</v>
      </c>
      <c r="DI151" s="10">
        <f t="shared" si="167"/>
        <v>-2.2042253521127194E-3</v>
      </c>
      <c r="DJ151" s="10">
        <f t="shared" si="168"/>
        <v>9.198943661971158E-4</v>
      </c>
      <c r="DK151" s="10">
        <f t="shared" si="169"/>
        <v>-1.4031690140845676E-3</v>
      </c>
      <c r="DL151" s="10">
        <f t="shared" si="170"/>
        <v>-2.3644366197182643E-3</v>
      </c>
      <c r="DM151" s="10">
        <f t="shared" si="171"/>
        <v>-5.7288732394365598E-3</v>
      </c>
      <c r="DN151" s="10">
        <f t="shared" si="172"/>
        <v>1.5607394366197228E-3</v>
      </c>
      <c r="DO151" s="10">
        <f t="shared" si="173"/>
        <v>-1.8838028169013449E-3</v>
      </c>
      <c r="DP151" s="10">
        <f t="shared" si="174"/>
        <v>6.7957746478879827E-4</v>
      </c>
      <c r="DQ151" s="10">
        <f t="shared" si="175"/>
        <v>-2.2042253521127194E-3</v>
      </c>
      <c r="DR151" s="10">
        <f t="shared" si="176"/>
        <v>1.1883802816896386E-4</v>
      </c>
      <c r="DS151" s="10">
        <f t="shared" si="177"/>
        <v>-6.1294014084507069E-3</v>
      </c>
      <c r="DT151" s="10">
        <f t="shared" si="178"/>
        <v>-3.0853873239436438E-3</v>
      </c>
      <c r="DU151" s="10">
        <f t="shared" si="179"/>
        <v>-2.8169014084504095E-4</v>
      </c>
      <c r="DV151" s="10">
        <f t="shared" si="180"/>
        <v>-4.5272887323944029E-3</v>
      </c>
      <c r="DW151" s="10">
        <f t="shared" si="181"/>
        <v>-3.5660211267605634E-3</v>
      </c>
    </row>
    <row r="152" spans="2:127" x14ac:dyDescent="0.45">
      <c r="B152" s="1">
        <v>24</v>
      </c>
      <c r="C152" s="1">
        <v>2145</v>
      </c>
      <c r="D152" s="7">
        <f t="shared" si="182"/>
        <v>12.571428571428571</v>
      </c>
      <c r="E152" s="1">
        <v>12.537000000000001</v>
      </c>
      <c r="F152" s="1">
        <v>12.565</v>
      </c>
      <c r="G152" s="1">
        <v>12.577999999999999</v>
      </c>
      <c r="H152" s="1">
        <v>12.502000000000001</v>
      </c>
      <c r="I152" s="1">
        <v>12.555</v>
      </c>
      <c r="J152" s="1">
        <v>12.567</v>
      </c>
      <c r="K152" s="1">
        <v>12.637</v>
      </c>
      <c r="L152" s="1">
        <v>12.548999999999999</v>
      </c>
      <c r="M152" s="1">
        <v>12.598000000000001</v>
      </c>
      <c r="N152" s="1">
        <v>12.571</v>
      </c>
      <c r="O152" s="1">
        <v>12.548</v>
      </c>
      <c r="P152" s="1">
        <v>12.537000000000001</v>
      </c>
      <c r="Q152" s="1">
        <v>12.584</v>
      </c>
      <c r="R152" s="1">
        <v>12.571</v>
      </c>
      <c r="S152" s="1">
        <v>12.56</v>
      </c>
      <c r="T152" s="1">
        <v>12.587</v>
      </c>
      <c r="U152" s="1">
        <v>12.582000000000001</v>
      </c>
      <c r="V152" s="1">
        <v>12.534000000000001</v>
      </c>
      <c r="W152" s="1">
        <v>12.538</v>
      </c>
      <c r="X152" s="1">
        <v>12.532999999999999</v>
      </c>
      <c r="Y152" s="1">
        <v>12.544</v>
      </c>
      <c r="Z152" s="1">
        <v>12.544</v>
      </c>
      <c r="AA152" s="1">
        <v>12.582000000000001</v>
      </c>
      <c r="AB152" s="1">
        <v>12.532999999999999</v>
      </c>
      <c r="AC152" s="1">
        <v>12.548999999999999</v>
      </c>
      <c r="AD152" s="1">
        <v>12.574999999999999</v>
      </c>
      <c r="AE152" s="1">
        <v>12.555999999999999</v>
      </c>
      <c r="AF152" s="1">
        <v>12.579000000000001</v>
      </c>
      <c r="AG152" s="1">
        <v>12.571</v>
      </c>
      <c r="AH152" s="1">
        <v>12.563000000000001</v>
      </c>
      <c r="AI152" s="1">
        <v>12.599</v>
      </c>
      <c r="AJ152" s="1">
        <v>12.513999999999999</v>
      </c>
      <c r="AK152" s="1">
        <v>12.515000000000001</v>
      </c>
      <c r="AL152" s="1">
        <v>12.544</v>
      </c>
      <c r="AM152" s="1">
        <v>12.56</v>
      </c>
      <c r="AN152" s="1">
        <v>12.608000000000001</v>
      </c>
      <c r="AO152" s="1">
        <v>12.593</v>
      </c>
      <c r="AP152" s="1">
        <v>12.565</v>
      </c>
      <c r="AQ152" s="1">
        <v>12.541</v>
      </c>
      <c r="AR152" s="1">
        <v>12.577999999999999</v>
      </c>
      <c r="AS152" s="1">
        <v>12.54</v>
      </c>
      <c r="AT152" s="1">
        <v>12.597</v>
      </c>
      <c r="AU152" s="1">
        <v>12.602</v>
      </c>
      <c r="AV152" s="1">
        <v>12.510999999999999</v>
      </c>
      <c r="AW152" s="1">
        <v>12.587</v>
      </c>
      <c r="AX152" s="1">
        <v>12.544</v>
      </c>
      <c r="AY152" s="1">
        <v>12.583</v>
      </c>
      <c r="AZ152" s="1">
        <v>12.553000000000001</v>
      </c>
      <c r="BA152" s="1">
        <v>12.544</v>
      </c>
      <c r="BB152" s="1">
        <v>12.497999999999999</v>
      </c>
      <c r="BC152" s="1">
        <v>12.59</v>
      </c>
      <c r="BD152" s="1">
        <v>12.548</v>
      </c>
      <c r="BE152" s="1">
        <v>12.58</v>
      </c>
      <c r="BF152" s="1">
        <v>12.542</v>
      </c>
      <c r="BG152" s="1">
        <v>12.574</v>
      </c>
      <c r="BH152" s="1">
        <v>12.492000000000001</v>
      </c>
      <c r="BI152" s="1">
        <v>12.53</v>
      </c>
      <c r="BJ152" s="1">
        <v>12.567</v>
      </c>
      <c r="BK152" s="1">
        <v>12.523</v>
      </c>
      <c r="BL152" s="1">
        <v>12.528</v>
      </c>
      <c r="BN152" s="9">
        <v>24</v>
      </c>
      <c r="BO152" s="9">
        <v>2145</v>
      </c>
      <c r="BP152" s="10">
        <f t="shared" si="122"/>
        <v>-2.7386363636362791E-3</v>
      </c>
      <c r="BQ152" s="10">
        <f t="shared" si="123"/>
        <v>-5.113636363636557E-4</v>
      </c>
      <c r="BR152" s="10">
        <f t="shared" si="124"/>
        <v>5.2272727272724548E-4</v>
      </c>
      <c r="BS152" s="10">
        <f t="shared" si="125"/>
        <v>-5.5227272727271992E-3</v>
      </c>
      <c r="BT152" s="10">
        <f t="shared" si="126"/>
        <v>-1.3068181818181842E-3</v>
      </c>
      <c r="BU152" s="10">
        <f t="shared" si="127"/>
        <v>-3.522727272726935E-4</v>
      </c>
      <c r="BV152" s="10">
        <f t="shared" si="128"/>
        <v>5.2159090909091477E-3</v>
      </c>
      <c r="BW152" s="10">
        <f t="shared" si="129"/>
        <v>-1.7840909090909296E-3</v>
      </c>
      <c r="BX152" s="10">
        <f t="shared" si="130"/>
        <v>2.1136363636364438E-3</v>
      </c>
      <c r="BY152" s="10">
        <f t="shared" si="131"/>
        <v>-3.4090909090910387E-5</v>
      </c>
      <c r="BZ152" s="10">
        <f t="shared" si="132"/>
        <v>-1.8636363636363401E-3</v>
      </c>
      <c r="CA152" s="10">
        <f t="shared" si="133"/>
        <v>-2.7386363636362791E-3</v>
      </c>
      <c r="CB152" s="10">
        <f t="shared" si="134"/>
        <v>9.9999999999999091E-4</v>
      </c>
      <c r="CC152" s="10">
        <f t="shared" si="135"/>
        <v>-3.4090909090910387E-5</v>
      </c>
      <c r="CD152" s="10">
        <f t="shared" si="136"/>
        <v>-9.0909090909084935E-4</v>
      </c>
      <c r="CE152" s="10">
        <f t="shared" si="137"/>
        <v>1.2386363636363634E-3</v>
      </c>
      <c r="CF152" s="10">
        <f t="shared" si="138"/>
        <v>8.4090909090916988E-4</v>
      </c>
      <c r="CG152" s="10">
        <f t="shared" si="139"/>
        <v>-2.9772727272726518E-3</v>
      </c>
      <c r="CH152" s="10">
        <f t="shared" si="140"/>
        <v>-2.6590909090908688E-3</v>
      </c>
      <c r="CI152" s="10">
        <f t="shared" si="141"/>
        <v>-3.0568181818182035E-3</v>
      </c>
      <c r="CJ152" s="10">
        <f t="shared" si="142"/>
        <v>-2.1818181818181234E-3</v>
      </c>
      <c r="CK152" s="10">
        <f t="shared" si="143"/>
        <v>-2.1818181818181234E-3</v>
      </c>
      <c r="CL152" s="10">
        <f t="shared" si="144"/>
        <v>8.4090909090916988E-4</v>
      </c>
      <c r="CM152" s="10">
        <f t="shared" si="145"/>
        <v>-3.0568181818182035E-3</v>
      </c>
      <c r="CN152" s="10">
        <f t="shared" si="146"/>
        <v>-1.7840909090909296E-3</v>
      </c>
      <c r="CO152" s="10">
        <f t="shared" si="147"/>
        <v>2.8409090909087276E-4</v>
      </c>
      <c r="CP152" s="10">
        <f t="shared" si="148"/>
        <v>-1.2272727272727739E-3</v>
      </c>
      <c r="CQ152" s="10">
        <f t="shared" si="149"/>
        <v>6.0227272727279716E-4</v>
      </c>
      <c r="CR152" s="10">
        <f t="shared" si="150"/>
        <v>-3.4090909090910387E-5</v>
      </c>
      <c r="CS152" s="10">
        <f t="shared" si="151"/>
        <v>-6.7045454545447663E-4</v>
      </c>
      <c r="CT152" s="10">
        <f t="shared" si="152"/>
        <v>2.1931818181818541E-3</v>
      </c>
      <c r="CU152" s="10">
        <f t="shared" si="153"/>
        <v>-4.5681818181818497E-3</v>
      </c>
      <c r="CV152" s="10">
        <f t="shared" si="154"/>
        <v>-4.488636363636298E-3</v>
      </c>
      <c r="CW152" s="10">
        <f t="shared" si="155"/>
        <v>-2.1818181818181234E-3</v>
      </c>
      <c r="CX152" s="10">
        <f t="shared" si="156"/>
        <v>-9.0909090909084935E-4</v>
      </c>
      <c r="CY152" s="10">
        <f t="shared" si="157"/>
        <v>2.9090909090909722E-3</v>
      </c>
      <c r="CZ152" s="10">
        <f t="shared" si="158"/>
        <v>1.7159090909091089E-3</v>
      </c>
      <c r="DA152" s="10">
        <f t="shared" si="159"/>
        <v>-5.113636363636557E-4</v>
      </c>
      <c r="DB152" s="10">
        <f t="shared" si="160"/>
        <v>-2.4204545454544961E-3</v>
      </c>
      <c r="DC152" s="10">
        <f t="shared" si="161"/>
        <v>5.2272727272724548E-4</v>
      </c>
      <c r="DD152" s="10">
        <f t="shared" si="162"/>
        <v>-2.5000000000000478E-3</v>
      </c>
      <c r="DE152" s="10">
        <f t="shared" si="163"/>
        <v>2.0340909090908921E-3</v>
      </c>
      <c r="DF152" s="10">
        <f t="shared" si="164"/>
        <v>2.4318181818182268E-3</v>
      </c>
      <c r="DG152" s="10">
        <f t="shared" si="165"/>
        <v>-4.8068181818182228E-3</v>
      </c>
      <c r="DH152" s="10">
        <f t="shared" si="166"/>
        <v>1.2386363636363634E-3</v>
      </c>
      <c r="DI152" s="10">
        <f t="shared" si="167"/>
        <v>-2.1818181818181234E-3</v>
      </c>
      <c r="DJ152" s="10">
        <f t="shared" si="168"/>
        <v>9.2045454545458039E-4</v>
      </c>
      <c r="DK152" s="10">
        <f t="shared" si="169"/>
        <v>-1.4659090909090052E-3</v>
      </c>
      <c r="DL152" s="10">
        <f t="shared" si="170"/>
        <v>-2.1818181818181234E-3</v>
      </c>
      <c r="DM152" s="10">
        <f t="shared" si="171"/>
        <v>-5.840909090909124E-3</v>
      </c>
      <c r="DN152" s="10">
        <f t="shared" si="172"/>
        <v>1.4772727272727361E-3</v>
      </c>
      <c r="DO152" s="10">
        <f t="shared" si="173"/>
        <v>-1.8636363636363401E-3</v>
      </c>
      <c r="DP152" s="10">
        <f t="shared" si="174"/>
        <v>6.8181818181820768E-4</v>
      </c>
      <c r="DQ152" s="10">
        <f t="shared" si="175"/>
        <v>-2.3409090909090853E-3</v>
      </c>
      <c r="DR152" s="10">
        <f t="shared" si="176"/>
        <v>2.0454545454546229E-4</v>
      </c>
      <c r="DS152" s="10">
        <f t="shared" si="177"/>
        <v>-6.3181818181817281E-3</v>
      </c>
      <c r="DT152" s="10">
        <f t="shared" si="178"/>
        <v>-3.2954545454545762E-3</v>
      </c>
      <c r="DU152" s="10">
        <f t="shared" si="179"/>
        <v>-3.522727272726935E-4</v>
      </c>
      <c r="DV152" s="10">
        <f t="shared" si="180"/>
        <v>-3.852272727272732E-3</v>
      </c>
      <c r="DW152" s="10">
        <f t="shared" si="181"/>
        <v>-3.4545454545453973E-3</v>
      </c>
    </row>
    <row r="153" spans="2:127" x14ac:dyDescent="0.45">
      <c r="B153" s="1">
        <v>24</v>
      </c>
      <c r="C153" s="1">
        <v>2160</v>
      </c>
      <c r="D153" s="7">
        <f t="shared" si="182"/>
        <v>12.659340659340659</v>
      </c>
      <c r="E153" s="1">
        <v>12.624000000000001</v>
      </c>
      <c r="F153" s="1">
        <v>12.654999999999999</v>
      </c>
      <c r="G153" s="1">
        <v>12.669</v>
      </c>
      <c r="H153" s="1">
        <v>12.59</v>
      </c>
      <c r="I153" s="1">
        <v>12.641</v>
      </c>
      <c r="J153" s="1">
        <v>12.651999999999999</v>
      </c>
      <c r="K153" s="1">
        <v>12.726000000000001</v>
      </c>
      <c r="L153" s="1">
        <v>12.635</v>
      </c>
      <c r="M153" s="1">
        <v>12.686</v>
      </c>
      <c r="N153" s="1">
        <v>12.66</v>
      </c>
      <c r="O153" s="1">
        <v>12.635999999999999</v>
      </c>
      <c r="P153" s="1">
        <v>12.627000000000001</v>
      </c>
      <c r="Q153" s="1">
        <v>12.673</v>
      </c>
      <c r="R153" s="1">
        <v>12.659000000000001</v>
      </c>
      <c r="S153" s="1">
        <v>12.648</v>
      </c>
      <c r="T153" s="1">
        <v>12.675000000000001</v>
      </c>
      <c r="U153" s="1">
        <v>12.67</v>
      </c>
      <c r="V153" s="1">
        <v>12.622</v>
      </c>
      <c r="W153" s="1">
        <v>12.627000000000001</v>
      </c>
      <c r="X153" s="1">
        <v>12.621</v>
      </c>
      <c r="Y153" s="1">
        <v>12.632</v>
      </c>
      <c r="Z153" s="1">
        <v>12.632</v>
      </c>
      <c r="AA153" s="1">
        <v>12.67</v>
      </c>
      <c r="AB153" s="1">
        <v>12.62</v>
      </c>
      <c r="AC153" s="1">
        <v>12.635999999999999</v>
      </c>
      <c r="AD153" s="1">
        <v>12.662000000000001</v>
      </c>
      <c r="AE153" s="1">
        <v>12.643000000000001</v>
      </c>
      <c r="AF153" s="1">
        <v>12.667</v>
      </c>
      <c r="AG153" s="1">
        <v>12.662000000000001</v>
      </c>
      <c r="AH153" s="1">
        <v>12.65</v>
      </c>
      <c r="AI153" s="1">
        <v>12.683</v>
      </c>
      <c r="AJ153" s="1">
        <v>12.597</v>
      </c>
      <c r="AK153" s="1">
        <v>12.601000000000001</v>
      </c>
      <c r="AL153" s="1">
        <v>12.632</v>
      </c>
      <c r="AM153" s="1">
        <v>12.648</v>
      </c>
      <c r="AN153" s="1">
        <v>12.694000000000001</v>
      </c>
      <c r="AO153" s="1">
        <v>12.678000000000001</v>
      </c>
      <c r="AP153" s="1">
        <v>12.651999999999999</v>
      </c>
      <c r="AQ153" s="1">
        <v>12.629</v>
      </c>
      <c r="AR153" s="1">
        <v>12.666</v>
      </c>
      <c r="AS153" s="1">
        <v>12.628</v>
      </c>
      <c r="AT153" s="1">
        <v>12.683</v>
      </c>
      <c r="AU153" s="1">
        <v>12.689</v>
      </c>
      <c r="AV153" s="1">
        <v>12.597</v>
      </c>
      <c r="AW153" s="1">
        <v>12.675000000000001</v>
      </c>
      <c r="AX153" s="1">
        <v>12.631</v>
      </c>
      <c r="AY153" s="1">
        <v>12.670999999999999</v>
      </c>
      <c r="AZ153" s="1">
        <v>12.64</v>
      </c>
      <c r="BA153" s="1">
        <v>12.635</v>
      </c>
      <c r="BB153" s="1">
        <v>12.587</v>
      </c>
      <c r="BC153" s="1">
        <v>12.677</v>
      </c>
      <c r="BD153" s="1">
        <v>12.635</v>
      </c>
      <c r="BE153" s="1">
        <v>12.669</v>
      </c>
      <c r="BF153" s="1">
        <v>12.628</v>
      </c>
      <c r="BG153" s="1">
        <v>12.659000000000001</v>
      </c>
      <c r="BH153" s="1">
        <v>12.579000000000001</v>
      </c>
      <c r="BI153" s="1">
        <v>12.617000000000001</v>
      </c>
      <c r="BJ153" s="1">
        <v>12.654</v>
      </c>
      <c r="BK153" s="1">
        <v>12.609</v>
      </c>
      <c r="BL153" s="1">
        <v>12.612</v>
      </c>
      <c r="BN153" s="9">
        <v>24</v>
      </c>
      <c r="BO153" s="9">
        <v>2160</v>
      </c>
      <c r="BP153" s="10">
        <f t="shared" si="122"/>
        <v>-2.7916666666665782E-3</v>
      </c>
      <c r="BQ153" s="10">
        <f t="shared" si="123"/>
        <v>-3.4288194444445028E-4</v>
      </c>
      <c r="BR153" s="10">
        <f t="shared" si="124"/>
        <v>7.6302083333341627E-4</v>
      </c>
      <c r="BS153" s="10">
        <f t="shared" si="125"/>
        <v>-5.4774305555555227E-3</v>
      </c>
      <c r="BT153" s="10">
        <f t="shared" si="126"/>
        <v>-1.4487847222221764E-3</v>
      </c>
      <c r="BU153" s="10">
        <f t="shared" si="127"/>
        <v>-5.7986111111112593E-4</v>
      </c>
      <c r="BV153" s="10">
        <f t="shared" si="128"/>
        <v>5.2656250000001131E-3</v>
      </c>
      <c r="BW153" s="10">
        <f t="shared" si="129"/>
        <v>-1.9227430555555278E-3</v>
      </c>
      <c r="BX153" s="10">
        <f t="shared" si="130"/>
        <v>2.1059027777778181E-3</v>
      </c>
      <c r="BY153" s="10">
        <f t="shared" si="131"/>
        <v>5.2083333333389282E-5</v>
      </c>
      <c r="BZ153" s="10">
        <f t="shared" si="132"/>
        <v>-1.8437500000000159E-3</v>
      </c>
      <c r="CA153" s="10">
        <f t="shared" si="133"/>
        <v>-2.5546874999999025E-3</v>
      </c>
      <c r="CB153" s="10">
        <f t="shared" si="134"/>
        <v>1.0789930555556036E-3</v>
      </c>
      <c r="CC153" s="10">
        <f t="shared" si="135"/>
        <v>-2.6909722222122499E-5</v>
      </c>
      <c r="CD153" s="10">
        <f t="shared" si="136"/>
        <v>-8.9583333333331338E-4</v>
      </c>
      <c r="CE153" s="10">
        <f t="shared" si="137"/>
        <v>1.2369791666667677E-3</v>
      </c>
      <c r="CF153" s="10">
        <f t="shared" si="138"/>
        <v>8.4201388888892803E-4</v>
      </c>
      <c r="CG153" s="10">
        <f t="shared" si="139"/>
        <v>-2.949652777777742E-3</v>
      </c>
      <c r="CH153" s="10">
        <f t="shared" si="140"/>
        <v>-2.5546874999999025E-3</v>
      </c>
      <c r="CI153" s="10">
        <f t="shared" si="141"/>
        <v>-3.0286458333332539E-3</v>
      </c>
      <c r="CJ153" s="10">
        <f t="shared" si="142"/>
        <v>-2.1597222222222035E-3</v>
      </c>
      <c r="CK153" s="10">
        <f t="shared" si="143"/>
        <v>-2.1597222222222035E-3</v>
      </c>
      <c r="CL153" s="10">
        <f t="shared" si="144"/>
        <v>8.4201388888892803E-4</v>
      </c>
      <c r="CM153" s="10">
        <f t="shared" si="145"/>
        <v>-3.1076388888889059E-3</v>
      </c>
      <c r="CN153" s="10">
        <f t="shared" si="146"/>
        <v>-1.8437500000000159E-3</v>
      </c>
      <c r="CO153" s="10">
        <f t="shared" si="147"/>
        <v>2.1006944444455317E-4</v>
      </c>
      <c r="CP153" s="10">
        <f t="shared" si="148"/>
        <v>-1.2907986111110126E-3</v>
      </c>
      <c r="CQ153" s="10">
        <f t="shared" si="149"/>
        <v>6.0503472222225233E-4</v>
      </c>
      <c r="CR153" s="10">
        <f t="shared" si="150"/>
        <v>2.1006944444455317E-4</v>
      </c>
      <c r="CS153" s="10">
        <f t="shared" si="151"/>
        <v>-7.3784722222214945E-4</v>
      </c>
      <c r="CT153" s="10">
        <f t="shared" si="152"/>
        <v>1.8689236111111424E-3</v>
      </c>
      <c r="CU153" s="10">
        <f t="shared" si="153"/>
        <v>-4.9244791666666595E-3</v>
      </c>
      <c r="CV153" s="10">
        <f t="shared" si="154"/>
        <v>-4.6085069444443318E-3</v>
      </c>
      <c r="CW153" s="10">
        <f t="shared" si="155"/>
        <v>-2.1597222222222035E-3</v>
      </c>
      <c r="CX153" s="10">
        <f t="shared" si="156"/>
        <v>-8.9583333333331338E-4</v>
      </c>
      <c r="CY153" s="10">
        <f t="shared" si="157"/>
        <v>2.7378472222223333E-3</v>
      </c>
      <c r="CZ153" s="10">
        <f t="shared" si="158"/>
        <v>1.4739583333334431E-3</v>
      </c>
      <c r="DA153" s="10">
        <f t="shared" si="159"/>
        <v>-5.7986111111112593E-4</v>
      </c>
      <c r="DB153" s="10">
        <f t="shared" si="160"/>
        <v>-2.3967013888888792E-3</v>
      </c>
      <c r="DC153" s="10">
        <f t="shared" si="161"/>
        <v>5.2604166666674057E-4</v>
      </c>
      <c r="DD153" s="10">
        <f t="shared" si="162"/>
        <v>-2.4756944444443907E-3</v>
      </c>
      <c r="DE153" s="10">
        <f t="shared" si="163"/>
        <v>1.8689236111111424E-3</v>
      </c>
      <c r="DF153" s="10">
        <f t="shared" si="164"/>
        <v>2.3428819444444937E-3</v>
      </c>
      <c r="DG153" s="10">
        <f t="shared" si="165"/>
        <v>-4.9244791666666595E-3</v>
      </c>
      <c r="DH153" s="10">
        <f t="shared" si="166"/>
        <v>1.2369791666667677E-3</v>
      </c>
      <c r="DI153" s="10">
        <f t="shared" si="167"/>
        <v>-2.2387152777777154E-3</v>
      </c>
      <c r="DJ153" s="10">
        <f t="shared" si="168"/>
        <v>9.2100694444443979E-4</v>
      </c>
      <c r="DK153" s="10">
        <f t="shared" si="169"/>
        <v>-1.5277777777776883E-3</v>
      </c>
      <c r="DL153" s="10">
        <f t="shared" si="170"/>
        <v>-1.9227430555555278E-3</v>
      </c>
      <c r="DM153" s="10">
        <f t="shared" si="171"/>
        <v>-5.714409722222198E-3</v>
      </c>
      <c r="DN153" s="10">
        <f t="shared" si="172"/>
        <v>1.3949652777777912E-3</v>
      </c>
      <c r="DO153" s="10">
        <f t="shared" si="173"/>
        <v>-1.9227430555555278E-3</v>
      </c>
      <c r="DP153" s="10">
        <f t="shared" si="174"/>
        <v>7.6302083333341627E-4</v>
      </c>
      <c r="DQ153" s="10">
        <f t="shared" si="175"/>
        <v>-2.4756944444443907E-3</v>
      </c>
      <c r="DR153" s="10">
        <f t="shared" si="176"/>
        <v>-2.6909722222122499E-5</v>
      </c>
      <c r="DS153" s="10">
        <f t="shared" si="177"/>
        <v>-6.3463541666665731E-3</v>
      </c>
      <c r="DT153" s="10">
        <f t="shared" si="178"/>
        <v>-3.3446180555554415E-3</v>
      </c>
      <c r="DU153" s="10">
        <f t="shared" si="179"/>
        <v>-4.2187499999996205E-4</v>
      </c>
      <c r="DV153" s="10">
        <f t="shared" si="180"/>
        <v>-3.9765624999999567E-3</v>
      </c>
      <c r="DW153" s="10">
        <f t="shared" si="181"/>
        <v>-3.739583333333281E-3</v>
      </c>
    </row>
    <row r="154" spans="2:127" x14ac:dyDescent="0.45">
      <c r="B154" s="1">
        <v>24</v>
      </c>
      <c r="C154" s="1">
        <v>2175</v>
      </c>
      <c r="D154" s="7">
        <f t="shared" si="182"/>
        <v>12.747252747252746</v>
      </c>
      <c r="E154" s="1">
        <v>12.712</v>
      </c>
      <c r="F154" s="1">
        <v>12.744999999999999</v>
      </c>
      <c r="G154" s="1">
        <v>12.757999999999999</v>
      </c>
      <c r="H154" s="1">
        <v>12.677</v>
      </c>
      <c r="I154" s="1">
        <v>12.728</v>
      </c>
      <c r="J154" s="1">
        <v>12.738</v>
      </c>
      <c r="K154" s="1">
        <v>12.815</v>
      </c>
      <c r="L154" s="1">
        <v>12.718999999999999</v>
      </c>
      <c r="M154" s="1">
        <v>12.773999999999999</v>
      </c>
      <c r="N154" s="1">
        <v>12.75</v>
      </c>
      <c r="O154" s="1">
        <v>12.724</v>
      </c>
      <c r="P154" s="1">
        <v>12.715</v>
      </c>
      <c r="Q154" s="1">
        <v>12.762</v>
      </c>
      <c r="R154" s="1">
        <v>12.746</v>
      </c>
      <c r="S154" s="1">
        <v>12.736000000000001</v>
      </c>
      <c r="T154" s="1">
        <v>12.765000000000001</v>
      </c>
      <c r="U154" s="1">
        <v>12.757999999999999</v>
      </c>
      <c r="V154" s="1">
        <v>12.711</v>
      </c>
      <c r="W154" s="1">
        <v>12.712999999999999</v>
      </c>
      <c r="X154" s="1">
        <v>12.708</v>
      </c>
      <c r="Y154" s="1">
        <v>12.72</v>
      </c>
      <c r="Z154" s="1">
        <v>12.718999999999999</v>
      </c>
      <c r="AA154" s="1">
        <v>12.757</v>
      </c>
      <c r="AB154" s="1">
        <v>12.705</v>
      </c>
      <c r="AC154" s="1">
        <v>12.723000000000001</v>
      </c>
      <c r="AD154" s="1">
        <v>12.75</v>
      </c>
      <c r="AE154" s="1">
        <v>12.731</v>
      </c>
      <c r="AF154" s="1">
        <v>12.754</v>
      </c>
      <c r="AG154" s="1">
        <v>12.749000000000001</v>
      </c>
      <c r="AH154" s="1">
        <v>12.739000000000001</v>
      </c>
      <c r="AI154" s="1">
        <v>12.769</v>
      </c>
      <c r="AJ154" s="1">
        <v>12.683</v>
      </c>
      <c r="AK154" s="1">
        <v>12.686</v>
      </c>
      <c r="AL154" s="1">
        <v>12.718999999999999</v>
      </c>
      <c r="AM154" s="1">
        <v>12.738</v>
      </c>
      <c r="AN154" s="1">
        <v>12.782999999999999</v>
      </c>
      <c r="AO154" s="1">
        <v>12.765000000000001</v>
      </c>
      <c r="AP154" s="1">
        <v>12.739000000000001</v>
      </c>
      <c r="AQ154" s="1">
        <v>12.715</v>
      </c>
      <c r="AR154" s="1">
        <v>12.754</v>
      </c>
      <c r="AS154" s="1">
        <v>12.715999999999999</v>
      </c>
      <c r="AT154" s="1">
        <v>12.772</v>
      </c>
      <c r="AU154" s="1">
        <v>12.773999999999999</v>
      </c>
      <c r="AV154" s="1">
        <v>12.688000000000001</v>
      </c>
      <c r="AW154" s="1">
        <v>12.763999999999999</v>
      </c>
      <c r="AX154" s="1">
        <v>12.72</v>
      </c>
      <c r="AY154" s="1">
        <v>12.757999999999999</v>
      </c>
      <c r="AZ154" s="1">
        <v>12.731</v>
      </c>
      <c r="BA154" s="1">
        <v>12.721</v>
      </c>
      <c r="BB154" s="1">
        <v>12.673999999999999</v>
      </c>
      <c r="BC154" s="1">
        <v>12.760999999999999</v>
      </c>
      <c r="BD154" s="1">
        <v>12.723000000000001</v>
      </c>
      <c r="BE154" s="1">
        <v>12.757</v>
      </c>
      <c r="BF154" s="1">
        <v>12.712999999999999</v>
      </c>
      <c r="BG154" s="1">
        <v>12.747</v>
      </c>
      <c r="BH154" s="1">
        <v>12.664999999999999</v>
      </c>
      <c r="BI154" s="1">
        <v>12.708</v>
      </c>
      <c r="BJ154" s="1">
        <v>12.743</v>
      </c>
      <c r="BK154" s="1">
        <v>12.692</v>
      </c>
      <c r="BL154" s="1">
        <v>12.698</v>
      </c>
      <c r="BN154" s="9">
        <v>24</v>
      </c>
      <c r="BO154" s="9">
        <v>2175</v>
      </c>
      <c r="BP154" s="10">
        <f t="shared" si="122"/>
        <v>-2.7655172413792615E-3</v>
      </c>
      <c r="BQ154" s="10">
        <f t="shared" si="123"/>
        <v>-1.7672413793102691E-4</v>
      </c>
      <c r="BR154" s="10">
        <f t="shared" si="124"/>
        <v>8.4310344827586195E-4</v>
      </c>
      <c r="BS154" s="10">
        <f t="shared" si="125"/>
        <v>-5.5112068965516865E-3</v>
      </c>
      <c r="BT154" s="10">
        <f t="shared" si="126"/>
        <v>-1.510344827586157E-3</v>
      </c>
      <c r="BU154" s="10">
        <f t="shared" si="127"/>
        <v>-7.2586206896548401E-4</v>
      </c>
      <c r="BV154" s="10">
        <f t="shared" si="128"/>
        <v>5.3146551724138234E-3</v>
      </c>
      <c r="BW154" s="10">
        <f t="shared" si="129"/>
        <v>-2.2163793103448046E-3</v>
      </c>
      <c r="BX154" s="10">
        <f t="shared" si="130"/>
        <v>2.0982758620689667E-3</v>
      </c>
      <c r="BY154" s="10">
        <f t="shared" si="131"/>
        <v>2.1551724137937927E-4</v>
      </c>
      <c r="BZ154" s="10">
        <f t="shared" si="132"/>
        <v>-1.8241379310343984E-3</v>
      </c>
      <c r="CA154" s="10">
        <f t="shared" si="133"/>
        <v>-2.5301724137930461E-3</v>
      </c>
      <c r="CB154" s="10">
        <f t="shared" si="134"/>
        <v>1.1568965517242426E-3</v>
      </c>
      <c r="CC154" s="10">
        <f t="shared" si="135"/>
        <v>-9.8275862068862059E-5</v>
      </c>
      <c r="CD154" s="10">
        <f t="shared" si="136"/>
        <v>-8.8275862068953501E-4</v>
      </c>
      <c r="CE154" s="10">
        <f t="shared" si="137"/>
        <v>1.3922413793104585E-3</v>
      </c>
      <c r="CF154" s="10">
        <f t="shared" si="138"/>
        <v>8.4310344827586195E-4</v>
      </c>
      <c r="CG154" s="10">
        <f t="shared" si="139"/>
        <v>-2.8439655172412871E-3</v>
      </c>
      <c r="CH154" s="10">
        <f t="shared" si="140"/>
        <v>-2.6870689655172364E-3</v>
      </c>
      <c r="CI154" s="10">
        <f t="shared" si="141"/>
        <v>-3.079310344827503E-3</v>
      </c>
      <c r="CJ154" s="10">
        <f t="shared" si="142"/>
        <v>-2.1379310344826399E-3</v>
      </c>
      <c r="CK154" s="10">
        <f t="shared" si="143"/>
        <v>-2.2163793103448046E-3</v>
      </c>
      <c r="CL154" s="10">
        <f t="shared" si="144"/>
        <v>7.646551724138364E-4</v>
      </c>
      <c r="CM154" s="10">
        <f t="shared" si="145"/>
        <v>-3.3146551724137188E-3</v>
      </c>
      <c r="CN154" s="10">
        <f t="shared" si="146"/>
        <v>-1.9025862068964238E-3</v>
      </c>
      <c r="CO154" s="10">
        <f t="shared" si="147"/>
        <v>2.1551724137937927E-4</v>
      </c>
      <c r="CP154" s="10">
        <f t="shared" si="148"/>
        <v>-1.2749999999999411E-3</v>
      </c>
      <c r="CQ154" s="10">
        <f t="shared" si="149"/>
        <v>5.2931034482762063E-4</v>
      </c>
      <c r="CR154" s="10">
        <f t="shared" si="150"/>
        <v>1.3706896551735377E-4</v>
      </c>
      <c r="CS154" s="10">
        <f t="shared" si="151"/>
        <v>-6.4741379310331924E-4</v>
      </c>
      <c r="CT154" s="10">
        <f t="shared" si="152"/>
        <v>1.7060344827586997E-3</v>
      </c>
      <c r="CU154" s="10">
        <f t="shared" si="153"/>
        <v>-5.0405172413792556E-3</v>
      </c>
      <c r="CV154" s="10">
        <f t="shared" si="154"/>
        <v>-4.8051724137930397E-3</v>
      </c>
      <c r="CW154" s="10">
        <f t="shared" si="155"/>
        <v>-2.2163793103448046E-3</v>
      </c>
      <c r="CX154" s="10">
        <f t="shared" si="156"/>
        <v>-7.2586206896548401E-4</v>
      </c>
      <c r="CY154" s="10">
        <f t="shared" si="157"/>
        <v>2.8043103448276139E-3</v>
      </c>
      <c r="CZ154" s="10">
        <f t="shared" si="158"/>
        <v>1.3922413793104585E-3</v>
      </c>
      <c r="DA154" s="10">
        <f t="shared" si="159"/>
        <v>-6.4741379310331924E-4</v>
      </c>
      <c r="DB154" s="10">
        <f t="shared" si="160"/>
        <v>-2.5301724137930461E-3</v>
      </c>
      <c r="DC154" s="10">
        <f t="shared" si="161"/>
        <v>5.2931034482762063E-4</v>
      </c>
      <c r="DD154" s="10">
        <f t="shared" si="162"/>
        <v>-2.4517241379310205E-3</v>
      </c>
      <c r="DE154" s="10">
        <f t="shared" si="163"/>
        <v>1.9413793103449156E-3</v>
      </c>
      <c r="DF154" s="10">
        <f t="shared" si="164"/>
        <v>2.0982758620689667E-3</v>
      </c>
      <c r="DG154" s="10">
        <f t="shared" si="165"/>
        <v>-4.6482758620688489E-3</v>
      </c>
      <c r="DH154" s="10">
        <f t="shared" si="166"/>
        <v>1.3137931034482935E-3</v>
      </c>
      <c r="DI154" s="10">
        <f t="shared" si="167"/>
        <v>-2.1379310344826399E-3</v>
      </c>
      <c r="DJ154" s="10">
        <f t="shared" si="168"/>
        <v>8.4310344827586195E-4</v>
      </c>
      <c r="DK154" s="10">
        <f t="shared" si="169"/>
        <v>-1.2749999999999411E-3</v>
      </c>
      <c r="DL154" s="10">
        <f t="shared" si="170"/>
        <v>-2.0594827586206143E-3</v>
      </c>
      <c r="DM154" s="10">
        <f t="shared" si="171"/>
        <v>-5.7465517241379023E-3</v>
      </c>
      <c r="DN154" s="10">
        <f t="shared" si="172"/>
        <v>1.0784482758620778E-3</v>
      </c>
      <c r="DO154" s="10">
        <f t="shared" si="173"/>
        <v>-1.9025862068964238E-3</v>
      </c>
      <c r="DP154" s="10">
        <f t="shared" si="174"/>
        <v>7.646551724138364E-4</v>
      </c>
      <c r="DQ154" s="10">
        <f t="shared" si="175"/>
        <v>-2.6870689655172364E-3</v>
      </c>
      <c r="DR154" s="10">
        <f t="shared" si="176"/>
        <v>-1.982758620683656E-5</v>
      </c>
      <c r="DS154" s="10">
        <f t="shared" si="177"/>
        <v>-6.45258620689655E-3</v>
      </c>
      <c r="DT154" s="10">
        <f t="shared" si="178"/>
        <v>-3.079310344827503E-3</v>
      </c>
      <c r="DU154" s="10">
        <f t="shared" si="179"/>
        <v>-3.3362068965507791E-4</v>
      </c>
      <c r="DV154" s="10">
        <f t="shared" si="180"/>
        <v>-4.3344827586206079E-3</v>
      </c>
      <c r="DW154" s="10">
        <f t="shared" si="181"/>
        <v>-3.8637931034481762E-3</v>
      </c>
    </row>
    <row r="155" spans="2:127" x14ac:dyDescent="0.45">
      <c r="B155" s="1">
        <v>24</v>
      </c>
      <c r="C155" s="1">
        <v>2190</v>
      </c>
      <c r="D155" s="7">
        <f t="shared" si="182"/>
        <v>12.835164835164836</v>
      </c>
      <c r="E155" s="1">
        <v>12.795999999999999</v>
      </c>
      <c r="F155" s="1">
        <v>12.834</v>
      </c>
      <c r="G155" s="1">
        <v>12.846</v>
      </c>
      <c r="H155" s="1">
        <v>12.763999999999999</v>
      </c>
      <c r="I155" s="1">
        <v>12.815</v>
      </c>
      <c r="J155" s="1">
        <v>12.824999999999999</v>
      </c>
      <c r="K155" s="1">
        <v>12.901999999999999</v>
      </c>
      <c r="L155" s="1">
        <v>12.808</v>
      </c>
      <c r="M155" s="1">
        <v>12.864000000000001</v>
      </c>
      <c r="N155" s="1">
        <v>12.837999999999999</v>
      </c>
      <c r="O155" s="1">
        <v>12.811</v>
      </c>
      <c r="P155" s="1">
        <v>12.803000000000001</v>
      </c>
      <c r="Q155" s="1">
        <v>12.849</v>
      </c>
      <c r="R155" s="1">
        <v>12.833</v>
      </c>
      <c r="S155" s="1">
        <v>12.823</v>
      </c>
      <c r="T155" s="1">
        <v>12.853</v>
      </c>
      <c r="U155" s="1">
        <v>12.846</v>
      </c>
      <c r="V155" s="1">
        <v>12.798999999999999</v>
      </c>
      <c r="W155" s="1">
        <v>12.801</v>
      </c>
      <c r="X155" s="1">
        <v>12.795999999999999</v>
      </c>
      <c r="Y155" s="1">
        <v>12.81</v>
      </c>
      <c r="Z155" s="1">
        <v>12.805999999999999</v>
      </c>
      <c r="AA155" s="1">
        <v>12.845000000000001</v>
      </c>
      <c r="AB155" s="1">
        <v>12.792</v>
      </c>
      <c r="AC155" s="1">
        <v>12.81</v>
      </c>
      <c r="AD155" s="1">
        <v>12.837999999999999</v>
      </c>
      <c r="AE155" s="1">
        <v>12.818</v>
      </c>
      <c r="AF155" s="1">
        <v>12.842000000000001</v>
      </c>
      <c r="AG155" s="1">
        <v>12.835000000000001</v>
      </c>
      <c r="AH155" s="1">
        <v>12.824999999999999</v>
      </c>
      <c r="AI155" s="1">
        <v>12.86</v>
      </c>
      <c r="AJ155" s="1">
        <v>12.772</v>
      </c>
      <c r="AK155" s="1">
        <v>12.773</v>
      </c>
      <c r="AL155" s="1">
        <v>12.807</v>
      </c>
      <c r="AM155" s="1">
        <v>12.827</v>
      </c>
      <c r="AN155" s="1">
        <v>12.871</v>
      </c>
      <c r="AO155" s="1">
        <v>12.853</v>
      </c>
      <c r="AP155" s="1">
        <v>12.826000000000001</v>
      </c>
      <c r="AQ155" s="1">
        <v>12.798999999999999</v>
      </c>
      <c r="AR155" s="1">
        <v>12.842000000000001</v>
      </c>
      <c r="AS155" s="1">
        <v>12.803000000000001</v>
      </c>
      <c r="AT155" s="1">
        <v>12.856999999999999</v>
      </c>
      <c r="AU155" s="1">
        <v>12.858000000000001</v>
      </c>
      <c r="AV155" s="1">
        <v>12.772</v>
      </c>
      <c r="AW155" s="1">
        <v>12.852</v>
      </c>
      <c r="AX155" s="1">
        <v>12.808</v>
      </c>
      <c r="AY155" s="1">
        <v>12.846</v>
      </c>
      <c r="AZ155" s="1">
        <v>12.819000000000001</v>
      </c>
      <c r="BA155" s="1">
        <v>12.81</v>
      </c>
      <c r="BB155" s="1">
        <v>12.759</v>
      </c>
      <c r="BC155" s="1">
        <v>12.848000000000001</v>
      </c>
      <c r="BD155" s="1">
        <v>12.808</v>
      </c>
      <c r="BE155" s="1">
        <v>12.843999999999999</v>
      </c>
      <c r="BF155" s="1">
        <v>12.8</v>
      </c>
      <c r="BG155" s="1">
        <v>12.834</v>
      </c>
      <c r="BH155" s="1">
        <v>12.749000000000001</v>
      </c>
      <c r="BI155" s="1">
        <v>12.795999999999999</v>
      </c>
      <c r="BJ155" s="1">
        <v>12.83</v>
      </c>
      <c r="BK155" s="1">
        <v>12.78</v>
      </c>
      <c r="BL155" s="1">
        <v>12.784000000000001</v>
      </c>
      <c r="BN155" s="9">
        <v>24</v>
      </c>
      <c r="BO155" s="9">
        <v>2190</v>
      </c>
      <c r="BP155" s="10">
        <f t="shared" si="122"/>
        <v>-3.0513698630137928E-3</v>
      </c>
      <c r="BQ155" s="10">
        <f t="shared" si="123"/>
        <v>-9.0753424657608655E-5</v>
      </c>
      <c r="BR155" s="10">
        <f t="shared" si="124"/>
        <v>8.4417808219174181E-4</v>
      </c>
      <c r="BS155" s="10">
        <f t="shared" si="125"/>
        <v>-5.5445205479453018E-3</v>
      </c>
      <c r="BT155" s="10">
        <f t="shared" si="126"/>
        <v>-1.5710616438357008E-3</v>
      </c>
      <c r="BU155" s="10">
        <f t="shared" si="127"/>
        <v>-7.9195205479462149E-4</v>
      </c>
      <c r="BV155" s="10">
        <f t="shared" si="128"/>
        <v>5.2071917808218134E-3</v>
      </c>
      <c r="BW155" s="10">
        <f t="shared" si="129"/>
        <v>-2.1164383561644426E-3</v>
      </c>
      <c r="BX155" s="10">
        <f t="shared" si="130"/>
        <v>2.2465753424657673E-3</v>
      </c>
      <c r="BY155" s="10">
        <f t="shared" si="131"/>
        <v>2.2089041095879538E-4</v>
      </c>
      <c r="BZ155" s="10">
        <f t="shared" si="132"/>
        <v>-1.8827054794521047E-3</v>
      </c>
      <c r="CA155" s="10">
        <f t="shared" si="133"/>
        <v>-2.5059931506849127E-3</v>
      </c>
      <c r="CB155" s="10">
        <f t="shared" si="134"/>
        <v>1.0779109589040795E-3</v>
      </c>
      <c r="CC155" s="10">
        <f t="shared" si="135"/>
        <v>-1.6866438356167505E-4</v>
      </c>
      <c r="CD155" s="10">
        <f t="shared" si="136"/>
        <v>-9.4777397260275426E-4</v>
      </c>
      <c r="CE155" s="10">
        <f t="shared" si="137"/>
        <v>1.3895547945204834E-3</v>
      </c>
      <c r="CF155" s="10">
        <f t="shared" si="138"/>
        <v>8.4417808219174181E-4</v>
      </c>
      <c r="CG155" s="10">
        <f t="shared" si="139"/>
        <v>-2.8176369863014551E-3</v>
      </c>
      <c r="CH155" s="10">
        <f t="shared" si="140"/>
        <v>-2.6618150684931839E-3</v>
      </c>
      <c r="CI155" s="10">
        <f t="shared" si="141"/>
        <v>-3.0513698630137928E-3</v>
      </c>
      <c r="CJ155" s="10">
        <f t="shared" si="142"/>
        <v>-1.9606164383561713E-3</v>
      </c>
      <c r="CK155" s="10">
        <f t="shared" si="143"/>
        <v>-2.2722602739727138E-3</v>
      </c>
      <c r="CL155" s="10">
        <f t="shared" si="144"/>
        <v>7.6626712328767537E-4</v>
      </c>
      <c r="CM155" s="10">
        <f t="shared" si="145"/>
        <v>-3.3630136986301969E-3</v>
      </c>
      <c r="CN155" s="10">
        <f t="shared" si="146"/>
        <v>-1.9606164383561713E-3</v>
      </c>
      <c r="CO155" s="10">
        <f t="shared" si="147"/>
        <v>2.2089041095879538E-4</v>
      </c>
      <c r="CP155" s="10">
        <f t="shared" si="148"/>
        <v>-1.3373287671233631E-3</v>
      </c>
      <c r="CQ155" s="10">
        <f t="shared" si="149"/>
        <v>5.3253424657533782E-4</v>
      </c>
      <c r="CR155" s="10">
        <f t="shared" si="150"/>
        <v>-1.2842465753403852E-5</v>
      </c>
      <c r="CS155" s="10">
        <f t="shared" si="151"/>
        <v>-7.9195205479462149E-4</v>
      </c>
      <c r="CT155" s="10">
        <f t="shared" si="152"/>
        <v>1.9349315068492251E-3</v>
      </c>
      <c r="CU155" s="10">
        <f t="shared" si="153"/>
        <v>-4.9212328767123557E-3</v>
      </c>
      <c r="CV155" s="10">
        <f t="shared" si="154"/>
        <v>-4.8433219178082888E-3</v>
      </c>
      <c r="CW155" s="10">
        <f t="shared" si="155"/>
        <v>-2.194349315068509E-3</v>
      </c>
      <c r="CX155" s="10">
        <f t="shared" si="156"/>
        <v>-6.3613013698635027E-4</v>
      </c>
      <c r="CY155" s="10">
        <f t="shared" si="157"/>
        <v>2.7919520547945091E-3</v>
      </c>
      <c r="CZ155" s="10">
        <f t="shared" si="158"/>
        <v>1.3895547945204834E-3</v>
      </c>
      <c r="DA155" s="10">
        <f t="shared" si="159"/>
        <v>-7.140410958904167E-4</v>
      </c>
      <c r="DB155" s="10">
        <f t="shared" si="160"/>
        <v>-2.8176369863014551E-3</v>
      </c>
      <c r="DC155" s="10">
        <f t="shared" si="161"/>
        <v>5.3253424657533782E-4</v>
      </c>
      <c r="DD155" s="10">
        <f t="shared" si="162"/>
        <v>-2.5059931506849127E-3</v>
      </c>
      <c r="DE155" s="10">
        <f t="shared" si="163"/>
        <v>1.7011986301368875E-3</v>
      </c>
      <c r="DF155" s="10">
        <f t="shared" si="164"/>
        <v>1.7791095890410922E-3</v>
      </c>
      <c r="DG155" s="10">
        <f t="shared" si="165"/>
        <v>-4.9212328767123557E-3</v>
      </c>
      <c r="DH155" s="10">
        <f t="shared" si="166"/>
        <v>1.3116438356164171E-3</v>
      </c>
      <c r="DI155" s="10">
        <f t="shared" si="167"/>
        <v>-2.1164383561644426E-3</v>
      </c>
      <c r="DJ155" s="10">
        <f t="shared" si="168"/>
        <v>8.4417808219174181E-4</v>
      </c>
      <c r="DK155" s="10">
        <f t="shared" si="169"/>
        <v>-1.2594178082191584E-3</v>
      </c>
      <c r="DL155" s="10">
        <f t="shared" si="170"/>
        <v>-1.9606164383561713E-3</v>
      </c>
      <c r="DM155" s="10">
        <f t="shared" si="171"/>
        <v>-5.9340753424657723E-3</v>
      </c>
      <c r="DN155" s="10">
        <f t="shared" si="172"/>
        <v>1.000000000000013E-3</v>
      </c>
      <c r="DO155" s="10">
        <f t="shared" si="173"/>
        <v>-2.1164383561644426E-3</v>
      </c>
      <c r="DP155" s="10">
        <f t="shared" si="174"/>
        <v>6.8835616438347059E-4</v>
      </c>
      <c r="DQ155" s="10">
        <f t="shared" si="175"/>
        <v>-2.7397260273972503E-3</v>
      </c>
      <c r="DR155" s="10">
        <f t="shared" si="176"/>
        <v>-9.0753424657608655E-5</v>
      </c>
      <c r="DS155" s="10">
        <f t="shared" si="177"/>
        <v>-6.7131849315068513E-3</v>
      </c>
      <c r="DT155" s="10">
        <f t="shared" si="178"/>
        <v>-3.0513698630137928E-3</v>
      </c>
      <c r="DU155" s="10">
        <f t="shared" si="179"/>
        <v>-4.0239726027401266E-4</v>
      </c>
      <c r="DV155" s="10">
        <f t="shared" si="180"/>
        <v>-4.2979452054795475E-3</v>
      </c>
      <c r="DW155" s="10">
        <f t="shared" si="181"/>
        <v>-3.9863013698630051E-3</v>
      </c>
    </row>
    <row r="156" spans="2:127" x14ac:dyDescent="0.45">
      <c r="B156" s="1">
        <v>24</v>
      </c>
      <c r="C156" s="1">
        <v>2205</v>
      </c>
      <c r="D156" s="7">
        <f t="shared" si="182"/>
        <v>12.923076923076923</v>
      </c>
      <c r="E156" s="1">
        <v>12.882999999999999</v>
      </c>
      <c r="F156" s="1">
        <v>12.922000000000001</v>
      </c>
      <c r="G156" s="1">
        <v>12.933999999999999</v>
      </c>
      <c r="H156" s="1">
        <v>12.85</v>
      </c>
      <c r="I156" s="1">
        <v>12.903</v>
      </c>
      <c r="J156" s="1">
        <v>12.911</v>
      </c>
      <c r="K156" s="1">
        <v>12.991</v>
      </c>
      <c r="L156" s="1">
        <v>12.891999999999999</v>
      </c>
      <c r="M156" s="1">
        <v>12.951000000000001</v>
      </c>
      <c r="N156" s="1">
        <v>12.926</v>
      </c>
      <c r="O156" s="1">
        <v>12.898</v>
      </c>
      <c r="P156" s="1">
        <v>12.891</v>
      </c>
      <c r="Q156" s="1">
        <v>12.936999999999999</v>
      </c>
      <c r="R156" s="1">
        <v>12.92</v>
      </c>
      <c r="S156" s="1">
        <v>12.911</v>
      </c>
      <c r="T156" s="1">
        <v>12.943</v>
      </c>
      <c r="U156" s="1">
        <v>12.933999999999999</v>
      </c>
      <c r="V156" s="1">
        <v>12.887</v>
      </c>
      <c r="W156" s="1">
        <v>12.888</v>
      </c>
      <c r="X156" s="1">
        <v>12.88</v>
      </c>
      <c r="Y156" s="1">
        <v>12.903</v>
      </c>
      <c r="Z156" s="1">
        <v>12.894</v>
      </c>
      <c r="AA156" s="1">
        <v>12.93</v>
      </c>
      <c r="AB156" s="1">
        <v>12.879</v>
      </c>
      <c r="AC156" s="1">
        <v>12.895</v>
      </c>
      <c r="AD156" s="1">
        <v>12.928000000000001</v>
      </c>
      <c r="AE156" s="1">
        <v>12.904999999999999</v>
      </c>
      <c r="AF156" s="1">
        <v>12.929</v>
      </c>
      <c r="AG156" s="1">
        <v>12.922000000000001</v>
      </c>
      <c r="AH156" s="1">
        <v>12.913</v>
      </c>
      <c r="AI156" s="1">
        <v>12.948</v>
      </c>
      <c r="AJ156" s="1">
        <v>12.861000000000001</v>
      </c>
      <c r="AK156" s="1">
        <v>12.856999999999999</v>
      </c>
      <c r="AL156" s="1">
        <v>12.894</v>
      </c>
      <c r="AM156" s="1">
        <v>12.914999999999999</v>
      </c>
      <c r="AN156" s="1">
        <v>12.957000000000001</v>
      </c>
      <c r="AO156" s="1">
        <v>12.941000000000001</v>
      </c>
      <c r="AP156" s="1">
        <v>12.913</v>
      </c>
      <c r="AQ156" s="1">
        <v>12.884</v>
      </c>
      <c r="AR156" s="1">
        <v>12.93</v>
      </c>
      <c r="AS156" s="1">
        <v>12.891</v>
      </c>
      <c r="AT156" s="1">
        <v>12.943</v>
      </c>
      <c r="AU156" s="1">
        <v>12.945</v>
      </c>
      <c r="AV156" s="1">
        <v>12.86</v>
      </c>
      <c r="AW156" s="1">
        <v>12.94</v>
      </c>
      <c r="AX156" s="1">
        <v>12.895</v>
      </c>
      <c r="AY156" s="1">
        <v>12.933999999999999</v>
      </c>
      <c r="AZ156" s="1">
        <v>12.909000000000001</v>
      </c>
      <c r="BA156" s="1">
        <v>12.896000000000001</v>
      </c>
      <c r="BB156" s="1">
        <v>12.846</v>
      </c>
      <c r="BC156" s="1">
        <v>12.936</v>
      </c>
      <c r="BD156" s="1">
        <v>12.896000000000001</v>
      </c>
      <c r="BE156" s="1">
        <v>12.93</v>
      </c>
      <c r="BF156" s="1">
        <v>12.885999999999999</v>
      </c>
      <c r="BG156" s="1">
        <v>12.917</v>
      </c>
      <c r="BH156" s="1">
        <v>12.83</v>
      </c>
      <c r="BI156" s="1">
        <v>12.882999999999999</v>
      </c>
      <c r="BJ156" s="1">
        <v>12.917999999999999</v>
      </c>
      <c r="BK156" s="1">
        <v>12.869</v>
      </c>
      <c r="BL156" s="1">
        <v>12.869</v>
      </c>
      <c r="BN156" s="9">
        <v>24</v>
      </c>
      <c r="BO156" s="9">
        <v>2205</v>
      </c>
      <c r="BP156" s="10">
        <f t="shared" si="122"/>
        <v>-3.1011904761905655E-3</v>
      </c>
      <c r="BQ156" s="10">
        <f t="shared" si="123"/>
        <v>-8.3333333333308299E-5</v>
      </c>
      <c r="BR156" s="10">
        <f t="shared" si="124"/>
        <v>8.4523809523801799E-4</v>
      </c>
      <c r="BS156" s="10">
        <f t="shared" si="125"/>
        <v>-5.6547619047619532E-3</v>
      </c>
      <c r="BT156" s="10">
        <f t="shared" si="126"/>
        <v>-1.5535714285714135E-3</v>
      </c>
      <c r="BU156" s="10">
        <f t="shared" si="127"/>
        <v>-9.3452380952386259E-4</v>
      </c>
      <c r="BV156" s="10">
        <f t="shared" si="128"/>
        <v>5.2559523809523334E-3</v>
      </c>
      <c r="BW156" s="10">
        <f t="shared" si="129"/>
        <v>-2.4047619047619677E-3</v>
      </c>
      <c r="BX156" s="10">
        <f t="shared" si="130"/>
        <v>2.160714285714304E-3</v>
      </c>
      <c r="BY156" s="10">
        <f t="shared" si="131"/>
        <v>2.2619047619046713E-4</v>
      </c>
      <c r="BZ156" s="10">
        <f t="shared" si="132"/>
        <v>-1.9404761904762357E-3</v>
      </c>
      <c r="CA156" s="10">
        <f t="shared" si="133"/>
        <v>-2.4821428571428772E-3</v>
      </c>
      <c r="CB156" s="10">
        <f t="shared" si="134"/>
        <v>1.077380952380884E-3</v>
      </c>
      <c r="CC156" s="10">
        <f t="shared" si="135"/>
        <v>-2.3809523809526474E-4</v>
      </c>
      <c r="CD156" s="10">
        <f t="shared" si="136"/>
        <v>-9.3452380952386259E-4</v>
      </c>
      <c r="CE156" s="10">
        <f t="shared" si="137"/>
        <v>1.5416666666666157E-3</v>
      </c>
      <c r="CF156" s="10">
        <f t="shared" si="138"/>
        <v>8.4523809523801799E-4</v>
      </c>
      <c r="CG156" s="10">
        <f t="shared" si="139"/>
        <v>-2.7916666666666524E-3</v>
      </c>
      <c r="CH156" s="10">
        <f t="shared" si="140"/>
        <v>-2.7142857142857433E-3</v>
      </c>
      <c r="CI156" s="10">
        <f t="shared" si="141"/>
        <v>-3.3333333333332941E-3</v>
      </c>
      <c r="CJ156" s="10">
        <f t="shared" si="142"/>
        <v>-1.5535714285714135E-3</v>
      </c>
      <c r="CK156" s="10">
        <f t="shared" si="143"/>
        <v>-2.2500000000000111E-3</v>
      </c>
      <c r="CL156" s="10">
        <f t="shared" si="144"/>
        <v>5.3571428571424259E-4</v>
      </c>
      <c r="CM156" s="10">
        <f t="shared" si="145"/>
        <v>-3.4107142857143411E-3</v>
      </c>
      <c r="CN156" s="10">
        <f t="shared" si="146"/>
        <v>-2.1726190476191016E-3</v>
      </c>
      <c r="CO156" s="10">
        <f t="shared" si="147"/>
        <v>3.8095238095242357E-4</v>
      </c>
      <c r="CP156" s="10">
        <f t="shared" si="148"/>
        <v>-1.3988095238095944E-3</v>
      </c>
      <c r="CQ156" s="10">
        <f t="shared" si="149"/>
        <v>4.5833333333333305E-4</v>
      </c>
      <c r="CR156" s="10">
        <f t="shared" si="150"/>
        <v>-8.3333333333308299E-5</v>
      </c>
      <c r="CS156" s="10">
        <f t="shared" si="151"/>
        <v>-7.7976190476190615E-4</v>
      </c>
      <c r="CT156" s="10">
        <f t="shared" si="152"/>
        <v>1.9285714285714381E-3</v>
      </c>
      <c r="CU156" s="10">
        <f t="shared" si="153"/>
        <v>-4.8035714285713993E-3</v>
      </c>
      <c r="CV156" s="10">
        <f t="shared" si="154"/>
        <v>-5.1130952380953115E-3</v>
      </c>
      <c r="CW156" s="10">
        <f t="shared" si="155"/>
        <v>-2.2500000000000111E-3</v>
      </c>
      <c r="CX156" s="10">
        <f t="shared" si="156"/>
        <v>-6.2500000000008707E-4</v>
      </c>
      <c r="CY156" s="10">
        <f t="shared" si="157"/>
        <v>2.6250000000000362E-3</v>
      </c>
      <c r="CZ156" s="10">
        <f t="shared" si="158"/>
        <v>1.3869047619047969E-3</v>
      </c>
      <c r="DA156" s="10">
        <f t="shared" si="159"/>
        <v>-7.7976190476190615E-4</v>
      </c>
      <c r="DB156" s="10">
        <f t="shared" si="160"/>
        <v>-3.0238095238095185E-3</v>
      </c>
      <c r="DC156" s="10">
        <f t="shared" si="161"/>
        <v>5.3571428571424259E-4</v>
      </c>
      <c r="DD156" s="10">
        <f t="shared" si="162"/>
        <v>-2.4821428571428772E-3</v>
      </c>
      <c r="DE156" s="10">
        <f t="shared" si="163"/>
        <v>1.5416666666666157E-3</v>
      </c>
      <c r="DF156" s="10">
        <f t="shared" si="164"/>
        <v>1.6964285714285723E-3</v>
      </c>
      <c r="DG156" s="10">
        <f t="shared" si="165"/>
        <v>-4.8809523809524458E-3</v>
      </c>
      <c r="DH156" s="10">
        <f t="shared" si="166"/>
        <v>1.3095238095237498E-3</v>
      </c>
      <c r="DI156" s="10">
        <f t="shared" si="167"/>
        <v>-2.1726190476191016E-3</v>
      </c>
      <c r="DJ156" s="10">
        <f t="shared" si="168"/>
        <v>8.4523809523801799E-4</v>
      </c>
      <c r="DK156" s="10">
        <f t="shared" si="169"/>
        <v>-1.0892857142856815E-3</v>
      </c>
      <c r="DL156" s="10">
        <f t="shared" si="170"/>
        <v>-2.0952380952380546E-3</v>
      </c>
      <c r="DM156" s="10">
        <f t="shared" si="171"/>
        <v>-5.9642857142857284E-3</v>
      </c>
      <c r="DN156" s="10">
        <f t="shared" si="172"/>
        <v>9.9999999999997443E-4</v>
      </c>
      <c r="DO156" s="10">
        <f t="shared" si="173"/>
        <v>-2.0952380952380546E-3</v>
      </c>
      <c r="DP156" s="10">
        <f t="shared" si="174"/>
        <v>5.3571428571424259E-4</v>
      </c>
      <c r="DQ156" s="10">
        <f t="shared" si="175"/>
        <v>-2.8690476190476994E-3</v>
      </c>
      <c r="DR156" s="10">
        <f t="shared" si="176"/>
        <v>-4.7023809523813069E-4</v>
      </c>
      <c r="DS156" s="10">
        <f t="shared" si="177"/>
        <v>-7.2023809523809679E-3</v>
      </c>
      <c r="DT156" s="10">
        <f t="shared" si="178"/>
        <v>-3.1011904761905655E-3</v>
      </c>
      <c r="DU156" s="10">
        <f t="shared" si="179"/>
        <v>-3.9285714285722115E-4</v>
      </c>
      <c r="DV156" s="10">
        <f t="shared" si="180"/>
        <v>-4.184523809523848E-3</v>
      </c>
      <c r="DW156" s="10">
        <f t="shared" si="181"/>
        <v>-4.184523809523848E-3</v>
      </c>
    </row>
    <row r="157" spans="2:127" x14ac:dyDescent="0.45">
      <c r="B157" s="1">
        <v>24</v>
      </c>
      <c r="C157" s="1">
        <v>2220</v>
      </c>
      <c r="D157" s="7">
        <f t="shared" si="182"/>
        <v>13.010989010989011</v>
      </c>
      <c r="E157" s="1">
        <v>12.97</v>
      </c>
      <c r="F157" s="1">
        <v>13.01</v>
      </c>
      <c r="G157" s="1">
        <v>13.023</v>
      </c>
      <c r="H157" s="1">
        <v>12.936999999999999</v>
      </c>
      <c r="I157" s="1">
        <v>12.99</v>
      </c>
      <c r="J157" s="1">
        <v>12.994999999999999</v>
      </c>
      <c r="K157" s="1">
        <v>13.077</v>
      </c>
      <c r="L157" s="1">
        <v>12.981999999999999</v>
      </c>
      <c r="M157" s="1">
        <v>13.039</v>
      </c>
      <c r="N157" s="1">
        <v>13.016</v>
      </c>
      <c r="O157" s="1">
        <v>12.984999999999999</v>
      </c>
      <c r="P157" s="1">
        <v>12.978</v>
      </c>
      <c r="Q157" s="1">
        <v>13.025</v>
      </c>
      <c r="R157" s="1">
        <v>13.005000000000001</v>
      </c>
      <c r="S157" s="1">
        <v>13</v>
      </c>
      <c r="T157" s="1">
        <v>13.031000000000001</v>
      </c>
      <c r="U157" s="1">
        <v>13.021000000000001</v>
      </c>
      <c r="V157" s="1">
        <v>12.974</v>
      </c>
      <c r="W157" s="1">
        <v>12.976000000000001</v>
      </c>
      <c r="X157" s="1">
        <v>12.974</v>
      </c>
      <c r="Y157" s="1">
        <v>12.987</v>
      </c>
      <c r="Z157" s="1">
        <v>12.981</v>
      </c>
      <c r="AA157" s="1">
        <v>13.016999999999999</v>
      </c>
      <c r="AB157" s="1">
        <v>12.964</v>
      </c>
      <c r="AC157" s="1">
        <v>12.978999999999999</v>
      </c>
      <c r="AD157" s="1">
        <v>13.013999999999999</v>
      </c>
      <c r="AE157" s="1">
        <v>12.991</v>
      </c>
      <c r="AF157" s="1">
        <v>13.016999999999999</v>
      </c>
      <c r="AG157" s="1">
        <v>13.009</v>
      </c>
      <c r="AH157" s="1">
        <v>13.000999999999999</v>
      </c>
      <c r="AI157" s="1">
        <v>13.035</v>
      </c>
      <c r="AJ157" s="1">
        <v>12.944000000000001</v>
      </c>
      <c r="AK157" s="1">
        <v>12.944000000000001</v>
      </c>
      <c r="AL157" s="1">
        <v>12.978999999999999</v>
      </c>
      <c r="AM157" s="1">
        <v>13.004</v>
      </c>
      <c r="AN157" s="1">
        <v>13.045999999999999</v>
      </c>
      <c r="AO157" s="1">
        <v>13.029</v>
      </c>
      <c r="AP157" s="1">
        <v>12.997999999999999</v>
      </c>
      <c r="AQ157" s="1">
        <v>12.972</v>
      </c>
      <c r="AR157" s="1">
        <v>13.016999999999999</v>
      </c>
      <c r="AS157" s="1">
        <v>12.978</v>
      </c>
      <c r="AT157" s="1">
        <v>13.029</v>
      </c>
      <c r="AU157" s="1">
        <v>13.032999999999999</v>
      </c>
      <c r="AV157" s="1">
        <v>12.948</v>
      </c>
      <c r="AW157" s="1">
        <v>13.026999999999999</v>
      </c>
      <c r="AX157" s="1">
        <v>12.984999999999999</v>
      </c>
      <c r="AY157" s="1">
        <v>13.02</v>
      </c>
      <c r="AZ157" s="1">
        <v>12.997999999999999</v>
      </c>
      <c r="BA157" s="1">
        <v>12.984999999999999</v>
      </c>
      <c r="BB157" s="1">
        <v>12.933</v>
      </c>
      <c r="BC157" s="1">
        <v>13.023999999999999</v>
      </c>
      <c r="BD157" s="1">
        <v>12.983000000000001</v>
      </c>
      <c r="BE157" s="1">
        <v>13.016</v>
      </c>
      <c r="BF157" s="1">
        <v>12.971</v>
      </c>
      <c r="BG157" s="1">
        <v>13.009</v>
      </c>
      <c r="BH157" s="1">
        <v>12.920999999999999</v>
      </c>
      <c r="BI157" s="1">
        <v>12.97</v>
      </c>
      <c r="BJ157" s="1">
        <v>13.006</v>
      </c>
      <c r="BK157" s="1">
        <v>12.952999999999999</v>
      </c>
      <c r="BL157" s="1">
        <v>12.952999999999999</v>
      </c>
      <c r="BN157" s="9">
        <v>24</v>
      </c>
      <c r="BO157" s="9">
        <v>2220</v>
      </c>
      <c r="BP157" s="10">
        <f t="shared" si="122"/>
        <v>-3.1503378378377857E-3</v>
      </c>
      <c r="BQ157" s="10">
        <f t="shared" si="123"/>
        <v>-7.6013513513526899E-5</v>
      </c>
      <c r="BR157" s="10">
        <f t="shared" si="124"/>
        <v>9.2314189189187084E-4</v>
      </c>
      <c r="BS157" s="10">
        <f t="shared" si="125"/>
        <v>-5.6866554054054493E-3</v>
      </c>
      <c r="BT157" s="10">
        <f t="shared" si="126"/>
        <v>-1.6131756756756564E-3</v>
      </c>
      <c r="BU157" s="10">
        <f t="shared" si="127"/>
        <v>-1.2288851351351922E-3</v>
      </c>
      <c r="BV157" s="10">
        <f t="shared" si="128"/>
        <v>5.0734797297297294E-3</v>
      </c>
      <c r="BW157" s="10">
        <f t="shared" si="129"/>
        <v>-2.2280405405405899E-3</v>
      </c>
      <c r="BX157" s="10">
        <f t="shared" si="130"/>
        <v>2.1528716216216016E-3</v>
      </c>
      <c r="BY157" s="10">
        <f t="shared" si="131"/>
        <v>3.8513513513513924E-4</v>
      </c>
      <c r="BZ157" s="10">
        <f t="shared" si="132"/>
        <v>-1.997466216216257E-3</v>
      </c>
      <c r="CA157" s="10">
        <f t="shared" si="133"/>
        <v>-2.5354729729729886E-3</v>
      </c>
      <c r="CB157" s="10">
        <f t="shared" si="134"/>
        <v>1.0768581081081385E-3</v>
      </c>
      <c r="CC157" s="10">
        <f t="shared" si="135"/>
        <v>-4.6030405405399097E-4</v>
      </c>
      <c r="CD157" s="10">
        <f t="shared" si="136"/>
        <v>-8.4459459459459161E-4</v>
      </c>
      <c r="CE157" s="10">
        <f t="shared" si="137"/>
        <v>1.5380067567568045E-3</v>
      </c>
      <c r="CF157" s="10">
        <f t="shared" si="138"/>
        <v>7.6942567567573987E-4</v>
      </c>
      <c r="CG157" s="10">
        <f t="shared" si="139"/>
        <v>-2.8429054054053869E-3</v>
      </c>
      <c r="CH157" s="10">
        <f t="shared" si="140"/>
        <v>-2.6891891891891195E-3</v>
      </c>
      <c r="CI157" s="10">
        <f t="shared" si="141"/>
        <v>-2.8429054054053869E-3</v>
      </c>
      <c r="CJ157" s="10">
        <f t="shared" si="142"/>
        <v>-1.8437499999999893E-3</v>
      </c>
      <c r="CK157" s="10">
        <f t="shared" si="143"/>
        <v>-2.3048986486486553E-3</v>
      </c>
      <c r="CL157" s="10">
        <f t="shared" si="144"/>
        <v>4.6199324324320472E-4</v>
      </c>
      <c r="CM157" s="10">
        <f t="shared" si="145"/>
        <v>-3.6114864864864519E-3</v>
      </c>
      <c r="CN157" s="10">
        <f t="shared" si="146"/>
        <v>-2.4586148648649232E-3</v>
      </c>
      <c r="CO157" s="10">
        <f t="shared" si="147"/>
        <v>2.3141891891887169E-4</v>
      </c>
      <c r="CP157" s="10">
        <f t="shared" si="148"/>
        <v>-1.5363175675675907E-3</v>
      </c>
      <c r="CQ157" s="10">
        <f t="shared" si="149"/>
        <v>4.6199324324320472E-4</v>
      </c>
      <c r="CR157" s="10">
        <f t="shared" si="150"/>
        <v>-1.528716216215924E-4</v>
      </c>
      <c r="CS157" s="10">
        <f t="shared" si="151"/>
        <v>-7.6773648648652607E-4</v>
      </c>
      <c r="CT157" s="10">
        <f t="shared" si="152"/>
        <v>1.8454391891892031E-3</v>
      </c>
      <c r="CU157" s="10">
        <f t="shared" si="153"/>
        <v>-5.1486486486485815E-3</v>
      </c>
      <c r="CV157" s="10">
        <f t="shared" si="154"/>
        <v>-5.1486486486485815E-3</v>
      </c>
      <c r="CW157" s="10">
        <f t="shared" si="155"/>
        <v>-2.4586148648649232E-3</v>
      </c>
      <c r="CX157" s="10">
        <f t="shared" si="156"/>
        <v>-5.3716216216219306E-4</v>
      </c>
      <c r="CY157" s="10">
        <f t="shared" si="157"/>
        <v>2.6908783783783333E-3</v>
      </c>
      <c r="CZ157" s="10">
        <f t="shared" si="158"/>
        <v>1.3842905405405371E-3</v>
      </c>
      <c r="DA157" s="10">
        <f t="shared" si="159"/>
        <v>-9.9831081081085907E-4</v>
      </c>
      <c r="DB157" s="10">
        <f t="shared" si="160"/>
        <v>-2.9966216216216549E-3</v>
      </c>
      <c r="DC157" s="10">
        <f t="shared" si="161"/>
        <v>4.6199324324320472E-4</v>
      </c>
      <c r="DD157" s="10">
        <f t="shared" si="162"/>
        <v>-2.5354729729729886E-3</v>
      </c>
      <c r="DE157" s="10">
        <f t="shared" si="163"/>
        <v>1.3842905405405371E-3</v>
      </c>
      <c r="DF157" s="10">
        <f t="shared" si="164"/>
        <v>1.6917229729729356E-3</v>
      </c>
      <c r="DG157" s="10">
        <f t="shared" si="165"/>
        <v>-4.8412162162161827E-3</v>
      </c>
      <c r="DH157" s="10">
        <f t="shared" si="166"/>
        <v>1.2305743243242694E-3</v>
      </c>
      <c r="DI157" s="10">
        <f t="shared" si="167"/>
        <v>-1.997466216216257E-3</v>
      </c>
      <c r="DJ157" s="10">
        <f t="shared" si="168"/>
        <v>6.9256756756753783E-4</v>
      </c>
      <c r="DK157" s="10">
        <f t="shared" si="169"/>
        <v>-9.9831081081085907E-4</v>
      </c>
      <c r="DL157" s="10">
        <f t="shared" si="170"/>
        <v>-1.997466216216257E-3</v>
      </c>
      <c r="DM157" s="10">
        <f t="shared" si="171"/>
        <v>-5.9940878378378481E-3</v>
      </c>
      <c r="DN157" s="10">
        <f t="shared" si="172"/>
        <v>9.9999999999993649E-4</v>
      </c>
      <c r="DO157" s="10">
        <f t="shared" si="173"/>
        <v>-2.1511824324323878E-3</v>
      </c>
      <c r="DP157" s="10">
        <f t="shared" si="174"/>
        <v>3.8513513513513924E-4</v>
      </c>
      <c r="DQ157" s="10">
        <f t="shared" si="175"/>
        <v>-3.0734797297297203E-3</v>
      </c>
      <c r="DR157" s="10">
        <f t="shared" si="176"/>
        <v>-1.528716216215924E-4</v>
      </c>
      <c r="DS157" s="10">
        <f t="shared" si="177"/>
        <v>-6.9163851351351805E-3</v>
      </c>
      <c r="DT157" s="10">
        <f t="shared" si="178"/>
        <v>-3.1503378378377857E-3</v>
      </c>
      <c r="DU157" s="10">
        <f t="shared" si="179"/>
        <v>-3.8344594594592548E-4</v>
      </c>
      <c r="DV157" s="10">
        <f t="shared" si="180"/>
        <v>-4.456925675675719E-3</v>
      </c>
      <c r="DW157" s="10">
        <f t="shared" si="181"/>
        <v>-4.456925675675719E-3</v>
      </c>
    </row>
    <row r="158" spans="2:127" x14ac:dyDescent="0.45">
      <c r="B158" s="1">
        <v>24</v>
      </c>
      <c r="C158" s="1">
        <v>2235</v>
      </c>
      <c r="D158" s="7">
        <f t="shared" si="182"/>
        <v>13.098901098901099</v>
      </c>
      <c r="E158" s="1">
        <v>13.058999999999999</v>
      </c>
      <c r="F158" s="1">
        <v>13.1</v>
      </c>
      <c r="G158" s="1">
        <v>13.109</v>
      </c>
      <c r="H158" s="1">
        <v>13.023999999999999</v>
      </c>
      <c r="I158" s="1">
        <v>13.077</v>
      </c>
      <c r="J158" s="1">
        <v>13.08</v>
      </c>
      <c r="K158" s="1">
        <v>13.164999999999999</v>
      </c>
      <c r="L158" s="1">
        <v>13.065</v>
      </c>
      <c r="M158" s="1">
        <v>13.127000000000001</v>
      </c>
      <c r="N158" s="1">
        <v>13.103</v>
      </c>
      <c r="O158" s="1">
        <v>13.07</v>
      </c>
      <c r="P158" s="1">
        <v>13.067</v>
      </c>
      <c r="Q158" s="1">
        <v>13.115</v>
      </c>
      <c r="R158" s="1">
        <v>13.092000000000001</v>
      </c>
      <c r="S158" s="1">
        <v>13.087999999999999</v>
      </c>
      <c r="T158" s="1">
        <v>13.118</v>
      </c>
      <c r="U158" s="1">
        <v>13.109</v>
      </c>
      <c r="V158" s="1">
        <v>13.061</v>
      </c>
      <c r="W158" s="1">
        <v>13.065</v>
      </c>
      <c r="X158" s="1">
        <v>13.058</v>
      </c>
      <c r="Y158" s="1">
        <v>13.074</v>
      </c>
      <c r="Z158" s="1">
        <v>13.067</v>
      </c>
      <c r="AA158" s="1">
        <v>13.103999999999999</v>
      </c>
      <c r="AB158" s="1">
        <v>13.05</v>
      </c>
      <c r="AC158" s="1">
        <v>13.065</v>
      </c>
      <c r="AD158" s="1">
        <v>13.103</v>
      </c>
      <c r="AE158" s="1">
        <v>13.077</v>
      </c>
      <c r="AF158" s="1">
        <v>13.101000000000001</v>
      </c>
      <c r="AG158" s="1">
        <v>13.096</v>
      </c>
      <c r="AH158" s="1">
        <v>13.089</v>
      </c>
      <c r="AI158" s="1">
        <v>13.122</v>
      </c>
      <c r="AJ158" s="1">
        <v>13.031000000000001</v>
      </c>
      <c r="AK158" s="1">
        <v>13.029</v>
      </c>
      <c r="AL158" s="1">
        <v>13.066000000000001</v>
      </c>
      <c r="AM158" s="1">
        <v>13.093</v>
      </c>
      <c r="AN158" s="1">
        <v>13.135</v>
      </c>
      <c r="AO158" s="1">
        <v>13.118</v>
      </c>
      <c r="AP158" s="1">
        <v>13.085000000000001</v>
      </c>
      <c r="AQ158" s="1">
        <v>13.058999999999999</v>
      </c>
      <c r="AR158" s="1">
        <v>13.105</v>
      </c>
      <c r="AS158" s="1">
        <v>13.065</v>
      </c>
      <c r="AT158" s="1">
        <v>13.119</v>
      </c>
      <c r="AU158" s="1">
        <v>13.122</v>
      </c>
      <c r="AV158" s="1">
        <v>13.031000000000001</v>
      </c>
      <c r="AW158" s="1">
        <v>13.116</v>
      </c>
      <c r="AX158" s="1">
        <v>13.07</v>
      </c>
      <c r="AY158" s="1">
        <v>13.108000000000001</v>
      </c>
      <c r="AZ158" s="1">
        <v>13.087999999999999</v>
      </c>
      <c r="BA158" s="1">
        <v>13.071</v>
      </c>
      <c r="BB158" s="1">
        <v>13.02</v>
      </c>
      <c r="BC158" s="1">
        <v>13.109</v>
      </c>
      <c r="BD158" s="1">
        <v>13.07</v>
      </c>
      <c r="BE158" s="1">
        <v>13.103</v>
      </c>
      <c r="BF158" s="1">
        <v>13.058999999999999</v>
      </c>
      <c r="BG158" s="1">
        <v>13.093</v>
      </c>
      <c r="BH158" s="1">
        <v>13.016</v>
      </c>
      <c r="BI158" s="1">
        <v>13.058</v>
      </c>
      <c r="BJ158" s="1">
        <v>13.093999999999999</v>
      </c>
      <c r="BK158" s="1">
        <v>13.04</v>
      </c>
      <c r="BL158" s="1">
        <v>13.04</v>
      </c>
      <c r="BN158" s="9">
        <v>24</v>
      </c>
      <c r="BO158" s="9">
        <v>2235</v>
      </c>
      <c r="BP158" s="10">
        <f t="shared" si="122"/>
        <v>-3.0461409395973441E-3</v>
      </c>
      <c r="BQ158" s="10">
        <f t="shared" si="123"/>
        <v>8.389261744966414E-5</v>
      </c>
      <c r="BR158" s="10">
        <f t="shared" si="124"/>
        <v>7.7097315436244188E-4</v>
      </c>
      <c r="BS158" s="10">
        <f t="shared" si="125"/>
        <v>-5.7181208053691673E-3</v>
      </c>
      <c r="BT158" s="10">
        <f t="shared" si="126"/>
        <v>-1.6719798657717885E-3</v>
      </c>
      <c r="BU158" s="10">
        <f t="shared" si="127"/>
        <v>-1.442953020134196E-3</v>
      </c>
      <c r="BV158" s="10">
        <f t="shared" si="128"/>
        <v>5.0461409395972769E-3</v>
      </c>
      <c r="BW158" s="10">
        <f t="shared" si="129"/>
        <v>-2.588087248322159E-3</v>
      </c>
      <c r="BX158" s="10">
        <f t="shared" si="130"/>
        <v>2.1451342281879975E-3</v>
      </c>
      <c r="BY158" s="10">
        <f t="shared" si="131"/>
        <v>3.1291946308725674E-4</v>
      </c>
      <c r="BZ158" s="10">
        <f t="shared" si="132"/>
        <v>-2.2063758389261261E-3</v>
      </c>
      <c r="CA158" s="10">
        <f t="shared" si="133"/>
        <v>-2.4354026845637188E-3</v>
      </c>
      <c r="CB158" s="10">
        <f t="shared" si="134"/>
        <v>1.229026845637627E-3</v>
      </c>
      <c r="CC158" s="10">
        <f t="shared" si="135"/>
        <v>-5.2684563758382565E-4</v>
      </c>
      <c r="CD158" s="10">
        <f t="shared" si="136"/>
        <v>-8.3221476510070616E-4</v>
      </c>
      <c r="CE158" s="10">
        <f t="shared" si="137"/>
        <v>1.4580536912752195E-3</v>
      </c>
      <c r="CF158" s="10">
        <f t="shared" si="138"/>
        <v>7.7097315436244188E-4</v>
      </c>
      <c r="CG158" s="10">
        <f t="shared" si="139"/>
        <v>-2.8934563758389038E-3</v>
      </c>
      <c r="CH158" s="10">
        <f t="shared" si="140"/>
        <v>-2.588087248322159E-3</v>
      </c>
      <c r="CI158" s="10">
        <f t="shared" si="141"/>
        <v>-3.1224832214764965E-3</v>
      </c>
      <c r="CJ158" s="10">
        <f t="shared" si="142"/>
        <v>-1.9010067114093811E-3</v>
      </c>
      <c r="CK158" s="10">
        <f t="shared" si="143"/>
        <v>-2.4354026845637188E-3</v>
      </c>
      <c r="CL158" s="10">
        <f t="shared" si="144"/>
        <v>3.8926174496640905E-4</v>
      </c>
      <c r="CM158" s="10">
        <f t="shared" si="145"/>
        <v>-3.7332214765099861E-3</v>
      </c>
      <c r="CN158" s="10">
        <f t="shared" si="146"/>
        <v>-2.588087248322159E-3</v>
      </c>
      <c r="CO158" s="10">
        <f t="shared" si="147"/>
        <v>3.1291946308725674E-4</v>
      </c>
      <c r="CP158" s="10">
        <f t="shared" si="148"/>
        <v>-1.6719798657717885E-3</v>
      </c>
      <c r="CQ158" s="10">
        <f t="shared" si="149"/>
        <v>1.6023489932895206E-4</v>
      </c>
      <c r="CR158" s="10">
        <f t="shared" si="150"/>
        <v>-2.2147651006708077E-4</v>
      </c>
      <c r="CS158" s="10">
        <f t="shared" si="151"/>
        <v>-7.5587248322141827E-4</v>
      </c>
      <c r="CT158" s="10">
        <f t="shared" si="152"/>
        <v>1.7634228187919645E-3</v>
      </c>
      <c r="CU158" s="10">
        <f t="shared" si="153"/>
        <v>-5.1837248322146937E-3</v>
      </c>
      <c r="CV158" s="10">
        <f t="shared" si="154"/>
        <v>-5.3364093959731339E-3</v>
      </c>
      <c r="CW158" s="10">
        <f t="shared" si="155"/>
        <v>-2.5117449664428708E-3</v>
      </c>
      <c r="CX158" s="10">
        <f t="shared" si="156"/>
        <v>-4.5050335570467334E-4</v>
      </c>
      <c r="CY158" s="10">
        <f t="shared" si="157"/>
        <v>2.7558724832214871E-3</v>
      </c>
      <c r="CZ158" s="10">
        <f t="shared" si="158"/>
        <v>1.4580536912752195E-3</v>
      </c>
      <c r="DA158" s="10">
        <f t="shared" si="159"/>
        <v>-1.061241610738163E-3</v>
      </c>
      <c r="DB158" s="10">
        <f t="shared" si="160"/>
        <v>-3.0461409395973441E-3</v>
      </c>
      <c r="DC158" s="10">
        <f t="shared" si="161"/>
        <v>4.6560402684569699E-4</v>
      </c>
      <c r="DD158" s="10">
        <f t="shared" si="162"/>
        <v>-2.588087248322159E-3</v>
      </c>
      <c r="DE158" s="10">
        <f t="shared" si="163"/>
        <v>1.534395973154372E-3</v>
      </c>
      <c r="DF158" s="10">
        <f t="shared" si="164"/>
        <v>1.7634228187919645E-3</v>
      </c>
      <c r="DG158" s="10">
        <f t="shared" si="165"/>
        <v>-5.1837248322146937E-3</v>
      </c>
      <c r="DH158" s="10">
        <f t="shared" si="166"/>
        <v>1.3053691275167793E-3</v>
      </c>
      <c r="DI158" s="10">
        <f t="shared" si="167"/>
        <v>-2.2063758389261261E-3</v>
      </c>
      <c r="DJ158" s="10">
        <f t="shared" si="168"/>
        <v>6.9463087248328951E-4</v>
      </c>
      <c r="DK158" s="10">
        <f t="shared" si="169"/>
        <v>-8.3221476510070616E-4</v>
      </c>
      <c r="DL158" s="10">
        <f t="shared" si="170"/>
        <v>-2.1300335570469736E-3</v>
      </c>
      <c r="DM158" s="10">
        <f t="shared" si="171"/>
        <v>-6.0234899328859117E-3</v>
      </c>
      <c r="DN158" s="10">
        <f t="shared" si="172"/>
        <v>7.7097315436244188E-4</v>
      </c>
      <c r="DO158" s="10">
        <f t="shared" si="173"/>
        <v>-2.2063758389261261E-3</v>
      </c>
      <c r="DP158" s="10">
        <f t="shared" si="174"/>
        <v>3.1291946308725674E-4</v>
      </c>
      <c r="DQ158" s="10">
        <f t="shared" si="175"/>
        <v>-3.0461409395973441E-3</v>
      </c>
      <c r="DR158" s="10">
        <f t="shared" si="176"/>
        <v>-4.5050335570467334E-4</v>
      </c>
      <c r="DS158" s="10">
        <f t="shared" si="177"/>
        <v>-6.3288590604026569E-3</v>
      </c>
      <c r="DT158" s="10">
        <f t="shared" si="178"/>
        <v>-3.1224832214764965E-3</v>
      </c>
      <c r="DU158" s="10">
        <f t="shared" si="179"/>
        <v>-3.7416107382552103E-4</v>
      </c>
      <c r="DV158" s="10">
        <f t="shared" si="180"/>
        <v>-4.4966442953020521E-3</v>
      </c>
      <c r="DW158" s="10">
        <f t="shared" si="181"/>
        <v>-4.4966442953020521E-3</v>
      </c>
    </row>
    <row r="159" spans="2:127" x14ac:dyDescent="0.45">
      <c r="B159" s="1">
        <v>24</v>
      </c>
      <c r="C159" s="1">
        <v>2250</v>
      </c>
      <c r="D159" s="7">
        <f t="shared" si="182"/>
        <v>13.186813186813186</v>
      </c>
      <c r="E159" s="1">
        <v>13.147</v>
      </c>
      <c r="F159" s="1">
        <v>13.188000000000001</v>
      </c>
      <c r="G159" s="1">
        <v>13.199</v>
      </c>
      <c r="H159" s="1">
        <v>13.109</v>
      </c>
      <c r="I159" s="1">
        <v>13.164999999999999</v>
      </c>
      <c r="J159" s="1">
        <v>13.169</v>
      </c>
      <c r="K159" s="1">
        <v>13.255000000000001</v>
      </c>
      <c r="L159" s="1">
        <v>13.148999999999999</v>
      </c>
      <c r="M159" s="1">
        <v>13.215</v>
      </c>
      <c r="N159" s="1">
        <v>13.192</v>
      </c>
      <c r="O159" s="1">
        <v>13.157999999999999</v>
      </c>
      <c r="P159" s="1">
        <v>13.156000000000001</v>
      </c>
      <c r="Q159" s="1">
        <v>13.202</v>
      </c>
      <c r="R159" s="1">
        <v>13.177</v>
      </c>
      <c r="S159" s="1">
        <v>13.176</v>
      </c>
      <c r="T159" s="1">
        <v>13.207000000000001</v>
      </c>
      <c r="U159" s="1">
        <v>13.196</v>
      </c>
      <c r="V159" s="1">
        <v>13.148999999999999</v>
      </c>
      <c r="W159" s="1">
        <v>13.15</v>
      </c>
      <c r="X159" s="1">
        <v>13.141999999999999</v>
      </c>
      <c r="Y159" s="1">
        <v>13.162000000000001</v>
      </c>
      <c r="Z159" s="1">
        <v>13.154</v>
      </c>
      <c r="AA159" s="1">
        <v>13.191000000000001</v>
      </c>
      <c r="AB159" s="1">
        <v>13.134</v>
      </c>
      <c r="AC159" s="1">
        <v>13.156000000000001</v>
      </c>
      <c r="AD159" s="1">
        <v>13.189</v>
      </c>
      <c r="AE159" s="1">
        <v>13.162000000000001</v>
      </c>
      <c r="AF159" s="1">
        <v>13.186999999999999</v>
      </c>
      <c r="AG159" s="1">
        <v>13.183</v>
      </c>
      <c r="AH159" s="1">
        <v>13.176</v>
      </c>
      <c r="AI159" s="1">
        <v>13.208</v>
      </c>
      <c r="AJ159" s="1">
        <v>13.118</v>
      </c>
      <c r="AK159" s="1">
        <v>13.115</v>
      </c>
      <c r="AL159" s="1">
        <v>13.153</v>
      </c>
      <c r="AM159" s="1">
        <v>13.180999999999999</v>
      </c>
      <c r="AN159" s="1">
        <v>13.222</v>
      </c>
      <c r="AO159" s="1">
        <v>13.204000000000001</v>
      </c>
      <c r="AP159" s="1">
        <v>13.175000000000001</v>
      </c>
      <c r="AQ159" s="1">
        <v>13.147</v>
      </c>
      <c r="AR159" s="1">
        <v>13.193</v>
      </c>
      <c r="AS159" s="1">
        <v>13.151</v>
      </c>
      <c r="AT159" s="1">
        <v>13.207000000000001</v>
      </c>
      <c r="AU159" s="1">
        <v>13.208</v>
      </c>
      <c r="AV159" s="1">
        <v>13.12</v>
      </c>
      <c r="AW159" s="1">
        <v>13.202999999999999</v>
      </c>
      <c r="AX159" s="1">
        <v>13.157999999999999</v>
      </c>
      <c r="AY159" s="1">
        <v>13.193</v>
      </c>
      <c r="AZ159" s="1">
        <v>13.176</v>
      </c>
      <c r="BA159" s="1">
        <v>13.16</v>
      </c>
      <c r="BB159" s="1">
        <v>13.103999999999999</v>
      </c>
      <c r="BC159" s="1">
        <v>13.196</v>
      </c>
      <c r="BD159" s="1">
        <v>13.157</v>
      </c>
      <c r="BE159" s="1">
        <v>13.192</v>
      </c>
      <c r="BF159" s="1">
        <v>13.146000000000001</v>
      </c>
      <c r="BG159" s="1">
        <v>13.183999999999999</v>
      </c>
      <c r="BH159" s="1">
        <v>13.093</v>
      </c>
      <c r="BI159" s="1">
        <v>13.145</v>
      </c>
      <c r="BJ159" s="1">
        <v>13.183</v>
      </c>
      <c r="BK159" s="1">
        <v>13.134</v>
      </c>
      <c r="BL159" s="1">
        <v>13.127000000000001</v>
      </c>
      <c r="BN159" s="9">
        <v>24</v>
      </c>
      <c r="BO159" s="9">
        <v>2250</v>
      </c>
      <c r="BP159" s="10">
        <f t="shared" si="122"/>
        <v>-3.019166666666598E-3</v>
      </c>
      <c r="BQ159" s="10">
        <f t="shared" si="123"/>
        <v>9.0000000000096676E-5</v>
      </c>
      <c r="BR159" s="10">
        <f t="shared" si="124"/>
        <v>9.2416666666670516E-4</v>
      </c>
      <c r="BS159" s="10">
        <f t="shared" si="125"/>
        <v>-5.900833333333284E-3</v>
      </c>
      <c r="BT159" s="10">
        <f t="shared" si="126"/>
        <v>-1.6541666666666812E-3</v>
      </c>
      <c r="BU159" s="10">
        <f t="shared" si="127"/>
        <v>-1.3508333333332465E-3</v>
      </c>
      <c r="BV159" s="10">
        <f t="shared" si="128"/>
        <v>5.170833333333443E-3</v>
      </c>
      <c r="BW159" s="10">
        <f t="shared" si="129"/>
        <v>-2.8675000000000154E-3</v>
      </c>
      <c r="BX159" s="10">
        <f t="shared" si="130"/>
        <v>2.1375000000000395E-3</v>
      </c>
      <c r="BY159" s="10">
        <f t="shared" si="131"/>
        <v>3.9333333333339663E-4</v>
      </c>
      <c r="BZ159" s="10">
        <f t="shared" si="132"/>
        <v>-2.1849999999999895E-3</v>
      </c>
      <c r="CA159" s="10">
        <f t="shared" si="133"/>
        <v>-2.3366666666665725E-3</v>
      </c>
      <c r="CB159" s="10">
        <f t="shared" si="134"/>
        <v>1.1516666666667138E-3</v>
      </c>
      <c r="CC159" s="10">
        <f t="shared" si="135"/>
        <v>-7.4416666666664657E-4</v>
      </c>
      <c r="CD159" s="10">
        <f t="shared" si="136"/>
        <v>-8.1999999999993786E-4</v>
      </c>
      <c r="CE159" s="10">
        <f t="shared" si="137"/>
        <v>1.5308333333334397E-3</v>
      </c>
      <c r="CF159" s="10">
        <f t="shared" si="138"/>
        <v>6.9666666666669654E-4</v>
      </c>
      <c r="CG159" s="10">
        <f t="shared" si="139"/>
        <v>-2.8675000000000154E-3</v>
      </c>
      <c r="CH159" s="10">
        <f t="shared" si="140"/>
        <v>-2.7916666666665895E-3</v>
      </c>
      <c r="CI159" s="10">
        <f t="shared" si="141"/>
        <v>-3.398333333333324E-3</v>
      </c>
      <c r="CJ159" s="10">
        <f t="shared" si="142"/>
        <v>-1.881666666666555E-3</v>
      </c>
      <c r="CK159" s="10">
        <f t="shared" si="143"/>
        <v>-2.4883333333332895E-3</v>
      </c>
      <c r="CL159" s="10">
        <f t="shared" si="144"/>
        <v>3.175000000001053E-4</v>
      </c>
      <c r="CM159" s="10">
        <f t="shared" si="145"/>
        <v>-4.0049999999999244E-3</v>
      </c>
      <c r="CN159" s="10">
        <f t="shared" si="146"/>
        <v>-2.3366666666665725E-3</v>
      </c>
      <c r="CO159" s="10">
        <f t="shared" si="147"/>
        <v>1.6583333333338799E-4</v>
      </c>
      <c r="CP159" s="10">
        <f t="shared" si="148"/>
        <v>-1.881666666666555E-3</v>
      </c>
      <c r="CQ159" s="10">
        <f t="shared" si="149"/>
        <v>1.4166666666670659E-5</v>
      </c>
      <c r="CR159" s="10">
        <f t="shared" si="150"/>
        <v>-2.8916666666662928E-4</v>
      </c>
      <c r="CS159" s="10">
        <f t="shared" si="151"/>
        <v>-8.1999999999993786E-4</v>
      </c>
      <c r="CT159" s="10">
        <f t="shared" si="152"/>
        <v>1.606666666666731E-3</v>
      </c>
      <c r="CU159" s="10">
        <f t="shared" si="153"/>
        <v>-5.2183333333332589E-3</v>
      </c>
      <c r="CV159" s="10">
        <f t="shared" si="154"/>
        <v>-5.445833333333267E-3</v>
      </c>
      <c r="CW159" s="10">
        <f t="shared" si="155"/>
        <v>-2.564166666666581E-3</v>
      </c>
      <c r="CX159" s="10">
        <f t="shared" si="156"/>
        <v>-4.4083333333334661E-4</v>
      </c>
      <c r="CY159" s="10">
        <f t="shared" si="157"/>
        <v>2.6683333333333481E-3</v>
      </c>
      <c r="CZ159" s="10">
        <f t="shared" si="158"/>
        <v>1.3033333333334312E-3</v>
      </c>
      <c r="DA159" s="10">
        <f t="shared" si="159"/>
        <v>-8.9583333333322914E-4</v>
      </c>
      <c r="DB159" s="10">
        <f t="shared" si="160"/>
        <v>-3.019166666666598E-3</v>
      </c>
      <c r="DC159" s="10">
        <f t="shared" si="161"/>
        <v>4.6916666666668792E-4</v>
      </c>
      <c r="DD159" s="10">
        <f t="shared" si="162"/>
        <v>-2.7158333333332984E-3</v>
      </c>
      <c r="DE159" s="10">
        <f t="shared" si="163"/>
        <v>1.5308333333334397E-3</v>
      </c>
      <c r="DF159" s="10">
        <f t="shared" si="164"/>
        <v>1.606666666666731E-3</v>
      </c>
      <c r="DG159" s="10">
        <f t="shared" si="165"/>
        <v>-5.0666666666666759E-3</v>
      </c>
      <c r="DH159" s="10">
        <f t="shared" si="166"/>
        <v>1.2275000000000051E-3</v>
      </c>
      <c r="DI159" s="10">
        <f t="shared" si="167"/>
        <v>-2.1849999999999895E-3</v>
      </c>
      <c r="DJ159" s="10">
        <f t="shared" si="168"/>
        <v>4.6916666666668792E-4</v>
      </c>
      <c r="DK159" s="10">
        <f t="shared" si="169"/>
        <v>-8.1999999999993786E-4</v>
      </c>
      <c r="DL159" s="10">
        <f t="shared" si="170"/>
        <v>-2.0333333333332725E-3</v>
      </c>
      <c r="DM159" s="10">
        <f t="shared" si="171"/>
        <v>-6.2800000000000104E-3</v>
      </c>
      <c r="DN159" s="10">
        <f t="shared" si="172"/>
        <v>6.9666666666669654E-4</v>
      </c>
      <c r="DO159" s="10">
        <f t="shared" si="173"/>
        <v>-2.260833333333281E-3</v>
      </c>
      <c r="DP159" s="10">
        <f t="shared" si="174"/>
        <v>3.9333333333339663E-4</v>
      </c>
      <c r="DQ159" s="10">
        <f t="shared" si="175"/>
        <v>-3.0949999999998895E-3</v>
      </c>
      <c r="DR159" s="10">
        <f t="shared" si="176"/>
        <v>-2.1333333333333797E-4</v>
      </c>
      <c r="DS159" s="10">
        <f t="shared" si="177"/>
        <v>-7.1141666666666185E-3</v>
      </c>
      <c r="DT159" s="10">
        <f t="shared" si="178"/>
        <v>-3.1708333333333154E-3</v>
      </c>
      <c r="DU159" s="10">
        <f t="shared" si="179"/>
        <v>-2.8916666666662928E-4</v>
      </c>
      <c r="DV159" s="10">
        <f t="shared" si="180"/>
        <v>-4.0049999999999244E-3</v>
      </c>
      <c r="DW159" s="10">
        <f t="shared" si="181"/>
        <v>-4.5358333333332329E-3</v>
      </c>
    </row>
    <row r="160" spans="2:127" x14ac:dyDescent="0.45">
      <c r="B160" s="1">
        <v>24</v>
      </c>
      <c r="C160" s="1">
        <v>2265</v>
      </c>
      <c r="D160" s="7">
        <f t="shared" si="182"/>
        <v>13.274725274725276</v>
      </c>
      <c r="E160" s="1">
        <v>13.237</v>
      </c>
      <c r="F160" s="1">
        <v>13.276</v>
      </c>
      <c r="G160" s="1">
        <v>13.287000000000001</v>
      </c>
      <c r="H160" s="1">
        <v>13.198</v>
      </c>
      <c r="I160" s="1">
        <v>13.252000000000001</v>
      </c>
      <c r="J160" s="1">
        <v>13.256</v>
      </c>
      <c r="K160" s="1">
        <v>13.347</v>
      </c>
      <c r="L160" s="1">
        <v>13.236000000000001</v>
      </c>
      <c r="M160" s="1">
        <v>13.302</v>
      </c>
      <c r="N160" s="1">
        <v>13.279</v>
      </c>
      <c r="O160" s="1">
        <v>13.246</v>
      </c>
      <c r="P160" s="1">
        <v>13.244</v>
      </c>
      <c r="Q160" s="1">
        <v>13.29</v>
      </c>
      <c r="R160" s="1">
        <v>13.263</v>
      </c>
      <c r="S160" s="1">
        <v>13.263999999999999</v>
      </c>
      <c r="T160" s="1">
        <v>13.294</v>
      </c>
      <c r="U160" s="1">
        <v>13.282999999999999</v>
      </c>
      <c r="V160" s="1">
        <v>13.237</v>
      </c>
      <c r="W160" s="1">
        <v>13.237</v>
      </c>
      <c r="X160" s="1">
        <v>13.228999999999999</v>
      </c>
      <c r="Y160" s="1">
        <v>13.249000000000001</v>
      </c>
      <c r="Z160" s="1">
        <v>13.241</v>
      </c>
      <c r="AA160" s="1">
        <v>13.278</v>
      </c>
      <c r="AB160" s="1">
        <v>13.222</v>
      </c>
      <c r="AC160" s="1">
        <v>13.244</v>
      </c>
      <c r="AD160" s="1">
        <v>13.276</v>
      </c>
      <c r="AE160" s="1">
        <v>13.249000000000001</v>
      </c>
      <c r="AF160" s="1">
        <v>13.273999999999999</v>
      </c>
      <c r="AG160" s="1">
        <v>13.271000000000001</v>
      </c>
      <c r="AH160" s="1">
        <v>13.263999999999999</v>
      </c>
      <c r="AI160" s="1">
        <v>13.295</v>
      </c>
      <c r="AJ160" s="1">
        <v>13.204000000000001</v>
      </c>
      <c r="AK160" s="1">
        <v>13.199</v>
      </c>
      <c r="AL160" s="1">
        <v>13.241</v>
      </c>
      <c r="AM160" s="1">
        <v>13.269</v>
      </c>
      <c r="AN160" s="1">
        <v>13.308999999999999</v>
      </c>
      <c r="AO160" s="1">
        <v>13.292999999999999</v>
      </c>
      <c r="AP160" s="1">
        <v>13.263999999999999</v>
      </c>
      <c r="AQ160" s="1">
        <v>13.236000000000001</v>
      </c>
      <c r="AR160" s="1">
        <v>13.282</v>
      </c>
      <c r="AS160" s="1">
        <v>13.241</v>
      </c>
      <c r="AT160" s="1">
        <v>13.297000000000001</v>
      </c>
      <c r="AU160" s="1">
        <v>13.295</v>
      </c>
      <c r="AV160" s="1">
        <v>13.204000000000001</v>
      </c>
      <c r="AW160" s="1">
        <v>13.29</v>
      </c>
      <c r="AX160" s="1">
        <v>13.244</v>
      </c>
      <c r="AY160" s="1">
        <v>13.282</v>
      </c>
      <c r="AZ160" s="1">
        <v>13.263999999999999</v>
      </c>
      <c r="BA160" s="1">
        <v>13.246</v>
      </c>
      <c r="BB160" s="1">
        <v>13.193</v>
      </c>
      <c r="BC160" s="1">
        <v>13.282999999999999</v>
      </c>
      <c r="BD160" s="1">
        <v>13.242000000000001</v>
      </c>
      <c r="BE160" s="1">
        <v>13.282999999999999</v>
      </c>
      <c r="BF160" s="1">
        <v>13.234</v>
      </c>
      <c r="BG160" s="1">
        <v>13.268000000000001</v>
      </c>
      <c r="BH160" s="1">
        <v>13.18</v>
      </c>
      <c r="BI160" s="1">
        <v>13.231</v>
      </c>
      <c r="BJ160" s="1">
        <v>13.269</v>
      </c>
      <c r="BK160" s="1">
        <v>13.222</v>
      </c>
      <c r="BL160" s="1">
        <v>13.217000000000001</v>
      </c>
      <c r="BN160" s="9">
        <v>24</v>
      </c>
      <c r="BO160" s="9">
        <v>2265</v>
      </c>
      <c r="BP160" s="10">
        <f t="shared" si="122"/>
        <v>-2.8418874172185956E-3</v>
      </c>
      <c r="BQ160" s="10">
        <f t="shared" si="123"/>
        <v>9.6026490066149884E-5</v>
      </c>
      <c r="BR160" s="10">
        <f t="shared" si="124"/>
        <v>9.2466887417218615E-4</v>
      </c>
      <c r="BS160" s="10">
        <f t="shared" si="125"/>
        <v>-5.7798013245033411E-3</v>
      </c>
      <c r="BT160" s="10">
        <f t="shared" si="126"/>
        <v>-1.7119205298013343E-3</v>
      </c>
      <c r="BU160" s="10">
        <f t="shared" si="127"/>
        <v>-1.4105960264901092E-3</v>
      </c>
      <c r="BV160" s="10">
        <f t="shared" si="128"/>
        <v>5.4445364238409639E-3</v>
      </c>
      <c r="BW160" s="10">
        <f t="shared" si="129"/>
        <v>-2.9172185430463684E-3</v>
      </c>
      <c r="BX160" s="10">
        <f t="shared" si="130"/>
        <v>2.0546357615893137E-3</v>
      </c>
      <c r="BY160" s="10">
        <f t="shared" si="131"/>
        <v>3.2201986754960214E-4</v>
      </c>
      <c r="BZ160" s="10">
        <f t="shared" si="132"/>
        <v>-2.163907284768239E-3</v>
      </c>
      <c r="CA160" s="10">
        <f t="shared" si="133"/>
        <v>-2.3145695364239181E-3</v>
      </c>
      <c r="CB160" s="10">
        <f t="shared" si="134"/>
        <v>1.1506622516555046E-3</v>
      </c>
      <c r="CC160" s="10">
        <f t="shared" si="135"/>
        <v>-8.8327814569543199E-4</v>
      </c>
      <c r="CD160" s="10">
        <f t="shared" si="136"/>
        <v>-8.0794701986765911E-4</v>
      </c>
      <c r="CE160" s="10">
        <f t="shared" si="137"/>
        <v>1.4519867549668635E-3</v>
      </c>
      <c r="CF160" s="10">
        <f t="shared" si="138"/>
        <v>6.2334437086082725E-4</v>
      </c>
      <c r="CG160" s="10">
        <f t="shared" si="139"/>
        <v>-2.8418874172185956E-3</v>
      </c>
      <c r="CH160" s="10">
        <f t="shared" si="140"/>
        <v>-2.8418874172185956E-3</v>
      </c>
      <c r="CI160" s="10">
        <f t="shared" si="141"/>
        <v>-3.4445364238411798E-3</v>
      </c>
      <c r="CJ160" s="10">
        <f t="shared" si="142"/>
        <v>-1.9379139072847867E-3</v>
      </c>
      <c r="CK160" s="10">
        <f t="shared" si="143"/>
        <v>-2.5405629139073705E-3</v>
      </c>
      <c r="CL160" s="10">
        <f t="shared" si="144"/>
        <v>2.4668874172182931E-4</v>
      </c>
      <c r="CM160" s="10">
        <f t="shared" si="145"/>
        <v>-3.9718543046358568E-3</v>
      </c>
      <c r="CN160" s="10">
        <f t="shared" si="146"/>
        <v>-2.3145695364239181E-3</v>
      </c>
      <c r="CO160" s="10">
        <f t="shared" si="147"/>
        <v>9.6026490066149884E-5</v>
      </c>
      <c r="CP160" s="10">
        <f t="shared" si="148"/>
        <v>-1.9379139072847867E-3</v>
      </c>
      <c r="CQ160" s="10">
        <f t="shared" si="149"/>
        <v>-5.4635761589529561E-5</v>
      </c>
      <c r="CR160" s="10">
        <f t="shared" si="150"/>
        <v>-2.8062913907284803E-4</v>
      </c>
      <c r="CS160" s="10">
        <f t="shared" si="151"/>
        <v>-8.0794701986765911E-4</v>
      </c>
      <c r="CT160" s="10">
        <f t="shared" si="152"/>
        <v>1.5273178807946363E-3</v>
      </c>
      <c r="CU160" s="10">
        <f t="shared" si="153"/>
        <v>-5.3278145695364364E-3</v>
      </c>
      <c r="CV160" s="10">
        <f t="shared" si="154"/>
        <v>-5.7044701986755687E-3</v>
      </c>
      <c r="CW160" s="10">
        <f t="shared" si="155"/>
        <v>-2.5405629139073705E-3</v>
      </c>
      <c r="CX160" s="10">
        <f t="shared" si="156"/>
        <v>-4.3129139072852743E-4</v>
      </c>
      <c r="CY160" s="10">
        <f t="shared" si="157"/>
        <v>2.5819536423839907E-3</v>
      </c>
      <c r="CZ160" s="10">
        <f t="shared" si="158"/>
        <v>1.3766556291389567E-3</v>
      </c>
      <c r="DA160" s="10">
        <f t="shared" si="159"/>
        <v>-8.0794701986765911E-4</v>
      </c>
      <c r="DB160" s="10">
        <f t="shared" si="160"/>
        <v>-2.9172185430463684E-3</v>
      </c>
      <c r="DC160" s="10">
        <f t="shared" si="161"/>
        <v>5.4801324503305437E-4</v>
      </c>
      <c r="DD160" s="10">
        <f t="shared" si="162"/>
        <v>-2.5405629139073705E-3</v>
      </c>
      <c r="DE160" s="10">
        <f t="shared" si="163"/>
        <v>1.6779801324503156E-3</v>
      </c>
      <c r="DF160" s="10">
        <f t="shared" si="164"/>
        <v>1.5273178807946363E-3</v>
      </c>
      <c r="DG160" s="10">
        <f t="shared" si="165"/>
        <v>-5.3278145695364364E-3</v>
      </c>
      <c r="DH160" s="10">
        <f t="shared" si="166"/>
        <v>1.1506622516555046E-3</v>
      </c>
      <c r="DI160" s="10">
        <f t="shared" si="167"/>
        <v>-2.3145695364239181E-3</v>
      </c>
      <c r="DJ160" s="10">
        <f t="shared" si="168"/>
        <v>5.4801324503305437E-4</v>
      </c>
      <c r="DK160" s="10">
        <f t="shared" si="169"/>
        <v>-8.0794701986765911E-4</v>
      </c>
      <c r="DL160" s="10">
        <f t="shared" si="170"/>
        <v>-2.163907284768239E-3</v>
      </c>
      <c r="DM160" s="10">
        <f t="shared" si="171"/>
        <v>-6.1564569536424725E-3</v>
      </c>
      <c r="DN160" s="10">
        <f t="shared" si="172"/>
        <v>6.2334437086082725E-4</v>
      </c>
      <c r="DO160" s="10">
        <f t="shared" si="173"/>
        <v>-2.4652317880794641E-3</v>
      </c>
      <c r="DP160" s="10">
        <f t="shared" si="174"/>
        <v>6.2334437086082725E-4</v>
      </c>
      <c r="DQ160" s="10">
        <f t="shared" si="175"/>
        <v>-3.0678807947020479E-3</v>
      </c>
      <c r="DR160" s="10">
        <f t="shared" si="176"/>
        <v>-5.0662251655630031E-4</v>
      </c>
      <c r="DS160" s="10">
        <f t="shared" si="177"/>
        <v>-7.1357615894040551E-3</v>
      </c>
      <c r="DT160" s="10">
        <f t="shared" si="178"/>
        <v>-3.2938741721855003E-3</v>
      </c>
      <c r="DU160" s="10">
        <f t="shared" si="179"/>
        <v>-4.3129139072852743E-4</v>
      </c>
      <c r="DV160" s="10">
        <f t="shared" si="180"/>
        <v>-3.9718543046358568E-3</v>
      </c>
      <c r="DW160" s="10">
        <f t="shared" si="181"/>
        <v>-4.3485099337748547E-3</v>
      </c>
    </row>
    <row r="161" spans="2:127" x14ac:dyDescent="0.45">
      <c r="B161" s="1">
        <v>24</v>
      </c>
      <c r="C161" s="1">
        <v>2280</v>
      </c>
      <c r="D161" s="7">
        <f t="shared" si="182"/>
        <v>13.362637362637363</v>
      </c>
      <c r="E161" s="1">
        <v>13.324</v>
      </c>
      <c r="F161" s="1">
        <v>13.362</v>
      </c>
      <c r="G161" s="1">
        <v>13.375</v>
      </c>
      <c r="H161" s="1">
        <v>13.284000000000001</v>
      </c>
      <c r="I161" s="1">
        <v>13.339</v>
      </c>
      <c r="J161" s="1">
        <v>13.343</v>
      </c>
      <c r="K161" s="1">
        <v>13.433999999999999</v>
      </c>
      <c r="L161" s="1">
        <v>13.32</v>
      </c>
      <c r="M161" s="1">
        <v>13.387</v>
      </c>
      <c r="N161" s="1">
        <v>13.367000000000001</v>
      </c>
      <c r="O161" s="1">
        <v>13.335000000000001</v>
      </c>
      <c r="P161" s="1">
        <v>13.332000000000001</v>
      </c>
      <c r="Q161" s="1">
        <v>13.377000000000001</v>
      </c>
      <c r="R161" s="1">
        <v>13.348000000000001</v>
      </c>
      <c r="S161" s="1">
        <v>13.351000000000001</v>
      </c>
      <c r="T161" s="1">
        <v>13.382</v>
      </c>
      <c r="U161" s="1">
        <v>13.37</v>
      </c>
      <c r="V161" s="1">
        <v>13.324999999999999</v>
      </c>
      <c r="W161" s="1">
        <v>13.324</v>
      </c>
      <c r="X161" s="1">
        <v>13.317</v>
      </c>
      <c r="Y161" s="1">
        <v>13.339</v>
      </c>
      <c r="Z161" s="1">
        <v>13.326000000000001</v>
      </c>
      <c r="AA161" s="1">
        <v>13.364000000000001</v>
      </c>
      <c r="AB161" s="1">
        <v>13.311</v>
      </c>
      <c r="AC161" s="1">
        <v>13.332000000000001</v>
      </c>
      <c r="AD161" s="1">
        <v>13.363</v>
      </c>
      <c r="AE161" s="1">
        <v>13.337</v>
      </c>
      <c r="AF161" s="1">
        <v>13.362</v>
      </c>
      <c r="AG161" s="1">
        <v>13.359</v>
      </c>
      <c r="AH161" s="1">
        <v>13.352</v>
      </c>
      <c r="AI161" s="1">
        <v>13.382</v>
      </c>
      <c r="AJ161" s="1">
        <v>13.29</v>
      </c>
      <c r="AK161" s="1">
        <v>13.284000000000001</v>
      </c>
      <c r="AL161" s="1">
        <v>13.327999999999999</v>
      </c>
      <c r="AM161" s="1">
        <v>13.356</v>
      </c>
      <c r="AN161" s="1">
        <v>13.396000000000001</v>
      </c>
      <c r="AO161" s="1">
        <v>13.379</v>
      </c>
      <c r="AP161" s="1">
        <v>13.351000000000001</v>
      </c>
      <c r="AQ161" s="1">
        <v>13.324</v>
      </c>
      <c r="AR161" s="1">
        <v>13.368</v>
      </c>
      <c r="AS161" s="1">
        <v>13.329000000000001</v>
      </c>
      <c r="AT161" s="1">
        <v>13.385</v>
      </c>
      <c r="AU161" s="1">
        <v>13.382</v>
      </c>
      <c r="AV161" s="1">
        <v>13.291</v>
      </c>
      <c r="AW161" s="1">
        <v>13.377000000000001</v>
      </c>
      <c r="AX161" s="1">
        <v>13.327999999999999</v>
      </c>
      <c r="AY161" s="1">
        <v>13.367000000000001</v>
      </c>
      <c r="AZ161" s="1">
        <v>13.352</v>
      </c>
      <c r="BA161" s="1">
        <v>13.335000000000001</v>
      </c>
      <c r="BB161" s="1">
        <v>13.275</v>
      </c>
      <c r="BC161" s="1">
        <v>13.37</v>
      </c>
      <c r="BD161" s="1">
        <v>13.326000000000001</v>
      </c>
      <c r="BE161" s="1">
        <v>13.37</v>
      </c>
      <c r="BF161" s="1">
        <v>13.321</v>
      </c>
      <c r="BG161" s="1">
        <v>13.352</v>
      </c>
      <c r="BH161" s="1">
        <v>13.263999999999999</v>
      </c>
      <c r="BI161" s="1">
        <v>13.318</v>
      </c>
      <c r="BJ161" s="1">
        <v>13.355</v>
      </c>
      <c r="BK161" s="1">
        <v>13.307</v>
      </c>
      <c r="BL161" s="1">
        <v>13.303000000000001</v>
      </c>
      <c r="BN161" s="9">
        <v>24</v>
      </c>
      <c r="BO161" s="9">
        <v>2280</v>
      </c>
      <c r="BP161" s="10">
        <f t="shared" si="122"/>
        <v>-2.8914473684211006E-3</v>
      </c>
      <c r="BQ161" s="10">
        <f t="shared" si="123"/>
        <v>-4.7697368421081709E-5</v>
      </c>
      <c r="BR161" s="10">
        <f t="shared" si="124"/>
        <v>9.2516447368417394E-4</v>
      </c>
      <c r="BS161" s="10">
        <f t="shared" si="125"/>
        <v>-5.8848684210526161E-3</v>
      </c>
      <c r="BT161" s="10">
        <f t="shared" si="126"/>
        <v>-1.7689144736842161E-3</v>
      </c>
      <c r="BU161" s="10">
        <f t="shared" si="127"/>
        <v>-1.4695723684210913E-3</v>
      </c>
      <c r="BV161" s="10">
        <f t="shared" si="128"/>
        <v>5.3404605263156985E-3</v>
      </c>
      <c r="BW161" s="10">
        <f t="shared" si="129"/>
        <v>-3.1907894736842258E-3</v>
      </c>
      <c r="BX161" s="10">
        <f t="shared" si="130"/>
        <v>1.8231907894736817E-3</v>
      </c>
      <c r="BY161" s="10">
        <f t="shared" si="131"/>
        <v>3.2648026315792414E-4</v>
      </c>
      <c r="BZ161" s="10">
        <f t="shared" si="132"/>
        <v>-2.0682565789473411E-3</v>
      </c>
      <c r="CA161" s="10">
        <f t="shared" si="133"/>
        <v>-2.2927631578947179E-3</v>
      </c>
      <c r="CB161" s="10">
        <f t="shared" si="134"/>
        <v>1.0748355263158029E-3</v>
      </c>
      <c r="CC161" s="10">
        <f t="shared" si="135"/>
        <v>-1.0953947368420854E-3</v>
      </c>
      <c r="CD161" s="10">
        <f t="shared" si="136"/>
        <v>-8.7088815789470848E-4</v>
      </c>
      <c r="CE161" s="10">
        <f t="shared" si="137"/>
        <v>1.4490131578946757E-3</v>
      </c>
      <c r="CF161" s="10">
        <f t="shared" si="138"/>
        <v>5.5098684210516809E-4</v>
      </c>
      <c r="CG161" s="10">
        <f t="shared" si="139"/>
        <v>-2.8166118421053526E-3</v>
      </c>
      <c r="CH161" s="10">
        <f t="shared" si="140"/>
        <v>-2.8914473684211006E-3</v>
      </c>
      <c r="CI161" s="10">
        <f t="shared" si="141"/>
        <v>-3.4152960526316026E-3</v>
      </c>
      <c r="CJ161" s="10">
        <f t="shared" si="142"/>
        <v>-1.7689144736842161E-3</v>
      </c>
      <c r="CK161" s="10">
        <f t="shared" si="143"/>
        <v>-2.7417763157894719E-3</v>
      </c>
      <c r="CL161" s="10">
        <f t="shared" si="144"/>
        <v>1.0197368421054722E-4</v>
      </c>
      <c r="CM161" s="10">
        <f t="shared" si="145"/>
        <v>-3.8643092105263566E-3</v>
      </c>
      <c r="CN161" s="10">
        <f t="shared" si="146"/>
        <v>-2.2927631578947179E-3</v>
      </c>
      <c r="CO161" s="10">
        <f t="shared" si="147"/>
        <v>2.7138157894666288E-5</v>
      </c>
      <c r="CP161" s="10">
        <f t="shared" si="148"/>
        <v>-1.9185855263158451E-3</v>
      </c>
      <c r="CQ161" s="10">
        <f t="shared" si="149"/>
        <v>-4.7697368421081709E-5</v>
      </c>
      <c r="CR161" s="10">
        <f t="shared" si="150"/>
        <v>-2.7220394736845863E-4</v>
      </c>
      <c r="CS161" s="10">
        <f t="shared" si="151"/>
        <v>-7.9605263157896046E-4</v>
      </c>
      <c r="CT161" s="10">
        <f t="shared" si="152"/>
        <v>1.4490131578946757E-3</v>
      </c>
      <c r="CU161" s="10">
        <f t="shared" si="153"/>
        <v>-5.4358552631579952E-3</v>
      </c>
      <c r="CV161" s="10">
        <f t="shared" si="154"/>
        <v>-5.8848684210526161E-3</v>
      </c>
      <c r="CW161" s="10">
        <f t="shared" si="155"/>
        <v>-2.5921052631579758E-3</v>
      </c>
      <c r="CX161" s="10">
        <f t="shared" si="156"/>
        <v>-4.9671052631583557E-4</v>
      </c>
      <c r="CY161" s="10">
        <f t="shared" si="157"/>
        <v>2.4967105263158126E-3</v>
      </c>
      <c r="CZ161" s="10">
        <f t="shared" si="158"/>
        <v>1.2245065789472989E-3</v>
      </c>
      <c r="DA161" s="10">
        <f t="shared" si="159"/>
        <v>-8.7088815789470848E-4</v>
      </c>
      <c r="DB161" s="10">
        <f t="shared" si="160"/>
        <v>-2.8914473684211006E-3</v>
      </c>
      <c r="DC161" s="10">
        <f t="shared" si="161"/>
        <v>4.0131578947367216E-4</v>
      </c>
      <c r="DD161" s="10">
        <f t="shared" si="162"/>
        <v>-2.5172697368420951E-3</v>
      </c>
      <c r="DE161" s="10">
        <f t="shared" si="163"/>
        <v>1.6735197368420527E-3</v>
      </c>
      <c r="DF161" s="10">
        <f t="shared" si="164"/>
        <v>1.4490131578946757E-3</v>
      </c>
      <c r="DG161" s="10">
        <f t="shared" si="165"/>
        <v>-5.3610197368421141E-3</v>
      </c>
      <c r="DH161" s="10">
        <f t="shared" si="166"/>
        <v>1.0748355263158029E-3</v>
      </c>
      <c r="DI161" s="10">
        <f t="shared" si="167"/>
        <v>-2.5921052631579758E-3</v>
      </c>
      <c r="DJ161" s="10">
        <f t="shared" si="168"/>
        <v>3.2648026315792414E-4</v>
      </c>
      <c r="DK161" s="10">
        <f t="shared" si="169"/>
        <v>-7.9605263157896046E-4</v>
      </c>
      <c r="DL161" s="10">
        <f t="shared" si="170"/>
        <v>-2.0682565789473411E-3</v>
      </c>
      <c r="DM161" s="10">
        <f t="shared" si="171"/>
        <v>-6.5583881578947468E-3</v>
      </c>
      <c r="DN161" s="10">
        <f t="shared" si="172"/>
        <v>5.5098684210516809E-4</v>
      </c>
      <c r="DO161" s="10">
        <f t="shared" si="173"/>
        <v>-2.7417763157894719E-3</v>
      </c>
      <c r="DP161" s="10">
        <f t="shared" si="174"/>
        <v>5.5098684210516809E-4</v>
      </c>
      <c r="DQ161" s="10">
        <f t="shared" si="175"/>
        <v>-3.1159539473684778E-3</v>
      </c>
      <c r="DR161" s="10">
        <f t="shared" si="176"/>
        <v>-7.9605263157896046E-4</v>
      </c>
      <c r="DS161" s="10">
        <f t="shared" si="177"/>
        <v>-7.3815789473685063E-3</v>
      </c>
      <c r="DT161" s="10">
        <f t="shared" si="178"/>
        <v>-3.3404605263158546E-3</v>
      </c>
      <c r="DU161" s="10">
        <f t="shared" si="179"/>
        <v>-5.7154605263158359E-4</v>
      </c>
      <c r="DV161" s="10">
        <f t="shared" si="180"/>
        <v>-4.1636513157894814E-3</v>
      </c>
      <c r="DW161" s="10">
        <f t="shared" si="181"/>
        <v>-4.4629934210526061E-3</v>
      </c>
    </row>
    <row r="162" spans="2:127" x14ac:dyDescent="0.45">
      <c r="B162" s="1">
        <v>24</v>
      </c>
      <c r="C162" s="1">
        <v>2295</v>
      </c>
      <c r="D162" s="7">
        <f t="shared" si="182"/>
        <v>13.450549450549451</v>
      </c>
      <c r="E162" s="1">
        <v>13.413</v>
      </c>
      <c r="F162" s="1">
        <v>13.451000000000001</v>
      </c>
      <c r="G162" s="1">
        <v>13.462</v>
      </c>
      <c r="H162" s="1">
        <v>13.371</v>
      </c>
      <c r="I162" s="1">
        <v>13.428000000000001</v>
      </c>
      <c r="J162" s="1">
        <v>13.430999999999999</v>
      </c>
      <c r="K162" s="1">
        <v>13.523999999999999</v>
      </c>
      <c r="L162" s="1">
        <v>13.404999999999999</v>
      </c>
      <c r="M162" s="1">
        <v>13.473000000000001</v>
      </c>
      <c r="N162" s="1">
        <v>13.454000000000001</v>
      </c>
      <c r="O162" s="1">
        <v>13.423</v>
      </c>
      <c r="P162" s="1">
        <v>13.420999999999999</v>
      </c>
      <c r="Q162" s="1">
        <v>13.462999999999999</v>
      </c>
      <c r="R162" s="1">
        <v>13.435</v>
      </c>
      <c r="S162" s="1">
        <v>13.436</v>
      </c>
      <c r="T162" s="1">
        <v>13.47</v>
      </c>
      <c r="U162" s="1">
        <v>13.457000000000001</v>
      </c>
      <c r="V162" s="1">
        <v>13.412000000000001</v>
      </c>
      <c r="W162" s="1">
        <v>13.413</v>
      </c>
      <c r="X162" s="1">
        <v>13.404</v>
      </c>
      <c r="Y162" s="1">
        <v>13.428000000000001</v>
      </c>
      <c r="Z162" s="1">
        <v>13.411</v>
      </c>
      <c r="AA162" s="1">
        <v>13.45</v>
      </c>
      <c r="AB162" s="1">
        <v>13.398</v>
      </c>
      <c r="AC162" s="1">
        <v>13.419</v>
      </c>
      <c r="AD162" s="1">
        <v>13.45</v>
      </c>
      <c r="AE162" s="1">
        <v>13.42</v>
      </c>
      <c r="AF162" s="1">
        <v>13.45</v>
      </c>
      <c r="AG162" s="1">
        <v>13.446999999999999</v>
      </c>
      <c r="AH162" s="1">
        <v>13.436</v>
      </c>
      <c r="AI162" s="1">
        <v>13.47</v>
      </c>
      <c r="AJ162" s="1">
        <v>13.377000000000001</v>
      </c>
      <c r="AK162" s="1">
        <v>13.372999999999999</v>
      </c>
      <c r="AL162" s="1">
        <v>13.414999999999999</v>
      </c>
      <c r="AM162" s="1">
        <v>13.446</v>
      </c>
      <c r="AN162" s="1">
        <v>13.481999999999999</v>
      </c>
      <c r="AO162" s="1">
        <v>13.468999999999999</v>
      </c>
      <c r="AP162" s="1">
        <v>13.439</v>
      </c>
      <c r="AQ162" s="1">
        <v>13.407999999999999</v>
      </c>
      <c r="AR162" s="1">
        <v>13.454000000000001</v>
      </c>
      <c r="AS162" s="1">
        <v>13.416</v>
      </c>
      <c r="AT162" s="1">
        <v>13.473000000000001</v>
      </c>
      <c r="AU162" s="1">
        <v>13.47</v>
      </c>
      <c r="AV162" s="1">
        <v>13.375</v>
      </c>
      <c r="AW162" s="1">
        <v>13.462999999999999</v>
      </c>
      <c r="AX162" s="1">
        <v>13.413</v>
      </c>
      <c r="AY162" s="1">
        <v>13.452999999999999</v>
      </c>
      <c r="AZ162" s="1">
        <v>13.44</v>
      </c>
      <c r="BA162" s="1">
        <v>13.423</v>
      </c>
      <c r="BB162" s="1">
        <v>13.36</v>
      </c>
      <c r="BC162" s="1">
        <v>13.455</v>
      </c>
      <c r="BD162" s="1">
        <v>13.413</v>
      </c>
      <c r="BE162" s="1">
        <v>13.459</v>
      </c>
      <c r="BF162" s="1">
        <v>13.406000000000001</v>
      </c>
      <c r="BG162" s="1">
        <v>13.443</v>
      </c>
      <c r="BH162" s="1">
        <v>13.352</v>
      </c>
      <c r="BI162" s="1">
        <v>13.404999999999999</v>
      </c>
      <c r="BJ162" s="1">
        <v>13.446</v>
      </c>
      <c r="BK162" s="1">
        <v>13.387</v>
      </c>
      <c r="BL162" s="1">
        <v>13.39</v>
      </c>
      <c r="BN162" s="9">
        <v>24</v>
      </c>
      <c r="BO162" s="9">
        <v>2295</v>
      </c>
      <c r="BP162" s="10">
        <f t="shared" si="122"/>
        <v>-2.7916666666666606E-3</v>
      </c>
      <c r="BQ162" s="10">
        <f t="shared" si="123"/>
        <v>3.3496732026168766E-5</v>
      </c>
      <c r="BR162" s="10">
        <f t="shared" si="124"/>
        <v>8.5130718954245154E-4</v>
      </c>
      <c r="BS162" s="10">
        <f t="shared" si="125"/>
        <v>-5.9142156862744899E-3</v>
      </c>
      <c r="BT162" s="10">
        <f t="shared" si="126"/>
        <v>-1.6764705882352459E-3</v>
      </c>
      <c r="BU162" s="10">
        <f t="shared" si="127"/>
        <v>-1.4534313725490949E-3</v>
      </c>
      <c r="BV162" s="10">
        <f t="shared" si="128"/>
        <v>5.4607843137254126E-3</v>
      </c>
      <c r="BW162" s="10">
        <f t="shared" si="129"/>
        <v>-3.3864379084967925E-3</v>
      </c>
      <c r="BX162" s="10">
        <f t="shared" si="130"/>
        <v>1.6691176470588665E-3</v>
      </c>
      <c r="BY162" s="10">
        <f t="shared" si="131"/>
        <v>2.5653594771245171E-4</v>
      </c>
      <c r="BZ162" s="10">
        <f t="shared" si="132"/>
        <v>-2.0482026143790947E-3</v>
      </c>
      <c r="CA162" s="10">
        <f t="shared" si="133"/>
        <v>-2.196895424836661E-3</v>
      </c>
      <c r="CB162" s="10">
        <f t="shared" si="134"/>
        <v>9.2565359477116854E-4</v>
      </c>
      <c r="CC162" s="10">
        <f t="shared" si="135"/>
        <v>-1.156045751633963E-3</v>
      </c>
      <c r="CD162" s="10">
        <f t="shared" si="136"/>
        <v>-1.0816993464052461E-3</v>
      </c>
      <c r="CE162" s="10">
        <f t="shared" si="137"/>
        <v>1.4460784313725834E-3</v>
      </c>
      <c r="CF162" s="10">
        <f t="shared" si="138"/>
        <v>4.7957516339873469E-4</v>
      </c>
      <c r="CG162" s="10">
        <f t="shared" si="139"/>
        <v>-2.8660130718953778E-3</v>
      </c>
      <c r="CH162" s="10">
        <f t="shared" si="140"/>
        <v>-2.7916666666666606E-3</v>
      </c>
      <c r="CI162" s="10">
        <f t="shared" si="141"/>
        <v>-3.4607843137255097E-3</v>
      </c>
      <c r="CJ162" s="10">
        <f t="shared" si="142"/>
        <v>-1.6764705882352459E-3</v>
      </c>
      <c r="CK162" s="10">
        <f t="shared" si="143"/>
        <v>-2.9403594771242269E-3</v>
      </c>
      <c r="CL162" s="10">
        <f t="shared" si="144"/>
        <v>-4.0849673202680269E-5</v>
      </c>
      <c r="CM162" s="10">
        <f t="shared" si="145"/>
        <v>-3.9068627450980758E-3</v>
      </c>
      <c r="CN162" s="10">
        <f t="shared" si="146"/>
        <v>-2.3455882352940946E-3</v>
      </c>
      <c r="CO162" s="10">
        <f t="shared" si="147"/>
        <v>-4.0849673202680269E-5</v>
      </c>
      <c r="CP162" s="10">
        <f t="shared" si="148"/>
        <v>-2.2712418300653778E-3</v>
      </c>
      <c r="CQ162" s="10">
        <f t="shared" si="149"/>
        <v>-4.0849673202680269E-5</v>
      </c>
      <c r="CR162" s="10">
        <f t="shared" si="150"/>
        <v>-2.6388888888896324E-4</v>
      </c>
      <c r="CS162" s="10">
        <f t="shared" si="151"/>
        <v>-1.0816993464052461E-3</v>
      </c>
      <c r="CT162" s="10">
        <f t="shared" si="152"/>
        <v>1.4460784313725834E-3</v>
      </c>
      <c r="CU162" s="10">
        <f t="shared" si="153"/>
        <v>-5.4681372549019239E-3</v>
      </c>
      <c r="CV162" s="10">
        <f t="shared" si="154"/>
        <v>-5.7655228758170564E-3</v>
      </c>
      <c r="CW162" s="10">
        <f t="shared" si="155"/>
        <v>-2.6429738562092266E-3</v>
      </c>
      <c r="CX162" s="10">
        <f t="shared" si="156"/>
        <v>-3.3823529411768018E-4</v>
      </c>
      <c r="CY162" s="10">
        <f t="shared" si="157"/>
        <v>2.3382352941175833E-3</v>
      </c>
      <c r="CZ162" s="10">
        <f t="shared" si="158"/>
        <v>1.3717320261437344E-3</v>
      </c>
      <c r="DA162" s="10">
        <f t="shared" si="159"/>
        <v>-8.5866013071896302E-4</v>
      </c>
      <c r="DB162" s="10">
        <f t="shared" si="160"/>
        <v>-3.1633986928105095E-3</v>
      </c>
      <c r="DC162" s="10">
        <f t="shared" si="161"/>
        <v>2.5653594771245171E-4</v>
      </c>
      <c r="DD162" s="10">
        <f t="shared" si="162"/>
        <v>-2.5686274509803776E-3</v>
      </c>
      <c r="DE162" s="10">
        <f t="shared" si="163"/>
        <v>1.6691176470588665E-3</v>
      </c>
      <c r="DF162" s="10">
        <f t="shared" si="164"/>
        <v>1.4460784313725834E-3</v>
      </c>
      <c r="DG162" s="10">
        <f t="shared" si="165"/>
        <v>-5.6168300653594901E-3</v>
      </c>
      <c r="DH162" s="10">
        <f t="shared" si="166"/>
        <v>9.2565359477116854E-4</v>
      </c>
      <c r="DI162" s="10">
        <f t="shared" si="167"/>
        <v>-2.7916666666666606E-3</v>
      </c>
      <c r="DJ162" s="10">
        <f t="shared" si="168"/>
        <v>1.8218954248360269E-4</v>
      </c>
      <c r="DK162" s="10">
        <f t="shared" si="169"/>
        <v>-7.8431372549024614E-4</v>
      </c>
      <c r="DL162" s="10">
        <f t="shared" si="170"/>
        <v>-2.0482026143790947E-3</v>
      </c>
      <c r="DM162" s="10">
        <f t="shared" si="171"/>
        <v>-6.7320261437909049E-3</v>
      </c>
      <c r="DN162" s="10">
        <f t="shared" si="172"/>
        <v>3.308823529411687E-4</v>
      </c>
      <c r="DO162" s="10">
        <f t="shared" si="173"/>
        <v>-2.7916666666666606E-3</v>
      </c>
      <c r="DP162" s="10">
        <f t="shared" si="174"/>
        <v>6.2826797385616862E-4</v>
      </c>
      <c r="DQ162" s="10">
        <f t="shared" si="175"/>
        <v>-3.3120915032679435E-3</v>
      </c>
      <c r="DR162" s="10">
        <f t="shared" si="176"/>
        <v>-5.612745098039631E-4</v>
      </c>
      <c r="DS162" s="10">
        <f t="shared" si="177"/>
        <v>-7.3267973856209045E-3</v>
      </c>
      <c r="DT162" s="10">
        <f t="shared" si="178"/>
        <v>-3.3864379084967925E-3</v>
      </c>
      <c r="DU162" s="10">
        <f t="shared" si="179"/>
        <v>-3.3823529411768018E-4</v>
      </c>
      <c r="DV162" s="10">
        <f t="shared" si="180"/>
        <v>-4.724673202614358E-3</v>
      </c>
      <c r="DW162" s="10">
        <f t="shared" si="181"/>
        <v>-4.5016339869280754E-3</v>
      </c>
    </row>
    <row r="163" spans="2:127" x14ac:dyDescent="0.45">
      <c r="B163" s="1">
        <v>24</v>
      </c>
      <c r="C163" s="1">
        <v>2310</v>
      </c>
      <c r="D163" s="7">
        <f t="shared" si="182"/>
        <v>13.538461538461538</v>
      </c>
      <c r="E163" s="1">
        <v>13.500999999999999</v>
      </c>
      <c r="F163" s="1">
        <v>13.538</v>
      </c>
      <c r="G163" s="1">
        <v>13.548</v>
      </c>
      <c r="H163" s="1">
        <v>13.457000000000001</v>
      </c>
      <c r="I163" s="1">
        <v>13.516</v>
      </c>
      <c r="J163" s="1">
        <v>13.519</v>
      </c>
      <c r="K163" s="1">
        <v>13.614000000000001</v>
      </c>
      <c r="L163" s="1">
        <v>13.494999999999999</v>
      </c>
      <c r="M163" s="1">
        <v>13.561999999999999</v>
      </c>
      <c r="N163" s="1">
        <v>13.539</v>
      </c>
      <c r="O163" s="1">
        <v>13.512</v>
      </c>
      <c r="P163" s="1">
        <v>13.51</v>
      </c>
      <c r="Q163" s="1">
        <v>13.552</v>
      </c>
      <c r="R163" s="1">
        <v>13.523999999999999</v>
      </c>
      <c r="S163" s="1">
        <v>13.523999999999999</v>
      </c>
      <c r="T163" s="1">
        <v>13.558</v>
      </c>
      <c r="U163" s="1">
        <v>13.545999999999999</v>
      </c>
      <c r="V163" s="1">
        <v>13.499000000000001</v>
      </c>
      <c r="W163" s="1">
        <v>13.500999999999999</v>
      </c>
      <c r="X163" s="1">
        <v>13.493</v>
      </c>
      <c r="Y163" s="1">
        <v>13.516</v>
      </c>
      <c r="Z163" s="1">
        <v>13.499000000000001</v>
      </c>
      <c r="AA163" s="1">
        <v>13.541</v>
      </c>
      <c r="AB163" s="1">
        <v>13.484</v>
      </c>
      <c r="AC163" s="1">
        <v>13.504</v>
      </c>
      <c r="AD163" s="1">
        <v>13.535</v>
      </c>
      <c r="AE163" s="1">
        <v>13.507</v>
      </c>
      <c r="AF163" s="1">
        <v>13.538</v>
      </c>
      <c r="AG163" s="1">
        <v>13.535</v>
      </c>
      <c r="AH163" s="1">
        <v>13.523999999999999</v>
      </c>
      <c r="AI163" s="1">
        <v>13.555999999999999</v>
      </c>
      <c r="AJ163" s="1">
        <v>13.465</v>
      </c>
      <c r="AK163" s="1">
        <v>13.459</v>
      </c>
      <c r="AL163" s="1">
        <v>13.500999999999999</v>
      </c>
      <c r="AM163" s="1">
        <v>13.532999999999999</v>
      </c>
      <c r="AN163" s="1">
        <v>13.566000000000001</v>
      </c>
      <c r="AO163" s="1">
        <v>13.557</v>
      </c>
      <c r="AP163" s="1">
        <v>13.523999999999999</v>
      </c>
      <c r="AQ163" s="1">
        <v>13.497</v>
      </c>
      <c r="AR163" s="1">
        <v>13.542</v>
      </c>
      <c r="AS163" s="1">
        <v>13.504</v>
      </c>
      <c r="AT163" s="1">
        <v>13.56</v>
      </c>
      <c r="AU163" s="1">
        <v>13.557</v>
      </c>
      <c r="AV163" s="1">
        <v>13.459</v>
      </c>
      <c r="AW163" s="1">
        <v>13.55</v>
      </c>
      <c r="AX163" s="1">
        <v>13.5</v>
      </c>
      <c r="AY163" s="1">
        <v>13.542</v>
      </c>
      <c r="AZ163" s="1">
        <v>13.526999999999999</v>
      </c>
      <c r="BA163" s="1">
        <v>13.507999999999999</v>
      </c>
      <c r="BB163" s="1">
        <v>13.45</v>
      </c>
      <c r="BC163" s="1">
        <v>13.542</v>
      </c>
      <c r="BD163" s="1">
        <v>13.500999999999999</v>
      </c>
      <c r="BE163" s="1">
        <v>13.545999999999999</v>
      </c>
      <c r="BF163" s="1">
        <v>13.494999999999999</v>
      </c>
      <c r="BG163" s="1">
        <v>13.526999999999999</v>
      </c>
      <c r="BH163" s="1">
        <v>13.439</v>
      </c>
      <c r="BI163" s="1">
        <v>13.494999999999999</v>
      </c>
      <c r="BJ163" s="1">
        <v>13.535</v>
      </c>
      <c r="BK163" s="1">
        <v>13.468999999999999</v>
      </c>
      <c r="BL163" s="1">
        <v>13.477</v>
      </c>
      <c r="BN163" s="9">
        <v>24</v>
      </c>
      <c r="BO163" s="9">
        <v>2310</v>
      </c>
      <c r="BP163" s="10">
        <f t="shared" si="122"/>
        <v>-2.7670454545454855E-3</v>
      </c>
      <c r="BQ163" s="10">
        <f t="shared" si="123"/>
        <v>-3.4090909090880103E-5</v>
      </c>
      <c r="BR163" s="10">
        <f t="shared" si="124"/>
        <v>7.0454545454546778E-4</v>
      </c>
      <c r="BS163" s="10">
        <f t="shared" si="125"/>
        <v>-6.0170454545453896E-3</v>
      </c>
      <c r="BT163" s="10">
        <f t="shared" si="126"/>
        <v>-1.659090909090898E-3</v>
      </c>
      <c r="BU163" s="10">
        <f t="shared" si="127"/>
        <v>-1.4374999999999805E-3</v>
      </c>
      <c r="BV163" s="10">
        <f t="shared" si="128"/>
        <v>5.579545454545521E-3</v>
      </c>
      <c r="BW163" s="10">
        <f t="shared" si="129"/>
        <v>-3.2102272727273203E-3</v>
      </c>
      <c r="BX163" s="10">
        <f t="shared" si="130"/>
        <v>1.7386363636363285E-3</v>
      </c>
      <c r="BY163" s="10">
        <f t="shared" si="131"/>
        <v>3.9772727272715322E-5</v>
      </c>
      <c r="BZ163" s="10">
        <f t="shared" si="132"/>
        <v>-1.9545454545454111E-3</v>
      </c>
      <c r="CA163" s="10">
        <f t="shared" si="133"/>
        <v>-2.102272727272733E-3</v>
      </c>
      <c r="CB163" s="10">
        <f t="shared" si="134"/>
        <v>9.9999999999998072E-4</v>
      </c>
      <c r="CC163" s="10">
        <f t="shared" si="135"/>
        <v>-1.0681818181818722E-3</v>
      </c>
      <c r="CD163" s="10">
        <f t="shared" si="136"/>
        <v>-1.0681818181818722E-3</v>
      </c>
      <c r="CE163" s="10">
        <f t="shared" si="137"/>
        <v>1.4431818181818157E-3</v>
      </c>
      <c r="CF163" s="10">
        <f t="shared" si="138"/>
        <v>5.5681818181814577E-4</v>
      </c>
      <c r="CG163" s="10">
        <f t="shared" si="139"/>
        <v>-2.9147727272726765E-3</v>
      </c>
      <c r="CH163" s="10">
        <f t="shared" si="140"/>
        <v>-2.7670454545454855E-3</v>
      </c>
      <c r="CI163" s="10">
        <f t="shared" si="141"/>
        <v>-3.3579545454545112E-3</v>
      </c>
      <c r="CJ163" s="10">
        <f t="shared" si="142"/>
        <v>-1.659090909090898E-3</v>
      </c>
      <c r="CK163" s="10">
        <f t="shared" si="143"/>
        <v>-2.9147727272726765E-3</v>
      </c>
      <c r="CL163" s="10">
        <f t="shared" si="144"/>
        <v>1.8750000000003738E-4</v>
      </c>
      <c r="CM163" s="10">
        <f t="shared" si="145"/>
        <v>-4.0227272727272638E-3</v>
      </c>
      <c r="CN163" s="10">
        <f t="shared" si="146"/>
        <v>-2.5454545454545677E-3</v>
      </c>
      <c r="CO163" s="10">
        <f t="shared" si="147"/>
        <v>-2.556818181817976E-4</v>
      </c>
      <c r="CP163" s="10">
        <f t="shared" si="148"/>
        <v>-2.3238636363636504E-3</v>
      </c>
      <c r="CQ163" s="10">
        <f t="shared" si="149"/>
        <v>-3.4090909090880103E-5</v>
      </c>
      <c r="CR163" s="10">
        <f t="shared" si="150"/>
        <v>-2.556818181817976E-4</v>
      </c>
      <c r="CS163" s="10">
        <f t="shared" si="151"/>
        <v>-1.0681818181818722E-3</v>
      </c>
      <c r="CT163" s="10">
        <f t="shared" si="152"/>
        <v>1.2954545454544936E-3</v>
      </c>
      <c r="CU163" s="10">
        <f t="shared" si="153"/>
        <v>-5.4261363636363639E-3</v>
      </c>
      <c r="CV163" s="10">
        <f t="shared" si="154"/>
        <v>-5.8693181818181995E-3</v>
      </c>
      <c r="CW163" s="10">
        <f t="shared" si="155"/>
        <v>-2.7670454545454855E-3</v>
      </c>
      <c r="CX163" s="10">
        <f t="shared" si="156"/>
        <v>-4.0340909090911967E-4</v>
      </c>
      <c r="CY163" s="10">
        <f t="shared" si="157"/>
        <v>2.0340909090909728E-3</v>
      </c>
      <c r="CZ163" s="10">
        <f t="shared" si="158"/>
        <v>1.3693181818182202E-3</v>
      </c>
      <c r="DA163" s="10">
        <f t="shared" si="159"/>
        <v>-1.0681818181818722E-3</v>
      </c>
      <c r="DB163" s="10">
        <f t="shared" si="160"/>
        <v>-3.0624999999999984E-3</v>
      </c>
      <c r="DC163" s="10">
        <f t="shared" si="161"/>
        <v>2.6136363636363282E-4</v>
      </c>
      <c r="DD163" s="10">
        <f t="shared" si="162"/>
        <v>-2.5454545454545677E-3</v>
      </c>
      <c r="DE163" s="10">
        <f t="shared" si="163"/>
        <v>1.5909090909091378E-3</v>
      </c>
      <c r="DF163" s="10">
        <f t="shared" si="164"/>
        <v>1.3693181818182202E-3</v>
      </c>
      <c r="DG163" s="10">
        <f t="shared" si="165"/>
        <v>-5.8693181818181995E-3</v>
      </c>
      <c r="DH163" s="10">
        <f t="shared" si="166"/>
        <v>8.522727272727899E-4</v>
      </c>
      <c r="DI163" s="10">
        <f t="shared" si="167"/>
        <v>-2.840909090909081E-3</v>
      </c>
      <c r="DJ163" s="10">
        <f t="shared" si="168"/>
        <v>2.6136363636363282E-4</v>
      </c>
      <c r="DK163" s="10">
        <f t="shared" si="169"/>
        <v>-8.4659090909095468E-4</v>
      </c>
      <c r="DL163" s="10">
        <f t="shared" si="170"/>
        <v>-2.2500000000000549E-3</v>
      </c>
      <c r="DM163" s="10">
        <f t="shared" si="171"/>
        <v>-6.5340909090909512E-3</v>
      </c>
      <c r="DN163" s="10">
        <f t="shared" si="172"/>
        <v>2.6136363636363282E-4</v>
      </c>
      <c r="DO163" s="10">
        <f t="shared" si="173"/>
        <v>-2.7670454545454855E-3</v>
      </c>
      <c r="DP163" s="10">
        <f t="shared" si="174"/>
        <v>5.5681818181814577E-4</v>
      </c>
      <c r="DQ163" s="10">
        <f t="shared" si="175"/>
        <v>-3.2102272727273203E-3</v>
      </c>
      <c r="DR163" s="10">
        <f t="shared" si="176"/>
        <v>-8.4659090909095468E-4</v>
      </c>
      <c r="DS163" s="10">
        <f t="shared" si="177"/>
        <v>-7.3465909090908946E-3</v>
      </c>
      <c r="DT163" s="10">
        <f t="shared" si="178"/>
        <v>-3.2102272727273203E-3</v>
      </c>
      <c r="DU163" s="10">
        <f t="shared" si="179"/>
        <v>-2.556818181817976E-4</v>
      </c>
      <c r="DV163" s="10">
        <f t="shared" si="180"/>
        <v>-5.130681818181851E-3</v>
      </c>
      <c r="DW163" s="10">
        <f t="shared" si="181"/>
        <v>-4.5397727272726944E-3</v>
      </c>
    </row>
    <row r="164" spans="2:127" x14ac:dyDescent="0.45">
      <c r="B164" s="1">
        <v>24</v>
      </c>
      <c r="C164" s="1">
        <v>2325</v>
      </c>
      <c r="D164" s="7">
        <f t="shared" si="182"/>
        <v>13.626373626373626</v>
      </c>
      <c r="E164" s="1">
        <v>13.587999999999999</v>
      </c>
      <c r="F164" s="1">
        <v>13.625999999999999</v>
      </c>
      <c r="G164" s="1">
        <v>13.634</v>
      </c>
      <c r="H164" s="1">
        <v>13.542999999999999</v>
      </c>
      <c r="I164" s="1">
        <v>13.603999999999999</v>
      </c>
      <c r="J164" s="1">
        <v>13.606</v>
      </c>
      <c r="K164" s="1">
        <v>13.702999999999999</v>
      </c>
      <c r="L164" s="1">
        <v>13.587999999999999</v>
      </c>
      <c r="M164" s="1">
        <v>13.653</v>
      </c>
      <c r="N164" s="1">
        <v>13.628</v>
      </c>
      <c r="O164" s="1">
        <v>13.599</v>
      </c>
      <c r="P164" s="1">
        <v>13.598000000000001</v>
      </c>
      <c r="Q164" s="1">
        <v>13.638</v>
      </c>
      <c r="R164" s="1">
        <v>13.611000000000001</v>
      </c>
      <c r="S164" s="1">
        <v>13.61</v>
      </c>
      <c r="T164" s="1">
        <v>13.647</v>
      </c>
      <c r="U164" s="1">
        <v>13.637</v>
      </c>
      <c r="V164" s="1">
        <v>13.587</v>
      </c>
      <c r="W164" s="1">
        <v>13.59</v>
      </c>
      <c r="X164" s="1">
        <v>13.58</v>
      </c>
      <c r="Y164" s="1">
        <v>13.609</v>
      </c>
      <c r="Z164" s="1">
        <v>13.587999999999999</v>
      </c>
      <c r="AA164" s="1">
        <v>13.632</v>
      </c>
      <c r="AB164" s="1">
        <v>13.573</v>
      </c>
      <c r="AC164" s="1">
        <v>13.59</v>
      </c>
      <c r="AD164" s="1">
        <v>13.622999999999999</v>
      </c>
      <c r="AE164" s="1">
        <v>13.593999999999999</v>
      </c>
      <c r="AF164" s="1">
        <v>13.625999999999999</v>
      </c>
      <c r="AG164" s="1">
        <v>13.622</v>
      </c>
      <c r="AH164" s="1">
        <v>13.615</v>
      </c>
      <c r="AI164" s="1">
        <v>13.645</v>
      </c>
      <c r="AJ164" s="1">
        <v>13.548999999999999</v>
      </c>
      <c r="AK164" s="1">
        <v>13.55</v>
      </c>
      <c r="AL164" s="1">
        <v>13.587999999999999</v>
      </c>
      <c r="AM164" s="1">
        <v>13.622</v>
      </c>
      <c r="AN164" s="1">
        <v>13.656000000000001</v>
      </c>
      <c r="AO164" s="1">
        <v>13.645</v>
      </c>
      <c r="AP164" s="1">
        <v>13.615</v>
      </c>
      <c r="AQ164" s="1">
        <v>13.585000000000001</v>
      </c>
      <c r="AR164" s="1">
        <v>13.63</v>
      </c>
      <c r="AS164" s="1">
        <v>13.590999999999999</v>
      </c>
      <c r="AT164" s="1">
        <v>13.648999999999999</v>
      </c>
      <c r="AU164" s="1">
        <v>13.645</v>
      </c>
      <c r="AV164" s="1">
        <v>13.545999999999999</v>
      </c>
      <c r="AW164" s="1">
        <v>13.637</v>
      </c>
      <c r="AX164" s="1">
        <v>13.59</v>
      </c>
      <c r="AY164" s="1">
        <v>13.634</v>
      </c>
      <c r="AZ164" s="1">
        <v>13.614000000000001</v>
      </c>
      <c r="BA164" s="1">
        <v>13.596</v>
      </c>
      <c r="BB164" s="1">
        <v>13.538</v>
      </c>
      <c r="BC164" s="1">
        <v>13.63</v>
      </c>
      <c r="BD164" s="1">
        <v>13.59</v>
      </c>
      <c r="BE164" s="1">
        <v>13.634</v>
      </c>
      <c r="BF164" s="1">
        <v>13.584</v>
      </c>
      <c r="BG164" s="1">
        <v>13.617000000000001</v>
      </c>
      <c r="BH164" s="1">
        <v>13.529</v>
      </c>
      <c r="BI164" s="1">
        <v>13.583</v>
      </c>
      <c r="BJ164" s="1">
        <v>13.625</v>
      </c>
      <c r="BK164" s="1">
        <v>13.56</v>
      </c>
      <c r="BL164" s="1">
        <v>13.565</v>
      </c>
      <c r="BN164" s="9">
        <v>24</v>
      </c>
      <c r="BO164" s="9">
        <v>2325</v>
      </c>
      <c r="BP164" s="10">
        <f t="shared" si="122"/>
        <v>-2.8161290322580913E-3</v>
      </c>
      <c r="BQ164" s="10">
        <f t="shared" si="123"/>
        <v>-2.7419354838717402E-5</v>
      </c>
      <c r="BR164" s="10">
        <f t="shared" si="124"/>
        <v>5.5967741935489669E-4</v>
      </c>
      <c r="BS164" s="10">
        <f t="shared" si="125"/>
        <v>-6.1185483870967953E-3</v>
      </c>
      <c r="BT164" s="10">
        <f t="shared" si="126"/>
        <v>-1.6419354838709932E-3</v>
      </c>
      <c r="BU164" s="10">
        <f t="shared" si="127"/>
        <v>-1.4951612903225571E-3</v>
      </c>
      <c r="BV164" s="10">
        <f t="shared" si="128"/>
        <v>5.6233870967741829E-3</v>
      </c>
      <c r="BW164" s="10">
        <f t="shared" si="129"/>
        <v>-2.8161290322580913E-3</v>
      </c>
      <c r="BX164" s="10">
        <f t="shared" si="130"/>
        <v>1.9540322580645837E-3</v>
      </c>
      <c r="BY164" s="10">
        <f t="shared" si="131"/>
        <v>1.1935483870971871E-4</v>
      </c>
      <c r="BZ164" s="10">
        <f t="shared" si="132"/>
        <v>-2.0088709677418882E-3</v>
      </c>
      <c r="CA164" s="10">
        <f t="shared" si="133"/>
        <v>-2.082258064516041E-3</v>
      </c>
      <c r="CB164" s="10">
        <f t="shared" si="134"/>
        <v>8.5322580645163853E-4</v>
      </c>
      <c r="CC164" s="10">
        <f t="shared" si="135"/>
        <v>-1.1282258064515319E-3</v>
      </c>
      <c r="CD164" s="10">
        <f t="shared" si="136"/>
        <v>-1.2016129032258152E-3</v>
      </c>
      <c r="CE164" s="10">
        <f t="shared" si="137"/>
        <v>1.5137096774194055E-3</v>
      </c>
      <c r="CF164" s="10">
        <f t="shared" si="138"/>
        <v>7.7983870967748565E-4</v>
      </c>
      <c r="CG164" s="10">
        <f t="shared" si="139"/>
        <v>-2.8895161290322441E-3</v>
      </c>
      <c r="CH164" s="10">
        <f t="shared" si="140"/>
        <v>-2.6693548387096552E-3</v>
      </c>
      <c r="CI164" s="10">
        <f t="shared" si="141"/>
        <v>-3.403225806451575E-3</v>
      </c>
      <c r="CJ164" s="10">
        <f t="shared" si="142"/>
        <v>-1.2749999999999682E-3</v>
      </c>
      <c r="CK164" s="10">
        <f t="shared" si="143"/>
        <v>-2.8161290322580913E-3</v>
      </c>
      <c r="CL164" s="10">
        <f t="shared" si="144"/>
        <v>4.1290322580646061E-4</v>
      </c>
      <c r="CM164" s="10">
        <f t="shared" si="145"/>
        <v>-3.9169354838709059E-3</v>
      </c>
      <c r="CN164" s="10">
        <f t="shared" si="146"/>
        <v>-2.6693548387096552E-3</v>
      </c>
      <c r="CO164" s="10">
        <f t="shared" si="147"/>
        <v>-2.4758064516130639E-4</v>
      </c>
      <c r="CP164" s="10">
        <f t="shared" si="148"/>
        <v>-2.3758064516129131E-3</v>
      </c>
      <c r="CQ164" s="10">
        <f t="shared" si="149"/>
        <v>-2.7419354838717402E-5</v>
      </c>
      <c r="CR164" s="10">
        <f t="shared" si="150"/>
        <v>-3.2096774193545927E-4</v>
      </c>
      <c r="CS164" s="10">
        <f t="shared" si="151"/>
        <v>-8.3467741935479018E-4</v>
      </c>
      <c r="CT164" s="10">
        <f t="shared" si="152"/>
        <v>1.3669354838709694E-3</v>
      </c>
      <c r="CU164" s="10">
        <f t="shared" si="153"/>
        <v>-5.6782258064516176E-3</v>
      </c>
      <c r="CV164" s="10">
        <f t="shared" si="154"/>
        <v>-5.6048387096773343E-3</v>
      </c>
      <c r="CW164" s="10">
        <f t="shared" si="155"/>
        <v>-2.8161290322580913E-3</v>
      </c>
      <c r="CX164" s="10">
        <f t="shared" si="156"/>
        <v>-3.2096774193545927E-4</v>
      </c>
      <c r="CY164" s="10">
        <f t="shared" si="157"/>
        <v>2.1741935483871725E-3</v>
      </c>
      <c r="CZ164" s="10">
        <f t="shared" si="158"/>
        <v>1.3669354838709694E-3</v>
      </c>
      <c r="DA164" s="10">
        <f t="shared" si="159"/>
        <v>-8.3467741935479018E-4</v>
      </c>
      <c r="DB164" s="10">
        <f t="shared" si="160"/>
        <v>-3.0362903225805496E-3</v>
      </c>
      <c r="DC164" s="10">
        <f t="shared" si="161"/>
        <v>2.6612903225815485E-4</v>
      </c>
      <c r="DD164" s="10">
        <f t="shared" si="162"/>
        <v>-2.595967741935502E-3</v>
      </c>
      <c r="DE164" s="10">
        <f t="shared" si="163"/>
        <v>1.6604838709677113E-3</v>
      </c>
      <c r="DF164" s="10">
        <f t="shared" si="164"/>
        <v>1.3669354838709694E-3</v>
      </c>
      <c r="DG164" s="10">
        <f t="shared" si="165"/>
        <v>-5.8983870967742064E-3</v>
      </c>
      <c r="DH164" s="10">
        <f t="shared" si="166"/>
        <v>7.7983870967748565E-4</v>
      </c>
      <c r="DI164" s="10">
        <f t="shared" si="167"/>
        <v>-2.6693548387096552E-3</v>
      </c>
      <c r="DJ164" s="10">
        <f t="shared" si="168"/>
        <v>5.5967741935489669E-4</v>
      </c>
      <c r="DK164" s="10">
        <f t="shared" si="169"/>
        <v>-9.0806451612894306E-4</v>
      </c>
      <c r="DL164" s="10">
        <f t="shared" si="170"/>
        <v>-2.2290322580644771E-3</v>
      </c>
      <c r="DM164" s="10">
        <f t="shared" si="171"/>
        <v>-6.4854838709676906E-3</v>
      </c>
      <c r="DN164" s="10">
        <f t="shared" si="172"/>
        <v>2.6612903225815485E-4</v>
      </c>
      <c r="DO164" s="10">
        <f t="shared" si="173"/>
        <v>-2.6693548387096552E-3</v>
      </c>
      <c r="DP164" s="10">
        <f t="shared" si="174"/>
        <v>5.5967741935489669E-4</v>
      </c>
      <c r="DQ164" s="10">
        <f t="shared" si="175"/>
        <v>-3.1096774193548329E-3</v>
      </c>
      <c r="DR164" s="10">
        <f t="shared" si="176"/>
        <v>-6.8790322580635399E-4</v>
      </c>
      <c r="DS164" s="10">
        <f t="shared" si="177"/>
        <v>-7.1459677419354571E-3</v>
      </c>
      <c r="DT164" s="10">
        <f t="shared" si="178"/>
        <v>-3.1830645161289857E-3</v>
      </c>
      <c r="DU164" s="10">
        <f t="shared" si="179"/>
        <v>-1.0080645161287028E-4</v>
      </c>
      <c r="DV164" s="10">
        <f t="shared" si="180"/>
        <v>-4.8709677419354145E-3</v>
      </c>
      <c r="DW164" s="10">
        <f t="shared" si="181"/>
        <v>-4.5040322580645201E-3</v>
      </c>
    </row>
    <row r="165" spans="2:127" x14ac:dyDescent="0.45">
      <c r="B165" s="1">
        <v>24</v>
      </c>
      <c r="C165" s="1">
        <v>2340</v>
      </c>
      <c r="D165" s="7">
        <f t="shared" si="182"/>
        <v>13.714285714285714</v>
      </c>
      <c r="E165" s="1">
        <v>13.675000000000001</v>
      </c>
      <c r="F165" s="1">
        <v>13.712999999999999</v>
      </c>
      <c r="G165" s="1">
        <v>13.721</v>
      </c>
      <c r="H165" s="1">
        <v>13.63</v>
      </c>
      <c r="I165" s="1">
        <v>13.69</v>
      </c>
      <c r="J165" s="1">
        <v>13.694000000000001</v>
      </c>
      <c r="K165" s="1">
        <v>13.792</v>
      </c>
      <c r="L165" s="1">
        <v>13.673999999999999</v>
      </c>
      <c r="M165" s="1">
        <v>13.741</v>
      </c>
      <c r="N165" s="1">
        <v>13.72</v>
      </c>
      <c r="O165" s="1">
        <v>13.686999999999999</v>
      </c>
      <c r="P165" s="1">
        <v>13.685</v>
      </c>
      <c r="Q165" s="1">
        <v>13.724</v>
      </c>
      <c r="R165" s="1">
        <v>13.701000000000001</v>
      </c>
      <c r="S165" s="1">
        <v>13.698</v>
      </c>
      <c r="T165" s="1">
        <v>13.734999999999999</v>
      </c>
      <c r="U165" s="1">
        <v>13.727</v>
      </c>
      <c r="V165" s="1">
        <v>13.675000000000001</v>
      </c>
      <c r="W165" s="1">
        <v>13.679</v>
      </c>
      <c r="X165" s="1">
        <v>13.661</v>
      </c>
      <c r="Y165" s="1">
        <v>13.69</v>
      </c>
      <c r="Z165" s="1">
        <v>13.675000000000001</v>
      </c>
      <c r="AA165" s="1">
        <v>13.718</v>
      </c>
      <c r="AB165" s="1">
        <v>13.66</v>
      </c>
      <c r="AC165" s="1">
        <v>13.679</v>
      </c>
      <c r="AD165" s="1">
        <v>13.71</v>
      </c>
      <c r="AE165" s="1">
        <v>13.682</v>
      </c>
      <c r="AF165" s="1">
        <v>13.715999999999999</v>
      </c>
      <c r="AG165" s="1">
        <v>13.71</v>
      </c>
      <c r="AH165" s="1">
        <v>13.702</v>
      </c>
      <c r="AI165" s="1">
        <v>13.734999999999999</v>
      </c>
      <c r="AJ165" s="1">
        <v>13.637</v>
      </c>
      <c r="AK165" s="1">
        <v>13.638</v>
      </c>
      <c r="AL165" s="1">
        <v>13.676</v>
      </c>
      <c r="AM165" s="1">
        <v>13.709</v>
      </c>
      <c r="AN165" s="1">
        <v>13.747999999999999</v>
      </c>
      <c r="AO165" s="1">
        <v>13.731999999999999</v>
      </c>
      <c r="AP165" s="1">
        <v>13.702</v>
      </c>
      <c r="AQ165" s="1">
        <v>13.670999999999999</v>
      </c>
      <c r="AR165" s="1">
        <v>13.72</v>
      </c>
      <c r="AS165" s="1">
        <v>13.676</v>
      </c>
      <c r="AT165" s="1">
        <v>13.737</v>
      </c>
      <c r="AU165" s="1">
        <v>13.734999999999999</v>
      </c>
      <c r="AV165" s="1">
        <v>13.632</v>
      </c>
      <c r="AW165" s="1">
        <v>13.725</v>
      </c>
      <c r="AX165" s="1">
        <v>13.679</v>
      </c>
      <c r="AY165" s="1">
        <v>13.722</v>
      </c>
      <c r="AZ165" s="1">
        <v>13.702</v>
      </c>
      <c r="BA165" s="1">
        <v>13.682</v>
      </c>
      <c r="BB165" s="1">
        <v>13.628</v>
      </c>
      <c r="BC165" s="1">
        <v>13.718</v>
      </c>
      <c r="BD165" s="1">
        <v>13.678000000000001</v>
      </c>
      <c r="BE165" s="1">
        <v>13.722</v>
      </c>
      <c r="BF165" s="1">
        <v>13.670999999999999</v>
      </c>
      <c r="BG165" s="1">
        <v>13.702999999999999</v>
      </c>
      <c r="BH165" s="1">
        <v>13.613</v>
      </c>
      <c r="BI165" s="1">
        <v>13.67</v>
      </c>
      <c r="BJ165" s="1">
        <v>13.712999999999999</v>
      </c>
      <c r="BK165" s="1">
        <v>13.648</v>
      </c>
      <c r="BL165" s="1">
        <v>13.651999999999999</v>
      </c>
      <c r="BN165" s="9">
        <v>24</v>
      </c>
      <c r="BO165" s="9">
        <v>2340</v>
      </c>
      <c r="BP165" s="10">
        <f t="shared" si="122"/>
        <v>-2.864583333333226E-3</v>
      </c>
      <c r="BQ165" s="10">
        <f t="shared" si="123"/>
        <v>-9.3750000000003553E-5</v>
      </c>
      <c r="BR165" s="10">
        <f t="shared" si="124"/>
        <v>4.895833333333951E-4</v>
      </c>
      <c r="BS165" s="10">
        <f t="shared" si="125"/>
        <v>-6.1458333333332211E-3</v>
      </c>
      <c r="BT165" s="10">
        <f t="shared" si="126"/>
        <v>-1.7708333333333142E-3</v>
      </c>
      <c r="BU165" s="10">
        <f t="shared" si="127"/>
        <v>-1.4791666666665502E-3</v>
      </c>
      <c r="BV165" s="10">
        <f t="shared" si="128"/>
        <v>5.6666666666667087E-3</v>
      </c>
      <c r="BW165" s="10">
        <f t="shared" si="129"/>
        <v>-2.9374999999999818E-3</v>
      </c>
      <c r="BX165" s="10">
        <f t="shared" si="130"/>
        <v>1.9479166666666974E-3</v>
      </c>
      <c r="BY165" s="10">
        <f t="shared" si="131"/>
        <v>4.1666666666676883E-4</v>
      </c>
      <c r="BZ165" s="10">
        <f t="shared" si="132"/>
        <v>-1.9895833333333224E-3</v>
      </c>
      <c r="CA165" s="10">
        <f t="shared" si="133"/>
        <v>-2.135416666666575E-3</v>
      </c>
      <c r="CB165" s="10">
        <f t="shared" si="134"/>
        <v>7.0833333333340342E-4</v>
      </c>
      <c r="CC165" s="10">
        <f t="shared" si="135"/>
        <v>-9.6874999999990719E-4</v>
      </c>
      <c r="CD165" s="10">
        <f t="shared" si="136"/>
        <v>-1.1874999999999156E-3</v>
      </c>
      <c r="CE165" s="10">
        <f t="shared" si="137"/>
        <v>1.5104166666666807E-3</v>
      </c>
      <c r="CF165" s="10">
        <f t="shared" si="138"/>
        <v>9.2708333333341164E-4</v>
      </c>
      <c r="CG165" s="10">
        <f t="shared" si="139"/>
        <v>-2.864583333333226E-3</v>
      </c>
      <c r="CH165" s="10">
        <f t="shared" si="140"/>
        <v>-2.5729166666665915E-3</v>
      </c>
      <c r="CI165" s="10">
        <f t="shared" si="141"/>
        <v>-3.8854166666666412E-3</v>
      </c>
      <c r="CJ165" s="10">
        <f t="shared" si="142"/>
        <v>-1.7708333333333142E-3</v>
      </c>
      <c r="CK165" s="10">
        <f t="shared" si="143"/>
        <v>-2.864583333333226E-3</v>
      </c>
      <c r="CL165" s="10">
        <f t="shared" si="144"/>
        <v>2.7083333333338677E-4</v>
      </c>
      <c r="CM165" s="10">
        <f t="shared" si="145"/>
        <v>-3.9583333333332677E-3</v>
      </c>
      <c r="CN165" s="10">
        <f t="shared" si="146"/>
        <v>-2.5729166666665915E-3</v>
      </c>
      <c r="CO165" s="10">
        <f t="shared" si="147"/>
        <v>-3.1249999999988232E-4</v>
      </c>
      <c r="CP165" s="10">
        <f t="shared" si="148"/>
        <v>-2.3541666666665835E-3</v>
      </c>
      <c r="CQ165" s="10">
        <f t="shared" si="149"/>
        <v>1.2500000000000475E-4</v>
      </c>
      <c r="CR165" s="10">
        <f t="shared" si="150"/>
        <v>-3.1249999999988232E-4</v>
      </c>
      <c r="CS165" s="10">
        <f t="shared" si="151"/>
        <v>-8.9583333333328097E-4</v>
      </c>
      <c r="CT165" s="10">
        <f t="shared" si="152"/>
        <v>1.5104166666666807E-3</v>
      </c>
      <c r="CU165" s="10">
        <f t="shared" si="153"/>
        <v>-5.6354166666665786E-3</v>
      </c>
      <c r="CV165" s="10">
        <f t="shared" si="154"/>
        <v>-5.562499999999952E-3</v>
      </c>
      <c r="CW165" s="10">
        <f t="shared" si="155"/>
        <v>-2.7916666666665999E-3</v>
      </c>
      <c r="CX165" s="10">
        <f t="shared" si="156"/>
        <v>-3.854166666666381E-4</v>
      </c>
      <c r="CY165" s="10">
        <f t="shared" si="157"/>
        <v>2.4583333333333401E-3</v>
      </c>
      <c r="CZ165" s="10">
        <f t="shared" si="158"/>
        <v>1.2916666666666725E-3</v>
      </c>
      <c r="DA165" s="10">
        <f t="shared" si="159"/>
        <v>-8.9583333333328097E-4</v>
      </c>
      <c r="DB165" s="10">
        <f t="shared" si="160"/>
        <v>-3.1562499999999902E-3</v>
      </c>
      <c r="DC165" s="10">
        <f t="shared" si="161"/>
        <v>4.1666666666676883E-4</v>
      </c>
      <c r="DD165" s="10">
        <f t="shared" si="162"/>
        <v>-2.7916666666665999E-3</v>
      </c>
      <c r="DE165" s="10">
        <f t="shared" si="163"/>
        <v>1.6562500000000628E-3</v>
      </c>
      <c r="DF165" s="10">
        <f t="shared" si="164"/>
        <v>1.5104166666666807E-3</v>
      </c>
      <c r="DG165" s="10">
        <f t="shared" si="165"/>
        <v>-5.9999999999999689E-3</v>
      </c>
      <c r="DH165" s="10">
        <f t="shared" si="166"/>
        <v>7.8125000000002964E-4</v>
      </c>
      <c r="DI165" s="10">
        <f t="shared" si="167"/>
        <v>-2.5729166666665915E-3</v>
      </c>
      <c r="DJ165" s="10">
        <f t="shared" si="168"/>
        <v>5.6250000000002132E-4</v>
      </c>
      <c r="DK165" s="10">
        <f t="shared" si="169"/>
        <v>-8.9583333333328097E-4</v>
      </c>
      <c r="DL165" s="10">
        <f t="shared" si="170"/>
        <v>-2.3541666666665835E-3</v>
      </c>
      <c r="DM165" s="10">
        <f t="shared" si="171"/>
        <v>-6.2916666666666034E-3</v>
      </c>
      <c r="DN165" s="10">
        <f t="shared" si="172"/>
        <v>2.7083333333338677E-4</v>
      </c>
      <c r="DO165" s="10">
        <f t="shared" si="173"/>
        <v>-2.645833333333218E-3</v>
      </c>
      <c r="DP165" s="10">
        <f t="shared" si="174"/>
        <v>5.6250000000002132E-4</v>
      </c>
      <c r="DQ165" s="10">
        <f t="shared" si="175"/>
        <v>-3.1562499999999902E-3</v>
      </c>
      <c r="DR165" s="10">
        <f t="shared" si="176"/>
        <v>-8.2291666666665475E-4</v>
      </c>
      <c r="DS165" s="10">
        <f t="shared" si="177"/>
        <v>-7.3854166666666443E-3</v>
      </c>
      <c r="DT165" s="10">
        <f t="shared" si="178"/>
        <v>-3.2291666666666163E-3</v>
      </c>
      <c r="DU165" s="10">
        <f t="shared" si="179"/>
        <v>-9.3750000000003553E-5</v>
      </c>
      <c r="DV165" s="10">
        <f t="shared" si="180"/>
        <v>-4.8333333333333006E-3</v>
      </c>
      <c r="DW165" s="10">
        <f t="shared" si="181"/>
        <v>-4.5416666666666661E-3</v>
      </c>
    </row>
    <row r="166" spans="2:127" x14ac:dyDescent="0.45">
      <c r="B166" s="1">
        <v>24</v>
      </c>
      <c r="C166" s="1">
        <v>2355</v>
      </c>
      <c r="D166" s="7">
        <f t="shared" si="182"/>
        <v>13.802197802197803</v>
      </c>
      <c r="E166" s="1">
        <v>13.76</v>
      </c>
      <c r="F166" s="1">
        <v>13.8</v>
      </c>
      <c r="G166" s="1">
        <v>13.811999999999999</v>
      </c>
      <c r="H166" s="1">
        <v>13.715999999999999</v>
      </c>
      <c r="I166" s="1">
        <v>13.778</v>
      </c>
      <c r="J166" s="1">
        <v>13.782</v>
      </c>
      <c r="K166" s="1">
        <v>13.88</v>
      </c>
      <c r="L166" s="1">
        <v>13.762</v>
      </c>
      <c r="M166" s="1">
        <v>13.831</v>
      </c>
      <c r="N166" s="1">
        <v>13.811</v>
      </c>
      <c r="O166" s="1">
        <v>13.775</v>
      </c>
      <c r="P166" s="1">
        <v>13.771000000000001</v>
      </c>
      <c r="Q166" s="1">
        <v>13.811</v>
      </c>
      <c r="R166" s="1">
        <v>13.79</v>
      </c>
      <c r="S166" s="1">
        <v>13.788</v>
      </c>
      <c r="T166" s="1">
        <v>13.823</v>
      </c>
      <c r="U166" s="1">
        <v>13.815</v>
      </c>
      <c r="V166" s="1">
        <v>13.762</v>
      </c>
      <c r="W166" s="1">
        <v>13.766999999999999</v>
      </c>
      <c r="X166" s="1">
        <v>13.750999999999999</v>
      </c>
      <c r="Y166" s="1">
        <v>13.776999999999999</v>
      </c>
      <c r="Z166" s="1">
        <v>13.762</v>
      </c>
      <c r="AA166" s="1">
        <v>13.808</v>
      </c>
      <c r="AB166" s="1">
        <v>13.75</v>
      </c>
      <c r="AC166" s="1">
        <v>13.769</v>
      </c>
      <c r="AD166" s="1">
        <v>13.798</v>
      </c>
      <c r="AE166" s="1">
        <v>13.771000000000001</v>
      </c>
      <c r="AF166" s="1">
        <v>13.804</v>
      </c>
      <c r="AG166" s="1">
        <v>13.797000000000001</v>
      </c>
      <c r="AH166" s="1">
        <v>13.789</v>
      </c>
      <c r="AI166" s="1">
        <v>13.824</v>
      </c>
      <c r="AJ166" s="1">
        <v>13.72</v>
      </c>
      <c r="AK166" s="1">
        <v>13.727</v>
      </c>
      <c r="AL166" s="1">
        <v>13.766</v>
      </c>
      <c r="AM166" s="1">
        <v>13.797000000000001</v>
      </c>
      <c r="AN166" s="1">
        <v>13.839</v>
      </c>
      <c r="AO166" s="1">
        <v>13.819000000000001</v>
      </c>
      <c r="AP166" s="1">
        <v>13.792</v>
      </c>
      <c r="AQ166" s="1">
        <v>13.757999999999999</v>
      </c>
      <c r="AR166" s="1">
        <v>13.808999999999999</v>
      </c>
      <c r="AS166" s="1">
        <v>13.763</v>
      </c>
      <c r="AT166" s="1">
        <v>13.824</v>
      </c>
      <c r="AU166" s="1">
        <v>13.823</v>
      </c>
      <c r="AV166" s="1">
        <v>13.721</v>
      </c>
      <c r="AW166" s="1">
        <v>13.815</v>
      </c>
      <c r="AX166" s="1">
        <v>13.766</v>
      </c>
      <c r="AY166" s="1">
        <v>13.811</v>
      </c>
      <c r="AZ166" s="1">
        <v>13.789</v>
      </c>
      <c r="BA166" s="1">
        <v>13.766999999999999</v>
      </c>
      <c r="BB166" s="1">
        <v>13.714</v>
      </c>
      <c r="BC166" s="1">
        <v>13.805</v>
      </c>
      <c r="BD166" s="1">
        <v>13.766</v>
      </c>
      <c r="BE166" s="1">
        <v>13.811</v>
      </c>
      <c r="BF166" s="1">
        <v>13.759</v>
      </c>
      <c r="BG166" s="1">
        <v>13.792999999999999</v>
      </c>
      <c r="BH166" s="1">
        <v>13.699</v>
      </c>
      <c r="BI166" s="1">
        <v>13.759</v>
      </c>
      <c r="BJ166" s="1">
        <v>13.8</v>
      </c>
      <c r="BK166" s="1">
        <v>13.744</v>
      </c>
      <c r="BL166" s="1">
        <v>13.74</v>
      </c>
      <c r="BN166" s="9">
        <v>24</v>
      </c>
      <c r="BO166" s="9">
        <v>2355</v>
      </c>
      <c r="BP166" s="10">
        <f t="shared" si="122"/>
        <v>-3.0573248407643975E-3</v>
      </c>
      <c r="BQ166" s="10">
        <f t="shared" si="123"/>
        <v>-1.5923566878980834E-4</v>
      </c>
      <c r="BR166" s="10">
        <f t="shared" si="124"/>
        <v>7.1019108280245249E-4</v>
      </c>
      <c r="BS166" s="10">
        <f t="shared" si="125"/>
        <v>-6.2452229299364065E-3</v>
      </c>
      <c r="BT166" s="10">
        <f t="shared" si="126"/>
        <v>-1.7531847133758129E-3</v>
      </c>
      <c r="BU166" s="10">
        <f t="shared" si="127"/>
        <v>-1.4633757961783928E-3</v>
      </c>
      <c r="BV166" s="10">
        <f t="shared" si="128"/>
        <v>5.6369426751592408E-3</v>
      </c>
      <c r="BW166" s="10">
        <f t="shared" si="129"/>
        <v>-2.9124203821656227E-3</v>
      </c>
      <c r="BX166" s="10">
        <f t="shared" si="130"/>
        <v>2.0867834394903599E-3</v>
      </c>
      <c r="BY166" s="10">
        <f t="shared" si="131"/>
        <v>6.3773885350312961E-4</v>
      </c>
      <c r="BZ166" s="10">
        <f t="shared" si="132"/>
        <v>-1.9705414012739105E-3</v>
      </c>
      <c r="CA166" s="10">
        <f t="shared" si="133"/>
        <v>-2.2603503184713309E-3</v>
      </c>
      <c r="CB166" s="10">
        <f t="shared" si="134"/>
        <v>6.3773885350312961E-4</v>
      </c>
      <c r="CC166" s="10">
        <f t="shared" si="135"/>
        <v>-8.8375796178355209E-4</v>
      </c>
      <c r="CD166" s="10">
        <f t="shared" si="136"/>
        <v>-1.0286624203821979E-3</v>
      </c>
      <c r="CE166" s="10">
        <f t="shared" si="137"/>
        <v>1.5071656050955192E-3</v>
      </c>
      <c r="CF166" s="10">
        <f t="shared" si="138"/>
        <v>9.2754777070054996E-4</v>
      </c>
      <c r="CG166" s="10">
        <f t="shared" si="139"/>
        <v>-2.9124203821656227E-3</v>
      </c>
      <c r="CH166" s="10">
        <f t="shared" si="140"/>
        <v>-2.5501592356688796E-3</v>
      </c>
      <c r="CI166" s="10">
        <f t="shared" si="141"/>
        <v>-3.7093949044586898E-3</v>
      </c>
      <c r="CJ166" s="10">
        <f t="shared" si="142"/>
        <v>-1.8256369426752647E-3</v>
      </c>
      <c r="CK166" s="10">
        <f t="shared" si="143"/>
        <v>-2.9124203821656227E-3</v>
      </c>
      <c r="CL166" s="10">
        <f t="shared" si="144"/>
        <v>4.2038216560503225E-4</v>
      </c>
      <c r="CM166" s="10">
        <f t="shared" si="145"/>
        <v>-3.7818471337580126E-3</v>
      </c>
      <c r="CN166" s="10">
        <f t="shared" si="146"/>
        <v>-2.4052547770701052E-3</v>
      </c>
      <c r="CO166" s="10">
        <f t="shared" si="147"/>
        <v>-3.0414012738858286E-4</v>
      </c>
      <c r="CP166" s="10">
        <f t="shared" si="148"/>
        <v>-2.2603503184713309E-3</v>
      </c>
      <c r="CQ166" s="10">
        <f t="shared" si="149"/>
        <v>1.3057324840761196E-4</v>
      </c>
      <c r="CR166" s="10">
        <f t="shared" si="150"/>
        <v>-3.7659235668790575E-4</v>
      </c>
      <c r="CS166" s="10">
        <f t="shared" si="151"/>
        <v>-9.5621019108287509E-4</v>
      </c>
      <c r="CT166" s="10">
        <f t="shared" si="152"/>
        <v>1.5796178343948422E-3</v>
      </c>
      <c r="CU166" s="10">
        <f t="shared" si="153"/>
        <v>-5.9554140127388577E-3</v>
      </c>
      <c r="CV166" s="10">
        <f t="shared" si="154"/>
        <v>-5.4482484076433402E-3</v>
      </c>
      <c r="CW166" s="10">
        <f t="shared" si="155"/>
        <v>-2.6226114649682028E-3</v>
      </c>
      <c r="CX166" s="10">
        <f t="shared" si="156"/>
        <v>-3.7659235668790575E-4</v>
      </c>
      <c r="CY166" s="10">
        <f t="shared" si="157"/>
        <v>2.666401273885329E-3</v>
      </c>
      <c r="CZ166" s="10">
        <f t="shared" si="158"/>
        <v>1.2173566878980989E-3</v>
      </c>
      <c r="DA166" s="10">
        <f t="shared" si="159"/>
        <v>-7.3885350318477763E-4</v>
      </c>
      <c r="DB166" s="10">
        <f t="shared" si="160"/>
        <v>-3.2022292993631719E-3</v>
      </c>
      <c r="DC166" s="10">
        <f t="shared" si="161"/>
        <v>4.9283439490435514E-4</v>
      </c>
      <c r="DD166" s="10">
        <f t="shared" si="162"/>
        <v>-2.8399681528662999E-3</v>
      </c>
      <c r="DE166" s="10">
        <f t="shared" si="163"/>
        <v>1.5796178343948422E-3</v>
      </c>
      <c r="DF166" s="10">
        <f t="shared" si="164"/>
        <v>1.5071656050955192E-3</v>
      </c>
      <c r="DG166" s="10">
        <f t="shared" si="165"/>
        <v>-5.8829617834395345E-3</v>
      </c>
      <c r="DH166" s="10">
        <f t="shared" si="166"/>
        <v>9.2754777070054996E-4</v>
      </c>
      <c r="DI166" s="10">
        <f t="shared" si="167"/>
        <v>-2.6226114649682028E-3</v>
      </c>
      <c r="DJ166" s="10">
        <f t="shared" si="168"/>
        <v>6.3773885350312961E-4</v>
      </c>
      <c r="DK166" s="10">
        <f t="shared" si="169"/>
        <v>-9.5621019108287509E-4</v>
      </c>
      <c r="DL166" s="10">
        <f t="shared" si="170"/>
        <v>-2.5501592356688796E-3</v>
      </c>
      <c r="DM166" s="10">
        <f t="shared" si="171"/>
        <v>-6.3901273885350529E-3</v>
      </c>
      <c r="DN166" s="10">
        <f t="shared" si="172"/>
        <v>2.0302547770693484E-4</v>
      </c>
      <c r="DO166" s="10">
        <f t="shared" si="173"/>
        <v>-2.6226114649682028E-3</v>
      </c>
      <c r="DP166" s="10">
        <f t="shared" si="174"/>
        <v>6.3773885350312961E-4</v>
      </c>
      <c r="DQ166" s="10">
        <f t="shared" si="175"/>
        <v>-3.1297770700637203E-3</v>
      </c>
      <c r="DR166" s="10">
        <f t="shared" si="176"/>
        <v>-6.6640127388545474E-4</v>
      </c>
      <c r="DS166" s="10">
        <f t="shared" si="177"/>
        <v>-7.4769108280255394E-3</v>
      </c>
      <c r="DT166" s="10">
        <f t="shared" si="178"/>
        <v>-3.1297770700637203E-3</v>
      </c>
      <c r="DU166" s="10">
        <f t="shared" si="179"/>
        <v>-1.5923566878980834E-4</v>
      </c>
      <c r="DV166" s="10">
        <f t="shared" si="180"/>
        <v>-4.2165605095542073E-3</v>
      </c>
      <c r="DW166" s="10">
        <f t="shared" si="181"/>
        <v>-4.5063694267516276E-3</v>
      </c>
    </row>
    <row r="167" spans="2:127" x14ac:dyDescent="0.45">
      <c r="B167" s="1">
        <v>24</v>
      </c>
      <c r="C167" s="1">
        <v>2370</v>
      </c>
      <c r="D167" s="7">
        <f t="shared" si="182"/>
        <v>13.890109890109891</v>
      </c>
      <c r="E167" s="1">
        <v>13.847</v>
      </c>
      <c r="F167" s="1">
        <v>13.887</v>
      </c>
      <c r="G167" s="1">
        <v>13.898999999999999</v>
      </c>
      <c r="H167" s="1">
        <v>13.804</v>
      </c>
      <c r="I167" s="1">
        <v>13.865</v>
      </c>
      <c r="J167" s="1">
        <v>13.869</v>
      </c>
      <c r="K167" s="1">
        <v>13.968</v>
      </c>
      <c r="L167" s="1">
        <v>13.85</v>
      </c>
      <c r="M167" s="1">
        <v>13.919</v>
      </c>
      <c r="N167" s="1">
        <v>13.9</v>
      </c>
      <c r="O167" s="1">
        <v>13.866</v>
      </c>
      <c r="P167" s="1">
        <v>13.858000000000001</v>
      </c>
      <c r="Q167" s="1">
        <v>13.9</v>
      </c>
      <c r="R167" s="1">
        <v>13.878</v>
      </c>
      <c r="S167" s="1">
        <v>13.877000000000001</v>
      </c>
      <c r="T167" s="1">
        <v>13.91</v>
      </c>
      <c r="U167" s="1">
        <v>13.903</v>
      </c>
      <c r="V167" s="1">
        <v>13.851000000000001</v>
      </c>
      <c r="W167" s="1">
        <v>13.856999999999999</v>
      </c>
      <c r="X167" s="1">
        <v>13.837999999999999</v>
      </c>
      <c r="Y167" s="1">
        <v>13.865</v>
      </c>
      <c r="Z167" s="1">
        <v>13.849</v>
      </c>
      <c r="AA167" s="1">
        <v>13.896000000000001</v>
      </c>
      <c r="AB167" s="1">
        <v>13.837999999999999</v>
      </c>
      <c r="AC167" s="1">
        <v>13.855</v>
      </c>
      <c r="AD167" s="1">
        <v>13.888999999999999</v>
      </c>
      <c r="AE167" s="1">
        <v>13.858000000000001</v>
      </c>
      <c r="AF167" s="1">
        <v>13.893000000000001</v>
      </c>
      <c r="AG167" s="1">
        <v>13.885</v>
      </c>
      <c r="AH167" s="1">
        <v>13.878</v>
      </c>
      <c r="AI167" s="1">
        <v>13.911</v>
      </c>
      <c r="AJ167" s="1">
        <v>13.808</v>
      </c>
      <c r="AK167" s="1">
        <v>13.815</v>
      </c>
      <c r="AL167" s="1">
        <v>13.853</v>
      </c>
      <c r="AM167" s="1">
        <v>13.882999999999999</v>
      </c>
      <c r="AN167" s="1">
        <v>13.929</v>
      </c>
      <c r="AO167" s="1">
        <v>13.906000000000001</v>
      </c>
      <c r="AP167" s="1">
        <v>13.878</v>
      </c>
      <c r="AQ167" s="1">
        <v>13.843</v>
      </c>
      <c r="AR167" s="1">
        <v>13.901999999999999</v>
      </c>
      <c r="AS167" s="1">
        <v>13.849</v>
      </c>
      <c r="AT167" s="1">
        <v>13.912000000000001</v>
      </c>
      <c r="AU167" s="1">
        <v>13.91</v>
      </c>
      <c r="AV167" s="1">
        <v>13.811</v>
      </c>
      <c r="AW167" s="1">
        <v>13.901999999999999</v>
      </c>
      <c r="AX167" s="1">
        <v>13.853999999999999</v>
      </c>
      <c r="AY167" s="1">
        <v>13.898999999999999</v>
      </c>
      <c r="AZ167" s="1">
        <v>13.875999999999999</v>
      </c>
      <c r="BA167" s="1">
        <v>13.853999999999999</v>
      </c>
      <c r="BB167" s="1">
        <v>13.803000000000001</v>
      </c>
      <c r="BC167" s="1">
        <v>13.891999999999999</v>
      </c>
      <c r="BD167" s="1">
        <v>13.855</v>
      </c>
      <c r="BE167" s="1">
        <v>13.898999999999999</v>
      </c>
      <c r="BF167" s="1">
        <v>13.846</v>
      </c>
      <c r="BG167" s="1">
        <v>13.88</v>
      </c>
      <c r="BH167" s="1">
        <v>13.786</v>
      </c>
      <c r="BI167" s="1">
        <v>13.846</v>
      </c>
      <c r="BJ167" s="1">
        <v>13.888999999999999</v>
      </c>
      <c r="BK167" s="1">
        <v>13.826000000000001</v>
      </c>
      <c r="BL167" s="1">
        <v>13.827</v>
      </c>
      <c r="BN167" s="9">
        <v>24</v>
      </c>
      <c r="BO167" s="9">
        <v>2370</v>
      </c>
      <c r="BP167" s="10">
        <f t="shared" si="122"/>
        <v>-3.1036392405063909E-3</v>
      </c>
      <c r="BQ167" s="10">
        <f t="shared" si="123"/>
        <v>-2.2389240506328649E-4</v>
      </c>
      <c r="BR167" s="10">
        <f t="shared" si="124"/>
        <v>6.4003164556952969E-4</v>
      </c>
      <c r="BS167" s="10">
        <f t="shared" si="125"/>
        <v>-6.1993670886076038E-3</v>
      </c>
      <c r="BT167" s="10">
        <f t="shared" si="126"/>
        <v>-1.8077531645569747E-3</v>
      </c>
      <c r="BU167" s="10">
        <f t="shared" si="127"/>
        <v>-1.5197784810127026E-3</v>
      </c>
      <c r="BV167" s="10">
        <f t="shared" si="128"/>
        <v>5.6075949367088308E-3</v>
      </c>
      <c r="BW167" s="10">
        <f t="shared" si="129"/>
        <v>-2.8876582278481548E-3</v>
      </c>
      <c r="BX167" s="10">
        <f t="shared" si="130"/>
        <v>2.0799050632911457E-3</v>
      </c>
      <c r="BY167" s="10">
        <f t="shared" si="131"/>
        <v>7.120253164556936E-4</v>
      </c>
      <c r="BZ167" s="10">
        <f t="shared" si="132"/>
        <v>-1.7357594936709387E-3</v>
      </c>
      <c r="CA167" s="10">
        <f t="shared" si="133"/>
        <v>-2.3117088607594828E-3</v>
      </c>
      <c r="CB167" s="10">
        <f t="shared" si="134"/>
        <v>7.120253164556936E-4</v>
      </c>
      <c r="CC167" s="10">
        <f t="shared" si="135"/>
        <v>-8.7183544303799459E-4</v>
      </c>
      <c r="CD167" s="10">
        <f t="shared" si="136"/>
        <v>-9.4382911392403067E-4</v>
      </c>
      <c r="CE167" s="10">
        <f t="shared" si="137"/>
        <v>1.4319620253164377E-3</v>
      </c>
      <c r="CF167" s="10">
        <f t="shared" si="138"/>
        <v>9.2800632911392968E-4</v>
      </c>
      <c r="CG167" s="10">
        <f t="shared" si="139"/>
        <v>-2.8156645569619911E-3</v>
      </c>
      <c r="CH167" s="10">
        <f t="shared" si="140"/>
        <v>-2.3837025316456469E-3</v>
      </c>
      <c r="CI167" s="10">
        <f t="shared" si="141"/>
        <v>-3.7515822784810991E-3</v>
      </c>
      <c r="CJ167" s="10">
        <f t="shared" si="142"/>
        <v>-1.8077531645569747E-3</v>
      </c>
      <c r="CK167" s="10">
        <f t="shared" si="143"/>
        <v>-2.959651898734191E-3</v>
      </c>
      <c r="CL167" s="10">
        <f t="shared" si="144"/>
        <v>4.240506329114216E-4</v>
      </c>
      <c r="CM167" s="10">
        <f t="shared" si="145"/>
        <v>-3.7515822784810991E-3</v>
      </c>
      <c r="CN167" s="10">
        <f t="shared" si="146"/>
        <v>-2.5276898734177189E-3</v>
      </c>
      <c r="CO167" s="10">
        <f t="shared" si="147"/>
        <v>-7.9905063291214407E-5</v>
      </c>
      <c r="CP167" s="10">
        <f t="shared" si="148"/>
        <v>-2.3117088607594828E-3</v>
      </c>
      <c r="CQ167" s="10">
        <f t="shared" si="149"/>
        <v>2.0806962025318555E-4</v>
      </c>
      <c r="CR167" s="10">
        <f t="shared" si="150"/>
        <v>-3.6787974683548646E-4</v>
      </c>
      <c r="CS167" s="10">
        <f t="shared" si="151"/>
        <v>-8.7183544303799459E-4</v>
      </c>
      <c r="CT167" s="10">
        <f t="shared" si="152"/>
        <v>1.5039556962024739E-3</v>
      </c>
      <c r="CU167" s="10">
        <f t="shared" si="153"/>
        <v>-5.9113924050633315E-3</v>
      </c>
      <c r="CV167" s="10">
        <f t="shared" si="154"/>
        <v>-5.4074367088608232E-3</v>
      </c>
      <c r="CW167" s="10">
        <f t="shared" si="155"/>
        <v>-2.6716772151899187E-3</v>
      </c>
      <c r="CX167" s="10">
        <f t="shared" si="156"/>
        <v>-5.1186708860768645E-4</v>
      </c>
      <c r="CY167" s="10">
        <f t="shared" si="157"/>
        <v>2.7998417721518901E-3</v>
      </c>
      <c r="CZ167" s="10">
        <f t="shared" si="158"/>
        <v>1.1439873417721656E-3</v>
      </c>
      <c r="DA167" s="10">
        <f t="shared" si="159"/>
        <v>-8.7183544303799459E-4</v>
      </c>
      <c r="DB167" s="10">
        <f t="shared" si="160"/>
        <v>-3.3916139240506632E-3</v>
      </c>
      <c r="DC167" s="10">
        <f t="shared" si="161"/>
        <v>8.5601265822776577E-4</v>
      </c>
      <c r="DD167" s="10">
        <f t="shared" si="162"/>
        <v>-2.959651898734191E-3</v>
      </c>
      <c r="DE167" s="10">
        <f t="shared" si="163"/>
        <v>1.5759493670886378E-3</v>
      </c>
      <c r="DF167" s="10">
        <f t="shared" si="164"/>
        <v>1.4319620253164377E-3</v>
      </c>
      <c r="DG167" s="10">
        <f t="shared" si="165"/>
        <v>-5.6954113924050954E-3</v>
      </c>
      <c r="DH167" s="10">
        <f t="shared" si="166"/>
        <v>8.5601265822776577E-4</v>
      </c>
      <c r="DI167" s="10">
        <f t="shared" si="167"/>
        <v>-2.599683544303883E-3</v>
      </c>
      <c r="DJ167" s="10">
        <f t="shared" si="168"/>
        <v>6.4003164556952969E-4</v>
      </c>
      <c r="DK167" s="10">
        <f t="shared" si="169"/>
        <v>-1.0158227848101945E-3</v>
      </c>
      <c r="DL167" s="10">
        <f t="shared" si="170"/>
        <v>-2.599683544303883E-3</v>
      </c>
      <c r="DM167" s="10">
        <f t="shared" si="171"/>
        <v>-6.2713607594936391E-3</v>
      </c>
      <c r="DN167" s="10">
        <f t="shared" si="172"/>
        <v>1.3607594936702162E-4</v>
      </c>
      <c r="DO167" s="10">
        <f t="shared" si="173"/>
        <v>-2.5276898734177189E-3</v>
      </c>
      <c r="DP167" s="10">
        <f t="shared" si="174"/>
        <v>6.4003164556952969E-4</v>
      </c>
      <c r="DQ167" s="10">
        <f t="shared" si="175"/>
        <v>-3.1756329113924271E-3</v>
      </c>
      <c r="DR167" s="10">
        <f t="shared" si="176"/>
        <v>-7.2784810126579459E-4</v>
      </c>
      <c r="DS167" s="10">
        <f t="shared" si="177"/>
        <v>-7.4952531645570194E-3</v>
      </c>
      <c r="DT167" s="10">
        <f t="shared" si="178"/>
        <v>-3.1756329113924271E-3</v>
      </c>
      <c r="DU167" s="10">
        <f t="shared" si="179"/>
        <v>-7.9905063291214407E-5</v>
      </c>
      <c r="DV167" s="10">
        <f t="shared" si="180"/>
        <v>-4.6155063291139151E-3</v>
      </c>
      <c r="DW167" s="10">
        <f t="shared" si="181"/>
        <v>-4.5435126582278789E-3</v>
      </c>
    </row>
    <row r="168" spans="2:127" x14ac:dyDescent="0.45">
      <c r="B168" s="1">
        <v>24</v>
      </c>
      <c r="C168" s="1">
        <v>2385</v>
      </c>
      <c r="D168" s="7">
        <f t="shared" si="182"/>
        <v>13.978021978021978</v>
      </c>
      <c r="E168" s="1">
        <v>13.935</v>
      </c>
      <c r="F168" s="1">
        <v>13.972</v>
      </c>
      <c r="G168" s="1">
        <v>13.988</v>
      </c>
      <c r="H168" s="1">
        <v>13.893000000000001</v>
      </c>
      <c r="I168" s="1">
        <v>13.952999999999999</v>
      </c>
      <c r="J168" s="1">
        <v>13.957000000000001</v>
      </c>
      <c r="K168" s="1">
        <v>14.058</v>
      </c>
      <c r="L168" s="1">
        <v>13.939</v>
      </c>
      <c r="M168" s="1">
        <v>14.009</v>
      </c>
      <c r="N168" s="1">
        <v>13.988</v>
      </c>
      <c r="O168" s="1">
        <v>13.952999999999999</v>
      </c>
      <c r="P168" s="1">
        <v>13.945</v>
      </c>
      <c r="Q168" s="1">
        <v>13.988</v>
      </c>
      <c r="R168" s="1">
        <v>13.968</v>
      </c>
      <c r="S168" s="1">
        <v>13.965</v>
      </c>
      <c r="T168" s="1">
        <v>13.996</v>
      </c>
      <c r="U168" s="1">
        <v>13.991</v>
      </c>
      <c r="V168" s="1">
        <v>13.935</v>
      </c>
      <c r="W168" s="1">
        <v>13.944000000000001</v>
      </c>
      <c r="X168" s="1">
        <v>13.926</v>
      </c>
      <c r="Y168" s="1">
        <v>13.952999999999999</v>
      </c>
      <c r="Z168" s="1">
        <v>13.935</v>
      </c>
      <c r="AA168" s="1">
        <v>13.984</v>
      </c>
      <c r="AB168" s="1">
        <v>13.926</v>
      </c>
      <c r="AC168" s="1">
        <v>13.945</v>
      </c>
      <c r="AD168" s="1">
        <v>13.977</v>
      </c>
      <c r="AE168" s="1">
        <v>13.945</v>
      </c>
      <c r="AF168" s="1">
        <v>13.983000000000001</v>
      </c>
      <c r="AG168" s="1">
        <v>13.973000000000001</v>
      </c>
      <c r="AH168" s="1">
        <v>13.968999999999999</v>
      </c>
      <c r="AI168" s="1">
        <v>13.999000000000001</v>
      </c>
      <c r="AJ168" s="1">
        <v>13.893000000000001</v>
      </c>
      <c r="AK168" s="1">
        <v>13.903</v>
      </c>
      <c r="AL168" s="1">
        <v>13.941000000000001</v>
      </c>
      <c r="AM168" s="1">
        <v>13.971</v>
      </c>
      <c r="AN168" s="1">
        <v>14.015000000000001</v>
      </c>
      <c r="AO168" s="1">
        <v>13.992000000000001</v>
      </c>
      <c r="AP168" s="1">
        <v>13.968</v>
      </c>
      <c r="AQ168" s="1">
        <v>13.93</v>
      </c>
      <c r="AR168" s="1">
        <v>13.99</v>
      </c>
      <c r="AS168" s="1">
        <v>13.935</v>
      </c>
      <c r="AT168" s="1">
        <v>13.999000000000001</v>
      </c>
      <c r="AU168" s="1">
        <v>13.997999999999999</v>
      </c>
      <c r="AV168" s="1">
        <v>13.893000000000001</v>
      </c>
      <c r="AW168" s="1">
        <v>13.988</v>
      </c>
      <c r="AX168" s="1">
        <v>13.942</v>
      </c>
      <c r="AY168" s="1">
        <v>13.987</v>
      </c>
      <c r="AZ168" s="1">
        <v>13.961</v>
      </c>
      <c r="BA168" s="1">
        <v>13.942</v>
      </c>
      <c r="BB168" s="1">
        <v>13.891</v>
      </c>
      <c r="BC168" s="1">
        <v>13.978999999999999</v>
      </c>
      <c r="BD168" s="1">
        <v>13.944000000000001</v>
      </c>
      <c r="BE168" s="1">
        <v>13.987</v>
      </c>
      <c r="BF168" s="1">
        <v>13.933</v>
      </c>
      <c r="BG168" s="1">
        <v>13.973000000000001</v>
      </c>
      <c r="BH168" s="1">
        <v>13.88</v>
      </c>
      <c r="BI168" s="1">
        <v>13.930999999999999</v>
      </c>
      <c r="BJ168" s="1">
        <v>13.976000000000001</v>
      </c>
      <c r="BK168" s="1">
        <v>13.920999999999999</v>
      </c>
      <c r="BL168" s="1">
        <v>13.914999999999999</v>
      </c>
      <c r="BN168" s="9">
        <v>24</v>
      </c>
      <c r="BO168" s="9">
        <v>2385</v>
      </c>
      <c r="BP168" s="10">
        <f t="shared" si="122"/>
        <v>-3.0778301886792152E-3</v>
      </c>
      <c r="BQ168" s="10">
        <f t="shared" si="123"/>
        <v>-4.308176100629322E-4</v>
      </c>
      <c r="BR168" s="10">
        <f t="shared" si="124"/>
        <v>7.1383647798738321E-4</v>
      </c>
      <c r="BS168" s="10">
        <f t="shared" si="125"/>
        <v>-6.0825471698112777E-3</v>
      </c>
      <c r="BT168" s="10">
        <f t="shared" si="126"/>
        <v>-1.7900943396226899E-3</v>
      </c>
      <c r="BU168" s="10">
        <f t="shared" si="127"/>
        <v>-1.5039308176100156E-3</v>
      </c>
      <c r="BV168" s="10">
        <f t="shared" si="128"/>
        <v>5.7216981132075292E-3</v>
      </c>
      <c r="BW168" s="10">
        <f t="shared" si="129"/>
        <v>-2.791666666666668E-3</v>
      </c>
      <c r="BX168" s="10">
        <f t="shared" si="130"/>
        <v>2.2161949685534778E-3</v>
      </c>
      <c r="BY168" s="10">
        <f t="shared" si="131"/>
        <v>7.1383647798738321E-4</v>
      </c>
      <c r="BZ168" s="10">
        <f t="shared" si="132"/>
        <v>-1.7900943396226899E-3</v>
      </c>
      <c r="CA168" s="10">
        <f t="shared" si="133"/>
        <v>-2.3624213836477841E-3</v>
      </c>
      <c r="CB168" s="10">
        <f t="shared" si="134"/>
        <v>7.1383647798738321E-4</v>
      </c>
      <c r="CC168" s="10">
        <f t="shared" si="135"/>
        <v>-7.1698113207547935E-4</v>
      </c>
      <c r="CD168" s="10">
        <f t="shared" si="136"/>
        <v>-9.3160377358492141E-4</v>
      </c>
      <c r="CE168" s="10">
        <f t="shared" si="137"/>
        <v>1.2861635220126045E-3</v>
      </c>
      <c r="CF168" s="10">
        <f t="shared" si="138"/>
        <v>9.2845911949682538E-4</v>
      </c>
      <c r="CG168" s="10">
        <f t="shared" si="139"/>
        <v>-3.0778301886792152E-3</v>
      </c>
      <c r="CH168" s="10">
        <f t="shared" si="140"/>
        <v>-2.4339622641508891E-3</v>
      </c>
      <c r="CI168" s="10">
        <f t="shared" si="141"/>
        <v>-3.7216981132075417E-3</v>
      </c>
      <c r="CJ168" s="10">
        <f t="shared" si="142"/>
        <v>-1.7900943396226899E-3</v>
      </c>
      <c r="CK168" s="10">
        <f t="shared" si="143"/>
        <v>-3.0778301886792152E-3</v>
      </c>
      <c r="CL168" s="10">
        <f t="shared" si="144"/>
        <v>4.2767295597483616E-4</v>
      </c>
      <c r="CM168" s="10">
        <f t="shared" si="145"/>
        <v>-3.7216981132075417E-3</v>
      </c>
      <c r="CN168" s="10">
        <f t="shared" si="146"/>
        <v>-2.3624213836477841E-3</v>
      </c>
      <c r="CO168" s="10">
        <f t="shared" si="147"/>
        <v>-7.3113207547153037E-5</v>
      </c>
      <c r="CP168" s="10">
        <f t="shared" si="148"/>
        <v>-2.3624213836477841E-3</v>
      </c>
      <c r="CQ168" s="10">
        <f t="shared" si="149"/>
        <v>3.5613207547173118E-4</v>
      </c>
      <c r="CR168" s="10">
        <f t="shared" si="150"/>
        <v>-3.5927672955970015E-4</v>
      </c>
      <c r="CS168" s="10">
        <f t="shared" si="151"/>
        <v>-6.4544025157237432E-4</v>
      </c>
      <c r="CT168" s="10">
        <f t="shared" si="152"/>
        <v>1.5007861635220466E-3</v>
      </c>
      <c r="CU168" s="10">
        <f t="shared" si="153"/>
        <v>-6.0825471698112777E-3</v>
      </c>
      <c r="CV168" s="10">
        <f t="shared" si="154"/>
        <v>-5.3671383647798466E-3</v>
      </c>
      <c r="CW168" s="10">
        <f t="shared" si="155"/>
        <v>-2.6485849056603313E-3</v>
      </c>
      <c r="CX168" s="10">
        <f t="shared" si="156"/>
        <v>-5.0235849056603718E-4</v>
      </c>
      <c r="CY168" s="10">
        <f t="shared" si="157"/>
        <v>2.6454402515723621E-3</v>
      </c>
      <c r="CZ168" s="10">
        <f t="shared" si="158"/>
        <v>1.0000000000000575E-3</v>
      </c>
      <c r="DA168" s="10">
        <f t="shared" si="159"/>
        <v>-7.1698113207547935E-4</v>
      </c>
      <c r="DB168" s="10">
        <f t="shared" si="160"/>
        <v>-3.4355345911949945E-3</v>
      </c>
      <c r="DC168" s="10">
        <f t="shared" si="161"/>
        <v>8.5691823899372035E-4</v>
      </c>
      <c r="DD168" s="10">
        <f t="shared" si="162"/>
        <v>-3.0778301886792152E-3</v>
      </c>
      <c r="DE168" s="10">
        <f t="shared" si="163"/>
        <v>1.5007861635220466E-3</v>
      </c>
      <c r="DF168" s="10">
        <f t="shared" si="164"/>
        <v>1.4292452830188145E-3</v>
      </c>
      <c r="DG168" s="10">
        <f t="shared" si="165"/>
        <v>-6.0825471698112777E-3</v>
      </c>
      <c r="DH168" s="10">
        <f t="shared" si="166"/>
        <v>7.1383647798738321E-4</v>
      </c>
      <c r="DI168" s="10">
        <f t="shared" si="167"/>
        <v>-2.5770440251572263E-3</v>
      </c>
      <c r="DJ168" s="10">
        <f t="shared" si="168"/>
        <v>6.4229559748427828E-4</v>
      </c>
      <c r="DK168" s="10">
        <f t="shared" si="169"/>
        <v>-1.2177672955974684E-3</v>
      </c>
      <c r="DL168" s="10">
        <f t="shared" si="170"/>
        <v>-2.5770440251572263E-3</v>
      </c>
      <c r="DM168" s="10">
        <f t="shared" si="171"/>
        <v>-6.2256289308176144E-3</v>
      </c>
      <c r="DN168" s="10">
        <f t="shared" si="172"/>
        <v>6.9968553459056978E-5</v>
      </c>
      <c r="DO168" s="10">
        <f t="shared" si="173"/>
        <v>-2.4339622641508891E-3</v>
      </c>
      <c r="DP168" s="10">
        <f t="shared" si="174"/>
        <v>6.4229559748427828E-4</v>
      </c>
      <c r="DQ168" s="10">
        <f t="shared" si="175"/>
        <v>-3.2209119496855523E-3</v>
      </c>
      <c r="DR168" s="10">
        <f t="shared" si="176"/>
        <v>-3.5927672955970015E-4</v>
      </c>
      <c r="DS168" s="10">
        <f t="shared" si="177"/>
        <v>-7.012578616352151E-3</v>
      </c>
      <c r="DT168" s="10">
        <f t="shared" si="178"/>
        <v>-3.3639937106918895E-3</v>
      </c>
      <c r="DU168" s="10">
        <f t="shared" si="179"/>
        <v>-1.4465408805025803E-4</v>
      </c>
      <c r="DV168" s="10">
        <f t="shared" si="180"/>
        <v>-4.079402515723321E-3</v>
      </c>
      <c r="DW168" s="10">
        <f t="shared" si="181"/>
        <v>-4.5086477987422045E-3</v>
      </c>
    </row>
    <row r="169" spans="2:127" x14ac:dyDescent="0.45">
      <c r="B169" s="1">
        <v>24</v>
      </c>
      <c r="C169" s="1">
        <v>2400</v>
      </c>
      <c r="D169" s="7">
        <f t="shared" si="182"/>
        <v>14.065934065934066</v>
      </c>
      <c r="E169" s="1">
        <v>14.022</v>
      </c>
      <c r="F169" s="1">
        <v>14.063000000000001</v>
      </c>
      <c r="G169" s="1">
        <v>14.077999999999999</v>
      </c>
      <c r="H169" s="1">
        <v>13.981999999999999</v>
      </c>
      <c r="I169" s="1">
        <v>14.041</v>
      </c>
      <c r="J169" s="1">
        <v>14.044</v>
      </c>
      <c r="K169" s="1">
        <v>14.147</v>
      </c>
      <c r="L169" s="1">
        <v>14.026</v>
      </c>
      <c r="M169" s="1">
        <v>14.097</v>
      </c>
      <c r="N169" s="1">
        <v>14.077999999999999</v>
      </c>
      <c r="O169" s="1">
        <v>14.041</v>
      </c>
      <c r="P169" s="1">
        <v>14.034000000000001</v>
      </c>
      <c r="Q169" s="1">
        <v>14.077999999999999</v>
      </c>
      <c r="R169" s="1">
        <v>14.058</v>
      </c>
      <c r="S169" s="1">
        <v>14.052</v>
      </c>
      <c r="T169" s="1">
        <v>14.085000000000001</v>
      </c>
      <c r="U169" s="1">
        <v>14.077999999999999</v>
      </c>
      <c r="V169" s="1">
        <v>14.023999999999999</v>
      </c>
      <c r="W169" s="1">
        <v>14.032999999999999</v>
      </c>
      <c r="X169" s="1">
        <v>14.013</v>
      </c>
      <c r="Y169" s="1">
        <v>14.04</v>
      </c>
      <c r="Z169" s="1">
        <v>14.023999999999999</v>
      </c>
      <c r="AA169" s="1">
        <v>14.071999999999999</v>
      </c>
      <c r="AB169" s="1">
        <v>14.013999999999999</v>
      </c>
      <c r="AC169" s="1">
        <v>14.032999999999999</v>
      </c>
      <c r="AD169" s="1">
        <v>14.067</v>
      </c>
      <c r="AE169" s="1">
        <v>14.032</v>
      </c>
      <c r="AF169" s="1">
        <v>14.071999999999999</v>
      </c>
      <c r="AG169" s="1">
        <v>14.061999999999999</v>
      </c>
      <c r="AH169" s="1">
        <v>14.058</v>
      </c>
      <c r="AI169" s="1">
        <v>14.086</v>
      </c>
      <c r="AJ169" s="1">
        <v>13.975</v>
      </c>
      <c r="AK169" s="1">
        <v>13.991</v>
      </c>
      <c r="AL169" s="1">
        <v>14.029</v>
      </c>
      <c r="AM169" s="1">
        <v>14.061999999999999</v>
      </c>
      <c r="AN169" s="1">
        <v>14.105</v>
      </c>
      <c r="AO169" s="1">
        <v>14.077999999999999</v>
      </c>
      <c r="AP169" s="1">
        <v>14.055999999999999</v>
      </c>
      <c r="AQ169" s="1">
        <v>14.02</v>
      </c>
      <c r="AR169" s="1">
        <v>14.079000000000001</v>
      </c>
      <c r="AS169" s="1">
        <v>14.023999999999999</v>
      </c>
      <c r="AT169" s="1">
        <v>14.086</v>
      </c>
      <c r="AU169" s="1">
        <v>14.082000000000001</v>
      </c>
      <c r="AV169" s="1">
        <v>13.988</v>
      </c>
      <c r="AW169" s="1">
        <v>14.076000000000001</v>
      </c>
      <c r="AX169" s="1">
        <v>14.03</v>
      </c>
      <c r="AY169" s="1">
        <v>14.076000000000001</v>
      </c>
      <c r="AZ169" s="1">
        <v>14.048999999999999</v>
      </c>
      <c r="BA169" s="1">
        <v>14.03</v>
      </c>
      <c r="BB169" s="1">
        <v>13.977</v>
      </c>
      <c r="BC169" s="1">
        <v>14.067</v>
      </c>
      <c r="BD169" s="1">
        <v>14.03</v>
      </c>
      <c r="BE169" s="1">
        <v>14.074999999999999</v>
      </c>
      <c r="BF169" s="1">
        <v>14.02</v>
      </c>
      <c r="BG169" s="1">
        <v>14.06</v>
      </c>
      <c r="BH169" s="1">
        <v>13.958</v>
      </c>
      <c r="BI169" s="1">
        <v>14.02</v>
      </c>
      <c r="BJ169" s="1">
        <v>14.063000000000001</v>
      </c>
      <c r="BK169" s="1">
        <v>14.006</v>
      </c>
      <c r="BL169" s="1">
        <v>14.002000000000001</v>
      </c>
      <c r="BN169" s="9">
        <v>24</v>
      </c>
      <c r="BO169" s="9">
        <v>2400</v>
      </c>
      <c r="BP169" s="10">
        <f t="shared" si="122"/>
        <v>-3.1234374999999661E-3</v>
      </c>
      <c r="BQ169" s="10">
        <f t="shared" si="123"/>
        <v>-2.0859374999993992E-4</v>
      </c>
      <c r="BR169" s="10">
        <f t="shared" si="124"/>
        <v>8.5781249999997426E-4</v>
      </c>
      <c r="BS169" s="10">
        <f t="shared" si="125"/>
        <v>-5.9671875000000324E-3</v>
      </c>
      <c r="BT169" s="10">
        <f t="shared" si="126"/>
        <v>-1.7726562499999572E-3</v>
      </c>
      <c r="BU169" s="10">
        <f t="shared" si="127"/>
        <v>-1.559374999999949E-3</v>
      </c>
      <c r="BV169" s="10">
        <f t="shared" si="128"/>
        <v>5.763281250000034E-3</v>
      </c>
      <c r="BW169" s="10">
        <f t="shared" si="129"/>
        <v>-2.8390624999999974E-3</v>
      </c>
      <c r="BX169" s="10">
        <f t="shared" si="130"/>
        <v>2.2085937499999831E-3</v>
      </c>
      <c r="BY169" s="10">
        <f t="shared" si="131"/>
        <v>8.5781249999997426E-4</v>
      </c>
      <c r="BZ169" s="10">
        <f t="shared" si="132"/>
        <v>-1.7726562499999572E-3</v>
      </c>
      <c r="CA169" s="10">
        <f t="shared" si="133"/>
        <v>-2.2703124999999338E-3</v>
      </c>
      <c r="CB169" s="10">
        <f t="shared" si="134"/>
        <v>8.5781249999997426E-4</v>
      </c>
      <c r="CC169" s="10">
        <f t="shared" si="135"/>
        <v>-5.6406249999999545E-4</v>
      </c>
      <c r="CD169" s="10">
        <f t="shared" si="136"/>
        <v>-9.9062500000001168E-4</v>
      </c>
      <c r="CE169" s="10">
        <f t="shared" si="137"/>
        <v>1.3554687500000773E-3</v>
      </c>
      <c r="CF169" s="10">
        <f t="shared" si="138"/>
        <v>8.5781249999997426E-4</v>
      </c>
      <c r="CG169" s="10">
        <f t="shared" si="139"/>
        <v>-2.9812500000000451E-3</v>
      </c>
      <c r="CH169" s="10">
        <f t="shared" si="140"/>
        <v>-2.3414062500000206E-3</v>
      </c>
      <c r="CI169" s="10">
        <f t="shared" si="141"/>
        <v>-3.7632812499999906E-3</v>
      </c>
      <c r="CJ169" s="10">
        <f t="shared" si="142"/>
        <v>-1.8437500000000439E-3</v>
      </c>
      <c r="CK169" s="10">
        <f t="shared" si="143"/>
        <v>-2.9812500000000451E-3</v>
      </c>
      <c r="CL169" s="10">
        <f t="shared" si="144"/>
        <v>4.3124999999995809E-4</v>
      </c>
      <c r="CM169" s="10">
        <f t="shared" si="145"/>
        <v>-3.6921875000000301E-3</v>
      </c>
      <c r="CN169" s="10">
        <f t="shared" si="146"/>
        <v>-2.3414062500000206E-3</v>
      </c>
      <c r="CO169" s="10">
        <f t="shared" si="147"/>
        <v>7.5781250000028774E-5</v>
      </c>
      <c r="CP169" s="10">
        <f t="shared" si="148"/>
        <v>-2.4124999999999815E-3</v>
      </c>
      <c r="CQ169" s="10">
        <f t="shared" si="149"/>
        <v>4.3124999999995809E-4</v>
      </c>
      <c r="CR169" s="10">
        <f t="shared" si="150"/>
        <v>-2.7968750000002677E-4</v>
      </c>
      <c r="CS169" s="10">
        <f t="shared" si="151"/>
        <v>-5.6406249999999545E-4</v>
      </c>
      <c r="CT169" s="10">
        <f t="shared" si="152"/>
        <v>1.4265625000000378E-3</v>
      </c>
      <c r="CU169" s="10">
        <f t="shared" si="153"/>
        <v>-6.4648437500000088E-3</v>
      </c>
      <c r="CV169" s="10">
        <f t="shared" si="154"/>
        <v>-5.3273437500000074E-3</v>
      </c>
      <c r="CW169" s="10">
        <f t="shared" si="155"/>
        <v>-2.6257812499999897E-3</v>
      </c>
      <c r="CX169" s="10">
        <f t="shared" si="156"/>
        <v>-2.7968750000002677E-4</v>
      </c>
      <c r="CY169" s="10">
        <f t="shared" si="157"/>
        <v>2.7773437500000471E-3</v>
      </c>
      <c r="CZ169" s="10">
        <f t="shared" si="158"/>
        <v>8.5781249999997426E-4</v>
      </c>
      <c r="DA169" s="10">
        <f t="shared" si="159"/>
        <v>-7.06250000000043E-4</v>
      </c>
      <c r="DB169" s="10">
        <f t="shared" si="160"/>
        <v>-3.2656250000000137E-3</v>
      </c>
      <c r="DC169" s="10">
        <f t="shared" si="161"/>
        <v>9.2890625000006108E-4</v>
      </c>
      <c r="DD169" s="10">
        <f t="shared" si="162"/>
        <v>-2.9812500000000451E-3</v>
      </c>
      <c r="DE169" s="10">
        <f t="shared" si="163"/>
        <v>1.4265625000000378E-3</v>
      </c>
      <c r="DF169" s="10">
        <f t="shared" si="164"/>
        <v>1.1421875000000691E-3</v>
      </c>
      <c r="DG169" s="10">
        <f t="shared" si="165"/>
        <v>-5.540625000000016E-3</v>
      </c>
      <c r="DH169" s="10">
        <f t="shared" si="166"/>
        <v>7.1562500000005302E-4</v>
      </c>
      <c r="DI169" s="10">
        <f t="shared" si="167"/>
        <v>-2.5546875000000287E-3</v>
      </c>
      <c r="DJ169" s="10">
        <f t="shared" si="168"/>
        <v>7.1562500000005302E-4</v>
      </c>
      <c r="DK169" s="10">
        <f t="shared" si="169"/>
        <v>-1.2039062500000196E-3</v>
      </c>
      <c r="DL169" s="10">
        <f t="shared" si="170"/>
        <v>-2.5546875000000287E-3</v>
      </c>
      <c r="DM169" s="10">
        <f t="shared" si="171"/>
        <v>-6.3226562499999611E-3</v>
      </c>
      <c r="DN169" s="10">
        <f t="shared" si="172"/>
        <v>7.5781250000028774E-5</v>
      </c>
      <c r="DO169" s="10">
        <f t="shared" si="173"/>
        <v>-2.5546875000000287E-3</v>
      </c>
      <c r="DP169" s="10">
        <f t="shared" si="174"/>
        <v>6.4453124999996609E-4</v>
      </c>
      <c r="DQ169" s="10">
        <f t="shared" si="175"/>
        <v>-3.2656250000000137E-3</v>
      </c>
      <c r="DR169" s="10">
        <f t="shared" si="176"/>
        <v>-4.2187499999994801E-4</v>
      </c>
      <c r="DS169" s="10">
        <f t="shared" si="177"/>
        <v>-7.6734374999999702E-3</v>
      </c>
      <c r="DT169" s="10">
        <f t="shared" si="178"/>
        <v>-3.2656250000000137E-3</v>
      </c>
      <c r="DU169" s="10">
        <f t="shared" si="179"/>
        <v>-2.0859374999993992E-4</v>
      </c>
      <c r="DV169" s="10">
        <f t="shared" si="180"/>
        <v>-4.260937499999967E-3</v>
      </c>
      <c r="DW169" s="10">
        <f t="shared" si="181"/>
        <v>-4.5453124999999357E-3</v>
      </c>
    </row>
    <row r="170" spans="2:127" x14ac:dyDescent="0.45">
      <c r="B170" s="1">
        <v>24</v>
      </c>
      <c r="C170" s="1">
        <v>2415</v>
      </c>
      <c r="D170" s="7">
        <f t="shared" si="182"/>
        <v>14.153846153846153</v>
      </c>
      <c r="E170" s="1">
        <v>14.106</v>
      </c>
      <c r="F170" s="1">
        <v>14.151</v>
      </c>
      <c r="G170" s="1">
        <v>14.164999999999999</v>
      </c>
      <c r="H170" s="1">
        <v>14.07</v>
      </c>
      <c r="I170" s="1">
        <v>14.128</v>
      </c>
      <c r="J170" s="1">
        <v>14.132</v>
      </c>
      <c r="K170" s="1">
        <v>14.234</v>
      </c>
      <c r="L170" s="1">
        <v>14.113</v>
      </c>
      <c r="M170" s="1">
        <v>14.185</v>
      </c>
      <c r="N170" s="1">
        <v>14.167</v>
      </c>
      <c r="O170" s="1">
        <v>14.131</v>
      </c>
      <c r="P170" s="1">
        <v>14.122999999999999</v>
      </c>
      <c r="Q170" s="1">
        <v>14.167</v>
      </c>
      <c r="R170" s="1">
        <v>14.146000000000001</v>
      </c>
      <c r="S170" s="1">
        <v>14.14</v>
      </c>
      <c r="T170" s="1">
        <v>14.176</v>
      </c>
      <c r="U170" s="1">
        <v>14.166</v>
      </c>
      <c r="V170" s="1">
        <v>14.114000000000001</v>
      </c>
      <c r="W170" s="1">
        <v>14.121</v>
      </c>
      <c r="X170" s="1">
        <v>14.108000000000001</v>
      </c>
      <c r="Y170" s="1">
        <v>14.129</v>
      </c>
      <c r="Z170" s="1">
        <v>14.109</v>
      </c>
      <c r="AA170" s="1">
        <v>14.161</v>
      </c>
      <c r="AB170" s="1">
        <v>14.102</v>
      </c>
      <c r="AC170" s="1">
        <v>14.121</v>
      </c>
      <c r="AD170" s="1">
        <v>14.157</v>
      </c>
      <c r="AE170" s="1">
        <v>14.121</v>
      </c>
      <c r="AF170" s="1">
        <v>14.161</v>
      </c>
      <c r="AG170" s="1">
        <v>14.15</v>
      </c>
      <c r="AH170" s="1">
        <v>14.146000000000001</v>
      </c>
      <c r="AI170" s="1">
        <v>14.173</v>
      </c>
      <c r="AJ170" s="1">
        <v>14.061999999999999</v>
      </c>
      <c r="AK170" s="1">
        <v>14.079000000000001</v>
      </c>
      <c r="AL170" s="1">
        <v>14.116</v>
      </c>
      <c r="AM170" s="1">
        <v>14.151</v>
      </c>
      <c r="AN170" s="1">
        <v>14.192</v>
      </c>
      <c r="AO170" s="1">
        <v>14.166</v>
      </c>
      <c r="AP170" s="1">
        <v>14.143000000000001</v>
      </c>
      <c r="AQ170" s="1">
        <v>14.106</v>
      </c>
      <c r="AR170" s="1">
        <v>14.169</v>
      </c>
      <c r="AS170" s="1">
        <v>14.11</v>
      </c>
      <c r="AT170" s="1">
        <v>14.173999999999999</v>
      </c>
      <c r="AU170" s="1">
        <v>14.17</v>
      </c>
      <c r="AV170" s="1">
        <v>14.074</v>
      </c>
      <c r="AW170" s="1">
        <v>14.164999999999999</v>
      </c>
      <c r="AX170" s="1">
        <v>14.117000000000001</v>
      </c>
      <c r="AY170" s="1">
        <v>14.166</v>
      </c>
      <c r="AZ170" s="1">
        <v>14.138</v>
      </c>
      <c r="BA170" s="1">
        <v>14.119</v>
      </c>
      <c r="BB170" s="1">
        <v>14.064</v>
      </c>
      <c r="BC170" s="1">
        <v>14.151</v>
      </c>
      <c r="BD170" s="1">
        <v>14.119</v>
      </c>
      <c r="BE170" s="1">
        <v>14.163</v>
      </c>
      <c r="BF170" s="1">
        <v>14.106</v>
      </c>
      <c r="BG170" s="1">
        <v>14.148</v>
      </c>
      <c r="BH170" s="1">
        <v>14.045</v>
      </c>
      <c r="BI170" s="1">
        <v>14.108000000000001</v>
      </c>
      <c r="BJ170" s="1">
        <v>14.15</v>
      </c>
      <c r="BK170" s="1">
        <v>14.089</v>
      </c>
      <c r="BL170" s="1">
        <v>14.087</v>
      </c>
      <c r="BN170" s="9">
        <v>24</v>
      </c>
      <c r="BO170" s="9">
        <v>2415</v>
      </c>
      <c r="BP170" s="10">
        <f t="shared" si="122"/>
        <v>-3.3804347826086661E-3</v>
      </c>
      <c r="BQ170" s="10">
        <f t="shared" si="123"/>
        <v>-2.0108695652171457E-4</v>
      </c>
      <c r="BR170" s="10">
        <f t="shared" si="124"/>
        <v>7.8804347826084802E-4</v>
      </c>
      <c r="BS170" s="10">
        <f t="shared" si="125"/>
        <v>-5.9239130434782022E-3</v>
      </c>
      <c r="BT170" s="10">
        <f t="shared" si="126"/>
        <v>-1.8260869565216926E-3</v>
      </c>
      <c r="BU170" s="10">
        <f t="shared" si="127"/>
        <v>-1.5434782608695497E-3</v>
      </c>
      <c r="BV170" s="10">
        <f t="shared" si="128"/>
        <v>5.663043478260907E-3</v>
      </c>
      <c r="BW170" s="10">
        <f t="shared" si="129"/>
        <v>-2.8858695652173847E-3</v>
      </c>
      <c r="BX170" s="10">
        <f t="shared" si="130"/>
        <v>2.2010869565218128E-3</v>
      </c>
      <c r="BY170" s="10">
        <f t="shared" si="131"/>
        <v>9.293478260869821E-4</v>
      </c>
      <c r="BZ170" s="10">
        <f t="shared" si="132"/>
        <v>-1.614130434782554E-3</v>
      </c>
      <c r="CA170" s="10">
        <f t="shared" si="133"/>
        <v>-2.1793478260869652E-3</v>
      </c>
      <c r="CB170" s="10">
        <f t="shared" si="134"/>
        <v>9.293478260869821E-4</v>
      </c>
      <c r="CC170" s="10">
        <f t="shared" si="135"/>
        <v>-5.5434782608686174E-4</v>
      </c>
      <c r="CD170" s="10">
        <f t="shared" si="136"/>
        <v>-9.7826086956513876E-4</v>
      </c>
      <c r="CE170" s="10">
        <f t="shared" si="137"/>
        <v>1.5652173913043976E-3</v>
      </c>
      <c r="CF170" s="10">
        <f t="shared" si="138"/>
        <v>8.5869565217397783E-4</v>
      </c>
      <c r="CG170" s="10">
        <f t="shared" si="139"/>
        <v>-2.8152173913042551E-3</v>
      </c>
      <c r="CH170" s="10">
        <f t="shared" si="140"/>
        <v>-2.3206521739129737E-3</v>
      </c>
      <c r="CI170" s="10">
        <f t="shared" si="141"/>
        <v>-3.2391304347825322E-3</v>
      </c>
      <c r="CJ170" s="10">
        <f t="shared" si="142"/>
        <v>-1.7554347826086883E-3</v>
      </c>
      <c r="CK170" s="10">
        <f t="shared" si="143"/>
        <v>-3.1684782608695275E-3</v>
      </c>
      <c r="CL170" s="10">
        <f t="shared" si="144"/>
        <v>5.0543478260870519E-4</v>
      </c>
      <c r="CM170" s="10">
        <f t="shared" si="145"/>
        <v>-3.6630434782608089E-3</v>
      </c>
      <c r="CN170" s="10">
        <f t="shared" si="146"/>
        <v>-2.3206521739129737E-3</v>
      </c>
      <c r="CO170" s="10">
        <f t="shared" si="147"/>
        <v>2.2282608695656236E-4</v>
      </c>
      <c r="CP170" s="10">
        <f t="shared" si="148"/>
        <v>-2.3206521739129737E-3</v>
      </c>
      <c r="CQ170" s="10">
        <f t="shared" si="149"/>
        <v>5.0543478260870519E-4</v>
      </c>
      <c r="CR170" s="10">
        <f t="shared" si="150"/>
        <v>-2.7173913043471892E-4</v>
      </c>
      <c r="CS170" s="10">
        <f t="shared" si="151"/>
        <v>-5.5434782608686174E-4</v>
      </c>
      <c r="CT170" s="10">
        <f t="shared" si="152"/>
        <v>1.353260869565259E-3</v>
      </c>
      <c r="CU170" s="10">
        <f t="shared" si="153"/>
        <v>-6.4891304347826136E-3</v>
      </c>
      <c r="CV170" s="10">
        <f t="shared" si="154"/>
        <v>-5.288043478260787E-3</v>
      </c>
      <c r="CW170" s="10">
        <f t="shared" si="155"/>
        <v>-2.6739130434782466E-3</v>
      </c>
      <c r="CX170" s="10">
        <f t="shared" si="156"/>
        <v>-2.0108695652171457E-4</v>
      </c>
      <c r="CY170" s="10">
        <f t="shared" si="157"/>
        <v>2.6956521739130942E-3</v>
      </c>
      <c r="CZ170" s="10">
        <f t="shared" si="158"/>
        <v>8.5869565217397783E-4</v>
      </c>
      <c r="DA170" s="10">
        <f t="shared" si="159"/>
        <v>-7.6630434782600019E-4</v>
      </c>
      <c r="DB170" s="10">
        <f t="shared" si="160"/>
        <v>-3.3804347826086661E-3</v>
      </c>
      <c r="DC170" s="10">
        <f t="shared" si="161"/>
        <v>1.0706521739131162E-3</v>
      </c>
      <c r="DD170" s="10">
        <f t="shared" si="162"/>
        <v>-3.0978260869565233E-3</v>
      </c>
      <c r="DE170" s="10">
        <f t="shared" si="163"/>
        <v>1.4239130434782635E-3</v>
      </c>
      <c r="DF170" s="10">
        <f t="shared" si="164"/>
        <v>1.1413043478261207E-3</v>
      </c>
      <c r="DG170" s="10">
        <f t="shared" si="165"/>
        <v>-5.6413043478260594E-3</v>
      </c>
      <c r="DH170" s="10">
        <f t="shared" si="166"/>
        <v>7.8804347826084802E-4</v>
      </c>
      <c r="DI170" s="10">
        <f t="shared" si="167"/>
        <v>-2.6032608695651166E-3</v>
      </c>
      <c r="DJ170" s="10">
        <f t="shared" si="168"/>
        <v>8.5869565217397783E-4</v>
      </c>
      <c r="DK170" s="10">
        <f t="shared" si="169"/>
        <v>-1.1195652173912728E-3</v>
      </c>
      <c r="DL170" s="10">
        <f t="shared" si="170"/>
        <v>-2.461956521739108E-3</v>
      </c>
      <c r="DM170" s="10">
        <f t="shared" si="171"/>
        <v>-6.3478260869564793E-3</v>
      </c>
      <c r="DN170" s="10">
        <f t="shared" si="172"/>
        <v>-2.0108695652171457E-4</v>
      </c>
      <c r="DO170" s="10">
        <f t="shared" si="173"/>
        <v>-2.461956521739108E-3</v>
      </c>
      <c r="DP170" s="10">
        <f t="shared" si="174"/>
        <v>6.4673913043483927E-4</v>
      </c>
      <c r="DQ170" s="10">
        <f t="shared" si="175"/>
        <v>-3.3804347826086661E-3</v>
      </c>
      <c r="DR170" s="10">
        <f t="shared" si="176"/>
        <v>-4.1304347826085305E-4</v>
      </c>
      <c r="DS170" s="10">
        <f t="shared" si="177"/>
        <v>-7.6902173913043145E-3</v>
      </c>
      <c r="DT170" s="10">
        <f t="shared" si="178"/>
        <v>-3.2391304347825322E-3</v>
      </c>
      <c r="DU170" s="10">
        <f t="shared" si="179"/>
        <v>-2.7173913043471892E-4</v>
      </c>
      <c r="DV170" s="10">
        <f t="shared" si="180"/>
        <v>-4.581521739130367E-3</v>
      </c>
      <c r="DW170" s="10">
        <f t="shared" si="181"/>
        <v>-4.7228260869565013E-3</v>
      </c>
    </row>
    <row r="171" spans="2:127" x14ac:dyDescent="0.45">
      <c r="B171" s="1">
        <v>24</v>
      </c>
      <c r="C171" s="1">
        <v>2430</v>
      </c>
      <c r="D171" s="7">
        <f t="shared" si="182"/>
        <v>14.241758241758241</v>
      </c>
      <c r="E171" s="1">
        <v>14.193</v>
      </c>
      <c r="F171" s="1">
        <v>14.241</v>
      </c>
      <c r="G171" s="1">
        <v>14.254</v>
      </c>
      <c r="H171" s="1">
        <v>14.157999999999999</v>
      </c>
      <c r="I171" s="1">
        <v>14.215</v>
      </c>
      <c r="J171" s="1">
        <v>14.218</v>
      </c>
      <c r="K171" s="1">
        <v>14.321999999999999</v>
      </c>
      <c r="L171" s="1">
        <v>14.202999999999999</v>
      </c>
      <c r="M171" s="1">
        <v>14.275</v>
      </c>
      <c r="N171" s="1">
        <v>14.256</v>
      </c>
      <c r="O171" s="1">
        <v>14.218999999999999</v>
      </c>
      <c r="P171" s="1">
        <v>14.211</v>
      </c>
      <c r="Q171" s="1">
        <v>14.256</v>
      </c>
      <c r="R171" s="1">
        <v>14.234</v>
      </c>
      <c r="S171" s="1">
        <v>14.227</v>
      </c>
      <c r="T171" s="1">
        <v>14.263999999999999</v>
      </c>
      <c r="U171" s="1">
        <v>14.254</v>
      </c>
      <c r="V171" s="1">
        <v>14.202999999999999</v>
      </c>
      <c r="W171" s="1">
        <v>14.209</v>
      </c>
      <c r="X171" s="1">
        <v>14.188000000000001</v>
      </c>
      <c r="Y171" s="1">
        <v>14.222</v>
      </c>
      <c r="Z171" s="1">
        <v>14.196</v>
      </c>
      <c r="AA171" s="1">
        <v>14.247</v>
      </c>
      <c r="AB171" s="1">
        <v>14.19</v>
      </c>
      <c r="AC171" s="1">
        <v>14.208</v>
      </c>
      <c r="AD171" s="1">
        <v>14.244999999999999</v>
      </c>
      <c r="AE171" s="1">
        <v>14.211</v>
      </c>
      <c r="AF171" s="1">
        <v>14.25</v>
      </c>
      <c r="AG171" s="1">
        <v>14.238</v>
      </c>
      <c r="AH171" s="1">
        <v>14.234999999999999</v>
      </c>
      <c r="AI171" s="1">
        <v>14.260999999999999</v>
      </c>
      <c r="AJ171" s="1">
        <v>14.147</v>
      </c>
      <c r="AK171" s="1">
        <v>14.166</v>
      </c>
      <c r="AL171" s="1">
        <v>14.204000000000001</v>
      </c>
      <c r="AM171" s="1">
        <v>14.238</v>
      </c>
      <c r="AN171" s="1">
        <v>14.279</v>
      </c>
      <c r="AO171" s="1">
        <v>14.254</v>
      </c>
      <c r="AP171" s="1">
        <v>14.23</v>
      </c>
      <c r="AQ171" s="1">
        <v>14.19</v>
      </c>
      <c r="AR171" s="1">
        <v>14.257</v>
      </c>
      <c r="AS171" s="1">
        <v>14.196999999999999</v>
      </c>
      <c r="AT171" s="1">
        <v>14.262</v>
      </c>
      <c r="AU171" s="1">
        <v>14.257</v>
      </c>
      <c r="AV171" s="1">
        <v>14.162000000000001</v>
      </c>
      <c r="AW171" s="1">
        <v>14.253</v>
      </c>
      <c r="AX171" s="1">
        <v>14.205</v>
      </c>
      <c r="AY171" s="1">
        <v>14.256</v>
      </c>
      <c r="AZ171" s="1">
        <v>14.228</v>
      </c>
      <c r="BA171" s="1">
        <v>14.205</v>
      </c>
      <c r="BB171" s="1">
        <v>14.151999999999999</v>
      </c>
      <c r="BC171" s="1">
        <v>14.242000000000001</v>
      </c>
      <c r="BD171" s="1">
        <v>14.205</v>
      </c>
      <c r="BE171" s="1">
        <v>14.250999999999999</v>
      </c>
      <c r="BF171" s="1">
        <v>14.193</v>
      </c>
      <c r="BG171" s="1">
        <v>14.231</v>
      </c>
      <c r="BH171" s="1">
        <v>14.129</v>
      </c>
      <c r="BI171" s="1">
        <v>14.196999999999999</v>
      </c>
      <c r="BJ171" s="1">
        <v>14.237</v>
      </c>
      <c r="BK171" s="1">
        <v>14.177</v>
      </c>
      <c r="BL171" s="1">
        <v>14.173999999999999</v>
      </c>
      <c r="BN171" s="9">
        <v>24</v>
      </c>
      <c r="BO171" s="9">
        <v>2430</v>
      </c>
      <c r="BP171" s="10">
        <f t="shared" si="122"/>
        <v>-3.4236111111110778E-3</v>
      </c>
      <c r="BQ171" s="10">
        <f t="shared" si="123"/>
        <v>-5.3240740740704382E-5</v>
      </c>
      <c r="BR171" s="10">
        <f t="shared" si="124"/>
        <v>8.5956790123459736E-4</v>
      </c>
      <c r="BS171" s="10">
        <f t="shared" si="125"/>
        <v>-5.88117283950615E-3</v>
      </c>
      <c r="BT171" s="10">
        <f t="shared" si="126"/>
        <v>-1.8788580246913078E-3</v>
      </c>
      <c r="BU171" s="10">
        <f t="shared" si="127"/>
        <v>-1.6682098765431516E-3</v>
      </c>
      <c r="BV171" s="10">
        <f t="shared" si="128"/>
        <v>5.6342592592592625E-3</v>
      </c>
      <c r="BW171" s="10">
        <f t="shared" si="129"/>
        <v>-2.7214506172839326E-3</v>
      </c>
      <c r="BX171" s="10">
        <f t="shared" si="130"/>
        <v>2.3341049382716904E-3</v>
      </c>
      <c r="BY171" s="10">
        <f t="shared" si="131"/>
        <v>1.0000000000000763E-3</v>
      </c>
      <c r="BZ171" s="10">
        <f t="shared" si="132"/>
        <v>-1.5979938271604745E-3</v>
      </c>
      <c r="CA171" s="10">
        <f t="shared" si="133"/>
        <v>-2.1597222222221411E-3</v>
      </c>
      <c r="CB171" s="10">
        <f t="shared" si="134"/>
        <v>1.0000000000000763E-3</v>
      </c>
      <c r="CC171" s="10">
        <f t="shared" si="135"/>
        <v>-5.4475308641969381E-4</v>
      </c>
      <c r="CD171" s="10">
        <f t="shared" si="136"/>
        <v>-1.0362654320986832E-3</v>
      </c>
      <c r="CE171" s="10">
        <f t="shared" si="137"/>
        <v>1.5617283950617429E-3</v>
      </c>
      <c r="CF171" s="10">
        <f t="shared" si="138"/>
        <v>8.5956790123459736E-4</v>
      </c>
      <c r="CG171" s="10">
        <f t="shared" si="139"/>
        <v>-2.7214506172839326E-3</v>
      </c>
      <c r="CH171" s="10">
        <f t="shared" si="140"/>
        <v>-2.3001543209876202E-3</v>
      </c>
      <c r="CI171" s="10">
        <f t="shared" si="141"/>
        <v>-3.7746913580245884E-3</v>
      </c>
      <c r="CJ171" s="10">
        <f t="shared" si="142"/>
        <v>-1.3873456790123183E-3</v>
      </c>
      <c r="CK171" s="10">
        <f t="shared" si="143"/>
        <v>-3.2129629629629218E-3</v>
      </c>
      <c r="CL171" s="10">
        <f t="shared" si="144"/>
        <v>3.6805555555560792E-4</v>
      </c>
      <c r="CM171" s="10">
        <f t="shared" si="145"/>
        <v>-3.6342592592592342E-3</v>
      </c>
      <c r="CN171" s="10">
        <f t="shared" si="146"/>
        <v>-2.370370370370297E-3</v>
      </c>
      <c r="CO171" s="10">
        <f t="shared" si="147"/>
        <v>2.276234567901289E-4</v>
      </c>
      <c r="CP171" s="10">
        <f t="shared" si="148"/>
        <v>-2.1597222222221411E-3</v>
      </c>
      <c r="CQ171" s="10">
        <f t="shared" si="149"/>
        <v>5.7870370370376406E-4</v>
      </c>
      <c r="CR171" s="10">
        <f t="shared" si="150"/>
        <v>-2.6388888888886051E-4</v>
      </c>
      <c r="CS171" s="10">
        <f t="shared" si="151"/>
        <v>-4.7453703703701666E-4</v>
      </c>
      <c r="CT171" s="10">
        <f t="shared" si="152"/>
        <v>1.3510802469135867E-3</v>
      </c>
      <c r="CU171" s="10">
        <f t="shared" si="153"/>
        <v>-6.6535493827159726E-3</v>
      </c>
      <c r="CV171" s="10">
        <f t="shared" si="154"/>
        <v>-5.3194444444443585E-3</v>
      </c>
      <c r="CW171" s="10">
        <f t="shared" si="155"/>
        <v>-2.6512345679011303E-3</v>
      </c>
      <c r="CX171" s="10">
        <f t="shared" si="156"/>
        <v>-2.6388888888886051E-4</v>
      </c>
      <c r="CY171" s="10">
        <f t="shared" si="157"/>
        <v>2.6149691358025237E-3</v>
      </c>
      <c r="CZ171" s="10">
        <f t="shared" si="158"/>
        <v>8.5956790123459736E-4</v>
      </c>
      <c r="DA171" s="10">
        <f t="shared" si="159"/>
        <v>-8.2561728395052711E-4</v>
      </c>
      <c r="DB171" s="10">
        <f t="shared" si="160"/>
        <v>-3.6342592592592342E-3</v>
      </c>
      <c r="DC171" s="10">
        <f t="shared" si="161"/>
        <v>1.0702160493827534E-3</v>
      </c>
      <c r="DD171" s="10">
        <f t="shared" si="162"/>
        <v>-3.1427469135802445E-3</v>
      </c>
      <c r="DE171" s="10">
        <f t="shared" si="163"/>
        <v>1.4212962962963885E-3</v>
      </c>
      <c r="DF171" s="10">
        <f t="shared" si="164"/>
        <v>1.0702160493827534E-3</v>
      </c>
      <c r="DG171" s="10">
        <f t="shared" si="165"/>
        <v>-5.6003086419751918E-3</v>
      </c>
      <c r="DH171" s="10">
        <f t="shared" si="166"/>
        <v>7.8935185185192015E-4</v>
      </c>
      <c r="DI171" s="10">
        <f t="shared" si="167"/>
        <v>-2.5810185185184535E-3</v>
      </c>
      <c r="DJ171" s="10">
        <f t="shared" si="168"/>
        <v>1.0000000000000763E-3</v>
      </c>
      <c r="DK171" s="10">
        <f t="shared" si="169"/>
        <v>-9.660493827160061E-4</v>
      </c>
      <c r="DL171" s="10">
        <f t="shared" si="170"/>
        <v>-2.5810185185184535E-3</v>
      </c>
      <c r="DM171" s="10">
        <f t="shared" si="171"/>
        <v>-6.3024691358024619E-3</v>
      </c>
      <c r="DN171" s="10">
        <f t="shared" si="172"/>
        <v>1.6975308642097485E-5</v>
      </c>
      <c r="DO171" s="10">
        <f t="shared" si="173"/>
        <v>-2.5810185185184535E-3</v>
      </c>
      <c r="DP171" s="10">
        <f t="shared" si="174"/>
        <v>6.4891975308644116E-4</v>
      </c>
      <c r="DQ171" s="10">
        <f t="shared" si="175"/>
        <v>-3.4236111111110778E-3</v>
      </c>
      <c r="DR171" s="10">
        <f t="shared" si="176"/>
        <v>-7.554012345678499E-4</v>
      </c>
      <c r="DS171" s="10">
        <f t="shared" si="177"/>
        <v>-7.9174382716049093E-3</v>
      </c>
      <c r="DT171" s="10">
        <f t="shared" si="178"/>
        <v>-3.1427469135802445E-3</v>
      </c>
      <c r="DU171" s="10">
        <f t="shared" si="179"/>
        <v>-3.3410493827153767E-4</v>
      </c>
      <c r="DV171" s="10">
        <f t="shared" si="180"/>
        <v>-4.5470679012345359E-3</v>
      </c>
      <c r="DW171" s="10">
        <f t="shared" si="181"/>
        <v>-4.7577160493826919E-3</v>
      </c>
    </row>
    <row r="172" spans="2:127" x14ac:dyDescent="0.45">
      <c r="B172" s="1">
        <v>24</v>
      </c>
      <c r="C172" s="1">
        <v>2445</v>
      </c>
      <c r="D172" s="7">
        <f t="shared" si="182"/>
        <v>14.32967032967033</v>
      </c>
      <c r="E172" s="1">
        <v>14.279</v>
      </c>
      <c r="F172" s="1">
        <v>14.329000000000001</v>
      </c>
      <c r="G172" s="1">
        <v>14.340999999999999</v>
      </c>
      <c r="H172" s="1">
        <v>14.244999999999999</v>
      </c>
      <c r="I172" s="1">
        <v>14.303000000000001</v>
      </c>
      <c r="J172" s="1">
        <v>14.303000000000001</v>
      </c>
      <c r="K172" s="1">
        <v>14.41</v>
      </c>
      <c r="L172" s="1">
        <v>14.288</v>
      </c>
      <c r="M172" s="1">
        <v>14.363</v>
      </c>
      <c r="N172" s="1">
        <v>14.346</v>
      </c>
      <c r="O172" s="1">
        <v>14.307</v>
      </c>
      <c r="P172" s="1">
        <v>14.298</v>
      </c>
      <c r="Q172" s="1">
        <v>14.342000000000001</v>
      </c>
      <c r="R172" s="1">
        <v>14.321</v>
      </c>
      <c r="S172" s="1">
        <v>14.314</v>
      </c>
      <c r="T172" s="1">
        <v>14.352</v>
      </c>
      <c r="U172" s="1">
        <v>14.342000000000001</v>
      </c>
      <c r="V172" s="1">
        <v>14.291</v>
      </c>
      <c r="W172" s="1">
        <v>14.295999999999999</v>
      </c>
      <c r="X172" s="1">
        <v>14.282999999999999</v>
      </c>
      <c r="Y172" s="1">
        <v>14.305999999999999</v>
      </c>
      <c r="Z172" s="1">
        <v>14.284000000000001</v>
      </c>
      <c r="AA172" s="1">
        <v>14.334</v>
      </c>
      <c r="AB172" s="1">
        <v>14.276999999999999</v>
      </c>
      <c r="AC172" s="1">
        <v>14.295999999999999</v>
      </c>
      <c r="AD172" s="1">
        <v>14.333</v>
      </c>
      <c r="AE172" s="1">
        <v>14.298999999999999</v>
      </c>
      <c r="AF172" s="1">
        <v>14.337999999999999</v>
      </c>
      <c r="AG172" s="1">
        <v>14.323</v>
      </c>
      <c r="AH172" s="1">
        <v>14.323</v>
      </c>
      <c r="AI172" s="1">
        <v>14.35</v>
      </c>
      <c r="AJ172" s="1">
        <v>14.234999999999999</v>
      </c>
      <c r="AK172" s="1">
        <v>14.253</v>
      </c>
      <c r="AL172" s="1">
        <v>14.292</v>
      </c>
      <c r="AM172" s="1">
        <v>14.326000000000001</v>
      </c>
      <c r="AN172" s="1">
        <v>14.368</v>
      </c>
      <c r="AO172" s="1">
        <v>14.342000000000001</v>
      </c>
      <c r="AP172" s="1">
        <v>14.318</v>
      </c>
      <c r="AQ172" s="1">
        <v>14.276</v>
      </c>
      <c r="AR172" s="1">
        <v>14.346</v>
      </c>
      <c r="AS172" s="1">
        <v>14.284000000000001</v>
      </c>
      <c r="AT172" s="1">
        <v>14.346</v>
      </c>
      <c r="AU172" s="1">
        <v>14.342000000000001</v>
      </c>
      <c r="AV172" s="1">
        <v>14.249000000000001</v>
      </c>
      <c r="AW172" s="1">
        <v>14.340999999999999</v>
      </c>
      <c r="AX172" s="1">
        <v>14.292</v>
      </c>
      <c r="AY172" s="1">
        <v>14.343999999999999</v>
      </c>
      <c r="AZ172" s="1">
        <v>14.315</v>
      </c>
      <c r="BA172" s="1">
        <v>14.294</v>
      </c>
      <c r="BB172" s="1">
        <v>14.238</v>
      </c>
      <c r="BC172" s="1">
        <v>14.329000000000001</v>
      </c>
      <c r="BD172" s="1">
        <v>14.294</v>
      </c>
      <c r="BE172" s="1">
        <v>14.34</v>
      </c>
      <c r="BF172" s="1">
        <v>14.279</v>
      </c>
      <c r="BG172" s="1">
        <v>14.321</v>
      </c>
      <c r="BH172" s="1">
        <v>14.215</v>
      </c>
      <c r="BI172" s="1">
        <v>14.285</v>
      </c>
      <c r="BJ172" s="1">
        <v>14.323</v>
      </c>
      <c r="BK172" s="1">
        <v>14.27</v>
      </c>
      <c r="BL172" s="1">
        <v>14.260999999999999</v>
      </c>
      <c r="BN172" s="9">
        <v>24</v>
      </c>
      <c r="BO172" s="9">
        <v>2445</v>
      </c>
      <c r="BP172" s="10">
        <f t="shared" si="122"/>
        <v>-3.5360429447853243E-3</v>
      </c>
      <c r="BQ172" s="10">
        <f t="shared" si="123"/>
        <v>-4.6779141104293072E-5</v>
      </c>
      <c r="BR172" s="10">
        <f t="shared" si="124"/>
        <v>7.9064417177905025E-4</v>
      </c>
      <c r="BS172" s="10">
        <f t="shared" si="125"/>
        <v>-5.9087423312884401E-3</v>
      </c>
      <c r="BT172" s="10">
        <f t="shared" si="126"/>
        <v>-1.8611963190183895E-3</v>
      </c>
      <c r="BU172" s="10">
        <f t="shared" si="127"/>
        <v>-1.8611963190183895E-3</v>
      </c>
      <c r="BV172" s="10">
        <f t="shared" si="128"/>
        <v>5.6058282208588635E-3</v>
      </c>
      <c r="BW172" s="10">
        <f t="shared" si="129"/>
        <v>-2.9079754601227235E-3</v>
      </c>
      <c r="BX172" s="10">
        <f t="shared" si="130"/>
        <v>2.3259202453986987E-3</v>
      </c>
      <c r="BY172" s="10">
        <f t="shared" si="131"/>
        <v>1.1395705521472029E-3</v>
      </c>
      <c r="BZ172" s="10">
        <f t="shared" si="132"/>
        <v>-1.5820552147239417E-3</v>
      </c>
      <c r="CA172" s="10">
        <f t="shared" si="133"/>
        <v>-2.2101226993865423E-3</v>
      </c>
      <c r="CB172" s="10">
        <f t="shared" si="134"/>
        <v>8.6042944785275511E-4</v>
      </c>
      <c r="CC172" s="10">
        <f t="shared" si="135"/>
        <v>-6.0506134969331255E-4</v>
      </c>
      <c r="CD172" s="10">
        <f t="shared" si="136"/>
        <v>-1.0935582822086272E-3</v>
      </c>
      <c r="CE172" s="10">
        <f t="shared" si="137"/>
        <v>1.5582822085889365E-3</v>
      </c>
      <c r="CF172" s="10">
        <f t="shared" si="138"/>
        <v>8.6042944785275511E-4</v>
      </c>
      <c r="CG172" s="10">
        <f t="shared" si="139"/>
        <v>-2.698619631901857E-3</v>
      </c>
      <c r="CH172" s="10">
        <f t="shared" si="140"/>
        <v>-2.349693251533828E-3</v>
      </c>
      <c r="CI172" s="10">
        <f t="shared" si="141"/>
        <v>-3.2569018404908765E-3</v>
      </c>
      <c r="CJ172" s="10">
        <f t="shared" si="142"/>
        <v>-1.6518404907976468E-3</v>
      </c>
      <c r="CK172" s="10">
        <f t="shared" si="143"/>
        <v>-3.1871165644171712E-3</v>
      </c>
      <c r="CL172" s="10">
        <f t="shared" si="144"/>
        <v>3.0214723926373567E-4</v>
      </c>
      <c r="CM172" s="10">
        <f t="shared" si="145"/>
        <v>-3.67561349693261E-3</v>
      </c>
      <c r="CN172" s="10">
        <f t="shared" si="146"/>
        <v>-2.349693251533828E-3</v>
      </c>
      <c r="CO172" s="10">
        <f t="shared" si="147"/>
        <v>2.3236196319015469E-4</v>
      </c>
      <c r="CP172" s="10">
        <f t="shared" si="148"/>
        <v>-2.1403374233129615E-3</v>
      </c>
      <c r="CQ172" s="10">
        <f t="shared" si="149"/>
        <v>5.8128834355818343E-4</v>
      </c>
      <c r="CR172" s="10">
        <f t="shared" si="150"/>
        <v>-4.6549079754602672E-4</v>
      </c>
      <c r="CS172" s="10">
        <f t="shared" si="151"/>
        <v>-4.6549079754602672E-4</v>
      </c>
      <c r="CT172" s="10">
        <f t="shared" si="152"/>
        <v>1.4187116564416506E-3</v>
      </c>
      <c r="CU172" s="10">
        <f t="shared" si="153"/>
        <v>-6.6065950920246213E-3</v>
      </c>
      <c r="CV172" s="10">
        <f t="shared" si="154"/>
        <v>-5.3504601226994205E-3</v>
      </c>
      <c r="CW172" s="10">
        <f t="shared" si="155"/>
        <v>-2.6288343558282757E-3</v>
      </c>
      <c r="CX172" s="10">
        <f t="shared" si="156"/>
        <v>-2.5613496932515989E-4</v>
      </c>
      <c r="CY172" s="10">
        <f t="shared" si="157"/>
        <v>2.6748466257668518E-3</v>
      </c>
      <c r="CZ172" s="10">
        <f t="shared" si="158"/>
        <v>8.6042944785275511E-4</v>
      </c>
      <c r="DA172" s="10">
        <f t="shared" si="159"/>
        <v>-8.1441717791417938E-4</v>
      </c>
      <c r="DB172" s="10">
        <f t="shared" si="160"/>
        <v>-3.7453987730061908E-3</v>
      </c>
      <c r="DC172" s="10">
        <f t="shared" si="161"/>
        <v>1.1395705521472029E-3</v>
      </c>
      <c r="DD172" s="10">
        <f t="shared" si="162"/>
        <v>-3.1871165644171712E-3</v>
      </c>
      <c r="DE172" s="10">
        <f t="shared" si="163"/>
        <v>1.1395705521472029E-3</v>
      </c>
      <c r="DF172" s="10">
        <f t="shared" si="164"/>
        <v>8.6042944785275511E-4</v>
      </c>
      <c r="DG172" s="10">
        <f t="shared" si="165"/>
        <v>-5.6296012269938687E-3</v>
      </c>
      <c r="DH172" s="10">
        <f t="shared" si="166"/>
        <v>7.9064417177905025E-4</v>
      </c>
      <c r="DI172" s="10">
        <f t="shared" si="167"/>
        <v>-2.6288343558282757E-3</v>
      </c>
      <c r="DJ172" s="10">
        <f t="shared" si="168"/>
        <v>9.9999999999991697E-4</v>
      </c>
      <c r="DK172" s="10">
        <f t="shared" si="169"/>
        <v>-1.0237730061350462E-3</v>
      </c>
      <c r="DL172" s="10">
        <f t="shared" si="170"/>
        <v>-2.4892638036809901E-3</v>
      </c>
      <c r="DM172" s="10">
        <f t="shared" si="171"/>
        <v>-6.3972392638037548E-3</v>
      </c>
      <c r="DN172" s="10">
        <f t="shared" si="172"/>
        <v>-4.6779141104293072E-5</v>
      </c>
      <c r="DO172" s="10">
        <f t="shared" si="173"/>
        <v>-2.4892638036809901E-3</v>
      </c>
      <c r="DP172" s="10">
        <f t="shared" si="174"/>
        <v>7.2085889570546932E-4</v>
      </c>
      <c r="DQ172" s="10">
        <f t="shared" si="175"/>
        <v>-3.5360429447853243E-3</v>
      </c>
      <c r="DR172" s="10">
        <f t="shared" si="176"/>
        <v>-6.0506134969331255E-4</v>
      </c>
      <c r="DS172" s="10">
        <f t="shared" si="177"/>
        <v>-8.0023006134969845E-3</v>
      </c>
      <c r="DT172" s="10">
        <f t="shared" si="178"/>
        <v>-3.1173312883435904E-3</v>
      </c>
      <c r="DU172" s="10">
        <f t="shared" si="179"/>
        <v>-4.6549079754602672E-4</v>
      </c>
      <c r="DV172" s="10">
        <f t="shared" si="180"/>
        <v>-4.1641104294479247E-3</v>
      </c>
      <c r="DW172" s="10">
        <f t="shared" si="181"/>
        <v>-4.792177914110525E-3</v>
      </c>
    </row>
    <row r="173" spans="2:127" x14ac:dyDescent="0.45">
      <c r="B173" s="1">
        <v>24</v>
      </c>
      <c r="C173" s="1">
        <v>2460</v>
      </c>
      <c r="D173" s="7">
        <f t="shared" si="182"/>
        <v>14.417582417582418</v>
      </c>
      <c r="E173" s="1">
        <v>14.367000000000001</v>
      </c>
      <c r="F173" s="1">
        <v>14.417</v>
      </c>
      <c r="G173" s="1">
        <v>14.429</v>
      </c>
      <c r="H173" s="1">
        <v>14.331</v>
      </c>
      <c r="I173" s="1">
        <v>14.39</v>
      </c>
      <c r="J173" s="1">
        <v>14.388</v>
      </c>
      <c r="K173" s="1">
        <v>14.497</v>
      </c>
      <c r="L173" s="1">
        <v>14.371</v>
      </c>
      <c r="M173" s="1">
        <v>14.451000000000001</v>
      </c>
      <c r="N173" s="1">
        <v>14.432</v>
      </c>
      <c r="O173" s="1">
        <v>14.394</v>
      </c>
      <c r="P173" s="1">
        <v>14.384</v>
      </c>
      <c r="Q173" s="1">
        <v>14.430999999999999</v>
      </c>
      <c r="R173" s="1">
        <v>14.407</v>
      </c>
      <c r="S173" s="1">
        <v>14.401999999999999</v>
      </c>
      <c r="T173" s="1">
        <v>14.443</v>
      </c>
      <c r="U173" s="1">
        <v>14.430999999999999</v>
      </c>
      <c r="V173" s="1">
        <v>14.379</v>
      </c>
      <c r="W173" s="1">
        <v>14.385999999999999</v>
      </c>
      <c r="X173" s="1">
        <v>14.367000000000001</v>
      </c>
      <c r="Y173" s="1">
        <v>14.393000000000001</v>
      </c>
      <c r="Z173" s="1">
        <v>14.371</v>
      </c>
      <c r="AA173" s="1">
        <v>14.422000000000001</v>
      </c>
      <c r="AB173" s="1">
        <v>14.365</v>
      </c>
      <c r="AC173" s="1">
        <v>14.382</v>
      </c>
      <c r="AD173" s="1">
        <v>14.420999999999999</v>
      </c>
      <c r="AE173" s="1">
        <v>14.385999999999999</v>
      </c>
      <c r="AF173" s="1">
        <v>14.426</v>
      </c>
      <c r="AG173" s="1">
        <v>14.412000000000001</v>
      </c>
      <c r="AH173" s="1">
        <v>14.409000000000001</v>
      </c>
      <c r="AI173" s="1">
        <v>14.439</v>
      </c>
      <c r="AJ173" s="1">
        <v>14.319000000000001</v>
      </c>
      <c r="AK173" s="1">
        <v>14.34</v>
      </c>
      <c r="AL173" s="1">
        <v>14.379</v>
      </c>
      <c r="AM173" s="1">
        <v>14.416</v>
      </c>
      <c r="AN173" s="1">
        <v>14.454000000000001</v>
      </c>
      <c r="AO173" s="1">
        <v>14.429</v>
      </c>
      <c r="AP173" s="1">
        <v>14.404999999999999</v>
      </c>
      <c r="AQ173" s="1">
        <v>14.361000000000001</v>
      </c>
      <c r="AR173" s="1">
        <v>14.436</v>
      </c>
      <c r="AS173" s="1">
        <v>14.371</v>
      </c>
      <c r="AT173" s="1">
        <v>14.435</v>
      </c>
      <c r="AU173" s="1">
        <v>14.430999999999999</v>
      </c>
      <c r="AV173" s="1">
        <v>14.329000000000001</v>
      </c>
      <c r="AW173" s="1">
        <v>14.429</v>
      </c>
      <c r="AX173" s="1">
        <v>14.38</v>
      </c>
      <c r="AY173" s="1">
        <v>14.432</v>
      </c>
      <c r="AZ173" s="1">
        <v>14.403</v>
      </c>
      <c r="BA173" s="1">
        <v>14.379</v>
      </c>
      <c r="BB173" s="1">
        <v>14.326000000000001</v>
      </c>
      <c r="BC173" s="1">
        <v>14.417</v>
      </c>
      <c r="BD173" s="1">
        <v>14.382</v>
      </c>
      <c r="BE173" s="1">
        <v>14.425000000000001</v>
      </c>
      <c r="BF173" s="1">
        <v>14.367000000000001</v>
      </c>
      <c r="BG173" s="1">
        <v>14.409000000000001</v>
      </c>
      <c r="BH173" s="1">
        <v>14.303000000000001</v>
      </c>
      <c r="BI173" s="1">
        <v>14.372</v>
      </c>
      <c r="BJ173" s="1">
        <v>14.412000000000001</v>
      </c>
      <c r="BK173" s="1">
        <v>14.349</v>
      </c>
      <c r="BL173" s="1">
        <v>14.343999999999999</v>
      </c>
      <c r="BN173" s="9">
        <v>24</v>
      </c>
      <c r="BO173" s="9">
        <v>2460</v>
      </c>
      <c r="BP173" s="10">
        <f t="shared" si="122"/>
        <v>-3.5083841463414227E-3</v>
      </c>
      <c r="BQ173" s="10">
        <f t="shared" si="123"/>
        <v>-4.0396341463447759E-5</v>
      </c>
      <c r="BR173" s="10">
        <f t="shared" si="124"/>
        <v>7.919207317073155E-4</v>
      </c>
      <c r="BS173" s="10">
        <f t="shared" si="125"/>
        <v>-6.0053353658537124E-3</v>
      </c>
      <c r="BT173" s="10">
        <f t="shared" si="126"/>
        <v>-1.9131097560975419E-3</v>
      </c>
      <c r="BU173" s="10">
        <f t="shared" si="127"/>
        <v>-2.0518292682927099E-3</v>
      </c>
      <c r="BV173" s="10">
        <f t="shared" si="128"/>
        <v>5.5083841463414353E-3</v>
      </c>
      <c r="BW173" s="10">
        <f t="shared" si="129"/>
        <v>-3.2309451219512094E-3</v>
      </c>
      <c r="BX173" s="10">
        <f t="shared" si="130"/>
        <v>2.3178353658536736E-3</v>
      </c>
      <c r="BY173" s="10">
        <f t="shared" si="131"/>
        <v>1.0000000000000063E-3</v>
      </c>
      <c r="BZ173" s="10">
        <f t="shared" si="132"/>
        <v>-1.6356707317073285E-3</v>
      </c>
      <c r="CA173" s="10">
        <f t="shared" si="133"/>
        <v>-2.3292682926829233E-3</v>
      </c>
      <c r="CB173" s="10">
        <f t="shared" si="134"/>
        <v>9.306402439023606E-4</v>
      </c>
      <c r="CC173" s="10">
        <f t="shared" si="135"/>
        <v>-7.3399390243904271E-4</v>
      </c>
      <c r="CD173" s="10">
        <f t="shared" si="136"/>
        <v>-1.0807926829269018E-3</v>
      </c>
      <c r="CE173" s="10">
        <f t="shared" si="137"/>
        <v>1.7629573170731237E-3</v>
      </c>
      <c r="CF173" s="10">
        <f t="shared" si="138"/>
        <v>9.306402439023606E-4</v>
      </c>
      <c r="CG173" s="10">
        <f t="shared" si="139"/>
        <v>-2.6760670731707827E-3</v>
      </c>
      <c r="CH173" s="10">
        <f t="shared" si="140"/>
        <v>-2.1905487804878784E-3</v>
      </c>
      <c r="CI173" s="10">
        <f t="shared" si="141"/>
        <v>-3.5083841463414227E-3</v>
      </c>
      <c r="CJ173" s="10">
        <f t="shared" si="142"/>
        <v>-1.7050304878048509E-3</v>
      </c>
      <c r="CK173" s="10">
        <f t="shared" si="143"/>
        <v>-3.2309451219512094E-3</v>
      </c>
      <c r="CL173" s="10">
        <f t="shared" si="144"/>
        <v>3.0640243902441133E-4</v>
      </c>
      <c r="CM173" s="10">
        <f t="shared" si="145"/>
        <v>-3.6471036585365908E-3</v>
      </c>
      <c r="CN173" s="10">
        <f t="shared" si="146"/>
        <v>-2.4679878048780917E-3</v>
      </c>
      <c r="CO173" s="10">
        <f t="shared" si="147"/>
        <v>2.3704268292676559E-4</v>
      </c>
      <c r="CP173" s="10">
        <f t="shared" si="148"/>
        <v>-2.1905487804878784E-3</v>
      </c>
      <c r="CQ173" s="10">
        <f t="shared" si="149"/>
        <v>5.8384146341462469E-4</v>
      </c>
      <c r="CR173" s="10">
        <f t="shared" si="150"/>
        <v>-3.8719512195118364E-4</v>
      </c>
      <c r="CS173" s="10">
        <f t="shared" si="151"/>
        <v>-5.9527439024387445E-4</v>
      </c>
      <c r="CT173" s="10">
        <f t="shared" si="152"/>
        <v>1.4855182926829104E-3</v>
      </c>
      <c r="CU173" s="10">
        <f t="shared" si="153"/>
        <v>-6.8376524390243521E-3</v>
      </c>
      <c r="CV173" s="10">
        <f t="shared" si="154"/>
        <v>-5.3810975609756397E-3</v>
      </c>
      <c r="CW173" s="10">
        <f t="shared" si="155"/>
        <v>-2.6760670731707827E-3</v>
      </c>
      <c r="CX173" s="10">
        <f t="shared" si="156"/>
        <v>-1.0975609756097029E-4</v>
      </c>
      <c r="CY173" s="10">
        <f t="shared" si="157"/>
        <v>2.5259146341463645E-3</v>
      </c>
      <c r="CZ173" s="10">
        <f t="shared" si="158"/>
        <v>7.919207317073155E-4</v>
      </c>
      <c r="DA173" s="10">
        <f t="shared" si="159"/>
        <v>-8.7271341463421098E-4</v>
      </c>
      <c r="DB173" s="10">
        <f t="shared" si="160"/>
        <v>-3.9245426829268041E-3</v>
      </c>
      <c r="DC173" s="10">
        <f t="shared" si="161"/>
        <v>1.2774390243902197E-3</v>
      </c>
      <c r="DD173" s="10">
        <f t="shared" si="162"/>
        <v>-3.2309451219512094E-3</v>
      </c>
      <c r="DE173" s="10">
        <f t="shared" si="163"/>
        <v>1.208079268292697E-3</v>
      </c>
      <c r="DF173" s="10">
        <f t="shared" si="164"/>
        <v>9.306402439023606E-4</v>
      </c>
      <c r="DG173" s="10">
        <f t="shared" si="165"/>
        <v>-6.1440548780487573E-3</v>
      </c>
      <c r="DH173" s="10">
        <f t="shared" si="166"/>
        <v>7.919207317073155E-4</v>
      </c>
      <c r="DI173" s="10">
        <f t="shared" si="167"/>
        <v>-2.6067073170731366E-3</v>
      </c>
      <c r="DJ173" s="10">
        <f t="shared" si="168"/>
        <v>1.0000000000000063E-3</v>
      </c>
      <c r="DK173" s="10">
        <f t="shared" si="169"/>
        <v>-1.011432926829256E-3</v>
      </c>
      <c r="DL173" s="10">
        <f t="shared" si="170"/>
        <v>-2.6760670731707827E-3</v>
      </c>
      <c r="DM173" s="10">
        <f t="shared" si="171"/>
        <v>-6.3521341463414482E-3</v>
      </c>
      <c r="DN173" s="10">
        <f t="shared" si="172"/>
        <v>-4.0396341463447759E-5</v>
      </c>
      <c r="DO173" s="10">
        <f t="shared" si="173"/>
        <v>-2.4679878048780917E-3</v>
      </c>
      <c r="DP173" s="10">
        <f t="shared" si="174"/>
        <v>5.1448170731710214E-4</v>
      </c>
      <c r="DQ173" s="10">
        <f t="shared" si="175"/>
        <v>-3.5083841463414227E-3</v>
      </c>
      <c r="DR173" s="10">
        <f t="shared" si="176"/>
        <v>-5.9527439024387445E-4</v>
      </c>
      <c r="DS173" s="10">
        <f t="shared" si="177"/>
        <v>-7.9474085365853295E-3</v>
      </c>
      <c r="DT173" s="10">
        <f t="shared" si="178"/>
        <v>-3.1615853658536865E-3</v>
      </c>
      <c r="DU173" s="10">
        <f t="shared" si="179"/>
        <v>-3.8719512195118364E-4</v>
      </c>
      <c r="DV173" s="10">
        <f t="shared" si="180"/>
        <v>-4.7568597560975678E-3</v>
      </c>
      <c r="DW173" s="10">
        <f t="shared" si="181"/>
        <v>-5.1036585365854268E-3</v>
      </c>
    </row>
    <row r="174" spans="2:127" x14ac:dyDescent="0.45">
      <c r="B174" s="1">
        <v>24</v>
      </c>
      <c r="C174" s="1">
        <v>2475</v>
      </c>
      <c r="D174" s="7">
        <f t="shared" si="182"/>
        <v>14.505494505494505</v>
      </c>
      <c r="E174" s="1">
        <v>14.455</v>
      </c>
      <c r="F174" s="1">
        <v>14.506</v>
      </c>
      <c r="G174" s="1">
        <v>14.516</v>
      </c>
      <c r="H174" s="1">
        <v>14.417999999999999</v>
      </c>
      <c r="I174" s="1">
        <v>14.477</v>
      </c>
      <c r="J174" s="1">
        <v>14.475</v>
      </c>
      <c r="K174" s="1">
        <v>14.584</v>
      </c>
      <c r="L174" s="1">
        <v>14.46</v>
      </c>
      <c r="M174" s="1">
        <v>14.539</v>
      </c>
      <c r="N174" s="1">
        <v>14.523</v>
      </c>
      <c r="O174" s="1">
        <v>14.478</v>
      </c>
      <c r="P174" s="1">
        <v>14.474</v>
      </c>
      <c r="Q174" s="1">
        <v>14.516999999999999</v>
      </c>
      <c r="R174" s="1">
        <v>14.493</v>
      </c>
      <c r="S174" s="1">
        <v>14.49</v>
      </c>
      <c r="T174" s="1">
        <v>14.53</v>
      </c>
      <c r="U174" s="1">
        <v>14.516</v>
      </c>
      <c r="V174" s="1">
        <v>14.465999999999999</v>
      </c>
      <c r="W174" s="1">
        <v>14.473000000000001</v>
      </c>
      <c r="X174" s="1">
        <v>14.451000000000001</v>
      </c>
      <c r="Y174" s="1">
        <v>14.481</v>
      </c>
      <c r="Z174" s="1">
        <v>14.456</v>
      </c>
      <c r="AA174" s="1">
        <v>14.509</v>
      </c>
      <c r="AB174" s="1">
        <v>14.454000000000001</v>
      </c>
      <c r="AC174" s="1">
        <v>14.47</v>
      </c>
      <c r="AD174" s="1">
        <v>14.509</v>
      </c>
      <c r="AE174" s="1">
        <v>14.475</v>
      </c>
      <c r="AF174" s="1">
        <v>14.513</v>
      </c>
      <c r="AG174" s="1">
        <v>14.496</v>
      </c>
      <c r="AH174" s="1">
        <v>14.5</v>
      </c>
      <c r="AI174" s="1">
        <v>14.525</v>
      </c>
      <c r="AJ174" s="1">
        <v>14.407</v>
      </c>
      <c r="AK174" s="1">
        <v>14.425000000000001</v>
      </c>
      <c r="AL174" s="1">
        <v>14.464</v>
      </c>
      <c r="AM174" s="1">
        <v>14.504</v>
      </c>
      <c r="AN174" s="1">
        <v>14.542</v>
      </c>
      <c r="AO174" s="1">
        <v>14.516</v>
      </c>
      <c r="AP174" s="1">
        <v>14.49</v>
      </c>
      <c r="AQ174" s="1">
        <v>14.449</v>
      </c>
      <c r="AR174" s="1">
        <v>14.523999999999999</v>
      </c>
      <c r="AS174" s="1">
        <v>14.459</v>
      </c>
      <c r="AT174" s="1">
        <v>14.523999999999999</v>
      </c>
      <c r="AU174" s="1">
        <v>14.52</v>
      </c>
      <c r="AV174" s="1">
        <v>14.416</v>
      </c>
      <c r="AW174" s="1">
        <v>14.516</v>
      </c>
      <c r="AX174" s="1">
        <v>14.467000000000001</v>
      </c>
      <c r="AY174" s="1">
        <v>14.52</v>
      </c>
      <c r="AZ174" s="1">
        <v>14.493</v>
      </c>
      <c r="BA174" s="1">
        <v>14.467000000000001</v>
      </c>
      <c r="BB174" s="1">
        <v>14.412000000000001</v>
      </c>
      <c r="BC174" s="1">
        <v>14.504</v>
      </c>
      <c r="BD174" s="1">
        <v>14.468</v>
      </c>
      <c r="BE174" s="1">
        <v>14.510999999999999</v>
      </c>
      <c r="BF174" s="1">
        <v>14.454000000000001</v>
      </c>
      <c r="BG174" s="1">
        <v>14.494</v>
      </c>
      <c r="BH174" s="1">
        <v>14.388</v>
      </c>
      <c r="BI174" s="1">
        <v>14.46</v>
      </c>
      <c r="BJ174" s="1">
        <v>14.497999999999999</v>
      </c>
      <c r="BK174" s="1">
        <v>14.445</v>
      </c>
      <c r="BL174" s="1">
        <v>14.430999999999999</v>
      </c>
      <c r="BN174" s="9">
        <v>24</v>
      </c>
      <c r="BO174" s="9">
        <v>2475</v>
      </c>
      <c r="BP174" s="10">
        <f t="shared" si="122"/>
        <v>-3.4810606060605999E-3</v>
      </c>
      <c r="BQ174" s="10">
        <f t="shared" si="123"/>
        <v>3.4848484848501872E-5</v>
      </c>
      <c r="BR174" s="10">
        <f t="shared" si="124"/>
        <v>7.2424242424242661E-4</v>
      </c>
      <c r="BS174" s="10">
        <f t="shared" si="125"/>
        <v>-6.031818181818231E-3</v>
      </c>
      <c r="BT174" s="10">
        <f t="shared" si="126"/>
        <v>-1.9643939393939164E-3</v>
      </c>
      <c r="BU174" s="10">
        <f t="shared" si="127"/>
        <v>-2.1022727272727504E-3</v>
      </c>
      <c r="BV174" s="10">
        <f t="shared" si="128"/>
        <v>5.4121212121211876E-3</v>
      </c>
      <c r="BW174" s="10">
        <f t="shared" si="129"/>
        <v>-3.1363636363635761E-3</v>
      </c>
      <c r="BX174" s="10">
        <f t="shared" si="130"/>
        <v>2.3098484848484658E-3</v>
      </c>
      <c r="BY174" s="10">
        <f t="shared" si="131"/>
        <v>1.2068181818181616E-3</v>
      </c>
      <c r="BZ174" s="10">
        <f t="shared" si="132"/>
        <v>-1.8954545454545608E-3</v>
      </c>
      <c r="CA174" s="10">
        <f t="shared" si="133"/>
        <v>-2.1712121212121059E-3</v>
      </c>
      <c r="CB174" s="10">
        <f t="shared" si="134"/>
        <v>7.9318181818178232E-4</v>
      </c>
      <c r="CC174" s="10">
        <f t="shared" si="135"/>
        <v>-8.6136363636361249E-4</v>
      </c>
      <c r="CD174" s="10">
        <f t="shared" si="136"/>
        <v>-1.0681818181818021E-3</v>
      </c>
      <c r="CE174" s="10">
        <f t="shared" si="137"/>
        <v>1.6893939393938966E-3</v>
      </c>
      <c r="CF174" s="10">
        <f t="shared" si="138"/>
        <v>7.2424242424242661E-4</v>
      </c>
      <c r="CG174" s="10">
        <f t="shared" si="139"/>
        <v>-2.7227272727273193E-3</v>
      </c>
      <c r="CH174" s="10">
        <f t="shared" si="140"/>
        <v>-2.240151515151462E-3</v>
      </c>
      <c r="CI174" s="10">
        <f t="shared" si="141"/>
        <v>-3.7568181818181451E-3</v>
      </c>
      <c r="CJ174" s="10">
        <f t="shared" si="142"/>
        <v>-1.6886363636363711E-3</v>
      </c>
      <c r="CK174" s="10">
        <f t="shared" si="143"/>
        <v>-3.4121212121212439E-3</v>
      </c>
      <c r="CL174" s="10">
        <f t="shared" si="144"/>
        <v>2.4166666666669152E-4</v>
      </c>
      <c r="CM174" s="10">
        <f t="shared" si="145"/>
        <v>-3.5499999999999555E-3</v>
      </c>
      <c r="CN174" s="10">
        <f t="shared" si="146"/>
        <v>-2.4469696969696515E-3</v>
      </c>
      <c r="CO174" s="10">
        <f t="shared" si="147"/>
        <v>2.4166666666669152E-4</v>
      </c>
      <c r="CP174" s="10">
        <f t="shared" si="148"/>
        <v>-2.1022727272727504E-3</v>
      </c>
      <c r="CQ174" s="10">
        <f t="shared" si="149"/>
        <v>5.1742424242423688E-4</v>
      </c>
      <c r="CR174" s="10">
        <f t="shared" si="150"/>
        <v>-6.5454545454542287E-4</v>
      </c>
      <c r="CS174" s="10">
        <f t="shared" si="151"/>
        <v>-3.7878787878787743E-4</v>
      </c>
      <c r="CT174" s="10">
        <f t="shared" si="152"/>
        <v>1.3446969696969955E-3</v>
      </c>
      <c r="CU174" s="10">
        <f t="shared" si="153"/>
        <v>-6.7901515151515121E-3</v>
      </c>
      <c r="CV174" s="10">
        <f t="shared" si="154"/>
        <v>-5.5492424242423741E-3</v>
      </c>
      <c r="CW174" s="10">
        <f t="shared" si="155"/>
        <v>-2.860606060606031E-3</v>
      </c>
      <c r="CX174" s="10">
        <f t="shared" si="156"/>
        <v>-1.0303030303033205E-4</v>
      </c>
      <c r="CY174" s="10">
        <f t="shared" si="157"/>
        <v>2.5166666666666553E-3</v>
      </c>
      <c r="CZ174" s="10">
        <f t="shared" si="158"/>
        <v>7.2424242424242661E-4</v>
      </c>
      <c r="DA174" s="10">
        <f t="shared" si="159"/>
        <v>-1.0681818181818021E-3</v>
      </c>
      <c r="DB174" s="10">
        <f t="shared" si="160"/>
        <v>-3.894696969696979E-3</v>
      </c>
      <c r="DC174" s="10">
        <f t="shared" si="161"/>
        <v>1.2757575757575174E-3</v>
      </c>
      <c r="DD174" s="10">
        <f t="shared" si="162"/>
        <v>-3.2053030303030544E-3</v>
      </c>
      <c r="DE174" s="10">
        <f t="shared" si="163"/>
        <v>1.2757575757575174E-3</v>
      </c>
      <c r="DF174" s="10">
        <f t="shared" si="164"/>
        <v>9.9999999999997205E-4</v>
      </c>
      <c r="DG174" s="10">
        <f t="shared" si="165"/>
        <v>-6.1696969696969431E-3</v>
      </c>
      <c r="DH174" s="10">
        <f t="shared" si="166"/>
        <v>7.2424242424242661E-4</v>
      </c>
      <c r="DI174" s="10">
        <f t="shared" si="167"/>
        <v>-2.653787878787841E-3</v>
      </c>
      <c r="DJ174" s="10">
        <f t="shared" si="168"/>
        <v>9.9999999999997205E-4</v>
      </c>
      <c r="DK174" s="10">
        <f t="shared" si="169"/>
        <v>-8.6136363636361249E-4</v>
      </c>
      <c r="DL174" s="10">
        <f t="shared" si="170"/>
        <v>-2.653787878787841E-3</v>
      </c>
      <c r="DM174" s="10">
        <f t="shared" si="171"/>
        <v>-6.4454545454544886E-3</v>
      </c>
      <c r="DN174" s="10">
        <f t="shared" si="172"/>
        <v>-1.0303030303033205E-4</v>
      </c>
      <c r="DO174" s="10">
        <f t="shared" si="173"/>
        <v>-2.5848484848484854E-3</v>
      </c>
      <c r="DP174" s="10">
        <f t="shared" si="174"/>
        <v>3.7954545454540301E-4</v>
      </c>
      <c r="DQ174" s="10">
        <f t="shared" si="175"/>
        <v>-3.5499999999999555E-3</v>
      </c>
      <c r="DR174" s="10">
        <f t="shared" si="176"/>
        <v>-7.9242424242425679E-4</v>
      </c>
      <c r="DS174" s="10">
        <f t="shared" si="177"/>
        <v>-8.1000000000000048E-3</v>
      </c>
      <c r="DT174" s="10">
        <f t="shared" si="178"/>
        <v>-3.1363636363635761E-3</v>
      </c>
      <c r="DU174" s="10">
        <f t="shared" si="179"/>
        <v>-5.1666666666671135E-4</v>
      </c>
      <c r="DV174" s="10">
        <f t="shared" si="180"/>
        <v>-4.170454545454525E-3</v>
      </c>
      <c r="DW174" s="10">
        <f t="shared" si="181"/>
        <v>-5.1356060606061174E-3</v>
      </c>
    </row>
    <row r="175" spans="2:127" x14ac:dyDescent="0.45">
      <c r="B175" s="1">
        <v>24</v>
      </c>
      <c r="C175" s="1">
        <v>2490</v>
      </c>
      <c r="D175" s="7">
        <f t="shared" si="182"/>
        <v>14.593406593406593</v>
      </c>
      <c r="E175" s="1">
        <v>14.54</v>
      </c>
      <c r="F175" s="1">
        <v>14.595000000000001</v>
      </c>
      <c r="G175" s="1">
        <v>14.605</v>
      </c>
      <c r="H175" s="1">
        <v>14.504</v>
      </c>
      <c r="I175" s="1">
        <v>14.565</v>
      </c>
      <c r="J175" s="1">
        <v>14.563000000000001</v>
      </c>
      <c r="K175" s="1">
        <v>14.673</v>
      </c>
      <c r="L175" s="1">
        <v>14.544</v>
      </c>
      <c r="M175" s="1">
        <v>14.625999999999999</v>
      </c>
      <c r="N175" s="1">
        <v>14.611000000000001</v>
      </c>
      <c r="O175" s="1">
        <v>14.565</v>
      </c>
      <c r="P175" s="1">
        <v>14.561</v>
      </c>
      <c r="Q175" s="1">
        <v>14.608000000000001</v>
      </c>
      <c r="R175" s="1">
        <v>14.58</v>
      </c>
      <c r="S175" s="1">
        <v>14.577</v>
      </c>
      <c r="T175" s="1">
        <v>14.618</v>
      </c>
      <c r="U175" s="1">
        <v>14.603</v>
      </c>
      <c r="V175" s="1">
        <v>14.554</v>
      </c>
      <c r="W175" s="1">
        <v>14.561999999999999</v>
      </c>
      <c r="X175" s="1">
        <v>14.536</v>
      </c>
      <c r="Y175" s="1">
        <v>14.573</v>
      </c>
      <c r="Z175" s="1">
        <v>14.542999999999999</v>
      </c>
      <c r="AA175" s="1">
        <v>14.597</v>
      </c>
      <c r="AB175" s="1">
        <v>14.539</v>
      </c>
      <c r="AC175" s="1">
        <v>14.561</v>
      </c>
      <c r="AD175" s="1">
        <v>14.597</v>
      </c>
      <c r="AE175" s="1">
        <v>14.561</v>
      </c>
      <c r="AF175" s="1">
        <v>14.6</v>
      </c>
      <c r="AG175" s="1">
        <v>14.584</v>
      </c>
      <c r="AH175" s="1">
        <v>14.587999999999999</v>
      </c>
      <c r="AI175" s="1">
        <v>14.612</v>
      </c>
      <c r="AJ175" s="1">
        <v>14.496</v>
      </c>
      <c r="AK175" s="1">
        <v>14.512</v>
      </c>
      <c r="AL175" s="1">
        <v>14.553000000000001</v>
      </c>
      <c r="AM175" s="1">
        <v>14.592000000000001</v>
      </c>
      <c r="AN175" s="1">
        <v>14.63</v>
      </c>
      <c r="AO175" s="1">
        <v>14.603999999999999</v>
      </c>
      <c r="AP175" s="1">
        <v>14.581</v>
      </c>
      <c r="AQ175" s="1">
        <v>14.539</v>
      </c>
      <c r="AR175" s="1">
        <v>14.612</v>
      </c>
      <c r="AS175" s="1">
        <v>14.547000000000001</v>
      </c>
      <c r="AT175" s="1">
        <v>14.614000000000001</v>
      </c>
      <c r="AU175" s="1">
        <v>14.61</v>
      </c>
      <c r="AV175" s="1">
        <v>14.500999999999999</v>
      </c>
      <c r="AW175" s="1">
        <v>14.603999999999999</v>
      </c>
      <c r="AX175" s="1">
        <v>14.554</v>
      </c>
      <c r="AY175" s="1">
        <v>14.608000000000001</v>
      </c>
      <c r="AZ175" s="1">
        <v>14.581</v>
      </c>
      <c r="BA175" s="1">
        <v>14.554</v>
      </c>
      <c r="BB175" s="1">
        <v>14.5</v>
      </c>
      <c r="BC175" s="1">
        <v>14.590999999999999</v>
      </c>
      <c r="BD175" s="1">
        <v>14.555</v>
      </c>
      <c r="BE175" s="1">
        <v>14.6</v>
      </c>
      <c r="BF175" s="1">
        <v>14.544</v>
      </c>
      <c r="BG175" s="1">
        <v>14.581</v>
      </c>
      <c r="BH175" s="1">
        <v>14.478999999999999</v>
      </c>
      <c r="BI175" s="1">
        <v>14.545999999999999</v>
      </c>
      <c r="BJ175" s="1">
        <v>14.585000000000001</v>
      </c>
      <c r="BK175" s="1">
        <v>14.53</v>
      </c>
      <c r="BL175" s="1">
        <v>14.516</v>
      </c>
      <c r="BN175" s="9">
        <v>24</v>
      </c>
      <c r="BO175" s="9">
        <v>2490</v>
      </c>
      <c r="BP175" s="10">
        <f t="shared" si="122"/>
        <v>-3.6596385542169031E-3</v>
      </c>
      <c r="BQ175" s="10">
        <f t="shared" si="123"/>
        <v>1.0918674698801836E-4</v>
      </c>
      <c r="BR175" s="10">
        <f t="shared" si="124"/>
        <v>7.9442771084342547E-4</v>
      </c>
      <c r="BS175" s="10">
        <f t="shared" si="125"/>
        <v>-6.1265060240963927E-3</v>
      </c>
      <c r="BT175" s="10">
        <f t="shared" si="126"/>
        <v>-1.9465361445783246E-3</v>
      </c>
      <c r="BU175" s="10">
        <f t="shared" si="127"/>
        <v>-2.0835843373493332E-3</v>
      </c>
      <c r="BV175" s="10">
        <f t="shared" si="128"/>
        <v>5.4540662650602667E-3</v>
      </c>
      <c r="BW175" s="10">
        <f t="shared" si="129"/>
        <v>-3.3855421686746429E-3</v>
      </c>
      <c r="BX175" s="10">
        <f t="shared" si="130"/>
        <v>2.233433734939744E-3</v>
      </c>
      <c r="BY175" s="10">
        <f t="shared" si="131"/>
        <v>1.2055722891566941E-3</v>
      </c>
      <c r="BZ175" s="10">
        <f t="shared" si="132"/>
        <v>-1.9465361445783246E-3</v>
      </c>
      <c r="CA175" s="10">
        <f t="shared" si="133"/>
        <v>-2.2206325301204633E-3</v>
      </c>
      <c r="CB175" s="10">
        <f t="shared" si="134"/>
        <v>1.0000000000000599E-3</v>
      </c>
      <c r="CC175" s="10">
        <f t="shared" si="135"/>
        <v>-9.1867469879515311E-4</v>
      </c>
      <c r="CD175" s="10">
        <f t="shared" si="136"/>
        <v>-1.1242469879517874E-3</v>
      </c>
      <c r="CE175" s="10">
        <f t="shared" si="137"/>
        <v>1.685240963855467E-3</v>
      </c>
      <c r="CF175" s="10">
        <f t="shared" si="138"/>
        <v>6.5737951807229539E-4</v>
      </c>
      <c r="CG175" s="10">
        <f t="shared" si="139"/>
        <v>-2.7003012048192358E-3</v>
      </c>
      <c r="CH175" s="10">
        <f t="shared" si="140"/>
        <v>-2.1521084337349588E-3</v>
      </c>
      <c r="CI175" s="10">
        <f t="shared" si="141"/>
        <v>-3.9337349397590418E-3</v>
      </c>
      <c r="CJ175" s="10">
        <f t="shared" si="142"/>
        <v>-1.3983433734939259E-3</v>
      </c>
      <c r="CK175" s="10">
        <f t="shared" si="143"/>
        <v>-3.4540662650602689E-3</v>
      </c>
      <c r="CL175" s="10">
        <f t="shared" si="144"/>
        <v>2.4623493975902674E-4</v>
      </c>
      <c r="CM175" s="10">
        <f t="shared" si="145"/>
        <v>-3.7281626506024076E-3</v>
      </c>
      <c r="CN175" s="10">
        <f t="shared" si="146"/>
        <v>-2.2206325301204633E-3</v>
      </c>
      <c r="CO175" s="10">
        <f t="shared" si="147"/>
        <v>2.4623493975902674E-4</v>
      </c>
      <c r="CP175" s="10">
        <f t="shared" si="148"/>
        <v>-2.2206325301204633E-3</v>
      </c>
      <c r="CQ175" s="10">
        <f t="shared" si="149"/>
        <v>4.5180722891566104E-4</v>
      </c>
      <c r="CR175" s="10">
        <f t="shared" si="150"/>
        <v>-6.445783132530146E-4</v>
      </c>
      <c r="CS175" s="10">
        <f t="shared" si="151"/>
        <v>-3.7048192771087614E-4</v>
      </c>
      <c r="CT175" s="10">
        <f t="shared" si="152"/>
        <v>1.2740963855421982E-3</v>
      </c>
      <c r="CU175" s="10">
        <f t="shared" si="153"/>
        <v>-6.6746987951806702E-3</v>
      </c>
      <c r="CV175" s="10">
        <f t="shared" si="154"/>
        <v>-5.5783132530119947E-3</v>
      </c>
      <c r="CW175" s="10">
        <f t="shared" si="155"/>
        <v>-2.7688253012047403E-3</v>
      </c>
      <c r="CX175" s="10">
        <f t="shared" si="156"/>
        <v>-9.6385542168615931E-5</v>
      </c>
      <c r="CY175" s="10">
        <f t="shared" si="157"/>
        <v>2.5075301204820041E-3</v>
      </c>
      <c r="CZ175" s="10">
        <f t="shared" si="158"/>
        <v>7.259036144577996E-4</v>
      </c>
      <c r="DA175" s="10">
        <f t="shared" si="159"/>
        <v>-8.5015060240964889E-4</v>
      </c>
      <c r="DB175" s="10">
        <f t="shared" si="160"/>
        <v>-3.7281626506024076E-3</v>
      </c>
      <c r="DC175" s="10">
        <f t="shared" si="161"/>
        <v>1.2740963855421982E-3</v>
      </c>
      <c r="DD175" s="10">
        <f t="shared" si="162"/>
        <v>-3.1799698795180087E-3</v>
      </c>
      <c r="DE175" s="10">
        <f t="shared" si="163"/>
        <v>1.4111445783133285E-3</v>
      </c>
      <c r="DF175" s="10">
        <f t="shared" si="164"/>
        <v>1.1370481927710681E-3</v>
      </c>
      <c r="DG175" s="10">
        <f t="shared" si="165"/>
        <v>-6.3320783132530273E-3</v>
      </c>
      <c r="DH175" s="10">
        <f t="shared" si="166"/>
        <v>7.259036144577996E-4</v>
      </c>
      <c r="DI175" s="10">
        <f t="shared" si="167"/>
        <v>-2.7003012048192358E-3</v>
      </c>
      <c r="DJ175" s="10">
        <f t="shared" si="168"/>
        <v>1.0000000000000599E-3</v>
      </c>
      <c r="DK175" s="10">
        <f t="shared" si="169"/>
        <v>-8.5015060240964889E-4</v>
      </c>
      <c r="DL175" s="10">
        <f t="shared" si="170"/>
        <v>-2.7003012048192358E-3</v>
      </c>
      <c r="DM175" s="10">
        <f t="shared" si="171"/>
        <v>-6.4006024096385315E-3</v>
      </c>
      <c r="DN175" s="10">
        <f t="shared" si="172"/>
        <v>-1.6490963855424185E-4</v>
      </c>
      <c r="DO175" s="10">
        <f t="shared" si="173"/>
        <v>-2.6317771084337317E-3</v>
      </c>
      <c r="DP175" s="10">
        <f t="shared" si="174"/>
        <v>4.5180722891566104E-4</v>
      </c>
      <c r="DQ175" s="10">
        <f t="shared" si="175"/>
        <v>-3.3855421686746429E-3</v>
      </c>
      <c r="DR175" s="10">
        <f t="shared" si="176"/>
        <v>-8.5015060240964889E-4</v>
      </c>
      <c r="DS175" s="10">
        <f t="shared" si="177"/>
        <v>-7.8396084337349712E-3</v>
      </c>
      <c r="DT175" s="10">
        <f t="shared" si="178"/>
        <v>-3.2484939759036347E-3</v>
      </c>
      <c r="DU175" s="10">
        <f t="shared" si="179"/>
        <v>-5.7605421686738874E-4</v>
      </c>
      <c r="DV175" s="10">
        <f t="shared" si="180"/>
        <v>-4.3448795180723102E-3</v>
      </c>
      <c r="DW175" s="10">
        <f t="shared" si="181"/>
        <v>-5.304216867469856E-3</v>
      </c>
    </row>
    <row r="176" spans="2:127" x14ac:dyDescent="0.45">
      <c r="B176" s="1">
        <v>24</v>
      </c>
      <c r="C176" s="1">
        <v>2505</v>
      </c>
      <c r="D176" s="7">
        <f t="shared" si="182"/>
        <v>14.681318681318681</v>
      </c>
      <c r="E176" s="1">
        <v>14.629</v>
      </c>
      <c r="F176" s="1">
        <v>14.680999999999999</v>
      </c>
      <c r="G176" s="1">
        <v>14.692</v>
      </c>
      <c r="H176" s="1">
        <v>14.590999999999999</v>
      </c>
      <c r="I176" s="1">
        <v>14.653</v>
      </c>
      <c r="J176" s="1">
        <v>14.651999999999999</v>
      </c>
      <c r="K176" s="1">
        <v>14.763</v>
      </c>
      <c r="L176" s="1">
        <v>14.632999999999999</v>
      </c>
      <c r="M176" s="1">
        <v>14.714</v>
      </c>
      <c r="N176" s="1">
        <v>14.7</v>
      </c>
      <c r="O176" s="1">
        <v>14.654</v>
      </c>
      <c r="P176" s="1">
        <v>14.648999999999999</v>
      </c>
      <c r="Q176" s="1">
        <v>14.696</v>
      </c>
      <c r="R176" s="1">
        <v>14.664999999999999</v>
      </c>
      <c r="S176" s="1">
        <v>14.664</v>
      </c>
      <c r="T176" s="1">
        <v>14.704000000000001</v>
      </c>
      <c r="U176" s="1">
        <v>14.69</v>
      </c>
      <c r="V176" s="1">
        <v>14.641999999999999</v>
      </c>
      <c r="W176" s="1">
        <v>14.648999999999999</v>
      </c>
      <c r="X176" s="1">
        <v>14.625999999999999</v>
      </c>
      <c r="Y176" s="1">
        <v>14.66</v>
      </c>
      <c r="Z176" s="1">
        <v>14.63</v>
      </c>
      <c r="AA176" s="1">
        <v>14.686</v>
      </c>
      <c r="AB176" s="1">
        <v>14.625999999999999</v>
      </c>
      <c r="AC176" s="1">
        <v>14.648999999999999</v>
      </c>
      <c r="AD176" s="1">
        <v>14.686</v>
      </c>
      <c r="AE176" s="1">
        <v>14.648999999999999</v>
      </c>
      <c r="AF176" s="1">
        <v>14.686999999999999</v>
      </c>
      <c r="AG176" s="1">
        <v>14.673</v>
      </c>
      <c r="AH176" s="1">
        <v>14.676</v>
      </c>
      <c r="AI176" s="1">
        <v>14.7</v>
      </c>
      <c r="AJ176" s="1">
        <v>14.582000000000001</v>
      </c>
      <c r="AK176" s="1">
        <v>14.597</v>
      </c>
      <c r="AL176" s="1">
        <v>14.641999999999999</v>
      </c>
      <c r="AM176" s="1">
        <v>14.680999999999999</v>
      </c>
      <c r="AN176" s="1">
        <v>14.718</v>
      </c>
      <c r="AO176" s="1">
        <v>14.691000000000001</v>
      </c>
      <c r="AP176" s="1">
        <v>14.670999999999999</v>
      </c>
      <c r="AQ176" s="1">
        <v>14.624000000000001</v>
      </c>
      <c r="AR176" s="1">
        <v>14.7</v>
      </c>
      <c r="AS176" s="1">
        <v>14.634</v>
      </c>
      <c r="AT176" s="1">
        <v>14.702</v>
      </c>
      <c r="AU176" s="1">
        <v>14.696</v>
      </c>
      <c r="AV176" s="1">
        <v>14.590999999999999</v>
      </c>
      <c r="AW176" s="1">
        <v>14.691000000000001</v>
      </c>
      <c r="AX176" s="1">
        <v>14.638999999999999</v>
      </c>
      <c r="AY176" s="1">
        <v>14.695</v>
      </c>
      <c r="AZ176" s="1">
        <v>14.667999999999999</v>
      </c>
      <c r="BA176" s="1">
        <v>14.638999999999999</v>
      </c>
      <c r="BB176" s="1">
        <v>14.584</v>
      </c>
      <c r="BC176" s="1">
        <v>14.677</v>
      </c>
      <c r="BD176" s="1">
        <v>14.643000000000001</v>
      </c>
      <c r="BE176" s="1">
        <v>14.69</v>
      </c>
      <c r="BF176" s="1">
        <v>14.634</v>
      </c>
      <c r="BG176" s="1">
        <v>14.673</v>
      </c>
      <c r="BH176" s="1">
        <v>14.569000000000001</v>
      </c>
      <c r="BI176" s="1">
        <v>14.634</v>
      </c>
      <c r="BJ176" s="1">
        <v>14.672000000000001</v>
      </c>
      <c r="BK176" s="1">
        <v>14.618</v>
      </c>
      <c r="BL176" s="1">
        <v>14.605</v>
      </c>
      <c r="BN176" s="9">
        <v>24</v>
      </c>
      <c r="BO176" s="9">
        <v>2505</v>
      </c>
      <c r="BP176" s="10">
        <f t="shared" si="122"/>
        <v>-3.5636227544910042E-3</v>
      </c>
      <c r="BQ176" s="10">
        <f t="shared" si="123"/>
        <v>-2.1706586826360537E-5</v>
      </c>
      <c r="BR176" s="10">
        <f t="shared" si="124"/>
        <v>7.2754491017969626E-4</v>
      </c>
      <c r="BS176" s="10">
        <f t="shared" si="125"/>
        <v>-6.1519461077844352E-3</v>
      </c>
      <c r="BT176" s="10">
        <f t="shared" si="126"/>
        <v>-1.9288922155687865E-3</v>
      </c>
      <c r="BU176" s="10">
        <f t="shared" si="127"/>
        <v>-1.9970059880239596E-3</v>
      </c>
      <c r="BV176" s="10">
        <f t="shared" si="128"/>
        <v>5.5636227544910554E-3</v>
      </c>
      <c r="BW176" s="10">
        <f t="shared" si="129"/>
        <v>-3.2911676646706751E-3</v>
      </c>
      <c r="BX176" s="10">
        <f t="shared" si="130"/>
        <v>2.2260479041916886E-3</v>
      </c>
      <c r="BY176" s="10">
        <f t="shared" si="131"/>
        <v>1.2724550898203547E-3</v>
      </c>
      <c r="BZ176" s="10">
        <f t="shared" si="132"/>
        <v>-1.8607784431137345E-3</v>
      </c>
      <c r="CA176" s="10">
        <f t="shared" si="133"/>
        <v>-2.2013473053892367E-3</v>
      </c>
      <c r="CB176" s="10">
        <f t="shared" si="134"/>
        <v>1.0000000000000256E-3</v>
      </c>
      <c r="CC176" s="10">
        <f t="shared" si="135"/>
        <v>-1.1115269461077987E-3</v>
      </c>
      <c r="CD176" s="10">
        <f t="shared" si="136"/>
        <v>-1.1796407185628507E-3</v>
      </c>
      <c r="CE176" s="10">
        <f t="shared" si="137"/>
        <v>1.5449101796408051E-3</v>
      </c>
      <c r="CF176" s="10">
        <f t="shared" si="138"/>
        <v>5.9131736526947109E-4</v>
      </c>
      <c r="CG176" s="10">
        <f t="shared" si="139"/>
        <v>-2.6781437125748433E-3</v>
      </c>
      <c r="CH176" s="10">
        <f t="shared" si="140"/>
        <v>-2.2013473053892367E-3</v>
      </c>
      <c r="CI176" s="10">
        <f t="shared" si="141"/>
        <v>-3.7679640718562813E-3</v>
      </c>
      <c r="CJ176" s="10">
        <f t="shared" si="142"/>
        <v>-1.4520958083831801E-3</v>
      </c>
      <c r="CK176" s="10">
        <f t="shared" si="143"/>
        <v>-3.4955089820358312E-3</v>
      </c>
      <c r="CL176" s="10">
        <f t="shared" si="144"/>
        <v>3.1886227544914179E-4</v>
      </c>
      <c r="CM176" s="10">
        <f t="shared" si="145"/>
        <v>-3.7679640718562813E-3</v>
      </c>
      <c r="CN176" s="10">
        <f t="shared" si="146"/>
        <v>-2.2013473053892367E-3</v>
      </c>
      <c r="CO176" s="10">
        <f t="shared" si="147"/>
        <v>3.1886227544914179E-4</v>
      </c>
      <c r="CP176" s="10">
        <f t="shared" si="148"/>
        <v>-2.2013473053892367E-3</v>
      </c>
      <c r="CQ176" s="10">
        <f t="shared" si="149"/>
        <v>3.8697604790419388E-4</v>
      </c>
      <c r="CR176" s="10">
        <f t="shared" si="150"/>
        <v>-5.6661676646701912E-4</v>
      </c>
      <c r="CS176" s="10">
        <f t="shared" si="151"/>
        <v>-3.6227544910174192E-4</v>
      </c>
      <c r="CT176" s="10">
        <f t="shared" si="152"/>
        <v>1.2724550898203547E-3</v>
      </c>
      <c r="CU176" s="10">
        <f t="shared" si="153"/>
        <v>-6.7649700598801455E-3</v>
      </c>
      <c r="CV176" s="10">
        <f t="shared" si="154"/>
        <v>-5.7432634730538801E-3</v>
      </c>
      <c r="CW176" s="10">
        <f t="shared" si="155"/>
        <v>-2.6781437125748433E-3</v>
      </c>
      <c r="CX176" s="10">
        <f t="shared" si="156"/>
        <v>-2.1706586826360537E-5</v>
      </c>
      <c r="CY176" s="10">
        <f t="shared" si="157"/>
        <v>2.4985029940120182E-3</v>
      </c>
      <c r="CZ176" s="10">
        <f t="shared" si="158"/>
        <v>6.5943113772464412E-4</v>
      </c>
      <c r="DA176" s="10">
        <f t="shared" si="159"/>
        <v>-7.028443113772443E-4</v>
      </c>
      <c r="DB176" s="10">
        <f t="shared" si="160"/>
        <v>-3.9041916167663858E-3</v>
      </c>
      <c r="DC176" s="10">
        <f t="shared" si="161"/>
        <v>1.2724550898203547E-3</v>
      </c>
      <c r="DD176" s="10">
        <f t="shared" si="162"/>
        <v>-3.223053892215502E-3</v>
      </c>
      <c r="DE176" s="10">
        <f t="shared" si="163"/>
        <v>1.40868263473058E-3</v>
      </c>
      <c r="DF176" s="10">
        <f t="shared" si="164"/>
        <v>1.0000000000000256E-3</v>
      </c>
      <c r="DG176" s="10">
        <f t="shared" si="165"/>
        <v>-6.1519461077844352E-3</v>
      </c>
      <c r="DH176" s="10">
        <f t="shared" si="166"/>
        <v>6.5943113772464412E-4</v>
      </c>
      <c r="DI176" s="10">
        <f t="shared" si="167"/>
        <v>-2.8824850299401204E-3</v>
      </c>
      <c r="DJ176" s="10">
        <f t="shared" si="168"/>
        <v>9.3188622754497347E-4</v>
      </c>
      <c r="DK176" s="10">
        <f t="shared" si="169"/>
        <v>-9.071856287425215E-4</v>
      </c>
      <c r="DL176" s="10">
        <f t="shared" si="170"/>
        <v>-2.8824850299401204E-3</v>
      </c>
      <c r="DM176" s="10">
        <f t="shared" si="171"/>
        <v>-6.6287425149700414E-3</v>
      </c>
      <c r="DN176" s="10">
        <f t="shared" si="172"/>
        <v>-2.9416167664668983E-4</v>
      </c>
      <c r="DO176" s="10">
        <f t="shared" si="173"/>
        <v>-2.6100299401196703E-3</v>
      </c>
      <c r="DP176" s="10">
        <f t="shared" si="174"/>
        <v>5.9131736526947109E-4</v>
      </c>
      <c r="DQ176" s="10">
        <f t="shared" si="175"/>
        <v>-3.223053892215502E-3</v>
      </c>
      <c r="DR176" s="10">
        <f t="shared" si="176"/>
        <v>-5.6661676646701912E-4</v>
      </c>
      <c r="DS176" s="10">
        <f t="shared" si="177"/>
        <v>-7.6504491017963068E-3</v>
      </c>
      <c r="DT176" s="10">
        <f t="shared" si="178"/>
        <v>-3.223053892215502E-3</v>
      </c>
      <c r="DU176" s="10">
        <f t="shared" si="179"/>
        <v>-6.3473053892207116E-4</v>
      </c>
      <c r="DV176" s="10">
        <f t="shared" si="180"/>
        <v>-4.31287425149694E-3</v>
      </c>
      <c r="DW176" s="10">
        <f t="shared" si="181"/>
        <v>-5.1983532934131013E-3</v>
      </c>
    </row>
    <row r="177" spans="2:127" x14ac:dyDescent="0.45">
      <c r="B177" s="1">
        <v>24</v>
      </c>
      <c r="C177" s="1">
        <v>2520</v>
      </c>
      <c r="D177" s="7">
        <f t="shared" si="182"/>
        <v>14.76923076923077</v>
      </c>
      <c r="E177" s="1">
        <v>14.717000000000001</v>
      </c>
      <c r="F177" s="1">
        <v>14.768000000000001</v>
      </c>
      <c r="G177" s="1">
        <v>14.778</v>
      </c>
      <c r="H177" s="1">
        <v>14.679</v>
      </c>
      <c r="I177" s="1">
        <v>14.74</v>
      </c>
      <c r="J177" s="1">
        <v>14.738</v>
      </c>
      <c r="K177" s="1">
        <v>14.851000000000001</v>
      </c>
      <c r="L177" s="1">
        <v>14.718</v>
      </c>
      <c r="M177" s="1">
        <v>14.801</v>
      </c>
      <c r="N177" s="1">
        <v>14.789</v>
      </c>
      <c r="O177" s="1">
        <v>14.744</v>
      </c>
      <c r="P177" s="1">
        <v>14.737</v>
      </c>
      <c r="Q177" s="1">
        <v>14.782999999999999</v>
      </c>
      <c r="R177" s="1">
        <v>14.750999999999999</v>
      </c>
      <c r="S177" s="1">
        <v>14.752000000000001</v>
      </c>
      <c r="T177" s="1">
        <v>14.794</v>
      </c>
      <c r="U177" s="1">
        <v>14.775</v>
      </c>
      <c r="V177" s="1">
        <v>14.73</v>
      </c>
      <c r="W177" s="1">
        <v>14.736000000000001</v>
      </c>
      <c r="X177" s="1">
        <v>14.709</v>
      </c>
      <c r="Y177" s="1">
        <v>14.744999999999999</v>
      </c>
      <c r="Z177" s="1">
        <v>14.717000000000001</v>
      </c>
      <c r="AA177" s="1">
        <v>14.771000000000001</v>
      </c>
      <c r="AB177" s="1">
        <v>14.717000000000001</v>
      </c>
      <c r="AC177" s="1">
        <v>14.74</v>
      </c>
      <c r="AD177" s="1">
        <v>14.772</v>
      </c>
      <c r="AE177" s="1">
        <v>14.737</v>
      </c>
      <c r="AF177" s="1">
        <v>14.776</v>
      </c>
      <c r="AG177" s="1">
        <v>14.760999999999999</v>
      </c>
      <c r="AH177" s="1">
        <v>14.763999999999999</v>
      </c>
      <c r="AI177" s="1">
        <v>14.787000000000001</v>
      </c>
      <c r="AJ177" s="1">
        <v>14.667</v>
      </c>
      <c r="AK177" s="1">
        <v>14.683999999999999</v>
      </c>
      <c r="AL177" s="1">
        <v>14.73</v>
      </c>
      <c r="AM177" s="1">
        <v>14.77</v>
      </c>
      <c r="AN177" s="1">
        <v>14.804</v>
      </c>
      <c r="AO177" s="1">
        <v>14.778</v>
      </c>
      <c r="AP177" s="1">
        <v>14.759</v>
      </c>
      <c r="AQ177" s="1">
        <v>14.712999999999999</v>
      </c>
      <c r="AR177" s="1">
        <v>14.79</v>
      </c>
      <c r="AS177" s="1">
        <v>14.722</v>
      </c>
      <c r="AT177" s="1">
        <v>14.79</v>
      </c>
      <c r="AU177" s="1">
        <v>14.785</v>
      </c>
      <c r="AV177" s="1">
        <v>14.673</v>
      </c>
      <c r="AW177" s="1">
        <v>14.776</v>
      </c>
      <c r="AX177" s="1">
        <v>14.726000000000001</v>
      </c>
      <c r="AY177" s="1">
        <v>14.782999999999999</v>
      </c>
      <c r="AZ177" s="1">
        <v>14.757</v>
      </c>
      <c r="BA177" s="1">
        <v>14.726000000000001</v>
      </c>
      <c r="BB177" s="1">
        <v>14.670999999999999</v>
      </c>
      <c r="BC177" s="1">
        <v>14.766999999999999</v>
      </c>
      <c r="BD177" s="1">
        <v>14.728999999999999</v>
      </c>
      <c r="BE177" s="1">
        <v>14.779</v>
      </c>
      <c r="BF177" s="1">
        <v>14.721</v>
      </c>
      <c r="BG177" s="1">
        <v>14.759</v>
      </c>
      <c r="BH177" s="1">
        <v>14.654</v>
      </c>
      <c r="BI177" s="1">
        <v>14.721</v>
      </c>
      <c r="BJ177" s="1">
        <v>14.76</v>
      </c>
      <c r="BK177" s="1">
        <v>14.702999999999999</v>
      </c>
      <c r="BL177" s="1">
        <v>14.692</v>
      </c>
      <c r="BN177" s="9">
        <v>24</v>
      </c>
      <c r="BO177" s="9">
        <v>2520</v>
      </c>
      <c r="BP177" s="10">
        <f t="shared" si="122"/>
        <v>-3.5364583333333532E-3</v>
      </c>
      <c r="BQ177" s="10">
        <f t="shared" si="123"/>
        <v>-8.3333333333342655E-5</v>
      </c>
      <c r="BR177" s="10">
        <f t="shared" si="124"/>
        <v>5.9374999999997624E-4</v>
      </c>
      <c r="BS177" s="10">
        <f t="shared" si="125"/>
        <v>-6.1093750000000367E-3</v>
      </c>
      <c r="BT177" s="10">
        <f t="shared" si="126"/>
        <v>-1.9791666666667076E-3</v>
      </c>
      <c r="BU177" s="10">
        <f t="shared" si="127"/>
        <v>-2.1145833333334196E-3</v>
      </c>
      <c r="BV177" s="10">
        <f t="shared" si="128"/>
        <v>5.5364583333333359E-3</v>
      </c>
      <c r="BW177" s="10">
        <f t="shared" si="129"/>
        <v>-3.4687500000000573E-3</v>
      </c>
      <c r="BX177" s="10">
        <f t="shared" si="130"/>
        <v>2.1510416666666215E-3</v>
      </c>
      <c r="BY177" s="10">
        <f t="shared" si="131"/>
        <v>1.3385416666665908E-3</v>
      </c>
      <c r="BZ177" s="10">
        <f t="shared" si="132"/>
        <v>-1.7083333333334041E-3</v>
      </c>
      <c r="CA177" s="10">
        <f t="shared" si="133"/>
        <v>-2.1822916666667152E-3</v>
      </c>
      <c r="CB177" s="10">
        <f t="shared" si="134"/>
        <v>9.3229166666657548E-4</v>
      </c>
      <c r="CC177" s="10">
        <f t="shared" si="135"/>
        <v>-1.234375000000093E-3</v>
      </c>
      <c r="CD177" s="10">
        <f t="shared" si="136"/>
        <v>-1.166666666666677E-3</v>
      </c>
      <c r="CE177" s="10">
        <f t="shared" si="137"/>
        <v>1.6770833333333104E-3</v>
      </c>
      <c r="CF177" s="10">
        <f t="shared" si="138"/>
        <v>3.9062499999996853E-4</v>
      </c>
      <c r="CG177" s="10">
        <f t="shared" si="139"/>
        <v>-2.6562500000000266E-3</v>
      </c>
      <c r="CH177" s="10">
        <f t="shared" si="140"/>
        <v>-2.2500000000000111E-3</v>
      </c>
      <c r="CI177" s="10">
        <f t="shared" si="141"/>
        <v>-4.0781250000000799E-3</v>
      </c>
      <c r="CJ177" s="10">
        <f t="shared" si="142"/>
        <v>-1.6406250000001084E-3</v>
      </c>
      <c r="CK177" s="10">
        <f t="shared" si="143"/>
        <v>-3.5364583333333532E-3</v>
      </c>
      <c r="CL177" s="10">
        <f t="shared" si="144"/>
        <v>1.1979166666666503E-4</v>
      </c>
      <c r="CM177" s="10">
        <f t="shared" si="145"/>
        <v>-3.5364583333333532E-3</v>
      </c>
      <c r="CN177" s="10">
        <f t="shared" si="146"/>
        <v>-1.9791666666667076E-3</v>
      </c>
      <c r="CO177" s="10">
        <f t="shared" si="147"/>
        <v>1.8749999999996084E-4</v>
      </c>
      <c r="CP177" s="10">
        <f t="shared" si="148"/>
        <v>-2.1822916666667152E-3</v>
      </c>
      <c r="CQ177" s="10">
        <f t="shared" si="149"/>
        <v>4.5833333333326432E-4</v>
      </c>
      <c r="CR177" s="10">
        <f t="shared" si="150"/>
        <v>-5.572916666667741E-4</v>
      </c>
      <c r="CS177" s="10">
        <f t="shared" si="151"/>
        <v>-3.5416666666676644E-4</v>
      </c>
      <c r="CT177" s="10">
        <f t="shared" si="152"/>
        <v>1.2031249999999993E-3</v>
      </c>
      <c r="CU177" s="10">
        <f t="shared" si="153"/>
        <v>-6.9218750000000677E-3</v>
      </c>
      <c r="CV177" s="10">
        <f t="shared" si="154"/>
        <v>-5.7708333333334376E-3</v>
      </c>
      <c r="CW177" s="10">
        <f t="shared" si="155"/>
        <v>-2.6562500000000266E-3</v>
      </c>
      <c r="CX177" s="10">
        <f t="shared" si="156"/>
        <v>5.2083333333248952E-5</v>
      </c>
      <c r="CY177" s="10">
        <f t="shared" si="157"/>
        <v>2.3541666666666294E-3</v>
      </c>
      <c r="CZ177" s="10">
        <f t="shared" si="158"/>
        <v>5.9374999999997624E-4</v>
      </c>
      <c r="DA177" s="10">
        <f t="shared" si="159"/>
        <v>-6.9270833333336568E-4</v>
      </c>
      <c r="DB177" s="10">
        <f t="shared" si="160"/>
        <v>-3.8072916666667769E-3</v>
      </c>
      <c r="DC177" s="10">
        <f t="shared" si="161"/>
        <v>1.4062499999998868E-3</v>
      </c>
      <c r="DD177" s="10">
        <f t="shared" si="162"/>
        <v>-3.1979166666667538E-3</v>
      </c>
      <c r="DE177" s="10">
        <f t="shared" si="163"/>
        <v>1.4062499999998868E-3</v>
      </c>
      <c r="DF177" s="10">
        <f t="shared" si="164"/>
        <v>1.0677083333332873E-3</v>
      </c>
      <c r="DG177" s="10">
        <f t="shared" si="165"/>
        <v>-6.5156250000000526E-3</v>
      </c>
      <c r="DH177" s="10">
        <f t="shared" si="166"/>
        <v>4.5833333333326432E-4</v>
      </c>
      <c r="DI177" s="10">
        <f t="shared" si="167"/>
        <v>-2.9270833333333302E-3</v>
      </c>
      <c r="DJ177" s="10">
        <f t="shared" si="168"/>
        <v>9.3229166666657548E-4</v>
      </c>
      <c r="DK177" s="10">
        <f t="shared" si="169"/>
        <v>-8.2812500000007761E-4</v>
      </c>
      <c r="DL177" s="10">
        <f t="shared" si="170"/>
        <v>-2.9270833333333302E-3</v>
      </c>
      <c r="DM177" s="10">
        <f t="shared" si="171"/>
        <v>-6.6510416666667642E-3</v>
      </c>
      <c r="DN177" s="10">
        <f t="shared" si="172"/>
        <v>-1.5104166666675872E-4</v>
      </c>
      <c r="DO177" s="10">
        <f t="shared" si="173"/>
        <v>-2.7239583333334427E-3</v>
      </c>
      <c r="DP177" s="10">
        <f t="shared" si="174"/>
        <v>6.6145833333327198E-4</v>
      </c>
      <c r="DQ177" s="10">
        <f t="shared" si="175"/>
        <v>-3.2656250000000497E-3</v>
      </c>
      <c r="DR177" s="10">
        <f t="shared" si="176"/>
        <v>-6.9270833333336568E-4</v>
      </c>
      <c r="DS177" s="10">
        <f t="shared" si="177"/>
        <v>-7.8020833333333943E-3</v>
      </c>
      <c r="DT177" s="10">
        <f t="shared" si="178"/>
        <v>-3.2656250000000497E-3</v>
      </c>
      <c r="DU177" s="10">
        <f t="shared" si="179"/>
        <v>-6.2500000000006994E-4</v>
      </c>
      <c r="DV177" s="10">
        <f t="shared" si="180"/>
        <v>-4.4843750000000959E-3</v>
      </c>
      <c r="DW177" s="10">
        <f t="shared" si="181"/>
        <v>-5.2291666666667101E-3</v>
      </c>
    </row>
    <row r="178" spans="2:127" x14ac:dyDescent="0.45">
      <c r="B178" s="1">
        <v>24</v>
      </c>
      <c r="C178" s="1">
        <v>2535</v>
      </c>
      <c r="D178" s="7">
        <f t="shared" si="182"/>
        <v>14.857142857142858</v>
      </c>
      <c r="E178" s="1">
        <v>14.802</v>
      </c>
      <c r="F178" s="1">
        <v>14.856</v>
      </c>
      <c r="G178" s="1">
        <v>14.866</v>
      </c>
      <c r="H178" s="1">
        <v>14.766999999999999</v>
      </c>
      <c r="I178" s="1">
        <v>14.827</v>
      </c>
      <c r="J178" s="1">
        <v>14.827</v>
      </c>
      <c r="K178" s="1">
        <v>14.939</v>
      </c>
      <c r="L178" s="1">
        <v>14.802</v>
      </c>
      <c r="M178" s="1">
        <v>14.885999999999999</v>
      </c>
      <c r="N178" s="1">
        <v>14.877000000000001</v>
      </c>
      <c r="O178" s="1">
        <v>14.832000000000001</v>
      </c>
      <c r="P178" s="1">
        <v>14.824</v>
      </c>
      <c r="Q178" s="1">
        <v>14.871</v>
      </c>
      <c r="R178" s="1">
        <v>14.837</v>
      </c>
      <c r="S178" s="1">
        <v>14.836</v>
      </c>
      <c r="T178" s="1">
        <v>14.879</v>
      </c>
      <c r="U178" s="1">
        <v>14.862</v>
      </c>
      <c r="V178" s="1">
        <v>14.818</v>
      </c>
      <c r="W178" s="1">
        <v>14.827</v>
      </c>
      <c r="X178" s="1">
        <v>14.795</v>
      </c>
      <c r="Y178" s="1">
        <v>14.831</v>
      </c>
      <c r="Z178" s="1">
        <v>14.801</v>
      </c>
      <c r="AA178" s="1">
        <v>14.859</v>
      </c>
      <c r="AB178" s="1">
        <v>14.805999999999999</v>
      </c>
      <c r="AC178" s="1">
        <v>14.827999999999999</v>
      </c>
      <c r="AD178" s="1">
        <v>14.859</v>
      </c>
      <c r="AE178" s="1">
        <v>14.824999999999999</v>
      </c>
      <c r="AF178" s="1">
        <v>14.863</v>
      </c>
      <c r="AG178" s="1">
        <v>14.85</v>
      </c>
      <c r="AH178" s="1">
        <v>14.852</v>
      </c>
      <c r="AI178" s="1">
        <v>14.875</v>
      </c>
      <c r="AJ178" s="1">
        <v>14.752000000000001</v>
      </c>
      <c r="AK178" s="1">
        <v>14.773999999999999</v>
      </c>
      <c r="AL178" s="1">
        <v>14.817</v>
      </c>
      <c r="AM178" s="1">
        <v>14.856</v>
      </c>
      <c r="AN178" s="1">
        <v>14.891999999999999</v>
      </c>
      <c r="AO178" s="1">
        <v>14.865</v>
      </c>
      <c r="AP178" s="1">
        <v>14.847</v>
      </c>
      <c r="AQ178" s="1">
        <v>14.802</v>
      </c>
      <c r="AR178" s="1">
        <v>14.877000000000001</v>
      </c>
      <c r="AS178" s="1">
        <v>14.81</v>
      </c>
      <c r="AT178" s="1">
        <v>14.879</v>
      </c>
      <c r="AU178" s="1">
        <v>14.871</v>
      </c>
      <c r="AV178" s="1">
        <v>14.760999999999999</v>
      </c>
      <c r="AW178" s="1">
        <v>14.863</v>
      </c>
      <c r="AX178" s="1">
        <v>14.81</v>
      </c>
      <c r="AY178" s="1">
        <v>14.87</v>
      </c>
      <c r="AZ178" s="1">
        <v>14.843999999999999</v>
      </c>
      <c r="BA178" s="1">
        <v>14.811999999999999</v>
      </c>
      <c r="BB178" s="1">
        <v>14.756</v>
      </c>
      <c r="BC178" s="1">
        <v>14.852</v>
      </c>
      <c r="BD178" s="1">
        <v>14.814</v>
      </c>
      <c r="BE178" s="1">
        <v>14.867000000000001</v>
      </c>
      <c r="BF178" s="1">
        <v>14.808</v>
      </c>
      <c r="BG178" s="1">
        <v>14.843999999999999</v>
      </c>
      <c r="BH178" s="1">
        <v>14.737</v>
      </c>
      <c r="BI178" s="1">
        <v>14.808</v>
      </c>
      <c r="BJ178" s="1">
        <v>14.848000000000001</v>
      </c>
      <c r="BK178" s="1">
        <v>14.785</v>
      </c>
      <c r="BL178" s="1">
        <v>14.779</v>
      </c>
      <c r="BN178" s="9">
        <v>24</v>
      </c>
      <c r="BO178" s="9">
        <v>2535</v>
      </c>
      <c r="BP178" s="10">
        <f t="shared" si="122"/>
        <v>-3.7115384615385221E-3</v>
      </c>
      <c r="BQ178" s="10">
        <f t="shared" si="123"/>
        <v>-7.6923076923119684E-5</v>
      </c>
      <c r="BR178" s="10">
        <f t="shared" si="124"/>
        <v>5.9615384615378905E-4</v>
      </c>
      <c r="BS178" s="10">
        <f t="shared" si="125"/>
        <v>-6.0673076923077624E-3</v>
      </c>
      <c r="BT178" s="10">
        <f t="shared" si="126"/>
        <v>-2.0288461538461909E-3</v>
      </c>
      <c r="BU178" s="10">
        <f t="shared" si="127"/>
        <v>-2.0288461538461909E-3</v>
      </c>
      <c r="BV178" s="10">
        <f t="shared" si="128"/>
        <v>5.5096153846153541E-3</v>
      </c>
      <c r="BW178" s="10">
        <f t="shared" si="129"/>
        <v>-3.7115384615385221E-3</v>
      </c>
      <c r="BX178" s="10">
        <f t="shared" si="130"/>
        <v>1.9423076923076065E-3</v>
      </c>
      <c r="BY178" s="10">
        <f t="shared" si="131"/>
        <v>1.3365384615384723E-3</v>
      </c>
      <c r="BZ178" s="10">
        <f t="shared" si="132"/>
        <v>-1.6923076923076768E-3</v>
      </c>
      <c r="CA178" s="10">
        <f t="shared" si="133"/>
        <v>-2.2307692307692753E-3</v>
      </c>
      <c r="CB178" s="10">
        <f t="shared" si="134"/>
        <v>9.3269230769230311E-4</v>
      </c>
      <c r="CC178" s="10">
        <f t="shared" si="135"/>
        <v>-1.3557692307692821E-3</v>
      </c>
      <c r="CD178" s="10">
        <f t="shared" si="136"/>
        <v>-1.4230769230769371E-3</v>
      </c>
      <c r="CE178" s="10">
        <f t="shared" si="137"/>
        <v>1.4711538461537822E-3</v>
      </c>
      <c r="CF178" s="10">
        <f t="shared" si="138"/>
        <v>3.2692307692304943E-4</v>
      </c>
      <c r="CG178" s="10">
        <f t="shared" si="139"/>
        <v>-2.6346153846154444E-3</v>
      </c>
      <c r="CH178" s="10">
        <f t="shared" si="140"/>
        <v>-2.0288461538461909E-3</v>
      </c>
      <c r="CI178" s="10">
        <f t="shared" si="141"/>
        <v>-4.1826923076923464E-3</v>
      </c>
      <c r="CJ178" s="10">
        <f t="shared" si="142"/>
        <v>-1.7596153846154512E-3</v>
      </c>
      <c r="CK178" s="10">
        <f t="shared" si="143"/>
        <v>-3.7788461538461773E-3</v>
      </c>
      <c r="CL178" s="10">
        <f t="shared" si="144"/>
        <v>1.2499999999996487E-4</v>
      </c>
      <c r="CM178" s="10">
        <f t="shared" si="145"/>
        <v>-3.4423076923077826E-3</v>
      </c>
      <c r="CN178" s="10">
        <f t="shared" si="146"/>
        <v>-1.9615384615385358E-3</v>
      </c>
      <c r="CO178" s="10">
        <f t="shared" si="147"/>
        <v>1.2499999999996487E-4</v>
      </c>
      <c r="CP178" s="10">
        <f t="shared" si="148"/>
        <v>-2.1634615384616205E-3</v>
      </c>
      <c r="CQ178" s="10">
        <f t="shared" si="149"/>
        <v>3.9423076923070444E-4</v>
      </c>
      <c r="CR178" s="10">
        <f t="shared" si="150"/>
        <v>-4.807692307692888E-4</v>
      </c>
      <c r="CS178" s="10">
        <f t="shared" si="151"/>
        <v>-3.4615384615385925E-4</v>
      </c>
      <c r="CT178" s="10">
        <f t="shared" si="152"/>
        <v>1.2019230769230427E-3</v>
      </c>
      <c r="CU178" s="10">
        <f t="shared" si="153"/>
        <v>-7.0769230769230657E-3</v>
      </c>
      <c r="CV178" s="10">
        <f t="shared" si="154"/>
        <v>-5.5961538461539381E-3</v>
      </c>
      <c r="CW178" s="10">
        <f t="shared" si="155"/>
        <v>-2.7019230769230996E-3</v>
      </c>
      <c r="CX178" s="10">
        <f t="shared" si="156"/>
        <v>-7.6923076923119684E-5</v>
      </c>
      <c r="CY178" s="10">
        <f t="shared" si="157"/>
        <v>2.3461538461537756E-3</v>
      </c>
      <c r="CZ178" s="10">
        <f t="shared" si="158"/>
        <v>5.2884615384613399E-4</v>
      </c>
      <c r="DA178" s="10">
        <f t="shared" si="159"/>
        <v>-6.8269230769237336E-4</v>
      </c>
      <c r="DB178" s="10">
        <f t="shared" si="160"/>
        <v>-3.7115384615385221E-3</v>
      </c>
      <c r="DC178" s="10">
        <f t="shared" si="161"/>
        <v>1.3365384615384723E-3</v>
      </c>
      <c r="DD178" s="10">
        <f t="shared" si="162"/>
        <v>-3.1730769230769239E-3</v>
      </c>
      <c r="DE178" s="10">
        <f t="shared" si="163"/>
        <v>1.4711538461537822E-3</v>
      </c>
      <c r="DF178" s="10">
        <f t="shared" si="164"/>
        <v>9.3269230769230311E-4</v>
      </c>
      <c r="DG178" s="10">
        <f t="shared" si="165"/>
        <v>-6.471153846153932E-3</v>
      </c>
      <c r="DH178" s="10">
        <f t="shared" si="166"/>
        <v>3.9423076923070444E-4</v>
      </c>
      <c r="DI178" s="10">
        <f t="shared" si="167"/>
        <v>-3.1730769230769239E-3</v>
      </c>
      <c r="DJ178" s="10">
        <f t="shared" si="168"/>
        <v>8.6538461538452857E-4</v>
      </c>
      <c r="DK178" s="10">
        <f t="shared" si="169"/>
        <v>-8.8461538461545792E-4</v>
      </c>
      <c r="DL178" s="10">
        <f t="shared" si="170"/>
        <v>-3.0384615384616135E-3</v>
      </c>
      <c r="DM178" s="10">
        <f t="shared" si="171"/>
        <v>-6.8076923076923262E-3</v>
      </c>
      <c r="DN178" s="10">
        <f t="shared" si="172"/>
        <v>-3.4615384615385925E-4</v>
      </c>
      <c r="DO178" s="10">
        <f t="shared" si="173"/>
        <v>-2.9038461538461839E-3</v>
      </c>
      <c r="DP178" s="10">
        <f t="shared" si="174"/>
        <v>6.634615384615636E-4</v>
      </c>
      <c r="DQ178" s="10">
        <f t="shared" si="175"/>
        <v>-3.307692307692353E-3</v>
      </c>
      <c r="DR178" s="10">
        <f t="shared" si="176"/>
        <v>-8.8461538461545792E-4</v>
      </c>
      <c r="DS178" s="10">
        <f t="shared" si="177"/>
        <v>-8.0865384615384887E-3</v>
      </c>
      <c r="DT178" s="10">
        <f t="shared" si="178"/>
        <v>-3.307692307692353E-3</v>
      </c>
      <c r="DU178" s="10">
        <f t="shared" si="179"/>
        <v>-6.1538461538459882E-4</v>
      </c>
      <c r="DV178" s="10">
        <f t="shared" si="180"/>
        <v>-4.8557692307692555E-3</v>
      </c>
      <c r="DW178" s="10">
        <f t="shared" si="181"/>
        <v>-5.2596153846154242E-3</v>
      </c>
    </row>
    <row r="179" spans="2:127" x14ac:dyDescent="0.45">
      <c r="B179" s="1">
        <v>24</v>
      </c>
      <c r="C179" s="1">
        <v>2550</v>
      </c>
      <c r="D179" s="7">
        <f t="shared" si="182"/>
        <v>14.945054945054945</v>
      </c>
      <c r="E179" s="1">
        <v>14.89</v>
      </c>
      <c r="F179" s="1">
        <v>14.943</v>
      </c>
      <c r="G179" s="1">
        <v>14.951000000000001</v>
      </c>
      <c r="H179" s="1">
        <v>14.852</v>
      </c>
      <c r="I179" s="1">
        <v>14.916</v>
      </c>
      <c r="J179" s="1">
        <v>14.913</v>
      </c>
      <c r="K179" s="1">
        <v>15.029</v>
      </c>
      <c r="L179" s="1">
        <v>14.89</v>
      </c>
      <c r="M179" s="1">
        <v>14.976000000000001</v>
      </c>
      <c r="N179" s="1">
        <v>14.962</v>
      </c>
      <c r="O179" s="1">
        <v>14.92</v>
      </c>
      <c r="P179" s="1">
        <v>14.914999999999999</v>
      </c>
      <c r="Q179" s="1">
        <v>14.958</v>
      </c>
      <c r="R179" s="1">
        <v>14.927</v>
      </c>
      <c r="S179" s="1">
        <v>14.923</v>
      </c>
      <c r="T179" s="1">
        <v>14.968999999999999</v>
      </c>
      <c r="U179" s="1">
        <v>14.951000000000001</v>
      </c>
      <c r="V179" s="1">
        <v>14.904999999999999</v>
      </c>
      <c r="W179" s="1">
        <v>14.916</v>
      </c>
      <c r="X179" s="1">
        <v>14.879</v>
      </c>
      <c r="Y179" s="1">
        <v>14.919</v>
      </c>
      <c r="Z179" s="1">
        <v>14.885999999999999</v>
      </c>
      <c r="AA179" s="1">
        <v>14.949</v>
      </c>
      <c r="AB179" s="1">
        <v>14.894</v>
      </c>
      <c r="AC179" s="1">
        <v>14.916</v>
      </c>
      <c r="AD179" s="1">
        <v>14.946</v>
      </c>
      <c r="AE179" s="1">
        <v>14.913</v>
      </c>
      <c r="AF179" s="1">
        <v>14.952999999999999</v>
      </c>
      <c r="AG179" s="1">
        <v>14.936</v>
      </c>
      <c r="AH179" s="1">
        <v>14.938000000000001</v>
      </c>
      <c r="AI179" s="1">
        <v>14.962</v>
      </c>
      <c r="AJ179" s="1">
        <v>14.836</v>
      </c>
      <c r="AK179" s="1">
        <v>14.862</v>
      </c>
      <c r="AL179" s="1">
        <v>14.904999999999999</v>
      </c>
      <c r="AM179" s="1">
        <v>14.945</v>
      </c>
      <c r="AN179" s="1">
        <v>14.977</v>
      </c>
      <c r="AO179" s="1">
        <v>14.952999999999999</v>
      </c>
      <c r="AP179" s="1">
        <v>14.935</v>
      </c>
      <c r="AQ179" s="1">
        <v>14.888</v>
      </c>
      <c r="AR179" s="1">
        <v>14.968</v>
      </c>
      <c r="AS179" s="1">
        <v>14.898</v>
      </c>
      <c r="AT179" s="1">
        <v>14.968999999999999</v>
      </c>
      <c r="AU179" s="1">
        <v>14.959</v>
      </c>
      <c r="AV179" s="1">
        <v>14.843999999999999</v>
      </c>
      <c r="AW179" s="1">
        <v>14.946999999999999</v>
      </c>
      <c r="AX179" s="1">
        <v>14.894</v>
      </c>
      <c r="AY179" s="1">
        <v>14.961</v>
      </c>
      <c r="AZ179" s="1">
        <v>14.930999999999999</v>
      </c>
      <c r="BA179" s="1">
        <v>14.9</v>
      </c>
      <c r="BB179" s="1">
        <v>14.843</v>
      </c>
      <c r="BC179" s="1">
        <v>14.939</v>
      </c>
      <c r="BD179" s="1">
        <v>14.904</v>
      </c>
      <c r="BE179" s="1">
        <v>14.954000000000001</v>
      </c>
      <c r="BF179" s="1">
        <v>14.896000000000001</v>
      </c>
      <c r="BG179" s="1">
        <v>14.932</v>
      </c>
      <c r="BH179" s="1">
        <v>14.829000000000001</v>
      </c>
      <c r="BI179" s="1">
        <v>14.896000000000001</v>
      </c>
      <c r="BJ179" s="1">
        <v>14.938000000000001</v>
      </c>
      <c r="BK179" s="1">
        <v>14.867000000000001</v>
      </c>
      <c r="BL179" s="1">
        <v>14.866</v>
      </c>
      <c r="BN179" s="9">
        <v>24</v>
      </c>
      <c r="BO179" s="9">
        <v>2550</v>
      </c>
      <c r="BP179" s="10">
        <f t="shared" si="122"/>
        <v>-3.6838235294117398E-3</v>
      </c>
      <c r="BQ179" s="10">
        <f t="shared" si="123"/>
        <v>-1.3750000000003874E-4</v>
      </c>
      <c r="BR179" s="10">
        <f t="shared" si="124"/>
        <v>3.9779411764707999E-4</v>
      </c>
      <c r="BS179" s="10">
        <f t="shared" si="125"/>
        <v>-6.2264705882352864E-3</v>
      </c>
      <c r="BT179" s="10">
        <f t="shared" si="126"/>
        <v>-1.9441176470588119E-3</v>
      </c>
      <c r="BU179" s="10">
        <f t="shared" si="127"/>
        <v>-2.1448529411764667E-3</v>
      </c>
      <c r="BV179" s="10">
        <f t="shared" si="128"/>
        <v>5.6169117647058633E-3</v>
      </c>
      <c r="BW179" s="10">
        <f t="shared" si="129"/>
        <v>-3.6838235294117398E-3</v>
      </c>
      <c r="BX179" s="10">
        <f t="shared" si="130"/>
        <v>2.0705882352941626E-3</v>
      </c>
      <c r="BY179" s="10">
        <f t="shared" si="131"/>
        <v>1.1338235294117345E-3</v>
      </c>
      <c r="BZ179" s="10">
        <f t="shared" si="132"/>
        <v>-1.6764705882353118E-3</v>
      </c>
      <c r="CA179" s="10">
        <f t="shared" si="133"/>
        <v>-2.011029411764776E-3</v>
      </c>
      <c r="CB179" s="10">
        <f t="shared" si="134"/>
        <v>8.6617647058823458E-4</v>
      </c>
      <c r="CC179" s="10">
        <f t="shared" si="135"/>
        <v>-1.2080882352941574E-3</v>
      </c>
      <c r="CD179" s="10">
        <f t="shared" si="136"/>
        <v>-1.4757352941176572E-3</v>
      </c>
      <c r="CE179" s="10">
        <f t="shared" si="137"/>
        <v>1.6022058823528891E-3</v>
      </c>
      <c r="CF179" s="10">
        <f t="shared" si="138"/>
        <v>3.9779411764707999E-4</v>
      </c>
      <c r="CG179" s="10">
        <f t="shared" si="139"/>
        <v>-2.6801470588235852E-3</v>
      </c>
      <c r="CH179" s="10">
        <f t="shared" si="140"/>
        <v>-1.9441176470588119E-3</v>
      </c>
      <c r="CI179" s="10">
        <f t="shared" si="141"/>
        <v>-4.4198529411765127E-3</v>
      </c>
      <c r="CJ179" s="10">
        <f t="shared" si="142"/>
        <v>-1.7433823529411571E-3</v>
      </c>
      <c r="CK179" s="10">
        <f t="shared" si="143"/>
        <v>-3.9514705882353583E-3</v>
      </c>
      <c r="CL179" s="10">
        <f t="shared" si="144"/>
        <v>2.6397058823527059E-4</v>
      </c>
      <c r="CM179" s="10">
        <f t="shared" si="145"/>
        <v>-3.4161764705882398E-3</v>
      </c>
      <c r="CN179" s="10">
        <f t="shared" si="146"/>
        <v>-1.9441176470588119E-3</v>
      </c>
      <c r="CO179" s="10">
        <f t="shared" si="147"/>
        <v>6.3235294117615937E-5</v>
      </c>
      <c r="CP179" s="10">
        <f t="shared" si="148"/>
        <v>-2.1448529411764667E-3</v>
      </c>
      <c r="CQ179" s="10">
        <f t="shared" si="149"/>
        <v>5.3161764705877057E-4</v>
      </c>
      <c r="CR179" s="10">
        <f t="shared" si="150"/>
        <v>-6.0588235294119328E-4</v>
      </c>
      <c r="CS179" s="10">
        <f t="shared" si="151"/>
        <v>-4.7205882352938393E-4</v>
      </c>
      <c r="CT179" s="10">
        <f t="shared" si="152"/>
        <v>1.1338235294117345E-3</v>
      </c>
      <c r="CU179" s="10">
        <f t="shared" si="153"/>
        <v>-7.2970588235294048E-3</v>
      </c>
      <c r="CV179" s="10">
        <f t="shared" si="154"/>
        <v>-5.5573529411764768E-3</v>
      </c>
      <c r="CW179" s="10">
        <f t="shared" si="155"/>
        <v>-2.6801470588235852E-3</v>
      </c>
      <c r="CX179" s="10">
        <f t="shared" si="156"/>
        <v>-3.6764705882293379E-6</v>
      </c>
      <c r="CY179" s="10">
        <f t="shared" si="157"/>
        <v>2.1375000000000079E-3</v>
      </c>
      <c r="CZ179" s="10">
        <f t="shared" si="158"/>
        <v>5.3161764705877057E-4</v>
      </c>
      <c r="DA179" s="10">
        <f t="shared" si="159"/>
        <v>-6.7279411764703859E-4</v>
      </c>
      <c r="DB179" s="10">
        <f t="shared" si="160"/>
        <v>-3.8176470588235489E-3</v>
      </c>
      <c r="DC179" s="10">
        <f t="shared" si="161"/>
        <v>1.5352941176470438E-3</v>
      </c>
      <c r="DD179" s="10">
        <f t="shared" si="162"/>
        <v>-3.1485294117647397E-3</v>
      </c>
      <c r="DE179" s="10">
        <f t="shared" si="163"/>
        <v>1.6022058823528891E-3</v>
      </c>
      <c r="DF179" s="10">
        <f t="shared" si="164"/>
        <v>9.330882352940799E-4</v>
      </c>
      <c r="DG179" s="10">
        <f t="shared" si="165"/>
        <v>-6.7617647058824046E-3</v>
      </c>
      <c r="DH179" s="10">
        <f t="shared" si="166"/>
        <v>1.3014705882346121E-4</v>
      </c>
      <c r="DI179" s="10">
        <f t="shared" si="167"/>
        <v>-3.4161764705882398E-3</v>
      </c>
      <c r="DJ179" s="10">
        <f t="shared" si="168"/>
        <v>1.0669117647058894E-3</v>
      </c>
      <c r="DK179" s="10">
        <f t="shared" si="169"/>
        <v>-9.404411764706574E-4</v>
      </c>
      <c r="DL179" s="10">
        <f t="shared" si="170"/>
        <v>-3.0147058823529306E-3</v>
      </c>
      <c r="DM179" s="10">
        <f t="shared" si="171"/>
        <v>-6.8286764705882503E-3</v>
      </c>
      <c r="DN179" s="10">
        <f t="shared" si="172"/>
        <v>-4.0514705882353867E-4</v>
      </c>
      <c r="DO179" s="10">
        <f t="shared" si="173"/>
        <v>-2.7470588235294306E-3</v>
      </c>
      <c r="DP179" s="10">
        <f t="shared" si="174"/>
        <v>5.985294117647346E-4</v>
      </c>
      <c r="DQ179" s="10">
        <f t="shared" si="175"/>
        <v>-3.2823529411764303E-3</v>
      </c>
      <c r="DR179" s="10">
        <f t="shared" si="176"/>
        <v>-8.7352941176469326E-4</v>
      </c>
      <c r="DS179" s="10">
        <f t="shared" si="177"/>
        <v>-7.7654411764705592E-3</v>
      </c>
      <c r="DT179" s="10">
        <f t="shared" si="178"/>
        <v>-3.2823529411764303E-3</v>
      </c>
      <c r="DU179" s="10">
        <f t="shared" si="179"/>
        <v>-4.7205882352938393E-4</v>
      </c>
      <c r="DV179" s="10">
        <f t="shared" si="180"/>
        <v>-5.222794117647013E-3</v>
      </c>
      <c r="DW179" s="10">
        <f t="shared" si="181"/>
        <v>-5.2897058823529767E-3</v>
      </c>
    </row>
    <row r="180" spans="2:127" x14ac:dyDescent="0.45">
      <c r="B180" s="1">
        <v>24</v>
      </c>
      <c r="C180" s="1">
        <v>2565</v>
      </c>
      <c r="D180" s="7">
        <f t="shared" si="182"/>
        <v>15.032967032967033</v>
      </c>
      <c r="E180" s="1">
        <v>14.978</v>
      </c>
      <c r="F180" s="1">
        <v>15.03</v>
      </c>
      <c r="G180" s="1">
        <v>15.032999999999999</v>
      </c>
      <c r="H180" s="1">
        <v>14.939</v>
      </c>
      <c r="I180" s="1">
        <v>15.004</v>
      </c>
      <c r="J180" s="1">
        <v>15.003</v>
      </c>
      <c r="K180" s="1">
        <v>15.118</v>
      </c>
      <c r="L180" s="1">
        <v>14.978</v>
      </c>
      <c r="M180" s="1">
        <v>15.067</v>
      </c>
      <c r="N180" s="1">
        <v>15.05</v>
      </c>
      <c r="O180" s="1">
        <v>15.007999999999999</v>
      </c>
      <c r="P180" s="1">
        <v>15.002000000000001</v>
      </c>
      <c r="Q180" s="1">
        <v>15.048</v>
      </c>
      <c r="R180" s="1">
        <v>15.016</v>
      </c>
      <c r="S180" s="1">
        <v>15.004</v>
      </c>
      <c r="T180" s="1">
        <v>15.055999999999999</v>
      </c>
      <c r="U180" s="1">
        <v>15.04</v>
      </c>
      <c r="V180" s="1">
        <v>14.993</v>
      </c>
      <c r="W180" s="1">
        <v>15.006</v>
      </c>
      <c r="X180" s="1">
        <v>14.965999999999999</v>
      </c>
      <c r="Y180" s="1">
        <v>15.007</v>
      </c>
      <c r="Z180" s="1">
        <v>14.974</v>
      </c>
      <c r="AA180" s="1">
        <v>15.038</v>
      </c>
      <c r="AB180" s="1">
        <v>14.984</v>
      </c>
      <c r="AC180" s="1">
        <v>15.006</v>
      </c>
      <c r="AD180" s="1">
        <v>15.031000000000001</v>
      </c>
      <c r="AE180" s="1">
        <v>15</v>
      </c>
      <c r="AF180" s="1">
        <v>15.042</v>
      </c>
      <c r="AG180" s="1">
        <v>15.025</v>
      </c>
      <c r="AH180" s="1">
        <v>15.025</v>
      </c>
      <c r="AI180" s="1">
        <v>15.048999999999999</v>
      </c>
      <c r="AJ180" s="1">
        <v>14.923</v>
      </c>
      <c r="AK180" s="1">
        <v>14.951000000000001</v>
      </c>
      <c r="AL180" s="1">
        <v>14.992000000000001</v>
      </c>
      <c r="AM180" s="1">
        <v>15.031000000000001</v>
      </c>
      <c r="AN180" s="1">
        <v>15.063000000000001</v>
      </c>
      <c r="AO180" s="1">
        <v>15.041</v>
      </c>
      <c r="AP180" s="1">
        <v>15.023</v>
      </c>
      <c r="AQ180" s="1">
        <v>14.974</v>
      </c>
      <c r="AR180" s="1">
        <v>15.052</v>
      </c>
      <c r="AS180" s="1">
        <v>14.984</v>
      </c>
      <c r="AT180" s="1">
        <v>15.055999999999999</v>
      </c>
      <c r="AU180" s="1">
        <v>15.048</v>
      </c>
      <c r="AV180" s="1">
        <v>14.926</v>
      </c>
      <c r="AW180" s="1">
        <v>15.037000000000001</v>
      </c>
      <c r="AX180" s="1">
        <v>14.984</v>
      </c>
      <c r="AY180" s="1">
        <v>15.053000000000001</v>
      </c>
      <c r="AZ180" s="1">
        <v>15.016</v>
      </c>
      <c r="BA180" s="1">
        <v>14.984999999999999</v>
      </c>
      <c r="BB180" s="1">
        <v>14.933999999999999</v>
      </c>
      <c r="BC180" s="1">
        <v>15.026999999999999</v>
      </c>
      <c r="BD180" s="1">
        <v>14.992000000000001</v>
      </c>
      <c r="BE180" s="1">
        <v>15.042</v>
      </c>
      <c r="BF180" s="1">
        <v>14.984</v>
      </c>
      <c r="BG180" s="1">
        <v>15.023</v>
      </c>
      <c r="BH180" s="1">
        <v>14.913</v>
      </c>
      <c r="BI180" s="1">
        <v>14.984</v>
      </c>
      <c r="BJ180" s="1">
        <v>15.025</v>
      </c>
      <c r="BK180" s="1">
        <v>14.954000000000001</v>
      </c>
      <c r="BL180" s="1">
        <v>14.952999999999999</v>
      </c>
      <c r="BN180" s="9">
        <v>24</v>
      </c>
      <c r="BO180" s="9">
        <v>2565</v>
      </c>
      <c r="BP180" s="10">
        <f t="shared" si="122"/>
        <v>-3.65643274853802E-3</v>
      </c>
      <c r="BQ180" s="10">
        <f t="shared" si="123"/>
        <v>-1.9736842105266632E-4</v>
      </c>
      <c r="BR180" s="10">
        <f t="shared" si="124"/>
        <v>2.1929824561131652E-6</v>
      </c>
      <c r="BS180" s="10">
        <f t="shared" si="125"/>
        <v>-6.2507309941520353E-3</v>
      </c>
      <c r="BT180" s="10">
        <f t="shared" si="126"/>
        <v>-1.9269005847953431E-3</v>
      </c>
      <c r="BU180" s="10">
        <f t="shared" si="127"/>
        <v>-1.9934210526315636E-3</v>
      </c>
      <c r="BV180" s="10">
        <f t="shared" si="128"/>
        <v>5.6564327485380409E-3</v>
      </c>
      <c r="BW180" s="10">
        <f t="shared" si="129"/>
        <v>-3.65643274853802E-3</v>
      </c>
      <c r="BX180" s="10">
        <f t="shared" si="130"/>
        <v>2.2638888888889082E-3</v>
      </c>
      <c r="BY180" s="10">
        <f t="shared" si="131"/>
        <v>1.1330409356725697E-3</v>
      </c>
      <c r="BZ180" s="10">
        <f t="shared" si="132"/>
        <v>-1.6608187134503432E-3</v>
      </c>
      <c r="CA180" s="10">
        <f t="shared" si="133"/>
        <v>-2.0599415204677839E-3</v>
      </c>
      <c r="CB180" s="10">
        <f t="shared" si="134"/>
        <v>1.0000000000000106E-3</v>
      </c>
      <c r="CC180" s="10">
        <f t="shared" si="135"/>
        <v>-1.1286549707602252E-3</v>
      </c>
      <c r="CD180" s="10">
        <f t="shared" si="136"/>
        <v>-1.9269005847953431E-3</v>
      </c>
      <c r="CE180" s="10">
        <f t="shared" si="137"/>
        <v>1.5321637426900104E-3</v>
      </c>
      <c r="CF180" s="10">
        <f t="shared" si="138"/>
        <v>4.6783625730989259E-4</v>
      </c>
      <c r="CG180" s="10">
        <f t="shared" si="139"/>
        <v>-2.6586257309941224E-3</v>
      </c>
      <c r="CH180" s="10">
        <f t="shared" si="140"/>
        <v>-1.793859649122784E-3</v>
      </c>
      <c r="CI180" s="10">
        <f t="shared" si="141"/>
        <v>-4.4546783625731383E-3</v>
      </c>
      <c r="CJ180" s="10">
        <f t="shared" si="142"/>
        <v>-1.7273391812865637E-3</v>
      </c>
      <c r="CK180" s="10">
        <f t="shared" si="143"/>
        <v>-3.9225146198830201E-3</v>
      </c>
      <c r="CL180" s="10">
        <f t="shared" si="144"/>
        <v>3.3479532163745173E-4</v>
      </c>
      <c r="CM180" s="10">
        <f t="shared" si="145"/>
        <v>-3.2573099415204609E-3</v>
      </c>
      <c r="CN180" s="10">
        <f t="shared" si="146"/>
        <v>-1.793859649122784E-3</v>
      </c>
      <c r="CO180" s="10">
        <f t="shared" si="147"/>
        <v>-1.3084795321632772E-4</v>
      </c>
      <c r="CP180" s="10">
        <f t="shared" si="148"/>
        <v>-2.1929824561403429E-3</v>
      </c>
      <c r="CQ180" s="10">
        <f t="shared" si="149"/>
        <v>6.0087719298245162E-4</v>
      </c>
      <c r="CR180" s="10">
        <f t="shared" si="150"/>
        <v>-5.2997076023388674E-4</v>
      </c>
      <c r="CS180" s="10">
        <f t="shared" si="151"/>
        <v>-5.2997076023388674E-4</v>
      </c>
      <c r="CT180" s="10">
        <f t="shared" si="152"/>
        <v>1.0665204678362312E-3</v>
      </c>
      <c r="CU180" s="10">
        <f t="shared" si="153"/>
        <v>-7.3150584795321529E-3</v>
      </c>
      <c r="CV180" s="10">
        <f t="shared" si="154"/>
        <v>-5.4524853801169171E-3</v>
      </c>
      <c r="CW180" s="10">
        <f t="shared" si="155"/>
        <v>-2.7251461988303432E-3</v>
      </c>
      <c r="CX180" s="10">
        <f t="shared" si="156"/>
        <v>-1.3084795321632772E-4</v>
      </c>
      <c r="CY180" s="10">
        <f t="shared" si="157"/>
        <v>1.997807017543908E-3</v>
      </c>
      <c r="CZ180" s="10">
        <f t="shared" si="158"/>
        <v>5.3435672514623119E-4</v>
      </c>
      <c r="DA180" s="10">
        <f t="shared" si="159"/>
        <v>-6.6301169590644578E-4</v>
      </c>
      <c r="DB180" s="10">
        <f t="shared" si="160"/>
        <v>-3.9225146198830201E-3</v>
      </c>
      <c r="DC180" s="10">
        <f t="shared" si="161"/>
        <v>1.2660818713450105E-3</v>
      </c>
      <c r="DD180" s="10">
        <f t="shared" si="162"/>
        <v>-3.2573099415204609E-3</v>
      </c>
      <c r="DE180" s="10">
        <f t="shared" si="163"/>
        <v>1.5321637426900104E-3</v>
      </c>
      <c r="DF180" s="10">
        <f t="shared" si="164"/>
        <v>1.0000000000000106E-3</v>
      </c>
      <c r="DG180" s="10">
        <f t="shared" si="165"/>
        <v>-7.1154970760233735E-3</v>
      </c>
      <c r="DH180" s="10">
        <f t="shared" si="166"/>
        <v>2.6827485380123125E-4</v>
      </c>
      <c r="DI180" s="10">
        <f t="shared" si="167"/>
        <v>-3.2573099415204609E-3</v>
      </c>
      <c r="DJ180" s="10">
        <f t="shared" si="168"/>
        <v>1.3326023391813492E-3</v>
      </c>
      <c r="DK180" s="10">
        <f t="shared" si="169"/>
        <v>-1.1286549707602252E-3</v>
      </c>
      <c r="DL180" s="10">
        <f t="shared" si="170"/>
        <v>-3.1907894736842406E-3</v>
      </c>
      <c r="DM180" s="10">
        <f t="shared" si="171"/>
        <v>-6.5833333333333742E-3</v>
      </c>
      <c r="DN180" s="10">
        <f t="shared" si="172"/>
        <v>-3.9692982456144584E-4</v>
      </c>
      <c r="DO180" s="10">
        <f t="shared" si="173"/>
        <v>-2.7251461988303432E-3</v>
      </c>
      <c r="DP180" s="10">
        <f t="shared" si="174"/>
        <v>6.0087719298245162E-4</v>
      </c>
      <c r="DQ180" s="10">
        <f t="shared" si="175"/>
        <v>-3.2573099415204609E-3</v>
      </c>
      <c r="DR180" s="10">
        <f t="shared" si="176"/>
        <v>-6.6301169590644578E-4</v>
      </c>
      <c r="DS180" s="10">
        <f t="shared" si="177"/>
        <v>-7.9802631578947125E-3</v>
      </c>
      <c r="DT180" s="10">
        <f t="shared" si="178"/>
        <v>-3.2573099415204609E-3</v>
      </c>
      <c r="DU180" s="10">
        <f t="shared" si="179"/>
        <v>-5.2997076023388674E-4</v>
      </c>
      <c r="DV180" s="10">
        <f t="shared" si="180"/>
        <v>-5.2529239766081377E-3</v>
      </c>
      <c r="DW180" s="10">
        <f t="shared" si="181"/>
        <v>-5.3194444444444764E-3</v>
      </c>
    </row>
    <row r="181" spans="2:127" x14ac:dyDescent="0.45">
      <c r="B181" s="1">
        <v>24</v>
      </c>
      <c r="C181" s="1">
        <v>2580</v>
      </c>
      <c r="D181" s="7">
        <f t="shared" si="182"/>
        <v>15.12087912087912</v>
      </c>
      <c r="E181" s="1">
        <v>15.065</v>
      </c>
      <c r="F181" s="1">
        <v>15.117000000000001</v>
      </c>
      <c r="G181" s="1">
        <v>15.122</v>
      </c>
      <c r="H181" s="1">
        <v>15.026</v>
      </c>
      <c r="I181" s="1">
        <v>15.090999999999999</v>
      </c>
      <c r="J181" s="1">
        <v>15.09</v>
      </c>
      <c r="K181" s="1">
        <v>15.206</v>
      </c>
      <c r="L181" s="1">
        <v>15.068</v>
      </c>
      <c r="M181" s="1">
        <v>15.154999999999999</v>
      </c>
      <c r="N181" s="1">
        <v>15.14</v>
      </c>
      <c r="O181" s="1">
        <v>15.095000000000001</v>
      </c>
      <c r="P181" s="1">
        <v>15.087</v>
      </c>
      <c r="Q181" s="1">
        <v>15.132</v>
      </c>
      <c r="R181" s="1">
        <v>15.105</v>
      </c>
      <c r="S181" s="1">
        <v>15.093999999999999</v>
      </c>
      <c r="T181" s="1">
        <v>15.145</v>
      </c>
      <c r="U181" s="1">
        <v>15.13</v>
      </c>
      <c r="V181" s="1">
        <v>15.082000000000001</v>
      </c>
      <c r="W181" s="1">
        <v>15.093999999999999</v>
      </c>
      <c r="X181" s="1">
        <v>15.048999999999999</v>
      </c>
      <c r="Y181" s="1">
        <v>15.095000000000001</v>
      </c>
      <c r="Z181" s="1">
        <v>15.063000000000001</v>
      </c>
      <c r="AA181" s="1">
        <v>15.128</v>
      </c>
      <c r="AB181" s="1">
        <v>15.071999999999999</v>
      </c>
      <c r="AC181" s="1">
        <v>15.093999999999999</v>
      </c>
      <c r="AD181" s="1">
        <v>15.118</v>
      </c>
      <c r="AE181" s="1">
        <v>15.087999999999999</v>
      </c>
      <c r="AF181" s="1">
        <v>15.13</v>
      </c>
      <c r="AG181" s="1">
        <v>15.113</v>
      </c>
      <c r="AH181" s="1">
        <v>15.113</v>
      </c>
      <c r="AI181" s="1">
        <v>15.138999999999999</v>
      </c>
      <c r="AJ181" s="1">
        <v>15.010999999999999</v>
      </c>
      <c r="AK181" s="1">
        <v>15.04</v>
      </c>
      <c r="AL181" s="1">
        <v>15.08</v>
      </c>
      <c r="AM181" s="1">
        <v>15.121</v>
      </c>
      <c r="AN181" s="1">
        <v>15.154999999999999</v>
      </c>
      <c r="AO181" s="1">
        <v>15.129</v>
      </c>
      <c r="AP181" s="1">
        <v>15.111000000000001</v>
      </c>
      <c r="AQ181" s="1">
        <v>15.063000000000001</v>
      </c>
      <c r="AR181" s="1">
        <v>15.141</v>
      </c>
      <c r="AS181" s="1">
        <v>15.069000000000001</v>
      </c>
      <c r="AT181" s="1">
        <v>15.144</v>
      </c>
      <c r="AU181" s="1">
        <v>15.137</v>
      </c>
      <c r="AV181" s="1">
        <v>15.015000000000001</v>
      </c>
      <c r="AW181" s="1">
        <v>15.125999999999999</v>
      </c>
      <c r="AX181" s="1">
        <v>15.071999999999999</v>
      </c>
      <c r="AY181" s="1">
        <v>15.143000000000001</v>
      </c>
      <c r="AZ181" s="1">
        <v>15.105</v>
      </c>
      <c r="BA181" s="1">
        <v>15.073</v>
      </c>
      <c r="BB181" s="1">
        <v>15.022</v>
      </c>
      <c r="BC181" s="1">
        <v>15.115</v>
      </c>
      <c r="BD181" s="1">
        <v>15.08</v>
      </c>
      <c r="BE181" s="1">
        <v>15.13</v>
      </c>
      <c r="BF181" s="1">
        <v>15.073</v>
      </c>
      <c r="BG181" s="1">
        <v>15.11</v>
      </c>
      <c r="BH181" s="1">
        <v>15.002000000000001</v>
      </c>
      <c r="BI181" s="1">
        <v>15.071999999999999</v>
      </c>
      <c r="BJ181" s="1">
        <v>15.114000000000001</v>
      </c>
      <c r="BK181" s="1">
        <v>15.05</v>
      </c>
      <c r="BL181" s="1">
        <v>15.04</v>
      </c>
      <c r="BN181" s="9">
        <v>24</v>
      </c>
      <c r="BO181" s="9">
        <v>2580</v>
      </c>
      <c r="BP181" s="10">
        <f t="shared" si="122"/>
        <v>-3.6954941860465164E-3</v>
      </c>
      <c r="BQ181" s="10">
        <f t="shared" si="123"/>
        <v>-2.5654069767433197E-4</v>
      </c>
      <c r="BR181" s="10">
        <f t="shared" si="124"/>
        <v>7.4127906976765071E-5</v>
      </c>
      <c r="BS181" s="10">
        <f t="shared" si="125"/>
        <v>-6.2747093023255663E-3</v>
      </c>
      <c r="BT181" s="10">
        <f t="shared" si="126"/>
        <v>-1.9760174418604827E-3</v>
      </c>
      <c r="BU181" s="10">
        <f t="shared" si="127"/>
        <v>-2.0421511627906788E-3</v>
      </c>
      <c r="BV181" s="10">
        <f t="shared" si="128"/>
        <v>5.6293604651162753E-3</v>
      </c>
      <c r="BW181" s="10">
        <f t="shared" si="129"/>
        <v>-3.4970930232558111E-3</v>
      </c>
      <c r="BX181" s="10">
        <f t="shared" si="130"/>
        <v>2.2565406976744048E-3</v>
      </c>
      <c r="BY181" s="10">
        <f t="shared" si="131"/>
        <v>1.2645348837209962E-3</v>
      </c>
      <c r="BZ181" s="10">
        <f t="shared" si="132"/>
        <v>-1.7114825581394642E-3</v>
      </c>
      <c r="CA181" s="10">
        <f t="shared" si="133"/>
        <v>-2.2405523255813837E-3</v>
      </c>
      <c r="CB181" s="10">
        <f t="shared" si="134"/>
        <v>7.3546511627907657E-4</v>
      </c>
      <c r="CC181" s="10">
        <f t="shared" si="135"/>
        <v>-1.0501453488371527E-3</v>
      </c>
      <c r="CD181" s="10">
        <f t="shared" si="136"/>
        <v>-1.7776162790697776E-3</v>
      </c>
      <c r="CE181" s="10">
        <f t="shared" si="137"/>
        <v>1.5952034883720933E-3</v>
      </c>
      <c r="CF181" s="10">
        <f t="shared" si="138"/>
        <v>6.0319767441868472E-4</v>
      </c>
      <c r="CG181" s="10">
        <f t="shared" si="139"/>
        <v>-2.5712209302324808E-3</v>
      </c>
      <c r="CH181" s="10">
        <f t="shared" si="140"/>
        <v>-1.7776162790697776E-3</v>
      </c>
      <c r="CI181" s="10">
        <f t="shared" si="141"/>
        <v>-4.7536337209302384E-3</v>
      </c>
      <c r="CJ181" s="10">
        <f t="shared" si="142"/>
        <v>-1.7114825581394642E-3</v>
      </c>
      <c r="CK181" s="10">
        <f t="shared" si="143"/>
        <v>-3.8277616279069082E-3</v>
      </c>
      <c r="CL181" s="10">
        <f t="shared" si="144"/>
        <v>4.7093023255817545E-4</v>
      </c>
      <c r="CM181" s="10">
        <f t="shared" si="145"/>
        <v>-3.2325581395349101E-3</v>
      </c>
      <c r="CN181" s="10">
        <f t="shared" si="146"/>
        <v>-1.7776162790697776E-3</v>
      </c>
      <c r="CO181" s="10">
        <f t="shared" si="147"/>
        <v>-1.9040697674413604E-4</v>
      </c>
      <c r="CP181" s="10">
        <f t="shared" si="148"/>
        <v>-2.1744186046511881E-3</v>
      </c>
      <c r="CQ181" s="10">
        <f t="shared" si="149"/>
        <v>6.0319767441868472E-4</v>
      </c>
      <c r="CR181" s="10">
        <f t="shared" si="150"/>
        <v>-5.2107558139535056E-4</v>
      </c>
      <c r="CS181" s="10">
        <f t="shared" si="151"/>
        <v>-5.2107558139535056E-4</v>
      </c>
      <c r="CT181" s="10">
        <f t="shared" si="152"/>
        <v>1.1984011627906828E-3</v>
      </c>
      <c r="CU181" s="10">
        <f t="shared" si="153"/>
        <v>-7.2667151162790922E-3</v>
      </c>
      <c r="CV181" s="10">
        <f t="shared" si="154"/>
        <v>-5.3488372093023536E-3</v>
      </c>
      <c r="CW181" s="10">
        <f t="shared" si="155"/>
        <v>-2.7034883720929901E-3</v>
      </c>
      <c r="CX181" s="10">
        <f t="shared" si="156"/>
        <v>7.9941860465691638E-6</v>
      </c>
      <c r="CY181" s="10">
        <f t="shared" si="157"/>
        <v>2.2565406976744048E-3</v>
      </c>
      <c r="CZ181" s="10">
        <f t="shared" si="158"/>
        <v>5.3706395348837132E-4</v>
      </c>
      <c r="DA181" s="10">
        <f t="shared" si="159"/>
        <v>-6.533430232557423E-4</v>
      </c>
      <c r="DB181" s="10">
        <f t="shared" si="160"/>
        <v>-3.8277616279069082E-3</v>
      </c>
      <c r="DC181" s="10">
        <f t="shared" si="161"/>
        <v>1.3306686046511921E-3</v>
      </c>
      <c r="DD181" s="10">
        <f t="shared" si="162"/>
        <v>-3.4309593023254975E-3</v>
      </c>
      <c r="DE181" s="10">
        <f t="shared" si="163"/>
        <v>1.5290697674418974E-3</v>
      </c>
      <c r="DF181" s="10">
        <f t="shared" si="164"/>
        <v>1.0661337209302911E-3</v>
      </c>
      <c r="DG181" s="10">
        <f t="shared" si="165"/>
        <v>-7.0021802325580737E-3</v>
      </c>
      <c r="DH181" s="10">
        <f t="shared" si="166"/>
        <v>3.3866279069766619E-4</v>
      </c>
      <c r="DI181" s="10">
        <f t="shared" si="167"/>
        <v>-3.2325581395349101E-3</v>
      </c>
      <c r="DJ181" s="10">
        <f t="shared" si="168"/>
        <v>1.4629360465117014E-3</v>
      </c>
      <c r="DK181" s="10">
        <f t="shared" si="169"/>
        <v>-1.0501453488371527E-3</v>
      </c>
      <c r="DL181" s="10">
        <f t="shared" si="170"/>
        <v>-3.1664244186045964E-3</v>
      </c>
      <c r="DM181" s="10">
        <f t="shared" si="171"/>
        <v>-6.5392441860464678E-3</v>
      </c>
      <c r="DN181" s="10">
        <f t="shared" si="172"/>
        <v>-3.8880813953484124E-4</v>
      </c>
      <c r="DO181" s="10">
        <f t="shared" si="173"/>
        <v>-2.7034883720929901E-3</v>
      </c>
      <c r="DP181" s="10">
        <f t="shared" si="174"/>
        <v>6.0319767441868472E-4</v>
      </c>
      <c r="DQ181" s="10">
        <f t="shared" si="175"/>
        <v>-3.1664244186045964E-3</v>
      </c>
      <c r="DR181" s="10">
        <f t="shared" si="176"/>
        <v>-7.194767441860557E-4</v>
      </c>
      <c r="DS181" s="10">
        <f t="shared" si="177"/>
        <v>-7.8619186046510903E-3</v>
      </c>
      <c r="DT181" s="10">
        <f t="shared" si="178"/>
        <v>-3.2325581395349101E-3</v>
      </c>
      <c r="DU181" s="10">
        <f t="shared" si="179"/>
        <v>-4.5494186046503716E-4</v>
      </c>
      <c r="DV181" s="10">
        <f t="shared" si="180"/>
        <v>-4.6874999999999244E-3</v>
      </c>
      <c r="DW181" s="10">
        <f t="shared" si="181"/>
        <v>-5.3488372093023536E-3</v>
      </c>
    </row>
    <row r="182" spans="2:127" x14ac:dyDescent="0.45">
      <c r="B182" s="1">
        <v>24</v>
      </c>
      <c r="C182" s="1">
        <v>2595</v>
      </c>
      <c r="D182" s="7">
        <f t="shared" si="182"/>
        <v>15.208791208791208</v>
      </c>
      <c r="E182" s="1">
        <v>15.151</v>
      </c>
      <c r="F182" s="1">
        <v>15.205</v>
      </c>
      <c r="G182" s="1">
        <v>15.212999999999999</v>
      </c>
      <c r="H182" s="1">
        <v>15.113</v>
      </c>
      <c r="I182" s="1">
        <v>15.179</v>
      </c>
      <c r="J182" s="1">
        <v>15.178000000000001</v>
      </c>
      <c r="K182" s="1">
        <v>15.295</v>
      </c>
      <c r="L182" s="1">
        <v>15.153</v>
      </c>
      <c r="M182" s="1">
        <v>15.242000000000001</v>
      </c>
      <c r="N182" s="1">
        <v>15.231999999999999</v>
      </c>
      <c r="O182" s="1">
        <v>15.183</v>
      </c>
      <c r="P182" s="1">
        <v>15.173999999999999</v>
      </c>
      <c r="Q182" s="1">
        <v>15.22</v>
      </c>
      <c r="R182" s="1">
        <v>15.194000000000001</v>
      </c>
      <c r="S182" s="1">
        <v>15.185</v>
      </c>
      <c r="T182" s="1">
        <v>15.231999999999999</v>
      </c>
      <c r="U182" s="1">
        <v>15.218999999999999</v>
      </c>
      <c r="V182" s="1">
        <v>15.167</v>
      </c>
      <c r="W182" s="1">
        <v>15.182</v>
      </c>
      <c r="X182" s="1">
        <v>15.138999999999999</v>
      </c>
      <c r="Y182" s="1">
        <v>15.182</v>
      </c>
      <c r="Z182" s="1">
        <v>15.148999999999999</v>
      </c>
      <c r="AA182" s="1">
        <v>15.215999999999999</v>
      </c>
      <c r="AB182" s="1">
        <v>15.16</v>
      </c>
      <c r="AC182" s="1">
        <v>15.183</v>
      </c>
      <c r="AD182" s="1">
        <v>15.208</v>
      </c>
      <c r="AE182" s="1">
        <v>15.175000000000001</v>
      </c>
      <c r="AF182" s="1">
        <v>15.217000000000001</v>
      </c>
      <c r="AG182" s="1">
        <v>15.2</v>
      </c>
      <c r="AH182" s="1">
        <v>15.201000000000001</v>
      </c>
      <c r="AI182" s="1">
        <v>15.228</v>
      </c>
      <c r="AJ182" s="1">
        <v>15.096</v>
      </c>
      <c r="AK182" s="1">
        <v>15.128</v>
      </c>
      <c r="AL182" s="1">
        <v>15.167999999999999</v>
      </c>
      <c r="AM182" s="1">
        <v>15.208</v>
      </c>
      <c r="AN182" s="1">
        <v>15.246</v>
      </c>
      <c r="AO182" s="1">
        <v>15.217000000000001</v>
      </c>
      <c r="AP182" s="1">
        <v>15.201000000000001</v>
      </c>
      <c r="AQ182" s="1">
        <v>15.148</v>
      </c>
      <c r="AR182" s="1">
        <v>15.228</v>
      </c>
      <c r="AS182" s="1">
        <v>15.154999999999999</v>
      </c>
      <c r="AT182" s="1">
        <v>15.231999999999999</v>
      </c>
      <c r="AU182" s="1">
        <v>15.227</v>
      </c>
      <c r="AV182" s="1">
        <v>15.106</v>
      </c>
      <c r="AW182" s="1">
        <v>15.215999999999999</v>
      </c>
      <c r="AX182" s="1">
        <v>15.162000000000001</v>
      </c>
      <c r="AY182" s="1">
        <v>15.231</v>
      </c>
      <c r="AZ182" s="1">
        <v>15.193</v>
      </c>
      <c r="BA182" s="1">
        <v>15.157999999999999</v>
      </c>
      <c r="BB182" s="1">
        <v>15.106999999999999</v>
      </c>
      <c r="BC182" s="1">
        <v>15.204000000000001</v>
      </c>
      <c r="BD182" s="1">
        <v>15.167</v>
      </c>
      <c r="BE182" s="1">
        <v>15.22</v>
      </c>
      <c r="BF182" s="1">
        <v>15.16</v>
      </c>
      <c r="BG182" s="1">
        <v>15.196999999999999</v>
      </c>
      <c r="BH182" s="1">
        <v>15.087999999999999</v>
      </c>
      <c r="BI182" s="1">
        <v>15.157999999999999</v>
      </c>
      <c r="BJ182" s="1">
        <v>15.202</v>
      </c>
      <c r="BK182" s="1">
        <v>15.132</v>
      </c>
      <c r="BL182" s="1">
        <v>15.128</v>
      </c>
      <c r="BN182" s="9">
        <v>24</v>
      </c>
      <c r="BO182" s="9">
        <v>2595</v>
      </c>
      <c r="BP182" s="10">
        <f t="shared" si="122"/>
        <v>-3.7998554913294441E-3</v>
      </c>
      <c r="BQ182" s="10">
        <f t="shared" si="123"/>
        <v>-2.4927745664734543E-4</v>
      </c>
      <c r="BR182" s="10">
        <f t="shared" si="124"/>
        <v>2.7673410404623831E-4</v>
      </c>
      <c r="BS182" s="10">
        <f t="shared" si="125"/>
        <v>-6.2984104046242585E-3</v>
      </c>
      <c r="BT182" s="10">
        <f t="shared" si="126"/>
        <v>-1.9588150289016676E-3</v>
      </c>
      <c r="BU182" s="10">
        <f t="shared" si="127"/>
        <v>-2.0245664739883366E-3</v>
      </c>
      <c r="BV182" s="10">
        <f t="shared" si="128"/>
        <v>5.6683526011561134E-3</v>
      </c>
      <c r="BW182" s="10">
        <f t="shared" si="129"/>
        <v>-3.6683526011559897E-3</v>
      </c>
      <c r="BX182" s="10">
        <f t="shared" si="130"/>
        <v>2.1835260115608004E-3</v>
      </c>
      <c r="BY182" s="10">
        <f t="shared" si="131"/>
        <v>1.5260115606936457E-3</v>
      </c>
      <c r="BZ182" s="10">
        <f t="shared" si="132"/>
        <v>-1.6958092485548758E-3</v>
      </c>
      <c r="CA182" s="10">
        <f t="shared" si="133"/>
        <v>-2.287572254335245E-3</v>
      </c>
      <c r="CB182" s="10">
        <f t="shared" si="134"/>
        <v>7.3699421965327E-4</v>
      </c>
      <c r="CC182" s="10">
        <f t="shared" si="135"/>
        <v>-9.7254335260105217E-4</v>
      </c>
      <c r="CD182" s="10">
        <f t="shared" si="136"/>
        <v>-1.5643063583814214E-3</v>
      </c>
      <c r="CE182" s="10">
        <f t="shared" si="137"/>
        <v>1.5260115606936457E-3</v>
      </c>
      <c r="CF182" s="10">
        <f t="shared" si="138"/>
        <v>6.7124277456648447E-4</v>
      </c>
      <c r="CG182" s="10">
        <f t="shared" si="139"/>
        <v>-2.7478323699421602E-3</v>
      </c>
      <c r="CH182" s="10">
        <f t="shared" si="140"/>
        <v>-1.7615606936415445E-3</v>
      </c>
      <c r="CI182" s="10">
        <f t="shared" si="141"/>
        <v>-4.5888728323699368E-3</v>
      </c>
      <c r="CJ182" s="10">
        <f t="shared" si="142"/>
        <v>-1.7615606936415445E-3</v>
      </c>
      <c r="CK182" s="10">
        <f t="shared" si="143"/>
        <v>-3.931358381502899E-3</v>
      </c>
      <c r="CL182" s="10">
        <f t="shared" si="144"/>
        <v>4.7398843930636142E-4</v>
      </c>
      <c r="CM182" s="10">
        <f t="shared" si="145"/>
        <v>-3.208092485549075E-3</v>
      </c>
      <c r="CN182" s="10">
        <f t="shared" si="146"/>
        <v>-1.6958092485548758E-3</v>
      </c>
      <c r="CO182" s="10">
        <f t="shared" si="147"/>
        <v>-5.2023121387222322E-5</v>
      </c>
      <c r="CP182" s="10">
        <f t="shared" si="148"/>
        <v>-2.2218208092484597E-3</v>
      </c>
      <c r="CQ182" s="10">
        <f t="shared" si="149"/>
        <v>5.3973988439314695E-4</v>
      </c>
      <c r="CR182" s="10">
        <f t="shared" si="150"/>
        <v>-5.7803468208092283E-4</v>
      </c>
      <c r="CS182" s="10">
        <f t="shared" si="151"/>
        <v>-5.122832369941373E-4</v>
      </c>
      <c r="CT182" s="10">
        <f t="shared" si="152"/>
        <v>1.2630057803468537E-3</v>
      </c>
      <c r="CU182" s="10">
        <f t="shared" si="153"/>
        <v>-7.4161849710982115E-3</v>
      </c>
      <c r="CV182" s="10">
        <f t="shared" si="154"/>
        <v>-5.3121387283236437E-3</v>
      </c>
      <c r="CW182" s="10">
        <f t="shared" si="155"/>
        <v>-2.6820809248554911E-3</v>
      </c>
      <c r="CX182" s="10">
        <f t="shared" si="156"/>
        <v>-5.2023121387222322E-5</v>
      </c>
      <c r="CY182" s="10">
        <f t="shared" si="157"/>
        <v>2.4465317919075925E-3</v>
      </c>
      <c r="CZ182" s="10">
        <f t="shared" si="158"/>
        <v>5.3973988439314695E-4</v>
      </c>
      <c r="DA182" s="10">
        <f t="shared" si="159"/>
        <v>-5.122832369941373E-4</v>
      </c>
      <c r="DB182" s="10">
        <f t="shared" si="160"/>
        <v>-3.9971098265895672E-3</v>
      </c>
      <c r="DC182" s="10">
        <f t="shared" si="161"/>
        <v>1.2630057803468537E-3</v>
      </c>
      <c r="DD182" s="10">
        <f t="shared" si="162"/>
        <v>-3.5368497109826524E-3</v>
      </c>
      <c r="DE182" s="10">
        <f t="shared" si="163"/>
        <v>1.5260115606936457E-3</v>
      </c>
      <c r="DF182" s="10">
        <f t="shared" si="164"/>
        <v>1.1972543352601851E-3</v>
      </c>
      <c r="DG182" s="10">
        <f t="shared" si="165"/>
        <v>-6.7586705202311737E-3</v>
      </c>
      <c r="DH182" s="10">
        <f t="shared" si="166"/>
        <v>4.7398843930636142E-4</v>
      </c>
      <c r="DI182" s="10">
        <f t="shared" si="167"/>
        <v>-3.0765895953756206E-3</v>
      </c>
      <c r="DJ182" s="10">
        <f t="shared" si="168"/>
        <v>1.4602601156069768E-3</v>
      </c>
      <c r="DK182" s="10">
        <f t="shared" si="169"/>
        <v>-1.0382947976878378E-3</v>
      </c>
      <c r="DL182" s="10">
        <f t="shared" si="170"/>
        <v>-3.3395953757225294E-3</v>
      </c>
      <c r="DM182" s="10">
        <f t="shared" si="171"/>
        <v>-6.6929190751445055E-3</v>
      </c>
      <c r="DN182" s="10">
        <f t="shared" si="172"/>
        <v>-3.1502890173401419E-4</v>
      </c>
      <c r="DO182" s="10">
        <f t="shared" si="173"/>
        <v>-2.7478323699421602E-3</v>
      </c>
      <c r="DP182" s="10">
        <f t="shared" si="174"/>
        <v>7.3699421965327E-4</v>
      </c>
      <c r="DQ182" s="10">
        <f t="shared" si="175"/>
        <v>-3.208092485549075E-3</v>
      </c>
      <c r="DR182" s="10">
        <f t="shared" si="176"/>
        <v>-7.7528901734104589E-4</v>
      </c>
      <c r="DS182" s="10">
        <f t="shared" si="177"/>
        <v>-7.9421965317919129E-3</v>
      </c>
      <c r="DT182" s="10">
        <f t="shared" si="178"/>
        <v>-3.3395953757225294E-3</v>
      </c>
      <c r="DU182" s="10">
        <f t="shared" si="179"/>
        <v>-4.4653179190746849E-4</v>
      </c>
      <c r="DV182" s="10">
        <f t="shared" si="180"/>
        <v>-5.049132947976852E-3</v>
      </c>
      <c r="DW182" s="10">
        <f t="shared" si="181"/>
        <v>-5.3121387283236437E-3</v>
      </c>
    </row>
    <row r="183" spans="2:127" x14ac:dyDescent="0.45">
      <c r="B183" s="1">
        <v>24</v>
      </c>
      <c r="C183" s="1">
        <v>2610</v>
      </c>
      <c r="D183" s="7">
        <f t="shared" si="182"/>
        <v>15.296703296703297</v>
      </c>
      <c r="E183" s="1">
        <v>15.236000000000001</v>
      </c>
      <c r="F183" s="1">
        <v>15.29</v>
      </c>
      <c r="G183" s="1">
        <v>15.303000000000001</v>
      </c>
      <c r="H183" s="1">
        <v>15.2</v>
      </c>
      <c r="I183" s="1">
        <v>15.265000000000001</v>
      </c>
      <c r="J183" s="1">
        <v>15.265000000000001</v>
      </c>
      <c r="K183" s="1">
        <v>15.382999999999999</v>
      </c>
      <c r="L183" s="1">
        <v>15.242000000000001</v>
      </c>
      <c r="M183" s="1">
        <v>15.331</v>
      </c>
      <c r="N183" s="1">
        <v>15.32</v>
      </c>
      <c r="O183" s="1">
        <v>15.271000000000001</v>
      </c>
      <c r="P183" s="1">
        <v>15.257999999999999</v>
      </c>
      <c r="Q183" s="1">
        <v>15.308999999999999</v>
      </c>
      <c r="R183" s="1">
        <v>15.281000000000001</v>
      </c>
      <c r="S183" s="1">
        <v>15.273999999999999</v>
      </c>
      <c r="T183" s="1">
        <v>15.32</v>
      </c>
      <c r="U183" s="1">
        <v>15.305</v>
      </c>
      <c r="V183" s="1">
        <v>15.255000000000001</v>
      </c>
      <c r="W183" s="1">
        <v>15.271000000000001</v>
      </c>
      <c r="X183" s="1">
        <v>15.223000000000001</v>
      </c>
      <c r="Y183" s="1">
        <v>15.27</v>
      </c>
      <c r="Z183" s="1">
        <v>15.238</v>
      </c>
      <c r="AA183" s="1">
        <v>15.304</v>
      </c>
      <c r="AB183" s="1">
        <v>15.247</v>
      </c>
      <c r="AC183" s="1">
        <v>15.27</v>
      </c>
      <c r="AD183" s="1">
        <v>15.297000000000001</v>
      </c>
      <c r="AE183" s="1">
        <v>15.262</v>
      </c>
      <c r="AF183" s="1">
        <v>15.307</v>
      </c>
      <c r="AG183" s="1">
        <v>15.288</v>
      </c>
      <c r="AH183" s="1">
        <v>15.292</v>
      </c>
      <c r="AI183" s="1">
        <v>15.318</v>
      </c>
      <c r="AJ183" s="1">
        <v>15.180999999999999</v>
      </c>
      <c r="AK183" s="1">
        <v>15.215999999999999</v>
      </c>
      <c r="AL183" s="1">
        <v>15.255000000000001</v>
      </c>
      <c r="AM183" s="1">
        <v>15.292999999999999</v>
      </c>
      <c r="AN183" s="1">
        <v>15.335000000000001</v>
      </c>
      <c r="AO183" s="1">
        <v>15.303000000000001</v>
      </c>
      <c r="AP183" s="1">
        <v>15.288</v>
      </c>
      <c r="AQ183" s="1">
        <v>15.236000000000001</v>
      </c>
      <c r="AR183" s="1">
        <v>15.318</v>
      </c>
      <c r="AS183" s="1">
        <v>15.242000000000001</v>
      </c>
      <c r="AT183" s="1">
        <v>15.32</v>
      </c>
      <c r="AU183" s="1">
        <v>15.316000000000001</v>
      </c>
      <c r="AV183" s="1">
        <v>15.193</v>
      </c>
      <c r="AW183" s="1">
        <v>15.303000000000001</v>
      </c>
      <c r="AX183" s="1">
        <v>15.247999999999999</v>
      </c>
      <c r="AY183" s="1">
        <v>15.318</v>
      </c>
      <c r="AZ183" s="1">
        <v>15.28</v>
      </c>
      <c r="BA183" s="1">
        <v>15.246</v>
      </c>
      <c r="BB183" s="1">
        <v>15.194000000000001</v>
      </c>
      <c r="BC183" s="1">
        <v>15.292</v>
      </c>
      <c r="BD183" s="1">
        <v>15.255000000000001</v>
      </c>
      <c r="BE183" s="1">
        <v>15.308</v>
      </c>
      <c r="BF183" s="1">
        <v>15.25</v>
      </c>
      <c r="BG183" s="1">
        <v>15.286</v>
      </c>
      <c r="BH183" s="1">
        <v>15.170999999999999</v>
      </c>
      <c r="BI183" s="1">
        <v>15.246</v>
      </c>
      <c r="BJ183" s="1">
        <v>15.29</v>
      </c>
      <c r="BK183" s="1">
        <v>15.223000000000001</v>
      </c>
      <c r="BL183" s="1">
        <v>15.215999999999999</v>
      </c>
      <c r="BN183" s="9">
        <v>24</v>
      </c>
      <c r="BO183" s="9">
        <v>2610</v>
      </c>
      <c r="BP183" s="10">
        <f t="shared" si="122"/>
        <v>-3.9683908045977058E-3</v>
      </c>
      <c r="BQ183" s="10">
        <f t="shared" si="123"/>
        <v>-4.3821839080470065E-4</v>
      </c>
      <c r="BR183" s="10">
        <f t="shared" si="124"/>
        <v>4.1163793103448943E-4</v>
      </c>
      <c r="BS183" s="10">
        <f t="shared" si="125"/>
        <v>-6.3218390804598637E-3</v>
      </c>
      <c r="BT183" s="10">
        <f t="shared" si="126"/>
        <v>-2.0725574712643778E-3</v>
      </c>
      <c r="BU183" s="10">
        <f t="shared" si="127"/>
        <v>-2.0725574712643778E-3</v>
      </c>
      <c r="BV183" s="10">
        <f t="shared" si="128"/>
        <v>5.6415229885056423E-3</v>
      </c>
      <c r="BW183" s="10">
        <f t="shared" si="129"/>
        <v>-3.576149425287346E-3</v>
      </c>
      <c r="BX183" s="10">
        <f t="shared" si="130"/>
        <v>2.2420977011493462E-3</v>
      </c>
      <c r="BY183" s="10">
        <f t="shared" si="131"/>
        <v>1.5229885057470977E-3</v>
      </c>
      <c r="BZ183" s="10">
        <f t="shared" si="132"/>
        <v>-1.680316091954018E-3</v>
      </c>
      <c r="CA183" s="10">
        <f t="shared" si="133"/>
        <v>-2.5301724137932083E-3</v>
      </c>
      <c r="CB183" s="10">
        <f t="shared" si="134"/>
        <v>8.0387931034473295E-4</v>
      </c>
      <c r="CC183" s="10">
        <f t="shared" si="135"/>
        <v>-1.0265804597701241E-3</v>
      </c>
      <c r="CD183" s="10">
        <f t="shared" si="136"/>
        <v>-1.4841954022989544E-3</v>
      </c>
      <c r="CE183" s="10">
        <f t="shared" si="137"/>
        <v>1.5229885057470977E-3</v>
      </c>
      <c r="CF183" s="10">
        <f t="shared" si="138"/>
        <v>5.4238505747119853E-4</v>
      </c>
      <c r="CG183" s="10">
        <f t="shared" si="139"/>
        <v>-2.7262931034482719E-3</v>
      </c>
      <c r="CH183" s="10">
        <f t="shared" si="140"/>
        <v>-1.680316091954018E-3</v>
      </c>
      <c r="CI183" s="10">
        <f t="shared" si="141"/>
        <v>-4.8182471264367798E-3</v>
      </c>
      <c r="CJ183" s="10">
        <f t="shared" si="142"/>
        <v>-1.7456896551724889E-3</v>
      </c>
      <c r="CK183" s="10">
        <f t="shared" si="143"/>
        <v>-3.8376436781609965E-3</v>
      </c>
      <c r="CL183" s="10">
        <f t="shared" si="144"/>
        <v>4.7701149425284395E-4</v>
      </c>
      <c r="CM183" s="10">
        <f t="shared" si="145"/>
        <v>-3.2492816091954568E-3</v>
      </c>
      <c r="CN183" s="10">
        <f t="shared" si="146"/>
        <v>-1.7456896551724889E-3</v>
      </c>
      <c r="CO183" s="10">
        <f t="shared" si="147"/>
        <v>1.9396551724129733E-5</v>
      </c>
      <c r="CP183" s="10">
        <f t="shared" si="148"/>
        <v>-2.2686781609195577E-3</v>
      </c>
      <c r="CQ183" s="10">
        <f t="shared" si="149"/>
        <v>6.731321839080238E-4</v>
      </c>
      <c r="CR183" s="10">
        <f t="shared" si="150"/>
        <v>-5.689655172414098E-4</v>
      </c>
      <c r="CS183" s="10">
        <f t="shared" si="151"/>
        <v>-3.0747126436787538E-4</v>
      </c>
      <c r="CT183" s="10">
        <f t="shared" si="152"/>
        <v>1.3922413793102724E-3</v>
      </c>
      <c r="CU183" s="10">
        <f t="shared" si="153"/>
        <v>-7.5639367816092967E-3</v>
      </c>
      <c r="CV183" s="10">
        <f t="shared" si="154"/>
        <v>-5.2758620689656094E-3</v>
      </c>
      <c r="CW183" s="10">
        <f t="shared" si="155"/>
        <v>-2.7262931034482719E-3</v>
      </c>
      <c r="CX183" s="10">
        <f t="shared" si="156"/>
        <v>-2.420977011495208E-4</v>
      </c>
      <c r="CY183" s="10">
        <f t="shared" si="157"/>
        <v>2.5035919540229968E-3</v>
      </c>
      <c r="CZ183" s="10">
        <f t="shared" si="158"/>
        <v>4.1163793103448943E-4</v>
      </c>
      <c r="DA183" s="10">
        <f t="shared" si="159"/>
        <v>-5.689655172414098E-4</v>
      </c>
      <c r="DB183" s="10">
        <f t="shared" si="160"/>
        <v>-3.9683908045977058E-3</v>
      </c>
      <c r="DC183" s="10">
        <f t="shared" si="161"/>
        <v>1.3922413793102724E-3</v>
      </c>
      <c r="DD183" s="10">
        <f t="shared" si="162"/>
        <v>-3.576149425287346E-3</v>
      </c>
      <c r="DE183" s="10">
        <f t="shared" si="163"/>
        <v>1.5229885057470977E-3</v>
      </c>
      <c r="DF183" s="10">
        <f t="shared" si="164"/>
        <v>1.2614942528735634E-3</v>
      </c>
      <c r="DG183" s="10">
        <f t="shared" si="165"/>
        <v>-6.7794540229885779E-3</v>
      </c>
      <c r="DH183" s="10">
        <f t="shared" si="166"/>
        <v>4.1163793103448943E-4</v>
      </c>
      <c r="DI183" s="10">
        <f t="shared" si="167"/>
        <v>-3.1839080459771024E-3</v>
      </c>
      <c r="DJ183" s="10">
        <f t="shared" si="168"/>
        <v>1.3922413793102724E-3</v>
      </c>
      <c r="DK183" s="10">
        <f t="shared" si="169"/>
        <v>-1.0919540229885948E-3</v>
      </c>
      <c r="DL183" s="10">
        <f t="shared" si="170"/>
        <v>-3.3146551724138112E-3</v>
      </c>
      <c r="DM183" s="10">
        <f t="shared" si="171"/>
        <v>-6.7140804597701073E-3</v>
      </c>
      <c r="DN183" s="10">
        <f t="shared" si="172"/>
        <v>-3.0747126436787538E-4</v>
      </c>
      <c r="DO183" s="10">
        <f t="shared" si="173"/>
        <v>-2.7262931034482719E-3</v>
      </c>
      <c r="DP183" s="10">
        <f t="shared" si="174"/>
        <v>7.3850574712637843E-4</v>
      </c>
      <c r="DQ183" s="10">
        <f t="shared" si="175"/>
        <v>-3.0531609195402769E-3</v>
      </c>
      <c r="DR183" s="10">
        <f t="shared" si="176"/>
        <v>-6.9971264367823507E-4</v>
      </c>
      <c r="DS183" s="10">
        <f t="shared" si="177"/>
        <v>-8.2176724137931912E-3</v>
      </c>
      <c r="DT183" s="10">
        <f t="shared" si="178"/>
        <v>-3.3146551724138112E-3</v>
      </c>
      <c r="DU183" s="10">
        <f t="shared" si="179"/>
        <v>-4.3821839080470065E-4</v>
      </c>
      <c r="DV183" s="10">
        <f t="shared" si="180"/>
        <v>-4.8182471264367798E-3</v>
      </c>
      <c r="DW183" s="10">
        <f t="shared" si="181"/>
        <v>-5.2758620689656094E-3</v>
      </c>
    </row>
    <row r="184" spans="2:127" x14ac:dyDescent="0.45">
      <c r="B184" s="1">
        <v>24</v>
      </c>
      <c r="C184" s="1">
        <v>2625</v>
      </c>
      <c r="D184" s="7">
        <f t="shared" si="182"/>
        <v>15.384615384615385</v>
      </c>
      <c r="E184" s="1">
        <v>15.324</v>
      </c>
      <c r="F184" s="1">
        <v>15.377000000000001</v>
      </c>
      <c r="G184" s="1">
        <v>15.388999999999999</v>
      </c>
      <c r="H184" s="1">
        <v>15.29</v>
      </c>
      <c r="I184" s="1">
        <v>15.351000000000001</v>
      </c>
      <c r="J184" s="1">
        <v>15.353</v>
      </c>
      <c r="K184" s="1">
        <v>15.472</v>
      </c>
      <c r="L184" s="1">
        <v>15.333</v>
      </c>
      <c r="M184" s="1">
        <v>15.417999999999999</v>
      </c>
      <c r="N184" s="1">
        <v>15.411</v>
      </c>
      <c r="O184" s="1">
        <v>15.36</v>
      </c>
      <c r="P184" s="1">
        <v>15.345000000000001</v>
      </c>
      <c r="Q184" s="1">
        <v>15.398999999999999</v>
      </c>
      <c r="R184" s="1">
        <v>15.37</v>
      </c>
      <c r="S184" s="1">
        <v>15.362</v>
      </c>
      <c r="T184" s="1">
        <v>15.407</v>
      </c>
      <c r="U184" s="1">
        <v>15.395</v>
      </c>
      <c r="V184" s="1">
        <v>15.342000000000001</v>
      </c>
      <c r="W184" s="1">
        <v>15.358000000000001</v>
      </c>
      <c r="X184" s="1">
        <v>15.308999999999999</v>
      </c>
      <c r="Y184" s="1">
        <v>15.356</v>
      </c>
      <c r="Z184" s="1">
        <v>15.326000000000001</v>
      </c>
      <c r="AA184" s="1">
        <v>15.394</v>
      </c>
      <c r="AB184" s="1">
        <v>15.334</v>
      </c>
      <c r="AC184" s="1">
        <v>15.356999999999999</v>
      </c>
      <c r="AD184" s="1">
        <v>15.387</v>
      </c>
      <c r="AE184" s="1">
        <v>15.349</v>
      </c>
      <c r="AF184" s="1">
        <v>15.395</v>
      </c>
      <c r="AG184" s="1">
        <v>15.375</v>
      </c>
      <c r="AH184" s="1">
        <v>15.381</v>
      </c>
      <c r="AI184" s="1">
        <v>15.407</v>
      </c>
      <c r="AJ184" s="1">
        <v>15.266999999999999</v>
      </c>
      <c r="AK184" s="1">
        <v>15.304</v>
      </c>
      <c r="AL184" s="1">
        <v>15.343</v>
      </c>
      <c r="AM184" s="1">
        <v>15.38</v>
      </c>
      <c r="AN184" s="1">
        <v>15.423</v>
      </c>
      <c r="AO184" s="1">
        <v>15.388999999999999</v>
      </c>
      <c r="AP184" s="1">
        <v>15.375999999999999</v>
      </c>
      <c r="AQ184" s="1">
        <v>15.323</v>
      </c>
      <c r="AR184" s="1">
        <v>15.404</v>
      </c>
      <c r="AS184" s="1">
        <v>15.326000000000001</v>
      </c>
      <c r="AT184" s="1">
        <v>15.407</v>
      </c>
      <c r="AU184" s="1">
        <v>15.404</v>
      </c>
      <c r="AV184" s="1">
        <v>15.278</v>
      </c>
      <c r="AW184" s="1">
        <v>15.391</v>
      </c>
      <c r="AX184" s="1">
        <v>15.337</v>
      </c>
      <c r="AY184" s="1">
        <v>15.406000000000001</v>
      </c>
      <c r="AZ184" s="1">
        <v>15.366</v>
      </c>
      <c r="BA184" s="1">
        <v>15.334</v>
      </c>
      <c r="BB184" s="1">
        <v>15.284000000000001</v>
      </c>
      <c r="BC184" s="1">
        <v>15.379</v>
      </c>
      <c r="BD184" s="1">
        <v>15.343</v>
      </c>
      <c r="BE184" s="1">
        <v>15.396000000000001</v>
      </c>
      <c r="BF184" s="1">
        <v>15.335000000000001</v>
      </c>
      <c r="BG184" s="1">
        <v>15.37</v>
      </c>
      <c r="BH184" s="1">
        <v>15.263</v>
      </c>
      <c r="BI184" s="1">
        <v>15.333</v>
      </c>
      <c r="BJ184" s="1">
        <v>15.379</v>
      </c>
      <c r="BK184" s="1">
        <v>15.314</v>
      </c>
      <c r="BL184" s="1">
        <v>15.307</v>
      </c>
      <c r="BN184" s="9">
        <v>24</v>
      </c>
      <c r="BO184" s="9">
        <v>2625</v>
      </c>
      <c r="BP184" s="10">
        <f t="shared" si="122"/>
        <v>-3.9400000000000364E-3</v>
      </c>
      <c r="BQ184" s="10">
        <f t="shared" si="123"/>
        <v>-4.9499999999998319E-4</v>
      </c>
      <c r="BR184" s="10">
        <f t="shared" si="124"/>
        <v>2.8499999999993087E-4</v>
      </c>
      <c r="BS184" s="10">
        <f t="shared" si="125"/>
        <v>-6.1500000000000816E-3</v>
      </c>
      <c r="BT184" s="10">
        <f t="shared" si="126"/>
        <v>-2.1849999999999704E-3</v>
      </c>
      <c r="BU184" s="10">
        <f t="shared" si="127"/>
        <v>-2.0550000000000425E-3</v>
      </c>
      <c r="BV184" s="10">
        <f t="shared" si="128"/>
        <v>5.6799999999999429E-3</v>
      </c>
      <c r="BW184" s="10">
        <f t="shared" si="129"/>
        <v>-3.3550000000000147E-3</v>
      </c>
      <c r="BX184" s="10">
        <f t="shared" si="130"/>
        <v>2.1699999999999255E-3</v>
      </c>
      <c r="BY184" s="10">
        <f t="shared" si="131"/>
        <v>1.7149999999999466E-3</v>
      </c>
      <c r="BZ184" s="10">
        <f t="shared" si="132"/>
        <v>-1.6000000000000636E-3</v>
      </c>
      <c r="CA184" s="10">
        <f t="shared" si="133"/>
        <v>-2.5749999999999849E-3</v>
      </c>
      <c r="CB184" s="10">
        <f t="shared" si="134"/>
        <v>9.3499999999991702E-4</v>
      </c>
      <c r="CC184" s="10">
        <f t="shared" si="135"/>
        <v>-9.5000000000007741E-4</v>
      </c>
      <c r="CD184" s="10">
        <f t="shared" si="136"/>
        <v>-1.4700000000000201E-3</v>
      </c>
      <c r="CE184" s="10">
        <f t="shared" si="137"/>
        <v>1.4549999999999752E-3</v>
      </c>
      <c r="CF184" s="10">
        <f t="shared" si="138"/>
        <v>6.7499999999994561E-4</v>
      </c>
      <c r="CG184" s="10">
        <f t="shared" si="139"/>
        <v>-2.7699999999999925E-3</v>
      </c>
      <c r="CH184" s="10">
        <f t="shared" si="140"/>
        <v>-1.7299999999999915E-3</v>
      </c>
      <c r="CI184" s="10">
        <f t="shared" si="141"/>
        <v>-4.9150000000000738E-3</v>
      </c>
      <c r="CJ184" s="10">
        <f t="shared" si="142"/>
        <v>-1.8600000000000348E-3</v>
      </c>
      <c r="CK184" s="10">
        <f t="shared" si="143"/>
        <v>-3.8099999999999931E-3</v>
      </c>
      <c r="CL184" s="10">
        <f t="shared" si="144"/>
        <v>6.0999999999998165E-4</v>
      </c>
      <c r="CM184" s="10">
        <f t="shared" si="145"/>
        <v>-3.2900000000000507E-3</v>
      </c>
      <c r="CN184" s="10">
        <f t="shared" si="146"/>
        <v>-1.7950000000000708E-3</v>
      </c>
      <c r="CO184" s="10">
        <f t="shared" si="147"/>
        <v>1.550000000000029E-4</v>
      </c>
      <c r="CP184" s="10">
        <f t="shared" si="148"/>
        <v>-2.3150000000000137E-3</v>
      </c>
      <c r="CQ184" s="10">
        <f t="shared" si="149"/>
        <v>6.7499999999994561E-4</v>
      </c>
      <c r="CR184" s="10">
        <f t="shared" si="150"/>
        <v>-6.2500000000002658E-4</v>
      </c>
      <c r="CS184" s="10">
        <f t="shared" si="151"/>
        <v>-2.3500000000001186E-4</v>
      </c>
      <c r="CT184" s="10">
        <f t="shared" si="152"/>
        <v>1.4549999999999752E-3</v>
      </c>
      <c r="CU184" s="10">
        <f t="shared" si="153"/>
        <v>-7.6450000000000615E-3</v>
      </c>
      <c r="CV184" s="10">
        <f t="shared" si="154"/>
        <v>-5.2400000000000085E-3</v>
      </c>
      <c r="CW184" s="10">
        <f t="shared" si="155"/>
        <v>-2.7050000000000286E-3</v>
      </c>
      <c r="CX184" s="10">
        <f t="shared" si="156"/>
        <v>-2.9999999999997585E-4</v>
      </c>
      <c r="CY184" s="10">
        <f t="shared" si="157"/>
        <v>2.494999999999976E-3</v>
      </c>
      <c r="CZ184" s="10">
        <f t="shared" si="158"/>
        <v>2.8499999999993087E-4</v>
      </c>
      <c r="DA184" s="10">
        <f t="shared" si="159"/>
        <v>-5.6000000000006262E-4</v>
      </c>
      <c r="DB184" s="10">
        <f t="shared" si="160"/>
        <v>-4.0050000000000007E-3</v>
      </c>
      <c r="DC184" s="10">
        <f t="shared" si="161"/>
        <v>1.2599999999999677E-3</v>
      </c>
      <c r="DD184" s="10">
        <f t="shared" si="162"/>
        <v>-3.8099999999999931E-3</v>
      </c>
      <c r="DE184" s="10">
        <f t="shared" si="163"/>
        <v>1.4549999999999752E-3</v>
      </c>
      <c r="DF184" s="10">
        <f t="shared" si="164"/>
        <v>1.2599999999999677E-3</v>
      </c>
      <c r="DG184" s="10">
        <f t="shared" si="165"/>
        <v>-6.9299999999999961E-3</v>
      </c>
      <c r="DH184" s="10">
        <f t="shared" si="166"/>
        <v>4.1499999999997425E-4</v>
      </c>
      <c r="DI184" s="10">
        <f t="shared" si="167"/>
        <v>-3.095000000000043E-3</v>
      </c>
      <c r="DJ184" s="10">
        <f t="shared" si="168"/>
        <v>1.3900000000000112E-3</v>
      </c>
      <c r="DK184" s="10">
        <f t="shared" si="169"/>
        <v>-1.2100000000000487E-3</v>
      </c>
      <c r="DL184" s="10">
        <f t="shared" si="170"/>
        <v>-3.2900000000000507E-3</v>
      </c>
      <c r="DM184" s="10">
        <f t="shared" si="171"/>
        <v>-6.5399999999999816E-3</v>
      </c>
      <c r="DN184" s="10">
        <f t="shared" si="172"/>
        <v>-3.6500000000005528E-4</v>
      </c>
      <c r="DO184" s="10">
        <f t="shared" si="173"/>
        <v>-2.7050000000000286E-3</v>
      </c>
      <c r="DP184" s="10">
        <f t="shared" si="174"/>
        <v>7.4000000000002503E-4</v>
      </c>
      <c r="DQ184" s="10">
        <f t="shared" si="175"/>
        <v>-3.2249999999999709E-3</v>
      </c>
      <c r="DR184" s="10">
        <f t="shared" si="176"/>
        <v>-9.5000000000007741E-4</v>
      </c>
      <c r="DS184" s="10">
        <f t="shared" si="177"/>
        <v>-7.9050000000000335E-3</v>
      </c>
      <c r="DT184" s="10">
        <f t="shared" si="178"/>
        <v>-3.3550000000000147E-3</v>
      </c>
      <c r="DU184" s="10">
        <f t="shared" si="179"/>
        <v>-3.6500000000005528E-4</v>
      </c>
      <c r="DV184" s="10">
        <f t="shared" si="180"/>
        <v>-4.5900000000000229E-3</v>
      </c>
      <c r="DW184" s="10">
        <f t="shared" si="181"/>
        <v>-5.0450000000000017E-3</v>
      </c>
    </row>
    <row r="185" spans="2:127" x14ac:dyDescent="0.45">
      <c r="B185" s="1">
        <v>24</v>
      </c>
      <c r="C185" s="1">
        <v>2640</v>
      </c>
      <c r="D185" s="7">
        <f t="shared" si="182"/>
        <v>15.472527472527473</v>
      </c>
      <c r="E185" s="1">
        <v>15.41</v>
      </c>
      <c r="F185" s="1">
        <v>15.467000000000001</v>
      </c>
      <c r="G185" s="1">
        <v>15.478999999999999</v>
      </c>
      <c r="H185" s="1">
        <v>15.381</v>
      </c>
      <c r="I185" s="1">
        <v>15.44</v>
      </c>
      <c r="J185" s="1">
        <v>15.441000000000001</v>
      </c>
      <c r="K185" s="1">
        <v>15.558999999999999</v>
      </c>
      <c r="L185" s="1">
        <v>15.419</v>
      </c>
      <c r="M185" s="1">
        <v>15.506</v>
      </c>
      <c r="N185" s="1">
        <v>15.497999999999999</v>
      </c>
      <c r="O185" s="1">
        <v>15.449</v>
      </c>
      <c r="P185" s="1">
        <v>15.433999999999999</v>
      </c>
      <c r="Q185" s="1">
        <v>15.487</v>
      </c>
      <c r="R185" s="1">
        <v>15.459</v>
      </c>
      <c r="S185" s="1">
        <v>15.452</v>
      </c>
      <c r="T185" s="1">
        <v>15.497</v>
      </c>
      <c r="U185" s="1">
        <v>15.483000000000001</v>
      </c>
      <c r="V185" s="1">
        <v>15.429</v>
      </c>
      <c r="W185" s="1">
        <v>15.446</v>
      </c>
      <c r="X185" s="1">
        <v>15.4</v>
      </c>
      <c r="Y185" s="1">
        <v>15.449</v>
      </c>
      <c r="Z185" s="1">
        <v>15.414</v>
      </c>
      <c r="AA185" s="1">
        <v>15.48</v>
      </c>
      <c r="AB185" s="1">
        <v>15.422000000000001</v>
      </c>
      <c r="AC185" s="1">
        <v>15.444000000000001</v>
      </c>
      <c r="AD185" s="1">
        <v>15.476000000000001</v>
      </c>
      <c r="AE185" s="1">
        <v>15.436999999999999</v>
      </c>
      <c r="AF185" s="1">
        <v>15.484</v>
      </c>
      <c r="AG185" s="1">
        <v>15.462999999999999</v>
      </c>
      <c r="AH185" s="1">
        <v>15.468999999999999</v>
      </c>
      <c r="AI185" s="1">
        <v>15.493</v>
      </c>
      <c r="AJ185" s="1">
        <v>15.351000000000001</v>
      </c>
      <c r="AK185" s="1">
        <v>15.394</v>
      </c>
      <c r="AL185" s="1">
        <v>15.432</v>
      </c>
      <c r="AM185" s="1">
        <v>15.468999999999999</v>
      </c>
      <c r="AN185" s="1">
        <v>15.51</v>
      </c>
      <c r="AO185" s="1">
        <v>15.476000000000001</v>
      </c>
      <c r="AP185" s="1">
        <v>15.462999999999999</v>
      </c>
      <c r="AQ185" s="1">
        <v>15.411</v>
      </c>
      <c r="AR185" s="1">
        <v>15.494</v>
      </c>
      <c r="AS185" s="1">
        <v>15.414999999999999</v>
      </c>
      <c r="AT185" s="1">
        <v>15.494999999999999</v>
      </c>
      <c r="AU185" s="1">
        <v>15.49</v>
      </c>
      <c r="AV185" s="1">
        <v>15.372</v>
      </c>
      <c r="AW185" s="1">
        <v>15.478</v>
      </c>
      <c r="AX185" s="1">
        <v>15.425000000000001</v>
      </c>
      <c r="AY185" s="1">
        <v>15.493</v>
      </c>
      <c r="AZ185" s="1">
        <v>15.452999999999999</v>
      </c>
      <c r="BA185" s="1">
        <v>15.422000000000001</v>
      </c>
      <c r="BB185" s="1">
        <v>15.37</v>
      </c>
      <c r="BC185" s="1">
        <v>15.468</v>
      </c>
      <c r="BD185" s="1">
        <v>15.432</v>
      </c>
      <c r="BE185" s="1">
        <v>15.484</v>
      </c>
      <c r="BF185" s="1">
        <v>15.425000000000001</v>
      </c>
      <c r="BG185" s="1">
        <v>15.462999999999999</v>
      </c>
      <c r="BH185" s="1">
        <v>15.345000000000001</v>
      </c>
      <c r="BI185" s="1">
        <v>15.419</v>
      </c>
      <c r="BJ185" s="1">
        <v>15.465</v>
      </c>
      <c r="BK185" s="1">
        <v>15.396000000000001</v>
      </c>
      <c r="BL185" s="1">
        <v>15.391999999999999</v>
      </c>
      <c r="BN185" s="9">
        <v>24</v>
      </c>
      <c r="BO185" s="9">
        <v>2640</v>
      </c>
      <c r="BP185" s="10">
        <f t="shared" si="122"/>
        <v>-4.0411931818181788E-3</v>
      </c>
      <c r="BQ185" s="10">
        <f t="shared" si="123"/>
        <v>-3.5724431818179048E-4</v>
      </c>
      <c r="BR185" s="10">
        <f t="shared" si="124"/>
        <v>4.1832386363630587E-4</v>
      </c>
      <c r="BS185" s="10">
        <f t="shared" si="125"/>
        <v>-5.9154829545454458E-3</v>
      </c>
      <c r="BT185" s="10">
        <f t="shared" si="126"/>
        <v>-2.1022727272727655E-3</v>
      </c>
      <c r="BU185" s="10">
        <f t="shared" si="127"/>
        <v>-2.0376420454545048E-3</v>
      </c>
      <c r="BV185" s="10">
        <f t="shared" si="128"/>
        <v>5.5887784090908558E-3</v>
      </c>
      <c r="BW185" s="10">
        <f t="shared" si="129"/>
        <v>-3.4595170454545204E-3</v>
      </c>
      <c r="BX185" s="10">
        <f t="shared" si="130"/>
        <v>2.1633522727272812E-3</v>
      </c>
      <c r="BY185" s="10">
        <f t="shared" si="131"/>
        <v>1.6463068181817686E-3</v>
      </c>
      <c r="BZ185" s="10">
        <f t="shared" si="132"/>
        <v>-1.5205965909091074E-3</v>
      </c>
      <c r="CA185" s="10">
        <f t="shared" si="133"/>
        <v>-2.4900568181818713E-3</v>
      </c>
      <c r="CB185" s="10">
        <f t="shared" si="134"/>
        <v>9.3536931818181826E-4</v>
      </c>
      <c r="CC185" s="10">
        <f t="shared" si="135"/>
        <v>-8.7428977272730293E-4</v>
      </c>
      <c r="CD185" s="10">
        <f t="shared" si="136"/>
        <v>-1.3267045454545545E-3</v>
      </c>
      <c r="CE185" s="10">
        <f t="shared" si="137"/>
        <v>1.5816761363636226E-3</v>
      </c>
      <c r="CF185" s="10">
        <f t="shared" si="138"/>
        <v>6.7684659090911953E-4</v>
      </c>
      <c r="CG185" s="10">
        <f t="shared" si="139"/>
        <v>-2.8132102272727163E-3</v>
      </c>
      <c r="CH185" s="10">
        <f t="shared" si="140"/>
        <v>-1.71448863636366E-3</v>
      </c>
      <c r="CI185" s="10">
        <f t="shared" si="141"/>
        <v>-4.6874999999999833E-3</v>
      </c>
      <c r="CJ185" s="10">
        <f t="shared" si="142"/>
        <v>-1.5205965909091074E-3</v>
      </c>
      <c r="CK185" s="10">
        <f t="shared" si="143"/>
        <v>-3.7826704545454799E-3</v>
      </c>
      <c r="CL185" s="10">
        <f t="shared" si="144"/>
        <v>4.8295454545456667E-4</v>
      </c>
      <c r="CM185" s="10">
        <f t="shared" si="145"/>
        <v>-3.2656249999999678E-3</v>
      </c>
      <c r="CN185" s="10">
        <f t="shared" si="146"/>
        <v>-1.8437499999999522E-3</v>
      </c>
      <c r="CO185" s="10">
        <f t="shared" si="147"/>
        <v>2.2443181818186788E-4</v>
      </c>
      <c r="CP185" s="10">
        <f t="shared" si="148"/>
        <v>-2.2961647727273186E-3</v>
      </c>
      <c r="CQ185" s="10">
        <f t="shared" si="149"/>
        <v>7.4147727272726551E-4</v>
      </c>
      <c r="CR185" s="10">
        <f t="shared" si="150"/>
        <v>-6.1576704545460409E-4</v>
      </c>
      <c r="CS185" s="10">
        <f t="shared" si="151"/>
        <v>-2.279829545454985E-4</v>
      </c>
      <c r="CT185" s="10">
        <f t="shared" si="152"/>
        <v>1.323153409090924E-3</v>
      </c>
      <c r="CU185" s="10">
        <f t="shared" si="153"/>
        <v>-7.8544034090908595E-3</v>
      </c>
      <c r="CV185" s="10">
        <f t="shared" si="154"/>
        <v>-5.0752840909090886E-3</v>
      </c>
      <c r="CW185" s="10">
        <f t="shared" si="155"/>
        <v>-2.6193181818181632E-3</v>
      </c>
      <c r="CX185" s="10">
        <f t="shared" si="156"/>
        <v>-2.279829545454985E-4</v>
      </c>
      <c r="CY185" s="10">
        <f t="shared" si="157"/>
        <v>2.42187499999998E-3</v>
      </c>
      <c r="CZ185" s="10">
        <f t="shared" si="158"/>
        <v>2.2443181818186788E-4</v>
      </c>
      <c r="DA185" s="10">
        <f t="shared" si="159"/>
        <v>-6.1576704545460409E-4</v>
      </c>
      <c r="DB185" s="10">
        <f t="shared" si="160"/>
        <v>-3.976562500000033E-3</v>
      </c>
      <c r="DC185" s="10">
        <f t="shared" si="161"/>
        <v>1.38778409090907E-3</v>
      </c>
      <c r="DD185" s="10">
        <f t="shared" si="162"/>
        <v>-3.7180397727273342E-3</v>
      </c>
      <c r="DE185" s="10">
        <f t="shared" si="163"/>
        <v>1.4524147727272159E-3</v>
      </c>
      <c r="DF185" s="10">
        <f t="shared" si="164"/>
        <v>1.1292613636363711E-3</v>
      </c>
      <c r="DG185" s="10">
        <f t="shared" si="165"/>
        <v>-6.4971590909091046E-3</v>
      </c>
      <c r="DH185" s="10">
        <f t="shared" si="166"/>
        <v>3.536931818181599E-4</v>
      </c>
      <c r="DI185" s="10">
        <f t="shared" si="167"/>
        <v>-3.0717329545454151E-3</v>
      </c>
      <c r="DJ185" s="10">
        <f t="shared" si="168"/>
        <v>1.323153409090924E-3</v>
      </c>
      <c r="DK185" s="10">
        <f t="shared" si="169"/>
        <v>-1.2620738636364085E-3</v>
      </c>
      <c r="DL185" s="10">
        <f t="shared" si="170"/>
        <v>-3.2656249999999678E-3</v>
      </c>
      <c r="DM185" s="10">
        <f t="shared" si="171"/>
        <v>-6.6264204545455115E-3</v>
      </c>
      <c r="DN185" s="10">
        <f t="shared" si="172"/>
        <v>-2.926136363636445E-4</v>
      </c>
      <c r="DO185" s="10">
        <f t="shared" si="173"/>
        <v>-2.6193181818181632E-3</v>
      </c>
      <c r="DP185" s="10">
        <f t="shared" si="174"/>
        <v>7.4147727272726551E-4</v>
      </c>
      <c r="DQ185" s="10">
        <f t="shared" si="175"/>
        <v>-3.0717329545454151E-3</v>
      </c>
      <c r="DR185" s="10">
        <f t="shared" si="176"/>
        <v>-6.1576704545460409E-4</v>
      </c>
      <c r="DS185" s="10">
        <f t="shared" si="177"/>
        <v>-8.2421874999999648E-3</v>
      </c>
      <c r="DT185" s="10">
        <f t="shared" si="178"/>
        <v>-3.4595170454545204E-3</v>
      </c>
      <c r="DU185" s="10">
        <f t="shared" si="179"/>
        <v>-4.8650568181819731E-4</v>
      </c>
      <c r="DV185" s="10">
        <f t="shared" si="180"/>
        <v>-4.9460227272726818E-3</v>
      </c>
      <c r="DW185" s="10">
        <f t="shared" si="181"/>
        <v>-5.2045454545454955E-3</v>
      </c>
    </row>
    <row r="186" spans="2:127" x14ac:dyDescent="0.45">
      <c r="B186" s="1">
        <v>24</v>
      </c>
      <c r="C186" s="1">
        <v>2655</v>
      </c>
      <c r="D186" s="7">
        <f t="shared" si="182"/>
        <v>15.56043956043956</v>
      </c>
      <c r="E186" s="1">
        <v>15.497</v>
      </c>
      <c r="F186" s="1">
        <v>15.555</v>
      </c>
      <c r="G186" s="1">
        <v>15.567</v>
      </c>
      <c r="H186" s="1">
        <v>15.468</v>
      </c>
      <c r="I186" s="1">
        <v>15.526</v>
      </c>
      <c r="J186" s="1">
        <v>15.528</v>
      </c>
      <c r="K186" s="1">
        <v>15.647</v>
      </c>
      <c r="L186" s="1">
        <v>15.506</v>
      </c>
      <c r="M186" s="1">
        <v>15.593</v>
      </c>
      <c r="N186" s="1">
        <v>15.587</v>
      </c>
      <c r="O186" s="1">
        <v>15.536</v>
      </c>
      <c r="P186" s="1">
        <v>15.522</v>
      </c>
      <c r="Q186" s="1">
        <v>15.574999999999999</v>
      </c>
      <c r="R186" s="1">
        <v>15.548</v>
      </c>
      <c r="S186" s="1">
        <v>15.54</v>
      </c>
      <c r="T186" s="1">
        <v>15.587</v>
      </c>
      <c r="U186" s="1">
        <v>15.57</v>
      </c>
      <c r="V186" s="1">
        <v>15.518000000000001</v>
      </c>
      <c r="W186" s="1">
        <v>15.535</v>
      </c>
      <c r="X186" s="1">
        <v>15.493</v>
      </c>
      <c r="Y186" s="1">
        <v>15.532999999999999</v>
      </c>
      <c r="Z186" s="1">
        <v>15.502000000000001</v>
      </c>
      <c r="AA186" s="1">
        <v>15.571</v>
      </c>
      <c r="AB186" s="1">
        <v>15.509</v>
      </c>
      <c r="AC186" s="1">
        <v>15.532</v>
      </c>
      <c r="AD186" s="1">
        <v>15.566000000000001</v>
      </c>
      <c r="AE186" s="1">
        <v>15.526</v>
      </c>
      <c r="AF186" s="1">
        <v>15.573</v>
      </c>
      <c r="AG186" s="1">
        <v>15.551</v>
      </c>
      <c r="AH186" s="1">
        <v>15.558999999999999</v>
      </c>
      <c r="AI186" s="1">
        <v>15.582000000000001</v>
      </c>
      <c r="AJ186" s="1">
        <v>15.438000000000001</v>
      </c>
      <c r="AK186" s="1">
        <v>15.484</v>
      </c>
      <c r="AL186" s="1">
        <v>15.518000000000001</v>
      </c>
      <c r="AM186" s="1">
        <v>15.558999999999999</v>
      </c>
      <c r="AN186" s="1">
        <v>15.598000000000001</v>
      </c>
      <c r="AO186" s="1">
        <v>15.564</v>
      </c>
      <c r="AP186" s="1">
        <v>15.551</v>
      </c>
      <c r="AQ186" s="1">
        <v>15.497999999999999</v>
      </c>
      <c r="AR186" s="1">
        <v>15.581</v>
      </c>
      <c r="AS186" s="1">
        <v>15.503</v>
      </c>
      <c r="AT186" s="1">
        <v>15.581</v>
      </c>
      <c r="AU186" s="1">
        <v>15.579000000000001</v>
      </c>
      <c r="AV186" s="1">
        <v>15.459</v>
      </c>
      <c r="AW186" s="1">
        <v>15.567</v>
      </c>
      <c r="AX186" s="1">
        <v>15.513</v>
      </c>
      <c r="AY186" s="1">
        <v>15.582000000000001</v>
      </c>
      <c r="AZ186" s="1">
        <v>15.544</v>
      </c>
      <c r="BA186" s="1">
        <v>15.51</v>
      </c>
      <c r="BB186" s="1">
        <v>15.459</v>
      </c>
      <c r="BC186" s="1">
        <v>15.554</v>
      </c>
      <c r="BD186" s="1">
        <v>15.52</v>
      </c>
      <c r="BE186" s="1">
        <v>15.573</v>
      </c>
      <c r="BF186" s="1">
        <v>15.512</v>
      </c>
      <c r="BG186" s="1">
        <v>15.551</v>
      </c>
      <c r="BH186" s="1">
        <v>15.433999999999999</v>
      </c>
      <c r="BI186" s="1">
        <v>15.507</v>
      </c>
      <c r="BJ186" s="1">
        <v>15.551</v>
      </c>
      <c r="BK186" s="1">
        <v>15.484</v>
      </c>
      <c r="BL186" s="1">
        <v>15.48</v>
      </c>
      <c r="BN186" s="9">
        <v>24</v>
      </c>
      <c r="BO186" s="9">
        <v>2655</v>
      </c>
      <c r="BP186" s="10">
        <f t="shared" si="122"/>
        <v>-4.0769774011299373E-3</v>
      </c>
      <c r="BQ186" s="10">
        <f t="shared" si="123"/>
        <v>-3.4957627118644514E-4</v>
      </c>
      <c r="BR186" s="10">
        <f t="shared" si="124"/>
        <v>4.2161016949155019E-4</v>
      </c>
      <c r="BS186" s="10">
        <f t="shared" si="125"/>
        <v>-5.9406779661016831E-3</v>
      </c>
      <c r="BT186" s="10">
        <f t="shared" si="126"/>
        <v>-2.213276836158191E-3</v>
      </c>
      <c r="BU186" s="10">
        <f t="shared" si="127"/>
        <v>-2.0847457627118206E-3</v>
      </c>
      <c r="BV186" s="10">
        <f t="shared" si="128"/>
        <v>5.5628531073446622E-3</v>
      </c>
      <c r="BW186" s="10">
        <f t="shared" si="129"/>
        <v>-3.4985875706214408E-3</v>
      </c>
      <c r="BX186" s="10">
        <f t="shared" si="130"/>
        <v>2.0925141242937972E-3</v>
      </c>
      <c r="BY186" s="10">
        <f t="shared" si="131"/>
        <v>1.7069209039547997E-3</v>
      </c>
      <c r="BZ186" s="10">
        <f t="shared" si="132"/>
        <v>-1.5706214689265663E-3</v>
      </c>
      <c r="CA186" s="10">
        <f t="shared" si="133"/>
        <v>-2.4703389830508181E-3</v>
      </c>
      <c r="CB186" s="10">
        <f t="shared" si="134"/>
        <v>9.3573446327680431E-4</v>
      </c>
      <c r="CC186" s="10">
        <f t="shared" si="135"/>
        <v>-7.9943502824857105E-4</v>
      </c>
      <c r="CD186" s="10">
        <f t="shared" si="136"/>
        <v>-1.3135593220339394E-3</v>
      </c>
      <c r="CE186" s="10">
        <f t="shared" si="137"/>
        <v>1.7069209039547997E-3</v>
      </c>
      <c r="CF186" s="10">
        <f t="shared" si="138"/>
        <v>6.14406779661049E-4</v>
      </c>
      <c r="CG186" s="10">
        <f t="shared" si="139"/>
        <v>-2.7274011299434453E-3</v>
      </c>
      <c r="CH186" s="10">
        <f t="shared" si="140"/>
        <v>-1.6348870056496947E-3</v>
      </c>
      <c r="CI186" s="10">
        <f t="shared" si="141"/>
        <v>-4.3340395480225644E-3</v>
      </c>
      <c r="CJ186" s="10">
        <f t="shared" si="142"/>
        <v>-1.7634180790960653E-3</v>
      </c>
      <c r="CK186" s="10">
        <f t="shared" si="143"/>
        <v>-3.7556497175140675E-3</v>
      </c>
      <c r="CL186" s="10">
        <f t="shared" si="144"/>
        <v>6.7867231638417728E-4</v>
      </c>
      <c r="CM186" s="10">
        <f t="shared" si="145"/>
        <v>-3.3057909604519418E-3</v>
      </c>
      <c r="CN186" s="10">
        <f t="shared" si="146"/>
        <v>-1.8276836158191935E-3</v>
      </c>
      <c r="CO186" s="10">
        <f t="shared" si="147"/>
        <v>3.5734463276842197E-4</v>
      </c>
      <c r="CP186" s="10">
        <f t="shared" si="148"/>
        <v>-2.213276836158191E-3</v>
      </c>
      <c r="CQ186" s="10">
        <f t="shared" si="149"/>
        <v>8.0720338983054788E-4</v>
      </c>
      <c r="CR186" s="10">
        <f t="shared" si="150"/>
        <v>-6.0663841807907218E-4</v>
      </c>
      <c r="CS186" s="10">
        <f t="shared" si="151"/>
        <v>-9.2514124293818092E-5</v>
      </c>
      <c r="CT186" s="10">
        <f t="shared" si="152"/>
        <v>1.3855932203390444E-3</v>
      </c>
      <c r="CU186" s="10">
        <f t="shared" si="153"/>
        <v>-7.8686440677965576E-3</v>
      </c>
      <c r="CV186" s="10">
        <f t="shared" si="154"/>
        <v>-4.9124293785310609E-3</v>
      </c>
      <c r="CW186" s="10">
        <f t="shared" si="155"/>
        <v>-2.7274011299434453E-3</v>
      </c>
      <c r="CX186" s="10">
        <f t="shared" si="156"/>
        <v>-9.2514124293818092E-5</v>
      </c>
      <c r="CY186" s="10">
        <f t="shared" si="157"/>
        <v>2.4138418079096666E-3</v>
      </c>
      <c r="CZ186" s="10">
        <f t="shared" si="158"/>
        <v>2.2881355932205134E-4</v>
      </c>
      <c r="DA186" s="10">
        <f t="shared" si="159"/>
        <v>-6.0663841807907218E-4</v>
      </c>
      <c r="DB186" s="10">
        <f t="shared" si="160"/>
        <v>-4.0127118644068087E-3</v>
      </c>
      <c r="DC186" s="10">
        <f t="shared" si="161"/>
        <v>1.3213276836158019E-3</v>
      </c>
      <c r="DD186" s="10">
        <f t="shared" si="162"/>
        <v>-3.6913841807909393E-3</v>
      </c>
      <c r="DE186" s="10">
        <f t="shared" si="163"/>
        <v>1.3213276836158019E-3</v>
      </c>
      <c r="DF186" s="10">
        <f t="shared" si="164"/>
        <v>1.1927966101695456E-3</v>
      </c>
      <c r="DG186" s="10">
        <f t="shared" si="165"/>
        <v>-6.5190677966101796E-3</v>
      </c>
      <c r="DH186" s="10">
        <f t="shared" si="166"/>
        <v>4.2161016949155019E-4</v>
      </c>
      <c r="DI186" s="10">
        <f t="shared" si="167"/>
        <v>-3.0487288135593146E-3</v>
      </c>
      <c r="DJ186" s="10">
        <f t="shared" si="168"/>
        <v>1.3855932203390444E-3</v>
      </c>
      <c r="DK186" s="10">
        <f t="shared" si="169"/>
        <v>-1.0564971751411982E-3</v>
      </c>
      <c r="DL186" s="10">
        <f t="shared" si="170"/>
        <v>-3.2415254237288136E-3</v>
      </c>
      <c r="DM186" s="10">
        <f t="shared" si="171"/>
        <v>-6.5190677966101796E-3</v>
      </c>
      <c r="DN186" s="10">
        <f t="shared" si="172"/>
        <v>-4.1384180790957336E-4</v>
      </c>
      <c r="DO186" s="10">
        <f t="shared" si="173"/>
        <v>-2.598870056497189E-3</v>
      </c>
      <c r="DP186" s="10">
        <f t="shared" si="174"/>
        <v>8.0720338983054788E-4</v>
      </c>
      <c r="DQ186" s="10">
        <f t="shared" si="175"/>
        <v>-3.1129943502824428E-3</v>
      </c>
      <c r="DR186" s="10">
        <f t="shared" si="176"/>
        <v>-6.0663841807907218E-4</v>
      </c>
      <c r="DS186" s="10">
        <f t="shared" si="177"/>
        <v>-8.1257062146892992E-3</v>
      </c>
      <c r="DT186" s="10">
        <f t="shared" si="178"/>
        <v>-3.4343220338983122E-3</v>
      </c>
      <c r="DU186" s="10">
        <f t="shared" si="179"/>
        <v>-6.0663841807907218E-4</v>
      </c>
      <c r="DV186" s="10">
        <f t="shared" si="180"/>
        <v>-4.9124293785310609E-3</v>
      </c>
      <c r="DW186" s="10">
        <f t="shared" si="181"/>
        <v>-5.1694915254236881E-3</v>
      </c>
    </row>
    <row r="187" spans="2:127" x14ac:dyDescent="0.45">
      <c r="B187" s="1">
        <v>24</v>
      </c>
      <c r="C187" s="1">
        <v>2670</v>
      </c>
      <c r="D187" s="7">
        <f t="shared" si="182"/>
        <v>15.648351648351648</v>
      </c>
      <c r="E187" s="1">
        <v>15.581</v>
      </c>
      <c r="F187" s="1">
        <v>15.643000000000001</v>
      </c>
      <c r="G187" s="1">
        <v>15.657</v>
      </c>
      <c r="H187" s="1">
        <v>15.558</v>
      </c>
      <c r="I187" s="1">
        <v>15.615</v>
      </c>
      <c r="J187" s="1">
        <v>15.615</v>
      </c>
      <c r="K187" s="1">
        <v>15.734999999999999</v>
      </c>
      <c r="L187" s="1">
        <v>15.592000000000001</v>
      </c>
      <c r="M187" s="1">
        <v>15.680999999999999</v>
      </c>
      <c r="N187" s="1">
        <v>15.676</v>
      </c>
      <c r="O187" s="1">
        <v>15.624000000000001</v>
      </c>
      <c r="P187" s="1">
        <v>15.609</v>
      </c>
      <c r="Q187" s="1">
        <v>15.663</v>
      </c>
      <c r="R187" s="1">
        <v>15.635</v>
      </c>
      <c r="S187" s="1">
        <v>15.628</v>
      </c>
      <c r="T187" s="1">
        <v>15.677</v>
      </c>
      <c r="U187" s="1">
        <v>15.657</v>
      </c>
      <c r="V187" s="1">
        <v>15.608000000000001</v>
      </c>
      <c r="W187" s="1">
        <v>15.621</v>
      </c>
      <c r="X187" s="1">
        <v>15.577999999999999</v>
      </c>
      <c r="Y187" s="1">
        <v>15.622999999999999</v>
      </c>
      <c r="Z187" s="1">
        <v>15.587</v>
      </c>
      <c r="AA187" s="1">
        <v>15.657999999999999</v>
      </c>
      <c r="AB187" s="1">
        <v>15.596</v>
      </c>
      <c r="AC187" s="1">
        <v>15.62</v>
      </c>
      <c r="AD187" s="1">
        <v>15.654</v>
      </c>
      <c r="AE187" s="1">
        <v>15.615</v>
      </c>
      <c r="AF187" s="1">
        <v>15.661</v>
      </c>
      <c r="AG187" s="1">
        <v>15.641999999999999</v>
      </c>
      <c r="AH187" s="1">
        <v>15.646000000000001</v>
      </c>
      <c r="AI187" s="1">
        <v>15.67</v>
      </c>
      <c r="AJ187" s="1">
        <v>15.526</v>
      </c>
      <c r="AK187" s="1">
        <v>15.57</v>
      </c>
      <c r="AL187" s="1">
        <v>15.605</v>
      </c>
      <c r="AM187" s="1">
        <v>15.647</v>
      </c>
      <c r="AN187" s="1">
        <v>15.685</v>
      </c>
      <c r="AO187" s="1">
        <v>15.654</v>
      </c>
      <c r="AP187" s="1">
        <v>15.638</v>
      </c>
      <c r="AQ187" s="1">
        <v>15.585000000000001</v>
      </c>
      <c r="AR187" s="1">
        <v>15.669</v>
      </c>
      <c r="AS187" s="1">
        <v>15.59</v>
      </c>
      <c r="AT187" s="1">
        <v>15.667999999999999</v>
      </c>
      <c r="AU187" s="1">
        <v>15.666</v>
      </c>
      <c r="AV187" s="1">
        <v>15.55</v>
      </c>
      <c r="AW187" s="1">
        <v>15.654999999999999</v>
      </c>
      <c r="AX187" s="1">
        <v>15.602</v>
      </c>
      <c r="AY187" s="1">
        <v>15.67</v>
      </c>
      <c r="AZ187" s="1">
        <v>15.634</v>
      </c>
      <c r="BA187" s="1">
        <v>15.598000000000001</v>
      </c>
      <c r="BB187" s="1">
        <v>15.548</v>
      </c>
      <c r="BC187" s="1">
        <v>15.64</v>
      </c>
      <c r="BD187" s="1">
        <v>15.606</v>
      </c>
      <c r="BE187" s="1">
        <v>15.661</v>
      </c>
      <c r="BF187" s="1">
        <v>15.596</v>
      </c>
      <c r="BG187" s="1">
        <v>15.638</v>
      </c>
      <c r="BH187" s="1">
        <v>15.525</v>
      </c>
      <c r="BI187" s="1">
        <v>15.596</v>
      </c>
      <c r="BJ187" s="1">
        <v>15.638999999999999</v>
      </c>
      <c r="BK187" s="1">
        <v>15.571</v>
      </c>
      <c r="BL187" s="1">
        <v>15.567</v>
      </c>
      <c r="BN187" s="9">
        <v>24</v>
      </c>
      <c r="BO187" s="9">
        <v>2670</v>
      </c>
      <c r="BP187" s="10">
        <f t="shared" si="122"/>
        <v>-4.3040730337078623E-3</v>
      </c>
      <c r="BQ187" s="10">
        <f t="shared" si="123"/>
        <v>-3.4199438202239465E-4</v>
      </c>
      <c r="BR187" s="10">
        <f t="shared" si="124"/>
        <v>5.526685393258782E-4</v>
      </c>
      <c r="BS187" s="10">
        <f t="shared" si="125"/>
        <v>-5.7738764044943597E-3</v>
      </c>
      <c r="BT187" s="10">
        <f t="shared" si="126"/>
        <v>-2.131320224719054E-3</v>
      </c>
      <c r="BU187" s="10">
        <f t="shared" si="127"/>
        <v>-2.131320224719054E-3</v>
      </c>
      <c r="BV187" s="10">
        <f t="shared" si="128"/>
        <v>5.5372191011235933E-3</v>
      </c>
      <c r="BW187" s="10">
        <f t="shared" si="129"/>
        <v>-3.601123595505551E-3</v>
      </c>
      <c r="BX187" s="10">
        <f t="shared" si="130"/>
        <v>2.0863764044943621E-3</v>
      </c>
      <c r="BY187" s="10">
        <f t="shared" si="131"/>
        <v>1.7668539325843135E-3</v>
      </c>
      <c r="BZ187" s="10">
        <f t="shared" si="132"/>
        <v>-1.5561797752808298E-3</v>
      </c>
      <c r="CA187" s="10">
        <f t="shared" si="133"/>
        <v>-2.5147471910112033E-3</v>
      </c>
      <c r="CB187" s="10">
        <f t="shared" si="134"/>
        <v>9.3609550561802755E-4</v>
      </c>
      <c r="CC187" s="10">
        <f t="shared" si="135"/>
        <v>-8.5323033707863168E-4</v>
      </c>
      <c r="CD187" s="10">
        <f t="shared" si="136"/>
        <v>-1.3005617977527681E-3</v>
      </c>
      <c r="CE187" s="10">
        <f t="shared" si="137"/>
        <v>1.8307584269663005E-3</v>
      </c>
      <c r="CF187" s="10">
        <f t="shared" si="138"/>
        <v>5.526685393258782E-4</v>
      </c>
      <c r="CG187" s="10">
        <f t="shared" si="139"/>
        <v>-2.5786516853931905E-3</v>
      </c>
      <c r="CH187" s="10">
        <f t="shared" si="140"/>
        <v>-1.7478932584269046E-3</v>
      </c>
      <c r="CI187" s="10">
        <f t="shared" si="141"/>
        <v>-4.4957865168539371E-3</v>
      </c>
      <c r="CJ187" s="10">
        <f t="shared" si="142"/>
        <v>-1.6200842696629304E-3</v>
      </c>
      <c r="CK187" s="10">
        <f t="shared" si="143"/>
        <v>-3.9206460674157135E-3</v>
      </c>
      <c r="CL187" s="10">
        <f t="shared" si="144"/>
        <v>6.1657303370786531E-4</v>
      </c>
      <c r="CM187" s="10">
        <f t="shared" si="145"/>
        <v>-3.345505617977489E-3</v>
      </c>
      <c r="CN187" s="10">
        <f t="shared" si="146"/>
        <v>-1.811797752809005E-3</v>
      </c>
      <c r="CO187" s="10">
        <f t="shared" si="147"/>
        <v>3.6095505617980353E-4</v>
      </c>
      <c r="CP187" s="10">
        <f t="shared" si="148"/>
        <v>-2.131320224719054E-3</v>
      </c>
      <c r="CQ187" s="10">
        <f t="shared" si="149"/>
        <v>8.0828651685393993E-4</v>
      </c>
      <c r="CR187" s="10">
        <f t="shared" si="150"/>
        <v>-4.0589887640449522E-4</v>
      </c>
      <c r="CS187" s="10">
        <f t="shared" si="151"/>
        <v>-1.5028089887631995E-4</v>
      </c>
      <c r="CT187" s="10">
        <f t="shared" si="152"/>
        <v>1.383426966292164E-3</v>
      </c>
      <c r="CU187" s="10">
        <f t="shared" si="153"/>
        <v>-7.8188202247190808E-3</v>
      </c>
      <c r="CV187" s="10">
        <f t="shared" si="154"/>
        <v>-5.0070224719100604E-3</v>
      </c>
      <c r="CW187" s="10">
        <f t="shared" si="155"/>
        <v>-2.7703651685392649E-3</v>
      </c>
      <c r="CX187" s="10">
        <f t="shared" si="156"/>
        <v>-8.63764044943329E-5</v>
      </c>
      <c r="CY187" s="10">
        <f t="shared" si="157"/>
        <v>2.3419943820225373E-3</v>
      </c>
      <c r="CZ187" s="10">
        <f t="shared" si="158"/>
        <v>3.6095505617980353E-4</v>
      </c>
      <c r="DA187" s="10">
        <f t="shared" si="159"/>
        <v>-6.6151685393255695E-4</v>
      </c>
      <c r="DB187" s="10">
        <f t="shared" si="160"/>
        <v>-4.0484550561796871E-3</v>
      </c>
      <c r="DC187" s="10">
        <f t="shared" si="161"/>
        <v>1.319522471910177E-3</v>
      </c>
      <c r="DD187" s="10">
        <f t="shared" si="162"/>
        <v>-3.7289325842696387E-3</v>
      </c>
      <c r="DE187" s="10">
        <f t="shared" si="163"/>
        <v>1.2556179775280764E-3</v>
      </c>
      <c r="DF187" s="10">
        <f t="shared" si="164"/>
        <v>1.1278089887641022E-3</v>
      </c>
      <c r="DG187" s="10">
        <f t="shared" si="165"/>
        <v>-6.285112359550483E-3</v>
      </c>
      <c r="DH187" s="10">
        <f t="shared" si="166"/>
        <v>4.2485955056179058E-4</v>
      </c>
      <c r="DI187" s="10">
        <f t="shared" si="167"/>
        <v>-2.9620786516853397E-3</v>
      </c>
      <c r="DJ187" s="10">
        <f t="shared" si="168"/>
        <v>1.383426966292164E-3</v>
      </c>
      <c r="DK187" s="10">
        <f t="shared" si="169"/>
        <v>-9.1713483146061868E-4</v>
      </c>
      <c r="DL187" s="10">
        <f t="shared" si="170"/>
        <v>-3.2176966292134014E-3</v>
      </c>
      <c r="DM187" s="10">
        <f t="shared" si="171"/>
        <v>-6.4129213483145701E-3</v>
      </c>
      <c r="DN187" s="10">
        <f t="shared" si="172"/>
        <v>-5.3370786516846933E-4</v>
      </c>
      <c r="DO187" s="10">
        <f t="shared" si="173"/>
        <v>-2.7064606741572781E-3</v>
      </c>
      <c r="DP187" s="10">
        <f t="shared" si="174"/>
        <v>8.0828651685393993E-4</v>
      </c>
      <c r="DQ187" s="10">
        <f t="shared" si="175"/>
        <v>-3.345505617977489E-3</v>
      </c>
      <c r="DR187" s="10">
        <f t="shared" si="176"/>
        <v>-6.6151685393255695E-4</v>
      </c>
      <c r="DS187" s="10">
        <f t="shared" si="177"/>
        <v>-7.8827247191010676E-3</v>
      </c>
      <c r="DT187" s="10">
        <f t="shared" si="178"/>
        <v>-3.345505617977489E-3</v>
      </c>
      <c r="DU187" s="10">
        <f t="shared" si="179"/>
        <v>-5.9761235955056995E-4</v>
      </c>
      <c r="DV187" s="10">
        <f t="shared" si="180"/>
        <v>-4.9431179775280736E-3</v>
      </c>
      <c r="DW187" s="10">
        <f t="shared" si="181"/>
        <v>-5.1987359550561352E-3</v>
      </c>
    </row>
    <row r="188" spans="2:127" x14ac:dyDescent="0.45">
      <c r="B188" s="1">
        <v>24</v>
      </c>
      <c r="C188" s="1">
        <v>2685</v>
      </c>
      <c r="D188" s="7">
        <f t="shared" si="182"/>
        <v>15.736263736263735</v>
      </c>
      <c r="E188" s="1">
        <v>15.667999999999999</v>
      </c>
      <c r="F188" s="1">
        <v>15.731</v>
      </c>
      <c r="G188" s="1">
        <v>15.744999999999999</v>
      </c>
      <c r="H188" s="1">
        <v>15.644</v>
      </c>
      <c r="I188" s="1">
        <v>15.701000000000001</v>
      </c>
      <c r="J188" s="1">
        <v>15.7</v>
      </c>
      <c r="K188" s="1">
        <v>15.821999999999999</v>
      </c>
      <c r="L188" s="1">
        <v>15.677</v>
      </c>
      <c r="M188" s="1">
        <v>15.769</v>
      </c>
      <c r="N188" s="1">
        <v>15.765000000000001</v>
      </c>
      <c r="O188" s="1">
        <v>15.712</v>
      </c>
      <c r="P188" s="1">
        <v>15.696</v>
      </c>
      <c r="Q188" s="1">
        <v>15.753</v>
      </c>
      <c r="R188" s="1">
        <v>15.722</v>
      </c>
      <c r="S188" s="1">
        <v>15.715</v>
      </c>
      <c r="T188" s="1">
        <v>15.763999999999999</v>
      </c>
      <c r="U188" s="1">
        <v>15.743</v>
      </c>
      <c r="V188" s="1">
        <v>15.696</v>
      </c>
      <c r="W188" s="1">
        <v>15.71</v>
      </c>
      <c r="X188" s="1">
        <v>15.669</v>
      </c>
      <c r="Y188" s="1">
        <v>15.71</v>
      </c>
      <c r="Z188" s="1">
        <v>15.677</v>
      </c>
      <c r="AA188" s="1">
        <v>15.744999999999999</v>
      </c>
      <c r="AB188" s="1">
        <v>15.682</v>
      </c>
      <c r="AC188" s="1">
        <v>15.706</v>
      </c>
      <c r="AD188" s="1">
        <v>15.743</v>
      </c>
      <c r="AE188" s="1">
        <v>15.702999999999999</v>
      </c>
      <c r="AF188" s="1">
        <v>15.747999999999999</v>
      </c>
      <c r="AG188" s="1">
        <v>15.728999999999999</v>
      </c>
      <c r="AH188" s="1">
        <v>15.734999999999999</v>
      </c>
      <c r="AI188" s="1">
        <v>15.76</v>
      </c>
      <c r="AJ188" s="1">
        <v>15.616</v>
      </c>
      <c r="AK188" s="1">
        <v>15.657</v>
      </c>
      <c r="AL188" s="1">
        <v>15.693</v>
      </c>
      <c r="AM188" s="1">
        <v>15.734999999999999</v>
      </c>
      <c r="AN188" s="1">
        <v>15.773</v>
      </c>
      <c r="AO188" s="1">
        <v>15.742000000000001</v>
      </c>
      <c r="AP188" s="1">
        <v>15.726000000000001</v>
      </c>
      <c r="AQ188" s="1">
        <v>15.67</v>
      </c>
      <c r="AR188" s="1">
        <v>15.756</v>
      </c>
      <c r="AS188" s="1">
        <v>15.676</v>
      </c>
      <c r="AT188" s="1">
        <v>15.753</v>
      </c>
      <c r="AU188" s="1">
        <v>15.754</v>
      </c>
      <c r="AV188" s="1">
        <v>15.634</v>
      </c>
      <c r="AW188" s="1">
        <v>15.743</v>
      </c>
      <c r="AX188" s="1">
        <v>15.689</v>
      </c>
      <c r="AY188" s="1">
        <v>15.757999999999999</v>
      </c>
      <c r="AZ188" s="1">
        <v>15.722</v>
      </c>
      <c r="BA188" s="1">
        <v>15.686999999999999</v>
      </c>
      <c r="BB188" s="1">
        <v>15.634</v>
      </c>
      <c r="BC188" s="1">
        <v>15.731</v>
      </c>
      <c r="BD188" s="1">
        <v>15.693</v>
      </c>
      <c r="BE188" s="1">
        <v>15.749000000000001</v>
      </c>
      <c r="BF188" s="1">
        <v>15.685</v>
      </c>
      <c r="BG188" s="1">
        <v>15.724</v>
      </c>
      <c r="BH188" s="1">
        <v>15.601000000000001</v>
      </c>
      <c r="BI188" s="1">
        <v>15.685</v>
      </c>
      <c r="BJ188" s="1">
        <v>15.726000000000001</v>
      </c>
      <c r="BK188" s="1">
        <v>15.657999999999999</v>
      </c>
      <c r="BL188" s="1">
        <v>15.653</v>
      </c>
      <c r="BN188" s="9">
        <v>24</v>
      </c>
      <c r="BO188" s="9">
        <v>2685</v>
      </c>
      <c r="BP188" s="10">
        <f t="shared" si="122"/>
        <v>-4.337988826815636E-3</v>
      </c>
      <c r="BQ188" s="10">
        <f t="shared" si="123"/>
        <v>-3.344972067038654E-4</v>
      </c>
      <c r="BR188" s="10">
        <f t="shared" si="124"/>
        <v>5.5516759776536679E-4</v>
      </c>
      <c r="BS188" s="10">
        <f t="shared" si="125"/>
        <v>-5.8631284916200507E-3</v>
      </c>
      <c r="BT188" s="10">
        <f t="shared" si="126"/>
        <v>-2.2409217877094115E-3</v>
      </c>
      <c r="BU188" s="10">
        <f t="shared" si="127"/>
        <v>-2.3044692737430087E-3</v>
      </c>
      <c r="BV188" s="10">
        <f t="shared" si="128"/>
        <v>5.4483240223463696E-3</v>
      </c>
      <c r="BW188" s="10">
        <f t="shared" si="129"/>
        <v>-3.7660614525139384E-3</v>
      </c>
      <c r="BX188" s="10">
        <f t="shared" si="130"/>
        <v>2.0803072625698938E-3</v>
      </c>
      <c r="BY188" s="10">
        <f t="shared" si="131"/>
        <v>1.8261173184358438E-3</v>
      </c>
      <c r="BZ188" s="10">
        <f t="shared" si="132"/>
        <v>-1.5418994413407452E-3</v>
      </c>
      <c r="CA188" s="10">
        <f t="shared" si="133"/>
        <v>-2.5586592178770589E-3</v>
      </c>
      <c r="CB188" s="10">
        <f t="shared" si="134"/>
        <v>1.0635474860335801E-3</v>
      </c>
      <c r="CC188" s="10">
        <f t="shared" si="135"/>
        <v>-9.0642458100556307E-4</v>
      </c>
      <c r="CD188" s="10">
        <f t="shared" si="136"/>
        <v>-1.3512569832401793E-3</v>
      </c>
      <c r="CE188" s="10">
        <f t="shared" si="137"/>
        <v>1.7625698324022466E-3</v>
      </c>
      <c r="CF188" s="10">
        <f t="shared" si="138"/>
        <v>4.2807262569839814E-4</v>
      </c>
      <c r="CG188" s="10">
        <f t="shared" si="139"/>
        <v>-2.5586592178770589E-3</v>
      </c>
      <c r="CH188" s="10">
        <f t="shared" si="140"/>
        <v>-1.6689944134077137E-3</v>
      </c>
      <c r="CI188" s="10">
        <f t="shared" si="141"/>
        <v>-4.2744413407820392E-3</v>
      </c>
      <c r="CJ188" s="10">
        <f t="shared" si="142"/>
        <v>-1.6689944134077137E-3</v>
      </c>
      <c r="CK188" s="10">
        <f t="shared" si="143"/>
        <v>-3.7660614525139384E-3</v>
      </c>
      <c r="CL188" s="10">
        <f t="shared" si="144"/>
        <v>5.5516759776536679E-4</v>
      </c>
      <c r="CM188" s="10">
        <f t="shared" si="145"/>
        <v>-3.4483240223462911E-3</v>
      </c>
      <c r="CN188" s="10">
        <f t="shared" si="146"/>
        <v>-1.9231843575418768E-3</v>
      </c>
      <c r="CO188" s="10">
        <f t="shared" si="147"/>
        <v>4.2807262569839814E-4</v>
      </c>
      <c r="CP188" s="10">
        <f t="shared" si="148"/>
        <v>-2.113826815642443E-3</v>
      </c>
      <c r="CQ188" s="10">
        <f t="shared" si="149"/>
        <v>7.4581005586593272E-4</v>
      </c>
      <c r="CR188" s="10">
        <f t="shared" si="150"/>
        <v>-4.6159217877094697E-4</v>
      </c>
      <c r="CS188" s="10">
        <f t="shared" si="151"/>
        <v>-8.030726256981519E-5</v>
      </c>
      <c r="CT188" s="10">
        <f t="shared" si="152"/>
        <v>1.5083798882681962E-3</v>
      </c>
      <c r="CU188" s="10">
        <f t="shared" si="153"/>
        <v>-7.6424581005586278E-3</v>
      </c>
      <c r="CV188" s="10">
        <f t="shared" si="154"/>
        <v>-5.0370111731843029E-3</v>
      </c>
      <c r="CW188" s="10">
        <f t="shared" si="155"/>
        <v>-2.749301675977625E-3</v>
      </c>
      <c r="CX188" s="10">
        <f t="shared" si="156"/>
        <v>-8.030726256981519E-5</v>
      </c>
      <c r="CY188" s="10">
        <f t="shared" si="157"/>
        <v>2.3344972067039444E-3</v>
      </c>
      <c r="CZ188" s="10">
        <f t="shared" si="158"/>
        <v>3.6452513966491384E-4</v>
      </c>
      <c r="DA188" s="10">
        <f t="shared" si="159"/>
        <v>-6.5223463687140004E-4</v>
      </c>
      <c r="DB188" s="10">
        <f t="shared" si="160"/>
        <v>-4.2108938547485543E-3</v>
      </c>
      <c r="DC188" s="10">
        <f t="shared" si="161"/>
        <v>1.254189944134146E-3</v>
      </c>
      <c r="DD188" s="10">
        <f t="shared" si="162"/>
        <v>-3.8296089385474229E-3</v>
      </c>
      <c r="DE188" s="10">
        <f t="shared" si="163"/>
        <v>1.0635474860335801E-3</v>
      </c>
      <c r="DF188" s="10">
        <f t="shared" si="164"/>
        <v>1.1270949720670646E-3</v>
      </c>
      <c r="DG188" s="10">
        <f t="shared" si="165"/>
        <v>-6.4986033519552327E-3</v>
      </c>
      <c r="DH188" s="10">
        <f t="shared" si="166"/>
        <v>4.2807262569839814E-4</v>
      </c>
      <c r="DI188" s="10">
        <f t="shared" si="167"/>
        <v>-3.0034916201116752E-3</v>
      </c>
      <c r="DJ188" s="10">
        <f t="shared" si="168"/>
        <v>1.3812849162011147E-3</v>
      </c>
      <c r="DK188" s="10">
        <f t="shared" si="169"/>
        <v>-9.0642458100556307E-4</v>
      </c>
      <c r="DL188" s="10">
        <f t="shared" si="170"/>
        <v>-3.1305865921787564E-3</v>
      </c>
      <c r="DM188" s="10">
        <f t="shared" si="171"/>
        <v>-6.4986033519552327E-3</v>
      </c>
      <c r="DN188" s="10">
        <f t="shared" si="172"/>
        <v>-3.344972067038654E-4</v>
      </c>
      <c r="DO188" s="10">
        <f t="shared" si="173"/>
        <v>-2.749301675977625E-3</v>
      </c>
      <c r="DP188" s="10">
        <f t="shared" si="174"/>
        <v>8.0935754189952994E-4</v>
      </c>
      <c r="DQ188" s="10">
        <f t="shared" si="175"/>
        <v>-3.2576815642457253E-3</v>
      </c>
      <c r="DR188" s="10">
        <f t="shared" si="176"/>
        <v>-7.793296089384815E-4</v>
      </c>
      <c r="DS188" s="10">
        <f t="shared" si="177"/>
        <v>-8.5956703910613445E-3</v>
      </c>
      <c r="DT188" s="10">
        <f t="shared" si="178"/>
        <v>-3.2576815642457253E-3</v>
      </c>
      <c r="DU188" s="10">
        <f t="shared" si="179"/>
        <v>-6.5223463687140004E-4</v>
      </c>
      <c r="DV188" s="10">
        <f t="shared" si="180"/>
        <v>-4.973463687150818E-3</v>
      </c>
      <c r="DW188" s="10">
        <f t="shared" si="181"/>
        <v>-5.2912011173183527E-3</v>
      </c>
    </row>
    <row r="189" spans="2:127" x14ac:dyDescent="0.45">
      <c r="B189" s="1">
        <v>24</v>
      </c>
      <c r="C189" s="1">
        <v>2700</v>
      </c>
      <c r="D189" s="7">
        <f t="shared" si="182"/>
        <v>15.824175824175825</v>
      </c>
      <c r="E189" s="1">
        <v>15.754</v>
      </c>
      <c r="F189" s="1">
        <v>15.819000000000001</v>
      </c>
      <c r="G189" s="1">
        <v>15.832000000000001</v>
      </c>
      <c r="H189" s="1">
        <v>15.733000000000001</v>
      </c>
      <c r="I189" s="1">
        <v>15.787000000000001</v>
      </c>
      <c r="J189" s="1">
        <v>15.786</v>
      </c>
      <c r="K189" s="1">
        <v>15.907999999999999</v>
      </c>
      <c r="L189" s="1">
        <v>15.762</v>
      </c>
      <c r="M189" s="1">
        <v>15.856999999999999</v>
      </c>
      <c r="N189" s="1">
        <v>15.853</v>
      </c>
      <c r="O189" s="1">
        <v>15.798999999999999</v>
      </c>
      <c r="P189" s="1">
        <v>15.782999999999999</v>
      </c>
      <c r="Q189" s="1">
        <v>15.84</v>
      </c>
      <c r="R189" s="1">
        <v>15.808999999999999</v>
      </c>
      <c r="S189" s="1">
        <v>15.802</v>
      </c>
      <c r="T189" s="1">
        <v>15.853</v>
      </c>
      <c r="U189" s="1">
        <v>15.832000000000001</v>
      </c>
      <c r="V189" s="1">
        <v>15.784000000000001</v>
      </c>
      <c r="W189" s="1">
        <v>15.795999999999999</v>
      </c>
      <c r="X189" s="1">
        <v>15.754</v>
      </c>
      <c r="Y189" s="1">
        <v>15.8</v>
      </c>
      <c r="Z189" s="1">
        <v>15.763999999999999</v>
      </c>
      <c r="AA189" s="1">
        <v>15.832000000000001</v>
      </c>
      <c r="AB189" s="1">
        <v>15.771000000000001</v>
      </c>
      <c r="AC189" s="1">
        <v>15.791</v>
      </c>
      <c r="AD189" s="1">
        <v>15.832000000000001</v>
      </c>
      <c r="AE189" s="1">
        <v>15.791</v>
      </c>
      <c r="AF189" s="1">
        <v>15.836</v>
      </c>
      <c r="AG189" s="1">
        <v>15.815</v>
      </c>
      <c r="AH189" s="1">
        <v>15.821999999999999</v>
      </c>
      <c r="AI189" s="1">
        <v>15.849</v>
      </c>
      <c r="AJ189" s="1">
        <v>15.701000000000001</v>
      </c>
      <c r="AK189" s="1">
        <v>15.742000000000001</v>
      </c>
      <c r="AL189" s="1">
        <v>15.781000000000001</v>
      </c>
      <c r="AM189" s="1">
        <v>15.824</v>
      </c>
      <c r="AN189" s="1">
        <v>15.86</v>
      </c>
      <c r="AO189" s="1">
        <v>15.83</v>
      </c>
      <c r="AP189" s="1">
        <v>15.811</v>
      </c>
      <c r="AQ189" s="1">
        <v>15.756</v>
      </c>
      <c r="AR189" s="1">
        <v>15.842000000000001</v>
      </c>
      <c r="AS189" s="1">
        <v>15.760999999999999</v>
      </c>
      <c r="AT189" s="1">
        <v>15.84</v>
      </c>
      <c r="AU189" s="1">
        <v>15.842000000000001</v>
      </c>
      <c r="AV189" s="1">
        <v>15.722</v>
      </c>
      <c r="AW189" s="1">
        <v>15.833</v>
      </c>
      <c r="AX189" s="1">
        <v>15.776999999999999</v>
      </c>
      <c r="AY189" s="1">
        <v>15.848000000000001</v>
      </c>
      <c r="AZ189" s="1">
        <v>15.811</v>
      </c>
      <c r="BA189" s="1">
        <v>15.775</v>
      </c>
      <c r="BB189" s="1">
        <v>15.722</v>
      </c>
      <c r="BC189" s="1">
        <v>15.821</v>
      </c>
      <c r="BD189" s="1">
        <v>15.781000000000001</v>
      </c>
      <c r="BE189" s="1">
        <v>15.836</v>
      </c>
      <c r="BF189" s="1">
        <v>15.771000000000001</v>
      </c>
      <c r="BG189" s="1">
        <v>15.807</v>
      </c>
      <c r="BH189" s="1">
        <v>15.689</v>
      </c>
      <c r="BI189" s="1">
        <v>15.772</v>
      </c>
      <c r="BJ189" s="1">
        <v>15.814</v>
      </c>
      <c r="BK189" s="1">
        <v>15.753</v>
      </c>
      <c r="BL189" s="1">
        <v>15.738</v>
      </c>
      <c r="BN189" s="9">
        <v>24</v>
      </c>
      <c r="BO189" s="9">
        <v>2700</v>
      </c>
      <c r="BP189" s="10">
        <f t="shared" si="122"/>
        <v>-4.4347222222222895E-3</v>
      </c>
      <c r="BQ189" s="10">
        <f t="shared" si="123"/>
        <v>-3.2708333333331981E-4</v>
      </c>
      <c r="BR189" s="10">
        <f t="shared" si="124"/>
        <v>4.9444444444445164E-4</v>
      </c>
      <c r="BS189" s="10">
        <f t="shared" si="125"/>
        <v>-5.7618055555555608E-3</v>
      </c>
      <c r="BT189" s="10">
        <f t="shared" si="126"/>
        <v>-2.3493055555555437E-3</v>
      </c>
      <c r="BU189" s="10">
        <f t="shared" si="127"/>
        <v>-2.4125000000000656E-3</v>
      </c>
      <c r="BV189" s="10">
        <f t="shared" si="128"/>
        <v>5.2972222222221494E-3</v>
      </c>
      <c r="BW189" s="10">
        <f t="shared" si="129"/>
        <v>-3.9291666666666772E-3</v>
      </c>
      <c r="BX189" s="10">
        <f t="shared" si="130"/>
        <v>2.074305555555473E-3</v>
      </c>
      <c r="BY189" s="10">
        <f t="shared" si="131"/>
        <v>1.821527777777723E-3</v>
      </c>
      <c r="BZ189" s="10">
        <f t="shared" si="132"/>
        <v>-1.5909722222222939E-3</v>
      </c>
      <c r="CA189" s="10">
        <f t="shared" si="133"/>
        <v>-2.6020833333334058E-3</v>
      </c>
      <c r="CB189" s="10">
        <f t="shared" si="134"/>
        <v>9.9999999999995145E-4</v>
      </c>
      <c r="CC189" s="10">
        <f t="shared" si="135"/>
        <v>-9.5902777777786305E-4</v>
      </c>
      <c r="CD189" s="10">
        <f t="shared" si="136"/>
        <v>-1.4013888888889535E-3</v>
      </c>
      <c r="CE189" s="10">
        <f t="shared" si="137"/>
        <v>1.821527777777723E-3</v>
      </c>
      <c r="CF189" s="10">
        <f t="shared" si="138"/>
        <v>4.9444444444445164E-4</v>
      </c>
      <c r="CG189" s="10">
        <f t="shared" si="139"/>
        <v>-2.5388888888888844E-3</v>
      </c>
      <c r="CH189" s="10">
        <f t="shared" si="140"/>
        <v>-1.7805555555556346E-3</v>
      </c>
      <c r="CI189" s="10">
        <f t="shared" si="141"/>
        <v>-4.4347222222222895E-3</v>
      </c>
      <c r="CJ189" s="10">
        <f t="shared" si="142"/>
        <v>-1.5277777777777722E-3</v>
      </c>
      <c r="CK189" s="10">
        <f t="shared" si="143"/>
        <v>-3.8027777777778584E-3</v>
      </c>
      <c r="CL189" s="10">
        <f t="shared" si="144"/>
        <v>4.9444444444445164E-4</v>
      </c>
      <c r="CM189" s="10">
        <f t="shared" si="145"/>
        <v>-3.3604166666666557E-3</v>
      </c>
      <c r="CN189" s="10">
        <f t="shared" si="146"/>
        <v>-2.0965277777777939E-3</v>
      </c>
      <c r="CO189" s="10">
        <f t="shared" si="147"/>
        <v>4.9444444444445164E-4</v>
      </c>
      <c r="CP189" s="10">
        <f t="shared" si="148"/>
        <v>-2.0965277777777939E-3</v>
      </c>
      <c r="CQ189" s="10">
        <f t="shared" si="149"/>
        <v>7.4722222222220155E-4</v>
      </c>
      <c r="CR189" s="10">
        <f t="shared" si="150"/>
        <v>-5.7986111111118198E-4</v>
      </c>
      <c r="CS189" s="10">
        <f t="shared" si="151"/>
        <v>-1.3750000000009157E-4</v>
      </c>
      <c r="CT189" s="10">
        <f t="shared" si="152"/>
        <v>1.5687499999999729E-3</v>
      </c>
      <c r="CU189" s="10">
        <f t="shared" si="153"/>
        <v>-7.7840277777777847E-3</v>
      </c>
      <c r="CV189" s="10">
        <f t="shared" si="154"/>
        <v>-5.1930555555555393E-3</v>
      </c>
      <c r="CW189" s="10">
        <f t="shared" si="155"/>
        <v>-2.7284722222222246E-3</v>
      </c>
      <c r="CX189" s="10">
        <f t="shared" si="156"/>
        <v>-1.1111111111160463E-5</v>
      </c>
      <c r="CY189" s="10">
        <f t="shared" si="157"/>
        <v>2.2638888888888136E-3</v>
      </c>
      <c r="CZ189" s="10">
        <f t="shared" si="158"/>
        <v>3.6805555555552053E-4</v>
      </c>
      <c r="DA189" s="10">
        <f t="shared" si="159"/>
        <v>-8.3263888888893188E-4</v>
      </c>
      <c r="DB189" s="10">
        <f t="shared" si="160"/>
        <v>-4.3083333333333584E-3</v>
      </c>
      <c r="DC189" s="10">
        <f t="shared" si="161"/>
        <v>1.1263888888888825E-3</v>
      </c>
      <c r="DD189" s="10">
        <f t="shared" si="162"/>
        <v>-3.9923611111111991E-3</v>
      </c>
      <c r="DE189" s="10">
        <f t="shared" si="163"/>
        <v>9.9999999999995145E-4</v>
      </c>
      <c r="DF189" s="10">
        <f t="shared" si="164"/>
        <v>1.1263888888888825E-3</v>
      </c>
      <c r="DG189" s="10">
        <f t="shared" si="165"/>
        <v>-6.4569444444445134E-3</v>
      </c>
      <c r="DH189" s="10">
        <f t="shared" si="166"/>
        <v>5.5763888888886112E-4</v>
      </c>
      <c r="DI189" s="10">
        <f t="shared" si="167"/>
        <v>-2.9812500000000871E-3</v>
      </c>
      <c r="DJ189" s="10">
        <f t="shared" si="168"/>
        <v>1.5055555555555636E-3</v>
      </c>
      <c r="DK189" s="10">
        <f t="shared" si="169"/>
        <v>-8.3263888888893188E-4</v>
      </c>
      <c r="DL189" s="10">
        <f t="shared" si="170"/>
        <v>-3.1076388888889059E-3</v>
      </c>
      <c r="DM189" s="10">
        <f t="shared" si="171"/>
        <v>-6.4569444444445134E-3</v>
      </c>
      <c r="DN189" s="10">
        <f t="shared" si="172"/>
        <v>-2.0069444444450096E-4</v>
      </c>
      <c r="DO189" s="10">
        <f t="shared" si="173"/>
        <v>-2.7284722222222246E-3</v>
      </c>
      <c r="DP189" s="10">
        <f t="shared" si="174"/>
        <v>7.4722222222220155E-4</v>
      </c>
      <c r="DQ189" s="10">
        <f t="shared" si="175"/>
        <v>-3.3604166666666557E-3</v>
      </c>
      <c r="DR189" s="10">
        <f t="shared" si="176"/>
        <v>-1.0854166666666818E-3</v>
      </c>
      <c r="DS189" s="10">
        <f t="shared" si="177"/>
        <v>-8.5423611111111464E-3</v>
      </c>
      <c r="DT189" s="10">
        <f t="shared" si="178"/>
        <v>-3.2972222222222465E-3</v>
      </c>
      <c r="DU189" s="10">
        <f t="shared" si="179"/>
        <v>-6.4305555555559145E-4</v>
      </c>
      <c r="DV189" s="10">
        <f t="shared" si="180"/>
        <v>-4.4979166666666986E-3</v>
      </c>
      <c r="DW189" s="10">
        <f t="shared" si="181"/>
        <v>-5.4458333333334014E-3</v>
      </c>
    </row>
    <row r="190" spans="2:127" x14ac:dyDescent="0.45">
      <c r="B190" s="1">
        <v>24</v>
      </c>
      <c r="C190" s="1">
        <v>2715</v>
      </c>
      <c r="D190" s="7">
        <f t="shared" si="182"/>
        <v>15.912087912087912</v>
      </c>
      <c r="E190" s="1">
        <v>15.840999999999999</v>
      </c>
      <c r="F190" s="1">
        <v>15.909000000000001</v>
      </c>
      <c r="G190" s="1">
        <v>15.917999999999999</v>
      </c>
      <c r="H190" s="1">
        <v>15.819000000000001</v>
      </c>
      <c r="I190" s="1">
        <v>15.874000000000001</v>
      </c>
      <c r="J190" s="1">
        <v>15.872</v>
      </c>
      <c r="K190" s="1">
        <v>15.996</v>
      </c>
      <c r="L190" s="1">
        <v>15.847</v>
      </c>
      <c r="M190" s="1">
        <v>15.944000000000001</v>
      </c>
      <c r="N190" s="1">
        <v>15.942</v>
      </c>
      <c r="O190" s="1">
        <v>15.885999999999999</v>
      </c>
      <c r="P190" s="1">
        <v>15.87</v>
      </c>
      <c r="Q190" s="1">
        <v>15.927</v>
      </c>
      <c r="R190" s="1">
        <v>15.894</v>
      </c>
      <c r="S190" s="1">
        <v>15.89</v>
      </c>
      <c r="T190" s="1">
        <v>15.942</v>
      </c>
      <c r="U190" s="1">
        <v>15.917999999999999</v>
      </c>
      <c r="V190" s="1">
        <v>15.871</v>
      </c>
      <c r="W190" s="1">
        <v>15.885</v>
      </c>
      <c r="X190" s="1">
        <v>15.84</v>
      </c>
      <c r="Y190" s="1">
        <v>15.887</v>
      </c>
      <c r="Z190" s="1">
        <v>15.852</v>
      </c>
      <c r="AA190" s="1">
        <v>15.920999999999999</v>
      </c>
      <c r="AB190" s="1">
        <v>15.856999999999999</v>
      </c>
      <c r="AC190" s="1">
        <v>15.878</v>
      </c>
      <c r="AD190" s="1">
        <v>15.92</v>
      </c>
      <c r="AE190" s="1">
        <v>15.879</v>
      </c>
      <c r="AF190" s="1">
        <v>15.920999999999999</v>
      </c>
      <c r="AG190" s="1">
        <v>15.901999999999999</v>
      </c>
      <c r="AH190" s="1">
        <v>15.912000000000001</v>
      </c>
      <c r="AI190" s="1">
        <v>15.936999999999999</v>
      </c>
      <c r="AJ190" s="1">
        <v>15.787000000000001</v>
      </c>
      <c r="AK190" s="1">
        <v>15.83</v>
      </c>
      <c r="AL190" s="1">
        <v>15.867000000000001</v>
      </c>
      <c r="AM190" s="1">
        <v>15.913</v>
      </c>
      <c r="AN190" s="1">
        <v>15.946</v>
      </c>
      <c r="AO190" s="1">
        <v>15.917999999999999</v>
      </c>
      <c r="AP190" s="1">
        <v>15.898</v>
      </c>
      <c r="AQ190" s="1">
        <v>15.843999999999999</v>
      </c>
      <c r="AR190" s="1">
        <v>15.928000000000001</v>
      </c>
      <c r="AS190" s="1">
        <v>15.848000000000001</v>
      </c>
      <c r="AT190" s="1">
        <v>15.929</v>
      </c>
      <c r="AU190" s="1">
        <v>15.932</v>
      </c>
      <c r="AV190" s="1">
        <v>15.807</v>
      </c>
      <c r="AW190" s="1">
        <v>15.92</v>
      </c>
      <c r="AX190" s="1">
        <v>15.866</v>
      </c>
      <c r="AY190" s="1">
        <v>15.935</v>
      </c>
      <c r="AZ190" s="1">
        <v>15.898999999999999</v>
      </c>
      <c r="BA190" s="1">
        <v>15.86</v>
      </c>
      <c r="BB190" s="1">
        <v>15.805</v>
      </c>
      <c r="BC190" s="1">
        <v>15.909000000000001</v>
      </c>
      <c r="BD190" s="1">
        <v>15.868</v>
      </c>
      <c r="BE190" s="1">
        <v>15.923</v>
      </c>
      <c r="BF190" s="1">
        <v>15.856999999999999</v>
      </c>
      <c r="BG190" s="1">
        <v>15.897</v>
      </c>
      <c r="BH190" s="1">
        <v>15.776</v>
      </c>
      <c r="BI190" s="1">
        <v>15.86</v>
      </c>
      <c r="BJ190" s="1">
        <v>15.901</v>
      </c>
      <c r="BK190" s="1">
        <v>15.832000000000001</v>
      </c>
      <c r="BL190" s="1">
        <v>15.826000000000001</v>
      </c>
      <c r="BN190" s="9">
        <v>24</v>
      </c>
      <c r="BO190" s="9">
        <v>2715</v>
      </c>
      <c r="BP190" s="10">
        <f t="shared" si="122"/>
        <v>-4.4675414364641515E-3</v>
      </c>
      <c r="BQ190" s="10">
        <f t="shared" si="123"/>
        <v>-1.9406077348063885E-4</v>
      </c>
      <c r="BR190" s="10">
        <f t="shared" si="124"/>
        <v>3.7154696132590077E-4</v>
      </c>
      <c r="BS190" s="10">
        <f t="shared" si="125"/>
        <v>-5.8501381215469283E-3</v>
      </c>
      <c r="BT190" s="10">
        <f t="shared" si="126"/>
        <v>-2.3936464088397638E-3</v>
      </c>
      <c r="BU190" s="10">
        <f t="shared" si="127"/>
        <v>-2.5193370165746123E-3</v>
      </c>
      <c r="BV190" s="10">
        <f t="shared" si="128"/>
        <v>5.2734806629834334E-3</v>
      </c>
      <c r="BW190" s="10">
        <f t="shared" si="129"/>
        <v>-4.0904696132597175E-3</v>
      </c>
      <c r="BX190" s="10">
        <f t="shared" si="130"/>
        <v>2.005524861878486E-3</v>
      </c>
      <c r="BY190" s="10">
        <f t="shared" si="131"/>
        <v>1.8798342541436375E-3</v>
      </c>
      <c r="BZ190" s="10">
        <f t="shared" si="132"/>
        <v>-1.6395027624310071E-3</v>
      </c>
      <c r="CA190" s="10">
        <f t="shared" si="133"/>
        <v>-2.6450276243094608E-3</v>
      </c>
      <c r="CB190" s="10">
        <f t="shared" si="134"/>
        <v>9.3715469613255204E-4</v>
      </c>
      <c r="CC190" s="10">
        <f t="shared" si="135"/>
        <v>-1.1367403314917243E-3</v>
      </c>
      <c r="CD190" s="10">
        <f t="shared" si="136"/>
        <v>-1.3881215469613098E-3</v>
      </c>
      <c r="CE190" s="10">
        <f t="shared" si="137"/>
        <v>1.8798342541436375E-3</v>
      </c>
      <c r="CF190" s="10">
        <f t="shared" si="138"/>
        <v>3.7154696132590077E-4</v>
      </c>
      <c r="CG190" s="10">
        <f t="shared" si="139"/>
        <v>-2.5821823204419808E-3</v>
      </c>
      <c r="CH190" s="10">
        <f t="shared" si="140"/>
        <v>-1.7023480662983754E-3</v>
      </c>
      <c r="CI190" s="10">
        <f t="shared" si="141"/>
        <v>-4.53038674033152E-3</v>
      </c>
      <c r="CJ190" s="10">
        <f t="shared" si="142"/>
        <v>-1.576657458563527E-3</v>
      </c>
      <c r="CK190" s="10">
        <f t="shared" si="143"/>
        <v>-3.7762430939226516E-3</v>
      </c>
      <c r="CL190" s="10">
        <f t="shared" si="144"/>
        <v>5.6008287292811786E-4</v>
      </c>
      <c r="CM190" s="10">
        <f t="shared" si="145"/>
        <v>-3.4620165745856976E-3</v>
      </c>
      <c r="CN190" s="10">
        <f t="shared" si="146"/>
        <v>-2.1422651933701783E-3</v>
      </c>
      <c r="CO190" s="10">
        <f t="shared" si="147"/>
        <v>4.9723756906074935E-4</v>
      </c>
      <c r="CP190" s="10">
        <f t="shared" si="148"/>
        <v>-2.0794198895028098E-3</v>
      </c>
      <c r="CQ190" s="10">
        <f t="shared" si="149"/>
        <v>5.6008287292811786E-4</v>
      </c>
      <c r="CR190" s="10">
        <f t="shared" si="150"/>
        <v>-6.3397790055255319E-4</v>
      </c>
      <c r="CS190" s="10">
        <f t="shared" si="151"/>
        <v>-5.5248618784217608E-6</v>
      </c>
      <c r="CT190" s="10">
        <f t="shared" si="152"/>
        <v>1.5656077348065718E-3</v>
      </c>
      <c r="CU190" s="10">
        <f t="shared" si="153"/>
        <v>-7.861187845303836E-3</v>
      </c>
      <c r="CV190" s="10">
        <f t="shared" si="154"/>
        <v>-5.1588397790055399E-3</v>
      </c>
      <c r="CW190" s="10">
        <f t="shared" si="155"/>
        <v>-2.8335635359115663E-3</v>
      </c>
      <c r="CX190" s="10">
        <f t="shared" si="156"/>
        <v>5.7320441988946724E-5</v>
      </c>
      <c r="CY190" s="10">
        <f t="shared" si="157"/>
        <v>2.131215469613223E-3</v>
      </c>
      <c r="CZ190" s="10">
        <f t="shared" si="158"/>
        <v>3.7154696132590077E-4</v>
      </c>
      <c r="DA190" s="10">
        <f t="shared" si="159"/>
        <v>-8.8535911602213868E-4</v>
      </c>
      <c r="DB190" s="10">
        <f t="shared" si="160"/>
        <v>-4.279005524861935E-3</v>
      </c>
      <c r="DC190" s="10">
        <f t="shared" si="161"/>
        <v>1.0000000000000321E-3</v>
      </c>
      <c r="DD190" s="10">
        <f t="shared" si="162"/>
        <v>-4.0276243093922371E-3</v>
      </c>
      <c r="DE190" s="10">
        <f t="shared" si="163"/>
        <v>1.0628453038674006E-3</v>
      </c>
      <c r="DF190" s="10">
        <f t="shared" si="164"/>
        <v>1.2513812154696178E-3</v>
      </c>
      <c r="DG190" s="10">
        <f t="shared" si="165"/>
        <v>-6.6042817679557962E-3</v>
      </c>
      <c r="DH190" s="10">
        <f t="shared" si="166"/>
        <v>4.9723756906074935E-4</v>
      </c>
      <c r="DI190" s="10">
        <f t="shared" si="167"/>
        <v>-2.8964088397790467E-3</v>
      </c>
      <c r="DJ190" s="10">
        <f t="shared" si="168"/>
        <v>1.4399171270718348E-3</v>
      </c>
      <c r="DK190" s="10">
        <f t="shared" si="169"/>
        <v>-8.2251381215477017E-4</v>
      </c>
      <c r="DL190" s="10">
        <f t="shared" si="170"/>
        <v>-3.2734806629834807E-3</v>
      </c>
      <c r="DM190" s="10">
        <f t="shared" si="171"/>
        <v>-6.7299723756906451E-3</v>
      </c>
      <c r="DN190" s="10">
        <f t="shared" si="172"/>
        <v>-1.9406077348063885E-4</v>
      </c>
      <c r="DO190" s="10">
        <f t="shared" si="173"/>
        <v>-2.7707182320441978E-3</v>
      </c>
      <c r="DP190" s="10">
        <f t="shared" si="174"/>
        <v>6.8577348066296644E-4</v>
      </c>
      <c r="DQ190" s="10">
        <f t="shared" si="175"/>
        <v>-3.4620165745856976E-3</v>
      </c>
      <c r="DR190" s="10">
        <f t="shared" si="176"/>
        <v>-9.4820441988950719E-4</v>
      </c>
      <c r="DS190" s="10">
        <f t="shared" si="177"/>
        <v>-8.5524861878453363E-3</v>
      </c>
      <c r="DT190" s="10">
        <f t="shared" si="178"/>
        <v>-3.2734806629834807E-3</v>
      </c>
      <c r="DU190" s="10">
        <f t="shared" si="179"/>
        <v>-6.9682320441992159E-4</v>
      </c>
      <c r="DV190" s="10">
        <f t="shared" si="180"/>
        <v>-5.033149171270691E-3</v>
      </c>
      <c r="DW190" s="10">
        <f t="shared" si="181"/>
        <v>-5.4102209944751258E-3</v>
      </c>
    </row>
    <row r="191" spans="2:127" x14ac:dyDescent="0.45">
      <c r="B191" s="1">
        <v>24</v>
      </c>
      <c r="C191" s="1">
        <v>2730</v>
      </c>
      <c r="D191" s="7">
        <f t="shared" si="182"/>
        <v>16</v>
      </c>
      <c r="E191" s="1">
        <v>15.927</v>
      </c>
      <c r="F191" s="1">
        <v>15.997</v>
      </c>
      <c r="G191" s="1">
        <v>16.007000000000001</v>
      </c>
      <c r="H191" s="1">
        <v>15.907999999999999</v>
      </c>
      <c r="I191" s="1">
        <v>15.962999999999999</v>
      </c>
      <c r="J191" s="1">
        <v>15.962</v>
      </c>
      <c r="K191" s="1">
        <v>16.084</v>
      </c>
      <c r="L191" s="1">
        <v>15.932</v>
      </c>
      <c r="M191" s="1">
        <v>16.030999999999999</v>
      </c>
      <c r="N191" s="1">
        <v>16.03</v>
      </c>
      <c r="O191" s="1">
        <v>15.971</v>
      </c>
      <c r="P191" s="1">
        <v>15.956</v>
      </c>
      <c r="Q191" s="1">
        <v>16.015000000000001</v>
      </c>
      <c r="R191" s="1">
        <v>15.978999999999999</v>
      </c>
      <c r="S191" s="1">
        <v>15.978999999999999</v>
      </c>
      <c r="T191" s="1">
        <v>16.030999999999999</v>
      </c>
      <c r="U191" s="1">
        <v>16.004999999999999</v>
      </c>
      <c r="V191" s="1">
        <v>15.959</v>
      </c>
      <c r="W191" s="1">
        <v>15.971</v>
      </c>
      <c r="X191" s="1">
        <v>15.928000000000001</v>
      </c>
      <c r="Y191" s="1">
        <v>15.975</v>
      </c>
      <c r="Z191" s="1">
        <v>15.939</v>
      </c>
      <c r="AA191" s="1">
        <v>16.007000000000001</v>
      </c>
      <c r="AB191" s="1">
        <v>15.942</v>
      </c>
      <c r="AC191" s="1">
        <v>15.965999999999999</v>
      </c>
      <c r="AD191" s="1">
        <v>16.007999999999999</v>
      </c>
      <c r="AE191" s="1">
        <v>15.967000000000001</v>
      </c>
      <c r="AF191" s="1">
        <v>16.009</v>
      </c>
      <c r="AG191" s="1">
        <v>15.989000000000001</v>
      </c>
      <c r="AH191" s="1">
        <v>15.997999999999999</v>
      </c>
      <c r="AI191" s="1">
        <v>16.024000000000001</v>
      </c>
      <c r="AJ191" s="1">
        <v>15.875</v>
      </c>
      <c r="AK191" s="1">
        <v>15.916</v>
      </c>
      <c r="AL191" s="1">
        <v>15.954000000000001</v>
      </c>
      <c r="AM191" s="1">
        <v>16.001000000000001</v>
      </c>
      <c r="AN191" s="1">
        <v>16.032</v>
      </c>
      <c r="AO191" s="1">
        <v>16.004999999999999</v>
      </c>
      <c r="AP191" s="1">
        <v>15.986000000000001</v>
      </c>
      <c r="AQ191" s="1">
        <v>15.932</v>
      </c>
      <c r="AR191" s="1">
        <v>16.015000000000001</v>
      </c>
      <c r="AS191" s="1">
        <v>15.935</v>
      </c>
      <c r="AT191" s="1">
        <v>16.018999999999998</v>
      </c>
      <c r="AU191" s="1">
        <v>16.021999999999998</v>
      </c>
      <c r="AV191" s="1">
        <v>15.891</v>
      </c>
      <c r="AW191" s="1">
        <v>16.007999999999999</v>
      </c>
      <c r="AX191" s="1">
        <v>15.952</v>
      </c>
      <c r="AY191" s="1">
        <v>16.02</v>
      </c>
      <c r="AZ191" s="1">
        <v>15.989000000000001</v>
      </c>
      <c r="BA191" s="1">
        <v>15.948</v>
      </c>
      <c r="BB191" s="1">
        <v>15.895</v>
      </c>
      <c r="BC191" s="1">
        <v>15.997</v>
      </c>
      <c r="BD191" s="1">
        <v>15.954000000000001</v>
      </c>
      <c r="BE191" s="1">
        <v>16.012</v>
      </c>
      <c r="BF191" s="1">
        <v>15.948</v>
      </c>
      <c r="BG191" s="1">
        <v>15.981999999999999</v>
      </c>
      <c r="BH191" s="1">
        <v>15.868</v>
      </c>
      <c r="BI191" s="1">
        <v>15.946999999999999</v>
      </c>
      <c r="BJ191" s="1">
        <v>15.988</v>
      </c>
      <c r="BK191" s="1">
        <v>15.927</v>
      </c>
      <c r="BL191" s="1">
        <v>15.914</v>
      </c>
      <c r="BN191" s="9">
        <v>24</v>
      </c>
      <c r="BO191" s="9">
        <v>2730</v>
      </c>
      <c r="BP191" s="10">
        <f t="shared" si="122"/>
        <v>-4.5625000000000249E-3</v>
      </c>
      <c r="BQ191" s="10">
        <f t="shared" si="123"/>
        <v>-1.8750000000000711E-4</v>
      </c>
      <c r="BR191" s="10">
        <f t="shared" si="124"/>
        <v>4.3750000000009059E-4</v>
      </c>
      <c r="BS191" s="10">
        <f t="shared" si="125"/>
        <v>-5.7500000000000329E-3</v>
      </c>
      <c r="BT191" s="10">
        <f t="shared" si="126"/>
        <v>-2.3125000000000506E-3</v>
      </c>
      <c r="BU191" s="10">
        <f t="shared" si="127"/>
        <v>-2.375000000000016E-3</v>
      </c>
      <c r="BV191" s="10">
        <f t="shared" si="128"/>
        <v>5.2499999999999769E-3</v>
      </c>
      <c r="BW191" s="10">
        <f t="shared" si="129"/>
        <v>-4.249999999999976E-3</v>
      </c>
      <c r="BX191" s="10">
        <f t="shared" si="130"/>
        <v>1.9374999999999254E-3</v>
      </c>
      <c r="BY191" s="10">
        <f t="shared" si="131"/>
        <v>1.8750000000000711E-3</v>
      </c>
      <c r="BZ191" s="10">
        <f t="shared" si="132"/>
        <v>-1.8124999999999947E-3</v>
      </c>
      <c r="CA191" s="10">
        <f t="shared" si="133"/>
        <v>-2.7500000000000302E-3</v>
      </c>
      <c r="CB191" s="10">
        <f t="shared" si="134"/>
        <v>9.3750000000003553E-4</v>
      </c>
      <c r="CC191" s="10">
        <f t="shared" si="135"/>
        <v>-1.3125000000000497E-3</v>
      </c>
      <c r="CD191" s="10">
        <f t="shared" si="136"/>
        <v>-1.3125000000000497E-3</v>
      </c>
      <c r="CE191" s="10">
        <f t="shared" si="137"/>
        <v>1.9374999999999254E-3</v>
      </c>
      <c r="CF191" s="10">
        <f t="shared" si="138"/>
        <v>3.1249999999993783E-4</v>
      </c>
      <c r="CG191" s="10">
        <f t="shared" si="139"/>
        <v>-2.5625000000000231E-3</v>
      </c>
      <c r="CH191" s="10">
        <f t="shared" si="140"/>
        <v>-1.8124999999999947E-3</v>
      </c>
      <c r="CI191" s="10">
        <f t="shared" si="141"/>
        <v>-4.4999999999999485E-3</v>
      </c>
      <c r="CJ191" s="10">
        <f t="shared" si="142"/>
        <v>-1.5625000000000222E-3</v>
      </c>
      <c r="CK191" s="10">
        <f t="shared" si="143"/>
        <v>-3.8124999999999964E-3</v>
      </c>
      <c r="CL191" s="10">
        <f t="shared" si="144"/>
        <v>4.3750000000009059E-4</v>
      </c>
      <c r="CM191" s="10">
        <f t="shared" si="145"/>
        <v>-3.6249999999999893E-3</v>
      </c>
      <c r="CN191" s="10">
        <f t="shared" si="146"/>
        <v>-2.1250000000000435E-3</v>
      </c>
      <c r="CO191" s="10">
        <f t="shared" si="147"/>
        <v>4.9999999999994493E-4</v>
      </c>
      <c r="CP191" s="10">
        <f t="shared" si="148"/>
        <v>-2.0624999999999671E-3</v>
      </c>
      <c r="CQ191" s="10">
        <f t="shared" si="149"/>
        <v>5.6250000000002132E-4</v>
      </c>
      <c r="CR191" s="10">
        <f t="shared" si="150"/>
        <v>-6.8749999999995204E-4</v>
      </c>
      <c r="CS191" s="10">
        <f t="shared" si="151"/>
        <v>-1.2500000000004174E-4</v>
      </c>
      <c r="CT191" s="10">
        <f t="shared" si="152"/>
        <v>1.5000000000000568E-3</v>
      </c>
      <c r="CU191" s="10">
        <f t="shared" si="153"/>
        <v>-7.8125E-3</v>
      </c>
      <c r="CV191" s="10">
        <f t="shared" si="154"/>
        <v>-5.2499999999999769E-3</v>
      </c>
      <c r="CW191" s="10">
        <f t="shared" si="155"/>
        <v>-2.8749999999999609E-3</v>
      </c>
      <c r="CX191" s="10">
        <f t="shared" si="156"/>
        <v>6.2500000000076383E-5</v>
      </c>
      <c r="CY191" s="10">
        <f t="shared" si="157"/>
        <v>2.0000000000000018E-3</v>
      </c>
      <c r="CZ191" s="10">
        <f t="shared" si="158"/>
        <v>3.1249999999993783E-4</v>
      </c>
      <c r="DA191" s="10">
        <f t="shared" si="159"/>
        <v>-8.7499999999995914E-4</v>
      </c>
      <c r="DB191" s="10">
        <f t="shared" si="160"/>
        <v>-4.249999999999976E-3</v>
      </c>
      <c r="DC191" s="10">
        <f t="shared" si="161"/>
        <v>9.3750000000003553E-4</v>
      </c>
      <c r="DD191" s="10">
        <f t="shared" si="162"/>
        <v>-4.0624999999999689E-3</v>
      </c>
      <c r="DE191" s="10">
        <f t="shared" si="163"/>
        <v>1.187499999999897E-3</v>
      </c>
      <c r="DF191" s="10">
        <f t="shared" si="164"/>
        <v>1.3749999999999041E-3</v>
      </c>
      <c r="DG191" s="10">
        <f t="shared" si="165"/>
        <v>-6.8124999999999991E-3</v>
      </c>
      <c r="DH191" s="10">
        <f t="shared" si="166"/>
        <v>4.9999999999994493E-4</v>
      </c>
      <c r="DI191" s="10">
        <f t="shared" si="167"/>
        <v>-3.0000000000000027E-3</v>
      </c>
      <c r="DJ191" s="10">
        <f t="shared" si="168"/>
        <v>1.2499999999999734E-3</v>
      </c>
      <c r="DK191" s="10">
        <f t="shared" si="169"/>
        <v>-6.8749999999995204E-4</v>
      </c>
      <c r="DL191" s="10">
        <f t="shared" si="170"/>
        <v>-3.2499999999999751E-3</v>
      </c>
      <c r="DM191" s="10">
        <f t="shared" si="171"/>
        <v>-6.5625000000000266E-3</v>
      </c>
      <c r="DN191" s="10">
        <f t="shared" si="172"/>
        <v>-1.8750000000000711E-4</v>
      </c>
      <c r="DO191" s="10">
        <f t="shared" si="173"/>
        <v>-2.8749999999999609E-3</v>
      </c>
      <c r="DP191" s="10">
        <f t="shared" si="174"/>
        <v>7.5000000000002842E-4</v>
      </c>
      <c r="DQ191" s="10">
        <f t="shared" si="175"/>
        <v>-3.2499999999999751E-3</v>
      </c>
      <c r="DR191" s="10">
        <f t="shared" si="176"/>
        <v>-1.1250000000000426E-3</v>
      </c>
      <c r="DS191" s="10">
        <f t="shared" si="177"/>
        <v>-8.2499999999999796E-3</v>
      </c>
      <c r="DT191" s="10">
        <f t="shared" si="178"/>
        <v>-3.3125000000000515E-3</v>
      </c>
      <c r="DU191" s="10">
        <f t="shared" si="179"/>
        <v>-7.5000000000002842E-4</v>
      </c>
      <c r="DV191" s="10">
        <f t="shared" si="180"/>
        <v>-4.5625000000000249E-3</v>
      </c>
      <c r="DW191" s="10">
        <f t="shared" si="181"/>
        <v>-5.3750000000000187E-3</v>
      </c>
    </row>
    <row r="192" spans="2:127" x14ac:dyDescent="0.45">
      <c r="B192" s="1">
        <v>24</v>
      </c>
      <c r="C192" s="1">
        <v>2745</v>
      </c>
      <c r="D192" s="7">
        <f t="shared" si="182"/>
        <v>16.087912087912088</v>
      </c>
      <c r="E192" s="1">
        <v>16.015999999999998</v>
      </c>
      <c r="F192" s="1">
        <v>16.085000000000001</v>
      </c>
      <c r="G192" s="1">
        <v>16.093</v>
      </c>
      <c r="H192" s="1">
        <v>15.994</v>
      </c>
      <c r="I192" s="1">
        <v>16.05</v>
      </c>
      <c r="J192" s="1">
        <v>16.048999999999999</v>
      </c>
      <c r="K192" s="1">
        <v>16.172999999999998</v>
      </c>
      <c r="L192" s="1">
        <v>16.013000000000002</v>
      </c>
      <c r="M192" s="1">
        <v>16.117999999999999</v>
      </c>
      <c r="N192" s="1">
        <v>16.117999999999999</v>
      </c>
      <c r="O192" s="1">
        <v>16.061</v>
      </c>
      <c r="P192" s="1">
        <v>16.045000000000002</v>
      </c>
      <c r="Q192" s="1">
        <v>16.103000000000002</v>
      </c>
      <c r="R192" s="1">
        <v>16.065000000000001</v>
      </c>
      <c r="S192" s="1">
        <v>16.068000000000001</v>
      </c>
      <c r="T192" s="1">
        <v>16.117999999999999</v>
      </c>
      <c r="U192" s="1">
        <v>16.091000000000001</v>
      </c>
      <c r="V192" s="1">
        <v>16.045000000000002</v>
      </c>
      <c r="W192" s="1">
        <v>16.058</v>
      </c>
      <c r="X192" s="1">
        <v>16.010999999999999</v>
      </c>
      <c r="Y192" s="1">
        <v>16.064</v>
      </c>
      <c r="Z192" s="1">
        <v>16.026</v>
      </c>
      <c r="AA192" s="1">
        <v>16.093</v>
      </c>
      <c r="AB192" s="1">
        <v>16.027999999999999</v>
      </c>
      <c r="AC192" s="1">
        <v>16.055</v>
      </c>
      <c r="AD192" s="1">
        <v>16.096</v>
      </c>
      <c r="AE192" s="1">
        <v>16.053999999999998</v>
      </c>
      <c r="AF192" s="1">
        <v>16.097000000000001</v>
      </c>
      <c r="AG192" s="1">
        <v>16.077000000000002</v>
      </c>
      <c r="AH192" s="1">
        <v>16.088000000000001</v>
      </c>
      <c r="AI192" s="1">
        <v>16.114000000000001</v>
      </c>
      <c r="AJ192" s="1">
        <v>15.961</v>
      </c>
      <c r="AK192" s="1">
        <v>16</v>
      </c>
      <c r="AL192" s="1">
        <v>16.042000000000002</v>
      </c>
      <c r="AM192" s="1">
        <v>16.088000000000001</v>
      </c>
      <c r="AN192" s="1">
        <v>16.120999999999999</v>
      </c>
      <c r="AO192" s="1">
        <v>16.093</v>
      </c>
      <c r="AP192" s="1">
        <v>16.076000000000001</v>
      </c>
      <c r="AQ192" s="1">
        <v>16.021999999999998</v>
      </c>
      <c r="AR192" s="1">
        <v>16.102</v>
      </c>
      <c r="AS192" s="1">
        <v>16.021999999999998</v>
      </c>
      <c r="AT192" s="1">
        <v>16.106000000000002</v>
      </c>
      <c r="AU192" s="1">
        <v>16.11</v>
      </c>
      <c r="AV192" s="1">
        <v>15.977</v>
      </c>
      <c r="AW192" s="1">
        <v>16.096</v>
      </c>
      <c r="AX192" s="1">
        <v>16.039000000000001</v>
      </c>
      <c r="AY192" s="1">
        <v>16.108000000000001</v>
      </c>
      <c r="AZ192" s="1">
        <v>16.079000000000001</v>
      </c>
      <c r="BA192" s="1">
        <v>16.035</v>
      </c>
      <c r="BB192" s="1">
        <v>15.978999999999999</v>
      </c>
      <c r="BC192" s="1">
        <v>16.084</v>
      </c>
      <c r="BD192" s="1">
        <v>16.042999999999999</v>
      </c>
      <c r="BE192" s="1">
        <v>16.100000000000001</v>
      </c>
      <c r="BF192" s="1">
        <v>16.039000000000001</v>
      </c>
      <c r="BG192" s="1">
        <v>16.07</v>
      </c>
      <c r="BH192" s="1">
        <v>15.951000000000001</v>
      </c>
      <c r="BI192" s="1">
        <v>16.033999999999999</v>
      </c>
      <c r="BJ192" s="1">
        <v>16.073</v>
      </c>
      <c r="BK192" s="1">
        <v>16.010999999999999</v>
      </c>
      <c r="BL192" s="1">
        <v>16.004000000000001</v>
      </c>
      <c r="BN192" s="9">
        <v>24</v>
      </c>
      <c r="BO192" s="9">
        <v>2745</v>
      </c>
      <c r="BP192" s="10">
        <f t="shared" si="122"/>
        <v>-4.4699453551913472E-3</v>
      </c>
      <c r="BQ192" s="10">
        <f t="shared" si="123"/>
        <v>-1.8101092896167622E-4</v>
      </c>
      <c r="BR192" s="10">
        <f t="shared" si="124"/>
        <v>3.1625683060111057E-4</v>
      </c>
      <c r="BS192" s="10">
        <f t="shared" si="125"/>
        <v>-5.8374316939890656E-3</v>
      </c>
      <c r="BT192" s="10">
        <f t="shared" si="126"/>
        <v>-2.3565573770491168E-3</v>
      </c>
      <c r="BU192" s="10">
        <f t="shared" si="127"/>
        <v>-2.418715846994548E-3</v>
      </c>
      <c r="BV192" s="10">
        <f t="shared" si="128"/>
        <v>5.2889344262294202E-3</v>
      </c>
      <c r="BW192" s="10">
        <f t="shared" si="129"/>
        <v>-4.6564207650271992E-3</v>
      </c>
      <c r="BX192" s="10">
        <f t="shared" si="130"/>
        <v>1.8702185792349021E-3</v>
      </c>
      <c r="BY192" s="10">
        <f t="shared" si="131"/>
        <v>1.8702185792349021E-3</v>
      </c>
      <c r="BZ192" s="10">
        <f t="shared" si="132"/>
        <v>-1.6728142076502573E-3</v>
      </c>
      <c r="CA192" s="10">
        <f t="shared" si="133"/>
        <v>-2.6673497267758308E-3</v>
      </c>
      <c r="CB192" s="10">
        <f t="shared" si="134"/>
        <v>9.3784153005475965E-4</v>
      </c>
      <c r="CC192" s="10">
        <f t="shared" si="135"/>
        <v>-1.4241803278687536E-3</v>
      </c>
      <c r="CD192" s="10">
        <f t="shared" si="136"/>
        <v>-1.237704918032681E-3</v>
      </c>
      <c r="CE192" s="10">
        <f t="shared" si="137"/>
        <v>1.8702185792349021E-3</v>
      </c>
      <c r="CF192" s="10">
        <f t="shared" si="138"/>
        <v>1.9193989071046905E-4</v>
      </c>
      <c r="CG192" s="10">
        <f t="shared" si="139"/>
        <v>-2.6673497267758308E-3</v>
      </c>
      <c r="CH192" s="10">
        <f t="shared" si="140"/>
        <v>-1.8592896174863299E-3</v>
      </c>
      <c r="CI192" s="10">
        <f t="shared" si="141"/>
        <v>-4.7807377049180607E-3</v>
      </c>
      <c r="CJ192" s="10">
        <f t="shared" si="142"/>
        <v>-1.4863387978141848E-3</v>
      </c>
      <c r="CK192" s="10">
        <f t="shared" si="143"/>
        <v>-3.848360655737698E-3</v>
      </c>
      <c r="CL192" s="10">
        <f t="shared" si="144"/>
        <v>3.1625683060111057E-4</v>
      </c>
      <c r="CM192" s="10">
        <f t="shared" si="145"/>
        <v>-3.7240437158470563E-3</v>
      </c>
      <c r="CN192" s="10">
        <f t="shared" si="146"/>
        <v>-2.0457650273224028E-3</v>
      </c>
      <c r="CO192" s="10">
        <f t="shared" si="147"/>
        <v>5.0273224043718317E-4</v>
      </c>
      <c r="CP192" s="10">
        <f t="shared" si="148"/>
        <v>-2.1079234972678339E-3</v>
      </c>
      <c r="CQ192" s="10">
        <f t="shared" si="149"/>
        <v>5.6489071038261435E-4</v>
      </c>
      <c r="CR192" s="10">
        <f t="shared" si="150"/>
        <v>-6.7827868852446296E-4</v>
      </c>
      <c r="CS192" s="10">
        <f t="shared" si="151"/>
        <v>5.4644808743964197E-6</v>
      </c>
      <c r="CT192" s="10">
        <f t="shared" si="152"/>
        <v>1.6215846994536191E-3</v>
      </c>
      <c r="CU192" s="10">
        <f t="shared" si="153"/>
        <v>-7.8886612021857542E-3</v>
      </c>
      <c r="CV192" s="10">
        <f t="shared" si="154"/>
        <v>-5.4644808743169208E-3</v>
      </c>
      <c r="CW192" s="10">
        <f t="shared" si="155"/>
        <v>-2.8538251366119036E-3</v>
      </c>
      <c r="CX192" s="10">
        <f t="shared" si="156"/>
        <v>5.4644808743964197E-6</v>
      </c>
      <c r="CY192" s="10">
        <f t="shared" si="157"/>
        <v>2.0566939890709745E-3</v>
      </c>
      <c r="CZ192" s="10">
        <f t="shared" si="158"/>
        <v>3.1625683060111057E-4</v>
      </c>
      <c r="DA192" s="10">
        <f t="shared" si="159"/>
        <v>-7.4043715846989415E-4</v>
      </c>
      <c r="DB192" s="10">
        <f t="shared" si="160"/>
        <v>-4.0969945355192015E-3</v>
      </c>
      <c r="DC192" s="10">
        <f t="shared" si="161"/>
        <v>8.7568306010932847E-4</v>
      </c>
      <c r="DD192" s="10">
        <f t="shared" si="162"/>
        <v>-4.0969945355192015E-3</v>
      </c>
      <c r="DE192" s="10">
        <f t="shared" si="163"/>
        <v>1.1243169398908323E-3</v>
      </c>
      <c r="DF192" s="10">
        <f t="shared" si="164"/>
        <v>1.3729508196721153E-3</v>
      </c>
      <c r="DG192" s="10">
        <f t="shared" si="165"/>
        <v>-6.8941256830600704E-3</v>
      </c>
      <c r="DH192" s="10">
        <f t="shared" si="166"/>
        <v>5.0273224043718317E-4</v>
      </c>
      <c r="DI192" s="10">
        <f t="shared" si="167"/>
        <v>-3.0403005464479764E-3</v>
      </c>
      <c r="DJ192" s="10">
        <f t="shared" si="168"/>
        <v>1.2486338797814737E-3</v>
      </c>
      <c r="DK192" s="10">
        <f t="shared" si="169"/>
        <v>-5.5396174863382155E-4</v>
      </c>
      <c r="DL192" s="10">
        <f t="shared" si="170"/>
        <v>-3.28893442622948E-3</v>
      </c>
      <c r="DM192" s="10">
        <f t="shared" si="171"/>
        <v>-6.7698087431694292E-3</v>
      </c>
      <c r="DN192" s="10">
        <f t="shared" si="172"/>
        <v>-2.4316939890710738E-4</v>
      </c>
      <c r="DO192" s="10">
        <f t="shared" si="173"/>
        <v>-2.7916666666666931E-3</v>
      </c>
      <c r="DP192" s="10">
        <f t="shared" si="174"/>
        <v>7.5136612021868695E-4</v>
      </c>
      <c r="DQ192" s="10">
        <f t="shared" si="175"/>
        <v>-3.0403005464479764E-3</v>
      </c>
      <c r="DR192" s="10">
        <f t="shared" si="176"/>
        <v>-1.1133879781420393E-3</v>
      </c>
      <c r="DS192" s="10">
        <f t="shared" si="177"/>
        <v>-8.5102459016392924E-3</v>
      </c>
      <c r="DT192" s="10">
        <f t="shared" si="178"/>
        <v>-3.3510928961749111E-3</v>
      </c>
      <c r="DU192" s="10">
        <f t="shared" si="179"/>
        <v>-9.2691256830596685E-4</v>
      </c>
      <c r="DV192" s="10">
        <f t="shared" si="180"/>
        <v>-4.7807377049180607E-3</v>
      </c>
      <c r="DW192" s="10">
        <f t="shared" si="181"/>
        <v>-5.2158469945354164E-3</v>
      </c>
    </row>
    <row r="193" spans="2:127" x14ac:dyDescent="0.45">
      <c r="B193" s="1">
        <v>24</v>
      </c>
      <c r="C193" s="1">
        <v>2760</v>
      </c>
      <c r="D193" s="7">
        <f t="shared" si="182"/>
        <v>16.175824175824175</v>
      </c>
      <c r="E193" s="1">
        <v>16.102</v>
      </c>
      <c r="F193" s="1">
        <v>16.172000000000001</v>
      </c>
      <c r="G193" s="1">
        <v>16.18</v>
      </c>
      <c r="H193" s="1">
        <v>16.081</v>
      </c>
      <c r="I193" s="1">
        <v>16.138000000000002</v>
      </c>
      <c r="J193" s="1">
        <v>16.137</v>
      </c>
      <c r="K193" s="1">
        <v>16.262</v>
      </c>
      <c r="L193" s="1">
        <v>16.102</v>
      </c>
      <c r="M193" s="1">
        <v>16.206</v>
      </c>
      <c r="N193" s="1">
        <v>16.206</v>
      </c>
      <c r="O193" s="1">
        <v>16.149999999999999</v>
      </c>
      <c r="P193" s="1">
        <v>16.131</v>
      </c>
      <c r="Q193" s="1">
        <v>16.190999999999999</v>
      </c>
      <c r="R193" s="1">
        <v>16.149000000000001</v>
      </c>
      <c r="S193" s="1">
        <v>16.154</v>
      </c>
      <c r="T193" s="1">
        <v>16.206</v>
      </c>
      <c r="U193" s="1">
        <v>16.175999999999998</v>
      </c>
      <c r="V193" s="1">
        <v>16.132999999999999</v>
      </c>
      <c r="W193" s="1">
        <v>16.145</v>
      </c>
      <c r="X193" s="1">
        <v>16.100000000000001</v>
      </c>
      <c r="Y193" s="1">
        <v>16.149999999999999</v>
      </c>
      <c r="Z193" s="1">
        <v>16.111999999999998</v>
      </c>
      <c r="AA193" s="1">
        <v>16.18</v>
      </c>
      <c r="AB193" s="1">
        <v>16.116</v>
      </c>
      <c r="AC193" s="1">
        <v>16.143999999999998</v>
      </c>
      <c r="AD193" s="1">
        <v>16.183</v>
      </c>
      <c r="AE193" s="1">
        <v>16.140999999999998</v>
      </c>
      <c r="AF193" s="1">
        <v>16.184000000000001</v>
      </c>
      <c r="AG193" s="1">
        <v>16.167999999999999</v>
      </c>
      <c r="AH193" s="1">
        <v>16.175999999999998</v>
      </c>
      <c r="AI193" s="1">
        <v>16.199000000000002</v>
      </c>
      <c r="AJ193" s="1">
        <v>16.048999999999999</v>
      </c>
      <c r="AK193" s="1">
        <v>16.087</v>
      </c>
      <c r="AL193" s="1">
        <v>16.131</v>
      </c>
      <c r="AM193" s="1">
        <v>16.175999999999998</v>
      </c>
      <c r="AN193" s="1">
        <v>16.207000000000001</v>
      </c>
      <c r="AO193" s="1">
        <v>16.18</v>
      </c>
      <c r="AP193" s="1">
        <v>16.164000000000001</v>
      </c>
      <c r="AQ193" s="1">
        <v>16.108000000000001</v>
      </c>
      <c r="AR193" s="1">
        <v>16.187999999999999</v>
      </c>
      <c r="AS193" s="1">
        <v>16.108000000000001</v>
      </c>
      <c r="AT193" s="1">
        <v>16.193999999999999</v>
      </c>
      <c r="AU193" s="1">
        <v>16.199000000000002</v>
      </c>
      <c r="AV193" s="1">
        <v>16.064</v>
      </c>
      <c r="AW193" s="1">
        <v>16.183</v>
      </c>
      <c r="AX193" s="1">
        <v>16.126000000000001</v>
      </c>
      <c r="AY193" s="1">
        <v>16.195</v>
      </c>
      <c r="AZ193" s="1">
        <v>16.167000000000002</v>
      </c>
      <c r="BA193" s="1">
        <v>16.122</v>
      </c>
      <c r="BB193" s="1">
        <v>16.065999999999999</v>
      </c>
      <c r="BC193" s="1">
        <v>16.170999999999999</v>
      </c>
      <c r="BD193" s="1">
        <v>16.126999999999999</v>
      </c>
      <c r="BE193" s="1">
        <v>16.187999999999999</v>
      </c>
      <c r="BF193" s="1">
        <v>16.126000000000001</v>
      </c>
      <c r="BG193" s="1">
        <v>16.16</v>
      </c>
      <c r="BH193" s="1">
        <v>16.038</v>
      </c>
      <c r="BI193" s="1">
        <v>16.120999999999999</v>
      </c>
      <c r="BJ193" s="1">
        <v>16.161000000000001</v>
      </c>
      <c r="BK193" s="1">
        <v>16.100000000000001</v>
      </c>
      <c r="BL193" s="1">
        <v>16.091000000000001</v>
      </c>
      <c r="BN193" s="9">
        <v>24</v>
      </c>
      <c r="BO193" s="9">
        <v>2760</v>
      </c>
      <c r="BP193" s="10">
        <f t="shared" si="122"/>
        <v>-4.5638586956521163E-3</v>
      </c>
      <c r="BQ193" s="10">
        <f t="shared" si="123"/>
        <v>-2.3641304347818537E-4</v>
      </c>
      <c r="BR193" s="10">
        <f t="shared" si="124"/>
        <v>2.5815217391306455E-4</v>
      </c>
      <c r="BS193" s="10">
        <f t="shared" si="125"/>
        <v>-5.8620923913043389E-3</v>
      </c>
      <c r="BT193" s="10">
        <f t="shared" si="126"/>
        <v>-2.338315217391162E-3</v>
      </c>
      <c r="BU193" s="10">
        <f t="shared" si="127"/>
        <v>-2.4001358695651506E-3</v>
      </c>
      <c r="BV193" s="10">
        <f t="shared" si="128"/>
        <v>5.3274456521739798E-3</v>
      </c>
      <c r="BW193" s="10">
        <f t="shared" si="129"/>
        <v>-4.5638586956521163E-3</v>
      </c>
      <c r="BX193" s="10">
        <f t="shared" si="130"/>
        <v>1.8654891304347913E-3</v>
      </c>
      <c r="BY193" s="10">
        <f t="shared" si="131"/>
        <v>1.8654891304347913E-3</v>
      </c>
      <c r="BZ193" s="10">
        <f t="shared" si="132"/>
        <v>-1.5964673913043972E-3</v>
      </c>
      <c r="CA193" s="10">
        <f t="shared" si="133"/>
        <v>-2.771059782608643E-3</v>
      </c>
      <c r="CB193" s="10">
        <f t="shared" si="134"/>
        <v>9.3817934782606063E-4</v>
      </c>
      <c r="CC193" s="10">
        <f t="shared" si="135"/>
        <v>-1.6582880434781661E-3</v>
      </c>
      <c r="CD193" s="10">
        <f t="shared" si="136"/>
        <v>-1.3491847826086624E-3</v>
      </c>
      <c r="CE193" s="10">
        <f t="shared" si="137"/>
        <v>1.8654891304347913E-3</v>
      </c>
      <c r="CF193" s="10">
        <f t="shared" si="138"/>
        <v>1.086956521732977E-5</v>
      </c>
      <c r="CG193" s="10">
        <f t="shared" si="139"/>
        <v>-2.6474184782608857E-3</v>
      </c>
      <c r="CH193" s="10">
        <f t="shared" si="140"/>
        <v>-1.9055706521739009E-3</v>
      </c>
      <c r="CI193" s="10">
        <f t="shared" si="141"/>
        <v>-4.6874999999998741E-3</v>
      </c>
      <c r="CJ193" s="10">
        <f t="shared" si="142"/>
        <v>-1.5964673913043972E-3</v>
      </c>
      <c r="CK193" s="10">
        <f t="shared" si="143"/>
        <v>-3.9456521739131088E-3</v>
      </c>
      <c r="CL193" s="10">
        <f t="shared" si="144"/>
        <v>2.5815217391306455E-4</v>
      </c>
      <c r="CM193" s="10">
        <f t="shared" si="145"/>
        <v>-3.6983695652173737E-3</v>
      </c>
      <c r="CN193" s="10">
        <f t="shared" si="146"/>
        <v>-1.9673913043478895E-3</v>
      </c>
      <c r="CO193" s="10">
        <f t="shared" si="147"/>
        <v>4.4361413043481068E-4</v>
      </c>
      <c r="CP193" s="10">
        <f t="shared" si="148"/>
        <v>-2.1528532608696355E-3</v>
      </c>
      <c r="CQ193" s="10">
        <f t="shared" si="149"/>
        <v>5.054347826087993E-4</v>
      </c>
      <c r="CR193" s="10">
        <f t="shared" si="150"/>
        <v>-4.8369565217392014E-4</v>
      </c>
      <c r="CS193" s="10">
        <f t="shared" si="151"/>
        <v>1.086956521732977E-5</v>
      </c>
      <c r="CT193" s="10">
        <f t="shared" si="152"/>
        <v>1.4327445652175302E-3</v>
      </c>
      <c r="CU193" s="10">
        <f t="shared" si="153"/>
        <v>-7.8403532608695582E-3</v>
      </c>
      <c r="CV193" s="10">
        <f t="shared" si="154"/>
        <v>-5.491168478260847E-3</v>
      </c>
      <c r="CW193" s="10">
        <f t="shared" si="155"/>
        <v>-2.771059782608643E-3</v>
      </c>
      <c r="CX193" s="10">
        <f t="shared" si="156"/>
        <v>1.086956521732977E-5</v>
      </c>
      <c r="CY193" s="10">
        <f t="shared" si="157"/>
        <v>1.92730978260878E-3</v>
      </c>
      <c r="CZ193" s="10">
        <f t="shared" si="158"/>
        <v>2.5815217391306455E-4</v>
      </c>
      <c r="DA193" s="10">
        <f t="shared" si="159"/>
        <v>-7.3097826086943529E-4</v>
      </c>
      <c r="DB193" s="10">
        <f t="shared" si="160"/>
        <v>-4.1929347826086235E-3</v>
      </c>
      <c r="DC193" s="10">
        <f t="shared" si="161"/>
        <v>7.5271739130431444E-4</v>
      </c>
      <c r="DD193" s="10">
        <f t="shared" si="162"/>
        <v>-4.1929347826086235E-3</v>
      </c>
      <c r="DE193" s="10">
        <f t="shared" si="163"/>
        <v>1.1236413043478068E-3</v>
      </c>
      <c r="DF193" s="10">
        <f t="shared" si="164"/>
        <v>1.4327445652175302E-3</v>
      </c>
      <c r="DG193" s="10">
        <f t="shared" si="165"/>
        <v>-6.9130434782608274E-3</v>
      </c>
      <c r="DH193" s="10">
        <f t="shared" si="166"/>
        <v>4.4361413043481068E-4</v>
      </c>
      <c r="DI193" s="10">
        <f t="shared" si="167"/>
        <v>-3.0801630434781468E-3</v>
      </c>
      <c r="DJ193" s="10">
        <f t="shared" si="168"/>
        <v>1.1854619565217954E-3</v>
      </c>
      <c r="DK193" s="10">
        <f t="shared" si="169"/>
        <v>-5.455163043476891E-4</v>
      </c>
      <c r="DL193" s="10">
        <f t="shared" si="170"/>
        <v>-3.3274456521738818E-3</v>
      </c>
      <c r="DM193" s="10">
        <f t="shared" si="171"/>
        <v>-6.7894021739130705E-3</v>
      </c>
      <c r="DN193" s="10">
        <f t="shared" si="172"/>
        <v>-2.9823369565217396E-4</v>
      </c>
      <c r="DO193" s="10">
        <f t="shared" si="173"/>
        <v>-3.018342391304378E-3</v>
      </c>
      <c r="DP193" s="10">
        <f t="shared" si="174"/>
        <v>7.5271739130431444E-4</v>
      </c>
      <c r="DQ193" s="10">
        <f t="shared" si="175"/>
        <v>-3.0801630434781468E-3</v>
      </c>
      <c r="DR193" s="10">
        <f t="shared" si="176"/>
        <v>-9.7826086956516998E-4</v>
      </c>
      <c r="DS193" s="10">
        <f t="shared" si="177"/>
        <v>-8.5203804347825547E-3</v>
      </c>
      <c r="DT193" s="10">
        <f t="shared" si="178"/>
        <v>-3.38926630434787E-3</v>
      </c>
      <c r="DU193" s="10">
        <f t="shared" si="179"/>
        <v>-9.1644021739118147E-4</v>
      </c>
      <c r="DV193" s="10">
        <f t="shared" si="180"/>
        <v>-4.6874999999998741E-3</v>
      </c>
      <c r="DW193" s="10">
        <f t="shared" si="181"/>
        <v>-5.243885869565112E-3</v>
      </c>
    </row>
    <row r="194" spans="2:127" x14ac:dyDescent="0.45">
      <c r="B194" s="1">
        <v>24</v>
      </c>
      <c r="C194" s="1">
        <v>2775</v>
      </c>
      <c r="D194" s="7">
        <f t="shared" si="182"/>
        <v>16.263736263736263</v>
      </c>
      <c r="E194" s="1">
        <v>16.190000000000001</v>
      </c>
      <c r="F194" s="1">
        <v>16.260000000000002</v>
      </c>
      <c r="G194" s="1">
        <v>16.268000000000001</v>
      </c>
      <c r="H194" s="1">
        <v>16.169</v>
      </c>
      <c r="I194" s="1">
        <v>16.225000000000001</v>
      </c>
      <c r="J194" s="1">
        <v>16.225000000000001</v>
      </c>
      <c r="K194" s="1">
        <v>16.350000000000001</v>
      </c>
      <c r="L194" s="1">
        <v>16.186</v>
      </c>
      <c r="M194" s="1">
        <v>16.29</v>
      </c>
      <c r="N194" s="1">
        <v>16.294</v>
      </c>
      <c r="O194" s="1">
        <v>16.236999999999998</v>
      </c>
      <c r="P194" s="1">
        <v>16.218</v>
      </c>
      <c r="Q194" s="1">
        <v>16.277999999999999</v>
      </c>
      <c r="R194" s="1">
        <v>16.236000000000001</v>
      </c>
      <c r="S194" s="1">
        <v>16.241</v>
      </c>
      <c r="T194" s="1">
        <v>16.294</v>
      </c>
      <c r="U194" s="1">
        <v>16.263000000000002</v>
      </c>
      <c r="V194" s="1">
        <v>16.22</v>
      </c>
      <c r="W194" s="1">
        <v>16.234000000000002</v>
      </c>
      <c r="X194" s="1">
        <v>16.187000000000001</v>
      </c>
      <c r="Y194" s="1">
        <v>16.236000000000001</v>
      </c>
      <c r="Z194" s="1">
        <v>16.198</v>
      </c>
      <c r="AA194" s="1">
        <v>16.268000000000001</v>
      </c>
      <c r="AB194" s="1">
        <v>16.206</v>
      </c>
      <c r="AC194" s="1">
        <v>16.233000000000001</v>
      </c>
      <c r="AD194" s="1">
        <v>16.271000000000001</v>
      </c>
      <c r="AE194" s="1">
        <v>16.228999999999999</v>
      </c>
      <c r="AF194" s="1">
        <v>16.271000000000001</v>
      </c>
      <c r="AG194" s="1">
        <v>16.254999999999999</v>
      </c>
      <c r="AH194" s="1">
        <v>16.263000000000002</v>
      </c>
      <c r="AI194" s="1">
        <v>16.286999999999999</v>
      </c>
      <c r="AJ194" s="1">
        <v>16.134</v>
      </c>
      <c r="AK194" s="1">
        <v>16.175999999999998</v>
      </c>
      <c r="AL194" s="1">
        <v>16.22</v>
      </c>
      <c r="AM194" s="1">
        <v>16.263999999999999</v>
      </c>
      <c r="AN194" s="1">
        <v>16.294</v>
      </c>
      <c r="AO194" s="1">
        <v>16.268000000000001</v>
      </c>
      <c r="AP194" s="1">
        <v>16.251999999999999</v>
      </c>
      <c r="AQ194" s="1">
        <v>16.195</v>
      </c>
      <c r="AR194" s="1">
        <v>16.274999999999999</v>
      </c>
      <c r="AS194" s="1">
        <v>16.196999999999999</v>
      </c>
      <c r="AT194" s="1">
        <v>16.283000000000001</v>
      </c>
      <c r="AU194" s="1">
        <v>16.286999999999999</v>
      </c>
      <c r="AV194" s="1">
        <v>16.152000000000001</v>
      </c>
      <c r="AW194" s="1">
        <v>16.271000000000001</v>
      </c>
      <c r="AX194" s="1">
        <v>16.21</v>
      </c>
      <c r="AY194" s="1">
        <v>16.282</v>
      </c>
      <c r="AZ194" s="1">
        <v>16.256</v>
      </c>
      <c r="BA194" s="1">
        <v>16.207000000000001</v>
      </c>
      <c r="BB194" s="1">
        <v>16.152000000000001</v>
      </c>
      <c r="BC194" s="1">
        <v>16.259</v>
      </c>
      <c r="BD194" s="1">
        <v>16.213999999999999</v>
      </c>
      <c r="BE194" s="1">
        <v>16.279</v>
      </c>
      <c r="BF194" s="1">
        <v>16.216000000000001</v>
      </c>
      <c r="BG194" s="1">
        <v>16.245000000000001</v>
      </c>
      <c r="BH194" s="1">
        <v>16.126999999999999</v>
      </c>
      <c r="BI194" s="1">
        <v>16.206</v>
      </c>
      <c r="BJ194" s="1">
        <v>16.251999999999999</v>
      </c>
      <c r="BK194" s="1">
        <v>16.178999999999998</v>
      </c>
      <c r="BL194" s="1">
        <v>16.178999999999998</v>
      </c>
      <c r="BN194" s="9">
        <v>24</v>
      </c>
      <c r="BO194" s="9">
        <v>2775</v>
      </c>
      <c r="BP194" s="10">
        <f t="shared" si="122"/>
        <v>-4.5337837837836478E-3</v>
      </c>
      <c r="BQ194" s="10">
        <f t="shared" si="123"/>
        <v>-2.2972972972957602E-4</v>
      </c>
      <c r="BR194" s="10">
        <f t="shared" si="124"/>
        <v>2.6216216216226173E-4</v>
      </c>
      <c r="BS194" s="10">
        <f t="shared" si="125"/>
        <v>-5.8249999999999127E-3</v>
      </c>
      <c r="BT194" s="10">
        <f t="shared" si="126"/>
        <v>-2.3817567567566119E-3</v>
      </c>
      <c r="BU194" s="10">
        <f t="shared" si="127"/>
        <v>-2.3817567567566119E-3</v>
      </c>
      <c r="BV194" s="10">
        <f t="shared" si="128"/>
        <v>5.3040540540541994E-3</v>
      </c>
      <c r="BW194" s="10">
        <f t="shared" si="129"/>
        <v>-4.7797297297296759E-3</v>
      </c>
      <c r="BX194" s="10">
        <f t="shared" si="130"/>
        <v>1.6148648648648702E-3</v>
      </c>
      <c r="BY194" s="10">
        <f t="shared" si="131"/>
        <v>1.8608108108108983E-3</v>
      </c>
      <c r="BZ194" s="10">
        <f t="shared" si="132"/>
        <v>-1.6439189189189644E-3</v>
      </c>
      <c r="CA194" s="10">
        <f t="shared" si="133"/>
        <v>-2.8121621621621067E-3</v>
      </c>
      <c r="CB194" s="10">
        <f t="shared" si="134"/>
        <v>8.7702702702700428E-4</v>
      </c>
      <c r="CC194" s="10">
        <f t="shared" si="135"/>
        <v>-1.7054054054053077E-3</v>
      </c>
      <c r="CD194" s="10">
        <f t="shared" si="136"/>
        <v>-1.3979729729729363E-3</v>
      </c>
      <c r="CE194" s="10">
        <f t="shared" si="137"/>
        <v>1.8608108108108983E-3</v>
      </c>
      <c r="CF194" s="10">
        <f t="shared" si="138"/>
        <v>-4.5270270270109554E-5</v>
      </c>
      <c r="CG194" s="10">
        <f t="shared" si="139"/>
        <v>-2.6891891891892014E-3</v>
      </c>
      <c r="CH194" s="10">
        <f t="shared" si="140"/>
        <v>-1.8283783783782125E-3</v>
      </c>
      <c r="CI194" s="10">
        <f t="shared" si="141"/>
        <v>-4.7182432432431145E-3</v>
      </c>
      <c r="CJ194" s="10">
        <f t="shared" si="142"/>
        <v>-1.7054054054053077E-3</v>
      </c>
      <c r="CK194" s="10">
        <f t="shared" si="143"/>
        <v>-4.0418918918918101E-3</v>
      </c>
      <c r="CL194" s="10">
        <f t="shared" si="144"/>
        <v>2.6216216216226173E-4</v>
      </c>
      <c r="CM194" s="10">
        <f t="shared" si="145"/>
        <v>-3.5499999999999724E-3</v>
      </c>
      <c r="CN194" s="10">
        <f t="shared" si="146"/>
        <v>-1.8898648648647742E-3</v>
      </c>
      <c r="CO194" s="10">
        <f t="shared" si="147"/>
        <v>4.4662162162172818E-4</v>
      </c>
      <c r="CP194" s="10">
        <f t="shared" si="148"/>
        <v>-2.1358108108108023E-3</v>
      </c>
      <c r="CQ194" s="10">
        <f t="shared" si="149"/>
        <v>4.4662162162172818E-4</v>
      </c>
      <c r="CR194" s="10">
        <f t="shared" si="150"/>
        <v>-5.3716216216216574E-4</v>
      </c>
      <c r="CS194" s="10">
        <f t="shared" si="151"/>
        <v>-4.5270270270109554E-5</v>
      </c>
      <c r="CT194" s="10">
        <f t="shared" si="152"/>
        <v>1.4304054054054037E-3</v>
      </c>
      <c r="CU194" s="10">
        <f t="shared" si="153"/>
        <v>-7.9770270270269495E-3</v>
      </c>
      <c r="CV194" s="10">
        <f t="shared" si="154"/>
        <v>-5.3945945945946365E-3</v>
      </c>
      <c r="CW194" s="10">
        <f t="shared" si="155"/>
        <v>-2.6891891891892014E-3</v>
      </c>
      <c r="CX194" s="10">
        <f t="shared" si="156"/>
        <v>1.6216216216233636E-5</v>
      </c>
      <c r="CY194" s="10">
        <f t="shared" si="157"/>
        <v>1.8608108108108983E-3</v>
      </c>
      <c r="CZ194" s="10">
        <f t="shared" si="158"/>
        <v>2.6216216216226173E-4</v>
      </c>
      <c r="DA194" s="10">
        <f t="shared" si="159"/>
        <v>-7.2162162162163219E-4</v>
      </c>
      <c r="DB194" s="10">
        <f t="shared" si="160"/>
        <v>-4.2263513513512768E-3</v>
      </c>
      <c r="DC194" s="10">
        <f t="shared" si="161"/>
        <v>6.9256756756753783E-4</v>
      </c>
      <c r="DD194" s="10">
        <f t="shared" si="162"/>
        <v>-4.1033783783783716E-3</v>
      </c>
      <c r="DE194" s="10">
        <f t="shared" si="163"/>
        <v>1.184459459459594E-3</v>
      </c>
      <c r="DF194" s="10">
        <f t="shared" si="164"/>
        <v>1.4304054054054037E-3</v>
      </c>
      <c r="DG194" s="10">
        <f t="shared" si="165"/>
        <v>-6.8702702702701504E-3</v>
      </c>
      <c r="DH194" s="10">
        <f t="shared" si="166"/>
        <v>4.4662162162172818E-4</v>
      </c>
      <c r="DI194" s="10">
        <f t="shared" si="167"/>
        <v>-3.3040540540539443E-3</v>
      </c>
      <c r="DJ194" s="10">
        <f t="shared" si="168"/>
        <v>1.1229729729730323E-3</v>
      </c>
      <c r="DK194" s="10">
        <f t="shared" si="169"/>
        <v>-4.7567567567560412E-4</v>
      </c>
      <c r="DL194" s="10">
        <f t="shared" si="170"/>
        <v>-3.4885135135134106E-3</v>
      </c>
      <c r="DM194" s="10">
        <f t="shared" si="171"/>
        <v>-6.8702702702701504E-3</v>
      </c>
      <c r="DN194" s="10">
        <f t="shared" si="172"/>
        <v>-2.9121621621613767E-4</v>
      </c>
      <c r="DO194" s="10">
        <f t="shared" si="173"/>
        <v>-3.0581081081081343E-3</v>
      </c>
      <c r="DP194" s="10">
        <f t="shared" si="174"/>
        <v>9.3851351351356596E-4</v>
      </c>
      <c r="DQ194" s="10">
        <f t="shared" si="175"/>
        <v>-2.9351351351350114E-3</v>
      </c>
      <c r="DR194" s="10">
        <f t="shared" si="176"/>
        <v>-1.1520270270269084E-3</v>
      </c>
      <c r="DS194" s="10">
        <f t="shared" si="177"/>
        <v>-8.4074324324324434E-3</v>
      </c>
      <c r="DT194" s="10">
        <f t="shared" si="178"/>
        <v>-3.5499999999999724E-3</v>
      </c>
      <c r="DU194" s="10">
        <f t="shared" si="179"/>
        <v>-7.2162162162163219E-4</v>
      </c>
      <c r="DV194" s="10">
        <f t="shared" si="180"/>
        <v>-5.2101351351351707E-3</v>
      </c>
      <c r="DW194" s="10">
        <f t="shared" si="181"/>
        <v>-5.2101351351351707E-3</v>
      </c>
    </row>
    <row r="195" spans="2:127" x14ac:dyDescent="0.45">
      <c r="B195" s="1">
        <v>24</v>
      </c>
      <c r="C195" s="1">
        <v>2790</v>
      </c>
      <c r="D195" s="7">
        <f t="shared" si="182"/>
        <v>16.35164835164835</v>
      </c>
      <c r="E195" s="1">
        <v>16.277000000000001</v>
      </c>
      <c r="F195" s="1">
        <v>16.347000000000001</v>
      </c>
      <c r="G195" s="1">
        <v>16.355</v>
      </c>
      <c r="H195" s="1">
        <v>16.257999999999999</v>
      </c>
      <c r="I195" s="1">
        <v>16.312999999999999</v>
      </c>
      <c r="J195" s="1">
        <v>16.312000000000001</v>
      </c>
      <c r="K195" s="1">
        <v>16.437999999999999</v>
      </c>
      <c r="L195" s="1">
        <v>16.271999999999998</v>
      </c>
      <c r="M195" s="1">
        <v>16.376000000000001</v>
      </c>
      <c r="N195" s="1">
        <v>16.38</v>
      </c>
      <c r="O195" s="1">
        <v>16.327000000000002</v>
      </c>
      <c r="P195" s="1">
        <v>16.305</v>
      </c>
      <c r="Q195" s="1">
        <v>16.364999999999998</v>
      </c>
      <c r="R195" s="1">
        <v>16.324999999999999</v>
      </c>
      <c r="S195" s="1">
        <v>16.327999999999999</v>
      </c>
      <c r="T195" s="1">
        <v>16.384</v>
      </c>
      <c r="U195" s="1">
        <v>16.352</v>
      </c>
      <c r="V195" s="1">
        <v>16.308</v>
      </c>
      <c r="W195" s="1">
        <v>16.324999999999999</v>
      </c>
      <c r="X195" s="1">
        <v>16.266999999999999</v>
      </c>
      <c r="Y195" s="1">
        <v>16.324999999999999</v>
      </c>
      <c r="Z195" s="1">
        <v>16.285</v>
      </c>
      <c r="AA195" s="1">
        <v>16.359000000000002</v>
      </c>
      <c r="AB195" s="1">
        <v>16.292999999999999</v>
      </c>
      <c r="AC195" s="1">
        <v>16.321000000000002</v>
      </c>
      <c r="AD195" s="1">
        <v>16.356999999999999</v>
      </c>
      <c r="AE195" s="1">
        <v>16.318999999999999</v>
      </c>
      <c r="AF195" s="1">
        <v>16.359000000000002</v>
      </c>
      <c r="AG195" s="1">
        <v>16.343</v>
      </c>
      <c r="AH195" s="1">
        <v>16.350000000000001</v>
      </c>
      <c r="AI195" s="1">
        <v>16.376000000000001</v>
      </c>
      <c r="AJ195" s="1">
        <v>16.22</v>
      </c>
      <c r="AK195" s="1">
        <v>16.265999999999998</v>
      </c>
      <c r="AL195" s="1">
        <v>16.306000000000001</v>
      </c>
      <c r="AM195" s="1">
        <v>16.350999999999999</v>
      </c>
      <c r="AN195" s="1">
        <v>16.378</v>
      </c>
      <c r="AO195" s="1">
        <v>16.356999999999999</v>
      </c>
      <c r="AP195" s="1">
        <v>16.34</v>
      </c>
      <c r="AQ195" s="1">
        <v>16.283000000000001</v>
      </c>
      <c r="AR195" s="1">
        <v>16.361000000000001</v>
      </c>
      <c r="AS195" s="1">
        <v>16.285</v>
      </c>
      <c r="AT195" s="1">
        <v>16.370999999999999</v>
      </c>
      <c r="AU195" s="1">
        <v>16.376000000000001</v>
      </c>
      <c r="AV195" s="1">
        <v>16.236000000000001</v>
      </c>
      <c r="AW195" s="1">
        <v>16.356999999999999</v>
      </c>
      <c r="AX195" s="1">
        <v>16.297000000000001</v>
      </c>
      <c r="AY195" s="1">
        <v>16.370999999999999</v>
      </c>
      <c r="AZ195" s="1">
        <v>16.343</v>
      </c>
      <c r="BA195" s="1">
        <v>16.295999999999999</v>
      </c>
      <c r="BB195" s="1">
        <v>16.236999999999998</v>
      </c>
      <c r="BC195" s="1">
        <v>16.347000000000001</v>
      </c>
      <c r="BD195" s="1">
        <v>16.302</v>
      </c>
      <c r="BE195" s="1">
        <v>16.367000000000001</v>
      </c>
      <c r="BF195" s="1">
        <v>16.300999999999998</v>
      </c>
      <c r="BG195" s="1">
        <v>16.335999999999999</v>
      </c>
      <c r="BH195" s="1">
        <v>16.213000000000001</v>
      </c>
      <c r="BI195" s="1">
        <v>16.292999999999999</v>
      </c>
      <c r="BJ195" s="1">
        <v>16.338999999999999</v>
      </c>
      <c r="BK195" s="1">
        <v>16.27</v>
      </c>
      <c r="BL195" s="1">
        <v>16.266999999999999</v>
      </c>
      <c r="BN195" s="9">
        <v>24</v>
      </c>
      <c r="BO195" s="9">
        <v>2790</v>
      </c>
      <c r="BP195" s="10">
        <f t="shared" si="122"/>
        <v>-4.5651881720428725E-3</v>
      </c>
      <c r="BQ195" s="10">
        <f t="shared" si="123"/>
        <v>-2.8427419354823077E-4</v>
      </c>
      <c r="BR195" s="10">
        <f t="shared" si="124"/>
        <v>2.0497311827967238E-4</v>
      </c>
      <c r="BS195" s="10">
        <f t="shared" si="125"/>
        <v>-5.7271505376343861E-3</v>
      </c>
      <c r="BT195" s="10">
        <f t="shared" si="126"/>
        <v>-2.3635752688171995E-3</v>
      </c>
      <c r="BU195" s="10">
        <f t="shared" si="127"/>
        <v>-2.4247311827955515E-3</v>
      </c>
      <c r="BV195" s="10">
        <f t="shared" si="128"/>
        <v>5.280913978494629E-3</v>
      </c>
      <c r="BW195" s="10">
        <f t="shared" si="129"/>
        <v>-4.8709677419355021E-3</v>
      </c>
      <c r="BX195" s="10">
        <f t="shared" si="130"/>
        <v>1.4892473118281082E-3</v>
      </c>
      <c r="BY195" s="10">
        <f t="shared" si="131"/>
        <v>1.7338709677419512E-3</v>
      </c>
      <c r="BZ195" s="10">
        <f t="shared" si="132"/>
        <v>-1.5073924731180972E-3</v>
      </c>
      <c r="CA195" s="10">
        <f t="shared" si="133"/>
        <v>-2.8528225806451024E-3</v>
      </c>
      <c r="CB195" s="10">
        <f t="shared" si="134"/>
        <v>8.1653225806449699E-4</v>
      </c>
      <c r="CC195" s="10">
        <f t="shared" si="135"/>
        <v>-1.629704301075236E-3</v>
      </c>
      <c r="CD195" s="10">
        <f t="shared" si="136"/>
        <v>-1.4462365591397452E-3</v>
      </c>
      <c r="CE195" s="10">
        <f t="shared" si="137"/>
        <v>1.9784946236560113E-3</v>
      </c>
      <c r="CF195" s="10">
        <f t="shared" si="138"/>
        <v>2.1505376344181545E-5</v>
      </c>
      <c r="CG195" s="10">
        <f t="shared" si="139"/>
        <v>-2.6693548387096118E-3</v>
      </c>
      <c r="CH195" s="10">
        <f t="shared" si="140"/>
        <v>-1.629704301075236E-3</v>
      </c>
      <c r="CI195" s="10">
        <f t="shared" si="141"/>
        <v>-5.176747311827914E-3</v>
      </c>
      <c r="CJ195" s="10">
        <f t="shared" si="142"/>
        <v>-1.629704301075236E-3</v>
      </c>
      <c r="CK195" s="10">
        <f t="shared" si="143"/>
        <v>-4.0759408602149688E-3</v>
      </c>
      <c r="CL195" s="10">
        <f t="shared" si="144"/>
        <v>4.4959677419373258E-4</v>
      </c>
      <c r="CM195" s="10">
        <f t="shared" si="145"/>
        <v>-3.586693548387066E-3</v>
      </c>
      <c r="CN195" s="10">
        <f t="shared" si="146"/>
        <v>-1.874327956989079E-3</v>
      </c>
      <c r="CO195" s="10">
        <f t="shared" si="147"/>
        <v>3.2728494623659386E-4</v>
      </c>
      <c r="CP195" s="10">
        <f t="shared" si="148"/>
        <v>-1.9966397849462175E-3</v>
      </c>
      <c r="CQ195" s="10">
        <f t="shared" si="149"/>
        <v>4.4959677419373258E-4</v>
      </c>
      <c r="CR195" s="10">
        <f t="shared" si="150"/>
        <v>-5.2889784946229094E-4</v>
      </c>
      <c r="CS195" s="10">
        <f t="shared" si="151"/>
        <v>-1.0080645161273992E-4</v>
      </c>
      <c r="CT195" s="10">
        <f t="shared" si="152"/>
        <v>1.4892473118281082E-3</v>
      </c>
      <c r="CU195" s="10">
        <f t="shared" si="153"/>
        <v>-8.0510752688171972E-3</v>
      </c>
      <c r="CV195" s="10">
        <f t="shared" si="154"/>
        <v>-5.2379032258064832E-3</v>
      </c>
      <c r="CW195" s="10">
        <f t="shared" si="155"/>
        <v>-2.7916666666665331E-3</v>
      </c>
      <c r="CX195" s="10">
        <f t="shared" si="156"/>
        <v>-3.9650537634387823E-5</v>
      </c>
      <c r="CY195" s="10">
        <f t="shared" si="157"/>
        <v>1.6115591397850297E-3</v>
      </c>
      <c r="CZ195" s="10">
        <f t="shared" si="158"/>
        <v>3.2728494623659386E-4</v>
      </c>
      <c r="DA195" s="10">
        <f t="shared" si="159"/>
        <v>-7.1236559139778183E-4</v>
      </c>
      <c r="DB195" s="10">
        <f t="shared" si="160"/>
        <v>-4.1982526881718905E-3</v>
      </c>
      <c r="DC195" s="10">
        <f t="shared" si="161"/>
        <v>5.7190860215065409E-4</v>
      </c>
      <c r="DD195" s="10">
        <f t="shared" si="162"/>
        <v>-4.0759408602149688E-3</v>
      </c>
      <c r="DE195" s="10">
        <f t="shared" si="163"/>
        <v>1.1834677419354787E-3</v>
      </c>
      <c r="DF195" s="10">
        <f t="shared" si="164"/>
        <v>1.4892473118281082E-3</v>
      </c>
      <c r="DG195" s="10">
        <f t="shared" si="165"/>
        <v>-7.0725806451611747E-3</v>
      </c>
      <c r="DH195" s="10">
        <f t="shared" si="166"/>
        <v>3.2728494623659386E-4</v>
      </c>
      <c r="DI195" s="10">
        <f t="shared" si="167"/>
        <v>-3.3420698924730057E-3</v>
      </c>
      <c r="DJ195" s="10">
        <f t="shared" si="168"/>
        <v>1.1834677419354787E-3</v>
      </c>
      <c r="DK195" s="10">
        <f t="shared" si="169"/>
        <v>-5.2889784946229094E-4</v>
      </c>
      <c r="DL195" s="10">
        <f t="shared" si="170"/>
        <v>-3.403225806451575E-3</v>
      </c>
      <c r="DM195" s="10">
        <f t="shared" si="171"/>
        <v>-7.0114247311828222E-3</v>
      </c>
      <c r="DN195" s="10">
        <f t="shared" si="172"/>
        <v>-2.8427419354823077E-4</v>
      </c>
      <c r="DO195" s="10">
        <f t="shared" si="173"/>
        <v>-3.0362903225805934E-3</v>
      </c>
      <c r="DP195" s="10">
        <f t="shared" si="174"/>
        <v>9.3884408602163576E-4</v>
      </c>
      <c r="DQ195" s="10">
        <f t="shared" si="175"/>
        <v>-3.0974462365591627E-3</v>
      </c>
      <c r="DR195" s="10">
        <f t="shared" si="176"/>
        <v>-9.5698924731184201E-4</v>
      </c>
      <c r="DS195" s="10">
        <f t="shared" si="177"/>
        <v>-8.4791666666665325E-3</v>
      </c>
      <c r="DT195" s="10">
        <f t="shared" si="178"/>
        <v>-3.586693548387066E-3</v>
      </c>
      <c r="DU195" s="10">
        <f t="shared" si="179"/>
        <v>-7.7352150537635122E-4</v>
      </c>
      <c r="DV195" s="10">
        <f t="shared" si="180"/>
        <v>-4.993279569892423E-3</v>
      </c>
      <c r="DW195" s="10">
        <f t="shared" si="181"/>
        <v>-5.176747311827914E-3</v>
      </c>
    </row>
    <row r="196" spans="2:127" x14ac:dyDescent="0.45">
      <c r="B196" s="1">
        <v>24</v>
      </c>
      <c r="C196" s="1">
        <v>2805</v>
      </c>
      <c r="D196" s="7">
        <f t="shared" si="182"/>
        <v>16.439560439560438</v>
      </c>
      <c r="E196" s="1">
        <v>16.363</v>
      </c>
      <c r="F196" s="1">
        <v>16.434999999999999</v>
      </c>
      <c r="G196" s="1">
        <v>16.440999999999999</v>
      </c>
      <c r="H196" s="1">
        <v>16.344000000000001</v>
      </c>
      <c r="I196" s="1">
        <v>16.399000000000001</v>
      </c>
      <c r="J196" s="1">
        <v>16.399999999999999</v>
      </c>
      <c r="K196" s="1">
        <v>16.527000000000001</v>
      </c>
      <c r="L196" s="1">
        <v>16.359000000000002</v>
      </c>
      <c r="M196" s="1">
        <v>16.466000000000001</v>
      </c>
      <c r="N196" s="1">
        <v>16.466000000000001</v>
      </c>
      <c r="O196" s="1">
        <v>16.414000000000001</v>
      </c>
      <c r="P196" s="1">
        <v>16.391999999999999</v>
      </c>
      <c r="Q196" s="1">
        <v>16.452000000000002</v>
      </c>
      <c r="R196" s="1">
        <v>16.414000000000001</v>
      </c>
      <c r="S196" s="1">
        <v>16.414000000000001</v>
      </c>
      <c r="T196" s="1">
        <v>16.471</v>
      </c>
      <c r="U196" s="1">
        <v>16.440999999999999</v>
      </c>
      <c r="V196" s="1">
        <v>16.395</v>
      </c>
      <c r="W196" s="1">
        <v>16.414000000000001</v>
      </c>
      <c r="X196" s="1">
        <v>16.353999999999999</v>
      </c>
      <c r="Y196" s="1">
        <v>16.414000000000001</v>
      </c>
      <c r="Z196" s="1">
        <v>16.373999999999999</v>
      </c>
      <c r="AA196" s="1">
        <v>16.449000000000002</v>
      </c>
      <c r="AB196" s="1">
        <v>16.382000000000001</v>
      </c>
      <c r="AC196" s="1">
        <v>16.408999999999999</v>
      </c>
      <c r="AD196" s="1">
        <v>16.445</v>
      </c>
      <c r="AE196" s="1">
        <v>16.405000000000001</v>
      </c>
      <c r="AF196" s="1">
        <v>16.446999999999999</v>
      </c>
      <c r="AG196" s="1">
        <v>16.43</v>
      </c>
      <c r="AH196" s="1">
        <v>16.437000000000001</v>
      </c>
      <c r="AI196" s="1">
        <v>16.463999999999999</v>
      </c>
      <c r="AJ196" s="1">
        <v>16.306000000000001</v>
      </c>
      <c r="AK196" s="1">
        <v>16.352</v>
      </c>
      <c r="AL196" s="1">
        <v>16.395</v>
      </c>
      <c r="AM196" s="1">
        <v>16.439</v>
      </c>
      <c r="AN196" s="1">
        <v>16.465</v>
      </c>
      <c r="AO196" s="1">
        <v>16.443000000000001</v>
      </c>
      <c r="AP196" s="1">
        <v>16.428000000000001</v>
      </c>
      <c r="AQ196" s="1">
        <v>16.370999999999999</v>
      </c>
      <c r="AR196" s="1">
        <v>16.442</v>
      </c>
      <c r="AS196" s="1">
        <v>16.37</v>
      </c>
      <c r="AT196" s="1">
        <v>16.46</v>
      </c>
      <c r="AU196" s="1">
        <v>16.465</v>
      </c>
      <c r="AV196" s="1">
        <v>16.321000000000002</v>
      </c>
      <c r="AW196" s="1">
        <v>16.443000000000001</v>
      </c>
      <c r="AX196" s="1">
        <v>16.385000000000002</v>
      </c>
      <c r="AY196" s="1">
        <v>16.460999999999999</v>
      </c>
      <c r="AZ196" s="1">
        <v>16.43</v>
      </c>
      <c r="BA196" s="1">
        <v>16.385000000000002</v>
      </c>
      <c r="BB196" s="1">
        <v>16.327000000000002</v>
      </c>
      <c r="BC196" s="1">
        <v>16.434000000000001</v>
      </c>
      <c r="BD196" s="1">
        <v>16.388999999999999</v>
      </c>
      <c r="BE196" s="1">
        <v>16.457000000000001</v>
      </c>
      <c r="BF196" s="1">
        <v>16.388999999999999</v>
      </c>
      <c r="BG196" s="1">
        <v>16.425999999999998</v>
      </c>
      <c r="BH196" s="1">
        <v>16.300999999999998</v>
      </c>
      <c r="BI196" s="1">
        <v>16.381</v>
      </c>
      <c r="BJ196" s="1">
        <v>16.427</v>
      </c>
      <c r="BK196" s="1">
        <v>16.347000000000001</v>
      </c>
      <c r="BL196" s="1">
        <v>16.355</v>
      </c>
      <c r="BN196" s="9">
        <v>24</v>
      </c>
      <c r="BO196" s="9">
        <v>2805</v>
      </c>
      <c r="BP196" s="10">
        <f t="shared" si="122"/>
        <v>-4.6570855614972593E-3</v>
      </c>
      <c r="BQ196" s="10">
        <f t="shared" si="123"/>
        <v>-2.7740641711228227E-4</v>
      </c>
      <c r="BR196" s="10">
        <f t="shared" si="124"/>
        <v>8.756684491981713E-5</v>
      </c>
      <c r="BS196" s="10">
        <f t="shared" si="125"/>
        <v>-5.8128342245987634E-3</v>
      </c>
      <c r="BT196" s="10">
        <f t="shared" si="126"/>
        <v>-2.4672459893046628E-3</v>
      </c>
      <c r="BU196" s="10">
        <f t="shared" si="127"/>
        <v>-2.4064171122994567E-3</v>
      </c>
      <c r="BV196" s="10">
        <f t="shared" si="128"/>
        <v>5.318850267379837E-3</v>
      </c>
      <c r="BW196" s="10">
        <f t="shared" si="129"/>
        <v>-4.9004010695185146E-3</v>
      </c>
      <c r="BX196" s="10">
        <f t="shared" si="130"/>
        <v>1.6082887700536368E-3</v>
      </c>
      <c r="BY196" s="10">
        <f t="shared" si="131"/>
        <v>1.6082887700536368E-3</v>
      </c>
      <c r="BZ196" s="10">
        <f t="shared" si="132"/>
        <v>-1.5548128342244142E-3</v>
      </c>
      <c r="CA196" s="10">
        <f t="shared" si="133"/>
        <v>-2.8930481283421842E-3</v>
      </c>
      <c r="CB196" s="10">
        <f t="shared" si="134"/>
        <v>7.566844919788101E-4</v>
      </c>
      <c r="CC196" s="10">
        <f t="shared" si="135"/>
        <v>-1.5548128342244142E-3</v>
      </c>
      <c r="CD196" s="10">
        <f t="shared" si="136"/>
        <v>-1.5548128342244142E-3</v>
      </c>
      <c r="CE196" s="10">
        <f t="shared" si="137"/>
        <v>1.9124331550803143E-3</v>
      </c>
      <c r="CF196" s="10">
        <f t="shared" si="138"/>
        <v>8.756684491981713E-5</v>
      </c>
      <c r="CG196" s="10">
        <f t="shared" si="139"/>
        <v>-2.7105614973261345E-3</v>
      </c>
      <c r="CH196" s="10">
        <f t="shared" si="140"/>
        <v>-1.5548128342244142E-3</v>
      </c>
      <c r="CI196" s="10">
        <f t="shared" si="141"/>
        <v>-5.2045454545454088E-3</v>
      </c>
      <c r="CJ196" s="10">
        <f t="shared" si="142"/>
        <v>-1.5548128342244142E-3</v>
      </c>
      <c r="CK196" s="10">
        <f t="shared" si="143"/>
        <v>-3.9879679144384826E-3</v>
      </c>
      <c r="CL196" s="10">
        <f t="shared" si="144"/>
        <v>5.7419786096276043E-4</v>
      </c>
      <c r="CM196" s="10">
        <f t="shared" si="145"/>
        <v>-3.5013368983955392E-3</v>
      </c>
      <c r="CN196" s="10">
        <f t="shared" si="146"/>
        <v>-1.8589572192513077E-3</v>
      </c>
      <c r="CO196" s="10">
        <f t="shared" si="147"/>
        <v>3.3088235294128878E-4</v>
      </c>
      <c r="CP196" s="10">
        <f t="shared" si="148"/>
        <v>-2.1022727272725634E-3</v>
      </c>
      <c r="CQ196" s="10">
        <f t="shared" si="149"/>
        <v>4.5254010695191653E-4</v>
      </c>
      <c r="CR196" s="10">
        <f t="shared" si="150"/>
        <v>-5.8155080213895976E-4</v>
      </c>
      <c r="CS196" s="10">
        <f t="shared" si="151"/>
        <v>-1.5574866310143841E-4</v>
      </c>
      <c r="CT196" s="10">
        <f t="shared" si="152"/>
        <v>1.4866310160427929E-3</v>
      </c>
      <c r="CU196" s="10">
        <f t="shared" si="153"/>
        <v>-8.1243315508019876E-3</v>
      </c>
      <c r="CV196" s="10">
        <f t="shared" si="154"/>
        <v>-5.326203208556036E-3</v>
      </c>
      <c r="CW196" s="10">
        <f t="shared" si="155"/>
        <v>-2.7105614973261345E-3</v>
      </c>
      <c r="CX196" s="10">
        <f t="shared" si="156"/>
        <v>-3.4090909090810647E-5</v>
      </c>
      <c r="CY196" s="10">
        <f t="shared" si="157"/>
        <v>1.5474598930482147E-3</v>
      </c>
      <c r="CZ196" s="10">
        <f t="shared" si="158"/>
        <v>2.0922459893066102E-4</v>
      </c>
      <c r="DA196" s="10">
        <f t="shared" si="159"/>
        <v>-7.0320855614958752E-4</v>
      </c>
      <c r="DB196" s="10">
        <f t="shared" si="160"/>
        <v>-4.1704545454545319E-3</v>
      </c>
      <c r="DC196" s="10">
        <f t="shared" si="161"/>
        <v>1.4839572192523908E-4</v>
      </c>
      <c r="DD196" s="10">
        <f t="shared" si="162"/>
        <v>-4.2312834224597379E-3</v>
      </c>
      <c r="DE196" s="10">
        <f t="shared" si="163"/>
        <v>1.2433155080215374E-3</v>
      </c>
      <c r="DF196" s="10">
        <f t="shared" si="164"/>
        <v>1.5474598930482147E-3</v>
      </c>
      <c r="DG196" s="10">
        <f t="shared" si="165"/>
        <v>-7.2118983957217388E-3</v>
      </c>
      <c r="DH196" s="10">
        <f t="shared" si="166"/>
        <v>2.0922459893066102E-4</v>
      </c>
      <c r="DI196" s="10">
        <f t="shared" si="167"/>
        <v>-3.3188502673794896E-3</v>
      </c>
      <c r="DJ196" s="10">
        <f t="shared" si="168"/>
        <v>1.3041443850267433E-3</v>
      </c>
      <c r="DK196" s="10">
        <f t="shared" si="169"/>
        <v>-5.8155080213895976E-4</v>
      </c>
      <c r="DL196" s="10">
        <f t="shared" si="170"/>
        <v>-3.3188502673794896E-3</v>
      </c>
      <c r="DM196" s="10">
        <f t="shared" si="171"/>
        <v>-6.8469251336896395E-3</v>
      </c>
      <c r="DN196" s="10">
        <f t="shared" si="172"/>
        <v>-3.3823529411748811E-4</v>
      </c>
      <c r="DO196" s="10">
        <f t="shared" si="173"/>
        <v>-3.0755347593582338E-3</v>
      </c>
      <c r="DP196" s="10">
        <f t="shared" si="174"/>
        <v>1.0608288770054875E-3</v>
      </c>
      <c r="DQ196" s="10">
        <f t="shared" si="175"/>
        <v>-3.0755347593582338E-3</v>
      </c>
      <c r="DR196" s="10">
        <f t="shared" si="176"/>
        <v>-8.2486631016043146E-4</v>
      </c>
      <c r="DS196" s="10">
        <f t="shared" si="177"/>
        <v>-8.4284759358288809E-3</v>
      </c>
      <c r="DT196" s="10">
        <f t="shared" si="178"/>
        <v>-3.5621657754009608E-3</v>
      </c>
      <c r="DU196" s="10">
        <f t="shared" si="179"/>
        <v>-7.6403743315500954E-4</v>
      </c>
      <c r="DV196" s="10">
        <f t="shared" si="180"/>
        <v>-5.6303475935827133E-3</v>
      </c>
      <c r="DW196" s="10">
        <f t="shared" si="181"/>
        <v>-5.1437165775399868E-3</v>
      </c>
    </row>
    <row r="197" spans="2:127" x14ac:dyDescent="0.45">
      <c r="B197" s="1">
        <v>24</v>
      </c>
      <c r="C197" s="1">
        <v>2820</v>
      </c>
      <c r="D197" s="7">
        <f t="shared" si="182"/>
        <v>16.527472527472529</v>
      </c>
      <c r="E197" s="1">
        <v>16.446999999999999</v>
      </c>
      <c r="F197" s="1">
        <v>16.521000000000001</v>
      </c>
      <c r="G197" s="1">
        <v>16.524999999999999</v>
      </c>
      <c r="H197" s="1">
        <v>16.433</v>
      </c>
      <c r="I197" s="1">
        <v>16.488</v>
      </c>
      <c r="J197" s="1">
        <v>16.486999999999998</v>
      </c>
      <c r="K197" s="1">
        <v>16.614000000000001</v>
      </c>
      <c r="L197" s="1">
        <v>16.446999999999999</v>
      </c>
      <c r="M197" s="1">
        <v>16.555</v>
      </c>
      <c r="N197" s="1">
        <v>16.556999999999999</v>
      </c>
      <c r="O197" s="1">
        <v>16.5</v>
      </c>
      <c r="P197" s="1">
        <v>16.48</v>
      </c>
      <c r="Q197" s="1">
        <v>16.536999999999999</v>
      </c>
      <c r="R197" s="1">
        <v>16.501999999999999</v>
      </c>
      <c r="S197" s="1">
        <v>16.498999999999999</v>
      </c>
      <c r="T197" s="1">
        <v>16.559999999999999</v>
      </c>
      <c r="U197" s="1">
        <v>16.529</v>
      </c>
      <c r="V197" s="1">
        <v>16.48</v>
      </c>
      <c r="W197" s="1">
        <v>16.501999999999999</v>
      </c>
      <c r="X197" s="1">
        <v>16.439</v>
      </c>
      <c r="Y197" s="1">
        <v>16.501999999999999</v>
      </c>
      <c r="Z197" s="1">
        <v>16.462</v>
      </c>
      <c r="AA197" s="1">
        <v>16.538</v>
      </c>
      <c r="AB197" s="1">
        <v>16.469000000000001</v>
      </c>
      <c r="AC197" s="1">
        <v>16.495999999999999</v>
      </c>
      <c r="AD197" s="1">
        <v>16.527000000000001</v>
      </c>
      <c r="AE197" s="1">
        <v>16.492000000000001</v>
      </c>
      <c r="AF197" s="1">
        <v>16.533999999999999</v>
      </c>
      <c r="AG197" s="1">
        <v>16.518999999999998</v>
      </c>
      <c r="AH197" s="1">
        <v>16.521999999999998</v>
      </c>
      <c r="AI197" s="1">
        <v>16.550999999999998</v>
      </c>
      <c r="AJ197" s="1">
        <v>16.393000000000001</v>
      </c>
      <c r="AK197" s="1">
        <v>16.442</v>
      </c>
      <c r="AL197" s="1">
        <v>16.481000000000002</v>
      </c>
      <c r="AM197" s="1">
        <v>16.526</v>
      </c>
      <c r="AN197" s="1">
        <v>16.556000000000001</v>
      </c>
      <c r="AO197" s="1">
        <v>16.532</v>
      </c>
      <c r="AP197" s="1">
        <v>16.513999999999999</v>
      </c>
      <c r="AQ197" s="1">
        <v>16.46</v>
      </c>
      <c r="AR197" s="1">
        <v>16.53</v>
      </c>
      <c r="AS197" s="1">
        <v>16.457000000000001</v>
      </c>
      <c r="AT197" s="1">
        <v>16.548999999999999</v>
      </c>
      <c r="AU197" s="1">
        <v>16.556000000000001</v>
      </c>
      <c r="AV197" s="1">
        <v>16.408999999999999</v>
      </c>
      <c r="AW197" s="1">
        <v>16.533000000000001</v>
      </c>
      <c r="AX197" s="1">
        <v>16.472000000000001</v>
      </c>
      <c r="AY197" s="1">
        <v>16.550999999999998</v>
      </c>
      <c r="AZ197" s="1">
        <v>16.518999999999998</v>
      </c>
      <c r="BA197" s="1">
        <v>16.471</v>
      </c>
      <c r="BB197" s="1">
        <v>16.416</v>
      </c>
      <c r="BC197" s="1">
        <v>16.524999999999999</v>
      </c>
      <c r="BD197" s="1">
        <v>16.477</v>
      </c>
      <c r="BE197" s="1">
        <v>16.544</v>
      </c>
      <c r="BF197" s="1">
        <v>16.481000000000002</v>
      </c>
      <c r="BG197" s="1">
        <v>16.513999999999999</v>
      </c>
      <c r="BH197" s="1">
        <v>16.385999999999999</v>
      </c>
      <c r="BI197" s="1">
        <v>16.468</v>
      </c>
      <c r="BJ197" s="1">
        <v>16.515000000000001</v>
      </c>
      <c r="BK197" s="1">
        <v>16.437999999999999</v>
      </c>
      <c r="BL197" s="1">
        <v>16.442</v>
      </c>
      <c r="BN197" s="9">
        <v>24</v>
      </c>
      <c r="BO197" s="9">
        <v>2820</v>
      </c>
      <c r="BP197" s="10">
        <f t="shared" si="122"/>
        <v>-4.8690159574469594E-3</v>
      </c>
      <c r="BQ197" s="10">
        <f t="shared" si="123"/>
        <v>-3.9162234042558529E-4</v>
      </c>
      <c r="BR197" s="10">
        <f t="shared" si="124"/>
        <v>-1.4960106382997477E-4</v>
      </c>
      <c r="BS197" s="10">
        <f t="shared" si="125"/>
        <v>-5.7160904255320263E-3</v>
      </c>
      <c r="BT197" s="10">
        <f t="shared" si="126"/>
        <v>-2.3882978723405546E-3</v>
      </c>
      <c r="BU197" s="10">
        <f t="shared" si="127"/>
        <v>-2.4488031914895645E-3</v>
      </c>
      <c r="BV197" s="10">
        <f t="shared" si="128"/>
        <v>5.2353723404254763E-3</v>
      </c>
      <c r="BW197" s="10">
        <f t="shared" si="129"/>
        <v>-4.8690159574469594E-3</v>
      </c>
      <c r="BX197" s="10">
        <f t="shared" si="130"/>
        <v>1.665558510638179E-3</v>
      </c>
      <c r="BY197" s="10">
        <f t="shared" si="131"/>
        <v>1.7865691489359842E-3</v>
      </c>
      <c r="BZ197" s="10">
        <f t="shared" si="132"/>
        <v>-1.662234042553293E-3</v>
      </c>
      <c r="CA197" s="10">
        <f t="shared" si="133"/>
        <v>-2.8723404255319904E-3</v>
      </c>
      <c r="CB197" s="10">
        <f t="shared" si="134"/>
        <v>5.7646276595728666E-4</v>
      </c>
      <c r="CC197" s="10">
        <f t="shared" si="135"/>
        <v>-1.5412234042554876E-3</v>
      </c>
      <c r="CD197" s="10">
        <f t="shared" si="136"/>
        <v>-1.7227393617023029E-3</v>
      </c>
      <c r="CE197" s="10">
        <f t="shared" si="137"/>
        <v>1.9680851063827998E-3</v>
      </c>
      <c r="CF197" s="10">
        <f t="shared" si="138"/>
        <v>9.24202127658507E-5</v>
      </c>
      <c r="CG197" s="10">
        <f t="shared" si="139"/>
        <v>-2.8723404255319904E-3</v>
      </c>
      <c r="CH197" s="10">
        <f t="shared" si="140"/>
        <v>-1.5412234042554876E-3</v>
      </c>
      <c r="CI197" s="10">
        <f t="shared" si="141"/>
        <v>-5.3530585106383952E-3</v>
      </c>
      <c r="CJ197" s="10">
        <f t="shared" si="142"/>
        <v>-1.5412234042554876E-3</v>
      </c>
      <c r="CK197" s="10">
        <f t="shared" si="143"/>
        <v>-3.9614361702128825E-3</v>
      </c>
      <c r="CL197" s="10">
        <f t="shared" si="144"/>
        <v>6.3696808510629681E-4</v>
      </c>
      <c r="CM197" s="10">
        <f t="shared" si="145"/>
        <v>-3.5378989361702418E-3</v>
      </c>
      <c r="CN197" s="10">
        <f t="shared" si="146"/>
        <v>-1.9042553191491185E-3</v>
      </c>
      <c r="CO197" s="10">
        <f t="shared" si="147"/>
        <v>-2.8590425531954555E-5</v>
      </c>
      <c r="CP197" s="10">
        <f t="shared" si="148"/>
        <v>-2.1462765957447291E-3</v>
      </c>
      <c r="CQ197" s="10">
        <f t="shared" si="149"/>
        <v>3.9494680851047132E-4</v>
      </c>
      <c r="CR197" s="10">
        <f t="shared" si="150"/>
        <v>-5.1263297872360548E-4</v>
      </c>
      <c r="CS197" s="10">
        <f t="shared" si="151"/>
        <v>-3.3111702127679014E-4</v>
      </c>
      <c r="CT197" s="10">
        <f t="shared" si="152"/>
        <v>1.4235372340423535E-3</v>
      </c>
      <c r="CU197" s="10">
        <f t="shared" si="153"/>
        <v>-8.1363031914894208E-3</v>
      </c>
      <c r="CV197" s="10">
        <f t="shared" si="154"/>
        <v>-5.1715425531915797E-3</v>
      </c>
      <c r="CW197" s="10">
        <f t="shared" si="155"/>
        <v>-2.8118351063829801E-3</v>
      </c>
      <c r="CX197" s="10">
        <f t="shared" si="156"/>
        <v>-8.9095744680964666E-5</v>
      </c>
      <c r="CY197" s="10">
        <f t="shared" si="157"/>
        <v>1.726063829787189E-3</v>
      </c>
      <c r="CZ197" s="10">
        <f t="shared" si="158"/>
        <v>2.7393617021266608E-4</v>
      </c>
      <c r="DA197" s="10">
        <f t="shared" si="159"/>
        <v>-8.1515957446822611E-4</v>
      </c>
      <c r="DB197" s="10">
        <f t="shared" si="160"/>
        <v>-4.0824468085106881E-3</v>
      </c>
      <c r="DC197" s="10">
        <f t="shared" si="161"/>
        <v>1.5292553191486081E-4</v>
      </c>
      <c r="DD197" s="10">
        <f t="shared" si="162"/>
        <v>-4.2639627659575036E-3</v>
      </c>
      <c r="DE197" s="10">
        <f t="shared" si="163"/>
        <v>1.3025265957445481E-3</v>
      </c>
      <c r="DF197" s="10">
        <f t="shared" si="164"/>
        <v>1.726063829787189E-3</v>
      </c>
      <c r="DG197" s="10">
        <f t="shared" si="165"/>
        <v>-7.1682180851065491E-3</v>
      </c>
      <c r="DH197" s="10">
        <f t="shared" si="166"/>
        <v>3.3444148936167617E-4</v>
      </c>
      <c r="DI197" s="10">
        <f t="shared" si="167"/>
        <v>-3.3563829787234263E-3</v>
      </c>
      <c r="DJ197" s="10">
        <f t="shared" si="168"/>
        <v>1.4235372340423535E-3</v>
      </c>
      <c r="DK197" s="10">
        <f t="shared" si="169"/>
        <v>-5.1263297872360548E-4</v>
      </c>
      <c r="DL197" s="10">
        <f t="shared" si="170"/>
        <v>-3.4168882978724367E-3</v>
      </c>
      <c r="DM197" s="10">
        <f t="shared" si="171"/>
        <v>-6.744680851063908E-3</v>
      </c>
      <c r="DN197" s="10">
        <f t="shared" si="172"/>
        <v>-1.4960106382997477E-4</v>
      </c>
      <c r="DO197" s="10">
        <f t="shared" si="173"/>
        <v>-3.0538563829788055E-3</v>
      </c>
      <c r="DP197" s="10">
        <f t="shared" si="174"/>
        <v>9.999999999999276E-4</v>
      </c>
      <c r="DQ197" s="10">
        <f t="shared" si="175"/>
        <v>-2.8118351063829801E-3</v>
      </c>
      <c r="DR197" s="10">
        <f t="shared" si="176"/>
        <v>-8.1515957446822611E-4</v>
      </c>
      <c r="DS197" s="10">
        <f t="shared" si="177"/>
        <v>-8.5598404255320618E-3</v>
      </c>
      <c r="DT197" s="10">
        <f t="shared" si="178"/>
        <v>-3.5984042553192518E-3</v>
      </c>
      <c r="DU197" s="10">
        <f t="shared" si="179"/>
        <v>-7.5465425531921607E-4</v>
      </c>
      <c r="DV197" s="10">
        <f t="shared" si="180"/>
        <v>-5.4135638297874052E-3</v>
      </c>
      <c r="DW197" s="10">
        <f t="shared" si="181"/>
        <v>-5.1715425531915797E-3</v>
      </c>
    </row>
    <row r="198" spans="2:127" x14ac:dyDescent="0.45">
      <c r="B198" s="1">
        <v>24</v>
      </c>
      <c r="C198" s="1">
        <v>2835</v>
      </c>
      <c r="D198" s="7">
        <f t="shared" si="182"/>
        <v>16.615384615384617</v>
      </c>
      <c r="E198" s="1">
        <v>16.536000000000001</v>
      </c>
      <c r="F198" s="1">
        <v>16.606999999999999</v>
      </c>
      <c r="G198" s="1">
        <v>16.614000000000001</v>
      </c>
      <c r="H198" s="1">
        <v>16.518000000000001</v>
      </c>
      <c r="I198" s="1">
        <v>16.576000000000001</v>
      </c>
      <c r="J198" s="1">
        <v>16.574999999999999</v>
      </c>
      <c r="K198" s="1">
        <v>16.704000000000001</v>
      </c>
      <c r="L198" s="1">
        <v>16.542000000000002</v>
      </c>
      <c r="M198" s="1">
        <v>16.643000000000001</v>
      </c>
      <c r="N198" s="1">
        <v>16.645</v>
      </c>
      <c r="O198" s="1">
        <v>16.588999999999999</v>
      </c>
      <c r="P198" s="1">
        <v>16.565000000000001</v>
      </c>
      <c r="Q198" s="1">
        <v>16.623999999999999</v>
      </c>
      <c r="R198" s="1">
        <v>16.588999999999999</v>
      </c>
      <c r="S198" s="1">
        <v>16.588999999999999</v>
      </c>
      <c r="T198" s="1">
        <v>16.646999999999998</v>
      </c>
      <c r="U198" s="1">
        <v>16.617000000000001</v>
      </c>
      <c r="V198" s="1">
        <v>16.568000000000001</v>
      </c>
      <c r="W198" s="1">
        <v>16.588999999999999</v>
      </c>
      <c r="X198" s="1">
        <v>16.529</v>
      </c>
      <c r="Y198" s="1">
        <v>16.588999999999999</v>
      </c>
      <c r="Z198" s="1">
        <v>16.550999999999998</v>
      </c>
      <c r="AA198" s="1">
        <v>16.628</v>
      </c>
      <c r="AB198" s="1">
        <v>16.556000000000001</v>
      </c>
      <c r="AC198" s="1">
        <v>16.582999999999998</v>
      </c>
      <c r="AD198" s="1">
        <v>16.617999999999999</v>
      </c>
      <c r="AE198" s="1">
        <v>16.579000000000001</v>
      </c>
      <c r="AF198" s="1">
        <v>16.622</v>
      </c>
      <c r="AG198" s="1">
        <v>16.606999999999999</v>
      </c>
      <c r="AH198" s="1">
        <v>16.613</v>
      </c>
      <c r="AI198" s="1">
        <v>16.640999999999998</v>
      </c>
      <c r="AJ198" s="1">
        <v>16.48</v>
      </c>
      <c r="AK198" s="1">
        <v>16.532</v>
      </c>
      <c r="AL198" s="1">
        <v>16.568000000000001</v>
      </c>
      <c r="AM198" s="1">
        <v>16.614000000000001</v>
      </c>
      <c r="AN198" s="1">
        <v>16.643999999999998</v>
      </c>
      <c r="AO198" s="1">
        <v>16.620999999999999</v>
      </c>
      <c r="AP198" s="1">
        <v>16.605</v>
      </c>
      <c r="AQ198" s="1">
        <v>16.544</v>
      </c>
      <c r="AR198" s="1">
        <v>16.620999999999999</v>
      </c>
      <c r="AS198" s="1">
        <v>16.545000000000002</v>
      </c>
      <c r="AT198" s="1">
        <v>16.635999999999999</v>
      </c>
      <c r="AU198" s="1">
        <v>16.645</v>
      </c>
      <c r="AV198" s="1">
        <v>16.498999999999999</v>
      </c>
      <c r="AW198" s="1">
        <v>16.622</v>
      </c>
      <c r="AX198" s="1">
        <v>16.559999999999999</v>
      </c>
      <c r="AY198" s="1">
        <v>16.64</v>
      </c>
      <c r="AZ198" s="1">
        <v>16.605</v>
      </c>
      <c r="BA198" s="1">
        <v>16.556000000000001</v>
      </c>
      <c r="BB198" s="1">
        <v>16.503</v>
      </c>
      <c r="BC198" s="1">
        <v>16.611999999999998</v>
      </c>
      <c r="BD198" s="1">
        <v>16.565000000000001</v>
      </c>
      <c r="BE198" s="1">
        <v>16.632999999999999</v>
      </c>
      <c r="BF198" s="1">
        <v>16.568000000000001</v>
      </c>
      <c r="BG198" s="1">
        <v>16.602</v>
      </c>
      <c r="BH198" s="1">
        <v>16.472000000000001</v>
      </c>
      <c r="BI198" s="1">
        <v>16.556000000000001</v>
      </c>
      <c r="BJ198" s="1">
        <v>16.605</v>
      </c>
      <c r="BK198" s="1">
        <v>16.526</v>
      </c>
      <c r="BL198" s="1">
        <v>16.53</v>
      </c>
      <c r="BN198" s="9">
        <v>24</v>
      </c>
      <c r="BO198" s="9">
        <v>2835</v>
      </c>
      <c r="BP198" s="10">
        <f t="shared" si="122"/>
        <v>-4.7777777777777775E-3</v>
      </c>
      <c r="BQ198" s="10">
        <f t="shared" si="123"/>
        <v>-5.0462962962975289E-4</v>
      </c>
      <c r="BR198" s="10">
        <f t="shared" si="124"/>
        <v>-8.333333333336938E-5</v>
      </c>
      <c r="BS198" s="10">
        <f t="shared" si="125"/>
        <v>-5.861111111111152E-3</v>
      </c>
      <c r="BT198" s="10">
        <f t="shared" si="126"/>
        <v>-2.3703703703704215E-3</v>
      </c>
      <c r="BU198" s="10">
        <f t="shared" si="127"/>
        <v>-2.4305555555556805E-3</v>
      </c>
      <c r="BV198" s="10">
        <f t="shared" si="128"/>
        <v>5.3333333333332881E-3</v>
      </c>
      <c r="BW198" s="10">
        <f t="shared" si="129"/>
        <v>-4.416666666666653E-3</v>
      </c>
      <c r="BX198" s="10">
        <f t="shared" si="130"/>
        <v>1.6620370370369958E-3</v>
      </c>
      <c r="BY198" s="10">
        <f t="shared" si="131"/>
        <v>1.7824074074072993E-3</v>
      </c>
      <c r="BZ198" s="10">
        <f t="shared" si="132"/>
        <v>-1.5879629629631273E-3</v>
      </c>
      <c r="CA198" s="10">
        <f t="shared" si="133"/>
        <v>-3.0324074074074125E-3</v>
      </c>
      <c r="CB198" s="10">
        <f t="shared" si="134"/>
        <v>5.1851851851836273E-4</v>
      </c>
      <c r="CC198" s="10">
        <f t="shared" si="135"/>
        <v>-1.5879629629631273E-3</v>
      </c>
      <c r="CD198" s="10">
        <f t="shared" si="136"/>
        <v>-1.5879629629631273E-3</v>
      </c>
      <c r="CE198" s="10">
        <f t="shared" si="137"/>
        <v>1.902777777777603E-3</v>
      </c>
      <c r="CF198" s="10">
        <f t="shared" si="138"/>
        <v>9.7222222222192997E-5</v>
      </c>
      <c r="CG198" s="10">
        <f t="shared" si="139"/>
        <v>-2.8518518518518502E-3</v>
      </c>
      <c r="CH198" s="10">
        <f t="shared" si="140"/>
        <v>-1.5879629629631273E-3</v>
      </c>
      <c r="CI198" s="10">
        <f t="shared" si="141"/>
        <v>-5.1990740740741614E-3</v>
      </c>
      <c r="CJ198" s="10">
        <f t="shared" si="142"/>
        <v>-1.5879629629631273E-3</v>
      </c>
      <c r="CK198" s="10">
        <f t="shared" si="143"/>
        <v>-3.8750000000001795E-3</v>
      </c>
      <c r="CL198" s="10">
        <f t="shared" si="144"/>
        <v>7.5925925925918376E-4</v>
      </c>
      <c r="CM198" s="10">
        <f t="shared" si="145"/>
        <v>-3.5740740740740997E-3</v>
      </c>
      <c r="CN198" s="10">
        <f t="shared" si="146"/>
        <v>-1.949074074074252E-3</v>
      </c>
      <c r="CO198" s="10">
        <f t="shared" si="147"/>
        <v>1.5740740740723792E-4</v>
      </c>
      <c r="CP198" s="10">
        <f t="shared" si="148"/>
        <v>-2.1898148148148592E-3</v>
      </c>
      <c r="CQ198" s="10">
        <f t="shared" si="149"/>
        <v>3.9814814814805906E-4</v>
      </c>
      <c r="CR198" s="10">
        <f t="shared" si="150"/>
        <v>-5.0462962962975289E-4</v>
      </c>
      <c r="CS198" s="10">
        <f t="shared" si="151"/>
        <v>-1.435185185186281E-4</v>
      </c>
      <c r="CT198" s="10">
        <f t="shared" si="152"/>
        <v>1.5416666666664782E-3</v>
      </c>
      <c r="CU198" s="10">
        <f t="shared" si="153"/>
        <v>-8.1481481481482047E-3</v>
      </c>
      <c r="CV198" s="10">
        <f t="shared" si="154"/>
        <v>-5.0185185185185983E-3</v>
      </c>
      <c r="CW198" s="10">
        <f t="shared" si="155"/>
        <v>-2.8518518518518502E-3</v>
      </c>
      <c r="CX198" s="10">
        <f t="shared" si="156"/>
        <v>-8.333333333336938E-5</v>
      </c>
      <c r="CY198" s="10">
        <f t="shared" si="157"/>
        <v>1.7222222222220407E-3</v>
      </c>
      <c r="CZ198" s="10">
        <f t="shared" si="158"/>
        <v>3.3796296296280029E-4</v>
      </c>
      <c r="DA198" s="10">
        <f t="shared" si="159"/>
        <v>-6.250000000000565E-4</v>
      </c>
      <c r="DB198" s="10">
        <f t="shared" si="160"/>
        <v>-4.2962962962963492E-3</v>
      </c>
      <c r="DC198" s="10">
        <f t="shared" si="161"/>
        <v>3.3796296296280029E-4</v>
      </c>
      <c r="DD198" s="10">
        <f t="shared" si="162"/>
        <v>-4.2361111111110907E-3</v>
      </c>
      <c r="DE198" s="10">
        <f t="shared" si="163"/>
        <v>1.2407407407406122E-3</v>
      </c>
      <c r="DF198" s="10">
        <f t="shared" si="164"/>
        <v>1.7824074074072993E-3</v>
      </c>
      <c r="DG198" s="10">
        <f t="shared" si="165"/>
        <v>-7.004629629629785E-3</v>
      </c>
      <c r="DH198" s="10">
        <f t="shared" si="166"/>
        <v>3.9814814814805906E-4</v>
      </c>
      <c r="DI198" s="10">
        <f t="shared" si="167"/>
        <v>-3.3333333333334923E-3</v>
      </c>
      <c r="DJ198" s="10">
        <f t="shared" si="168"/>
        <v>1.4814814814814333E-3</v>
      </c>
      <c r="DK198" s="10">
        <f t="shared" si="169"/>
        <v>-6.250000000000565E-4</v>
      </c>
      <c r="DL198" s="10">
        <f t="shared" si="170"/>
        <v>-3.5740740740740997E-3</v>
      </c>
      <c r="DM198" s="10">
        <f t="shared" si="171"/>
        <v>-6.7638888888889633E-3</v>
      </c>
      <c r="DN198" s="10">
        <f t="shared" si="172"/>
        <v>-2.0370370370388684E-4</v>
      </c>
      <c r="DO198" s="10">
        <f t="shared" si="173"/>
        <v>-3.0324074074074125E-3</v>
      </c>
      <c r="DP198" s="10">
        <f t="shared" si="174"/>
        <v>1.0601851851850498E-3</v>
      </c>
      <c r="DQ198" s="10">
        <f t="shared" si="175"/>
        <v>-2.8518518518518502E-3</v>
      </c>
      <c r="DR198" s="10">
        <f t="shared" si="176"/>
        <v>-8.0555555555561888E-4</v>
      </c>
      <c r="DS198" s="10">
        <f t="shared" si="177"/>
        <v>-8.6296296296296329E-3</v>
      </c>
      <c r="DT198" s="10">
        <f t="shared" si="178"/>
        <v>-3.5740740740740997E-3</v>
      </c>
      <c r="DU198" s="10">
        <f t="shared" si="179"/>
        <v>-6.250000000000565E-4</v>
      </c>
      <c r="DV198" s="10">
        <f t="shared" si="180"/>
        <v>-5.3796296296297237E-3</v>
      </c>
      <c r="DW198" s="10">
        <f t="shared" si="181"/>
        <v>-5.138888888888902E-3</v>
      </c>
    </row>
    <row r="199" spans="2:127" x14ac:dyDescent="0.45">
      <c r="B199" s="1">
        <v>24</v>
      </c>
      <c r="C199" s="1">
        <v>2850</v>
      </c>
      <c r="D199" s="7">
        <f t="shared" si="182"/>
        <v>16.703296703296704</v>
      </c>
      <c r="E199" s="1">
        <v>16.622</v>
      </c>
      <c r="F199" s="1">
        <v>16.693000000000001</v>
      </c>
      <c r="G199" s="1">
        <v>16.707000000000001</v>
      </c>
      <c r="H199" s="1">
        <v>16.606000000000002</v>
      </c>
      <c r="I199" s="1">
        <v>16.664000000000001</v>
      </c>
      <c r="J199" s="1">
        <v>16.663</v>
      </c>
      <c r="K199" s="1">
        <v>16.792000000000002</v>
      </c>
      <c r="L199" s="1">
        <v>16.623999999999999</v>
      </c>
      <c r="M199" s="1">
        <v>16.731999999999999</v>
      </c>
      <c r="N199" s="1">
        <v>16.736000000000001</v>
      </c>
      <c r="O199" s="1">
        <v>16.677</v>
      </c>
      <c r="P199" s="1">
        <v>16.652000000000001</v>
      </c>
      <c r="Q199" s="1">
        <v>16.715</v>
      </c>
      <c r="R199" s="1">
        <v>16.677</v>
      </c>
      <c r="S199" s="1">
        <v>16.678000000000001</v>
      </c>
      <c r="T199" s="1">
        <v>16.734000000000002</v>
      </c>
      <c r="U199" s="1">
        <v>16.704999999999998</v>
      </c>
      <c r="V199" s="1">
        <v>16.655999999999999</v>
      </c>
      <c r="W199" s="1">
        <v>16.678999999999998</v>
      </c>
      <c r="X199" s="1">
        <v>16.611999999999998</v>
      </c>
      <c r="Y199" s="1">
        <v>16.677</v>
      </c>
      <c r="Z199" s="1">
        <v>16.637</v>
      </c>
      <c r="AA199" s="1">
        <v>16.715</v>
      </c>
      <c r="AB199" s="1">
        <v>16.643000000000001</v>
      </c>
      <c r="AC199" s="1">
        <v>16.672999999999998</v>
      </c>
      <c r="AD199" s="1">
        <v>16.707999999999998</v>
      </c>
      <c r="AE199" s="1">
        <v>16.666</v>
      </c>
      <c r="AF199" s="1">
        <v>16.710999999999999</v>
      </c>
      <c r="AG199" s="1">
        <v>16.696000000000002</v>
      </c>
      <c r="AH199" s="1">
        <v>16.701000000000001</v>
      </c>
      <c r="AI199" s="1">
        <v>16.731000000000002</v>
      </c>
      <c r="AJ199" s="1">
        <v>16.564</v>
      </c>
      <c r="AK199" s="1">
        <v>16.617999999999999</v>
      </c>
      <c r="AL199" s="1">
        <v>16.655999999999999</v>
      </c>
      <c r="AM199" s="1">
        <v>16.701000000000001</v>
      </c>
      <c r="AN199" s="1">
        <v>16.734000000000002</v>
      </c>
      <c r="AO199" s="1">
        <v>16.707999999999998</v>
      </c>
      <c r="AP199" s="1">
        <v>16.692</v>
      </c>
      <c r="AQ199" s="1">
        <v>16.632000000000001</v>
      </c>
      <c r="AR199" s="1">
        <v>16.709</v>
      </c>
      <c r="AS199" s="1">
        <v>16.631</v>
      </c>
      <c r="AT199" s="1">
        <v>16.722999999999999</v>
      </c>
      <c r="AU199" s="1">
        <v>16.734999999999999</v>
      </c>
      <c r="AV199" s="1">
        <v>16.585999999999999</v>
      </c>
      <c r="AW199" s="1">
        <v>16.710999999999999</v>
      </c>
      <c r="AX199" s="1">
        <v>16.651</v>
      </c>
      <c r="AY199" s="1">
        <v>16.727</v>
      </c>
      <c r="AZ199" s="1">
        <v>16.692</v>
      </c>
      <c r="BA199" s="1">
        <v>16.640999999999998</v>
      </c>
      <c r="BB199" s="1">
        <v>16.591000000000001</v>
      </c>
      <c r="BC199" s="1">
        <v>16.7</v>
      </c>
      <c r="BD199" s="1">
        <v>16.652000000000001</v>
      </c>
      <c r="BE199" s="1">
        <v>16.72</v>
      </c>
      <c r="BF199" s="1">
        <v>16.655999999999999</v>
      </c>
      <c r="BG199" s="1">
        <v>16.689</v>
      </c>
      <c r="BH199" s="1">
        <v>16.556999999999999</v>
      </c>
      <c r="BI199" s="1">
        <v>16.640999999999998</v>
      </c>
      <c r="BJ199" s="1">
        <v>16.693000000000001</v>
      </c>
      <c r="BK199" s="1">
        <v>16.616</v>
      </c>
      <c r="BL199" s="1">
        <v>16.617999999999999</v>
      </c>
      <c r="BN199" s="9">
        <v>24</v>
      </c>
      <c r="BO199" s="9">
        <v>2850</v>
      </c>
      <c r="BP199" s="10">
        <f t="shared" si="122"/>
        <v>-4.8671052631579642E-3</v>
      </c>
      <c r="BQ199" s="10">
        <f t="shared" si="123"/>
        <v>-6.1644736842103229E-4</v>
      </c>
      <c r="BR199" s="10">
        <f t="shared" si="124"/>
        <v>2.2171052631577061E-4</v>
      </c>
      <c r="BS199" s="10">
        <f t="shared" si="125"/>
        <v>-5.8249999999999639E-3</v>
      </c>
      <c r="BT199" s="10">
        <f t="shared" si="126"/>
        <v>-2.3526315789473428E-3</v>
      </c>
      <c r="BU199" s="10">
        <f t="shared" si="127"/>
        <v>-2.4125000000000479E-3</v>
      </c>
      <c r="BV199" s="10">
        <f t="shared" si="128"/>
        <v>5.3105263157895051E-3</v>
      </c>
      <c r="BW199" s="10">
        <f t="shared" si="129"/>
        <v>-4.7473684210527674E-3</v>
      </c>
      <c r="BX199" s="10">
        <f t="shared" si="130"/>
        <v>1.7184210526314748E-3</v>
      </c>
      <c r="BY199" s="10">
        <f t="shared" si="131"/>
        <v>1.9578947368420812E-3</v>
      </c>
      <c r="BZ199" s="10">
        <f t="shared" si="132"/>
        <v>-1.5743421052632448E-3</v>
      </c>
      <c r="CA199" s="10">
        <f t="shared" si="133"/>
        <v>-3.0710526315789492E-3</v>
      </c>
      <c r="CB199" s="10">
        <f t="shared" si="134"/>
        <v>7.006578947367705E-4</v>
      </c>
      <c r="CC199" s="10">
        <f t="shared" si="135"/>
        <v>-1.5743421052632448E-3</v>
      </c>
      <c r="CD199" s="10">
        <f t="shared" si="136"/>
        <v>-1.5144736842105399E-3</v>
      </c>
      <c r="CE199" s="10">
        <f t="shared" si="137"/>
        <v>1.8381578947368844E-3</v>
      </c>
      <c r="CF199" s="10">
        <f t="shared" si="138"/>
        <v>1.0197368421036111E-4</v>
      </c>
      <c r="CG199" s="10">
        <f t="shared" si="139"/>
        <v>-2.8315789473685555E-3</v>
      </c>
      <c r="CH199" s="10">
        <f t="shared" si="140"/>
        <v>-1.454605263158048E-3</v>
      </c>
      <c r="CI199" s="10">
        <f t="shared" si="141"/>
        <v>-5.4657894736843734E-3</v>
      </c>
      <c r="CJ199" s="10">
        <f t="shared" si="142"/>
        <v>-1.5743421052632448E-3</v>
      </c>
      <c r="CK199" s="10">
        <f t="shared" si="143"/>
        <v>-3.9690789473684563E-3</v>
      </c>
      <c r="CL199" s="10">
        <f t="shared" si="144"/>
        <v>7.006578947367705E-4</v>
      </c>
      <c r="CM199" s="10">
        <f t="shared" si="145"/>
        <v>-3.6098684210526537E-3</v>
      </c>
      <c r="CN199" s="10">
        <f t="shared" si="146"/>
        <v>-1.813815789473851E-3</v>
      </c>
      <c r="CO199" s="10">
        <f t="shared" si="147"/>
        <v>2.8157894736826266E-4</v>
      </c>
      <c r="CP199" s="10">
        <f t="shared" si="148"/>
        <v>-2.2328947368421459E-3</v>
      </c>
      <c r="CQ199" s="10">
        <f t="shared" si="149"/>
        <v>4.6118421052616416E-4</v>
      </c>
      <c r="CR199" s="10">
        <f t="shared" si="150"/>
        <v>-4.3684210526313079E-4</v>
      </c>
      <c r="CS199" s="10">
        <f t="shared" si="151"/>
        <v>-1.3750000000003248E-4</v>
      </c>
      <c r="CT199" s="10">
        <f t="shared" si="152"/>
        <v>1.6585526315789829E-3</v>
      </c>
      <c r="CU199" s="10">
        <f t="shared" si="153"/>
        <v>-8.3394736842105858E-3</v>
      </c>
      <c r="CV199" s="10">
        <f t="shared" si="154"/>
        <v>-5.1065789473685704E-3</v>
      </c>
      <c r="CW199" s="10">
        <f t="shared" si="155"/>
        <v>-2.8315789473685555E-3</v>
      </c>
      <c r="CX199" s="10">
        <f t="shared" si="156"/>
        <v>-1.3750000000003248E-4</v>
      </c>
      <c r="CY199" s="10">
        <f t="shared" si="157"/>
        <v>1.8381578947368844E-3</v>
      </c>
      <c r="CZ199" s="10">
        <f t="shared" si="158"/>
        <v>2.8157894736826266E-4</v>
      </c>
      <c r="DA199" s="10">
        <f t="shared" si="159"/>
        <v>-6.7631578947373707E-4</v>
      </c>
      <c r="DB199" s="10">
        <f t="shared" si="160"/>
        <v>-4.268421052631555E-3</v>
      </c>
      <c r="DC199" s="10">
        <f t="shared" si="161"/>
        <v>3.4144736842096738E-4</v>
      </c>
      <c r="DD199" s="10">
        <f t="shared" si="162"/>
        <v>-4.3282894736842601E-3</v>
      </c>
      <c r="DE199" s="10">
        <f t="shared" si="163"/>
        <v>1.1796052631577703E-3</v>
      </c>
      <c r="DF199" s="10">
        <f t="shared" si="164"/>
        <v>1.8980263157893763E-3</v>
      </c>
      <c r="DG199" s="10">
        <f t="shared" si="165"/>
        <v>-7.0223684210527831E-3</v>
      </c>
      <c r="DH199" s="10">
        <f t="shared" si="166"/>
        <v>4.6118421052616416E-4</v>
      </c>
      <c r="DI199" s="10">
        <f t="shared" si="167"/>
        <v>-3.1309210526316539E-3</v>
      </c>
      <c r="DJ199" s="10">
        <f t="shared" si="168"/>
        <v>1.4190789473683765E-3</v>
      </c>
      <c r="DK199" s="10">
        <f t="shared" si="169"/>
        <v>-6.7631578947373707E-4</v>
      </c>
      <c r="DL199" s="10">
        <f t="shared" si="170"/>
        <v>-3.729605263158063E-3</v>
      </c>
      <c r="DM199" s="10">
        <f t="shared" si="171"/>
        <v>-6.7230263157894718E-3</v>
      </c>
      <c r="DN199" s="10">
        <f t="shared" si="172"/>
        <v>-1.973684210527372E-4</v>
      </c>
      <c r="DO199" s="10">
        <f t="shared" si="173"/>
        <v>-3.0710526315789492E-3</v>
      </c>
      <c r="DP199" s="10">
        <f t="shared" si="174"/>
        <v>9.9999999999986883E-4</v>
      </c>
      <c r="DQ199" s="10">
        <f t="shared" si="175"/>
        <v>-2.8315789473685555E-3</v>
      </c>
      <c r="DR199" s="10">
        <f t="shared" si="176"/>
        <v>-8.5592105263163857E-4</v>
      </c>
      <c r="DS199" s="10">
        <f t="shared" si="177"/>
        <v>-8.7585526315790939E-3</v>
      </c>
      <c r="DT199" s="10">
        <f t="shared" si="178"/>
        <v>-3.729605263158063E-3</v>
      </c>
      <c r="DU199" s="10">
        <f t="shared" si="179"/>
        <v>-6.1644736842103229E-4</v>
      </c>
      <c r="DV199" s="10">
        <f t="shared" si="180"/>
        <v>-5.2263157894737672E-3</v>
      </c>
      <c r="DW199" s="10">
        <f t="shared" si="181"/>
        <v>-5.1065789473685704E-3</v>
      </c>
    </row>
    <row r="200" spans="2:127" x14ac:dyDescent="0.45">
      <c r="B200" s="1">
        <v>24</v>
      </c>
      <c r="C200" s="1">
        <v>2865</v>
      </c>
      <c r="D200" s="7">
        <f t="shared" si="182"/>
        <v>16.791208791208792</v>
      </c>
      <c r="E200" s="1">
        <v>16.710999999999999</v>
      </c>
      <c r="F200" s="1">
        <v>16.780999999999999</v>
      </c>
      <c r="G200" s="1">
        <v>16.792999999999999</v>
      </c>
      <c r="H200" s="1">
        <v>16.693999999999999</v>
      </c>
      <c r="I200" s="1">
        <v>16.753</v>
      </c>
      <c r="J200" s="1">
        <v>16.751000000000001</v>
      </c>
      <c r="K200" s="1">
        <v>16.881</v>
      </c>
      <c r="L200" s="1">
        <v>16.712</v>
      </c>
      <c r="M200" s="1">
        <v>16.82</v>
      </c>
      <c r="N200" s="1">
        <v>16.826000000000001</v>
      </c>
      <c r="O200" s="1">
        <v>16.765000000000001</v>
      </c>
      <c r="P200" s="1">
        <v>16.739000000000001</v>
      </c>
      <c r="Q200" s="1">
        <v>16.803000000000001</v>
      </c>
      <c r="R200" s="1">
        <v>16.765999999999998</v>
      </c>
      <c r="S200" s="1">
        <v>16.768000000000001</v>
      </c>
      <c r="T200" s="1">
        <v>16.82</v>
      </c>
      <c r="U200" s="1">
        <v>16.792999999999999</v>
      </c>
      <c r="V200" s="1">
        <v>16.742999999999999</v>
      </c>
      <c r="W200" s="1">
        <v>16.765999999999998</v>
      </c>
      <c r="X200" s="1">
        <v>16.698</v>
      </c>
      <c r="Y200" s="1">
        <v>16.763000000000002</v>
      </c>
      <c r="Z200" s="1">
        <v>16.724</v>
      </c>
      <c r="AA200" s="1">
        <v>16.803000000000001</v>
      </c>
      <c r="AB200" s="1">
        <v>16.731999999999999</v>
      </c>
      <c r="AC200" s="1">
        <v>16.759</v>
      </c>
      <c r="AD200" s="1">
        <v>16.798999999999999</v>
      </c>
      <c r="AE200" s="1">
        <v>16.753</v>
      </c>
      <c r="AF200" s="1">
        <v>16.798999999999999</v>
      </c>
      <c r="AG200" s="1">
        <v>16.782</v>
      </c>
      <c r="AH200" s="1">
        <v>16.791</v>
      </c>
      <c r="AI200" s="1">
        <v>16.818999999999999</v>
      </c>
      <c r="AJ200" s="1">
        <v>16.649999999999999</v>
      </c>
      <c r="AK200" s="1">
        <v>16.704999999999998</v>
      </c>
      <c r="AL200" s="1">
        <v>16.742000000000001</v>
      </c>
      <c r="AM200" s="1">
        <v>16.786999999999999</v>
      </c>
      <c r="AN200" s="1">
        <v>16.823</v>
      </c>
      <c r="AO200" s="1">
        <v>16.795000000000002</v>
      </c>
      <c r="AP200" s="1">
        <v>16.78</v>
      </c>
      <c r="AQ200" s="1">
        <v>16.719000000000001</v>
      </c>
      <c r="AR200" s="1">
        <v>16.797000000000001</v>
      </c>
      <c r="AS200" s="1">
        <v>16.716000000000001</v>
      </c>
      <c r="AT200" s="1">
        <v>16.809999999999999</v>
      </c>
      <c r="AU200" s="1">
        <v>16.821999999999999</v>
      </c>
      <c r="AV200" s="1">
        <v>16.670000000000002</v>
      </c>
      <c r="AW200" s="1">
        <v>16.797000000000001</v>
      </c>
      <c r="AX200" s="1">
        <v>16.738</v>
      </c>
      <c r="AY200" s="1">
        <v>16.814</v>
      </c>
      <c r="AZ200" s="1">
        <v>16.78</v>
      </c>
      <c r="BA200" s="1">
        <v>16.731000000000002</v>
      </c>
      <c r="BB200" s="1">
        <v>16.677</v>
      </c>
      <c r="BC200" s="1">
        <v>16.786999999999999</v>
      </c>
      <c r="BD200" s="1">
        <v>16.739999999999998</v>
      </c>
      <c r="BE200" s="1">
        <v>16.808</v>
      </c>
      <c r="BF200" s="1">
        <v>16.742999999999999</v>
      </c>
      <c r="BG200" s="1">
        <v>16.771999999999998</v>
      </c>
      <c r="BH200" s="1">
        <v>16.649999999999999</v>
      </c>
      <c r="BI200" s="1">
        <v>16.728000000000002</v>
      </c>
      <c r="BJ200" s="1">
        <v>16.780999999999999</v>
      </c>
      <c r="BK200" s="1">
        <v>16.710999999999999</v>
      </c>
      <c r="BL200" s="1">
        <v>16.707000000000001</v>
      </c>
      <c r="BN200" s="9">
        <v>24</v>
      </c>
      <c r="BO200" s="9">
        <v>2865</v>
      </c>
      <c r="BP200" s="10">
        <f t="shared" si="122"/>
        <v>-4.7768324607331165E-3</v>
      </c>
      <c r="BQ200" s="10">
        <f t="shared" si="123"/>
        <v>-6.0798429319383249E-4</v>
      </c>
      <c r="BR200" s="10">
        <f t="shared" si="124"/>
        <v>1.0667539267006888E-4</v>
      </c>
      <c r="BS200" s="10">
        <f t="shared" si="125"/>
        <v>-5.7892670157069061E-3</v>
      </c>
      <c r="BT200" s="10">
        <f t="shared" si="126"/>
        <v>-2.2755235602094615E-3</v>
      </c>
      <c r="BU200" s="10">
        <f t="shared" si="127"/>
        <v>-2.3946335078533745E-3</v>
      </c>
      <c r="BV200" s="10">
        <f t="shared" si="128"/>
        <v>5.347513089005205E-3</v>
      </c>
      <c r="BW200" s="10">
        <f t="shared" si="129"/>
        <v>-4.7172774869110538E-3</v>
      </c>
      <c r="BX200" s="10">
        <f t="shared" si="130"/>
        <v>1.7146596858638469E-3</v>
      </c>
      <c r="BY200" s="10">
        <f t="shared" si="131"/>
        <v>2.0719895287957977E-3</v>
      </c>
      <c r="BZ200" s="10">
        <f t="shared" si="132"/>
        <v>-1.5608638743455599E-3</v>
      </c>
      <c r="CA200" s="10">
        <f t="shared" si="133"/>
        <v>-3.1092931937172757E-3</v>
      </c>
      <c r="CB200" s="10">
        <f t="shared" si="134"/>
        <v>7.0222513089005726E-4</v>
      </c>
      <c r="CC200" s="10">
        <f t="shared" si="135"/>
        <v>-1.5013089005237092E-3</v>
      </c>
      <c r="CD200" s="10">
        <f t="shared" si="136"/>
        <v>-1.3821989528795845E-3</v>
      </c>
      <c r="CE200" s="10">
        <f t="shared" si="137"/>
        <v>1.7146596858638469E-3</v>
      </c>
      <c r="CF200" s="10">
        <f t="shared" si="138"/>
        <v>1.0667539267006888E-4</v>
      </c>
      <c r="CG200" s="10">
        <f t="shared" si="139"/>
        <v>-2.8710732984294496E-3</v>
      </c>
      <c r="CH200" s="10">
        <f t="shared" si="140"/>
        <v>-1.5013089005237092E-3</v>
      </c>
      <c r="CI200" s="10">
        <f t="shared" si="141"/>
        <v>-5.5510471204188684E-3</v>
      </c>
      <c r="CJ200" s="10">
        <f t="shared" si="142"/>
        <v>-1.679973821989473E-3</v>
      </c>
      <c r="CK200" s="10">
        <f t="shared" si="143"/>
        <v>-4.0026178010471522E-3</v>
      </c>
      <c r="CL200" s="10">
        <f t="shared" si="144"/>
        <v>7.0222513089005726E-4</v>
      </c>
      <c r="CM200" s="10">
        <f t="shared" si="145"/>
        <v>-3.5261780104712888E-3</v>
      </c>
      <c r="CN200" s="10">
        <f t="shared" si="146"/>
        <v>-1.9181937172775107E-3</v>
      </c>
      <c r="CO200" s="10">
        <f t="shared" si="147"/>
        <v>4.6400523560201958E-4</v>
      </c>
      <c r="CP200" s="10">
        <f t="shared" si="148"/>
        <v>-2.2755235602094615E-3</v>
      </c>
      <c r="CQ200" s="10">
        <f t="shared" si="149"/>
        <v>4.6400523560201958E-4</v>
      </c>
      <c r="CR200" s="10">
        <f t="shared" si="150"/>
        <v>-5.4842931937177026E-4</v>
      </c>
      <c r="CS200" s="10">
        <f t="shared" si="151"/>
        <v>-1.2434554973844161E-5</v>
      </c>
      <c r="CT200" s="10">
        <f t="shared" si="152"/>
        <v>1.6551047120417848E-3</v>
      </c>
      <c r="CU200" s="10">
        <f t="shared" si="153"/>
        <v>-8.4096858638744738E-3</v>
      </c>
      <c r="CV200" s="10">
        <f t="shared" si="154"/>
        <v>-5.1341623036650673E-3</v>
      </c>
      <c r="CW200" s="10">
        <f t="shared" si="155"/>
        <v>-2.9306282722513003E-3</v>
      </c>
      <c r="CX200" s="10">
        <f t="shared" si="156"/>
        <v>-2.5065445026188182E-4</v>
      </c>
      <c r="CY200" s="10">
        <f t="shared" si="157"/>
        <v>1.8933246073298223E-3</v>
      </c>
      <c r="CZ200" s="10">
        <f t="shared" si="158"/>
        <v>2.2578534031419349E-4</v>
      </c>
      <c r="DA200" s="10">
        <f t="shared" si="159"/>
        <v>-6.675392670156832E-4</v>
      </c>
      <c r="DB200" s="10">
        <f t="shared" si="160"/>
        <v>-4.3003926701570411E-3</v>
      </c>
      <c r="DC200" s="10">
        <f t="shared" si="161"/>
        <v>3.4489528795810653E-4</v>
      </c>
      <c r="DD200" s="10">
        <f t="shared" si="162"/>
        <v>-4.479057591623016E-3</v>
      </c>
      <c r="DE200" s="10">
        <f t="shared" si="163"/>
        <v>1.1191099476438586E-3</v>
      </c>
      <c r="DF200" s="10">
        <f t="shared" si="164"/>
        <v>1.83376963350776E-3</v>
      </c>
      <c r="DG200" s="10">
        <f t="shared" si="165"/>
        <v>-7.2185863874344976E-3</v>
      </c>
      <c r="DH200" s="10">
        <f t="shared" si="166"/>
        <v>3.4489528795810653E-4</v>
      </c>
      <c r="DI200" s="10">
        <f t="shared" si="167"/>
        <v>-3.168848167539338E-3</v>
      </c>
      <c r="DJ200" s="10">
        <f t="shared" si="168"/>
        <v>1.3573298429318964E-3</v>
      </c>
      <c r="DK200" s="10">
        <f t="shared" si="169"/>
        <v>-6.675392670156832E-4</v>
      </c>
      <c r="DL200" s="10">
        <f t="shared" si="170"/>
        <v>-3.5857329842931395E-3</v>
      </c>
      <c r="DM200" s="10">
        <f t="shared" si="171"/>
        <v>-6.8017015706806957E-3</v>
      </c>
      <c r="DN200" s="10">
        <f t="shared" si="172"/>
        <v>-2.5065445026188182E-4</v>
      </c>
      <c r="DO200" s="10">
        <f t="shared" si="173"/>
        <v>-3.049738219895425E-3</v>
      </c>
      <c r="DP200" s="10">
        <f t="shared" si="174"/>
        <v>9.9999999999994559E-4</v>
      </c>
      <c r="DQ200" s="10">
        <f t="shared" si="175"/>
        <v>-2.8710732984294496E-3</v>
      </c>
      <c r="DR200" s="10">
        <f t="shared" si="176"/>
        <v>-1.1439790575917587E-3</v>
      </c>
      <c r="DS200" s="10">
        <f t="shared" si="177"/>
        <v>-8.4096858638744738E-3</v>
      </c>
      <c r="DT200" s="10">
        <f t="shared" si="178"/>
        <v>-3.7643979057591149E-3</v>
      </c>
      <c r="DU200" s="10">
        <f t="shared" si="179"/>
        <v>-6.0798429319383249E-4</v>
      </c>
      <c r="DV200" s="10">
        <f t="shared" si="180"/>
        <v>-4.7768324607331165E-3</v>
      </c>
      <c r="DW200" s="10">
        <f t="shared" si="181"/>
        <v>-5.0150523560209426E-3</v>
      </c>
    </row>
    <row r="201" spans="2:127" x14ac:dyDescent="0.45">
      <c r="B201" s="1">
        <v>24</v>
      </c>
      <c r="C201" s="1">
        <v>2880</v>
      </c>
      <c r="D201" s="7">
        <f t="shared" si="182"/>
        <v>16.87912087912088</v>
      </c>
      <c r="E201" s="1">
        <v>16.797000000000001</v>
      </c>
      <c r="F201" s="1">
        <v>16.869</v>
      </c>
      <c r="G201" s="1">
        <v>16.882999999999999</v>
      </c>
      <c r="H201" s="1">
        <v>16.786999999999999</v>
      </c>
      <c r="I201" s="1">
        <v>16.841000000000001</v>
      </c>
      <c r="J201" s="1">
        <v>16.838999999999999</v>
      </c>
      <c r="K201" s="1">
        <v>16.968</v>
      </c>
      <c r="L201" s="1">
        <v>16.795999999999999</v>
      </c>
      <c r="M201" s="1">
        <v>16.908999999999999</v>
      </c>
      <c r="N201" s="1">
        <v>16.914999999999999</v>
      </c>
      <c r="O201" s="1">
        <v>16.853000000000002</v>
      </c>
      <c r="P201" s="1">
        <v>16.827000000000002</v>
      </c>
      <c r="Q201" s="1">
        <v>16.890999999999998</v>
      </c>
      <c r="R201" s="1">
        <v>16.856000000000002</v>
      </c>
      <c r="S201" s="1">
        <v>16.856000000000002</v>
      </c>
      <c r="T201" s="1">
        <v>16.908999999999999</v>
      </c>
      <c r="U201" s="1">
        <v>16.88</v>
      </c>
      <c r="V201" s="1">
        <v>16.832999999999998</v>
      </c>
      <c r="W201" s="1">
        <v>16.853999999999999</v>
      </c>
      <c r="X201" s="1">
        <v>16.788</v>
      </c>
      <c r="Y201" s="1">
        <v>16.850000000000001</v>
      </c>
      <c r="Z201" s="1">
        <v>16.814</v>
      </c>
      <c r="AA201" s="1">
        <v>16.890999999999998</v>
      </c>
      <c r="AB201" s="1">
        <v>16.818000000000001</v>
      </c>
      <c r="AC201" s="1">
        <v>16.844999999999999</v>
      </c>
      <c r="AD201" s="1">
        <v>16.887</v>
      </c>
      <c r="AE201" s="1">
        <v>16.838000000000001</v>
      </c>
      <c r="AF201" s="1">
        <v>16.888000000000002</v>
      </c>
      <c r="AG201" s="1">
        <v>16.869</v>
      </c>
      <c r="AH201" s="1">
        <v>16.876999999999999</v>
      </c>
      <c r="AI201" s="1">
        <v>16.907</v>
      </c>
      <c r="AJ201" s="1">
        <v>16.734000000000002</v>
      </c>
      <c r="AK201" s="1">
        <v>16.792999999999999</v>
      </c>
      <c r="AL201" s="1">
        <v>16.829999999999998</v>
      </c>
      <c r="AM201" s="1">
        <v>16.876000000000001</v>
      </c>
      <c r="AN201" s="1">
        <v>16.913</v>
      </c>
      <c r="AO201" s="1">
        <v>16.88</v>
      </c>
      <c r="AP201" s="1">
        <v>16.869</v>
      </c>
      <c r="AQ201" s="1">
        <v>16.806000000000001</v>
      </c>
      <c r="AR201" s="1">
        <v>16.887</v>
      </c>
      <c r="AS201" s="1">
        <v>16.803000000000001</v>
      </c>
      <c r="AT201" s="1">
        <v>16.896000000000001</v>
      </c>
      <c r="AU201" s="1">
        <v>16.91</v>
      </c>
      <c r="AV201" s="1">
        <v>16.760999999999999</v>
      </c>
      <c r="AW201" s="1">
        <v>16.884</v>
      </c>
      <c r="AX201" s="1">
        <v>16.827000000000002</v>
      </c>
      <c r="AY201" s="1">
        <v>16.899999999999999</v>
      </c>
      <c r="AZ201" s="1">
        <v>16.864999999999998</v>
      </c>
      <c r="BA201" s="1">
        <v>16.818000000000001</v>
      </c>
      <c r="BB201" s="1">
        <v>16.763000000000002</v>
      </c>
      <c r="BC201" s="1">
        <v>16.875</v>
      </c>
      <c r="BD201" s="1">
        <v>16.827000000000002</v>
      </c>
      <c r="BE201" s="1">
        <v>16.896000000000001</v>
      </c>
      <c r="BF201" s="1">
        <v>16.829999999999998</v>
      </c>
      <c r="BG201" s="1">
        <v>16.861000000000001</v>
      </c>
      <c r="BH201" s="1">
        <v>16.731000000000002</v>
      </c>
      <c r="BI201" s="1">
        <v>16.815999999999999</v>
      </c>
      <c r="BJ201" s="1">
        <v>16.869</v>
      </c>
      <c r="BK201" s="1">
        <v>16.798999999999999</v>
      </c>
      <c r="BL201" s="1">
        <v>16.792999999999999</v>
      </c>
      <c r="BN201" s="9">
        <v>24</v>
      </c>
      <c r="BO201" s="9">
        <v>2880</v>
      </c>
      <c r="BP201" s="10">
        <f t="shared" ref="BP201:BP264" si="183">(E201-$D201)/$D201</f>
        <v>-4.8652343749999898E-3</v>
      </c>
      <c r="BQ201" s="10">
        <f t="shared" ref="BQ201:BQ264" si="184">(F201-$D201)/$D201</f>
        <v>-5.9960937500003891E-4</v>
      </c>
      <c r="BR201" s="10">
        <f t="shared" ref="BR201:BR264" si="185">(G201-$D201)/$D201</f>
        <v>2.2981770833325568E-4</v>
      </c>
      <c r="BS201" s="10">
        <f t="shared" ref="BS201:BS264" si="186">(H201-$D201)/$D201</f>
        <v>-5.4576822916667491E-3</v>
      </c>
      <c r="BT201" s="10">
        <f t="shared" ref="BT201:BT264" si="187">(I201-$D201)/$D201</f>
        <v>-2.2584635416666283E-3</v>
      </c>
      <c r="BU201" s="10">
        <f t="shared" ref="BU201:BU264" si="188">(J201-$D201)/$D201</f>
        <v>-2.3769531250001064E-3</v>
      </c>
      <c r="BV201" s="10">
        <f t="shared" ref="BV201:BV264" si="189">(K201-$D201)/$D201</f>
        <v>5.2656249999999726E-3</v>
      </c>
      <c r="BW201" s="10">
        <f t="shared" ref="BW201:BW264" si="190">(L201-$D201)/$D201</f>
        <v>-4.9244791666667289E-3</v>
      </c>
      <c r="BX201" s="10">
        <f t="shared" ref="BX201:BX264" si="191">(M201-$D201)/$D201</f>
        <v>1.7701822916665771E-3</v>
      </c>
      <c r="BY201" s="10">
        <f t="shared" ref="BY201:BY264" si="192">(N201-$D201)/$D201</f>
        <v>2.1256510416665909E-3</v>
      </c>
      <c r="BZ201" s="10">
        <f t="shared" ref="BZ201:BZ264" si="193">(O201-$D201)/$D201</f>
        <v>-1.5475260416666012E-3</v>
      </c>
      <c r="CA201" s="10">
        <f t="shared" ref="CA201:CA264" si="194">(P201-$D201)/$D201</f>
        <v>-3.0878906249999227E-3</v>
      </c>
      <c r="CB201" s="10">
        <f t="shared" ref="CB201:CB264" si="195">(Q201-$D201)/$D201</f>
        <v>7.0377604166653679E-4</v>
      </c>
      <c r="CC201" s="10">
        <f t="shared" ref="CC201:CC264" si="196">(R201-$D201)/$D201</f>
        <v>-1.3697916666665945E-3</v>
      </c>
      <c r="CD201" s="10">
        <f t="shared" ref="CD201:CD264" si="197">(S201-$D201)/$D201</f>
        <v>-1.3697916666665945E-3</v>
      </c>
      <c r="CE201" s="10">
        <f t="shared" ref="CE201:CE264" si="198">(T201-$D201)/$D201</f>
        <v>1.7701822916665771E-3</v>
      </c>
      <c r="CF201" s="10">
        <f t="shared" ref="CF201:CF264" si="199">(U201-$D201)/$D201</f>
        <v>5.2083333333248952E-5</v>
      </c>
      <c r="CG201" s="10">
        <f t="shared" ref="CG201:CG264" si="200">(V201-$D201)/$D201</f>
        <v>-2.7324218750001197E-3</v>
      </c>
      <c r="CH201" s="10">
        <f t="shared" ref="CH201:CH264" si="201">(W201-$D201)/$D201</f>
        <v>-1.4882812500000724E-3</v>
      </c>
      <c r="CI201" s="10">
        <f t="shared" ref="CI201:CI264" si="202">(X201-$D201)/$D201</f>
        <v>-5.39843750000001E-3</v>
      </c>
      <c r="CJ201" s="10">
        <f t="shared" ref="CJ201:CJ264" si="203">(Y201-$D201)/$D201</f>
        <v>-1.7252604166666078E-3</v>
      </c>
      <c r="CK201" s="10">
        <f t="shared" ref="CK201:CK264" si="204">(Z201-$D201)/$D201</f>
        <v>-3.8580729166666885E-3</v>
      </c>
      <c r="CL201" s="10">
        <f t="shared" ref="CL201:CL264" si="205">(AA201-$D201)/$D201</f>
        <v>7.0377604166653679E-4</v>
      </c>
      <c r="CM201" s="10">
        <f t="shared" ref="CM201:CM264" si="206">(AB201-$D201)/$D201</f>
        <v>-3.6210937499999429E-3</v>
      </c>
      <c r="CN201" s="10">
        <f t="shared" ref="CN201:CN264" si="207">(AC201-$D201)/$D201</f>
        <v>-2.0214843750000927E-3</v>
      </c>
      <c r="CO201" s="10">
        <f t="shared" ref="CO201:CO264" si="208">(AD201-$D201)/$D201</f>
        <v>4.667968750000015E-4</v>
      </c>
      <c r="CP201" s="10">
        <f t="shared" ref="CP201:CP264" si="209">(AE201-$D201)/$D201</f>
        <v>-2.4361979166666347E-3</v>
      </c>
      <c r="CQ201" s="10">
        <f t="shared" ref="CQ201:CQ264" si="210">(AF201-$D201)/$D201</f>
        <v>5.2604166666674057E-4</v>
      </c>
      <c r="CR201" s="10">
        <f t="shared" ref="CR201:CR264" si="211">(AG201-$D201)/$D201</f>
        <v>-5.9960937500003891E-4</v>
      </c>
      <c r="CS201" s="10">
        <f t="shared" ref="CS201:CS264" si="212">(AH201-$D201)/$D201</f>
        <v>-1.2565104166675778E-4</v>
      </c>
      <c r="CT201" s="10">
        <f t="shared" ref="CT201:CT264" si="213">(AI201-$D201)/$D201</f>
        <v>1.6516927083333095E-3</v>
      </c>
      <c r="CU201" s="10">
        <f t="shared" ref="CU201:CU264" si="214">(AJ201-$D201)/$D201</f>
        <v>-8.5976562499999205E-3</v>
      </c>
      <c r="CV201" s="10">
        <f t="shared" ref="CV201:CV264" si="215">(AK201-$D201)/$D201</f>
        <v>-5.1022135416667362E-3</v>
      </c>
      <c r="CW201" s="10">
        <f t="shared" ref="CW201:CW264" si="216">(AL201-$D201)/$D201</f>
        <v>-2.9101562500001262E-3</v>
      </c>
      <c r="CX201" s="10">
        <f t="shared" ref="CX201:CX264" si="217">(AM201-$D201)/$D201</f>
        <v>-1.8489583333328635E-4</v>
      </c>
      <c r="CY201" s="10">
        <f t="shared" ref="CY201:CY264" si="218">(AN201-$D201)/$D201</f>
        <v>2.007161458333323E-3</v>
      </c>
      <c r="CZ201" s="10">
        <f t="shared" ref="CZ201:CZ264" si="219">(AO201-$D201)/$D201</f>
        <v>5.2083333333248952E-5</v>
      </c>
      <c r="DA201" s="10">
        <f t="shared" ref="DA201:DA264" si="220">(AP201-$D201)/$D201</f>
        <v>-5.9960937500003891E-4</v>
      </c>
      <c r="DB201" s="10">
        <f t="shared" ref="DB201:DB264" si="221">(AQ201-$D201)/$D201</f>
        <v>-4.3320312499999696E-3</v>
      </c>
      <c r="DC201" s="10">
        <f t="shared" ref="DC201:DC264" si="222">(AR201-$D201)/$D201</f>
        <v>4.667968750000015E-4</v>
      </c>
      <c r="DD201" s="10">
        <f t="shared" ref="DD201:DD264" si="223">(AS201-$D201)/$D201</f>
        <v>-4.5097656249999769E-3</v>
      </c>
      <c r="DE201" s="10">
        <f t="shared" ref="DE201:DE264" si="224">(AT201-$D201)/$D201</f>
        <v>1.0000000000000217E-3</v>
      </c>
      <c r="DF201" s="10">
        <f t="shared" ref="DF201:DF264" si="225">(AU201-$D201)/$D201</f>
        <v>1.8294270833333162E-3</v>
      </c>
      <c r="DG201" s="10">
        <f t="shared" ref="DG201:DG264" si="226">(AV201-$D201)/$D201</f>
        <v>-6.9980468750000706E-3</v>
      </c>
      <c r="DH201" s="10">
        <f t="shared" ref="DH201:DH264" si="227">(AW201-$D201)/$D201</f>
        <v>2.8906249999999478E-4</v>
      </c>
      <c r="DI201" s="10">
        <f t="shared" ref="DI201:DI264" si="228">(AX201-$D201)/$D201</f>
        <v>-3.0878906249999227E-3</v>
      </c>
      <c r="DJ201" s="10">
        <f t="shared" ref="DJ201:DJ264" si="229">(AY201-$D201)/$D201</f>
        <v>1.2369791666665571E-3</v>
      </c>
      <c r="DK201" s="10">
        <f t="shared" ref="DK201:DK264" si="230">(AZ201-$D201)/$D201</f>
        <v>-8.3658854166678465E-4</v>
      </c>
      <c r="DL201" s="10">
        <f t="shared" ref="DL201:DL264" si="231">(BA201-$D201)/$D201</f>
        <v>-3.6210937499999429E-3</v>
      </c>
      <c r="DM201" s="10">
        <f t="shared" ref="DM201:DM264" si="232">(BB201-$D201)/$D201</f>
        <v>-6.8795572916665925E-3</v>
      </c>
      <c r="DN201" s="10">
        <f t="shared" ref="DN201:DN264" si="233">(BC201-$D201)/$D201</f>
        <v>-2.4414062500002542E-4</v>
      </c>
      <c r="DO201" s="10">
        <f t="shared" ref="DO201:DO264" si="234">(BD201-$D201)/$D201</f>
        <v>-3.0878906249999227E-3</v>
      </c>
      <c r="DP201" s="10">
        <f t="shared" ref="DP201:DP264" si="235">(BE201-$D201)/$D201</f>
        <v>1.0000000000000217E-3</v>
      </c>
      <c r="DQ201" s="10">
        <f t="shared" ref="DQ201:DQ264" si="236">(BF201-$D201)/$D201</f>
        <v>-2.9101562500001262E-3</v>
      </c>
      <c r="DR201" s="10">
        <f t="shared" ref="DR201:DR264" si="237">(BG201-$D201)/$D201</f>
        <v>-1.07356770833332E-3</v>
      </c>
      <c r="DS201" s="10">
        <f t="shared" ref="DS201:DS264" si="238">(BH201-$D201)/$D201</f>
        <v>-8.7753906249999278E-3</v>
      </c>
      <c r="DT201" s="10">
        <f t="shared" ref="DT201:DT264" si="239">(BI201-$D201)/$D201</f>
        <v>-3.7395833333334211E-3</v>
      </c>
      <c r="DU201" s="10">
        <f t="shared" ref="DU201:DU264" si="240">(BJ201-$D201)/$D201</f>
        <v>-5.9960937500003891E-4</v>
      </c>
      <c r="DV201" s="10">
        <f t="shared" ref="DV201:DV264" si="241">(BK201-$D201)/$D201</f>
        <v>-4.7467447916667224E-3</v>
      </c>
      <c r="DW201" s="10">
        <f t="shared" ref="DW201:DW264" si="242">(BL201-$D201)/$D201</f>
        <v>-5.1022135416667362E-3</v>
      </c>
    </row>
    <row r="202" spans="2:127" x14ac:dyDescent="0.45">
      <c r="B202" s="1">
        <v>24</v>
      </c>
      <c r="C202" s="1">
        <v>2895</v>
      </c>
      <c r="D202" s="7">
        <f t="shared" ref="D202:D265" si="243">24*C202/4095</f>
        <v>16.967032967032967</v>
      </c>
      <c r="E202" s="1">
        <v>16.884</v>
      </c>
      <c r="F202" s="1">
        <v>16.957000000000001</v>
      </c>
      <c r="G202" s="1">
        <v>16.971</v>
      </c>
      <c r="H202" s="1">
        <v>16.875</v>
      </c>
      <c r="I202" s="1">
        <v>16.928999999999998</v>
      </c>
      <c r="J202" s="1">
        <v>16.928000000000001</v>
      </c>
      <c r="K202" s="1">
        <v>17.056000000000001</v>
      </c>
      <c r="L202" s="1">
        <v>16.884</v>
      </c>
      <c r="M202" s="1">
        <v>16.997</v>
      </c>
      <c r="N202" s="1">
        <v>17.001999999999999</v>
      </c>
      <c r="O202" s="1">
        <v>16.940999999999999</v>
      </c>
      <c r="P202" s="1">
        <v>16.917000000000002</v>
      </c>
      <c r="Q202" s="1">
        <v>16.978999999999999</v>
      </c>
      <c r="R202" s="1">
        <v>16.943999999999999</v>
      </c>
      <c r="S202" s="1">
        <v>16.943999999999999</v>
      </c>
      <c r="T202" s="1">
        <v>16.998000000000001</v>
      </c>
      <c r="U202" s="1">
        <v>16.968</v>
      </c>
      <c r="V202" s="1">
        <v>16.922000000000001</v>
      </c>
      <c r="W202" s="1">
        <v>16.943999999999999</v>
      </c>
      <c r="X202" s="1">
        <v>16.873000000000001</v>
      </c>
      <c r="Y202" s="1">
        <v>16.940999999999999</v>
      </c>
      <c r="Z202" s="1">
        <v>16.899999999999999</v>
      </c>
      <c r="AA202" s="1">
        <v>16.978000000000002</v>
      </c>
      <c r="AB202" s="1">
        <v>16.907</v>
      </c>
      <c r="AC202" s="1">
        <v>16.933</v>
      </c>
      <c r="AD202" s="1">
        <v>16.975000000000001</v>
      </c>
      <c r="AE202" s="1">
        <v>16.928000000000001</v>
      </c>
      <c r="AF202" s="1">
        <v>16.978000000000002</v>
      </c>
      <c r="AG202" s="1">
        <v>16.957000000000001</v>
      </c>
      <c r="AH202" s="1">
        <v>16.966000000000001</v>
      </c>
      <c r="AI202" s="1">
        <v>16.997</v>
      </c>
      <c r="AJ202" s="1">
        <v>16.82</v>
      </c>
      <c r="AK202" s="1">
        <v>16.88</v>
      </c>
      <c r="AL202" s="1">
        <v>16.917000000000002</v>
      </c>
      <c r="AM202" s="1">
        <v>16.966999999999999</v>
      </c>
      <c r="AN202" s="1">
        <v>17.001000000000001</v>
      </c>
      <c r="AO202" s="1">
        <v>16.97</v>
      </c>
      <c r="AP202" s="1">
        <v>16.957000000000001</v>
      </c>
      <c r="AQ202" s="1">
        <v>16.891999999999999</v>
      </c>
      <c r="AR202" s="1">
        <v>16.975999999999999</v>
      </c>
      <c r="AS202" s="1">
        <v>16.893999999999998</v>
      </c>
      <c r="AT202" s="1">
        <v>16.983000000000001</v>
      </c>
      <c r="AU202" s="1">
        <v>16.997</v>
      </c>
      <c r="AV202" s="1">
        <v>16.847999999999999</v>
      </c>
      <c r="AW202" s="1">
        <v>16.974</v>
      </c>
      <c r="AX202" s="1">
        <v>16.914999999999999</v>
      </c>
      <c r="AY202" s="1">
        <v>16.989000000000001</v>
      </c>
      <c r="AZ202" s="1">
        <v>16.952999999999999</v>
      </c>
      <c r="BA202" s="1">
        <v>16.905999999999999</v>
      </c>
      <c r="BB202" s="1">
        <v>16.853999999999999</v>
      </c>
      <c r="BC202" s="1">
        <v>16.962</v>
      </c>
      <c r="BD202" s="1">
        <v>16.917000000000002</v>
      </c>
      <c r="BE202" s="1">
        <v>16.984999999999999</v>
      </c>
      <c r="BF202" s="1">
        <v>16.914999999999999</v>
      </c>
      <c r="BG202" s="1">
        <v>16.951000000000001</v>
      </c>
      <c r="BH202" s="1">
        <v>16.82</v>
      </c>
      <c r="BI202" s="1">
        <v>16.907</v>
      </c>
      <c r="BJ202" s="1">
        <v>16.954999999999998</v>
      </c>
      <c r="BK202" s="1">
        <v>16.879000000000001</v>
      </c>
      <c r="BL202" s="1">
        <v>16.881</v>
      </c>
      <c r="BN202" s="9">
        <v>24</v>
      </c>
      <c r="BO202" s="9">
        <v>2895</v>
      </c>
      <c r="BP202" s="10">
        <f t="shared" si="183"/>
        <v>-4.8937823834196755E-3</v>
      </c>
      <c r="BQ202" s="10">
        <f t="shared" si="184"/>
        <v>-5.9132124352327946E-4</v>
      </c>
      <c r="BR202" s="10">
        <f t="shared" si="185"/>
        <v>2.3380829015543853E-4</v>
      </c>
      <c r="BS202" s="10">
        <f t="shared" si="186"/>
        <v>-5.4242227979274683E-3</v>
      </c>
      <c r="BT202" s="10">
        <f t="shared" si="187"/>
        <v>-2.2415803108809247E-3</v>
      </c>
      <c r="BU202" s="10">
        <f t="shared" si="188"/>
        <v>-2.3005181347149841E-3</v>
      </c>
      <c r="BV202" s="10">
        <f t="shared" si="189"/>
        <v>5.2435233160622249E-3</v>
      </c>
      <c r="BW202" s="10">
        <f t="shared" si="190"/>
        <v>-4.8937823834196755E-3</v>
      </c>
      <c r="BX202" s="10">
        <f t="shared" si="191"/>
        <v>1.7661917098445461E-3</v>
      </c>
      <c r="BY202" s="10">
        <f t="shared" si="192"/>
        <v>2.0608808290154719E-3</v>
      </c>
      <c r="BZ202" s="10">
        <f t="shared" si="193"/>
        <v>-1.5343264248705352E-3</v>
      </c>
      <c r="CA202" s="10">
        <f t="shared" si="194"/>
        <v>-2.948834196891105E-3</v>
      </c>
      <c r="CB202" s="10">
        <f t="shared" si="195"/>
        <v>7.0531088082896175E-4</v>
      </c>
      <c r="CC202" s="10">
        <f t="shared" si="196"/>
        <v>-1.3575129533679377E-3</v>
      </c>
      <c r="CD202" s="10">
        <f t="shared" si="197"/>
        <v>-1.3575129533679377E-3</v>
      </c>
      <c r="CE202" s="10">
        <f t="shared" si="198"/>
        <v>1.8251295336788149E-3</v>
      </c>
      <c r="CF202" s="10">
        <f t="shared" si="199"/>
        <v>5.6994818652841165E-5</v>
      </c>
      <c r="CG202" s="10">
        <f t="shared" si="200"/>
        <v>-2.6541450777201789E-3</v>
      </c>
      <c r="CH202" s="10">
        <f t="shared" si="201"/>
        <v>-1.3575129533679377E-3</v>
      </c>
      <c r="CI202" s="10">
        <f t="shared" si="202"/>
        <v>-5.5420984455957969E-3</v>
      </c>
      <c r="CJ202" s="10">
        <f t="shared" si="203"/>
        <v>-1.5343264248705352E-3</v>
      </c>
      <c r="CK202" s="10">
        <f t="shared" si="204"/>
        <v>-3.9507772020726294E-3</v>
      </c>
      <c r="CL202" s="10">
        <f t="shared" si="205"/>
        <v>6.4637305699490218E-4</v>
      </c>
      <c r="CM202" s="10">
        <f t="shared" si="206"/>
        <v>-3.5382124352331657E-3</v>
      </c>
      <c r="CN202" s="10">
        <f t="shared" si="207"/>
        <v>-2.0058290155440584E-3</v>
      </c>
      <c r="CO202" s="10">
        <f t="shared" si="208"/>
        <v>4.6955958549230485E-4</v>
      </c>
      <c r="CP202" s="10">
        <f t="shared" si="209"/>
        <v>-2.3005181347149841E-3</v>
      </c>
      <c r="CQ202" s="10">
        <f t="shared" si="210"/>
        <v>6.4637305699490218E-4</v>
      </c>
      <c r="CR202" s="10">
        <f t="shared" si="211"/>
        <v>-5.9132124352327946E-4</v>
      </c>
      <c r="CS202" s="10">
        <f t="shared" si="212"/>
        <v>-6.0880829015487287E-5</v>
      </c>
      <c r="CT202" s="10">
        <f t="shared" si="213"/>
        <v>1.7661917098445461E-3</v>
      </c>
      <c r="CU202" s="10">
        <f t="shared" si="214"/>
        <v>-8.6658031088082798E-3</v>
      </c>
      <c r="CV202" s="10">
        <f t="shared" si="215"/>
        <v>-5.1295336787565418E-3</v>
      </c>
      <c r="CW202" s="10">
        <f t="shared" si="216"/>
        <v>-2.948834196891105E-3</v>
      </c>
      <c r="CX202" s="10">
        <f t="shared" si="217"/>
        <v>-1.9430051814277583E-6</v>
      </c>
      <c r="CY202" s="10">
        <f t="shared" si="218"/>
        <v>2.0019430051814121E-3</v>
      </c>
      <c r="CZ202" s="10">
        <f t="shared" si="219"/>
        <v>1.7487046632116962E-4</v>
      </c>
      <c r="DA202" s="10">
        <f t="shared" si="220"/>
        <v>-5.9132124352327946E-4</v>
      </c>
      <c r="DB202" s="10">
        <f t="shared" si="221"/>
        <v>-4.4222797927461529E-3</v>
      </c>
      <c r="DC202" s="10">
        <f t="shared" si="222"/>
        <v>5.2849740932636431E-4</v>
      </c>
      <c r="DD202" s="10">
        <f t="shared" si="223"/>
        <v>-4.3044041450778243E-3</v>
      </c>
      <c r="DE202" s="10">
        <f t="shared" si="224"/>
        <v>9.4106217616582802E-4</v>
      </c>
      <c r="DF202" s="10">
        <f t="shared" si="225"/>
        <v>1.7661917098445461E-3</v>
      </c>
      <c r="DG202" s="10">
        <f t="shared" si="226"/>
        <v>-7.0155440414508448E-3</v>
      </c>
      <c r="DH202" s="10">
        <f t="shared" si="227"/>
        <v>4.1062176165803591E-4</v>
      </c>
      <c r="DI202" s="10">
        <f t="shared" si="228"/>
        <v>-3.0667098445596426E-3</v>
      </c>
      <c r="DJ202" s="10">
        <f t="shared" si="229"/>
        <v>1.2946891191710228E-3</v>
      </c>
      <c r="DK202" s="10">
        <f t="shared" si="230"/>
        <v>-8.2707253886014573E-4</v>
      </c>
      <c r="DL202" s="10">
        <f t="shared" si="231"/>
        <v>-3.597150259067435E-3</v>
      </c>
      <c r="DM202" s="10">
        <f t="shared" si="232"/>
        <v>-6.6619170984456499E-3</v>
      </c>
      <c r="DN202" s="10">
        <f t="shared" si="233"/>
        <v>-2.9663212435235357E-4</v>
      </c>
      <c r="DO202" s="10">
        <f t="shared" si="234"/>
        <v>-2.948834196891105E-3</v>
      </c>
      <c r="DP202" s="10">
        <f t="shared" si="235"/>
        <v>1.0589378238341565E-3</v>
      </c>
      <c r="DQ202" s="10">
        <f t="shared" si="236"/>
        <v>-3.0667098445596426E-3</v>
      </c>
      <c r="DR202" s="10">
        <f t="shared" si="237"/>
        <v>-9.4494818652847412E-4</v>
      </c>
      <c r="DS202" s="10">
        <f t="shared" si="238"/>
        <v>-8.6658031088082798E-3</v>
      </c>
      <c r="DT202" s="10">
        <f t="shared" si="239"/>
        <v>-3.5382124352331657E-3</v>
      </c>
      <c r="DU202" s="10">
        <f t="shared" si="240"/>
        <v>-7.0919689119181722E-4</v>
      </c>
      <c r="DV202" s="10">
        <f t="shared" si="241"/>
        <v>-5.188471502590602E-3</v>
      </c>
      <c r="DW202" s="10">
        <f t="shared" si="242"/>
        <v>-5.0705958549222734E-3</v>
      </c>
    </row>
    <row r="203" spans="2:127" x14ac:dyDescent="0.45">
      <c r="B203" s="1">
        <v>24</v>
      </c>
      <c r="C203" s="1">
        <v>2910</v>
      </c>
      <c r="D203" s="7">
        <f t="shared" si="243"/>
        <v>17.054945054945055</v>
      </c>
      <c r="E203" s="1">
        <v>16.97</v>
      </c>
      <c r="F203" s="1">
        <v>17.045999999999999</v>
      </c>
      <c r="G203" s="1">
        <v>17.062000000000001</v>
      </c>
      <c r="H203" s="1">
        <v>16.962</v>
      </c>
      <c r="I203" s="1">
        <v>17.016999999999999</v>
      </c>
      <c r="J203" s="1">
        <v>17.013999999999999</v>
      </c>
      <c r="K203" s="1">
        <v>17.146000000000001</v>
      </c>
      <c r="L203" s="1">
        <v>16.97</v>
      </c>
      <c r="M203" s="1">
        <v>17.085999999999999</v>
      </c>
      <c r="N203" s="1">
        <v>17.09</v>
      </c>
      <c r="O203" s="1">
        <v>17.029</v>
      </c>
      <c r="P203" s="1">
        <v>17.004999999999999</v>
      </c>
      <c r="Q203" s="1">
        <v>17.068999999999999</v>
      </c>
      <c r="R203" s="1">
        <v>17.033000000000001</v>
      </c>
      <c r="S203" s="1">
        <v>17.030999999999999</v>
      </c>
      <c r="T203" s="1">
        <v>17.088000000000001</v>
      </c>
      <c r="U203" s="1">
        <v>17.056000000000001</v>
      </c>
      <c r="V203" s="1">
        <v>17.013000000000002</v>
      </c>
      <c r="W203" s="1">
        <v>17.030999999999999</v>
      </c>
      <c r="X203" s="1">
        <v>16.966000000000001</v>
      </c>
      <c r="Y203" s="1">
        <v>17.030999999999999</v>
      </c>
      <c r="Z203" s="1">
        <v>16.986999999999998</v>
      </c>
      <c r="AA203" s="1">
        <v>17.067</v>
      </c>
      <c r="AB203" s="1">
        <v>16.992999999999999</v>
      </c>
      <c r="AC203" s="1">
        <v>17.021000000000001</v>
      </c>
      <c r="AD203" s="1">
        <v>17.065000000000001</v>
      </c>
      <c r="AE203" s="1">
        <v>17.016999999999999</v>
      </c>
      <c r="AF203" s="1">
        <v>17.067</v>
      </c>
      <c r="AG203" s="1">
        <v>17.047000000000001</v>
      </c>
      <c r="AH203" s="1">
        <v>17.052</v>
      </c>
      <c r="AI203" s="1">
        <v>17.085999999999999</v>
      </c>
      <c r="AJ203" s="1">
        <v>16.905000000000001</v>
      </c>
      <c r="AK203" s="1">
        <v>16.97</v>
      </c>
      <c r="AL203" s="1">
        <v>17.004999999999999</v>
      </c>
      <c r="AM203" s="1">
        <v>17.056000000000001</v>
      </c>
      <c r="AN203" s="1">
        <v>17.088999999999999</v>
      </c>
      <c r="AO203" s="1">
        <v>17.061</v>
      </c>
      <c r="AP203" s="1">
        <v>17.045999999999999</v>
      </c>
      <c r="AQ203" s="1">
        <v>16.978999999999999</v>
      </c>
      <c r="AR203" s="1">
        <v>17.065000000000001</v>
      </c>
      <c r="AS203" s="1">
        <v>16.981999999999999</v>
      </c>
      <c r="AT203" s="1">
        <v>17.068999999999999</v>
      </c>
      <c r="AU203" s="1">
        <v>17.082000000000001</v>
      </c>
      <c r="AV203" s="1">
        <v>16.936</v>
      </c>
      <c r="AW203" s="1">
        <v>17.061</v>
      </c>
      <c r="AX203" s="1">
        <v>17.001999999999999</v>
      </c>
      <c r="AY203" s="1">
        <v>17.077000000000002</v>
      </c>
      <c r="AZ203" s="1">
        <v>17.042999999999999</v>
      </c>
      <c r="BA203" s="1">
        <v>16.992999999999999</v>
      </c>
      <c r="BB203" s="1">
        <v>16.940000000000001</v>
      </c>
      <c r="BC203" s="1">
        <v>17.05</v>
      </c>
      <c r="BD203" s="1">
        <v>17.004000000000001</v>
      </c>
      <c r="BE203" s="1">
        <v>17.073</v>
      </c>
      <c r="BF203" s="1">
        <v>17.001999999999999</v>
      </c>
      <c r="BG203" s="1">
        <v>17.036999999999999</v>
      </c>
      <c r="BH203" s="1">
        <v>16.902999999999999</v>
      </c>
      <c r="BI203" s="1">
        <v>16.997</v>
      </c>
      <c r="BJ203" s="1">
        <v>17.042999999999999</v>
      </c>
      <c r="BK203" s="1">
        <v>16.974</v>
      </c>
      <c r="BL203" s="1">
        <v>16.97</v>
      </c>
      <c r="BN203" s="9">
        <v>24</v>
      </c>
      <c r="BO203" s="9">
        <v>2910</v>
      </c>
      <c r="BP203" s="10">
        <f t="shared" si="183"/>
        <v>-4.9806701030928385E-3</v>
      </c>
      <c r="BQ203" s="10">
        <f t="shared" si="184"/>
        <v>-5.2448453608249944E-4</v>
      </c>
      <c r="BR203" s="10">
        <f t="shared" si="185"/>
        <v>4.1365979381451274E-4</v>
      </c>
      <c r="BS203" s="10">
        <f t="shared" si="186"/>
        <v>-5.4497422680412407E-3</v>
      </c>
      <c r="BT203" s="10">
        <f t="shared" si="187"/>
        <v>-2.224871134020639E-3</v>
      </c>
      <c r="BU203" s="10">
        <f t="shared" si="188"/>
        <v>-2.4007731958763157E-3</v>
      </c>
      <c r="BV203" s="10">
        <f t="shared" si="189"/>
        <v>5.3389175257732542E-3</v>
      </c>
      <c r="BW203" s="10">
        <f t="shared" si="190"/>
        <v>-4.9806701030928385E-3</v>
      </c>
      <c r="BX203" s="10">
        <f t="shared" si="191"/>
        <v>1.8208762886597187E-3</v>
      </c>
      <c r="BY203" s="10">
        <f t="shared" si="192"/>
        <v>2.0554123711340236E-3</v>
      </c>
      <c r="BZ203" s="10">
        <f t="shared" si="193"/>
        <v>-1.5212628865979318E-3</v>
      </c>
      <c r="CA203" s="10">
        <f t="shared" si="194"/>
        <v>-2.928479381443346E-3</v>
      </c>
      <c r="CB203" s="10">
        <f t="shared" si="195"/>
        <v>8.2409793814428641E-4</v>
      </c>
      <c r="CC203" s="10">
        <f t="shared" si="196"/>
        <v>-1.2867268041236266E-3</v>
      </c>
      <c r="CD203" s="10">
        <f t="shared" si="197"/>
        <v>-1.4039948453608833E-3</v>
      </c>
      <c r="CE203" s="10">
        <f t="shared" si="198"/>
        <v>1.9381443298969753E-3</v>
      </c>
      <c r="CF203" s="10">
        <f t="shared" si="199"/>
        <v>6.1855670103159224E-5</v>
      </c>
      <c r="CG203" s="10">
        <f t="shared" si="200"/>
        <v>-2.4594072164947356E-3</v>
      </c>
      <c r="CH203" s="10">
        <f t="shared" si="201"/>
        <v>-1.4039948453608833E-3</v>
      </c>
      <c r="CI203" s="10">
        <f t="shared" si="202"/>
        <v>-5.215206185566936E-3</v>
      </c>
      <c r="CJ203" s="10">
        <f t="shared" si="203"/>
        <v>-1.4039948453608833E-3</v>
      </c>
      <c r="CK203" s="10">
        <f t="shared" si="204"/>
        <v>-3.9838917525774065E-3</v>
      </c>
      <c r="CL203" s="10">
        <f t="shared" si="205"/>
        <v>7.068298969072379E-4</v>
      </c>
      <c r="CM203" s="10">
        <f t="shared" si="206"/>
        <v>-3.632087628866053E-3</v>
      </c>
      <c r="CN203" s="10">
        <f t="shared" si="207"/>
        <v>-1.9903350515463338E-3</v>
      </c>
      <c r="CO203" s="10">
        <f t="shared" si="208"/>
        <v>5.8956185567018949E-4</v>
      </c>
      <c r="CP203" s="10">
        <f t="shared" si="209"/>
        <v>-2.224871134020639E-3</v>
      </c>
      <c r="CQ203" s="10">
        <f t="shared" si="210"/>
        <v>7.068298969072379E-4</v>
      </c>
      <c r="CR203" s="10">
        <f t="shared" si="211"/>
        <v>-4.658505154638711E-4</v>
      </c>
      <c r="CS203" s="10">
        <f t="shared" si="212"/>
        <v>-1.7268041237114592E-4</v>
      </c>
      <c r="CT203" s="10">
        <f t="shared" si="213"/>
        <v>1.8208762886597187E-3</v>
      </c>
      <c r="CU203" s="10">
        <f t="shared" si="214"/>
        <v>-8.7918814432988903E-3</v>
      </c>
      <c r="CV203" s="10">
        <f t="shared" si="215"/>
        <v>-4.9806701030928385E-3</v>
      </c>
      <c r="CW203" s="10">
        <f t="shared" si="216"/>
        <v>-2.928479381443346E-3</v>
      </c>
      <c r="CX203" s="10">
        <f t="shared" si="217"/>
        <v>6.1855670103159224E-5</v>
      </c>
      <c r="CY203" s="10">
        <f t="shared" si="218"/>
        <v>1.9967783505153952E-3</v>
      </c>
      <c r="CZ203" s="10">
        <f t="shared" si="219"/>
        <v>3.550257731958844E-4</v>
      </c>
      <c r="DA203" s="10">
        <f t="shared" si="220"/>
        <v>-5.2448453608249944E-4</v>
      </c>
      <c r="DB203" s="10">
        <f t="shared" si="221"/>
        <v>-4.4529639175258087E-3</v>
      </c>
      <c r="DC203" s="10">
        <f t="shared" si="222"/>
        <v>5.8956185567018949E-4</v>
      </c>
      <c r="DD203" s="10">
        <f t="shared" si="223"/>
        <v>-4.2770618556701315E-3</v>
      </c>
      <c r="DE203" s="10">
        <f t="shared" si="224"/>
        <v>8.2409793814428641E-4</v>
      </c>
      <c r="DF203" s="10">
        <f t="shared" si="225"/>
        <v>1.5863402061856218E-3</v>
      </c>
      <c r="DG203" s="10">
        <f t="shared" si="226"/>
        <v>-6.9742268041237034E-3</v>
      </c>
      <c r="DH203" s="10">
        <f t="shared" si="227"/>
        <v>3.550257731958844E-4</v>
      </c>
      <c r="DI203" s="10">
        <f t="shared" si="228"/>
        <v>-3.1043814432990227E-3</v>
      </c>
      <c r="DJ203" s="10">
        <f t="shared" si="229"/>
        <v>1.2931701030928966E-3</v>
      </c>
      <c r="DK203" s="10">
        <f t="shared" si="230"/>
        <v>-7.0038659793817618E-4</v>
      </c>
      <c r="DL203" s="10">
        <f t="shared" si="231"/>
        <v>-3.632087628866053E-3</v>
      </c>
      <c r="DM203" s="10">
        <f t="shared" si="232"/>
        <v>-6.7396907216493978E-3</v>
      </c>
      <c r="DN203" s="10">
        <f t="shared" si="233"/>
        <v>-2.899484536081943E-4</v>
      </c>
      <c r="DO203" s="10">
        <f t="shared" si="234"/>
        <v>-2.9871134020617658E-3</v>
      </c>
      <c r="DP203" s="10">
        <f t="shared" si="235"/>
        <v>1.0586340206185914E-3</v>
      </c>
      <c r="DQ203" s="10">
        <f t="shared" si="236"/>
        <v>-3.1043814432990227E-3</v>
      </c>
      <c r="DR203" s="10">
        <f t="shared" si="237"/>
        <v>-1.0521907216495298E-3</v>
      </c>
      <c r="DS203" s="10">
        <f t="shared" si="238"/>
        <v>-8.9091494845361472E-3</v>
      </c>
      <c r="DT203" s="10">
        <f t="shared" si="239"/>
        <v>-3.3975515463917478E-3</v>
      </c>
      <c r="DU203" s="10">
        <f t="shared" si="240"/>
        <v>-7.0038659793817618E-4</v>
      </c>
      <c r="DV203" s="10">
        <f t="shared" si="241"/>
        <v>-4.7461340206185337E-3</v>
      </c>
      <c r="DW203" s="10">
        <f t="shared" si="242"/>
        <v>-4.9806701030928385E-3</v>
      </c>
    </row>
    <row r="204" spans="2:127" x14ac:dyDescent="0.45">
      <c r="B204" s="1">
        <v>24</v>
      </c>
      <c r="C204" s="1">
        <v>2925</v>
      </c>
      <c r="D204" s="7">
        <f t="shared" si="243"/>
        <v>17.142857142857142</v>
      </c>
      <c r="E204" s="1">
        <v>17.058</v>
      </c>
      <c r="F204" s="1">
        <v>17.134</v>
      </c>
      <c r="G204" s="1">
        <v>17.149999999999999</v>
      </c>
      <c r="H204" s="1">
        <v>17.05</v>
      </c>
      <c r="I204" s="1">
        <v>17.106999999999999</v>
      </c>
      <c r="J204" s="1">
        <v>17.103000000000002</v>
      </c>
      <c r="K204" s="1">
        <v>17.234000000000002</v>
      </c>
      <c r="L204" s="1">
        <v>17.053999999999998</v>
      </c>
      <c r="M204" s="1">
        <v>17.173999999999999</v>
      </c>
      <c r="N204" s="1">
        <v>17.181000000000001</v>
      </c>
      <c r="O204" s="1">
        <v>17.119</v>
      </c>
      <c r="P204" s="1">
        <v>17.093</v>
      </c>
      <c r="Q204" s="1">
        <v>17.157</v>
      </c>
      <c r="R204" s="1">
        <v>17.122</v>
      </c>
      <c r="S204" s="1">
        <v>17.119</v>
      </c>
      <c r="T204" s="1">
        <v>17.177</v>
      </c>
      <c r="U204" s="1">
        <v>17.143000000000001</v>
      </c>
      <c r="V204" s="1">
        <v>17.103000000000002</v>
      </c>
      <c r="W204" s="1">
        <v>17.119</v>
      </c>
      <c r="X204" s="1">
        <v>17.052</v>
      </c>
      <c r="Y204" s="1">
        <v>17.119</v>
      </c>
      <c r="Z204" s="1">
        <v>17.077000000000002</v>
      </c>
      <c r="AA204" s="1">
        <v>17.155000000000001</v>
      </c>
      <c r="AB204" s="1">
        <v>17.081</v>
      </c>
      <c r="AC204" s="1">
        <v>17.109000000000002</v>
      </c>
      <c r="AD204" s="1">
        <v>17.152999999999999</v>
      </c>
      <c r="AE204" s="1">
        <v>17.105</v>
      </c>
      <c r="AF204" s="1">
        <v>17.155000000000001</v>
      </c>
      <c r="AG204" s="1">
        <v>17.135000000000002</v>
      </c>
      <c r="AH204" s="1">
        <v>17.140999999999998</v>
      </c>
      <c r="AI204" s="1">
        <v>17.173999999999999</v>
      </c>
      <c r="AJ204" s="1">
        <v>16.992999999999999</v>
      </c>
      <c r="AK204" s="1">
        <v>17.056000000000001</v>
      </c>
      <c r="AL204" s="1">
        <v>17.091999999999999</v>
      </c>
      <c r="AM204" s="1">
        <v>17.143000000000001</v>
      </c>
      <c r="AN204" s="1">
        <v>17.177</v>
      </c>
      <c r="AO204" s="1">
        <v>17.149999999999999</v>
      </c>
      <c r="AP204" s="1">
        <v>17.134</v>
      </c>
      <c r="AQ204" s="1">
        <v>17.065999999999999</v>
      </c>
      <c r="AR204" s="1">
        <v>17.151</v>
      </c>
      <c r="AS204" s="1">
        <v>17.068999999999999</v>
      </c>
      <c r="AT204" s="1">
        <v>17.154</v>
      </c>
      <c r="AU204" s="1">
        <v>17.172000000000001</v>
      </c>
      <c r="AV204" s="1">
        <v>17.021000000000001</v>
      </c>
      <c r="AW204" s="1">
        <v>17.149000000000001</v>
      </c>
      <c r="AX204" s="1">
        <v>17.09</v>
      </c>
      <c r="AY204" s="1">
        <v>17.164999999999999</v>
      </c>
      <c r="AZ204" s="1">
        <v>17.13</v>
      </c>
      <c r="BA204" s="1">
        <v>17.079999999999998</v>
      </c>
      <c r="BB204" s="1">
        <v>17.027999999999999</v>
      </c>
      <c r="BC204" s="1">
        <v>17.138000000000002</v>
      </c>
      <c r="BD204" s="1">
        <v>17.091999999999999</v>
      </c>
      <c r="BE204" s="1">
        <v>17.161000000000001</v>
      </c>
      <c r="BF204" s="1">
        <v>17.088000000000001</v>
      </c>
      <c r="BG204" s="1">
        <v>17.126000000000001</v>
      </c>
      <c r="BH204" s="1">
        <v>16.986999999999998</v>
      </c>
      <c r="BI204" s="1">
        <v>17.084</v>
      </c>
      <c r="BJ204" s="1">
        <v>17.13</v>
      </c>
      <c r="BK204" s="1">
        <v>17.058</v>
      </c>
      <c r="BL204" s="1">
        <v>17.056000000000001</v>
      </c>
      <c r="BN204" s="9">
        <v>24</v>
      </c>
      <c r="BO204" s="9">
        <v>2925</v>
      </c>
      <c r="BP204" s="10">
        <f t="shared" si="183"/>
        <v>-4.9499999999999805E-3</v>
      </c>
      <c r="BQ204" s="10">
        <f t="shared" si="184"/>
        <v>-5.1666666666661714E-4</v>
      </c>
      <c r="BR204" s="10">
        <f t="shared" si="185"/>
        <v>4.166666666666134E-4</v>
      </c>
      <c r="BS204" s="10">
        <f t="shared" si="186"/>
        <v>-5.4166666666665957E-3</v>
      </c>
      <c r="BT204" s="10">
        <f t="shared" si="187"/>
        <v>-2.091666666666677E-3</v>
      </c>
      <c r="BU204" s="10">
        <f t="shared" si="188"/>
        <v>-2.324999999999881E-3</v>
      </c>
      <c r="BV204" s="10">
        <f t="shared" si="189"/>
        <v>5.3166666666667993E-3</v>
      </c>
      <c r="BW204" s="10">
        <f t="shared" si="190"/>
        <v>-5.1833333333333922E-3</v>
      </c>
      <c r="BX204" s="10">
        <f t="shared" si="191"/>
        <v>1.8166666666666665E-3</v>
      </c>
      <c r="BY204" s="10">
        <f t="shared" si="192"/>
        <v>2.2250000000000845E-3</v>
      </c>
      <c r="BZ204" s="10">
        <f t="shared" si="193"/>
        <v>-1.3916666666666504E-3</v>
      </c>
      <c r="CA204" s="10">
        <f t="shared" si="194"/>
        <v>-2.9083333333333053E-3</v>
      </c>
      <c r="CB204" s="10">
        <f t="shared" si="195"/>
        <v>8.2500000000003133E-4</v>
      </c>
      <c r="CC204" s="10">
        <f t="shared" si="196"/>
        <v>-1.2166666666666437E-3</v>
      </c>
      <c r="CD204" s="10">
        <f t="shared" si="197"/>
        <v>-1.3916666666666504E-3</v>
      </c>
      <c r="CE204" s="10">
        <f t="shared" si="198"/>
        <v>1.9916666666666733E-3</v>
      </c>
      <c r="CF204" s="10">
        <f t="shared" si="199"/>
        <v>8.3333333334027294E-6</v>
      </c>
      <c r="CG204" s="10">
        <f t="shared" si="200"/>
        <v>-2.324999999999881E-3</v>
      </c>
      <c r="CH204" s="10">
        <f t="shared" si="201"/>
        <v>-1.3916666666666504E-3</v>
      </c>
      <c r="CI204" s="10">
        <f t="shared" si="202"/>
        <v>-5.299999999999994E-3</v>
      </c>
      <c r="CJ204" s="10">
        <f t="shared" si="203"/>
        <v>-1.3916666666666504E-3</v>
      </c>
      <c r="CK204" s="10">
        <f t="shared" si="204"/>
        <v>-3.8416666666665359E-3</v>
      </c>
      <c r="CL204" s="10">
        <f t="shared" si="205"/>
        <v>7.0833333333342923E-4</v>
      </c>
      <c r="CM204" s="10">
        <f t="shared" si="206"/>
        <v>-3.6083333333333319E-3</v>
      </c>
      <c r="CN204" s="10">
        <f t="shared" si="207"/>
        <v>-1.9749999999998675E-3</v>
      </c>
      <c r="CO204" s="10">
        <f t="shared" si="208"/>
        <v>5.9166666666662004E-4</v>
      </c>
      <c r="CP204" s="10">
        <f t="shared" si="209"/>
        <v>-2.2083333333332788E-3</v>
      </c>
      <c r="CQ204" s="10">
        <f t="shared" si="210"/>
        <v>7.0833333333342923E-4</v>
      </c>
      <c r="CR204" s="10">
        <f t="shared" si="211"/>
        <v>-4.5833333333321254E-4</v>
      </c>
      <c r="CS204" s="10">
        <f t="shared" si="212"/>
        <v>-1.0833333333340653E-4</v>
      </c>
      <c r="CT204" s="10">
        <f t="shared" si="213"/>
        <v>1.8166666666666665E-3</v>
      </c>
      <c r="CU204" s="10">
        <f t="shared" si="214"/>
        <v>-8.7416666666667222E-3</v>
      </c>
      <c r="CV204" s="10">
        <f t="shared" si="215"/>
        <v>-5.0666666666665822E-3</v>
      </c>
      <c r="CW204" s="10">
        <f t="shared" si="216"/>
        <v>-2.9666666666667103E-3</v>
      </c>
      <c r="CX204" s="10">
        <f t="shared" si="217"/>
        <v>8.3333333334027294E-6</v>
      </c>
      <c r="CY204" s="10">
        <f t="shared" si="218"/>
        <v>1.9916666666666733E-3</v>
      </c>
      <c r="CZ204" s="10">
        <f t="shared" si="219"/>
        <v>4.166666666666134E-4</v>
      </c>
      <c r="DA204" s="10">
        <f t="shared" si="220"/>
        <v>-5.1666666666661714E-4</v>
      </c>
      <c r="DB204" s="10">
        <f t="shared" si="221"/>
        <v>-4.4833333333333652E-3</v>
      </c>
      <c r="DC204" s="10">
        <f t="shared" si="222"/>
        <v>4.75000000000018E-4</v>
      </c>
      <c r="DD204" s="10">
        <f t="shared" si="223"/>
        <v>-4.3083333333333584E-3</v>
      </c>
      <c r="DE204" s="10">
        <f t="shared" si="224"/>
        <v>6.5000000000002469E-4</v>
      </c>
      <c r="DF204" s="10">
        <f t="shared" si="225"/>
        <v>1.7000000000000645E-3</v>
      </c>
      <c r="DG204" s="10">
        <f t="shared" si="226"/>
        <v>-7.1083333333332574E-3</v>
      </c>
      <c r="DH204" s="10">
        <f t="shared" si="227"/>
        <v>3.58333333333416E-4</v>
      </c>
      <c r="DI204" s="10">
        <f t="shared" si="228"/>
        <v>-3.0833333333333121E-3</v>
      </c>
      <c r="DJ204" s="10">
        <f t="shared" si="229"/>
        <v>1.2916666666666465E-3</v>
      </c>
      <c r="DK204" s="10">
        <f t="shared" si="230"/>
        <v>-7.5000000000002842E-4</v>
      </c>
      <c r="DL204" s="10">
        <f t="shared" si="231"/>
        <v>-3.6666666666667369E-3</v>
      </c>
      <c r="DM204" s="10">
        <f t="shared" si="232"/>
        <v>-6.7000000000000471E-3</v>
      </c>
      <c r="DN204" s="10">
        <f t="shared" si="233"/>
        <v>-2.8333333333320591E-4</v>
      </c>
      <c r="DO204" s="10">
        <f t="shared" si="234"/>
        <v>-2.9666666666667103E-3</v>
      </c>
      <c r="DP204" s="10">
        <f t="shared" si="235"/>
        <v>1.0583333333334425E-3</v>
      </c>
      <c r="DQ204" s="10">
        <f t="shared" si="236"/>
        <v>-3.1999999999999143E-3</v>
      </c>
      <c r="DR204" s="10">
        <f t="shared" si="237"/>
        <v>-9.8333333333323241E-4</v>
      </c>
      <c r="DS204" s="10">
        <f t="shared" si="238"/>
        <v>-9.0916666666667357E-3</v>
      </c>
      <c r="DT204" s="10">
        <f t="shared" si="239"/>
        <v>-3.4333333333333256E-3</v>
      </c>
      <c r="DU204" s="10">
        <f t="shared" si="240"/>
        <v>-7.5000000000002842E-4</v>
      </c>
      <c r="DV204" s="10">
        <f t="shared" si="241"/>
        <v>-4.9499999999999805E-3</v>
      </c>
      <c r="DW204" s="10">
        <f t="shared" si="242"/>
        <v>-5.0666666666665822E-3</v>
      </c>
    </row>
    <row r="205" spans="2:127" x14ac:dyDescent="0.45">
      <c r="B205" s="1">
        <v>24</v>
      </c>
      <c r="C205" s="1">
        <v>2940</v>
      </c>
      <c r="D205" s="7">
        <f t="shared" si="243"/>
        <v>17.23076923076923</v>
      </c>
      <c r="E205" s="1">
        <v>17.146000000000001</v>
      </c>
      <c r="F205" s="1">
        <v>17.222000000000001</v>
      </c>
      <c r="G205" s="1">
        <v>17.238</v>
      </c>
      <c r="H205" s="1">
        <v>17.138999999999999</v>
      </c>
      <c r="I205" s="1">
        <v>17.193000000000001</v>
      </c>
      <c r="J205" s="1">
        <v>17.187999999999999</v>
      </c>
      <c r="K205" s="1">
        <v>17.321000000000002</v>
      </c>
      <c r="L205" s="1">
        <v>17.143000000000001</v>
      </c>
      <c r="M205" s="1">
        <v>17.263000000000002</v>
      </c>
      <c r="N205" s="1">
        <v>17.268999999999998</v>
      </c>
      <c r="O205" s="1">
        <v>17.206</v>
      </c>
      <c r="P205" s="1">
        <v>17.18</v>
      </c>
      <c r="Q205" s="1">
        <v>17.245999999999999</v>
      </c>
      <c r="R205" s="1">
        <v>17.21</v>
      </c>
      <c r="S205" s="1">
        <v>17.206</v>
      </c>
      <c r="T205" s="1">
        <v>17.265000000000001</v>
      </c>
      <c r="U205" s="1">
        <v>17.23</v>
      </c>
      <c r="V205" s="1">
        <v>17.192</v>
      </c>
      <c r="W205" s="1">
        <v>17.207000000000001</v>
      </c>
      <c r="X205" s="1">
        <v>17.138000000000002</v>
      </c>
      <c r="Y205" s="1">
        <v>17.207000000000001</v>
      </c>
      <c r="Z205" s="1">
        <v>17.164000000000001</v>
      </c>
      <c r="AA205" s="1">
        <v>17.241</v>
      </c>
      <c r="AB205" s="1">
        <v>17.167999999999999</v>
      </c>
      <c r="AC205" s="1">
        <v>17.193000000000001</v>
      </c>
      <c r="AD205" s="1">
        <v>17.241</v>
      </c>
      <c r="AE205" s="1">
        <v>17.192</v>
      </c>
      <c r="AF205" s="1">
        <v>17.244</v>
      </c>
      <c r="AG205" s="1">
        <v>17.222999999999999</v>
      </c>
      <c r="AH205" s="1">
        <v>17.23</v>
      </c>
      <c r="AI205" s="1">
        <v>17.263000000000002</v>
      </c>
      <c r="AJ205" s="1">
        <v>17.079999999999998</v>
      </c>
      <c r="AK205" s="1">
        <v>17.141999999999999</v>
      </c>
      <c r="AL205" s="1">
        <v>17.178999999999998</v>
      </c>
      <c r="AM205" s="1">
        <v>17.233000000000001</v>
      </c>
      <c r="AN205" s="1">
        <v>17.263999999999999</v>
      </c>
      <c r="AO205" s="1">
        <v>17.238</v>
      </c>
      <c r="AP205" s="1">
        <v>17.221</v>
      </c>
      <c r="AQ205" s="1">
        <v>17.151</v>
      </c>
      <c r="AR205" s="1">
        <v>17.239999999999998</v>
      </c>
      <c r="AS205" s="1">
        <v>17.155000000000001</v>
      </c>
      <c r="AT205" s="1">
        <v>17.239999999999998</v>
      </c>
      <c r="AU205" s="1">
        <v>17.260000000000002</v>
      </c>
      <c r="AV205" s="1">
        <v>17.109000000000002</v>
      </c>
      <c r="AW205" s="1">
        <v>17.238</v>
      </c>
      <c r="AX205" s="1">
        <v>17.18</v>
      </c>
      <c r="AY205" s="1">
        <v>17.251999999999999</v>
      </c>
      <c r="AZ205" s="1">
        <v>17.219000000000001</v>
      </c>
      <c r="BA205" s="1">
        <v>17.167999999999999</v>
      </c>
      <c r="BB205" s="1">
        <v>17.114999999999998</v>
      </c>
      <c r="BC205" s="1">
        <v>17.227</v>
      </c>
      <c r="BD205" s="1">
        <v>17.178999999999998</v>
      </c>
      <c r="BE205" s="1">
        <v>17.248000000000001</v>
      </c>
      <c r="BF205" s="1">
        <v>17.172000000000001</v>
      </c>
      <c r="BG205" s="1">
        <v>17.212</v>
      </c>
      <c r="BH205" s="1">
        <v>17.077000000000002</v>
      </c>
      <c r="BI205" s="1">
        <v>17.172999999999998</v>
      </c>
      <c r="BJ205" s="1">
        <v>17.218</v>
      </c>
      <c r="BK205" s="1">
        <v>17.146000000000001</v>
      </c>
      <c r="BL205" s="1">
        <v>17.140999999999998</v>
      </c>
      <c r="BN205" s="9">
        <v>24</v>
      </c>
      <c r="BO205" s="9">
        <v>2940</v>
      </c>
      <c r="BP205" s="10">
        <f t="shared" si="183"/>
        <v>-4.919642857142764E-3</v>
      </c>
      <c r="BQ205" s="10">
        <f t="shared" si="184"/>
        <v>-5.0892857142844803E-4</v>
      </c>
      <c r="BR205" s="10">
        <f t="shared" si="185"/>
        <v>4.1964285714287834E-4</v>
      </c>
      <c r="BS205" s="10">
        <f t="shared" si="186"/>
        <v>-5.3258928571428476E-3</v>
      </c>
      <c r="BT205" s="10">
        <f t="shared" si="187"/>
        <v>-2.1919642857141574E-3</v>
      </c>
      <c r="BU205" s="10">
        <f t="shared" si="188"/>
        <v>-2.4821428571428772E-3</v>
      </c>
      <c r="BV205" s="10">
        <f t="shared" si="189"/>
        <v>5.236607142857278E-3</v>
      </c>
      <c r="BW205" s="10">
        <f t="shared" si="190"/>
        <v>-5.0937499999999135E-3</v>
      </c>
      <c r="BX205" s="10">
        <f t="shared" si="191"/>
        <v>1.8705357142858592E-3</v>
      </c>
      <c r="BY205" s="10">
        <f t="shared" si="192"/>
        <v>2.2187499999999521E-3</v>
      </c>
      <c r="BZ205" s="10">
        <f t="shared" si="193"/>
        <v>-1.4374999999999805E-3</v>
      </c>
      <c r="CA205" s="10">
        <f t="shared" si="194"/>
        <v>-2.9464285714285404E-3</v>
      </c>
      <c r="CB205" s="10">
        <f t="shared" si="195"/>
        <v>8.839285714285415E-4</v>
      </c>
      <c r="CC205" s="10">
        <f t="shared" si="196"/>
        <v>-1.2053571428570459E-3</v>
      </c>
      <c r="CD205" s="10">
        <f t="shared" si="197"/>
        <v>-1.4374999999999805E-3</v>
      </c>
      <c r="CE205" s="10">
        <f t="shared" si="198"/>
        <v>1.9866071428572235E-3</v>
      </c>
      <c r="CF205" s="10">
        <f t="shared" si="199"/>
        <v>-4.464285714278482E-5</v>
      </c>
      <c r="CG205" s="10">
        <f t="shared" si="200"/>
        <v>-2.2499999999999426E-3</v>
      </c>
      <c r="CH205" s="10">
        <f t="shared" si="201"/>
        <v>-1.3794642857141953E-3</v>
      </c>
      <c r="CI205" s="10">
        <f t="shared" si="202"/>
        <v>-5.3839285714284268E-3</v>
      </c>
      <c r="CJ205" s="10">
        <f t="shared" si="203"/>
        <v>-1.3794642857141953E-3</v>
      </c>
      <c r="CK205" s="10">
        <f t="shared" si="204"/>
        <v>-3.8749999999998668E-3</v>
      </c>
      <c r="CL205" s="10">
        <f t="shared" si="205"/>
        <v>5.9375000000002785E-4</v>
      </c>
      <c r="CM205" s="10">
        <f t="shared" si="206"/>
        <v>-3.6428571428571382E-3</v>
      </c>
      <c r="CN205" s="10">
        <f t="shared" si="207"/>
        <v>-2.1919642857141574E-3</v>
      </c>
      <c r="CO205" s="10">
        <f t="shared" si="208"/>
        <v>5.9375000000002785E-4</v>
      </c>
      <c r="CP205" s="10">
        <f t="shared" si="209"/>
        <v>-2.2499999999999426E-3</v>
      </c>
      <c r="CQ205" s="10">
        <f t="shared" si="210"/>
        <v>7.678571428571773E-4</v>
      </c>
      <c r="CR205" s="10">
        <f t="shared" si="211"/>
        <v>-4.5089285714286899E-4</v>
      </c>
      <c r="CS205" s="10">
        <f t="shared" si="212"/>
        <v>-4.464285714278482E-5</v>
      </c>
      <c r="CT205" s="10">
        <f t="shared" si="213"/>
        <v>1.8705357142858592E-3</v>
      </c>
      <c r="CU205" s="10">
        <f t="shared" si="214"/>
        <v>-8.7500000000000511E-3</v>
      </c>
      <c r="CV205" s="10">
        <f t="shared" si="215"/>
        <v>-5.1517857142856982E-3</v>
      </c>
      <c r="CW205" s="10">
        <f t="shared" si="216"/>
        <v>-3.0044642857143256E-3</v>
      </c>
      <c r="CX205" s="10">
        <f t="shared" si="217"/>
        <v>1.2946428571436464E-4</v>
      </c>
      <c r="CY205" s="10">
        <f t="shared" si="218"/>
        <v>1.9285714285714383E-3</v>
      </c>
      <c r="CZ205" s="10">
        <f t="shared" si="219"/>
        <v>4.1964285714287834E-4</v>
      </c>
      <c r="DA205" s="10">
        <f t="shared" si="220"/>
        <v>-5.6696428571423318E-4</v>
      </c>
      <c r="DB205" s="10">
        <f t="shared" si="221"/>
        <v>-4.6294642857142498E-3</v>
      </c>
      <c r="DC205" s="10">
        <f t="shared" si="222"/>
        <v>5.3571428571424259E-4</v>
      </c>
      <c r="DD205" s="10">
        <f t="shared" si="223"/>
        <v>-4.3973214285713156E-3</v>
      </c>
      <c r="DE205" s="10">
        <f t="shared" si="224"/>
        <v>5.3571428571424259E-4</v>
      </c>
      <c r="DF205" s="10">
        <f t="shared" si="225"/>
        <v>1.6964285714287097E-3</v>
      </c>
      <c r="DG205" s="10">
        <f t="shared" si="226"/>
        <v>-7.0669642857141366E-3</v>
      </c>
      <c r="DH205" s="10">
        <f t="shared" si="227"/>
        <v>4.1964285714287834E-4</v>
      </c>
      <c r="DI205" s="10">
        <f t="shared" si="228"/>
        <v>-2.9464285714285404E-3</v>
      </c>
      <c r="DJ205" s="10">
        <f t="shared" si="229"/>
        <v>1.2321428571428405E-3</v>
      </c>
      <c r="DK205" s="10">
        <f t="shared" si="230"/>
        <v>-6.8303571428559749E-4</v>
      </c>
      <c r="DL205" s="10">
        <f t="shared" si="231"/>
        <v>-3.6428571428571382E-3</v>
      </c>
      <c r="DM205" s="10">
        <f t="shared" si="232"/>
        <v>-6.7187500000000433E-3</v>
      </c>
      <c r="DN205" s="10">
        <f t="shared" si="233"/>
        <v>-2.1874999999993427E-4</v>
      </c>
      <c r="DO205" s="10">
        <f t="shared" si="234"/>
        <v>-3.0044642857143256E-3</v>
      </c>
      <c r="DP205" s="10">
        <f t="shared" si="235"/>
        <v>1.0000000000001119E-3</v>
      </c>
      <c r="DQ205" s="10">
        <f t="shared" si="236"/>
        <v>-3.4107142857142036E-3</v>
      </c>
      <c r="DR205" s="10">
        <f t="shared" si="237"/>
        <v>-1.0892857142856815E-3</v>
      </c>
      <c r="DS205" s="10">
        <f t="shared" si="238"/>
        <v>-8.9241071428569959E-3</v>
      </c>
      <c r="DT205" s="10">
        <f t="shared" si="239"/>
        <v>-3.3526785714286245E-3</v>
      </c>
      <c r="DU205" s="10">
        <f t="shared" si="240"/>
        <v>-7.4107142857138264E-4</v>
      </c>
      <c r="DV205" s="10">
        <f t="shared" si="241"/>
        <v>-4.919642857142764E-3</v>
      </c>
      <c r="DW205" s="10">
        <f t="shared" si="242"/>
        <v>-5.2098214285714838E-3</v>
      </c>
    </row>
    <row r="206" spans="2:127" x14ac:dyDescent="0.45">
      <c r="B206" s="1">
        <v>24</v>
      </c>
      <c r="C206" s="1">
        <v>2955</v>
      </c>
      <c r="D206" s="7">
        <f t="shared" si="243"/>
        <v>17.318681318681318</v>
      </c>
      <c r="E206" s="1">
        <v>17.234000000000002</v>
      </c>
      <c r="F206" s="1">
        <v>17.309999999999999</v>
      </c>
      <c r="G206" s="1">
        <v>17.327999999999999</v>
      </c>
      <c r="H206" s="1">
        <v>17.225000000000001</v>
      </c>
      <c r="I206" s="1">
        <v>17.28</v>
      </c>
      <c r="J206" s="1">
        <v>17.274999999999999</v>
      </c>
      <c r="K206" s="1">
        <v>17.408000000000001</v>
      </c>
      <c r="L206" s="1">
        <v>17.227</v>
      </c>
      <c r="M206" s="1">
        <v>17.350999999999999</v>
      </c>
      <c r="N206" s="1">
        <v>17.359000000000002</v>
      </c>
      <c r="O206" s="1">
        <v>17.291</v>
      </c>
      <c r="P206" s="1">
        <v>17.266999999999999</v>
      </c>
      <c r="Q206" s="1">
        <v>17.332999999999998</v>
      </c>
      <c r="R206" s="1">
        <v>17.297000000000001</v>
      </c>
      <c r="S206" s="1">
        <v>17.292000000000002</v>
      </c>
      <c r="T206" s="1">
        <v>17.353999999999999</v>
      </c>
      <c r="U206" s="1">
        <v>17.32</v>
      </c>
      <c r="V206" s="1">
        <v>17.28</v>
      </c>
      <c r="W206" s="1">
        <v>17.294</v>
      </c>
      <c r="X206" s="1">
        <v>17.225000000000001</v>
      </c>
      <c r="Y206" s="1">
        <v>17.297000000000001</v>
      </c>
      <c r="Z206" s="1">
        <v>17.25</v>
      </c>
      <c r="AA206" s="1">
        <v>17.329000000000001</v>
      </c>
      <c r="AB206" s="1">
        <v>17.254000000000001</v>
      </c>
      <c r="AC206" s="1">
        <v>17.282</v>
      </c>
      <c r="AD206" s="1">
        <v>17.329000000000001</v>
      </c>
      <c r="AE206" s="1">
        <v>17.28</v>
      </c>
      <c r="AF206" s="1">
        <v>17.329999999999998</v>
      </c>
      <c r="AG206" s="1">
        <v>17.309000000000001</v>
      </c>
      <c r="AH206" s="1">
        <v>17.315999999999999</v>
      </c>
      <c r="AI206" s="1">
        <v>17.352</v>
      </c>
      <c r="AJ206" s="1">
        <v>17.169</v>
      </c>
      <c r="AK206" s="1">
        <v>17.227</v>
      </c>
      <c r="AL206" s="1">
        <v>17.265000000000001</v>
      </c>
      <c r="AM206" s="1">
        <v>17.321000000000002</v>
      </c>
      <c r="AN206" s="1">
        <v>17.352</v>
      </c>
      <c r="AO206" s="1">
        <v>17.326000000000001</v>
      </c>
      <c r="AP206" s="1">
        <v>17.309000000000001</v>
      </c>
      <c r="AQ206" s="1">
        <v>17.241</v>
      </c>
      <c r="AR206" s="1">
        <v>17.327999999999999</v>
      </c>
      <c r="AS206" s="1">
        <v>17.242000000000001</v>
      </c>
      <c r="AT206" s="1">
        <v>17.329000000000001</v>
      </c>
      <c r="AU206" s="1">
        <v>17.347999999999999</v>
      </c>
      <c r="AV206" s="1">
        <v>17.193000000000001</v>
      </c>
      <c r="AW206" s="1">
        <v>17.327999999999999</v>
      </c>
      <c r="AX206" s="1">
        <v>17.268999999999998</v>
      </c>
      <c r="AY206" s="1">
        <v>17.341000000000001</v>
      </c>
      <c r="AZ206" s="1">
        <v>17.306000000000001</v>
      </c>
      <c r="BA206" s="1">
        <v>17.254000000000001</v>
      </c>
      <c r="BB206" s="1">
        <v>17.2</v>
      </c>
      <c r="BC206" s="1">
        <v>17.317</v>
      </c>
      <c r="BD206" s="1">
        <v>17.263999999999999</v>
      </c>
      <c r="BE206" s="1">
        <v>17.335000000000001</v>
      </c>
      <c r="BF206" s="1">
        <v>17.259</v>
      </c>
      <c r="BG206" s="1">
        <v>17.298999999999999</v>
      </c>
      <c r="BH206" s="1">
        <v>17.161000000000001</v>
      </c>
      <c r="BI206" s="1">
        <v>17.260000000000002</v>
      </c>
      <c r="BJ206" s="1">
        <v>17.305</v>
      </c>
      <c r="BK206" s="1">
        <v>17.234999999999999</v>
      </c>
      <c r="BL206" s="1">
        <v>17.225999999999999</v>
      </c>
      <c r="BN206" s="9">
        <v>24</v>
      </c>
      <c r="BO206" s="9">
        <v>2955</v>
      </c>
      <c r="BP206" s="10">
        <f t="shared" si="183"/>
        <v>-4.8895939086292745E-3</v>
      </c>
      <c r="BQ206" s="10">
        <f t="shared" si="184"/>
        <v>-5.0126903553300345E-4</v>
      </c>
      <c r="BR206" s="10">
        <f t="shared" si="185"/>
        <v>5.380710659898787E-4</v>
      </c>
      <c r="BS206" s="10">
        <f t="shared" si="186"/>
        <v>-5.4092639593907163E-3</v>
      </c>
      <c r="BT206" s="10">
        <f t="shared" si="187"/>
        <v>-2.2335025380709351E-3</v>
      </c>
      <c r="BU206" s="10">
        <f t="shared" si="188"/>
        <v>-2.5222081218274281E-3</v>
      </c>
      <c r="BV206" s="10">
        <f t="shared" si="189"/>
        <v>5.1573604060915082E-3</v>
      </c>
      <c r="BW206" s="10">
        <f t="shared" si="190"/>
        <v>-5.2937817258882419E-3</v>
      </c>
      <c r="BX206" s="10">
        <f t="shared" si="191"/>
        <v>1.8661167512690486E-3</v>
      </c>
      <c r="BY206" s="10">
        <f t="shared" si="192"/>
        <v>2.3280456852793549E-3</v>
      </c>
      <c r="BZ206" s="10">
        <f t="shared" si="193"/>
        <v>-1.59835025380702E-3</v>
      </c>
      <c r="CA206" s="10">
        <f t="shared" si="194"/>
        <v>-2.9841370558375295E-3</v>
      </c>
      <c r="CB206" s="10">
        <f t="shared" si="195"/>
        <v>8.2677664974616647E-4</v>
      </c>
      <c r="CC206" s="10">
        <f t="shared" si="196"/>
        <v>-1.2519035532993926E-3</v>
      </c>
      <c r="CD206" s="10">
        <f t="shared" si="197"/>
        <v>-1.5406091370556805E-3</v>
      </c>
      <c r="CE206" s="10">
        <f t="shared" si="198"/>
        <v>2.0393401015228623E-3</v>
      </c>
      <c r="CF206" s="10">
        <f t="shared" si="199"/>
        <v>7.6142131979777222E-5</v>
      </c>
      <c r="CG206" s="10">
        <f t="shared" si="200"/>
        <v>-2.2335025380709351E-3</v>
      </c>
      <c r="CH206" s="10">
        <f t="shared" si="201"/>
        <v>-1.4251269035532063E-3</v>
      </c>
      <c r="CI206" s="10">
        <f t="shared" si="202"/>
        <v>-5.4092639593907163E-3</v>
      </c>
      <c r="CJ206" s="10">
        <f t="shared" si="203"/>
        <v>-1.2519035532993926E-3</v>
      </c>
      <c r="CK206" s="10">
        <f t="shared" si="204"/>
        <v>-3.9657360406090717E-3</v>
      </c>
      <c r="CL206" s="10">
        <f t="shared" si="205"/>
        <v>5.9581218274121824E-4</v>
      </c>
      <c r="CM206" s="10">
        <f t="shared" si="206"/>
        <v>-3.7347715736039187E-3</v>
      </c>
      <c r="CN206" s="10">
        <f t="shared" si="207"/>
        <v>-2.1180203045684611E-3</v>
      </c>
      <c r="CO206" s="10">
        <f t="shared" si="208"/>
        <v>5.9581218274121824E-4</v>
      </c>
      <c r="CP206" s="10">
        <f t="shared" si="209"/>
        <v>-2.2335025380709351E-3</v>
      </c>
      <c r="CQ206" s="10">
        <f t="shared" si="210"/>
        <v>6.5355329949235276E-4</v>
      </c>
      <c r="CR206" s="10">
        <f t="shared" si="211"/>
        <v>-5.5901015228413786E-4</v>
      </c>
      <c r="CS206" s="10">
        <f t="shared" si="212"/>
        <v>-1.5482233502537606E-4</v>
      </c>
      <c r="CT206" s="10">
        <f t="shared" si="213"/>
        <v>1.9238578680203882E-3</v>
      </c>
      <c r="CU206" s="10">
        <f t="shared" si="214"/>
        <v>-8.642766497461837E-3</v>
      </c>
      <c r="CV206" s="10">
        <f t="shared" si="215"/>
        <v>-5.2937817258882419E-3</v>
      </c>
      <c r="CW206" s="10">
        <f t="shared" si="216"/>
        <v>-3.0996192893400034E-3</v>
      </c>
      <c r="CX206" s="10">
        <f t="shared" si="217"/>
        <v>1.3388324873111682E-4</v>
      </c>
      <c r="CY206" s="10">
        <f t="shared" si="218"/>
        <v>1.9238578680203882E-3</v>
      </c>
      <c r="CZ206" s="10">
        <f t="shared" si="219"/>
        <v>4.2258883248740459E-4</v>
      </c>
      <c r="DA206" s="10">
        <f t="shared" si="220"/>
        <v>-5.5901015228413786E-4</v>
      </c>
      <c r="DB206" s="10">
        <f t="shared" si="221"/>
        <v>-4.4854060913705127E-3</v>
      </c>
      <c r="DC206" s="10">
        <f t="shared" si="222"/>
        <v>5.380710659898787E-4</v>
      </c>
      <c r="DD206" s="10">
        <f t="shared" si="223"/>
        <v>-4.4276649746191731E-3</v>
      </c>
      <c r="DE206" s="10">
        <f t="shared" si="224"/>
        <v>5.9581218274121824E-4</v>
      </c>
      <c r="DF206" s="10">
        <f t="shared" si="225"/>
        <v>1.6928934010152349E-3</v>
      </c>
      <c r="DG206" s="10">
        <f t="shared" si="226"/>
        <v>-7.2569796954313264E-3</v>
      </c>
      <c r="DH206" s="10">
        <f t="shared" si="227"/>
        <v>5.380710659898787E-4</v>
      </c>
      <c r="DI206" s="10">
        <f t="shared" si="228"/>
        <v>-2.8686548223350555E-3</v>
      </c>
      <c r="DJ206" s="10">
        <f t="shared" si="229"/>
        <v>1.2887055837564731E-3</v>
      </c>
      <c r="DK206" s="10">
        <f t="shared" si="230"/>
        <v>-7.3223350253795157E-4</v>
      </c>
      <c r="DL206" s="10">
        <f t="shared" si="231"/>
        <v>-3.7347715736039187E-3</v>
      </c>
      <c r="DM206" s="10">
        <f t="shared" si="232"/>
        <v>-6.8527918781725646E-3</v>
      </c>
      <c r="DN206" s="10">
        <f t="shared" si="233"/>
        <v>-9.708121827403646E-5</v>
      </c>
      <c r="DO206" s="10">
        <f t="shared" si="234"/>
        <v>-3.157360406091343E-3</v>
      </c>
      <c r="DP206" s="10">
        <f t="shared" si="235"/>
        <v>9.4225888324884566E-4</v>
      </c>
      <c r="DQ206" s="10">
        <f t="shared" si="236"/>
        <v>-3.4460659898476308E-3</v>
      </c>
      <c r="DR206" s="10">
        <f t="shared" si="237"/>
        <v>-1.1364213197969186E-3</v>
      </c>
      <c r="DS206" s="10">
        <f t="shared" si="238"/>
        <v>-9.1046954314719375E-3</v>
      </c>
      <c r="DT206" s="10">
        <f t="shared" si="239"/>
        <v>-3.3883248730962913E-3</v>
      </c>
      <c r="DU206" s="10">
        <f t="shared" si="240"/>
        <v>-7.8997461928929122E-4</v>
      </c>
      <c r="DV206" s="10">
        <f t="shared" si="241"/>
        <v>-4.8318527918781405E-3</v>
      </c>
      <c r="DW206" s="10">
        <f t="shared" si="242"/>
        <v>-5.3515228426395814E-3</v>
      </c>
    </row>
    <row r="207" spans="2:127" x14ac:dyDescent="0.45">
      <c r="B207" s="1">
        <v>24</v>
      </c>
      <c r="C207" s="1">
        <v>2970</v>
      </c>
      <c r="D207" s="7">
        <f t="shared" si="243"/>
        <v>17.406593406593405</v>
      </c>
      <c r="E207" s="1">
        <v>17.321000000000002</v>
      </c>
      <c r="F207" s="1">
        <v>17.398</v>
      </c>
      <c r="G207" s="1">
        <v>17.414999999999999</v>
      </c>
      <c r="H207" s="1">
        <v>17.312999999999999</v>
      </c>
      <c r="I207" s="1">
        <v>17.37</v>
      </c>
      <c r="J207" s="1">
        <v>17.364000000000001</v>
      </c>
      <c r="K207" s="1">
        <v>17.498999999999999</v>
      </c>
      <c r="L207" s="1">
        <v>17.312999999999999</v>
      </c>
      <c r="M207" s="1">
        <v>17.439</v>
      </c>
      <c r="N207" s="1">
        <v>17.443999999999999</v>
      </c>
      <c r="O207" s="1">
        <v>17.379000000000001</v>
      </c>
      <c r="P207" s="1">
        <v>17.353999999999999</v>
      </c>
      <c r="Q207" s="1">
        <v>17.419</v>
      </c>
      <c r="R207" s="1">
        <v>17.382000000000001</v>
      </c>
      <c r="S207" s="1">
        <v>17.382000000000001</v>
      </c>
      <c r="T207" s="1">
        <v>17.442</v>
      </c>
      <c r="U207" s="1">
        <v>17.404</v>
      </c>
      <c r="V207" s="1">
        <v>17.367999999999999</v>
      </c>
      <c r="W207" s="1">
        <v>17.382000000000001</v>
      </c>
      <c r="X207" s="1">
        <v>17.315999999999999</v>
      </c>
      <c r="Y207" s="1">
        <v>17.382999999999999</v>
      </c>
      <c r="Z207" s="1">
        <v>17.338999999999999</v>
      </c>
      <c r="AA207" s="1">
        <v>17.416</v>
      </c>
      <c r="AB207" s="1">
        <v>17.34</v>
      </c>
      <c r="AC207" s="1">
        <v>17.370999999999999</v>
      </c>
      <c r="AD207" s="1">
        <v>17.417000000000002</v>
      </c>
      <c r="AE207" s="1">
        <v>17.367999999999999</v>
      </c>
      <c r="AF207" s="1">
        <v>17.417000000000002</v>
      </c>
      <c r="AG207" s="1">
        <v>17.396999999999998</v>
      </c>
      <c r="AH207" s="1">
        <v>17.404</v>
      </c>
      <c r="AI207" s="1">
        <v>17.442</v>
      </c>
      <c r="AJ207" s="1">
        <v>17.256</v>
      </c>
      <c r="AK207" s="1">
        <v>17.312999999999999</v>
      </c>
      <c r="AL207" s="1">
        <v>17.352</v>
      </c>
      <c r="AM207" s="1">
        <v>17.408000000000001</v>
      </c>
      <c r="AN207" s="1">
        <v>17.439</v>
      </c>
      <c r="AO207" s="1">
        <v>17.414999999999999</v>
      </c>
      <c r="AP207" s="1">
        <v>17.396999999999998</v>
      </c>
      <c r="AQ207" s="1">
        <v>17.329999999999998</v>
      </c>
      <c r="AR207" s="1">
        <v>17.416</v>
      </c>
      <c r="AS207" s="1">
        <v>17.332000000000001</v>
      </c>
      <c r="AT207" s="1">
        <v>17.416</v>
      </c>
      <c r="AU207" s="1">
        <v>17.436</v>
      </c>
      <c r="AV207" s="1">
        <v>17.277999999999999</v>
      </c>
      <c r="AW207" s="1">
        <v>17.414999999999999</v>
      </c>
      <c r="AX207" s="1">
        <v>17.356000000000002</v>
      </c>
      <c r="AY207" s="1">
        <v>17.428000000000001</v>
      </c>
      <c r="AZ207" s="1">
        <v>17.393999999999998</v>
      </c>
      <c r="BA207" s="1">
        <v>17.341000000000001</v>
      </c>
      <c r="BB207" s="1">
        <v>17.288</v>
      </c>
      <c r="BC207" s="1">
        <v>17.405000000000001</v>
      </c>
      <c r="BD207" s="1">
        <v>17.352</v>
      </c>
      <c r="BE207" s="1">
        <v>17.423999999999999</v>
      </c>
      <c r="BF207" s="1">
        <v>17.347999999999999</v>
      </c>
      <c r="BG207" s="1">
        <v>17.382999999999999</v>
      </c>
      <c r="BH207" s="1">
        <v>17.251999999999999</v>
      </c>
      <c r="BI207" s="1">
        <v>17.347999999999999</v>
      </c>
      <c r="BJ207" s="1">
        <v>17.39</v>
      </c>
      <c r="BK207" s="1">
        <v>17.32</v>
      </c>
      <c r="BL207" s="1">
        <v>17.315999999999999</v>
      </c>
      <c r="BN207" s="9">
        <v>24</v>
      </c>
      <c r="BO207" s="9">
        <v>2970</v>
      </c>
      <c r="BP207" s="10">
        <f t="shared" si="183"/>
        <v>-4.9172979797978108E-3</v>
      </c>
      <c r="BQ207" s="10">
        <f t="shared" si="184"/>
        <v>-4.9368686868680371E-4</v>
      </c>
      <c r="BR207" s="10">
        <f t="shared" si="185"/>
        <v>4.8295454545457952E-4</v>
      </c>
      <c r="BS207" s="10">
        <f t="shared" si="186"/>
        <v>-5.3768939393939235E-3</v>
      </c>
      <c r="BT207" s="10">
        <f t="shared" si="187"/>
        <v>-2.1022727272725873E-3</v>
      </c>
      <c r="BU207" s="10">
        <f t="shared" si="188"/>
        <v>-2.44696969696957E-3</v>
      </c>
      <c r="BV207" s="10">
        <f t="shared" si="189"/>
        <v>5.3087121212121342E-3</v>
      </c>
      <c r="BW207" s="10">
        <f t="shared" si="190"/>
        <v>-5.3768939393939235E-3</v>
      </c>
      <c r="BX207" s="10">
        <f t="shared" si="191"/>
        <v>1.8617424242425107E-3</v>
      </c>
      <c r="BY207" s="10">
        <f t="shared" si="192"/>
        <v>2.1489898989899281E-3</v>
      </c>
      <c r="BZ207" s="10">
        <f t="shared" si="193"/>
        <v>-1.5852272727271131E-3</v>
      </c>
      <c r="CA207" s="10">
        <f t="shared" si="194"/>
        <v>-3.0214646464646095E-3</v>
      </c>
      <c r="CB207" s="10">
        <f t="shared" si="195"/>
        <v>7.1275252525263607E-4</v>
      </c>
      <c r="CC207" s="10">
        <f t="shared" si="196"/>
        <v>-1.4128787878786217E-3</v>
      </c>
      <c r="CD207" s="10">
        <f t="shared" si="197"/>
        <v>-1.4128787878786217E-3</v>
      </c>
      <c r="CE207" s="10">
        <f t="shared" si="198"/>
        <v>2.0340909090910022E-3</v>
      </c>
      <c r="CF207" s="10">
        <f t="shared" si="199"/>
        <v>-1.4898989898982091E-4</v>
      </c>
      <c r="CG207" s="10">
        <f t="shared" si="200"/>
        <v>-2.2171717171717178E-3</v>
      </c>
      <c r="CH207" s="10">
        <f t="shared" si="201"/>
        <v>-1.4128787878786217E-3</v>
      </c>
      <c r="CI207" s="10">
        <f t="shared" si="202"/>
        <v>-5.2045454545454322E-3</v>
      </c>
      <c r="CJ207" s="10">
        <f t="shared" si="203"/>
        <v>-1.3554292929292607E-3</v>
      </c>
      <c r="CK207" s="10">
        <f t="shared" si="204"/>
        <v>-3.8832070707070666E-3</v>
      </c>
      <c r="CL207" s="10">
        <f t="shared" si="205"/>
        <v>5.4040404040414463E-4</v>
      </c>
      <c r="CM207" s="10">
        <f t="shared" si="206"/>
        <v>-3.8257575757575011E-3</v>
      </c>
      <c r="CN207" s="10">
        <f t="shared" si="207"/>
        <v>-2.0448232323232261E-3</v>
      </c>
      <c r="CO207" s="10">
        <f t="shared" si="208"/>
        <v>5.9785353535370979E-4</v>
      </c>
      <c r="CP207" s="10">
        <f t="shared" si="209"/>
        <v>-2.2171717171717178E-3</v>
      </c>
      <c r="CQ207" s="10">
        <f t="shared" si="210"/>
        <v>5.9785353535370979E-4</v>
      </c>
      <c r="CR207" s="10">
        <f t="shared" si="211"/>
        <v>-5.5113636363636888E-4</v>
      </c>
      <c r="CS207" s="10">
        <f t="shared" si="212"/>
        <v>-1.4898989898982091E-4</v>
      </c>
      <c r="CT207" s="10">
        <f t="shared" si="213"/>
        <v>2.0340909090910022E-3</v>
      </c>
      <c r="CU207" s="10">
        <f t="shared" si="214"/>
        <v>-8.651515151515056E-3</v>
      </c>
      <c r="CV207" s="10">
        <f t="shared" si="215"/>
        <v>-5.3768939393939235E-3</v>
      </c>
      <c r="CW207" s="10">
        <f t="shared" si="216"/>
        <v>-3.1363636363635357E-3</v>
      </c>
      <c r="CX207" s="10">
        <f t="shared" si="217"/>
        <v>8.0808080808235648E-5</v>
      </c>
      <c r="CY207" s="10">
        <f t="shared" si="218"/>
        <v>1.8617424242425107E-3</v>
      </c>
      <c r="CZ207" s="10">
        <f t="shared" si="219"/>
        <v>4.8295454545457952E-4</v>
      </c>
      <c r="DA207" s="10">
        <f t="shared" si="220"/>
        <v>-5.5113636363636888E-4</v>
      </c>
      <c r="DB207" s="10">
        <f t="shared" si="221"/>
        <v>-4.4002525252525406E-3</v>
      </c>
      <c r="DC207" s="10">
        <f t="shared" si="222"/>
        <v>5.4040404040414463E-4</v>
      </c>
      <c r="DD207" s="10">
        <f t="shared" si="223"/>
        <v>-4.2853535353534105E-3</v>
      </c>
      <c r="DE207" s="10">
        <f t="shared" si="224"/>
        <v>5.4040404040414463E-4</v>
      </c>
      <c r="DF207" s="10">
        <f t="shared" si="225"/>
        <v>1.6893939393940194E-3</v>
      </c>
      <c r="DG207" s="10">
        <f t="shared" si="226"/>
        <v>-7.3876262626262554E-3</v>
      </c>
      <c r="DH207" s="10">
        <f t="shared" si="227"/>
        <v>4.8295454545457952E-4</v>
      </c>
      <c r="DI207" s="10">
        <f t="shared" si="228"/>
        <v>-2.9065656565654789E-3</v>
      </c>
      <c r="DJ207" s="10">
        <f t="shared" si="229"/>
        <v>1.2297979797981102E-3</v>
      </c>
      <c r="DK207" s="10">
        <f t="shared" si="230"/>
        <v>-7.2348484848486021E-4</v>
      </c>
      <c r="DL207" s="10">
        <f t="shared" si="231"/>
        <v>-3.768308080807936E-3</v>
      </c>
      <c r="DM207" s="10">
        <f t="shared" si="232"/>
        <v>-6.8131313131312163E-3</v>
      </c>
      <c r="DN207" s="10">
        <f t="shared" si="233"/>
        <v>-9.1540404040255755E-5</v>
      </c>
      <c r="DO207" s="10">
        <f t="shared" si="234"/>
        <v>-3.1363636363635357E-3</v>
      </c>
      <c r="DP207" s="10">
        <f t="shared" si="235"/>
        <v>1.0000000000000536E-3</v>
      </c>
      <c r="DQ207" s="10">
        <f t="shared" si="236"/>
        <v>-3.3661616161615921E-3</v>
      </c>
      <c r="DR207" s="10">
        <f t="shared" si="237"/>
        <v>-1.3554292929292607E-3</v>
      </c>
      <c r="DS207" s="10">
        <f t="shared" si="238"/>
        <v>-8.8813131313131132E-3</v>
      </c>
      <c r="DT207" s="10">
        <f t="shared" si="239"/>
        <v>-3.3661616161615921E-3</v>
      </c>
      <c r="DU207" s="10">
        <f t="shared" si="240"/>
        <v>-9.5328282828271267E-4</v>
      </c>
      <c r="DV207" s="10">
        <f t="shared" si="241"/>
        <v>-4.9747474747473758E-3</v>
      </c>
      <c r="DW207" s="10">
        <f t="shared" si="242"/>
        <v>-5.2045454545454322E-3</v>
      </c>
    </row>
    <row r="208" spans="2:127" x14ac:dyDescent="0.45">
      <c r="B208" s="1">
        <v>24</v>
      </c>
      <c r="C208" s="1">
        <v>2985</v>
      </c>
      <c r="D208" s="7">
        <f t="shared" si="243"/>
        <v>17.494505494505493</v>
      </c>
      <c r="E208" s="1">
        <v>17.408000000000001</v>
      </c>
      <c r="F208" s="1">
        <v>17.486000000000001</v>
      </c>
      <c r="G208" s="1">
        <v>17.503</v>
      </c>
      <c r="H208" s="1">
        <v>17.398</v>
      </c>
      <c r="I208" s="1">
        <v>17.459</v>
      </c>
      <c r="J208" s="1">
        <v>17.454999999999998</v>
      </c>
      <c r="K208" s="1">
        <v>17.588000000000001</v>
      </c>
      <c r="L208" s="1">
        <v>17.396999999999998</v>
      </c>
      <c r="M208" s="1">
        <v>17.526</v>
      </c>
      <c r="N208" s="1">
        <v>17.535</v>
      </c>
      <c r="O208" s="1">
        <v>17.466999999999999</v>
      </c>
      <c r="P208" s="1">
        <v>17.442</v>
      </c>
      <c r="Q208" s="1">
        <v>17.504999999999999</v>
      </c>
      <c r="R208" s="1">
        <v>17.466999999999999</v>
      </c>
      <c r="S208" s="1">
        <v>17.469000000000001</v>
      </c>
      <c r="T208" s="1">
        <v>17.527999999999999</v>
      </c>
      <c r="U208" s="1">
        <v>17.489999999999998</v>
      </c>
      <c r="V208" s="1">
        <v>17.457000000000001</v>
      </c>
      <c r="W208" s="1">
        <v>17.469000000000001</v>
      </c>
      <c r="X208" s="1">
        <v>17.399999999999999</v>
      </c>
      <c r="Y208" s="1">
        <v>17.472000000000001</v>
      </c>
      <c r="Z208" s="1">
        <v>17.423999999999999</v>
      </c>
      <c r="AA208" s="1">
        <v>17.5</v>
      </c>
      <c r="AB208" s="1">
        <v>17.427</v>
      </c>
      <c r="AC208" s="1">
        <v>17.460999999999999</v>
      </c>
      <c r="AD208" s="1">
        <v>17.504999999999999</v>
      </c>
      <c r="AE208" s="1">
        <v>17.454999999999998</v>
      </c>
      <c r="AF208" s="1">
        <v>17.507999999999999</v>
      </c>
      <c r="AG208" s="1">
        <v>17.484999999999999</v>
      </c>
      <c r="AH208" s="1">
        <v>17.492000000000001</v>
      </c>
      <c r="AI208" s="1">
        <v>17.527999999999999</v>
      </c>
      <c r="AJ208" s="1">
        <v>17.34</v>
      </c>
      <c r="AK208" s="1">
        <v>17.396999999999998</v>
      </c>
      <c r="AL208" s="1">
        <v>17.440000000000001</v>
      </c>
      <c r="AM208" s="1">
        <v>17.498999999999999</v>
      </c>
      <c r="AN208" s="1">
        <v>17.526</v>
      </c>
      <c r="AO208" s="1">
        <v>17.504000000000001</v>
      </c>
      <c r="AP208" s="1">
        <v>17.484999999999999</v>
      </c>
      <c r="AQ208" s="1">
        <v>17.414999999999999</v>
      </c>
      <c r="AR208" s="1">
        <v>17.503</v>
      </c>
      <c r="AS208" s="1">
        <v>17.419</v>
      </c>
      <c r="AT208" s="1">
        <v>17.504000000000001</v>
      </c>
      <c r="AU208" s="1">
        <v>17.524000000000001</v>
      </c>
      <c r="AV208" s="1">
        <v>17.363</v>
      </c>
      <c r="AW208" s="1">
        <v>17.503</v>
      </c>
      <c r="AX208" s="1">
        <v>17.443000000000001</v>
      </c>
      <c r="AY208" s="1">
        <v>17.515000000000001</v>
      </c>
      <c r="AZ208" s="1">
        <v>17.481000000000002</v>
      </c>
      <c r="BA208" s="1">
        <v>17.428000000000001</v>
      </c>
      <c r="BB208" s="1">
        <v>17.373999999999999</v>
      </c>
      <c r="BC208" s="1">
        <v>17.492999999999999</v>
      </c>
      <c r="BD208" s="1">
        <v>17.439</v>
      </c>
      <c r="BE208" s="1">
        <v>17.512</v>
      </c>
      <c r="BF208" s="1">
        <v>17.437999999999999</v>
      </c>
      <c r="BG208" s="1">
        <v>17.474</v>
      </c>
      <c r="BH208" s="1">
        <v>17.337</v>
      </c>
      <c r="BI208" s="1">
        <v>17.434000000000001</v>
      </c>
      <c r="BJ208" s="1">
        <v>17.477</v>
      </c>
      <c r="BK208" s="1">
        <v>17.405999999999999</v>
      </c>
      <c r="BL208" s="1">
        <v>17.402000000000001</v>
      </c>
      <c r="BN208" s="9">
        <v>24</v>
      </c>
      <c r="BO208" s="9">
        <v>2985</v>
      </c>
      <c r="BP208" s="10">
        <f t="shared" si="183"/>
        <v>-4.944723618090281E-3</v>
      </c>
      <c r="BQ208" s="10">
        <f t="shared" si="184"/>
        <v>-4.8618090452247532E-4</v>
      </c>
      <c r="BR208" s="10">
        <f t="shared" si="185"/>
        <v>4.8555276381920243E-4</v>
      </c>
      <c r="BS208" s="10">
        <f t="shared" si="186"/>
        <v>-5.5163316582913756E-3</v>
      </c>
      <c r="BT208" s="10">
        <f t="shared" si="187"/>
        <v>-2.0295226130652476E-3</v>
      </c>
      <c r="BU208" s="10">
        <f t="shared" si="188"/>
        <v>-2.2581658291457259E-3</v>
      </c>
      <c r="BV208" s="10">
        <f t="shared" si="189"/>
        <v>5.3442211055277945E-3</v>
      </c>
      <c r="BW208" s="10">
        <f t="shared" si="190"/>
        <v>-5.573492462311546E-3</v>
      </c>
      <c r="BX208" s="10">
        <f t="shared" si="191"/>
        <v>1.8002512562814963E-3</v>
      </c>
      <c r="BY208" s="10">
        <f t="shared" si="192"/>
        <v>2.3146984924624203E-3</v>
      </c>
      <c r="BZ208" s="10">
        <f t="shared" si="193"/>
        <v>-1.5722361809044939E-3</v>
      </c>
      <c r="CA208" s="10">
        <f t="shared" si="194"/>
        <v>-3.0012562814069254E-3</v>
      </c>
      <c r="CB208" s="10">
        <f t="shared" si="195"/>
        <v>5.9987437185934011E-4</v>
      </c>
      <c r="CC208" s="10">
        <f t="shared" si="196"/>
        <v>-1.5722361809044939E-3</v>
      </c>
      <c r="CD208" s="10">
        <f t="shared" si="197"/>
        <v>-1.4579145728641531E-3</v>
      </c>
      <c r="CE208" s="10">
        <f t="shared" si="198"/>
        <v>1.9145728643216338E-3</v>
      </c>
      <c r="CF208" s="10">
        <f t="shared" si="199"/>
        <v>-2.5753768844220001E-4</v>
      </c>
      <c r="CG208" s="10">
        <f t="shared" si="200"/>
        <v>-2.1438442211053851E-3</v>
      </c>
      <c r="CH208" s="10">
        <f t="shared" si="201"/>
        <v>-1.4579145728641531E-3</v>
      </c>
      <c r="CI208" s="10">
        <f t="shared" si="202"/>
        <v>-5.4020100502512377E-3</v>
      </c>
      <c r="CJ208" s="10">
        <f t="shared" si="203"/>
        <v>-1.2864321608038452E-3</v>
      </c>
      <c r="CK208" s="10">
        <f t="shared" si="204"/>
        <v>-4.0301507537687737E-3</v>
      </c>
      <c r="CL208" s="10">
        <f t="shared" si="205"/>
        <v>3.1407035175889443E-4</v>
      </c>
      <c r="CM208" s="10">
        <f t="shared" si="206"/>
        <v>-3.8586683417084653E-3</v>
      </c>
      <c r="CN208" s="10">
        <f t="shared" si="207"/>
        <v>-1.9152010050251099E-3</v>
      </c>
      <c r="CO208" s="10">
        <f t="shared" si="208"/>
        <v>5.9987437185934011E-4</v>
      </c>
      <c r="CP208" s="10">
        <f t="shared" si="209"/>
        <v>-2.2581658291457259E-3</v>
      </c>
      <c r="CQ208" s="10">
        <f t="shared" si="210"/>
        <v>7.7135678391964811E-4</v>
      </c>
      <c r="CR208" s="10">
        <f t="shared" si="211"/>
        <v>-5.433417085426457E-4</v>
      </c>
      <c r="CS208" s="10">
        <f t="shared" si="212"/>
        <v>-1.4321608040185929E-4</v>
      </c>
      <c r="CT208" s="10">
        <f t="shared" si="213"/>
        <v>1.9145728643216338E-3</v>
      </c>
      <c r="CU208" s="10">
        <f t="shared" si="214"/>
        <v>-8.8316582914571944E-3</v>
      </c>
      <c r="CV208" s="10">
        <f t="shared" si="215"/>
        <v>-5.573492462311546E-3</v>
      </c>
      <c r="CW208" s="10">
        <f t="shared" si="216"/>
        <v>-3.1155778894470629E-3</v>
      </c>
      <c r="CX208" s="10">
        <f t="shared" si="217"/>
        <v>2.5690954773872405E-4</v>
      </c>
      <c r="CY208" s="10">
        <f t="shared" si="218"/>
        <v>1.8002512562814963E-3</v>
      </c>
      <c r="CZ208" s="10">
        <f t="shared" si="219"/>
        <v>5.4271356783937286E-4</v>
      </c>
      <c r="DA208" s="10">
        <f t="shared" si="220"/>
        <v>-5.433417085426457E-4</v>
      </c>
      <c r="DB208" s="10">
        <f t="shared" si="221"/>
        <v>-4.5445979899496978E-3</v>
      </c>
      <c r="DC208" s="10">
        <f t="shared" si="222"/>
        <v>4.8555276381920243E-4</v>
      </c>
      <c r="DD208" s="10">
        <f t="shared" si="223"/>
        <v>-4.315954773869219E-3</v>
      </c>
      <c r="DE208" s="10">
        <f t="shared" si="224"/>
        <v>5.4271356783937286E-4</v>
      </c>
      <c r="DF208" s="10">
        <f t="shared" si="225"/>
        <v>1.6859296482413587E-3</v>
      </c>
      <c r="DG208" s="10">
        <f t="shared" si="226"/>
        <v>-7.5169597989949016E-3</v>
      </c>
      <c r="DH208" s="10">
        <f t="shared" si="227"/>
        <v>4.8555276381920243E-4</v>
      </c>
      <c r="DI208" s="10">
        <f t="shared" si="228"/>
        <v>-2.944095477386755E-3</v>
      </c>
      <c r="DJ208" s="10">
        <f t="shared" si="229"/>
        <v>1.1714824120604346E-3</v>
      </c>
      <c r="DK208" s="10">
        <f t="shared" si="230"/>
        <v>-7.7198492462292095E-4</v>
      </c>
      <c r="DL208" s="10">
        <f t="shared" si="231"/>
        <v>-3.8015075376882949E-3</v>
      </c>
      <c r="DM208" s="10">
        <f t="shared" si="232"/>
        <v>-6.8881909547738396E-3</v>
      </c>
      <c r="DN208" s="10">
        <f t="shared" si="233"/>
        <v>-8.6055276381891984E-5</v>
      </c>
      <c r="DO208" s="10">
        <f t="shared" si="234"/>
        <v>-3.1727386934672333E-3</v>
      </c>
      <c r="DP208" s="10">
        <f t="shared" si="235"/>
        <v>1.0000000000001264E-3</v>
      </c>
      <c r="DQ208" s="10">
        <f t="shared" si="236"/>
        <v>-3.2298994974874038E-3</v>
      </c>
      <c r="DR208" s="10">
        <f t="shared" si="237"/>
        <v>-1.1721105527637075E-3</v>
      </c>
      <c r="DS208" s="10">
        <f t="shared" si="238"/>
        <v>-9.0031407035175027E-3</v>
      </c>
      <c r="DT208" s="10">
        <f t="shared" si="239"/>
        <v>-3.4585427135676791E-3</v>
      </c>
      <c r="DU208" s="10">
        <f t="shared" si="240"/>
        <v>-1.0006281407033994E-3</v>
      </c>
      <c r="DV208" s="10">
        <f t="shared" si="241"/>
        <v>-5.0590452261306219E-3</v>
      </c>
      <c r="DW208" s="10">
        <f t="shared" si="242"/>
        <v>-5.2876884422108968E-3</v>
      </c>
    </row>
    <row r="209" spans="2:127" x14ac:dyDescent="0.45">
      <c r="B209" s="1">
        <v>24</v>
      </c>
      <c r="C209" s="1">
        <v>3000</v>
      </c>
      <c r="D209" s="7">
        <f t="shared" si="243"/>
        <v>17.582417582417584</v>
      </c>
      <c r="E209" s="1">
        <v>17.495999999999999</v>
      </c>
      <c r="F209" s="1">
        <v>17.573</v>
      </c>
      <c r="G209" s="1">
        <v>17.591999999999999</v>
      </c>
      <c r="H209" s="1">
        <v>17.486000000000001</v>
      </c>
      <c r="I209" s="1">
        <v>17.547000000000001</v>
      </c>
      <c r="J209" s="1">
        <v>17.542000000000002</v>
      </c>
      <c r="K209" s="1">
        <v>17.675999999999998</v>
      </c>
      <c r="L209" s="1">
        <v>17.481000000000002</v>
      </c>
      <c r="M209" s="1">
        <v>17.613</v>
      </c>
      <c r="N209" s="1">
        <v>17.622</v>
      </c>
      <c r="O209" s="1">
        <v>17.556999999999999</v>
      </c>
      <c r="P209" s="1">
        <v>17.527999999999999</v>
      </c>
      <c r="Q209" s="1">
        <v>17.594000000000001</v>
      </c>
      <c r="R209" s="1">
        <v>17.552</v>
      </c>
      <c r="S209" s="1">
        <v>17.556000000000001</v>
      </c>
      <c r="T209" s="1">
        <v>17.614999999999998</v>
      </c>
      <c r="U209" s="1">
        <v>17.574999999999999</v>
      </c>
      <c r="V209" s="1">
        <v>17.542999999999999</v>
      </c>
      <c r="W209" s="1">
        <v>17.556999999999999</v>
      </c>
      <c r="X209" s="1">
        <v>17.484000000000002</v>
      </c>
      <c r="Y209" s="1">
        <v>17.559999999999999</v>
      </c>
      <c r="Z209" s="1">
        <v>17.512</v>
      </c>
      <c r="AA209" s="1">
        <v>17.587</v>
      </c>
      <c r="AB209" s="1">
        <v>17.515000000000001</v>
      </c>
      <c r="AC209" s="1">
        <v>17.548999999999999</v>
      </c>
      <c r="AD209" s="1">
        <v>17.591999999999999</v>
      </c>
      <c r="AE209" s="1">
        <v>17.542000000000002</v>
      </c>
      <c r="AF209" s="1">
        <v>17.596</v>
      </c>
      <c r="AG209" s="1">
        <v>17.574999999999999</v>
      </c>
      <c r="AH209" s="1">
        <v>17.579999999999998</v>
      </c>
      <c r="AI209" s="1">
        <v>17.617000000000001</v>
      </c>
      <c r="AJ209" s="1">
        <v>17.427</v>
      </c>
      <c r="AK209" s="1">
        <v>17.484000000000002</v>
      </c>
      <c r="AL209" s="1">
        <v>17.53</v>
      </c>
      <c r="AM209" s="1">
        <v>17.585000000000001</v>
      </c>
      <c r="AN209" s="1">
        <v>17.613</v>
      </c>
      <c r="AO209" s="1">
        <v>17.591000000000001</v>
      </c>
      <c r="AP209" s="1">
        <v>17.574999999999999</v>
      </c>
      <c r="AQ209" s="1">
        <v>17.504000000000001</v>
      </c>
      <c r="AR209" s="1">
        <v>17.591000000000001</v>
      </c>
      <c r="AS209" s="1">
        <v>17.507000000000001</v>
      </c>
      <c r="AT209" s="1">
        <v>17.591000000000001</v>
      </c>
      <c r="AU209" s="1">
        <v>17.613</v>
      </c>
      <c r="AV209" s="1">
        <v>17.452999999999999</v>
      </c>
      <c r="AW209" s="1">
        <v>17.59</v>
      </c>
      <c r="AX209" s="1">
        <v>17.530999999999999</v>
      </c>
      <c r="AY209" s="1">
        <v>17.600000000000001</v>
      </c>
      <c r="AZ209" s="1">
        <v>17.568999999999999</v>
      </c>
      <c r="BA209" s="1">
        <v>17.515000000000001</v>
      </c>
      <c r="BB209" s="1">
        <v>17.460999999999999</v>
      </c>
      <c r="BC209" s="1">
        <v>17.579999999999998</v>
      </c>
      <c r="BD209" s="1">
        <v>17.526</v>
      </c>
      <c r="BE209" s="1">
        <v>17.600000000000001</v>
      </c>
      <c r="BF209" s="1">
        <v>17.526</v>
      </c>
      <c r="BG209" s="1">
        <v>17.559999999999999</v>
      </c>
      <c r="BH209" s="1">
        <v>17.428000000000001</v>
      </c>
      <c r="BI209" s="1">
        <v>17.521999999999998</v>
      </c>
      <c r="BJ209" s="1">
        <v>17.565000000000001</v>
      </c>
      <c r="BK209" s="1">
        <v>17.501000000000001</v>
      </c>
      <c r="BL209" s="1">
        <v>17.489000000000001</v>
      </c>
      <c r="BN209" s="9">
        <v>24</v>
      </c>
      <c r="BO209" s="9">
        <v>3000</v>
      </c>
      <c r="BP209" s="10">
        <f t="shared" si="183"/>
        <v>-4.9150000000001597E-3</v>
      </c>
      <c r="BQ209" s="10">
        <f t="shared" si="184"/>
        <v>-5.3562500000006166E-4</v>
      </c>
      <c r="BR209" s="10">
        <f t="shared" si="185"/>
        <v>5.4499999999984444E-4</v>
      </c>
      <c r="BS209" s="10">
        <f t="shared" si="186"/>
        <v>-5.4837500000000467E-3</v>
      </c>
      <c r="BT209" s="10">
        <f t="shared" si="187"/>
        <v>-2.0143750000000504E-3</v>
      </c>
      <c r="BU209" s="10">
        <f t="shared" si="188"/>
        <v>-2.2987499999999935E-3</v>
      </c>
      <c r="BV209" s="10">
        <f t="shared" si="189"/>
        <v>5.322499999999823E-3</v>
      </c>
      <c r="BW209" s="10">
        <f t="shared" si="190"/>
        <v>-5.7681249999999903E-3</v>
      </c>
      <c r="BX209" s="10">
        <f t="shared" si="191"/>
        <v>1.7393749999998897E-3</v>
      </c>
      <c r="BY209" s="10">
        <f t="shared" si="192"/>
        <v>2.2512499999999091E-3</v>
      </c>
      <c r="BZ209" s="10">
        <f t="shared" si="193"/>
        <v>-1.4456250000001634E-3</v>
      </c>
      <c r="CA209" s="10">
        <f t="shared" si="194"/>
        <v>-3.0950000000001584E-3</v>
      </c>
      <c r="CB209" s="10">
        <f t="shared" si="195"/>
        <v>6.5874999999998346E-4</v>
      </c>
      <c r="CC209" s="10">
        <f t="shared" si="196"/>
        <v>-1.7300000000001069E-3</v>
      </c>
      <c r="CD209" s="10">
        <f t="shared" si="197"/>
        <v>-1.5025000000000309E-3</v>
      </c>
      <c r="CE209" s="10">
        <f t="shared" si="198"/>
        <v>1.8531249999998265E-3</v>
      </c>
      <c r="CF209" s="10">
        <f t="shared" si="199"/>
        <v>-4.2187500000012473E-4</v>
      </c>
      <c r="CG209" s="10">
        <f t="shared" si="200"/>
        <v>-2.2418750000001261E-3</v>
      </c>
      <c r="CH209" s="10">
        <f t="shared" si="201"/>
        <v>-1.4456250000001634E-3</v>
      </c>
      <c r="CI209" s="10">
        <f t="shared" si="202"/>
        <v>-5.5974999999999836E-3</v>
      </c>
      <c r="CJ209" s="10">
        <f t="shared" si="203"/>
        <v>-1.2750000000001571E-3</v>
      </c>
      <c r="CK209" s="10">
        <f t="shared" si="204"/>
        <v>-4.005000000000058E-3</v>
      </c>
      <c r="CL209" s="10">
        <f t="shared" si="205"/>
        <v>2.6062499999990107E-4</v>
      </c>
      <c r="CM209" s="10">
        <f t="shared" si="206"/>
        <v>-3.8343750000000517E-3</v>
      </c>
      <c r="CN209" s="10">
        <f t="shared" si="207"/>
        <v>-1.9006250000001134E-3</v>
      </c>
      <c r="CO209" s="10">
        <f t="shared" si="208"/>
        <v>5.4499999999984444E-4</v>
      </c>
      <c r="CP209" s="10">
        <f t="shared" si="209"/>
        <v>-2.2987499999999935E-3</v>
      </c>
      <c r="CQ209" s="10">
        <f t="shared" si="210"/>
        <v>7.7249999999992039E-4</v>
      </c>
      <c r="CR209" s="10">
        <f t="shared" si="211"/>
        <v>-4.2187500000012473E-4</v>
      </c>
      <c r="CS209" s="10">
        <f t="shared" si="212"/>
        <v>-1.3750000000018134E-4</v>
      </c>
      <c r="CT209" s="10">
        <f t="shared" si="213"/>
        <v>1.9668749999999656E-3</v>
      </c>
      <c r="CU209" s="10">
        <f t="shared" si="214"/>
        <v>-8.8393750000001058E-3</v>
      </c>
      <c r="CV209" s="10">
        <f t="shared" si="215"/>
        <v>-5.5974999999999836E-3</v>
      </c>
      <c r="CW209" s="10">
        <f t="shared" si="216"/>
        <v>-2.9812500000000195E-3</v>
      </c>
      <c r="CX209" s="10">
        <f t="shared" si="217"/>
        <v>1.4687499999996412E-4</v>
      </c>
      <c r="CY209" s="10">
        <f t="shared" si="218"/>
        <v>1.7393749999998897E-3</v>
      </c>
      <c r="CZ209" s="10">
        <f t="shared" si="219"/>
        <v>4.8812499999997702E-4</v>
      </c>
      <c r="DA209" s="10">
        <f t="shared" si="220"/>
        <v>-4.2187500000012473E-4</v>
      </c>
      <c r="DB209" s="10">
        <f t="shared" si="221"/>
        <v>-4.4600000000000082E-3</v>
      </c>
      <c r="DC209" s="10">
        <f t="shared" si="222"/>
        <v>4.8812499999997702E-4</v>
      </c>
      <c r="DD209" s="10">
        <f t="shared" si="223"/>
        <v>-4.2893750000000015E-3</v>
      </c>
      <c r="DE209" s="10">
        <f t="shared" si="224"/>
        <v>4.8812499999997702E-4</v>
      </c>
      <c r="DF209" s="10">
        <f t="shared" si="225"/>
        <v>1.7393749999998897E-3</v>
      </c>
      <c r="DG209" s="10">
        <f t="shared" si="226"/>
        <v>-7.3606250000001179E-3</v>
      </c>
      <c r="DH209" s="10">
        <f t="shared" si="227"/>
        <v>4.3124999999990751E-4</v>
      </c>
      <c r="DI209" s="10">
        <f t="shared" si="228"/>
        <v>-2.9243750000001521E-3</v>
      </c>
      <c r="DJ209" s="10">
        <f t="shared" si="229"/>
        <v>9.9999999999999633E-4</v>
      </c>
      <c r="DK209" s="10">
        <f t="shared" si="230"/>
        <v>-7.6312500000013761E-4</v>
      </c>
      <c r="DL209" s="10">
        <f t="shared" si="231"/>
        <v>-3.8343750000000517E-3</v>
      </c>
      <c r="DM209" s="10">
        <f t="shared" si="232"/>
        <v>-6.9056250000001677E-3</v>
      </c>
      <c r="DN209" s="10">
        <f t="shared" si="233"/>
        <v>-1.3750000000018134E-4</v>
      </c>
      <c r="DO209" s="10">
        <f t="shared" si="234"/>
        <v>-3.2087500000000952E-3</v>
      </c>
      <c r="DP209" s="10">
        <f t="shared" si="235"/>
        <v>9.9999999999999633E-4</v>
      </c>
      <c r="DQ209" s="10">
        <f t="shared" si="236"/>
        <v>-3.2087500000000952E-3</v>
      </c>
      <c r="DR209" s="10">
        <f t="shared" si="237"/>
        <v>-1.2750000000001571E-3</v>
      </c>
      <c r="DS209" s="10">
        <f t="shared" si="238"/>
        <v>-8.7825000000000368E-3</v>
      </c>
      <c r="DT209" s="10">
        <f t="shared" si="239"/>
        <v>-3.4362500000001714E-3</v>
      </c>
      <c r="DU209" s="10">
        <f t="shared" si="240"/>
        <v>-9.9062500000001146E-4</v>
      </c>
      <c r="DV209" s="10">
        <f t="shared" si="241"/>
        <v>-4.6306250000000141E-3</v>
      </c>
      <c r="DW209" s="10">
        <f t="shared" si="242"/>
        <v>-5.31312500000004E-3</v>
      </c>
    </row>
    <row r="210" spans="2:127" x14ac:dyDescent="0.45">
      <c r="B210" s="1">
        <v>24</v>
      </c>
      <c r="C210" s="1">
        <v>3015</v>
      </c>
      <c r="D210" s="7">
        <f t="shared" si="243"/>
        <v>17.670329670329672</v>
      </c>
      <c r="E210" s="1">
        <v>17.582999999999998</v>
      </c>
      <c r="F210" s="1">
        <v>17.661000000000001</v>
      </c>
      <c r="G210" s="1">
        <v>17.678000000000001</v>
      </c>
      <c r="H210" s="1">
        <v>17.573</v>
      </c>
      <c r="I210" s="1">
        <v>17.637</v>
      </c>
      <c r="J210" s="1">
        <v>17.63</v>
      </c>
      <c r="K210" s="1">
        <v>17.763999999999999</v>
      </c>
      <c r="L210" s="1">
        <v>17.571000000000002</v>
      </c>
      <c r="M210" s="1">
        <v>17.699000000000002</v>
      </c>
      <c r="N210" s="1">
        <v>17.712</v>
      </c>
      <c r="O210" s="1">
        <v>17.645</v>
      </c>
      <c r="P210" s="1">
        <v>17.617000000000001</v>
      </c>
      <c r="Q210" s="1">
        <v>17.681999999999999</v>
      </c>
      <c r="R210" s="1">
        <v>17.638000000000002</v>
      </c>
      <c r="S210" s="1">
        <v>17.641999999999999</v>
      </c>
      <c r="T210" s="1">
        <v>17.702000000000002</v>
      </c>
      <c r="U210" s="1">
        <v>17.661000000000001</v>
      </c>
      <c r="V210" s="1">
        <v>17.632000000000001</v>
      </c>
      <c r="W210" s="1">
        <v>17.645</v>
      </c>
      <c r="X210" s="1">
        <v>17.571000000000002</v>
      </c>
      <c r="Y210" s="1">
        <v>17.648</v>
      </c>
      <c r="Z210" s="1">
        <v>17.597999999999999</v>
      </c>
      <c r="AA210" s="1">
        <v>17.675000000000001</v>
      </c>
      <c r="AB210" s="1">
        <v>17.603000000000002</v>
      </c>
      <c r="AC210" s="1">
        <v>17.638000000000002</v>
      </c>
      <c r="AD210" s="1">
        <v>17.68</v>
      </c>
      <c r="AE210" s="1">
        <v>17.629000000000001</v>
      </c>
      <c r="AF210" s="1">
        <v>17.684000000000001</v>
      </c>
      <c r="AG210" s="1">
        <v>17.663</v>
      </c>
      <c r="AH210" s="1">
        <v>17.664999999999999</v>
      </c>
      <c r="AI210" s="1">
        <v>17.704999999999998</v>
      </c>
      <c r="AJ210" s="1">
        <v>17.515000000000001</v>
      </c>
      <c r="AK210" s="1">
        <v>17.571999999999999</v>
      </c>
      <c r="AL210" s="1">
        <v>17.617000000000001</v>
      </c>
      <c r="AM210" s="1">
        <v>17.675000000000001</v>
      </c>
      <c r="AN210" s="1">
        <v>17.702000000000002</v>
      </c>
      <c r="AO210" s="1">
        <v>17.678000000000001</v>
      </c>
      <c r="AP210" s="1">
        <v>17.664000000000001</v>
      </c>
      <c r="AQ210" s="1">
        <v>17.59</v>
      </c>
      <c r="AR210" s="1">
        <v>17.678000000000001</v>
      </c>
      <c r="AS210" s="1">
        <v>17.594000000000001</v>
      </c>
      <c r="AT210" s="1">
        <v>17.678000000000001</v>
      </c>
      <c r="AU210" s="1">
        <v>17.702000000000002</v>
      </c>
      <c r="AV210" s="1">
        <v>17.536999999999999</v>
      </c>
      <c r="AW210" s="1">
        <v>17.678000000000001</v>
      </c>
      <c r="AX210" s="1">
        <v>17.617000000000001</v>
      </c>
      <c r="AY210" s="1">
        <v>17.686</v>
      </c>
      <c r="AZ210" s="1">
        <v>17.657</v>
      </c>
      <c r="BA210" s="1">
        <v>17.600000000000001</v>
      </c>
      <c r="BB210" s="1">
        <v>17.545000000000002</v>
      </c>
      <c r="BC210" s="1">
        <v>17.664999999999999</v>
      </c>
      <c r="BD210" s="1">
        <v>17.613</v>
      </c>
      <c r="BE210" s="1">
        <v>17.690000000000001</v>
      </c>
      <c r="BF210" s="1">
        <v>17.613</v>
      </c>
      <c r="BG210" s="1">
        <v>17.646000000000001</v>
      </c>
      <c r="BH210" s="1">
        <v>17.510999999999999</v>
      </c>
      <c r="BI210" s="1">
        <v>17.609000000000002</v>
      </c>
      <c r="BJ210" s="1">
        <v>17.652999999999999</v>
      </c>
      <c r="BK210" s="1">
        <v>17.588000000000001</v>
      </c>
      <c r="BL210" s="1">
        <v>17.577000000000002</v>
      </c>
      <c r="BN210" s="9">
        <v>24</v>
      </c>
      <c r="BO210" s="9">
        <v>3015</v>
      </c>
      <c r="BP210" s="10">
        <f t="shared" si="183"/>
        <v>-4.9421641791046337E-3</v>
      </c>
      <c r="BQ210" s="10">
        <f t="shared" si="184"/>
        <v>-5.2798507462685474E-4</v>
      </c>
      <c r="BR210" s="10">
        <f t="shared" si="185"/>
        <v>4.3407960199003007E-4</v>
      </c>
      <c r="BS210" s="10">
        <f t="shared" si="186"/>
        <v>-5.5080845771144716E-3</v>
      </c>
      <c r="BT210" s="10">
        <f t="shared" si="187"/>
        <v>-1.8861940298507867E-3</v>
      </c>
      <c r="BU210" s="10">
        <f t="shared" si="188"/>
        <v>-2.282338308457834E-3</v>
      </c>
      <c r="BV210" s="10">
        <f t="shared" si="189"/>
        <v>5.3009950248755185E-3</v>
      </c>
      <c r="BW210" s="10">
        <f t="shared" si="190"/>
        <v>-5.6212686567163987E-3</v>
      </c>
      <c r="BX210" s="10">
        <f t="shared" si="191"/>
        <v>1.6225124378109706E-3</v>
      </c>
      <c r="BY210" s="10">
        <f t="shared" si="192"/>
        <v>2.3582089552237999E-3</v>
      </c>
      <c r="BZ210" s="10">
        <f t="shared" si="193"/>
        <v>-1.4334577114428764E-3</v>
      </c>
      <c r="CA210" s="10">
        <f t="shared" si="194"/>
        <v>-3.0180348258706628E-3</v>
      </c>
      <c r="CB210" s="10">
        <f t="shared" si="195"/>
        <v>6.6044776119388471E-4</v>
      </c>
      <c r="CC210" s="10">
        <f t="shared" si="196"/>
        <v>-1.8296019900497225E-3</v>
      </c>
      <c r="CD210" s="10">
        <f t="shared" si="197"/>
        <v>-1.6032338308458679E-3</v>
      </c>
      <c r="CE210" s="10">
        <f t="shared" si="198"/>
        <v>1.792288557213962E-3</v>
      </c>
      <c r="CF210" s="10">
        <f t="shared" si="199"/>
        <v>-5.2798507462685474E-4</v>
      </c>
      <c r="CG210" s="10">
        <f t="shared" si="200"/>
        <v>-2.1691542288557056E-3</v>
      </c>
      <c r="CH210" s="10">
        <f t="shared" si="201"/>
        <v>-1.4334577114428764E-3</v>
      </c>
      <c r="CI210" s="10">
        <f t="shared" si="202"/>
        <v>-5.6212686567163987E-3</v>
      </c>
      <c r="CJ210" s="10">
        <f t="shared" si="203"/>
        <v>-1.2636815920398848E-3</v>
      </c>
      <c r="CK210" s="10">
        <f t="shared" si="204"/>
        <v>-4.0932835820896765E-3</v>
      </c>
      <c r="CL210" s="10">
        <f t="shared" si="205"/>
        <v>2.643034825870386E-4</v>
      </c>
      <c r="CM210" s="10">
        <f t="shared" si="206"/>
        <v>-3.8103233830845563E-3</v>
      </c>
      <c r="CN210" s="10">
        <f t="shared" si="207"/>
        <v>-1.8296019900497225E-3</v>
      </c>
      <c r="CO210" s="10">
        <f t="shared" si="208"/>
        <v>5.4726368159195744E-4</v>
      </c>
      <c r="CP210" s="10">
        <f t="shared" si="209"/>
        <v>-2.338930348258697E-3</v>
      </c>
      <c r="CQ210" s="10">
        <f t="shared" si="210"/>
        <v>7.736318407960131E-4</v>
      </c>
      <c r="CR210" s="10">
        <f t="shared" si="211"/>
        <v>-4.1480099502492742E-4</v>
      </c>
      <c r="CS210" s="10">
        <f t="shared" si="212"/>
        <v>-3.0161691542300009E-4</v>
      </c>
      <c r="CT210" s="10">
        <f t="shared" si="213"/>
        <v>1.9620646766167526E-3</v>
      </c>
      <c r="CU210" s="10">
        <f t="shared" si="214"/>
        <v>-8.790422885572172E-3</v>
      </c>
      <c r="CV210" s="10">
        <f t="shared" si="215"/>
        <v>-5.5646766169155353E-3</v>
      </c>
      <c r="CW210" s="10">
        <f t="shared" si="216"/>
        <v>-3.0180348258706628E-3</v>
      </c>
      <c r="CX210" s="10">
        <f t="shared" si="217"/>
        <v>2.643034825870386E-4</v>
      </c>
      <c r="CY210" s="10">
        <f t="shared" si="218"/>
        <v>1.792288557213962E-3</v>
      </c>
      <c r="CZ210" s="10">
        <f t="shared" si="219"/>
        <v>4.3407960199003007E-4</v>
      </c>
      <c r="DA210" s="10">
        <f t="shared" si="220"/>
        <v>-3.5820895522386322E-4</v>
      </c>
      <c r="DB210" s="10">
        <f t="shared" si="221"/>
        <v>-4.5460199004975863E-3</v>
      </c>
      <c r="DC210" s="10">
        <f t="shared" si="222"/>
        <v>4.3407960199003007E-4</v>
      </c>
      <c r="DD210" s="10">
        <f t="shared" si="223"/>
        <v>-4.3196517412935308E-3</v>
      </c>
      <c r="DE210" s="10">
        <f t="shared" si="224"/>
        <v>4.3407960199003007E-4</v>
      </c>
      <c r="DF210" s="10">
        <f t="shared" si="225"/>
        <v>1.792288557213962E-3</v>
      </c>
      <c r="DG210" s="10">
        <f t="shared" si="226"/>
        <v>-7.5453980099503696E-3</v>
      </c>
      <c r="DH210" s="10">
        <f t="shared" si="227"/>
        <v>4.3407960199003007E-4</v>
      </c>
      <c r="DI210" s="10">
        <f t="shared" si="228"/>
        <v>-3.0180348258706628E-3</v>
      </c>
      <c r="DJ210" s="10">
        <f t="shared" si="229"/>
        <v>8.8681592039794037E-4</v>
      </c>
      <c r="DK210" s="10">
        <f t="shared" si="230"/>
        <v>-7.543532338309104E-4</v>
      </c>
      <c r="DL210" s="10">
        <f t="shared" si="231"/>
        <v>-3.9800995024875481E-3</v>
      </c>
      <c r="DM210" s="10">
        <f t="shared" si="232"/>
        <v>-7.0926616915422576E-3</v>
      </c>
      <c r="DN210" s="10">
        <f t="shared" si="233"/>
        <v>-3.0161691542300009E-4</v>
      </c>
      <c r="DO210" s="10">
        <f t="shared" si="234"/>
        <v>-3.2444029850747188E-3</v>
      </c>
      <c r="DP210" s="10">
        <f t="shared" si="235"/>
        <v>1.1131840796019961E-3</v>
      </c>
      <c r="DQ210" s="10">
        <f t="shared" si="236"/>
        <v>-3.2444029850747188E-3</v>
      </c>
      <c r="DR210" s="10">
        <f t="shared" si="237"/>
        <v>-1.3768656716418122E-3</v>
      </c>
      <c r="DS210" s="10">
        <f t="shared" si="238"/>
        <v>-9.0167910447762293E-3</v>
      </c>
      <c r="DT210" s="10">
        <f t="shared" si="239"/>
        <v>-3.4707711442785731E-3</v>
      </c>
      <c r="DU210" s="10">
        <f t="shared" si="240"/>
        <v>-9.8072139303496605E-4</v>
      </c>
      <c r="DV210" s="10">
        <f t="shared" si="241"/>
        <v>-4.6592039800995135E-3</v>
      </c>
      <c r="DW210" s="10">
        <f t="shared" si="242"/>
        <v>-5.281716417910416E-3</v>
      </c>
    </row>
    <row r="211" spans="2:127" x14ac:dyDescent="0.45">
      <c r="B211" s="1">
        <v>24</v>
      </c>
      <c r="C211" s="1">
        <v>3030</v>
      </c>
      <c r="D211" s="7">
        <f t="shared" si="243"/>
        <v>17.758241758241759</v>
      </c>
      <c r="E211" s="1">
        <v>17.672000000000001</v>
      </c>
      <c r="F211" s="1">
        <v>17.747</v>
      </c>
      <c r="G211" s="1">
        <v>17.765999999999998</v>
      </c>
      <c r="H211" s="1">
        <v>17.661000000000001</v>
      </c>
      <c r="I211" s="1">
        <v>17.724</v>
      </c>
      <c r="J211" s="1">
        <v>17.718</v>
      </c>
      <c r="K211" s="1">
        <v>17.853999999999999</v>
      </c>
      <c r="L211" s="1">
        <v>17.655999999999999</v>
      </c>
      <c r="M211" s="1">
        <v>17.786000000000001</v>
      </c>
      <c r="N211" s="1">
        <v>17.797000000000001</v>
      </c>
      <c r="O211" s="1">
        <v>17.733000000000001</v>
      </c>
      <c r="P211" s="1">
        <v>17.704999999999998</v>
      </c>
      <c r="Q211" s="1">
        <v>17.766999999999999</v>
      </c>
      <c r="R211" s="1">
        <v>17.728000000000002</v>
      </c>
      <c r="S211" s="1">
        <v>17.731000000000002</v>
      </c>
      <c r="T211" s="1">
        <v>17.79</v>
      </c>
      <c r="U211" s="1">
        <v>17.751000000000001</v>
      </c>
      <c r="V211" s="1">
        <v>17.72</v>
      </c>
      <c r="W211" s="1">
        <v>17.736000000000001</v>
      </c>
      <c r="X211" s="1">
        <v>17.652999999999999</v>
      </c>
      <c r="Y211" s="1">
        <v>17.734999999999999</v>
      </c>
      <c r="Z211" s="1">
        <v>17.684000000000001</v>
      </c>
      <c r="AA211" s="1">
        <v>17.762</v>
      </c>
      <c r="AB211" s="1">
        <v>17.690000000000001</v>
      </c>
      <c r="AC211" s="1">
        <v>17.725000000000001</v>
      </c>
      <c r="AD211" s="1">
        <v>17.766999999999999</v>
      </c>
      <c r="AE211" s="1">
        <v>17.716999999999999</v>
      </c>
      <c r="AF211" s="1">
        <v>17.77</v>
      </c>
      <c r="AG211" s="1">
        <v>17.751000000000001</v>
      </c>
      <c r="AH211" s="1">
        <v>17.754000000000001</v>
      </c>
      <c r="AI211" s="1">
        <v>17.792000000000002</v>
      </c>
      <c r="AJ211" s="1">
        <v>17.597999999999999</v>
      </c>
      <c r="AK211" s="1">
        <v>17.66</v>
      </c>
      <c r="AL211" s="1">
        <v>17.704999999999998</v>
      </c>
      <c r="AM211" s="1">
        <v>17.763000000000002</v>
      </c>
      <c r="AN211" s="1">
        <v>17.786000000000001</v>
      </c>
      <c r="AO211" s="1">
        <v>17.765999999999998</v>
      </c>
      <c r="AP211" s="1">
        <v>17.751999999999999</v>
      </c>
      <c r="AQ211" s="1">
        <v>17.678000000000001</v>
      </c>
      <c r="AR211" s="1">
        <v>17.763999999999999</v>
      </c>
      <c r="AS211" s="1">
        <v>17.683</v>
      </c>
      <c r="AT211" s="1">
        <v>17.766999999999999</v>
      </c>
      <c r="AU211" s="1">
        <v>17.789000000000001</v>
      </c>
      <c r="AV211" s="1">
        <v>17.622</v>
      </c>
      <c r="AW211" s="1">
        <v>17.763000000000002</v>
      </c>
      <c r="AX211" s="1">
        <v>17.702000000000002</v>
      </c>
      <c r="AY211" s="1">
        <v>17.777000000000001</v>
      </c>
      <c r="AZ211" s="1">
        <v>17.745000000000001</v>
      </c>
      <c r="BA211" s="1">
        <v>17.689</v>
      </c>
      <c r="BB211" s="1">
        <v>17.629000000000001</v>
      </c>
      <c r="BC211" s="1">
        <v>17.754000000000001</v>
      </c>
      <c r="BD211" s="1">
        <v>17.701000000000001</v>
      </c>
      <c r="BE211" s="1">
        <v>17.779</v>
      </c>
      <c r="BF211" s="1">
        <v>17.699000000000002</v>
      </c>
      <c r="BG211" s="1">
        <v>17.734999999999999</v>
      </c>
      <c r="BH211" s="1">
        <v>17.596</v>
      </c>
      <c r="BI211" s="1">
        <v>17.693999999999999</v>
      </c>
      <c r="BJ211" s="1">
        <v>17.744</v>
      </c>
      <c r="BK211" s="1">
        <v>17.670999999999999</v>
      </c>
      <c r="BL211" s="1">
        <v>17.667000000000002</v>
      </c>
      <c r="BN211" s="9">
        <v>24</v>
      </c>
      <c r="BO211" s="9">
        <v>3030</v>
      </c>
      <c r="BP211" s="10">
        <f t="shared" si="183"/>
        <v>-4.8564356435643712E-3</v>
      </c>
      <c r="BQ211" s="10">
        <f t="shared" si="184"/>
        <v>-6.3304455445550032E-4</v>
      </c>
      <c r="BR211" s="10">
        <f t="shared" si="185"/>
        <v>4.3688118811866428E-4</v>
      </c>
      <c r="BS211" s="10">
        <f t="shared" si="186"/>
        <v>-5.4758663366336344E-3</v>
      </c>
      <c r="BT211" s="10">
        <f t="shared" si="187"/>
        <v>-1.9282178217822153E-3</v>
      </c>
      <c r="BU211" s="10">
        <f t="shared" si="188"/>
        <v>-2.2660891089109408E-3</v>
      </c>
      <c r="BV211" s="10">
        <f t="shared" si="189"/>
        <v>5.3923267326731741E-3</v>
      </c>
      <c r="BW211" s="10">
        <f t="shared" si="190"/>
        <v>-5.7574257425743727E-3</v>
      </c>
      <c r="BX211" s="10">
        <f t="shared" si="191"/>
        <v>1.5631188118812164E-3</v>
      </c>
      <c r="BY211" s="10">
        <f t="shared" si="192"/>
        <v>2.1825495049504801E-3</v>
      </c>
      <c r="BZ211" s="10">
        <f t="shared" si="193"/>
        <v>-1.4214108910891269E-3</v>
      </c>
      <c r="CA211" s="10">
        <f t="shared" si="194"/>
        <v>-2.9981435643565797E-3</v>
      </c>
      <c r="CB211" s="10">
        <f t="shared" si="195"/>
        <v>4.9319306930685188E-4</v>
      </c>
      <c r="CC211" s="10">
        <f t="shared" si="196"/>
        <v>-1.7029702970296648E-3</v>
      </c>
      <c r="CD211" s="10">
        <f t="shared" si="197"/>
        <v>-1.5340346534653019E-3</v>
      </c>
      <c r="CE211" s="10">
        <f t="shared" si="198"/>
        <v>1.7883663366335669E-3</v>
      </c>
      <c r="CF211" s="10">
        <f t="shared" si="199"/>
        <v>-4.0779702970294984E-4</v>
      </c>
      <c r="CG211" s="10">
        <f t="shared" si="200"/>
        <v>-2.1534653465347655E-3</v>
      </c>
      <c r="CH211" s="10">
        <f t="shared" si="201"/>
        <v>-1.252475247524764E-3</v>
      </c>
      <c r="CI211" s="10">
        <f t="shared" si="202"/>
        <v>-5.9263613861387354E-3</v>
      </c>
      <c r="CJ211" s="10">
        <f t="shared" si="203"/>
        <v>-1.3087871287129516E-3</v>
      </c>
      <c r="CK211" s="10">
        <f t="shared" si="204"/>
        <v>-4.1806930693069197E-3</v>
      </c>
      <c r="CL211" s="10">
        <f t="shared" si="205"/>
        <v>2.1163366336631386E-4</v>
      </c>
      <c r="CM211" s="10">
        <f t="shared" si="206"/>
        <v>-3.8428217821781939E-3</v>
      </c>
      <c r="CN211" s="10">
        <f t="shared" si="207"/>
        <v>-1.8719059405940277E-3</v>
      </c>
      <c r="CO211" s="10">
        <f t="shared" si="208"/>
        <v>4.9319306930685188E-4</v>
      </c>
      <c r="CP211" s="10">
        <f t="shared" si="209"/>
        <v>-2.3224009900991286E-3</v>
      </c>
      <c r="CQ211" s="10">
        <f t="shared" si="210"/>
        <v>6.6212871287121475E-4</v>
      </c>
      <c r="CR211" s="10">
        <f t="shared" si="211"/>
        <v>-4.0779702970294984E-4</v>
      </c>
      <c r="CS211" s="10">
        <f t="shared" si="212"/>
        <v>-2.38861386138587E-4</v>
      </c>
      <c r="CT211" s="10">
        <f t="shared" si="213"/>
        <v>1.9009900990099421E-3</v>
      </c>
      <c r="CU211" s="10">
        <f t="shared" si="214"/>
        <v>-9.0235148514852537E-3</v>
      </c>
      <c r="CV211" s="10">
        <f t="shared" si="215"/>
        <v>-5.5321782178218227E-3</v>
      </c>
      <c r="CW211" s="10">
        <f t="shared" si="216"/>
        <v>-2.9981435643565797E-3</v>
      </c>
      <c r="CX211" s="10">
        <f t="shared" si="217"/>
        <v>2.6794554455450149E-4</v>
      </c>
      <c r="CY211" s="10">
        <f t="shared" si="218"/>
        <v>1.5631188118812164E-3</v>
      </c>
      <c r="CZ211" s="10">
        <f t="shared" si="219"/>
        <v>4.3688118811866428E-4</v>
      </c>
      <c r="DA211" s="10">
        <f t="shared" si="220"/>
        <v>-3.5148514851496228E-4</v>
      </c>
      <c r="DB211" s="10">
        <f t="shared" si="221"/>
        <v>-4.518564356435645E-3</v>
      </c>
      <c r="DC211" s="10">
        <f t="shared" si="222"/>
        <v>3.2425742574248906E-4</v>
      </c>
      <c r="DD211" s="10">
        <f t="shared" si="223"/>
        <v>-4.237004950495107E-3</v>
      </c>
      <c r="DE211" s="10">
        <f t="shared" si="224"/>
        <v>4.9319306930685188E-4</v>
      </c>
      <c r="DF211" s="10">
        <f t="shared" si="225"/>
        <v>1.7320544554455793E-3</v>
      </c>
      <c r="DG211" s="10">
        <f t="shared" si="226"/>
        <v>-7.6720297029703515E-3</v>
      </c>
      <c r="DH211" s="10">
        <f t="shared" si="227"/>
        <v>2.6794554455450149E-4</v>
      </c>
      <c r="DI211" s="10">
        <f t="shared" si="228"/>
        <v>-3.1670792079207429E-3</v>
      </c>
      <c r="DJ211" s="10">
        <f t="shared" si="229"/>
        <v>1.056311881188128E-3</v>
      </c>
      <c r="DK211" s="10">
        <f t="shared" si="230"/>
        <v>-7.4566831683167548E-4</v>
      </c>
      <c r="DL211" s="10">
        <f t="shared" si="231"/>
        <v>-3.8991336633663817E-3</v>
      </c>
      <c r="DM211" s="10">
        <f t="shared" si="232"/>
        <v>-7.277846534653438E-3</v>
      </c>
      <c r="DN211" s="10">
        <f t="shared" si="233"/>
        <v>-2.38861386138587E-4</v>
      </c>
      <c r="DO211" s="10">
        <f t="shared" si="234"/>
        <v>-3.2233910891089302E-3</v>
      </c>
      <c r="DP211" s="10">
        <f t="shared" si="235"/>
        <v>1.1689356435643033E-3</v>
      </c>
      <c r="DQ211" s="10">
        <f t="shared" si="236"/>
        <v>-3.3360148514851055E-3</v>
      </c>
      <c r="DR211" s="10">
        <f t="shared" si="237"/>
        <v>-1.3087871287129516E-3</v>
      </c>
      <c r="DS211" s="10">
        <f t="shared" si="238"/>
        <v>-9.1361386138614289E-3</v>
      </c>
      <c r="DT211" s="10">
        <f t="shared" si="239"/>
        <v>-3.6175742574258434E-3</v>
      </c>
      <c r="DU211" s="10">
        <f t="shared" si="240"/>
        <v>-8.0198019801986308E-4</v>
      </c>
      <c r="DV211" s="10">
        <f t="shared" si="241"/>
        <v>-4.9127475247525585E-3</v>
      </c>
      <c r="DW211" s="10">
        <f t="shared" si="242"/>
        <v>-5.1379950495049091E-3</v>
      </c>
    </row>
    <row r="212" spans="2:127" x14ac:dyDescent="0.45">
      <c r="B212" s="1">
        <v>24</v>
      </c>
      <c r="C212" s="1">
        <v>3045</v>
      </c>
      <c r="D212" s="7">
        <f t="shared" si="243"/>
        <v>17.846153846153847</v>
      </c>
      <c r="E212" s="1">
        <v>17.760000000000002</v>
      </c>
      <c r="F212" s="1">
        <v>17.835000000000001</v>
      </c>
      <c r="G212" s="1">
        <v>17.853000000000002</v>
      </c>
      <c r="H212" s="1">
        <v>17.747</v>
      </c>
      <c r="I212" s="1">
        <v>17.812999999999999</v>
      </c>
      <c r="J212" s="1">
        <v>17.806999999999999</v>
      </c>
      <c r="K212" s="1">
        <v>17.942</v>
      </c>
      <c r="L212" s="1">
        <v>17.741</v>
      </c>
      <c r="M212" s="1">
        <v>17.876000000000001</v>
      </c>
      <c r="N212" s="1">
        <v>17.884</v>
      </c>
      <c r="O212" s="1">
        <v>17.821000000000002</v>
      </c>
      <c r="P212" s="1">
        <v>17.792000000000002</v>
      </c>
      <c r="Q212" s="1">
        <v>17.855</v>
      </c>
      <c r="R212" s="1">
        <v>17.815999999999999</v>
      </c>
      <c r="S212" s="1">
        <v>17.812999999999999</v>
      </c>
      <c r="T212" s="1">
        <v>17.878</v>
      </c>
      <c r="U212" s="1">
        <v>17.84</v>
      </c>
      <c r="V212" s="1">
        <v>17.809000000000001</v>
      </c>
      <c r="W212" s="1">
        <v>17.824000000000002</v>
      </c>
      <c r="X212" s="1">
        <v>17.736999999999998</v>
      </c>
      <c r="Y212" s="1">
        <v>17.823</v>
      </c>
      <c r="Z212" s="1">
        <v>17.773</v>
      </c>
      <c r="AA212" s="1">
        <v>17.853000000000002</v>
      </c>
      <c r="AB212" s="1">
        <v>17.777999999999999</v>
      </c>
      <c r="AC212" s="1">
        <v>17.815000000000001</v>
      </c>
      <c r="AD212" s="1">
        <v>17.853999999999999</v>
      </c>
      <c r="AE212" s="1">
        <v>17.803999999999998</v>
      </c>
      <c r="AF212" s="1">
        <v>17.859000000000002</v>
      </c>
      <c r="AG212" s="1">
        <v>17.838000000000001</v>
      </c>
      <c r="AH212" s="1">
        <v>17.838999999999999</v>
      </c>
      <c r="AI212" s="1">
        <v>17.88</v>
      </c>
      <c r="AJ212" s="1">
        <v>17.681999999999999</v>
      </c>
      <c r="AK212" s="1">
        <v>17.748000000000001</v>
      </c>
      <c r="AL212" s="1">
        <v>17.792000000000002</v>
      </c>
      <c r="AM212" s="1">
        <v>17.850999999999999</v>
      </c>
      <c r="AN212" s="1">
        <v>17.873999999999999</v>
      </c>
      <c r="AO212" s="1">
        <v>17.855</v>
      </c>
      <c r="AP212" s="1">
        <v>17.84</v>
      </c>
      <c r="AQ212" s="1">
        <v>17.763999999999999</v>
      </c>
      <c r="AR212" s="1">
        <v>17.850000000000001</v>
      </c>
      <c r="AS212" s="1">
        <v>17.771000000000001</v>
      </c>
      <c r="AT212" s="1">
        <v>17.853000000000002</v>
      </c>
      <c r="AU212" s="1">
        <v>17.878</v>
      </c>
      <c r="AV212" s="1">
        <v>17.706</v>
      </c>
      <c r="AW212" s="1">
        <v>17.850000000000001</v>
      </c>
      <c r="AX212" s="1">
        <v>17.792000000000002</v>
      </c>
      <c r="AY212" s="1">
        <v>17.864999999999998</v>
      </c>
      <c r="AZ212" s="1">
        <v>17.832000000000001</v>
      </c>
      <c r="BA212" s="1">
        <v>17.774000000000001</v>
      </c>
      <c r="BB212" s="1">
        <v>17.718</v>
      </c>
      <c r="BC212" s="1">
        <v>17.841999999999999</v>
      </c>
      <c r="BD212" s="1">
        <v>17.788</v>
      </c>
      <c r="BE212" s="1">
        <v>17.866</v>
      </c>
      <c r="BF212" s="1">
        <v>17.788</v>
      </c>
      <c r="BG212" s="1">
        <v>17.824000000000002</v>
      </c>
      <c r="BH212" s="1">
        <v>17.683</v>
      </c>
      <c r="BI212" s="1">
        <v>17.780999999999999</v>
      </c>
      <c r="BJ212" s="1">
        <v>17.829999999999998</v>
      </c>
      <c r="BK212" s="1">
        <v>17.762</v>
      </c>
      <c r="BL212" s="1">
        <v>17.754000000000001</v>
      </c>
      <c r="BN212" s="9">
        <v>24</v>
      </c>
      <c r="BO212" s="9">
        <v>3045</v>
      </c>
      <c r="BP212" s="10">
        <f t="shared" si="183"/>
        <v>-4.8275862068964948E-3</v>
      </c>
      <c r="BQ212" s="10">
        <f t="shared" si="184"/>
        <v>-6.2499999999998288E-4</v>
      </c>
      <c r="BR212" s="10">
        <f t="shared" si="185"/>
        <v>3.8362068965522777E-4</v>
      </c>
      <c r="BS212" s="10">
        <f t="shared" si="186"/>
        <v>-5.5560344827586573E-3</v>
      </c>
      <c r="BT212" s="10">
        <f t="shared" si="187"/>
        <v>-1.8577586206897511E-3</v>
      </c>
      <c r="BU212" s="10">
        <f t="shared" si="188"/>
        <v>-2.1939655172414879E-3</v>
      </c>
      <c r="BV212" s="10">
        <f t="shared" si="189"/>
        <v>5.3706896551723926E-3</v>
      </c>
      <c r="BW212" s="10">
        <f t="shared" si="190"/>
        <v>-5.8922413793103942E-3</v>
      </c>
      <c r="BX212" s="10">
        <f t="shared" si="191"/>
        <v>1.6724137931034861E-3</v>
      </c>
      <c r="BY212" s="10">
        <f t="shared" si="192"/>
        <v>2.1206896551724023E-3</v>
      </c>
      <c r="BZ212" s="10">
        <f t="shared" si="193"/>
        <v>-1.4094827586206358E-3</v>
      </c>
      <c r="CA212" s="10">
        <f t="shared" si="194"/>
        <v>-3.034482758620631E-3</v>
      </c>
      <c r="CB212" s="10">
        <f t="shared" si="195"/>
        <v>4.95689655172407E-4</v>
      </c>
      <c r="CC212" s="10">
        <f t="shared" si="196"/>
        <v>-1.6896551724138826E-3</v>
      </c>
      <c r="CD212" s="10">
        <f t="shared" si="197"/>
        <v>-1.8577586206897511E-3</v>
      </c>
      <c r="CE212" s="10">
        <f t="shared" si="198"/>
        <v>1.7844827586206654E-3</v>
      </c>
      <c r="CF212" s="10">
        <f t="shared" si="199"/>
        <v>-3.4482758620693512E-4</v>
      </c>
      <c r="CG212" s="10">
        <f t="shared" si="200"/>
        <v>-2.0818965517241097E-3</v>
      </c>
      <c r="CH212" s="10">
        <f t="shared" si="201"/>
        <v>-1.2413793103447674E-3</v>
      </c>
      <c r="CI212" s="10">
        <f t="shared" si="202"/>
        <v>-6.1163793103449519E-3</v>
      </c>
      <c r="CJ212" s="10">
        <f t="shared" si="203"/>
        <v>-1.2974137931034565E-3</v>
      </c>
      <c r="CK212" s="10">
        <f t="shared" si="204"/>
        <v>-4.0991379310345308E-3</v>
      </c>
      <c r="CL212" s="10">
        <f t="shared" si="205"/>
        <v>3.8362068965522777E-4</v>
      </c>
      <c r="CM212" s="10">
        <f t="shared" si="206"/>
        <v>-3.8189655172414833E-3</v>
      </c>
      <c r="CN212" s="10">
        <f t="shared" si="207"/>
        <v>-1.7456896551723727E-3</v>
      </c>
      <c r="CO212" s="10">
        <f t="shared" si="208"/>
        <v>4.3965517241371786E-4</v>
      </c>
      <c r="CP212" s="10">
        <f t="shared" si="209"/>
        <v>-2.3620689655173563E-3</v>
      </c>
      <c r="CQ212" s="10">
        <f t="shared" si="210"/>
        <v>7.1982758620696462E-4</v>
      </c>
      <c r="CR212" s="10">
        <f t="shared" si="211"/>
        <v>-4.568965517241144E-4</v>
      </c>
      <c r="CS212" s="10">
        <f t="shared" si="212"/>
        <v>-4.0086206896562432E-4</v>
      </c>
      <c r="CT212" s="10">
        <f t="shared" si="213"/>
        <v>1.8965517241378445E-3</v>
      </c>
      <c r="CU212" s="10">
        <f t="shared" si="214"/>
        <v>-9.1982758620690747E-3</v>
      </c>
      <c r="CV212" s="10">
        <f t="shared" si="215"/>
        <v>-5.4999999999999685E-3</v>
      </c>
      <c r="CW212" s="10">
        <f t="shared" si="216"/>
        <v>-3.034482758620631E-3</v>
      </c>
      <c r="CX212" s="10">
        <f t="shared" si="217"/>
        <v>2.7155172413784943E-4</v>
      </c>
      <c r="CY212" s="10">
        <f t="shared" si="218"/>
        <v>1.5603448275861077E-3</v>
      </c>
      <c r="CZ212" s="10">
        <f t="shared" si="219"/>
        <v>4.95689655172407E-4</v>
      </c>
      <c r="DA212" s="10">
        <f t="shared" si="220"/>
        <v>-3.4482758620693512E-4</v>
      </c>
      <c r="DB212" s="10">
        <f t="shared" si="221"/>
        <v>-4.6034482758621357E-3</v>
      </c>
      <c r="DC212" s="10">
        <f t="shared" si="222"/>
        <v>2.1551724137935935E-4</v>
      </c>
      <c r="DD212" s="10">
        <f t="shared" si="223"/>
        <v>-4.2112068965517099E-3</v>
      </c>
      <c r="DE212" s="10">
        <f t="shared" si="224"/>
        <v>3.8362068965522777E-4</v>
      </c>
      <c r="DF212" s="10">
        <f t="shared" si="225"/>
        <v>1.7844827586206654E-3</v>
      </c>
      <c r="DG212" s="10">
        <f t="shared" si="226"/>
        <v>-7.8534482758621273E-3</v>
      </c>
      <c r="DH212" s="10">
        <f t="shared" si="227"/>
        <v>2.1551724137935935E-4</v>
      </c>
      <c r="DI212" s="10">
        <f t="shared" si="228"/>
        <v>-3.034482758620631E-3</v>
      </c>
      <c r="DJ212" s="10">
        <f t="shared" si="229"/>
        <v>1.0560344827585024E-3</v>
      </c>
      <c r="DK212" s="10">
        <f t="shared" si="230"/>
        <v>-7.9310344827585131E-4</v>
      </c>
      <c r="DL212" s="10">
        <f t="shared" si="231"/>
        <v>-4.0431034482758419E-3</v>
      </c>
      <c r="DM212" s="10">
        <f t="shared" si="232"/>
        <v>-7.1810344827586527E-3</v>
      </c>
      <c r="DN212" s="10">
        <f t="shared" si="233"/>
        <v>-2.3275862068975587E-4</v>
      </c>
      <c r="DO212" s="10">
        <f t="shared" si="234"/>
        <v>-3.2586206896551887E-3</v>
      </c>
      <c r="DP212" s="10">
        <f t="shared" si="235"/>
        <v>1.1120689655171915E-3</v>
      </c>
      <c r="DQ212" s="10">
        <f t="shared" si="236"/>
        <v>-3.2586206896551887E-3</v>
      </c>
      <c r="DR212" s="10">
        <f t="shared" si="237"/>
        <v>-1.2413793103447674E-3</v>
      </c>
      <c r="DS212" s="10">
        <f t="shared" si="238"/>
        <v>-9.1422413793103841E-3</v>
      </c>
      <c r="DT212" s="10">
        <f t="shared" si="239"/>
        <v>-3.6508620689656148E-3</v>
      </c>
      <c r="DU212" s="10">
        <f t="shared" si="240"/>
        <v>-9.0517241379322959E-4</v>
      </c>
      <c r="DV212" s="10">
        <f t="shared" si="241"/>
        <v>-4.7155172413793156E-3</v>
      </c>
      <c r="DW212" s="10">
        <f t="shared" si="242"/>
        <v>-5.1637931034482316E-3</v>
      </c>
    </row>
    <row r="213" spans="2:127" x14ac:dyDescent="0.45">
      <c r="B213" s="1">
        <v>24</v>
      </c>
      <c r="C213" s="1">
        <v>3060</v>
      </c>
      <c r="D213" s="7">
        <f t="shared" si="243"/>
        <v>17.934065934065934</v>
      </c>
      <c r="E213" s="1">
        <v>17.847000000000001</v>
      </c>
      <c r="F213" s="1">
        <v>17.920000000000002</v>
      </c>
      <c r="G213" s="1">
        <v>17.939</v>
      </c>
      <c r="H213" s="1">
        <v>17.835000000000001</v>
      </c>
      <c r="I213" s="1">
        <v>17.902999999999999</v>
      </c>
      <c r="J213" s="1">
        <v>17.895</v>
      </c>
      <c r="K213" s="1">
        <v>18.03</v>
      </c>
      <c r="L213" s="1">
        <v>17.831</v>
      </c>
      <c r="M213" s="1">
        <v>17.965</v>
      </c>
      <c r="N213" s="1">
        <v>17.975999999999999</v>
      </c>
      <c r="O213" s="1">
        <v>17.908000000000001</v>
      </c>
      <c r="P213" s="1">
        <v>17.881</v>
      </c>
      <c r="Q213" s="1">
        <v>17.939</v>
      </c>
      <c r="R213" s="1">
        <v>17.904</v>
      </c>
      <c r="S213" s="1">
        <v>17.899000000000001</v>
      </c>
      <c r="T213" s="1">
        <v>17.965</v>
      </c>
      <c r="U213" s="1">
        <v>17.927</v>
      </c>
      <c r="V213" s="1">
        <v>17.896000000000001</v>
      </c>
      <c r="W213" s="1">
        <v>17.914000000000001</v>
      </c>
      <c r="X213" s="1">
        <v>17.829999999999998</v>
      </c>
      <c r="Y213" s="1">
        <v>17.911999999999999</v>
      </c>
      <c r="Z213" s="1">
        <v>17.861999999999998</v>
      </c>
      <c r="AA213" s="1">
        <v>17.940999999999999</v>
      </c>
      <c r="AB213" s="1">
        <v>17.866</v>
      </c>
      <c r="AC213" s="1">
        <v>17.902999999999999</v>
      </c>
      <c r="AD213" s="1">
        <v>17.937999999999999</v>
      </c>
      <c r="AE213" s="1">
        <v>17.891999999999999</v>
      </c>
      <c r="AF213" s="1">
        <v>17.948</v>
      </c>
      <c r="AG213" s="1">
        <v>17.925999999999998</v>
      </c>
      <c r="AH213" s="1">
        <v>17.920000000000002</v>
      </c>
      <c r="AI213" s="1">
        <v>17.968</v>
      </c>
      <c r="AJ213" s="1">
        <v>17.768999999999998</v>
      </c>
      <c r="AK213" s="1">
        <v>17.835000000000001</v>
      </c>
      <c r="AL213" s="1">
        <v>17.876999999999999</v>
      </c>
      <c r="AM213" s="1">
        <v>17.939</v>
      </c>
      <c r="AN213" s="1">
        <v>17.963999999999999</v>
      </c>
      <c r="AO213" s="1">
        <v>17.943999999999999</v>
      </c>
      <c r="AP213" s="1">
        <v>17.928999999999998</v>
      </c>
      <c r="AQ213" s="1">
        <v>17.853999999999999</v>
      </c>
      <c r="AR213" s="1">
        <v>17.937000000000001</v>
      </c>
      <c r="AS213" s="1">
        <v>17.859000000000002</v>
      </c>
      <c r="AT213" s="1">
        <v>17.942</v>
      </c>
      <c r="AU213" s="1">
        <v>17.966999999999999</v>
      </c>
      <c r="AV213" s="1">
        <v>17.794</v>
      </c>
      <c r="AW213" s="1">
        <v>17.939</v>
      </c>
      <c r="AX213" s="1">
        <v>17.878</v>
      </c>
      <c r="AY213" s="1">
        <v>17.954000000000001</v>
      </c>
      <c r="AZ213" s="1">
        <v>17.919</v>
      </c>
      <c r="BA213" s="1">
        <v>17.859000000000002</v>
      </c>
      <c r="BB213" s="1">
        <v>17.809000000000001</v>
      </c>
      <c r="BC213" s="1">
        <v>17.931000000000001</v>
      </c>
      <c r="BD213" s="1">
        <v>17.876000000000001</v>
      </c>
      <c r="BE213" s="1">
        <v>17.954000000000001</v>
      </c>
      <c r="BF213" s="1">
        <v>17.873000000000001</v>
      </c>
      <c r="BG213" s="1">
        <v>17.911999999999999</v>
      </c>
      <c r="BH213" s="1">
        <v>17.77</v>
      </c>
      <c r="BI213" s="1">
        <v>17.869</v>
      </c>
      <c r="BJ213" s="1">
        <v>17.919</v>
      </c>
      <c r="BK213" s="1">
        <v>17.843</v>
      </c>
      <c r="BL213" s="1">
        <v>17.84</v>
      </c>
      <c r="BN213" s="9">
        <v>24</v>
      </c>
      <c r="BO213" s="9">
        <v>3060</v>
      </c>
      <c r="BP213" s="10">
        <f t="shared" si="183"/>
        <v>-4.8547794117646459E-3</v>
      </c>
      <c r="BQ213" s="10">
        <f t="shared" si="184"/>
        <v>-7.8431372549011408E-4</v>
      </c>
      <c r="BR213" s="10">
        <f t="shared" si="185"/>
        <v>2.7512254901959794E-4</v>
      </c>
      <c r="BS213" s="10">
        <f t="shared" si="186"/>
        <v>-5.5238970588234945E-3</v>
      </c>
      <c r="BT213" s="10">
        <f t="shared" si="187"/>
        <v>-1.7322303921569486E-3</v>
      </c>
      <c r="BU213" s="10">
        <f t="shared" si="188"/>
        <v>-2.1783088235294485E-3</v>
      </c>
      <c r="BV213" s="10">
        <f t="shared" si="189"/>
        <v>5.3492647058824032E-3</v>
      </c>
      <c r="BW213" s="10">
        <f t="shared" si="190"/>
        <v>-5.7469362745098439E-3</v>
      </c>
      <c r="BX213" s="10">
        <f t="shared" si="191"/>
        <v>1.7248774509803712E-3</v>
      </c>
      <c r="BY213" s="10">
        <f t="shared" si="192"/>
        <v>2.3382352941175833E-3</v>
      </c>
      <c r="BZ213" s="10">
        <f t="shared" si="193"/>
        <v>-1.4534313725489629E-3</v>
      </c>
      <c r="CA213" s="10">
        <f t="shared" si="194"/>
        <v>-2.958946078431373E-3</v>
      </c>
      <c r="CB213" s="10">
        <f t="shared" si="195"/>
        <v>2.7512254901959794E-4</v>
      </c>
      <c r="CC213" s="10">
        <f t="shared" si="196"/>
        <v>-1.6764705882353118E-3</v>
      </c>
      <c r="CD213" s="10">
        <f t="shared" si="197"/>
        <v>-1.9552696078430996E-3</v>
      </c>
      <c r="CE213" s="10">
        <f t="shared" si="198"/>
        <v>1.7248774509803712E-3</v>
      </c>
      <c r="CF213" s="10">
        <f t="shared" si="199"/>
        <v>-3.9399509803925094E-4</v>
      </c>
      <c r="CG213" s="10">
        <f t="shared" si="200"/>
        <v>-2.122549019607812E-3</v>
      </c>
      <c r="CH213" s="10">
        <f t="shared" si="201"/>
        <v>-1.1188725490195385E-3</v>
      </c>
      <c r="CI213" s="10">
        <f t="shared" si="202"/>
        <v>-5.8026960784314805E-3</v>
      </c>
      <c r="CJ213" s="10">
        <f t="shared" si="203"/>
        <v>-1.2303921568628121E-3</v>
      </c>
      <c r="CK213" s="10">
        <f t="shared" si="204"/>
        <v>-4.018382352941283E-3</v>
      </c>
      <c r="CL213" s="10">
        <f t="shared" si="205"/>
        <v>3.8664215686267338E-4</v>
      </c>
      <c r="CM213" s="10">
        <f t="shared" si="206"/>
        <v>-3.795343137254934E-3</v>
      </c>
      <c r="CN213" s="10">
        <f t="shared" si="207"/>
        <v>-1.7322303921569486E-3</v>
      </c>
      <c r="CO213" s="10">
        <f t="shared" si="208"/>
        <v>2.1936274509796119E-4</v>
      </c>
      <c r="CP213" s="10">
        <f t="shared" si="209"/>
        <v>-2.3455882352941609E-3</v>
      </c>
      <c r="CQ213" s="10">
        <f t="shared" si="210"/>
        <v>7.7696078431373455E-4</v>
      </c>
      <c r="CR213" s="10">
        <f t="shared" si="211"/>
        <v>-4.4975490196088772E-4</v>
      </c>
      <c r="CS213" s="10">
        <f t="shared" si="212"/>
        <v>-7.8431372549011408E-4</v>
      </c>
      <c r="CT213" s="10">
        <f t="shared" si="213"/>
        <v>1.8921568627450834E-3</v>
      </c>
      <c r="CU213" s="10">
        <f t="shared" si="214"/>
        <v>-9.2040441176471643E-3</v>
      </c>
      <c r="CV213" s="10">
        <f t="shared" si="215"/>
        <v>-5.5238970588234945E-3</v>
      </c>
      <c r="CW213" s="10">
        <f t="shared" si="216"/>
        <v>-3.181985294117722E-3</v>
      </c>
      <c r="CX213" s="10">
        <f t="shared" si="217"/>
        <v>2.7512254901959794E-4</v>
      </c>
      <c r="CY213" s="10">
        <f t="shared" si="218"/>
        <v>1.6691176470587344E-3</v>
      </c>
      <c r="CZ213" s="10">
        <f t="shared" si="219"/>
        <v>5.539215686273856E-4</v>
      </c>
      <c r="DA213" s="10">
        <f t="shared" si="220"/>
        <v>-2.824754901961755E-4</v>
      </c>
      <c r="DB213" s="10">
        <f t="shared" si="221"/>
        <v>-4.4644607843137831E-3</v>
      </c>
      <c r="DC213" s="10">
        <f t="shared" si="222"/>
        <v>1.6360294117652251E-4</v>
      </c>
      <c r="DD213" s="10">
        <f t="shared" si="223"/>
        <v>-4.1856617647057972E-3</v>
      </c>
      <c r="DE213" s="10">
        <f t="shared" si="224"/>
        <v>4.4240196078431017E-4</v>
      </c>
      <c r="DF213" s="10">
        <f t="shared" si="225"/>
        <v>1.8363970588234466E-3</v>
      </c>
      <c r="DG213" s="10">
        <f t="shared" si="226"/>
        <v>-7.8100490196078296E-3</v>
      </c>
      <c r="DH213" s="10">
        <f t="shared" si="227"/>
        <v>2.7512254901959794E-4</v>
      </c>
      <c r="DI213" s="10">
        <f t="shared" si="228"/>
        <v>-3.1262254901960849E-3</v>
      </c>
      <c r="DJ213" s="10">
        <f t="shared" si="229"/>
        <v>1.1115196078431591E-3</v>
      </c>
      <c r="DK213" s="10">
        <f t="shared" si="230"/>
        <v>-8.4007352941175087E-4</v>
      </c>
      <c r="DL213" s="10">
        <f t="shared" si="231"/>
        <v>-4.1856617647057972E-3</v>
      </c>
      <c r="DM213" s="10">
        <f t="shared" si="232"/>
        <v>-6.9736519607842681E-3</v>
      </c>
      <c r="DN213" s="10">
        <f t="shared" si="233"/>
        <v>-1.7095588235290193E-4</v>
      </c>
      <c r="DO213" s="10">
        <f t="shared" si="234"/>
        <v>-3.2377450980391608E-3</v>
      </c>
      <c r="DP213" s="10">
        <f t="shared" si="235"/>
        <v>1.1115196078431591E-3</v>
      </c>
      <c r="DQ213" s="10">
        <f t="shared" si="236"/>
        <v>-3.4050245098038727E-3</v>
      </c>
      <c r="DR213" s="10">
        <f t="shared" si="237"/>
        <v>-1.2303921568628121E-3</v>
      </c>
      <c r="DS213" s="10">
        <f t="shared" si="238"/>
        <v>-9.148284313725526E-3</v>
      </c>
      <c r="DT213" s="10">
        <f t="shared" si="239"/>
        <v>-3.6280637254902217E-3</v>
      </c>
      <c r="DU213" s="10">
        <f t="shared" si="240"/>
        <v>-8.4007352941175087E-4</v>
      </c>
      <c r="DV213" s="10">
        <f t="shared" si="241"/>
        <v>-5.0778186274509952E-3</v>
      </c>
      <c r="DW213" s="10">
        <f t="shared" si="242"/>
        <v>-5.2450980392157072E-3</v>
      </c>
    </row>
    <row r="214" spans="2:127" x14ac:dyDescent="0.45">
      <c r="B214" s="1">
        <v>24</v>
      </c>
      <c r="C214" s="1">
        <v>3075</v>
      </c>
      <c r="D214" s="7">
        <f t="shared" si="243"/>
        <v>18.021978021978022</v>
      </c>
      <c r="E214" s="1">
        <v>17.934999999999999</v>
      </c>
      <c r="F214" s="1">
        <v>18.006</v>
      </c>
      <c r="G214" s="1">
        <v>18.027999999999999</v>
      </c>
      <c r="H214" s="1">
        <v>17.919</v>
      </c>
      <c r="I214" s="1">
        <v>17.992000000000001</v>
      </c>
      <c r="J214" s="1">
        <v>17.983000000000001</v>
      </c>
      <c r="K214" s="1">
        <v>18.120999999999999</v>
      </c>
      <c r="L214" s="1">
        <v>17.914999999999999</v>
      </c>
      <c r="M214" s="1">
        <v>18.055</v>
      </c>
      <c r="N214" s="1">
        <v>18.062999999999999</v>
      </c>
      <c r="O214" s="1">
        <v>17.995999999999999</v>
      </c>
      <c r="P214" s="1">
        <v>17.968</v>
      </c>
      <c r="Q214" s="1">
        <v>18.027999999999999</v>
      </c>
      <c r="R214" s="1">
        <v>17.992000000000001</v>
      </c>
      <c r="S214" s="1">
        <v>17.988</v>
      </c>
      <c r="T214" s="1">
        <v>18.050999999999998</v>
      </c>
      <c r="U214" s="1">
        <v>18.013999999999999</v>
      </c>
      <c r="V214" s="1">
        <v>17.986999999999998</v>
      </c>
      <c r="W214" s="1">
        <v>18.001999999999999</v>
      </c>
      <c r="X214" s="1">
        <v>17.911999999999999</v>
      </c>
      <c r="Y214" s="1">
        <v>17.998999999999999</v>
      </c>
      <c r="Z214" s="1">
        <v>17.948</v>
      </c>
      <c r="AA214" s="1">
        <v>18.029</v>
      </c>
      <c r="AB214" s="1">
        <v>17.956</v>
      </c>
      <c r="AC214" s="1">
        <v>17.989999999999998</v>
      </c>
      <c r="AD214" s="1">
        <v>18.026</v>
      </c>
      <c r="AE214" s="1">
        <v>17.977</v>
      </c>
      <c r="AF214" s="1">
        <v>18.036999999999999</v>
      </c>
      <c r="AG214" s="1">
        <v>18.013999999999999</v>
      </c>
      <c r="AH214" s="1">
        <v>18.010000000000002</v>
      </c>
      <c r="AI214" s="1">
        <v>18.059000000000001</v>
      </c>
      <c r="AJ214" s="1">
        <v>17.855</v>
      </c>
      <c r="AK214" s="1">
        <v>17.922999999999998</v>
      </c>
      <c r="AL214" s="1">
        <v>17.965</v>
      </c>
      <c r="AM214" s="1">
        <v>18.026</v>
      </c>
      <c r="AN214" s="1">
        <v>18.053000000000001</v>
      </c>
      <c r="AO214" s="1">
        <v>18.033999999999999</v>
      </c>
      <c r="AP214" s="1">
        <v>18.018000000000001</v>
      </c>
      <c r="AQ214" s="1">
        <v>17.937999999999999</v>
      </c>
      <c r="AR214" s="1">
        <v>18.024999999999999</v>
      </c>
      <c r="AS214" s="1">
        <v>17.946000000000002</v>
      </c>
      <c r="AT214" s="1">
        <v>18.029</v>
      </c>
      <c r="AU214" s="1">
        <v>18.056000000000001</v>
      </c>
      <c r="AV214" s="1">
        <v>17.876999999999999</v>
      </c>
      <c r="AW214" s="1">
        <v>18.03</v>
      </c>
      <c r="AX214" s="1">
        <v>17.968</v>
      </c>
      <c r="AY214" s="1">
        <v>18.042999999999999</v>
      </c>
      <c r="AZ214" s="1">
        <v>18.006</v>
      </c>
      <c r="BA214" s="1">
        <v>17.943999999999999</v>
      </c>
      <c r="BB214" s="1">
        <v>17.896000000000001</v>
      </c>
      <c r="BC214" s="1">
        <v>18.018000000000001</v>
      </c>
      <c r="BD214" s="1">
        <v>17.960999999999999</v>
      </c>
      <c r="BE214" s="1">
        <v>18.042999999999999</v>
      </c>
      <c r="BF214" s="1">
        <v>17.960999999999999</v>
      </c>
      <c r="BG214" s="1">
        <v>17.998000000000001</v>
      </c>
      <c r="BH214" s="1">
        <v>17.858000000000001</v>
      </c>
      <c r="BI214" s="1">
        <v>17.954000000000001</v>
      </c>
      <c r="BJ214" s="1">
        <v>18.006</v>
      </c>
      <c r="BK214" s="1">
        <v>17.934000000000001</v>
      </c>
      <c r="BL214" s="1">
        <v>17.928999999999998</v>
      </c>
      <c r="BN214" s="9">
        <v>24</v>
      </c>
      <c r="BO214" s="9">
        <v>3075</v>
      </c>
      <c r="BP214" s="10">
        <f t="shared" si="183"/>
        <v>-4.8262195121951887E-3</v>
      </c>
      <c r="BQ214" s="10">
        <f t="shared" si="184"/>
        <v>-8.8658536585364161E-4</v>
      </c>
      <c r="BR214" s="10">
        <f t="shared" si="185"/>
        <v>3.3414634146334643E-4</v>
      </c>
      <c r="BS214" s="10">
        <f t="shared" si="186"/>
        <v>-5.7140243902438709E-3</v>
      </c>
      <c r="BT214" s="10">
        <f t="shared" si="187"/>
        <v>-1.6634146341462882E-3</v>
      </c>
      <c r="BU214" s="10">
        <f t="shared" si="188"/>
        <v>-2.1628048780487461E-3</v>
      </c>
      <c r="BV214" s="10">
        <f t="shared" si="189"/>
        <v>5.4945121951218813E-3</v>
      </c>
      <c r="BW214" s="10">
        <f t="shared" si="190"/>
        <v>-5.935975609756141E-3</v>
      </c>
      <c r="BX214" s="10">
        <f t="shared" si="191"/>
        <v>1.8323170731707203E-3</v>
      </c>
      <c r="BY214" s="10">
        <f t="shared" si="192"/>
        <v>2.2762195121950614E-3</v>
      </c>
      <c r="BZ214" s="10">
        <f t="shared" si="193"/>
        <v>-1.4414634146342161E-3</v>
      </c>
      <c r="CA214" s="10">
        <f t="shared" si="194"/>
        <v>-2.9951219512195093E-3</v>
      </c>
      <c r="CB214" s="10">
        <f t="shared" si="195"/>
        <v>3.3414634146334643E-4</v>
      </c>
      <c r="CC214" s="10">
        <f t="shared" si="196"/>
        <v>-1.6634146341462882E-3</v>
      </c>
      <c r="CD214" s="10">
        <f t="shared" si="197"/>
        <v>-1.8853658536585574E-3</v>
      </c>
      <c r="CE214" s="10">
        <f t="shared" si="198"/>
        <v>1.6103658536584511E-3</v>
      </c>
      <c r="CF214" s="10">
        <f t="shared" si="199"/>
        <v>-4.4268292682930023E-4</v>
      </c>
      <c r="CG214" s="10">
        <f t="shared" si="200"/>
        <v>-1.9408536585366742E-3</v>
      </c>
      <c r="CH214" s="10">
        <f t="shared" si="201"/>
        <v>-1.1085365853659109E-3</v>
      </c>
      <c r="CI214" s="10">
        <f t="shared" si="202"/>
        <v>-6.102439024390293E-3</v>
      </c>
      <c r="CJ214" s="10">
        <f t="shared" si="203"/>
        <v>-1.2750000000000634E-3</v>
      </c>
      <c r="CK214" s="10">
        <f t="shared" si="204"/>
        <v>-4.1048780487804616E-3</v>
      </c>
      <c r="CL214" s="10">
        <f t="shared" si="205"/>
        <v>3.8963414634146301E-4</v>
      </c>
      <c r="CM214" s="10">
        <f t="shared" si="206"/>
        <v>-3.6609756097561201E-3</v>
      </c>
      <c r="CN214" s="10">
        <f t="shared" si="207"/>
        <v>-1.7743902439025215E-3</v>
      </c>
      <c r="CO214" s="10">
        <f t="shared" si="208"/>
        <v>2.2317073170731038E-4</v>
      </c>
      <c r="CP214" s="10">
        <f t="shared" si="209"/>
        <v>-2.4957317073170514E-3</v>
      </c>
      <c r="CQ214" s="10">
        <f t="shared" si="210"/>
        <v>8.335365853658044E-4</v>
      </c>
      <c r="CR214" s="10">
        <f t="shared" si="211"/>
        <v>-4.4268292682930023E-4</v>
      </c>
      <c r="CS214" s="10">
        <f t="shared" si="212"/>
        <v>-6.6463414634137239E-4</v>
      </c>
      <c r="CT214" s="10">
        <f t="shared" si="213"/>
        <v>2.0542682926829895E-3</v>
      </c>
      <c r="CU214" s="10">
        <f t="shared" si="214"/>
        <v>-9.2652439024389962E-3</v>
      </c>
      <c r="CV214" s="10">
        <f t="shared" si="215"/>
        <v>-5.4920731707317995E-3</v>
      </c>
      <c r="CW214" s="10">
        <f t="shared" si="216"/>
        <v>-3.1615853658536622E-3</v>
      </c>
      <c r="CX214" s="10">
        <f t="shared" si="217"/>
        <v>2.2317073170731038E-4</v>
      </c>
      <c r="CY214" s="10">
        <f t="shared" si="218"/>
        <v>1.7213414634146842E-3</v>
      </c>
      <c r="CZ214" s="10">
        <f t="shared" si="219"/>
        <v>6.670731707316517E-4</v>
      </c>
      <c r="DA214" s="10">
        <f t="shared" si="220"/>
        <v>-2.2073170731703098E-4</v>
      </c>
      <c r="DB214" s="10">
        <f t="shared" si="221"/>
        <v>-4.6597560975610358E-3</v>
      </c>
      <c r="DC214" s="10">
        <f t="shared" si="222"/>
        <v>1.6768292682919377E-4</v>
      </c>
      <c r="DD214" s="10">
        <f t="shared" si="223"/>
        <v>-4.2158536585364973E-3</v>
      </c>
      <c r="DE214" s="10">
        <f t="shared" si="224"/>
        <v>3.8963414634146301E-4</v>
      </c>
      <c r="DF214" s="10">
        <f t="shared" si="225"/>
        <v>1.8878048780488369E-3</v>
      </c>
      <c r="DG214" s="10">
        <f t="shared" si="226"/>
        <v>-8.044512195122009E-3</v>
      </c>
      <c r="DH214" s="10">
        <f t="shared" si="227"/>
        <v>4.4512195121957959E-4</v>
      </c>
      <c r="DI214" s="10">
        <f t="shared" si="228"/>
        <v>-2.9951219512195093E-3</v>
      </c>
      <c r="DJ214" s="10">
        <f t="shared" si="229"/>
        <v>1.1664634146341098E-3</v>
      </c>
      <c r="DK214" s="10">
        <f t="shared" si="230"/>
        <v>-8.8658536585364161E-4</v>
      </c>
      <c r="DL214" s="10">
        <f t="shared" si="231"/>
        <v>-4.3268292682927308E-3</v>
      </c>
      <c r="DM214" s="10">
        <f t="shared" si="232"/>
        <v>-6.9902439024389761E-3</v>
      </c>
      <c r="DN214" s="10">
        <f t="shared" si="233"/>
        <v>-2.2073170731703098E-4</v>
      </c>
      <c r="DO214" s="10">
        <f t="shared" si="234"/>
        <v>-3.3835365853659314E-3</v>
      </c>
      <c r="DP214" s="10">
        <f t="shared" si="235"/>
        <v>1.1664634146341098E-3</v>
      </c>
      <c r="DQ214" s="10">
        <f t="shared" si="236"/>
        <v>-3.3835365853659314E-3</v>
      </c>
      <c r="DR214" s="10">
        <f t="shared" si="237"/>
        <v>-1.330487804877983E-3</v>
      </c>
      <c r="DS214" s="10">
        <f t="shared" si="238"/>
        <v>-9.0987804878048441E-3</v>
      </c>
      <c r="DT214" s="10">
        <f t="shared" si="239"/>
        <v>-3.7719512195121562E-3</v>
      </c>
      <c r="DU214" s="10">
        <f t="shared" si="240"/>
        <v>-8.8658536585364161E-4</v>
      </c>
      <c r="DV214" s="10">
        <f t="shared" si="241"/>
        <v>-4.8817073170731081E-3</v>
      </c>
      <c r="DW214" s="10">
        <f t="shared" si="242"/>
        <v>-5.1591463414634936E-3</v>
      </c>
    </row>
    <row r="215" spans="2:127" x14ac:dyDescent="0.45">
      <c r="B215" s="1">
        <v>24</v>
      </c>
      <c r="C215" s="1">
        <v>3090</v>
      </c>
      <c r="D215" s="7">
        <f t="shared" si="243"/>
        <v>18.109890109890109</v>
      </c>
      <c r="E215" s="1">
        <v>18.021999999999998</v>
      </c>
      <c r="F215" s="1">
        <v>18.091000000000001</v>
      </c>
      <c r="G215" s="1">
        <v>18.12</v>
      </c>
      <c r="H215" s="1">
        <v>18.009</v>
      </c>
      <c r="I215" s="1">
        <v>18.079000000000001</v>
      </c>
      <c r="J215" s="1">
        <v>18.071999999999999</v>
      </c>
      <c r="K215" s="1">
        <v>18.209</v>
      </c>
      <c r="L215" s="1">
        <v>18.001999999999999</v>
      </c>
      <c r="M215" s="1">
        <v>18.143000000000001</v>
      </c>
      <c r="N215" s="1">
        <v>18.152000000000001</v>
      </c>
      <c r="O215" s="1">
        <v>18.082999999999998</v>
      </c>
      <c r="P215" s="1">
        <v>18.052</v>
      </c>
      <c r="Q215" s="1">
        <v>18.119</v>
      </c>
      <c r="R215" s="1">
        <v>18.081</v>
      </c>
      <c r="S215" s="1">
        <v>18.076000000000001</v>
      </c>
      <c r="T215" s="1">
        <v>18.14</v>
      </c>
      <c r="U215" s="1">
        <v>18.103999999999999</v>
      </c>
      <c r="V215" s="1">
        <v>18.071999999999999</v>
      </c>
      <c r="W215" s="1">
        <v>18.09</v>
      </c>
      <c r="X215" s="1">
        <v>17.995999999999999</v>
      </c>
      <c r="Y215" s="1">
        <v>18.087</v>
      </c>
      <c r="Z215" s="1">
        <v>18.036999999999999</v>
      </c>
      <c r="AA215" s="1">
        <v>18.119</v>
      </c>
      <c r="AB215" s="1">
        <v>18.041</v>
      </c>
      <c r="AC215" s="1">
        <v>18.076000000000001</v>
      </c>
      <c r="AD215" s="1">
        <v>18.117000000000001</v>
      </c>
      <c r="AE215" s="1">
        <v>18.065999999999999</v>
      </c>
      <c r="AF215" s="1">
        <v>18.123999999999999</v>
      </c>
      <c r="AG215" s="1">
        <v>18.102</v>
      </c>
      <c r="AH215" s="1">
        <v>18.105</v>
      </c>
      <c r="AI215" s="1">
        <v>18.146000000000001</v>
      </c>
      <c r="AJ215" s="1">
        <v>17.943999999999999</v>
      </c>
      <c r="AK215" s="1">
        <v>18.010999999999999</v>
      </c>
      <c r="AL215" s="1">
        <v>18.052</v>
      </c>
      <c r="AM215" s="1">
        <v>18.111999999999998</v>
      </c>
      <c r="AN215" s="1">
        <v>18.143999999999998</v>
      </c>
      <c r="AO215" s="1">
        <v>18.120999999999999</v>
      </c>
      <c r="AP215" s="1">
        <v>18.106000000000002</v>
      </c>
      <c r="AQ215" s="1">
        <v>18.027999999999999</v>
      </c>
      <c r="AR215" s="1">
        <v>18.114000000000001</v>
      </c>
      <c r="AS215" s="1">
        <v>18.033000000000001</v>
      </c>
      <c r="AT215" s="1">
        <v>18.116</v>
      </c>
      <c r="AU215" s="1">
        <v>18.143999999999998</v>
      </c>
      <c r="AV215" s="1">
        <v>17.971</v>
      </c>
      <c r="AW215" s="1">
        <v>18.117000000000001</v>
      </c>
      <c r="AX215" s="1">
        <v>18.056999999999999</v>
      </c>
      <c r="AY215" s="1">
        <v>18.131</v>
      </c>
      <c r="AZ215" s="1">
        <v>18.093</v>
      </c>
      <c r="BA215" s="1">
        <v>18.033000000000001</v>
      </c>
      <c r="BB215" s="1">
        <v>17.986000000000001</v>
      </c>
      <c r="BC215" s="1">
        <v>18.108000000000001</v>
      </c>
      <c r="BD215" s="1">
        <v>18.048999999999999</v>
      </c>
      <c r="BE215" s="1">
        <v>18.131</v>
      </c>
      <c r="BF215" s="1">
        <v>18.048999999999999</v>
      </c>
      <c r="BG215" s="1">
        <v>18.085000000000001</v>
      </c>
      <c r="BH215" s="1">
        <v>17.943999999999999</v>
      </c>
      <c r="BI215" s="1">
        <v>18.044</v>
      </c>
      <c r="BJ215" s="1">
        <v>18.094999999999999</v>
      </c>
      <c r="BK215" s="1">
        <v>18.026</v>
      </c>
      <c r="BL215" s="1">
        <v>18.015000000000001</v>
      </c>
      <c r="BN215" s="9">
        <v>24</v>
      </c>
      <c r="BO215" s="9">
        <v>3090</v>
      </c>
      <c r="BP215" s="10">
        <f t="shared" si="183"/>
        <v>-4.8531553398058888E-3</v>
      </c>
      <c r="BQ215" s="10">
        <f t="shared" si="184"/>
        <v>-1.0430825242717635E-3</v>
      </c>
      <c r="BR215" s="10">
        <f t="shared" si="185"/>
        <v>5.5825242718454248E-4</v>
      </c>
      <c r="BS215" s="10">
        <f t="shared" si="186"/>
        <v>-5.5709951456310277E-3</v>
      </c>
      <c r="BT215" s="10">
        <f t="shared" si="187"/>
        <v>-1.7057038834950896E-3</v>
      </c>
      <c r="BU215" s="10">
        <f t="shared" si="188"/>
        <v>-2.0922330097087618E-3</v>
      </c>
      <c r="BV215" s="10">
        <f t="shared" si="189"/>
        <v>5.4726941747572826E-3</v>
      </c>
      <c r="BW215" s="10">
        <f t="shared" si="190"/>
        <v>-5.9575242718447E-3</v>
      </c>
      <c r="BX215" s="10">
        <f t="shared" si="191"/>
        <v>1.8282766990291854E-3</v>
      </c>
      <c r="BY215" s="10">
        <f t="shared" si="192"/>
        <v>2.3252427184466801E-3</v>
      </c>
      <c r="BZ215" s="10">
        <f t="shared" si="193"/>
        <v>-1.484830097087445E-3</v>
      </c>
      <c r="CA215" s="10">
        <f t="shared" si="194"/>
        <v>-3.1966019417475735E-3</v>
      </c>
      <c r="CB215" s="10">
        <f t="shared" si="195"/>
        <v>5.0303398058253331E-4</v>
      </c>
      <c r="CC215" s="10">
        <f t="shared" si="196"/>
        <v>-1.5952669902912673E-3</v>
      </c>
      <c r="CD215" s="10">
        <f t="shared" si="197"/>
        <v>-1.8713592233009211E-3</v>
      </c>
      <c r="CE215" s="10">
        <f t="shared" si="198"/>
        <v>1.6626213592233539E-3</v>
      </c>
      <c r="CF215" s="10">
        <f t="shared" si="199"/>
        <v>-3.2524271844662435E-4</v>
      </c>
      <c r="CG215" s="10">
        <f t="shared" si="200"/>
        <v>-2.0922330097087618E-3</v>
      </c>
      <c r="CH215" s="10">
        <f t="shared" si="201"/>
        <v>-1.0983009708737726E-3</v>
      </c>
      <c r="CI215" s="10">
        <f t="shared" si="202"/>
        <v>-6.2888349514563634E-3</v>
      </c>
      <c r="CJ215" s="10">
        <f t="shared" si="203"/>
        <v>-1.2639563106796043E-3</v>
      </c>
      <c r="CK215" s="10">
        <f t="shared" si="204"/>
        <v>-4.0248786407767311E-3</v>
      </c>
      <c r="CL215" s="10">
        <f t="shared" si="205"/>
        <v>5.0303398058253331E-4</v>
      </c>
      <c r="CM215" s="10">
        <f t="shared" si="206"/>
        <v>-3.80400485436889E-3</v>
      </c>
      <c r="CN215" s="10">
        <f t="shared" si="207"/>
        <v>-1.8713592233009211E-3</v>
      </c>
      <c r="CO215" s="10">
        <f t="shared" si="208"/>
        <v>3.9259708737871099E-4</v>
      </c>
      <c r="CP215" s="10">
        <f t="shared" si="209"/>
        <v>-2.4235436893204248E-3</v>
      </c>
      <c r="CQ215" s="10">
        <f t="shared" si="210"/>
        <v>7.7912621359218712E-4</v>
      </c>
      <c r="CR215" s="10">
        <f t="shared" si="211"/>
        <v>-4.3567961165044661E-4</v>
      </c>
      <c r="CS215" s="10">
        <f t="shared" si="212"/>
        <v>-2.7002427184461513E-4</v>
      </c>
      <c r="CT215" s="10">
        <f t="shared" si="213"/>
        <v>1.9939320388350171E-3</v>
      </c>
      <c r="CU215" s="10">
        <f t="shared" si="214"/>
        <v>-9.1601941747573128E-3</v>
      </c>
      <c r="CV215" s="10">
        <f t="shared" si="215"/>
        <v>-5.4605582524272058E-3</v>
      </c>
      <c r="CW215" s="10">
        <f t="shared" si="216"/>
        <v>-3.1966019417475735E-3</v>
      </c>
      <c r="CX215" s="10">
        <f t="shared" si="217"/>
        <v>1.16504854368861E-4</v>
      </c>
      <c r="CY215" s="10">
        <f t="shared" si="218"/>
        <v>1.8834951456309986E-3</v>
      </c>
      <c r="CZ215" s="10">
        <f t="shared" si="219"/>
        <v>6.1347087378635563E-4</v>
      </c>
      <c r="DA215" s="10">
        <f t="shared" si="220"/>
        <v>-2.1480582524260587E-4</v>
      </c>
      <c r="DB215" s="10">
        <f t="shared" si="221"/>
        <v>-4.5218446601942254E-3</v>
      </c>
      <c r="DC215" s="10">
        <f t="shared" si="222"/>
        <v>2.2694174757287948E-4</v>
      </c>
      <c r="DD215" s="10">
        <f t="shared" si="223"/>
        <v>-4.2457524271843758E-3</v>
      </c>
      <c r="DE215" s="10">
        <f t="shared" si="224"/>
        <v>3.3737864077670177E-4</v>
      </c>
      <c r="DF215" s="10">
        <f t="shared" si="225"/>
        <v>1.8834951456309986E-3</v>
      </c>
      <c r="DG215" s="10">
        <f t="shared" si="226"/>
        <v>-7.6692961165048283E-3</v>
      </c>
      <c r="DH215" s="10">
        <f t="shared" si="227"/>
        <v>3.9259708737871099E-4</v>
      </c>
      <c r="DI215" s="10">
        <f t="shared" si="228"/>
        <v>-2.9205097087379194E-3</v>
      </c>
      <c r="DJ215" s="10">
        <f t="shared" si="229"/>
        <v>1.1656553398058595E-3</v>
      </c>
      <c r="DK215" s="10">
        <f t="shared" si="230"/>
        <v>-9.3264563106794124E-4</v>
      </c>
      <c r="DL215" s="10">
        <f t="shared" si="231"/>
        <v>-4.2457524271843758E-3</v>
      </c>
      <c r="DM215" s="10">
        <f t="shared" si="232"/>
        <v>-6.8410194174756706E-3</v>
      </c>
      <c r="DN215" s="10">
        <f t="shared" si="233"/>
        <v>-1.0436893203878358E-4</v>
      </c>
      <c r="DO215" s="10">
        <f t="shared" si="234"/>
        <v>-3.3622572815534047E-3</v>
      </c>
      <c r="DP215" s="10">
        <f t="shared" si="235"/>
        <v>1.1656553398058595E-3</v>
      </c>
      <c r="DQ215" s="10">
        <f t="shared" si="236"/>
        <v>-3.3622572815534047E-3</v>
      </c>
      <c r="DR215" s="10">
        <f t="shared" si="237"/>
        <v>-1.3743932038834264E-3</v>
      </c>
      <c r="DS215" s="10">
        <f t="shared" si="238"/>
        <v>-9.1601941747573128E-3</v>
      </c>
      <c r="DT215" s="10">
        <f t="shared" si="239"/>
        <v>-3.6383495145630588E-3</v>
      </c>
      <c r="DU215" s="10">
        <f t="shared" si="240"/>
        <v>-8.2220873786411893E-4</v>
      </c>
      <c r="DV215" s="10">
        <f t="shared" si="241"/>
        <v>-4.6322815533980481E-3</v>
      </c>
      <c r="DW215" s="10">
        <f t="shared" si="242"/>
        <v>-5.2396844660193643E-3</v>
      </c>
    </row>
    <row r="216" spans="2:127" x14ac:dyDescent="0.45">
      <c r="B216" s="1">
        <v>24</v>
      </c>
      <c r="C216" s="1">
        <v>3105</v>
      </c>
      <c r="D216" s="7">
        <f t="shared" si="243"/>
        <v>18.197802197802197</v>
      </c>
      <c r="E216" s="1">
        <v>18.11</v>
      </c>
      <c r="F216" s="1">
        <v>18.18</v>
      </c>
      <c r="G216" s="1">
        <v>18.207999999999998</v>
      </c>
      <c r="H216" s="1">
        <v>18.097999999999999</v>
      </c>
      <c r="I216" s="1">
        <v>18.167000000000002</v>
      </c>
      <c r="J216" s="1">
        <v>18.161000000000001</v>
      </c>
      <c r="K216" s="1">
        <v>18.298999999999999</v>
      </c>
      <c r="L216" s="1">
        <v>18.09</v>
      </c>
      <c r="M216" s="1">
        <v>18.231000000000002</v>
      </c>
      <c r="N216" s="1">
        <v>18.242999999999999</v>
      </c>
      <c r="O216" s="1">
        <v>18.170999999999999</v>
      </c>
      <c r="P216" s="1">
        <v>18.138999999999999</v>
      </c>
      <c r="Q216" s="1">
        <v>18.207000000000001</v>
      </c>
      <c r="R216" s="1">
        <v>18.170000000000002</v>
      </c>
      <c r="S216" s="1">
        <v>18.166</v>
      </c>
      <c r="T216" s="1">
        <v>18.227</v>
      </c>
      <c r="U216" s="1">
        <v>18.192</v>
      </c>
      <c r="V216" s="1">
        <v>18.158000000000001</v>
      </c>
      <c r="W216" s="1">
        <v>18.178000000000001</v>
      </c>
      <c r="X216" s="1">
        <v>18.082999999999998</v>
      </c>
      <c r="Y216" s="1">
        <v>18.170999999999999</v>
      </c>
      <c r="Z216" s="1">
        <v>18.123999999999999</v>
      </c>
      <c r="AA216" s="1">
        <v>18.207000000000001</v>
      </c>
      <c r="AB216" s="1">
        <v>18.129000000000001</v>
      </c>
      <c r="AC216" s="1">
        <v>18.166</v>
      </c>
      <c r="AD216" s="1">
        <v>18.207000000000001</v>
      </c>
      <c r="AE216" s="1">
        <v>18.151</v>
      </c>
      <c r="AF216" s="1">
        <v>18.213000000000001</v>
      </c>
      <c r="AG216" s="1">
        <v>18.189</v>
      </c>
      <c r="AH216" s="1">
        <v>18.193000000000001</v>
      </c>
      <c r="AI216" s="1">
        <v>18.234999999999999</v>
      </c>
      <c r="AJ216" s="1">
        <v>18.027999999999999</v>
      </c>
      <c r="AK216" s="1">
        <v>18.100000000000001</v>
      </c>
      <c r="AL216" s="1">
        <v>18.138999999999999</v>
      </c>
      <c r="AM216" s="1">
        <v>18.2</v>
      </c>
      <c r="AN216" s="1">
        <v>18.234000000000002</v>
      </c>
      <c r="AO216" s="1">
        <v>18.209</v>
      </c>
      <c r="AP216" s="1">
        <v>18.193999999999999</v>
      </c>
      <c r="AQ216" s="1">
        <v>18.113</v>
      </c>
      <c r="AR216" s="1">
        <v>18.204000000000001</v>
      </c>
      <c r="AS216" s="1">
        <v>18.119</v>
      </c>
      <c r="AT216" s="1">
        <v>18.204000000000001</v>
      </c>
      <c r="AU216" s="1">
        <v>18.231000000000002</v>
      </c>
      <c r="AV216" s="1">
        <v>18.056000000000001</v>
      </c>
      <c r="AW216" s="1">
        <v>18.204999999999998</v>
      </c>
      <c r="AX216" s="1">
        <v>18.146000000000001</v>
      </c>
      <c r="AY216" s="1">
        <v>18.219000000000001</v>
      </c>
      <c r="AZ216" s="1">
        <v>18.178000000000001</v>
      </c>
      <c r="BA216" s="1">
        <v>18.123000000000001</v>
      </c>
      <c r="BB216" s="1">
        <v>18.071999999999999</v>
      </c>
      <c r="BC216" s="1">
        <v>18.193000000000001</v>
      </c>
      <c r="BD216" s="1">
        <v>18.135999999999999</v>
      </c>
      <c r="BE216" s="1">
        <v>18.219000000000001</v>
      </c>
      <c r="BF216" s="1">
        <v>18.137</v>
      </c>
      <c r="BG216" s="1">
        <v>18.175000000000001</v>
      </c>
      <c r="BH216" s="1">
        <v>18.032</v>
      </c>
      <c r="BI216" s="1">
        <v>18.128</v>
      </c>
      <c r="BJ216" s="1">
        <v>18.184000000000001</v>
      </c>
      <c r="BK216" s="1">
        <v>18.119</v>
      </c>
      <c r="BL216" s="1">
        <v>18.103999999999999</v>
      </c>
      <c r="BN216" s="9">
        <v>24</v>
      </c>
      <c r="BO216" s="9">
        <v>3105</v>
      </c>
      <c r="BP216" s="10">
        <f t="shared" si="183"/>
        <v>-4.824879227053133E-3</v>
      </c>
      <c r="BQ216" s="10">
        <f t="shared" si="184"/>
        <v>-9.7826086956519448E-4</v>
      </c>
      <c r="BR216" s="10">
        <f t="shared" si="185"/>
        <v>5.6038647342990288E-4</v>
      </c>
      <c r="BS216" s="10">
        <f t="shared" si="186"/>
        <v>-5.4842995169082304E-3</v>
      </c>
      <c r="BT216" s="10">
        <f t="shared" si="187"/>
        <v>-1.6926328502414199E-3</v>
      </c>
      <c r="BU216" s="10">
        <f t="shared" si="188"/>
        <v>-2.0223429951689688E-3</v>
      </c>
      <c r="BV216" s="10">
        <f t="shared" si="189"/>
        <v>5.5609903381642622E-3</v>
      </c>
      <c r="BW216" s="10">
        <f t="shared" si="190"/>
        <v>-5.92391304347823E-3</v>
      </c>
      <c r="BX216" s="10">
        <f t="shared" si="191"/>
        <v>1.82427536231897E-3</v>
      </c>
      <c r="BY216" s="10">
        <f t="shared" si="192"/>
        <v>2.4836956521738719E-3</v>
      </c>
      <c r="BZ216" s="10">
        <f t="shared" si="193"/>
        <v>-1.4728260869565175E-3</v>
      </c>
      <c r="CA216" s="10">
        <f t="shared" si="194"/>
        <v>-3.2312801932367122E-3</v>
      </c>
      <c r="CB216" s="10">
        <f t="shared" si="195"/>
        <v>5.054347826087749E-4</v>
      </c>
      <c r="CC216" s="10">
        <f t="shared" si="196"/>
        <v>-1.5277777777776456E-3</v>
      </c>
      <c r="CD216" s="10">
        <f t="shared" si="197"/>
        <v>-1.7475845410627432E-3</v>
      </c>
      <c r="CE216" s="10">
        <f t="shared" si="198"/>
        <v>1.6044685990338724E-3</v>
      </c>
      <c r="CF216" s="10">
        <f t="shared" si="199"/>
        <v>-3.1884057971009696E-4</v>
      </c>
      <c r="CG216" s="10">
        <f t="shared" si="200"/>
        <v>-2.1871980676327432E-3</v>
      </c>
      <c r="CH216" s="10">
        <f t="shared" si="201"/>
        <v>-1.0881642512076456E-3</v>
      </c>
      <c r="CI216" s="10">
        <f t="shared" si="202"/>
        <v>-6.3085748792271025E-3</v>
      </c>
      <c r="CJ216" s="10">
        <f t="shared" si="203"/>
        <v>-1.4728260869565175E-3</v>
      </c>
      <c r="CK216" s="10">
        <f t="shared" si="204"/>
        <v>-4.0555555555555839E-3</v>
      </c>
      <c r="CL216" s="10">
        <f t="shared" si="205"/>
        <v>5.054347826087749E-4</v>
      </c>
      <c r="CM216" s="10">
        <f t="shared" si="206"/>
        <v>-3.7807971014491635E-3</v>
      </c>
      <c r="CN216" s="10">
        <f t="shared" si="207"/>
        <v>-1.7475845410627432E-3</v>
      </c>
      <c r="CO216" s="10">
        <f t="shared" si="208"/>
        <v>5.054347826087749E-4</v>
      </c>
      <c r="CP216" s="10">
        <f t="shared" si="209"/>
        <v>-2.5718599033816149E-3</v>
      </c>
      <c r="CQ216" s="10">
        <f t="shared" si="210"/>
        <v>8.3514492753632358E-4</v>
      </c>
      <c r="CR216" s="10">
        <f t="shared" si="211"/>
        <v>-4.836956521738713E-4</v>
      </c>
      <c r="CS216" s="10">
        <f t="shared" si="212"/>
        <v>-2.6388888888877378E-4</v>
      </c>
      <c r="CT216" s="10">
        <f t="shared" si="213"/>
        <v>2.0440821256038724E-3</v>
      </c>
      <c r="CU216" s="10">
        <f t="shared" si="214"/>
        <v>-9.3309178743961694E-3</v>
      </c>
      <c r="CV216" s="10">
        <f t="shared" si="215"/>
        <v>-5.3743961352655844E-3</v>
      </c>
      <c r="CW216" s="10">
        <f t="shared" si="216"/>
        <v>-3.2312801932367122E-3</v>
      </c>
      <c r="CX216" s="10">
        <f t="shared" si="217"/>
        <v>1.2077294685990296E-4</v>
      </c>
      <c r="CY216" s="10">
        <f t="shared" si="218"/>
        <v>1.9891304347827441E-3</v>
      </c>
      <c r="CZ216" s="10">
        <f t="shared" si="219"/>
        <v>6.1533816425122611E-4</v>
      </c>
      <c r="DA216" s="10">
        <f t="shared" si="220"/>
        <v>-2.0893719806764578E-4</v>
      </c>
      <c r="DB216" s="10">
        <f t="shared" si="221"/>
        <v>-4.6600241545893583E-3</v>
      </c>
      <c r="DC216" s="10">
        <f t="shared" si="222"/>
        <v>3.4057971014500051E-4</v>
      </c>
      <c r="DD216" s="10">
        <f t="shared" si="223"/>
        <v>-4.3303140096618096E-3</v>
      </c>
      <c r="DE216" s="10">
        <f t="shared" si="224"/>
        <v>3.4057971014500051E-4</v>
      </c>
      <c r="DF216" s="10">
        <f t="shared" si="225"/>
        <v>1.82427536231897E-3</v>
      </c>
      <c r="DG216" s="10">
        <f t="shared" si="226"/>
        <v>-7.792270531400876E-3</v>
      </c>
      <c r="DH216" s="10">
        <f t="shared" si="227"/>
        <v>3.9553140096612848E-4</v>
      </c>
      <c r="DI216" s="10">
        <f t="shared" si="228"/>
        <v>-2.8466183574878405E-3</v>
      </c>
      <c r="DJ216" s="10">
        <f t="shared" si="229"/>
        <v>1.1648550724638724E-3</v>
      </c>
      <c r="DK216" s="10">
        <f t="shared" si="230"/>
        <v>-1.0881642512076456E-3</v>
      </c>
      <c r="DL216" s="10">
        <f t="shared" si="231"/>
        <v>-4.1105072463767127E-3</v>
      </c>
      <c r="DM216" s="10">
        <f t="shared" si="232"/>
        <v>-6.9130434782608769E-3</v>
      </c>
      <c r="DN216" s="10">
        <f t="shared" si="233"/>
        <v>-2.6388888888877378E-4</v>
      </c>
      <c r="DO216" s="10">
        <f t="shared" si="234"/>
        <v>-3.3961352657004866E-3</v>
      </c>
      <c r="DP216" s="10">
        <f t="shared" si="235"/>
        <v>1.1648550724638724E-3</v>
      </c>
      <c r="DQ216" s="10">
        <f t="shared" si="236"/>
        <v>-3.3411835748791635E-3</v>
      </c>
      <c r="DR216" s="10">
        <f t="shared" si="237"/>
        <v>-1.2530193236714199E-3</v>
      </c>
      <c r="DS216" s="10">
        <f t="shared" si="238"/>
        <v>-9.1111111111110716E-3</v>
      </c>
      <c r="DT216" s="10">
        <f t="shared" si="239"/>
        <v>-3.8357487922704866E-3</v>
      </c>
      <c r="DU216" s="10">
        <f t="shared" si="240"/>
        <v>-7.5845410628009691E-4</v>
      </c>
      <c r="DV216" s="10">
        <f t="shared" si="241"/>
        <v>-4.3303140096618096E-3</v>
      </c>
      <c r="DW216" s="10">
        <f t="shared" si="242"/>
        <v>-5.1545893719806817E-3</v>
      </c>
    </row>
    <row r="217" spans="2:127" x14ac:dyDescent="0.45">
      <c r="B217" s="1">
        <v>24</v>
      </c>
      <c r="C217" s="1">
        <v>3120</v>
      </c>
      <c r="D217" s="7">
        <f t="shared" si="243"/>
        <v>18.285714285714285</v>
      </c>
      <c r="E217" s="1">
        <v>18.196000000000002</v>
      </c>
      <c r="F217" s="1">
        <v>18.268999999999998</v>
      </c>
      <c r="G217" s="1">
        <v>18.295999999999999</v>
      </c>
      <c r="H217" s="1">
        <v>18.186</v>
      </c>
      <c r="I217" s="1">
        <v>18.254000000000001</v>
      </c>
      <c r="J217" s="1">
        <v>18.248999999999999</v>
      </c>
      <c r="K217" s="1">
        <v>18.385999999999999</v>
      </c>
      <c r="L217" s="1">
        <v>18.178000000000001</v>
      </c>
      <c r="M217" s="1">
        <v>18.321000000000002</v>
      </c>
      <c r="N217" s="1">
        <v>18.329999999999998</v>
      </c>
      <c r="O217" s="1">
        <v>18.260000000000002</v>
      </c>
      <c r="P217" s="1">
        <v>18.227</v>
      </c>
      <c r="Q217" s="1">
        <v>18.295000000000002</v>
      </c>
      <c r="R217" s="1">
        <v>18.260000000000002</v>
      </c>
      <c r="S217" s="1">
        <v>18.254999999999999</v>
      </c>
      <c r="T217" s="1">
        <v>18.315000000000001</v>
      </c>
      <c r="U217" s="1">
        <v>18.279</v>
      </c>
      <c r="V217" s="1">
        <v>18.245000000000001</v>
      </c>
      <c r="W217" s="1">
        <v>18.268000000000001</v>
      </c>
      <c r="X217" s="1">
        <v>18.172999999999998</v>
      </c>
      <c r="Y217" s="1">
        <v>18.260000000000002</v>
      </c>
      <c r="Z217" s="1">
        <v>18.212</v>
      </c>
      <c r="AA217" s="1">
        <v>18.292999999999999</v>
      </c>
      <c r="AB217" s="1">
        <v>18.216000000000001</v>
      </c>
      <c r="AC217" s="1">
        <v>18.254000000000001</v>
      </c>
      <c r="AD217" s="1">
        <v>18.292999999999999</v>
      </c>
      <c r="AE217" s="1">
        <v>18.239000000000001</v>
      </c>
      <c r="AF217" s="1">
        <v>18.302</v>
      </c>
      <c r="AG217" s="1">
        <v>18.277000000000001</v>
      </c>
      <c r="AH217" s="1">
        <v>18.280999999999999</v>
      </c>
      <c r="AI217" s="1">
        <v>18.321000000000002</v>
      </c>
      <c r="AJ217" s="1">
        <v>18.11</v>
      </c>
      <c r="AK217" s="1">
        <v>18.186</v>
      </c>
      <c r="AL217" s="1">
        <v>18.227</v>
      </c>
      <c r="AM217" s="1">
        <v>18.288</v>
      </c>
      <c r="AN217" s="1">
        <v>18.321999999999999</v>
      </c>
      <c r="AO217" s="1">
        <v>18.295000000000002</v>
      </c>
      <c r="AP217" s="1">
        <v>18.283000000000001</v>
      </c>
      <c r="AQ217" s="1">
        <v>18.2</v>
      </c>
      <c r="AR217" s="1">
        <v>18.292000000000002</v>
      </c>
      <c r="AS217" s="1">
        <v>18.207000000000001</v>
      </c>
      <c r="AT217" s="1">
        <v>18.291</v>
      </c>
      <c r="AU217" s="1">
        <v>18.323</v>
      </c>
      <c r="AV217" s="1">
        <v>18.141999999999999</v>
      </c>
      <c r="AW217" s="1">
        <v>18.291</v>
      </c>
      <c r="AX217" s="1">
        <v>18.234999999999999</v>
      </c>
      <c r="AY217" s="1">
        <v>18.303999999999998</v>
      </c>
      <c r="AZ217" s="1">
        <v>18.265000000000001</v>
      </c>
      <c r="BA217" s="1">
        <v>18.210999999999999</v>
      </c>
      <c r="BB217" s="1">
        <v>18.158000000000001</v>
      </c>
      <c r="BC217" s="1">
        <v>18.280999999999999</v>
      </c>
      <c r="BD217" s="1">
        <v>18.225999999999999</v>
      </c>
      <c r="BE217" s="1">
        <v>18.306000000000001</v>
      </c>
      <c r="BF217" s="1">
        <v>18.224</v>
      </c>
      <c r="BG217" s="1">
        <v>18.257999999999999</v>
      </c>
      <c r="BH217" s="1">
        <v>18.117000000000001</v>
      </c>
      <c r="BI217" s="1">
        <v>18.216000000000001</v>
      </c>
      <c r="BJ217" s="1">
        <v>18.273</v>
      </c>
      <c r="BK217" s="1">
        <v>18.204999999999998</v>
      </c>
      <c r="BL217" s="1">
        <v>18.192</v>
      </c>
      <c r="BN217" s="9">
        <v>24</v>
      </c>
      <c r="BO217" s="9">
        <v>3120</v>
      </c>
      <c r="BP217" s="10">
        <f t="shared" si="183"/>
        <v>-4.9062499999998621E-3</v>
      </c>
      <c r="BQ217" s="10">
        <f t="shared" si="184"/>
        <v>-9.1406250000003464E-4</v>
      </c>
      <c r="BR217" s="10">
        <f t="shared" si="185"/>
        <v>5.6250000000002132E-4</v>
      </c>
      <c r="BS217" s="10">
        <f t="shared" si="186"/>
        <v>-5.4531249999999476E-3</v>
      </c>
      <c r="BT217" s="10">
        <f t="shared" si="187"/>
        <v>-1.7343749999998714E-3</v>
      </c>
      <c r="BU217" s="10">
        <f t="shared" si="188"/>
        <v>-2.0078125000000113E-3</v>
      </c>
      <c r="BV217" s="10">
        <f t="shared" si="189"/>
        <v>5.4843750000000135E-3</v>
      </c>
      <c r="BW217" s="10">
        <f t="shared" si="190"/>
        <v>-5.8906249999998994E-3</v>
      </c>
      <c r="BX217" s="10">
        <f t="shared" si="191"/>
        <v>1.9296875000001379E-3</v>
      </c>
      <c r="BY217" s="10">
        <f t="shared" si="192"/>
        <v>2.4218749999999623E-3</v>
      </c>
      <c r="BZ217" s="10">
        <f t="shared" si="193"/>
        <v>-1.406249999999859E-3</v>
      </c>
      <c r="CA217" s="10">
        <f t="shared" si="194"/>
        <v>-3.2109374999999274E-3</v>
      </c>
      <c r="CB217" s="10">
        <f t="shared" si="195"/>
        <v>5.0781250000014877E-4</v>
      </c>
      <c r="CC217" s="10">
        <f t="shared" si="196"/>
        <v>-1.406249999999859E-3</v>
      </c>
      <c r="CD217" s="10">
        <f t="shared" si="197"/>
        <v>-1.6796874999999989E-3</v>
      </c>
      <c r="CE217" s="10">
        <f t="shared" si="198"/>
        <v>1.6015625000001255E-3</v>
      </c>
      <c r="CF217" s="10">
        <f t="shared" si="199"/>
        <v>-3.6718749999994915E-4</v>
      </c>
      <c r="CG217" s="10">
        <f t="shared" si="200"/>
        <v>-2.2265624999998901E-3</v>
      </c>
      <c r="CH217" s="10">
        <f t="shared" si="201"/>
        <v>-9.6874999999990719E-4</v>
      </c>
      <c r="CI217" s="10">
        <f t="shared" si="202"/>
        <v>-6.1640625000000393E-3</v>
      </c>
      <c r="CJ217" s="10">
        <f t="shared" si="203"/>
        <v>-1.406249999999859E-3</v>
      </c>
      <c r="CK217" s="10">
        <f t="shared" si="204"/>
        <v>-4.0312499999999585E-3</v>
      </c>
      <c r="CL217" s="10">
        <f t="shared" si="205"/>
        <v>3.984375000000151E-4</v>
      </c>
      <c r="CM217" s="10">
        <f t="shared" si="206"/>
        <v>-3.8124999999998854E-3</v>
      </c>
      <c r="CN217" s="10">
        <f t="shared" si="207"/>
        <v>-1.7343749999998714E-3</v>
      </c>
      <c r="CO217" s="10">
        <f t="shared" si="208"/>
        <v>3.984375000000151E-4</v>
      </c>
      <c r="CP217" s="10">
        <f t="shared" si="209"/>
        <v>-2.5546874999999025E-3</v>
      </c>
      <c r="CQ217" s="10">
        <f t="shared" si="210"/>
        <v>8.9062500000003375E-4</v>
      </c>
      <c r="CR217" s="10">
        <f t="shared" si="211"/>
        <v>-4.7656249999988853E-4</v>
      </c>
      <c r="CS217" s="10">
        <f t="shared" si="212"/>
        <v>-2.5781250000000977E-4</v>
      </c>
      <c r="CT217" s="10">
        <f t="shared" si="213"/>
        <v>1.9296875000001379E-3</v>
      </c>
      <c r="CU217" s="10">
        <f t="shared" si="214"/>
        <v>-9.6093749999999756E-3</v>
      </c>
      <c r="CV217" s="10">
        <f t="shared" si="215"/>
        <v>-5.4531249999999476E-3</v>
      </c>
      <c r="CW217" s="10">
        <f t="shared" si="216"/>
        <v>-3.2109374999999274E-3</v>
      </c>
      <c r="CX217" s="10">
        <f t="shared" si="217"/>
        <v>1.250000000000695E-4</v>
      </c>
      <c r="CY217" s="10">
        <f t="shared" si="218"/>
        <v>1.9843750000000104E-3</v>
      </c>
      <c r="CZ217" s="10">
        <f t="shared" si="219"/>
        <v>5.0781250000014877E-4</v>
      </c>
      <c r="DA217" s="10">
        <f t="shared" si="220"/>
        <v>-1.484374999998761E-4</v>
      </c>
      <c r="DB217" s="10">
        <f t="shared" si="221"/>
        <v>-4.6874999999999833E-3</v>
      </c>
      <c r="DC217" s="10">
        <f t="shared" si="222"/>
        <v>3.4375000000014255E-4</v>
      </c>
      <c r="DD217" s="10">
        <f t="shared" si="223"/>
        <v>-4.3046874999999041E-3</v>
      </c>
      <c r="DE217" s="10">
        <f t="shared" si="224"/>
        <v>2.8906250000007572E-4</v>
      </c>
      <c r="DF217" s="10">
        <f t="shared" si="225"/>
        <v>2.0390625000000773E-3</v>
      </c>
      <c r="DG217" s="10">
        <f t="shared" si="226"/>
        <v>-7.859374999999974E-3</v>
      </c>
      <c r="DH217" s="10">
        <f t="shared" si="227"/>
        <v>2.8906250000007572E-4</v>
      </c>
      <c r="DI217" s="10">
        <f t="shared" si="228"/>
        <v>-2.7734374999999756E-3</v>
      </c>
      <c r="DJ217" s="10">
        <f t="shared" si="229"/>
        <v>9.9999999999997313E-4</v>
      </c>
      <c r="DK217" s="10">
        <f t="shared" si="230"/>
        <v>-1.1328124999999134E-3</v>
      </c>
      <c r="DL217" s="10">
        <f t="shared" si="231"/>
        <v>-4.0859375000000253E-3</v>
      </c>
      <c r="DM217" s="10">
        <f t="shared" si="232"/>
        <v>-6.9843749999998761E-3</v>
      </c>
      <c r="DN217" s="10">
        <f t="shared" si="233"/>
        <v>-2.5781250000000977E-4</v>
      </c>
      <c r="DO217" s="10">
        <f t="shared" si="234"/>
        <v>-3.2656249999999942E-3</v>
      </c>
      <c r="DP217" s="10">
        <f t="shared" si="235"/>
        <v>1.1093750000001068E-3</v>
      </c>
      <c r="DQ217" s="10">
        <f t="shared" si="236"/>
        <v>-3.3749999999999336E-3</v>
      </c>
      <c r="DR217" s="10">
        <f t="shared" si="237"/>
        <v>-1.5156249999999927E-3</v>
      </c>
      <c r="DS217" s="10">
        <f t="shared" si="238"/>
        <v>-9.2265624999998963E-3</v>
      </c>
      <c r="DT217" s="10">
        <f t="shared" si="239"/>
        <v>-3.8124999999998854E-3</v>
      </c>
      <c r="DU217" s="10">
        <f t="shared" si="240"/>
        <v>-6.9531249999996159E-4</v>
      </c>
      <c r="DV217" s="10">
        <f t="shared" si="241"/>
        <v>-4.4140625000000377E-3</v>
      </c>
      <c r="DW217" s="10">
        <f t="shared" si="242"/>
        <v>-5.1249999999999352E-3</v>
      </c>
    </row>
    <row r="218" spans="2:127" x14ac:dyDescent="0.45">
      <c r="B218" s="1">
        <v>24</v>
      </c>
      <c r="C218" s="1">
        <v>3135</v>
      </c>
      <c r="D218" s="7">
        <f t="shared" si="243"/>
        <v>18.373626373626372</v>
      </c>
      <c r="E218" s="1">
        <v>18.283999999999999</v>
      </c>
      <c r="F218" s="1">
        <v>18.359000000000002</v>
      </c>
      <c r="G218" s="1">
        <v>18.384</v>
      </c>
      <c r="H218" s="1">
        <v>18.274000000000001</v>
      </c>
      <c r="I218" s="1">
        <v>18.341999999999999</v>
      </c>
      <c r="J218" s="1">
        <v>18.335999999999999</v>
      </c>
      <c r="K218" s="1">
        <v>18.472999999999999</v>
      </c>
      <c r="L218" s="1">
        <v>18.265999999999998</v>
      </c>
      <c r="M218" s="1">
        <v>18.408999999999999</v>
      </c>
      <c r="N218" s="1">
        <v>18.420000000000002</v>
      </c>
      <c r="O218" s="1">
        <v>18.347999999999999</v>
      </c>
      <c r="P218" s="1">
        <v>18.315000000000001</v>
      </c>
      <c r="Q218" s="1">
        <v>18.382000000000001</v>
      </c>
      <c r="R218" s="1">
        <v>18.347999999999999</v>
      </c>
      <c r="S218" s="1">
        <v>18.344999999999999</v>
      </c>
      <c r="T218" s="1">
        <v>18.405000000000001</v>
      </c>
      <c r="U218" s="1">
        <v>18.367000000000001</v>
      </c>
      <c r="V218" s="1">
        <v>18.334</v>
      </c>
      <c r="W218" s="1">
        <v>18.356000000000002</v>
      </c>
      <c r="X218" s="1">
        <v>18.260999999999999</v>
      </c>
      <c r="Y218" s="1">
        <v>18.350000000000001</v>
      </c>
      <c r="Z218" s="1">
        <v>18.3</v>
      </c>
      <c r="AA218" s="1">
        <v>18.382999999999999</v>
      </c>
      <c r="AB218" s="1">
        <v>18.303999999999998</v>
      </c>
      <c r="AC218" s="1">
        <v>18.341000000000001</v>
      </c>
      <c r="AD218" s="1">
        <v>18.384</v>
      </c>
      <c r="AE218" s="1">
        <v>18.327000000000002</v>
      </c>
      <c r="AF218" s="1">
        <v>18.39</v>
      </c>
      <c r="AG218" s="1">
        <v>18.364000000000001</v>
      </c>
      <c r="AH218" s="1">
        <v>18.372</v>
      </c>
      <c r="AI218" s="1">
        <v>18.408999999999999</v>
      </c>
      <c r="AJ218" s="1">
        <v>18.193999999999999</v>
      </c>
      <c r="AK218" s="1">
        <v>18.274000000000001</v>
      </c>
      <c r="AL218" s="1">
        <v>18.315000000000001</v>
      </c>
      <c r="AM218" s="1">
        <v>18.375</v>
      </c>
      <c r="AN218" s="1">
        <v>18.41</v>
      </c>
      <c r="AO218" s="1">
        <v>18.382000000000001</v>
      </c>
      <c r="AP218" s="1">
        <v>18.370999999999999</v>
      </c>
      <c r="AQ218" s="1">
        <v>18.285</v>
      </c>
      <c r="AR218" s="1">
        <v>18.38</v>
      </c>
      <c r="AS218" s="1">
        <v>18.292999999999999</v>
      </c>
      <c r="AT218" s="1">
        <v>18.376000000000001</v>
      </c>
      <c r="AU218" s="1">
        <v>18.41</v>
      </c>
      <c r="AV218" s="1">
        <v>18.231000000000002</v>
      </c>
      <c r="AW218" s="1">
        <v>18.379000000000001</v>
      </c>
      <c r="AX218" s="1">
        <v>18.321999999999999</v>
      </c>
      <c r="AY218" s="1">
        <v>18.390999999999998</v>
      </c>
      <c r="AZ218" s="1">
        <v>18.353000000000002</v>
      </c>
      <c r="BA218" s="1">
        <v>18.298999999999999</v>
      </c>
      <c r="BB218" s="1">
        <v>18.245999999999999</v>
      </c>
      <c r="BC218" s="1">
        <v>18.364999999999998</v>
      </c>
      <c r="BD218" s="1">
        <v>18.312000000000001</v>
      </c>
      <c r="BE218" s="1">
        <v>18.393999999999998</v>
      </c>
      <c r="BF218" s="1">
        <v>18.311</v>
      </c>
      <c r="BG218" s="1">
        <v>18.346</v>
      </c>
      <c r="BH218" s="1">
        <v>18.204999999999998</v>
      </c>
      <c r="BI218" s="1">
        <v>18.308</v>
      </c>
      <c r="BJ218" s="1">
        <v>18.361000000000001</v>
      </c>
      <c r="BK218" s="1">
        <v>18.292999999999999</v>
      </c>
      <c r="BL218" s="1">
        <v>18.28</v>
      </c>
      <c r="BN218" s="9">
        <v>24</v>
      </c>
      <c r="BO218" s="9">
        <v>3135</v>
      </c>
      <c r="BP218" s="10">
        <f t="shared" si="183"/>
        <v>-4.8779904306219968E-3</v>
      </c>
      <c r="BQ218" s="10">
        <f t="shared" si="184"/>
        <v>-7.9605263157877929E-4</v>
      </c>
      <c r="BR218" s="10">
        <f t="shared" si="185"/>
        <v>5.645933014354975E-4</v>
      </c>
      <c r="BS218" s="10">
        <f t="shared" si="186"/>
        <v>-5.4222488038276296E-3</v>
      </c>
      <c r="BT218" s="10">
        <f t="shared" si="187"/>
        <v>-1.7212918660287041E-3</v>
      </c>
      <c r="BU218" s="10">
        <f t="shared" si="188"/>
        <v>-2.0478468899521613E-3</v>
      </c>
      <c r="BV218" s="10">
        <f t="shared" si="189"/>
        <v>5.4084928229665239E-3</v>
      </c>
      <c r="BW218" s="10">
        <f t="shared" si="190"/>
        <v>-5.8576555023923688E-3</v>
      </c>
      <c r="BX218" s="10">
        <f t="shared" si="191"/>
        <v>1.9252392344497743E-3</v>
      </c>
      <c r="BY218" s="10">
        <f t="shared" si="192"/>
        <v>2.5239234449762416E-3</v>
      </c>
      <c r="BZ218" s="10">
        <f t="shared" si="193"/>
        <v>-1.3947368421052468E-3</v>
      </c>
      <c r="CA218" s="10">
        <f t="shared" si="194"/>
        <v>-3.1907894736840688E-3</v>
      </c>
      <c r="CB218" s="10">
        <f t="shared" si="195"/>
        <v>4.5574162679440952E-4</v>
      </c>
      <c r="CC218" s="10">
        <f t="shared" si="196"/>
        <v>-1.3947368421052468E-3</v>
      </c>
      <c r="CD218" s="10">
        <f t="shared" si="197"/>
        <v>-1.5580143540669753E-3</v>
      </c>
      <c r="CE218" s="10">
        <f t="shared" si="198"/>
        <v>1.7075358851675983E-3</v>
      </c>
      <c r="CF218" s="10">
        <f t="shared" si="199"/>
        <v>-3.6064593301423389E-4</v>
      </c>
      <c r="CG218" s="10">
        <f t="shared" si="200"/>
        <v>-2.1566985645932496E-3</v>
      </c>
      <c r="CH218" s="10">
        <f t="shared" si="201"/>
        <v>-9.5933014354050792E-4</v>
      </c>
      <c r="CI218" s="10">
        <f t="shared" si="202"/>
        <v>-6.1297846889951857E-3</v>
      </c>
      <c r="CJ218" s="10">
        <f t="shared" si="203"/>
        <v>-1.2858851674639653E-3</v>
      </c>
      <c r="CK218" s="10">
        <f t="shared" si="204"/>
        <v>-4.0071770334927127E-3</v>
      </c>
      <c r="CL218" s="10">
        <f t="shared" si="205"/>
        <v>5.1016746411485685E-4</v>
      </c>
      <c r="CM218" s="10">
        <f t="shared" si="206"/>
        <v>-3.7894736842105361E-3</v>
      </c>
      <c r="CN218" s="10">
        <f t="shared" si="207"/>
        <v>-1.7757177033491515E-3</v>
      </c>
      <c r="CO218" s="10">
        <f t="shared" si="208"/>
        <v>5.645933014354975E-4</v>
      </c>
      <c r="CP218" s="10">
        <f t="shared" si="209"/>
        <v>-2.5376794258371543E-3</v>
      </c>
      <c r="CQ218" s="10">
        <f t="shared" si="210"/>
        <v>8.9114832535895497E-4</v>
      </c>
      <c r="CR218" s="10">
        <f t="shared" si="211"/>
        <v>-5.2392344497596258E-4</v>
      </c>
      <c r="CS218" s="10">
        <f t="shared" si="212"/>
        <v>-8.8516746411417202E-5</v>
      </c>
      <c r="CT218" s="10">
        <f t="shared" si="213"/>
        <v>1.9252392344497743E-3</v>
      </c>
      <c r="CU218" s="10">
        <f t="shared" si="214"/>
        <v>-9.7763157894736642E-3</v>
      </c>
      <c r="CV218" s="10">
        <f t="shared" si="215"/>
        <v>-5.4222488038276296E-3</v>
      </c>
      <c r="CW218" s="10">
        <f t="shared" si="216"/>
        <v>-3.1907894736840688E-3</v>
      </c>
      <c r="CX218" s="10">
        <f t="shared" si="217"/>
        <v>7.476076555031148E-5</v>
      </c>
      <c r="CY218" s="10">
        <f t="shared" si="218"/>
        <v>1.9796650717704149E-3</v>
      </c>
      <c r="CZ218" s="10">
        <f t="shared" si="219"/>
        <v>4.5574162679440952E-4</v>
      </c>
      <c r="DA218" s="10">
        <f t="shared" si="220"/>
        <v>-1.4294258373205788E-4</v>
      </c>
      <c r="DB218" s="10">
        <f t="shared" si="221"/>
        <v>-4.8235645933013558E-3</v>
      </c>
      <c r="DC218" s="10">
        <f t="shared" si="222"/>
        <v>3.4688995215312817E-4</v>
      </c>
      <c r="DD218" s="10">
        <f t="shared" si="223"/>
        <v>-4.38815789473681E-3</v>
      </c>
      <c r="DE218" s="10">
        <f t="shared" si="224"/>
        <v>1.2918660287095215E-4</v>
      </c>
      <c r="DF218" s="10">
        <f t="shared" si="225"/>
        <v>1.9796650717704149E-3</v>
      </c>
      <c r="DG218" s="10">
        <f t="shared" si="226"/>
        <v>-7.7625598086122792E-3</v>
      </c>
      <c r="DH218" s="10">
        <f t="shared" si="227"/>
        <v>2.9246411483268084E-4</v>
      </c>
      <c r="DI218" s="10">
        <f t="shared" si="228"/>
        <v>-2.8098086124401641E-3</v>
      </c>
      <c r="DJ218" s="10">
        <f t="shared" si="229"/>
        <v>9.455741626794022E-4</v>
      </c>
      <c r="DK218" s="10">
        <f t="shared" si="230"/>
        <v>-1.1226076555022366E-3</v>
      </c>
      <c r="DL218" s="10">
        <f t="shared" si="231"/>
        <v>-4.0616028708133529E-3</v>
      </c>
      <c r="DM218" s="10">
        <f t="shared" si="232"/>
        <v>-6.9461722488038287E-3</v>
      </c>
      <c r="DN218" s="10">
        <f t="shared" si="233"/>
        <v>-4.6949760765551524E-4</v>
      </c>
      <c r="DO218" s="10">
        <f t="shared" si="234"/>
        <v>-3.3540669856457978E-3</v>
      </c>
      <c r="DP218" s="10">
        <f t="shared" si="235"/>
        <v>1.1088516746411308E-3</v>
      </c>
      <c r="DQ218" s="10">
        <f t="shared" si="236"/>
        <v>-3.4084928229664384E-3</v>
      </c>
      <c r="DR218" s="10">
        <f t="shared" si="237"/>
        <v>-1.5035885167463347E-3</v>
      </c>
      <c r="DS218" s="10">
        <f t="shared" si="238"/>
        <v>-9.1776315789473904E-3</v>
      </c>
      <c r="DT218" s="10">
        <f t="shared" si="239"/>
        <v>-3.571770334928167E-3</v>
      </c>
      <c r="DU218" s="10">
        <f t="shared" si="240"/>
        <v>-6.8720095693769131E-4</v>
      </c>
      <c r="DV218" s="10">
        <f t="shared" si="241"/>
        <v>-4.38815789473681E-3</v>
      </c>
      <c r="DW218" s="10">
        <f t="shared" si="242"/>
        <v>-5.0956937799041726E-3</v>
      </c>
    </row>
    <row r="219" spans="2:127" x14ac:dyDescent="0.45">
      <c r="B219" s="1">
        <v>24</v>
      </c>
      <c r="C219" s="1">
        <v>3150</v>
      </c>
      <c r="D219" s="7">
        <f t="shared" si="243"/>
        <v>18.46153846153846</v>
      </c>
      <c r="E219" s="1">
        <v>18.369</v>
      </c>
      <c r="F219" s="1">
        <v>18.445</v>
      </c>
      <c r="G219" s="1">
        <v>18.471</v>
      </c>
      <c r="H219" s="1">
        <v>18.364000000000001</v>
      </c>
      <c r="I219" s="1">
        <v>18.428999999999998</v>
      </c>
      <c r="J219" s="1">
        <v>18.422000000000001</v>
      </c>
      <c r="K219" s="1">
        <v>18.559000000000001</v>
      </c>
      <c r="L219" s="1">
        <v>18.350000000000001</v>
      </c>
      <c r="M219" s="1">
        <v>18.497</v>
      </c>
      <c r="N219" s="1">
        <v>18.507999999999999</v>
      </c>
      <c r="O219" s="1">
        <v>18.437000000000001</v>
      </c>
      <c r="P219" s="1">
        <v>18.402999999999999</v>
      </c>
      <c r="Q219" s="1">
        <v>18.468</v>
      </c>
      <c r="R219" s="1">
        <v>18.436</v>
      </c>
      <c r="S219" s="1">
        <v>18.431999999999999</v>
      </c>
      <c r="T219" s="1">
        <v>18.492999999999999</v>
      </c>
      <c r="U219" s="1">
        <v>18.454999999999998</v>
      </c>
      <c r="V219" s="1">
        <v>18.423999999999999</v>
      </c>
      <c r="W219" s="1">
        <v>18.443999999999999</v>
      </c>
      <c r="X219" s="1">
        <v>18.349</v>
      </c>
      <c r="Y219" s="1">
        <v>18.439</v>
      </c>
      <c r="Z219" s="1">
        <v>18.388000000000002</v>
      </c>
      <c r="AA219" s="1">
        <v>18.47</v>
      </c>
      <c r="AB219" s="1">
        <v>18.39</v>
      </c>
      <c r="AC219" s="1">
        <v>18.428999999999998</v>
      </c>
      <c r="AD219" s="1">
        <v>18.471</v>
      </c>
      <c r="AE219" s="1">
        <v>18.416</v>
      </c>
      <c r="AF219" s="1">
        <v>18.478000000000002</v>
      </c>
      <c r="AG219" s="1">
        <v>18.452000000000002</v>
      </c>
      <c r="AH219" s="1">
        <v>18.46</v>
      </c>
      <c r="AI219" s="1">
        <v>18.498000000000001</v>
      </c>
      <c r="AJ219" s="1">
        <v>18.283000000000001</v>
      </c>
      <c r="AK219" s="1">
        <v>18.361000000000001</v>
      </c>
      <c r="AL219" s="1">
        <v>18.402000000000001</v>
      </c>
      <c r="AM219" s="1">
        <v>18.463000000000001</v>
      </c>
      <c r="AN219" s="1">
        <v>18.497</v>
      </c>
      <c r="AO219" s="1">
        <v>18.471</v>
      </c>
      <c r="AP219" s="1">
        <v>18.457999999999998</v>
      </c>
      <c r="AQ219" s="1">
        <v>18.370999999999999</v>
      </c>
      <c r="AR219" s="1">
        <v>18.47</v>
      </c>
      <c r="AS219" s="1">
        <v>18.382999999999999</v>
      </c>
      <c r="AT219" s="1">
        <v>18.463000000000001</v>
      </c>
      <c r="AU219" s="1">
        <v>18.495999999999999</v>
      </c>
      <c r="AV219" s="1">
        <v>18.315000000000001</v>
      </c>
      <c r="AW219" s="1">
        <v>18.463999999999999</v>
      </c>
      <c r="AX219" s="1">
        <v>18.41</v>
      </c>
      <c r="AY219" s="1">
        <v>18.478000000000002</v>
      </c>
      <c r="AZ219" s="1">
        <v>18.440000000000001</v>
      </c>
      <c r="BA219" s="1">
        <v>18.388000000000002</v>
      </c>
      <c r="BB219" s="1">
        <v>18.334</v>
      </c>
      <c r="BC219" s="1">
        <v>18.452000000000002</v>
      </c>
      <c r="BD219" s="1">
        <v>18.399000000000001</v>
      </c>
      <c r="BE219" s="1">
        <v>18.481000000000002</v>
      </c>
      <c r="BF219" s="1">
        <v>18.398</v>
      </c>
      <c r="BG219" s="1">
        <v>18.434999999999999</v>
      </c>
      <c r="BH219" s="1">
        <v>18.286999999999999</v>
      </c>
      <c r="BI219" s="1">
        <v>18.398</v>
      </c>
      <c r="BJ219" s="1">
        <v>18.448</v>
      </c>
      <c r="BK219" s="1">
        <v>18.375</v>
      </c>
      <c r="BL219" s="1">
        <v>18.364999999999998</v>
      </c>
      <c r="BN219" s="9">
        <v>24</v>
      </c>
      <c r="BO219" s="9">
        <v>3150</v>
      </c>
      <c r="BP219" s="10">
        <f t="shared" si="183"/>
        <v>-5.0124999999999241E-3</v>
      </c>
      <c r="BQ219" s="10">
        <f t="shared" si="184"/>
        <v>-8.9583333333322925E-4</v>
      </c>
      <c r="BR219" s="10">
        <f t="shared" si="185"/>
        <v>5.125000000000935E-4</v>
      </c>
      <c r="BS219" s="10">
        <f t="shared" si="186"/>
        <v>-5.2833333333332034E-3</v>
      </c>
      <c r="BT219" s="10">
        <f t="shared" si="187"/>
        <v>-1.762499999999993E-3</v>
      </c>
      <c r="BU219" s="10">
        <f t="shared" si="188"/>
        <v>-2.1416666666665457E-3</v>
      </c>
      <c r="BV219" s="10">
        <f t="shared" si="189"/>
        <v>5.279166666666813E-3</v>
      </c>
      <c r="BW219" s="10">
        <f t="shared" si="190"/>
        <v>-6.0416666666665017E-3</v>
      </c>
      <c r="BX219" s="10">
        <f t="shared" si="191"/>
        <v>1.9208333333334163E-3</v>
      </c>
      <c r="BY219" s="10">
        <f t="shared" si="192"/>
        <v>2.5166666666667078E-3</v>
      </c>
      <c r="BZ219" s="10">
        <f t="shared" si="193"/>
        <v>-1.3291666666665149E-3</v>
      </c>
      <c r="CA219" s="10">
        <f t="shared" si="194"/>
        <v>-3.1708333333333154E-3</v>
      </c>
      <c r="CB219" s="10">
        <f t="shared" si="195"/>
        <v>3.5000000000008733E-4</v>
      </c>
      <c r="CC219" s="10">
        <f t="shared" si="196"/>
        <v>-1.3833333333332478E-3</v>
      </c>
      <c r="CD219" s="10">
        <f t="shared" si="197"/>
        <v>-1.5999999999999868E-3</v>
      </c>
      <c r="CE219" s="10">
        <f t="shared" si="198"/>
        <v>1.7041666666666772E-3</v>
      </c>
      <c r="CF219" s="10">
        <f t="shared" si="199"/>
        <v>-3.5416666666667027E-4</v>
      </c>
      <c r="CG219" s="10">
        <f t="shared" si="200"/>
        <v>-2.0333333333332725E-3</v>
      </c>
      <c r="CH219" s="10">
        <f t="shared" si="201"/>
        <v>-9.4999999999996205E-4</v>
      </c>
      <c r="CI219" s="10">
        <f t="shared" si="202"/>
        <v>-6.0958333333332344E-3</v>
      </c>
      <c r="CJ219" s="10">
        <f t="shared" si="203"/>
        <v>-1.2208333333332416E-3</v>
      </c>
      <c r="CK219" s="10">
        <f t="shared" si="204"/>
        <v>-3.983333333333154E-3</v>
      </c>
      <c r="CL219" s="10">
        <f t="shared" si="205"/>
        <v>4.5833333333336059E-4</v>
      </c>
      <c r="CM219" s="10">
        <f t="shared" si="206"/>
        <v>-3.8749999999998807E-3</v>
      </c>
      <c r="CN219" s="10">
        <f t="shared" si="207"/>
        <v>-1.762499999999993E-3</v>
      </c>
      <c r="CO219" s="10">
        <f t="shared" si="208"/>
        <v>5.125000000000935E-4</v>
      </c>
      <c r="CP219" s="10">
        <f t="shared" si="209"/>
        <v>-2.4666666666665581E-3</v>
      </c>
      <c r="CQ219" s="10">
        <f t="shared" si="210"/>
        <v>8.9166666666683865E-4</v>
      </c>
      <c r="CR219" s="10">
        <f t="shared" si="211"/>
        <v>-5.16666666666484E-4</v>
      </c>
      <c r="CS219" s="10">
        <f t="shared" si="212"/>
        <v>-8.3333333333198334E-5</v>
      </c>
      <c r="CT219" s="10">
        <f t="shared" si="213"/>
        <v>1.9750000000001489E-3</v>
      </c>
      <c r="CU219" s="10">
        <f t="shared" si="214"/>
        <v>-9.6708333333331772E-3</v>
      </c>
      <c r="CV219" s="10">
        <f t="shared" si="215"/>
        <v>-5.4458333333332097E-3</v>
      </c>
      <c r="CW219" s="10">
        <f t="shared" si="216"/>
        <v>-3.224999999999856E-3</v>
      </c>
      <c r="CX219" s="10">
        <f t="shared" si="217"/>
        <v>7.9166666666807839E-5</v>
      </c>
      <c r="CY219" s="10">
        <f t="shared" si="218"/>
        <v>1.9208333333334163E-3</v>
      </c>
      <c r="CZ219" s="10">
        <f t="shared" si="219"/>
        <v>5.125000000000935E-4</v>
      </c>
      <c r="DA219" s="10">
        <f t="shared" si="220"/>
        <v>-1.9166666666666407E-4</v>
      </c>
      <c r="DB219" s="10">
        <f t="shared" si="221"/>
        <v>-4.9041666666666504E-3</v>
      </c>
      <c r="DC219" s="10">
        <f t="shared" si="222"/>
        <v>4.5833333333336059E-4</v>
      </c>
      <c r="DD219" s="10">
        <f t="shared" si="223"/>
        <v>-4.2541666666666257E-3</v>
      </c>
      <c r="DE219" s="10">
        <f t="shared" si="224"/>
        <v>7.9166666666807839E-5</v>
      </c>
      <c r="DF219" s="10">
        <f t="shared" si="225"/>
        <v>1.8666666666666833E-3</v>
      </c>
      <c r="DG219" s="10">
        <f t="shared" si="226"/>
        <v>-7.9374999999998423E-3</v>
      </c>
      <c r="DH219" s="10">
        <f t="shared" si="227"/>
        <v>1.3333333333334827E-4</v>
      </c>
      <c r="DI219" s="10">
        <f t="shared" si="228"/>
        <v>-2.7916666666665704E-3</v>
      </c>
      <c r="DJ219" s="10">
        <f t="shared" si="229"/>
        <v>8.9166666666683865E-4</v>
      </c>
      <c r="DK219" s="10">
        <f t="shared" si="230"/>
        <v>-1.1666666666665087E-3</v>
      </c>
      <c r="DL219" s="10">
        <f t="shared" si="231"/>
        <v>-3.983333333333154E-3</v>
      </c>
      <c r="DM219" s="10">
        <f t="shared" si="232"/>
        <v>-6.9083333333332655E-3</v>
      </c>
      <c r="DN219" s="10">
        <f t="shared" si="233"/>
        <v>-5.16666666666484E-4</v>
      </c>
      <c r="DO219" s="10">
        <f t="shared" si="234"/>
        <v>-3.3874999999998624E-3</v>
      </c>
      <c r="DP219" s="10">
        <f t="shared" si="235"/>
        <v>1.0541666666668448E-3</v>
      </c>
      <c r="DQ219" s="10">
        <f t="shared" si="236"/>
        <v>-3.4416666666665951E-3</v>
      </c>
      <c r="DR219" s="10">
        <f t="shared" si="237"/>
        <v>-1.4374999999999807E-3</v>
      </c>
      <c r="DS219" s="10">
        <f t="shared" si="238"/>
        <v>-9.4541666666666316E-3</v>
      </c>
      <c r="DT219" s="10">
        <f t="shared" si="239"/>
        <v>-3.4416666666665951E-3</v>
      </c>
      <c r="DU219" s="10">
        <f t="shared" si="240"/>
        <v>-7.3333333333322308E-4</v>
      </c>
      <c r="DV219" s="10">
        <f t="shared" si="241"/>
        <v>-4.6874999999999114E-3</v>
      </c>
      <c r="DW219" s="10">
        <f t="shared" si="242"/>
        <v>-5.2291666666666632E-3</v>
      </c>
    </row>
    <row r="220" spans="2:127" x14ac:dyDescent="0.45">
      <c r="B220" s="1">
        <v>24</v>
      </c>
      <c r="C220" s="1">
        <v>3165</v>
      </c>
      <c r="D220" s="7">
        <f t="shared" si="243"/>
        <v>18.549450549450551</v>
      </c>
      <c r="E220" s="1">
        <v>18.457999999999998</v>
      </c>
      <c r="F220" s="1">
        <v>18.535</v>
      </c>
      <c r="G220" s="1">
        <v>18.561</v>
      </c>
      <c r="H220" s="1">
        <v>18.451000000000001</v>
      </c>
      <c r="I220" s="1">
        <v>18.515999999999998</v>
      </c>
      <c r="J220" s="1">
        <v>18.509</v>
      </c>
      <c r="K220" s="1">
        <v>18.649000000000001</v>
      </c>
      <c r="L220" s="1">
        <v>18.439</v>
      </c>
      <c r="M220" s="1">
        <v>18.585000000000001</v>
      </c>
      <c r="N220" s="1">
        <v>18.597000000000001</v>
      </c>
      <c r="O220" s="1">
        <v>18.524000000000001</v>
      </c>
      <c r="P220" s="1">
        <v>18.489999999999998</v>
      </c>
      <c r="Q220" s="1">
        <v>18.558</v>
      </c>
      <c r="R220" s="1">
        <v>18.524000000000001</v>
      </c>
      <c r="S220" s="1">
        <v>18.52</v>
      </c>
      <c r="T220" s="1">
        <v>18.584</v>
      </c>
      <c r="U220" s="1">
        <v>18.542000000000002</v>
      </c>
      <c r="V220" s="1">
        <v>18.510000000000002</v>
      </c>
      <c r="W220" s="1">
        <v>18.532</v>
      </c>
      <c r="X220" s="1">
        <v>18.439</v>
      </c>
      <c r="Y220" s="1">
        <v>18.530999999999999</v>
      </c>
      <c r="Z220" s="1">
        <v>18.475000000000001</v>
      </c>
      <c r="AA220" s="1">
        <v>18.559000000000001</v>
      </c>
      <c r="AB220" s="1">
        <v>18.478000000000002</v>
      </c>
      <c r="AC220" s="1">
        <v>18.516999999999999</v>
      </c>
      <c r="AD220" s="1">
        <v>18.561</v>
      </c>
      <c r="AE220" s="1">
        <v>18.504000000000001</v>
      </c>
      <c r="AF220" s="1">
        <v>18.567</v>
      </c>
      <c r="AG220" s="1">
        <v>18.54</v>
      </c>
      <c r="AH220" s="1">
        <v>18.550999999999998</v>
      </c>
      <c r="AI220" s="1">
        <v>18.585999999999999</v>
      </c>
      <c r="AJ220" s="1">
        <v>18.369</v>
      </c>
      <c r="AK220" s="1">
        <v>18.449000000000002</v>
      </c>
      <c r="AL220" s="1">
        <v>18.489000000000001</v>
      </c>
      <c r="AM220" s="1">
        <v>18.553000000000001</v>
      </c>
      <c r="AN220" s="1">
        <v>18.585000000000001</v>
      </c>
      <c r="AO220" s="1">
        <v>18.561</v>
      </c>
      <c r="AP220" s="1">
        <v>18.545999999999999</v>
      </c>
      <c r="AQ220" s="1">
        <v>18.457999999999998</v>
      </c>
      <c r="AR220" s="1">
        <v>18.558</v>
      </c>
      <c r="AS220" s="1">
        <v>18.47</v>
      </c>
      <c r="AT220" s="1">
        <v>18.547000000000001</v>
      </c>
      <c r="AU220" s="1">
        <v>18.582000000000001</v>
      </c>
      <c r="AV220" s="1">
        <v>18.402999999999999</v>
      </c>
      <c r="AW220" s="1">
        <v>18.553000000000001</v>
      </c>
      <c r="AX220" s="1">
        <v>18.498000000000001</v>
      </c>
      <c r="AY220" s="1">
        <v>18.565000000000001</v>
      </c>
      <c r="AZ220" s="1">
        <v>18.529</v>
      </c>
      <c r="BA220" s="1">
        <v>18.475000000000001</v>
      </c>
      <c r="BB220" s="1">
        <v>18.420999999999999</v>
      </c>
      <c r="BC220" s="1">
        <v>18.542999999999999</v>
      </c>
      <c r="BD220" s="1">
        <v>18.486999999999998</v>
      </c>
      <c r="BE220" s="1">
        <v>18.57</v>
      </c>
      <c r="BF220" s="1">
        <v>18.484999999999999</v>
      </c>
      <c r="BG220" s="1">
        <v>18.524000000000001</v>
      </c>
      <c r="BH220" s="1">
        <v>18.373999999999999</v>
      </c>
      <c r="BI220" s="1">
        <v>18.486000000000001</v>
      </c>
      <c r="BJ220" s="1">
        <v>18.535</v>
      </c>
      <c r="BK220" s="1">
        <v>18.462</v>
      </c>
      <c r="BL220" s="1">
        <v>18.454999999999998</v>
      </c>
      <c r="BN220" s="9">
        <v>24</v>
      </c>
      <c r="BO220" s="9">
        <v>3165</v>
      </c>
      <c r="BP220" s="10">
        <f t="shared" si="183"/>
        <v>-4.9300947867300295E-3</v>
      </c>
      <c r="BQ220" s="10">
        <f t="shared" si="184"/>
        <v>-7.7902843601903595E-4</v>
      </c>
      <c r="BR220" s="10">
        <f t="shared" si="185"/>
        <v>6.2263033175346508E-4</v>
      </c>
      <c r="BS220" s="10">
        <f t="shared" si="186"/>
        <v>-5.3074644549763617E-3</v>
      </c>
      <c r="BT220" s="10">
        <f t="shared" si="187"/>
        <v>-1.8033175355452048E-3</v>
      </c>
      <c r="BU220" s="10">
        <f t="shared" si="188"/>
        <v>-2.1806872037915368E-3</v>
      </c>
      <c r="BV220" s="10">
        <f t="shared" si="189"/>
        <v>5.3667061611374026E-3</v>
      </c>
      <c r="BW220" s="10">
        <f t="shared" si="190"/>
        <v>-5.9543838862560067E-3</v>
      </c>
      <c r="BX220" s="10">
        <f t="shared" si="191"/>
        <v>1.9164691943127556E-3</v>
      </c>
      <c r="BY220" s="10">
        <f t="shared" si="192"/>
        <v>2.563388625592401E-3</v>
      </c>
      <c r="BZ220" s="10">
        <f t="shared" si="193"/>
        <v>-1.3720379146919804E-3</v>
      </c>
      <c r="CA220" s="10">
        <f t="shared" si="194"/>
        <v>-3.204976303317706E-3</v>
      </c>
      <c r="CB220" s="10">
        <f t="shared" si="195"/>
        <v>4.6090047393355379E-4</v>
      </c>
      <c r="CC220" s="10">
        <f t="shared" si="196"/>
        <v>-1.3720379146919804E-3</v>
      </c>
      <c r="CD220" s="10">
        <f t="shared" si="197"/>
        <v>-1.5876777251185926E-3</v>
      </c>
      <c r="CE220" s="10">
        <f t="shared" si="198"/>
        <v>1.8625592417060549E-3</v>
      </c>
      <c r="CF220" s="10">
        <f t="shared" si="199"/>
        <v>-4.0165876777251228E-4</v>
      </c>
      <c r="CG220" s="10">
        <f t="shared" si="200"/>
        <v>-2.1267772511848358E-3</v>
      </c>
      <c r="CH220" s="10">
        <f t="shared" si="201"/>
        <v>-9.4075829383894719E-4</v>
      </c>
      <c r="CI220" s="10">
        <f t="shared" si="202"/>
        <v>-5.9543838862560067E-3</v>
      </c>
      <c r="CJ220" s="10">
        <f t="shared" si="203"/>
        <v>-9.9466824644564816E-4</v>
      </c>
      <c r="CK220" s="10">
        <f t="shared" si="204"/>
        <v>-4.013625592417071E-3</v>
      </c>
      <c r="CL220" s="10">
        <f t="shared" si="205"/>
        <v>5.1481042654025471E-4</v>
      </c>
      <c r="CM220" s="10">
        <f t="shared" si="206"/>
        <v>-3.8518957345971597E-3</v>
      </c>
      <c r="CN220" s="10">
        <f t="shared" si="207"/>
        <v>-1.7494075829385038E-3</v>
      </c>
      <c r="CO220" s="10">
        <f t="shared" si="208"/>
        <v>6.2263033175346508E-4</v>
      </c>
      <c r="CP220" s="10">
        <f t="shared" si="209"/>
        <v>-2.4502369668246587E-3</v>
      </c>
      <c r="CQ220" s="10">
        <f t="shared" si="210"/>
        <v>9.4609004739328777E-4</v>
      </c>
      <c r="CR220" s="10">
        <f t="shared" si="211"/>
        <v>-5.0947867298591423E-4</v>
      </c>
      <c r="CS220" s="10">
        <f t="shared" si="212"/>
        <v>8.3530805687030162E-5</v>
      </c>
      <c r="CT220" s="10">
        <f t="shared" si="213"/>
        <v>1.9703791469192653E-3</v>
      </c>
      <c r="CU220" s="10">
        <f t="shared" si="214"/>
        <v>-9.728080568720477E-3</v>
      </c>
      <c r="CV220" s="10">
        <f t="shared" si="215"/>
        <v>-5.415284360189572E-3</v>
      </c>
      <c r="CW220" s="10">
        <f t="shared" si="216"/>
        <v>-3.2588862559242153E-3</v>
      </c>
      <c r="CX220" s="10">
        <f t="shared" si="217"/>
        <v>1.9135071090043207E-4</v>
      </c>
      <c r="CY220" s="10">
        <f t="shared" si="218"/>
        <v>1.9164691943127556E-3</v>
      </c>
      <c r="CZ220" s="10">
        <f t="shared" si="219"/>
        <v>6.2263033175346508E-4</v>
      </c>
      <c r="DA220" s="10">
        <f t="shared" si="220"/>
        <v>-1.8601895734609154E-4</v>
      </c>
      <c r="DB220" s="10">
        <f t="shared" si="221"/>
        <v>-4.9300947867300295E-3</v>
      </c>
      <c r="DC220" s="10">
        <f t="shared" si="222"/>
        <v>4.6090047393355379E-4</v>
      </c>
      <c r="DD220" s="10">
        <f t="shared" si="223"/>
        <v>-4.2831753554503846E-3</v>
      </c>
      <c r="DE220" s="10">
        <f t="shared" si="224"/>
        <v>-1.3210900473939059E-4</v>
      </c>
      <c r="DF220" s="10">
        <f t="shared" si="225"/>
        <v>1.7547393364928444E-3</v>
      </c>
      <c r="DG220" s="10">
        <f t="shared" si="226"/>
        <v>-7.8951421800949433E-3</v>
      </c>
      <c r="DH220" s="10">
        <f t="shared" si="227"/>
        <v>1.9135071090043207E-4</v>
      </c>
      <c r="DI220" s="10">
        <f t="shared" si="228"/>
        <v>-2.7736966824644812E-3</v>
      </c>
      <c r="DJ220" s="10">
        <f t="shared" si="229"/>
        <v>8.382701421800774E-4</v>
      </c>
      <c r="DK220" s="10">
        <f t="shared" si="230"/>
        <v>-1.1024881516588586E-3</v>
      </c>
      <c r="DL220" s="10">
        <f t="shared" si="231"/>
        <v>-4.013625592417071E-3</v>
      </c>
      <c r="DM220" s="10">
        <f t="shared" si="232"/>
        <v>-6.924763033175475E-3</v>
      </c>
      <c r="DN220" s="10">
        <f t="shared" si="233"/>
        <v>-3.4774881516600289E-4</v>
      </c>
      <c r="DO220" s="10">
        <f t="shared" si="234"/>
        <v>-3.3667061611376173E-3</v>
      </c>
      <c r="DP220" s="10">
        <f t="shared" si="235"/>
        <v>1.107819905213199E-3</v>
      </c>
      <c r="DQ220" s="10">
        <f t="shared" si="236"/>
        <v>-3.4745260663508275E-3</v>
      </c>
      <c r="DR220" s="10">
        <f t="shared" si="237"/>
        <v>-1.3720379146919804E-3</v>
      </c>
      <c r="DS220" s="10">
        <f t="shared" si="238"/>
        <v>-9.4585308056873551E-3</v>
      </c>
      <c r="DT220" s="10">
        <f t="shared" si="239"/>
        <v>-3.4206161137441266E-3</v>
      </c>
      <c r="DU220" s="10">
        <f t="shared" si="240"/>
        <v>-7.7902843601903595E-4</v>
      </c>
      <c r="DV220" s="10">
        <f t="shared" si="241"/>
        <v>-4.7144549763034173E-3</v>
      </c>
      <c r="DW220" s="10">
        <f t="shared" si="242"/>
        <v>-5.0918246445499412E-3</v>
      </c>
    </row>
    <row r="221" spans="2:127" x14ac:dyDescent="0.45">
      <c r="B221" s="1">
        <v>24</v>
      </c>
      <c r="C221" s="1">
        <v>3180</v>
      </c>
      <c r="D221" s="7">
        <f t="shared" si="243"/>
        <v>18.637362637362639</v>
      </c>
      <c r="E221" s="1">
        <v>18.547000000000001</v>
      </c>
      <c r="F221" s="1">
        <v>18.622</v>
      </c>
      <c r="G221" s="1">
        <v>18.649999999999999</v>
      </c>
      <c r="H221" s="1">
        <v>18.539000000000001</v>
      </c>
      <c r="I221" s="1">
        <v>18.603000000000002</v>
      </c>
      <c r="J221" s="1">
        <v>18.594999999999999</v>
      </c>
      <c r="K221" s="1">
        <v>18.734000000000002</v>
      </c>
      <c r="L221" s="1">
        <v>18.524999999999999</v>
      </c>
      <c r="M221" s="1">
        <v>18.675000000000001</v>
      </c>
      <c r="N221" s="1">
        <v>18.684000000000001</v>
      </c>
      <c r="O221" s="1">
        <v>18.611999999999998</v>
      </c>
      <c r="P221" s="1">
        <v>18.577999999999999</v>
      </c>
      <c r="Q221" s="1">
        <v>18.645</v>
      </c>
      <c r="R221" s="1">
        <v>18.611999999999998</v>
      </c>
      <c r="S221" s="1">
        <v>18.608000000000001</v>
      </c>
      <c r="T221" s="1">
        <v>18.672000000000001</v>
      </c>
      <c r="U221" s="1">
        <v>18.63</v>
      </c>
      <c r="V221" s="1">
        <v>18.599</v>
      </c>
      <c r="W221" s="1">
        <v>18.619</v>
      </c>
      <c r="X221" s="1">
        <v>18.532</v>
      </c>
      <c r="Y221" s="1">
        <v>18.614000000000001</v>
      </c>
      <c r="Z221" s="1">
        <v>18.562999999999999</v>
      </c>
      <c r="AA221" s="1">
        <v>18.646000000000001</v>
      </c>
      <c r="AB221" s="1">
        <v>18.562999999999999</v>
      </c>
      <c r="AC221" s="1">
        <v>18.603000000000002</v>
      </c>
      <c r="AD221" s="1">
        <v>18.649000000000001</v>
      </c>
      <c r="AE221" s="1">
        <v>18.593</v>
      </c>
      <c r="AF221" s="1">
        <v>18.655999999999999</v>
      </c>
      <c r="AG221" s="1">
        <v>18.626999999999999</v>
      </c>
      <c r="AH221" s="1">
        <v>18.638999999999999</v>
      </c>
      <c r="AI221" s="1">
        <v>18.672999999999998</v>
      </c>
      <c r="AJ221" s="1">
        <v>18.457999999999998</v>
      </c>
      <c r="AK221" s="1">
        <v>18.536000000000001</v>
      </c>
      <c r="AL221" s="1">
        <v>18.576000000000001</v>
      </c>
      <c r="AM221" s="1">
        <v>18.638000000000002</v>
      </c>
      <c r="AN221" s="1">
        <v>18.672000000000001</v>
      </c>
      <c r="AO221" s="1">
        <v>18.649000000000001</v>
      </c>
      <c r="AP221" s="1">
        <v>18.631</v>
      </c>
      <c r="AQ221" s="1">
        <v>18.544</v>
      </c>
      <c r="AR221" s="1">
        <v>18.646000000000001</v>
      </c>
      <c r="AS221" s="1">
        <v>18.558</v>
      </c>
      <c r="AT221" s="1">
        <v>18.632999999999999</v>
      </c>
      <c r="AU221" s="1">
        <v>18.672999999999998</v>
      </c>
      <c r="AV221" s="1">
        <v>18.489999999999998</v>
      </c>
      <c r="AW221" s="1">
        <v>18.638999999999999</v>
      </c>
      <c r="AX221" s="1">
        <v>18.588000000000001</v>
      </c>
      <c r="AY221" s="1">
        <v>18.652999999999999</v>
      </c>
      <c r="AZ221" s="1">
        <v>18.616</v>
      </c>
      <c r="BA221" s="1">
        <v>18.565000000000001</v>
      </c>
      <c r="BB221" s="1">
        <v>18.507999999999999</v>
      </c>
      <c r="BC221" s="1">
        <v>18.632999999999999</v>
      </c>
      <c r="BD221" s="1">
        <v>18.574000000000002</v>
      </c>
      <c r="BE221" s="1">
        <v>18.655999999999999</v>
      </c>
      <c r="BF221" s="1">
        <v>18.567</v>
      </c>
      <c r="BG221" s="1">
        <v>18.611000000000001</v>
      </c>
      <c r="BH221" s="1">
        <v>18.459</v>
      </c>
      <c r="BI221" s="1">
        <v>18.574000000000002</v>
      </c>
      <c r="BJ221" s="1">
        <v>18.62</v>
      </c>
      <c r="BK221" s="1">
        <v>18.547999999999998</v>
      </c>
      <c r="BL221" s="1">
        <v>18.539000000000001</v>
      </c>
      <c r="BN221" s="9">
        <v>24</v>
      </c>
      <c r="BO221" s="9">
        <v>3180</v>
      </c>
      <c r="BP221" s="10">
        <f t="shared" si="183"/>
        <v>-4.8484669811321122E-3</v>
      </c>
      <c r="BQ221" s="10">
        <f t="shared" si="184"/>
        <v>-8.2429245283026386E-4</v>
      </c>
      <c r="BR221" s="10">
        <f t="shared" si="185"/>
        <v>6.7806603773570362E-4</v>
      </c>
      <c r="BS221" s="10">
        <f t="shared" si="186"/>
        <v>-5.2777122641509333E-3</v>
      </c>
      <c r="BT221" s="10">
        <f t="shared" si="187"/>
        <v>-1.8437499999999867E-3</v>
      </c>
      <c r="BU221" s="10">
        <f t="shared" si="188"/>
        <v>-2.2729952830189979E-3</v>
      </c>
      <c r="BV221" s="10">
        <f t="shared" si="189"/>
        <v>5.1851415094339871E-3</v>
      </c>
      <c r="BW221" s="10">
        <f t="shared" si="190"/>
        <v>-6.0288915094341075E-3</v>
      </c>
      <c r="BX221" s="10">
        <f t="shared" si="191"/>
        <v>2.0194575471697801E-3</v>
      </c>
      <c r="BY221" s="10">
        <f t="shared" si="192"/>
        <v>2.502358490566025E-3</v>
      </c>
      <c r="BZ221" s="10">
        <f t="shared" si="193"/>
        <v>-1.3608490566039326E-3</v>
      </c>
      <c r="CA221" s="10">
        <f t="shared" si="194"/>
        <v>-3.1851415094340634E-3</v>
      </c>
      <c r="CB221" s="10">
        <f t="shared" si="195"/>
        <v>4.0978773584896455E-4</v>
      </c>
      <c r="CC221" s="10">
        <f t="shared" si="196"/>
        <v>-1.3608490566039326E-3</v>
      </c>
      <c r="CD221" s="10">
        <f t="shared" si="197"/>
        <v>-1.5754716981132475E-3</v>
      </c>
      <c r="CE221" s="10">
        <f t="shared" si="198"/>
        <v>1.8584905660376987E-3</v>
      </c>
      <c r="CF221" s="10">
        <f t="shared" si="199"/>
        <v>-3.9504716981144321E-4</v>
      </c>
      <c r="CG221" s="10">
        <f t="shared" si="200"/>
        <v>-2.0583726415094924E-3</v>
      </c>
      <c r="CH221" s="10">
        <f t="shared" si="201"/>
        <v>-9.8525943396234549E-4</v>
      </c>
      <c r="CI221" s="10">
        <f t="shared" si="202"/>
        <v>-5.65330188679252E-3</v>
      </c>
      <c r="CJ221" s="10">
        <f t="shared" si="203"/>
        <v>-1.2535377358490845E-3</v>
      </c>
      <c r="CK221" s="10">
        <f t="shared" si="204"/>
        <v>-3.9899764150944711E-3</v>
      </c>
      <c r="CL221" s="10">
        <f t="shared" si="205"/>
        <v>4.6344339622638863E-4</v>
      </c>
      <c r="CM221" s="10">
        <f t="shared" si="206"/>
        <v>-3.9899764150944711E-3</v>
      </c>
      <c r="CN221" s="10">
        <f t="shared" si="207"/>
        <v>-1.8437499999999867E-3</v>
      </c>
      <c r="CO221" s="10">
        <f t="shared" si="208"/>
        <v>6.2441037735847015E-4</v>
      </c>
      <c r="CP221" s="10">
        <f t="shared" si="209"/>
        <v>-2.3803066037736552E-3</v>
      </c>
      <c r="CQ221" s="10">
        <f t="shared" si="210"/>
        <v>9.9999999999986666E-4</v>
      </c>
      <c r="CR221" s="10">
        <f t="shared" si="211"/>
        <v>-5.5601415094352479E-4</v>
      </c>
      <c r="CS221" s="10">
        <f t="shared" si="212"/>
        <v>8.7853773584801456E-5</v>
      </c>
      <c r="CT221" s="10">
        <f t="shared" si="213"/>
        <v>1.9121462264149321E-3</v>
      </c>
      <c r="CU221" s="10">
        <f t="shared" si="214"/>
        <v>-9.6238207547171342E-3</v>
      </c>
      <c r="CV221" s="10">
        <f t="shared" si="215"/>
        <v>-5.4386792452830145E-3</v>
      </c>
      <c r="CW221" s="10">
        <f t="shared" si="216"/>
        <v>-3.2924528301887207E-3</v>
      </c>
      <c r="CX221" s="10">
        <f t="shared" si="217"/>
        <v>3.4198113207568015E-5</v>
      </c>
      <c r="CY221" s="10">
        <f t="shared" si="218"/>
        <v>1.8584905660376987E-3</v>
      </c>
      <c r="CZ221" s="10">
        <f t="shared" si="219"/>
        <v>6.2441037735847015E-4</v>
      </c>
      <c r="DA221" s="10">
        <f t="shared" si="220"/>
        <v>-3.4139150943401919E-4</v>
      </c>
      <c r="DB221" s="10">
        <f t="shared" si="221"/>
        <v>-5.0094339622641934E-3</v>
      </c>
      <c r="DC221" s="10">
        <f t="shared" si="222"/>
        <v>4.6344339622638863E-4</v>
      </c>
      <c r="DD221" s="10">
        <f t="shared" si="223"/>
        <v>-4.25825471698121E-3</v>
      </c>
      <c r="DE221" s="10">
        <f t="shared" si="224"/>
        <v>-2.3408018867936167E-4</v>
      </c>
      <c r="DF221" s="10">
        <f t="shared" si="225"/>
        <v>1.9121462264149321E-3</v>
      </c>
      <c r="DG221" s="10">
        <f t="shared" si="226"/>
        <v>-7.906839622641661E-3</v>
      </c>
      <c r="DH221" s="10">
        <f t="shared" si="227"/>
        <v>8.7853773584801456E-5</v>
      </c>
      <c r="DI221" s="10">
        <f t="shared" si="228"/>
        <v>-2.6485849056603946E-3</v>
      </c>
      <c r="DJ221" s="10">
        <f t="shared" si="229"/>
        <v>8.3903301886778514E-4</v>
      </c>
      <c r="DK221" s="10">
        <f t="shared" si="230"/>
        <v>-1.1462264150944269E-3</v>
      </c>
      <c r="DL221" s="10">
        <f t="shared" si="231"/>
        <v>-3.8826650943396229E-3</v>
      </c>
      <c r="DM221" s="10">
        <f t="shared" si="232"/>
        <v>-6.9410377358491721E-3</v>
      </c>
      <c r="DN221" s="10">
        <f t="shared" si="233"/>
        <v>-2.3408018867936167E-4</v>
      </c>
      <c r="DO221" s="10">
        <f t="shared" si="234"/>
        <v>-3.399764150943378E-3</v>
      </c>
      <c r="DP221" s="10">
        <f t="shared" si="235"/>
        <v>9.9999999999986666E-4</v>
      </c>
      <c r="DQ221" s="10">
        <f t="shared" si="236"/>
        <v>-3.7753537735849656E-3</v>
      </c>
      <c r="DR221" s="10">
        <f t="shared" si="237"/>
        <v>-1.4145047169811661E-3</v>
      </c>
      <c r="DS221" s="10">
        <f t="shared" si="238"/>
        <v>-9.5701650943397117E-3</v>
      </c>
      <c r="DT221" s="10">
        <f t="shared" si="239"/>
        <v>-3.399764150943378E-3</v>
      </c>
      <c r="DU221" s="10">
        <f t="shared" si="240"/>
        <v>-9.316037735849213E-4</v>
      </c>
      <c r="DV221" s="10">
        <f t="shared" si="241"/>
        <v>-4.7948113207548788E-3</v>
      </c>
      <c r="DW221" s="10">
        <f t="shared" si="242"/>
        <v>-5.2777122641509333E-3</v>
      </c>
    </row>
    <row r="222" spans="2:127" x14ac:dyDescent="0.45">
      <c r="B222" s="1">
        <v>24</v>
      </c>
      <c r="C222" s="1">
        <v>3195</v>
      </c>
      <c r="D222" s="7">
        <f t="shared" si="243"/>
        <v>18.725274725274726</v>
      </c>
      <c r="E222" s="1">
        <v>18.635000000000002</v>
      </c>
      <c r="F222" s="1">
        <v>18.710999999999999</v>
      </c>
      <c r="G222" s="1">
        <v>18.738</v>
      </c>
      <c r="H222" s="1">
        <v>18.623999999999999</v>
      </c>
      <c r="I222" s="1">
        <v>18.690999999999999</v>
      </c>
      <c r="J222" s="1">
        <v>18.68</v>
      </c>
      <c r="K222" s="1">
        <v>18.821000000000002</v>
      </c>
      <c r="L222" s="1">
        <v>18.611000000000001</v>
      </c>
      <c r="M222" s="1">
        <v>18.760999999999999</v>
      </c>
      <c r="N222" s="1">
        <v>18.774000000000001</v>
      </c>
      <c r="O222" s="1">
        <v>18.698</v>
      </c>
      <c r="P222" s="1">
        <v>18.664999999999999</v>
      </c>
      <c r="Q222" s="1">
        <v>18.733000000000001</v>
      </c>
      <c r="R222" s="1">
        <v>18.7</v>
      </c>
      <c r="S222" s="1">
        <v>18.693999999999999</v>
      </c>
      <c r="T222" s="1">
        <v>18.760000000000002</v>
      </c>
      <c r="U222" s="1">
        <v>18.716999999999999</v>
      </c>
      <c r="V222" s="1">
        <v>18.684999999999999</v>
      </c>
      <c r="W222" s="1">
        <v>18.706</v>
      </c>
      <c r="X222" s="1">
        <v>18.614000000000001</v>
      </c>
      <c r="Y222" s="1">
        <v>18.702000000000002</v>
      </c>
      <c r="Z222" s="1">
        <v>18.649999999999999</v>
      </c>
      <c r="AA222" s="1">
        <v>18.734000000000002</v>
      </c>
      <c r="AB222" s="1">
        <v>18.649999999999999</v>
      </c>
      <c r="AC222" s="1">
        <v>18.690000000000001</v>
      </c>
      <c r="AD222" s="1">
        <v>18.736999999999998</v>
      </c>
      <c r="AE222" s="1">
        <v>18.681000000000001</v>
      </c>
      <c r="AF222" s="1">
        <v>18.742000000000001</v>
      </c>
      <c r="AG222" s="1">
        <v>18.713999999999999</v>
      </c>
      <c r="AH222" s="1">
        <v>18.728999999999999</v>
      </c>
      <c r="AI222" s="1">
        <v>18.763000000000002</v>
      </c>
      <c r="AJ222" s="1">
        <v>18.542999999999999</v>
      </c>
      <c r="AK222" s="1">
        <v>18.622</v>
      </c>
      <c r="AL222" s="1">
        <v>18.661000000000001</v>
      </c>
      <c r="AM222" s="1">
        <v>18.725999999999999</v>
      </c>
      <c r="AN222" s="1">
        <v>18.759</v>
      </c>
      <c r="AO222" s="1">
        <v>18.738</v>
      </c>
      <c r="AP222" s="1">
        <v>18.719000000000001</v>
      </c>
      <c r="AQ222" s="1">
        <v>18.632999999999999</v>
      </c>
      <c r="AR222" s="1">
        <v>18.734000000000002</v>
      </c>
      <c r="AS222" s="1">
        <v>18.645</v>
      </c>
      <c r="AT222" s="1">
        <v>18.722000000000001</v>
      </c>
      <c r="AU222" s="1">
        <v>18.763000000000002</v>
      </c>
      <c r="AV222" s="1">
        <v>18.576000000000001</v>
      </c>
      <c r="AW222" s="1">
        <v>18.728000000000002</v>
      </c>
      <c r="AX222" s="1">
        <v>18.675000000000001</v>
      </c>
      <c r="AY222" s="1">
        <v>18.741</v>
      </c>
      <c r="AZ222" s="1">
        <v>18.704000000000001</v>
      </c>
      <c r="BA222" s="1">
        <v>18.652000000000001</v>
      </c>
      <c r="BB222" s="1">
        <v>18.593</v>
      </c>
      <c r="BC222" s="1">
        <v>18.722000000000001</v>
      </c>
      <c r="BD222" s="1">
        <v>18.661000000000001</v>
      </c>
      <c r="BE222" s="1">
        <v>18.742000000000001</v>
      </c>
      <c r="BF222" s="1">
        <v>18.654</v>
      </c>
      <c r="BG222" s="1">
        <v>18.702000000000002</v>
      </c>
      <c r="BH222" s="1">
        <v>18.547999999999998</v>
      </c>
      <c r="BI222" s="1">
        <v>18.661000000000001</v>
      </c>
      <c r="BJ222" s="1">
        <v>18.709</v>
      </c>
      <c r="BK222" s="1">
        <v>18.638999999999999</v>
      </c>
      <c r="BL222" s="1">
        <v>18.623999999999999</v>
      </c>
      <c r="BN222" s="9">
        <v>24</v>
      </c>
      <c r="BO222" s="9">
        <v>3195</v>
      </c>
      <c r="BP222" s="10">
        <f t="shared" si="183"/>
        <v>-4.8210093896713302E-3</v>
      </c>
      <c r="BQ222" s="10">
        <f t="shared" si="184"/>
        <v>-7.6232394366210286E-4</v>
      </c>
      <c r="BR222" s="10">
        <f t="shared" si="185"/>
        <v>6.7957746478865592E-4</v>
      </c>
      <c r="BS222" s="10">
        <f t="shared" si="186"/>
        <v>-5.4084507042254691E-3</v>
      </c>
      <c r="BT222" s="10">
        <f t="shared" si="187"/>
        <v>-1.830399061032972E-3</v>
      </c>
      <c r="BU222" s="10">
        <f t="shared" si="188"/>
        <v>-2.4178403755869215E-3</v>
      </c>
      <c r="BV222" s="10">
        <f t="shared" si="189"/>
        <v>5.1120892018779625E-3</v>
      </c>
      <c r="BW222" s="10">
        <f t="shared" si="190"/>
        <v>-6.102699530516449E-3</v>
      </c>
      <c r="BX222" s="10">
        <f t="shared" si="191"/>
        <v>1.907863849765165E-3</v>
      </c>
      <c r="BY222" s="10">
        <f t="shared" si="192"/>
        <v>2.6021126760563344E-3</v>
      </c>
      <c r="BZ222" s="10">
        <f t="shared" si="193"/>
        <v>-1.4565727699530824E-3</v>
      </c>
      <c r="CA222" s="10">
        <f t="shared" si="194"/>
        <v>-3.2188967136151212E-3</v>
      </c>
      <c r="CB222" s="10">
        <f t="shared" si="195"/>
        <v>4.1255868544598609E-4</v>
      </c>
      <c r="CC222" s="10">
        <f t="shared" si="196"/>
        <v>-1.3497652582160524E-3</v>
      </c>
      <c r="CD222" s="10">
        <f t="shared" si="197"/>
        <v>-1.6701877934273321E-3</v>
      </c>
      <c r="CE222" s="10">
        <f t="shared" si="198"/>
        <v>1.8544600938967448E-3</v>
      </c>
      <c r="CF222" s="10">
        <f t="shared" si="199"/>
        <v>-4.419014084508231E-4</v>
      </c>
      <c r="CG222" s="10">
        <f t="shared" si="200"/>
        <v>-2.1508215962442517E-3</v>
      </c>
      <c r="CH222" s="10">
        <f t="shared" si="201"/>
        <v>-1.0293427230047727E-3</v>
      </c>
      <c r="CI222" s="10">
        <f t="shared" si="202"/>
        <v>-5.9424882629108087E-3</v>
      </c>
      <c r="CJ222" s="10">
        <f t="shared" si="203"/>
        <v>-1.2429577464788328E-3</v>
      </c>
      <c r="CK222" s="10">
        <f t="shared" si="204"/>
        <v>-4.0199530516433204E-3</v>
      </c>
      <c r="CL222" s="10">
        <f t="shared" si="205"/>
        <v>4.6596244131459597E-4</v>
      </c>
      <c r="CM222" s="10">
        <f t="shared" si="206"/>
        <v>-4.0199530516433204E-3</v>
      </c>
      <c r="CN222" s="10">
        <f t="shared" si="207"/>
        <v>-1.8838028169013922E-3</v>
      </c>
      <c r="CO222" s="10">
        <f t="shared" si="208"/>
        <v>6.2617370892004609E-4</v>
      </c>
      <c r="CP222" s="10">
        <f t="shared" si="209"/>
        <v>-2.364436619718312E-3</v>
      </c>
      <c r="CQ222" s="10">
        <f t="shared" si="210"/>
        <v>8.931924882629057E-4</v>
      </c>
      <c r="CR222" s="10">
        <f t="shared" si="211"/>
        <v>-6.0211267605646301E-4</v>
      </c>
      <c r="CS222" s="10">
        <f t="shared" si="212"/>
        <v>1.9894366197173636E-4</v>
      </c>
      <c r="CT222" s="10">
        <f t="shared" si="213"/>
        <v>2.0146713615023849E-3</v>
      </c>
      <c r="CU222" s="10">
        <f t="shared" si="214"/>
        <v>-9.7341549295775556E-3</v>
      </c>
      <c r="CV222" s="10">
        <f t="shared" si="215"/>
        <v>-5.5152582159624991E-3</v>
      </c>
      <c r="CW222" s="10">
        <f t="shared" si="216"/>
        <v>-3.432511737089181E-3</v>
      </c>
      <c r="CX222" s="10">
        <f t="shared" si="217"/>
        <v>3.8732394366096489E-5</v>
      </c>
      <c r="CY222" s="10">
        <f t="shared" si="218"/>
        <v>1.8010563380281351E-3</v>
      </c>
      <c r="CZ222" s="10">
        <f t="shared" si="219"/>
        <v>6.7957746478865592E-4</v>
      </c>
      <c r="DA222" s="10">
        <f t="shared" si="220"/>
        <v>-3.3509389671360339E-4</v>
      </c>
      <c r="DB222" s="10">
        <f t="shared" si="221"/>
        <v>-4.92781690140855E-3</v>
      </c>
      <c r="DC222" s="10">
        <f t="shared" si="222"/>
        <v>4.6596244131459597E-4</v>
      </c>
      <c r="DD222" s="10">
        <f t="shared" si="223"/>
        <v>-4.2869718309859898E-3</v>
      </c>
      <c r="DE222" s="10">
        <f t="shared" si="224"/>
        <v>-1.7488262910796352E-4</v>
      </c>
      <c r="DF222" s="10">
        <f t="shared" si="225"/>
        <v>2.0146713615023849E-3</v>
      </c>
      <c r="DG222" s="10">
        <f t="shared" si="226"/>
        <v>-7.9718309859155168E-3</v>
      </c>
      <c r="DH222" s="10">
        <f t="shared" si="227"/>
        <v>1.4553990610331622E-4</v>
      </c>
      <c r="DI222" s="10">
        <f t="shared" si="228"/>
        <v>-2.6848591549295917E-3</v>
      </c>
      <c r="DJ222" s="10">
        <f t="shared" si="229"/>
        <v>8.3978873239429577E-4</v>
      </c>
      <c r="DK222" s="10">
        <f t="shared" si="230"/>
        <v>-1.1361502347418027E-3</v>
      </c>
      <c r="DL222" s="10">
        <f t="shared" si="231"/>
        <v>-3.9131455399061005E-3</v>
      </c>
      <c r="DM222" s="10">
        <f t="shared" si="232"/>
        <v>-7.0639671361502881E-3</v>
      </c>
      <c r="DN222" s="10">
        <f t="shared" si="233"/>
        <v>-1.7488262910796352E-4</v>
      </c>
      <c r="DO222" s="10">
        <f t="shared" si="234"/>
        <v>-3.432511737089181E-3</v>
      </c>
      <c r="DP222" s="10">
        <f t="shared" si="235"/>
        <v>8.931924882629057E-4</v>
      </c>
      <c r="DQ222" s="10">
        <f t="shared" si="236"/>
        <v>-3.8063380281690706E-3</v>
      </c>
      <c r="DR222" s="10">
        <f t="shared" si="237"/>
        <v>-1.2429577464788328E-3</v>
      </c>
      <c r="DS222" s="10">
        <f t="shared" si="238"/>
        <v>-9.4671361502348863E-3</v>
      </c>
      <c r="DT222" s="10">
        <f t="shared" si="239"/>
        <v>-3.432511737089181E-3</v>
      </c>
      <c r="DU222" s="10">
        <f t="shared" si="240"/>
        <v>-8.6913145539913288E-4</v>
      </c>
      <c r="DV222" s="10">
        <f t="shared" si="241"/>
        <v>-4.6073943661972703E-3</v>
      </c>
      <c r="DW222" s="10">
        <f t="shared" si="242"/>
        <v>-5.4084507042254691E-3</v>
      </c>
    </row>
    <row r="223" spans="2:127" x14ac:dyDescent="0.45">
      <c r="B223" s="1">
        <v>24</v>
      </c>
      <c r="C223" s="1">
        <v>3210</v>
      </c>
      <c r="D223" s="7">
        <f t="shared" si="243"/>
        <v>18.813186813186814</v>
      </c>
      <c r="E223" s="1">
        <v>18.722999999999999</v>
      </c>
      <c r="F223" s="1">
        <v>18.797999999999998</v>
      </c>
      <c r="G223" s="1">
        <v>18.824999999999999</v>
      </c>
      <c r="H223" s="1">
        <v>18.710999999999999</v>
      </c>
      <c r="I223" s="1">
        <v>18.777999999999999</v>
      </c>
      <c r="J223" s="1">
        <v>18.77</v>
      </c>
      <c r="K223" s="1">
        <v>18.908999999999999</v>
      </c>
      <c r="L223" s="1">
        <v>18.693999999999999</v>
      </c>
      <c r="M223" s="1">
        <v>18.850000000000001</v>
      </c>
      <c r="N223" s="1">
        <v>18.86</v>
      </c>
      <c r="O223" s="1">
        <v>18.786000000000001</v>
      </c>
      <c r="P223" s="1">
        <v>18.751000000000001</v>
      </c>
      <c r="Q223" s="1">
        <v>18.818000000000001</v>
      </c>
      <c r="R223" s="1">
        <v>18.786999999999999</v>
      </c>
      <c r="S223" s="1">
        <v>18.782</v>
      </c>
      <c r="T223" s="1">
        <v>18.847999999999999</v>
      </c>
      <c r="U223" s="1">
        <v>18.805</v>
      </c>
      <c r="V223" s="1">
        <v>18.771999999999998</v>
      </c>
      <c r="W223" s="1">
        <v>18.794</v>
      </c>
      <c r="X223" s="1">
        <v>18.699000000000002</v>
      </c>
      <c r="Y223" s="1">
        <v>18.79</v>
      </c>
      <c r="Z223" s="1">
        <v>18.738</v>
      </c>
      <c r="AA223" s="1">
        <v>18.818000000000001</v>
      </c>
      <c r="AB223" s="1">
        <v>18.734000000000002</v>
      </c>
      <c r="AC223" s="1">
        <v>18.782</v>
      </c>
      <c r="AD223" s="1">
        <v>18.824000000000002</v>
      </c>
      <c r="AE223" s="1">
        <v>18.768000000000001</v>
      </c>
      <c r="AF223" s="1">
        <v>18.831</v>
      </c>
      <c r="AG223" s="1">
        <v>18.800999999999998</v>
      </c>
      <c r="AH223" s="1">
        <v>18.817</v>
      </c>
      <c r="AI223" s="1">
        <v>18.847999999999999</v>
      </c>
      <c r="AJ223" s="1">
        <v>18.626999999999999</v>
      </c>
      <c r="AK223" s="1">
        <v>18.709</v>
      </c>
      <c r="AL223" s="1">
        <v>18.748999999999999</v>
      </c>
      <c r="AM223" s="1">
        <v>18.814</v>
      </c>
      <c r="AN223" s="1">
        <v>18.846</v>
      </c>
      <c r="AO223" s="1">
        <v>18.827000000000002</v>
      </c>
      <c r="AP223" s="1">
        <v>18.809000000000001</v>
      </c>
      <c r="AQ223" s="1">
        <v>18.719000000000001</v>
      </c>
      <c r="AR223" s="1">
        <v>18.821999999999999</v>
      </c>
      <c r="AS223" s="1">
        <v>18.731999999999999</v>
      </c>
      <c r="AT223" s="1">
        <v>18.809000000000001</v>
      </c>
      <c r="AU223" s="1">
        <v>18.850000000000001</v>
      </c>
      <c r="AV223" s="1">
        <v>18.661999999999999</v>
      </c>
      <c r="AW223" s="1">
        <v>18.815999999999999</v>
      </c>
      <c r="AX223" s="1">
        <v>18.763000000000002</v>
      </c>
      <c r="AY223" s="1">
        <v>18.827000000000002</v>
      </c>
      <c r="AZ223" s="1">
        <v>18.791</v>
      </c>
      <c r="BA223" s="1">
        <v>18.739999999999998</v>
      </c>
      <c r="BB223" s="1">
        <v>18.681000000000001</v>
      </c>
      <c r="BC223" s="1">
        <v>18.809000000000001</v>
      </c>
      <c r="BD223" s="1">
        <v>18.748999999999999</v>
      </c>
      <c r="BE223" s="1">
        <v>18.832000000000001</v>
      </c>
      <c r="BF223" s="1">
        <v>18.742000000000001</v>
      </c>
      <c r="BG223" s="1">
        <v>18.789000000000001</v>
      </c>
      <c r="BH223" s="1">
        <v>18.632999999999999</v>
      </c>
      <c r="BI223" s="1">
        <v>18.751000000000001</v>
      </c>
      <c r="BJ223" s="1">
        <v>18.797000000000001</v>
      </c>
      <c r="BK223" s="1">
        <v>18.722999999999999</v>
      </c>
      <c r="BL223" s="1">
        <v>18.713000000000001</v>
      </c>
      <c r="BN223" s="9">
        <v>24</v>
      </c>
      <c r="BO223" s="9">
        <v>3210</v>
      </c>
      <c r="BP223" s="10">
        <f t="shared" si="183"/>
        <v>-4.793808411215043E-3</v>
      </c>
      <c r="BQ223" s="10">
        <f t="shared" si="184"/>
        <v>-8.0724299065433299E-4</v>
      </c>
      <c r="BR223" s="10">
        <f t="shared" si="185"/>
        <v>6.2792056074759052E-4</v>
      </c>
      <c r="BS223" s="10">
        <f t="shared" si="186"/>
        <v>-5.4316588785047869E-3</v>
      </c>
      <c r="BT223" s="10">
        <f t="shared" si="187"/>
        <v>-1.8703271028038431E-3</v>
      </c>
      <c r="BU223" s="10">
        <f t="shared" si="188"/>
        <v>-2.2955607476636093E-3</v>
      </c>
      <c r="BV223" s="10">
        <f t="shared" si="189"/>
        <v>5.092873831775608E-3</v>
      </c>
      <c r="BW223" s="10">
        <f t="shared" si="190"/>
        <v>-6.3352803738318609E-3</v>
      </c>
      <c r="BX223" s="10">
        <f t="shared" si="191"/>
        <v>1.9567757009346198E-3</v>
      </c>
      <c r="BY223" s="10">
        <f t="shared" si="192"/>
        <v>2.4883177570092802E-3</v>
      </c>
      <c r="BZ223" s="10">
        <f t="shared" si="193"/>
        <v>-1.445093457943888E-3</v>
      </c>
      <c r="CA223" s="10">
        <f t="shared" si="194"/>
        <v>-3.3054906542055776E-3</v>
      </c>
      <c r="CB223" s="10">
        <f t="shared" si="195"/>
        <v>2.5584112149536583E-4</v>
      </c>
      <c r="CC223" s="10">
        <f t="shared" si="196"/>
        <v>-1.3919392523365352E-3</v>
      </c>
      <c r="CD223" s="10">
        <f t="shared" si="197"/>
        <v>-1.6577102803738656E-3</v>
      </c>
      <c r="CE223" s="10">
        <f t="shared" si="198"/>
        <v>1.8504672897195365E-3</v>
      </c>
      <c r="CF223" s="10">
        <f t="shared" si="199"/>
        <v>-4.3516355140191953E-4</v>
      </c>
      <c r="CG223" s="10">
        <f t="shared" si="200"/>
        <v>-2.1892523364487148E-3</v>
      </c>
      <c r="CH223" s="10">
        <f t="shared" si="201"/>
        <v>-1.0198598130841216E-3</v>
      </c>
      <c r="CI223" s="10">
        <f t="shared" si="202"/>
        <v>-6.0695093457943418E-3</v>
      </c>
      <c r="CJ223" s="10">
        <f t="shared" si="203"/>
        <v>-1.2324766355140992E-3</v>
      </c>
      <c r="CK223" s="10">
        <f t="shared" si="204"/>
        <v>-3.9964953271028631E-3</v>
      </c>
      <c r="CL223" s="10">
        <f t="shared" si="205"/>
        <v>2.5584112149536583E-4</v>
      </c>
      <c r="CM223" s="10">
        <f t="shared" si="206"/>
        <v>-4.209112149532652E-3</v>
      </c>
      <c r="CN223" s="10">
        <f t="shared" si="207"/>
        <v>-1.6577102803738656E-3</v>
      </c>
      <c r="CO223" s="10">
        <f t="shared" si="208"/>
        <v>5.7476635514023774E-4</v>
      </c>
      <c r="CP223" s="10">
        <f t="shared" si="209"/>
        <v>-2.4018691588785037E-3</v>
      </c>
      <c r="CQ223" s="10">
        <f t="shared" si="210"/>
        <v>9.4684579439246238E-4</v>
      </c>
      <c r="CR223" s="10">
        <f t="shared" si="211"/>
        <v>-6.4778037383189711E-4</v>
      </c>
      <c r="CS223" s="10">
        <f t="shared" si="212"/>
        <v>2.0268691588782426E-4</v>
      </c>
      <c r="CT223" s="10">
        <f t="shared" si="213"/>
        <v>1.8504672897195365E-3</v>
      </c>
      <c r="CU223" s="10">
        <f t="shared" si="214"/>
        <v>-9.8966121495328036E-3</v>
      </c>
      <c r="CV223" s="10">
        <f t="shared" si="215"/>
        <v>-5.5379672897196809E-3</v>
      </c>
      <c r="CW223" s="10">
        <f t="shared" si="216"/>
        <v>-3.4117990654206607E-3</v>
      </c>
      <c r="CX223" s="10">
        <f t="shared" si="217"/>
        <v>4.3224299065388304E-5</v>
      </c>
      <c r="CY223" s="10">
        <f t="shared" si="218"/>
        <v>1.7441588785046421E-3</v>
      </c>
      <c r="CZ223" s="10">
        <f t="shared" si="219"/>
        <v>7.3422897196267372E-4</v>
      </c>
      <c r="DA223" s="10">
        <f t="shared" si="220"/>
        <v>-2.2254672897194198E-4</v>
      </c>
      <c r="DB223" s="10">
        <f t="shared" si="221"/>
        <v>-5.0064252336448319E-3</v>
      </c>
      <c r="DC223" s="10">
        <f t="shared" si="222"/>
        <v>4.6845794392515454E-4</v>
      </c>
      <c r="DD223" s="10">
        <f t="shared" si="223"/>
        <v>-4.3154205607477351E-3</v>
      </c>
      <c r="DE223" s="10">
        <f t="shared" si="224"/>
        <v>-2.2254672897194198E-4</v>
      </c>
      <c r="DF223" s="10">
        <f t="shared" si="225"/>
        <v>1.9567757009346198E-3</v>
      </c>
      <c r="DG223" s="10">
        <f t="shared" si="226"/>
        <v>-8.0362149532711147E-3</v>
      </c>
      <c r="DH223" s="10">
        <f t="shared" si="227"/>
        <v>1.4953271028028266E-4</v>
      </c>
      <c r="DI223" s="10">
        <f t="shared" si="228"/>
        <v>-2.6676401869158337E-3</v>
      </c>
      <c r="DJ223" s="10">
        <f t="shared" si="229"/>
        <v>7.3422897196267372E-4</v>
      </c>
      <c r="DK223" s="10">
        <f t="shared" si="230"/>
        <v>-1.1793224299065576E-3</v>
      </c>
      <c r="DL223" s="10">
        <f t="shared" si="231"/>
        <v>-3.8901869158879687E-3</v>
      </c>
      <c r="DM223" s="10">
        <f t="shared" si="232"/>
        <v>-7.0262850467289568E-3</v>
      </c>
      <c r="DN223" s="10">
        <f t="shared" si="233"/>
        <v>-2.2254672897194198E-4</v>
      </c>
      <c r="DO223" s="10">
        <f t="shared" si="234"/>
        <v>-3.4117990654206607E-3</v>
      </c>
      <c r="DP223" s="10">
        <f t="shared" si="235"/>
        <v>1.0000000000000039E-3</v>
      </c>
      <c r="DQ223" s="10">
        <f t="shared" si="236"/>
        <v>-3.7838785046728856E-3</v>
      </c>
      <c r="DR223" s="10">
        <f t="shared" si="237"/>
        <v>-1.2856308411214521E-3</v>
      </c>
      <c r="DS223" s="10">
        <f t="shared" si="238"/>
        <v>-9.5776869158879317E-3</v>
      </c>
      <c r="DT223" s="10">
        <f t="shared" si="239"/>
        <v>-3.3054906542055776E-3</v>
      </c>
      <c r="DU223" s="10">
        <f t="shared" si="240"/>
        <v>-8.6039719626168577E-4</v>
      </c>
      <c r="DV223" s="10">
        <f t="shared" si="241"/>
        <v>-4.793808411215043E-3</v>
      </c>
      <c r="DW223" s="10">
        <f t="shared" si="242"/>
        <v>-5.325350467289703E-3</v>
      </c>
    </row>
    <row r="224" spans="2:127" x14ac:dyDescent="0.45">
      <c r="B224" s="1">
        <v>24</v>
      </c>
      <c r="C224" s="1">
        <v>3225</v>
      </c>
      <c r="D224" s="7">
        <f t="shared" si="243"/>
        <v>18.901098901098901</v>
      </c>
      <c r="E224" s="1">
        <v>18.812000000000001</v>
      </c>
      <c r="F224" s="1">
        <v>18.885999999999999</v>
      </c>
      <c r="G224" s="1">
        <v>18.911000000000001</v>
      </c>
      <c r="H224" s="1">
        <v>18.797000000000001</v>
      </c>
      <c r="I224" s="1">
        <v>18.867000000000001</v>
      </c>
      <c r="J224" s="1">
        <v>18.859000000000002</v>
      </c>
      <c r="K224" s="1">
        <v>18.998999999999999</v>
      </c>
      <c r="L224" s="1">
        <v>18.777999999999999</v>
      </c>
      <c r="M224" s="1">
        <v>18.939</v>
      </c>
      <c r="N224" s="1">
        <v>18.949000000000002</v>
      </c>
      <c r="O224" s="1">
        <v>18.875</v>
      </c>
      <c r="P224" s="1">
        <v>18.837</v>
      </c>
      <c r="Q224" s="1">
        <v>18.905000000000001</v>
      </c>
      <c r="R224" s="1">
        <v>18.870999999999999</v>
      </c>
      <c r="S224" s="1">
        <v>18.869</v>
      </c>
      <c r="T224" s="1">
        <v>18.934999999999999</v>
      </c>
      <c r="U224" s="1">
        <v>18.891999999999999</v>
      </c>
      <c r="V224" s="1">
        <v>18.859000000000002</v>
      </c>
      <c r="W224" s="1">
        <v>18.879000000000001</v>
      </c>
      <c r="X224" s="1">
        <v>18.792999999999999</v>
      </c>
      <c r="Y224" s="1">
        <v>18.876999999999999</v>
      </c>
      <c r="Z224" s="1">
        <v>18.827000000000002</v>
      </c>
      <c r="AA224" s="1">
        <v>18.907</v>
      </c>
      <c r="AB224" s="1">
        <v>18.821999999999999</v>
      </c>
      <c r="AC224" s="1">
        <v>18.87</v>
      </c>
      <c r="AD224" s="1">
        <v>18.913</v>
      </c>
      <c r="AE224" s="1">
        <v>18.855</v>
      </c>
      <c r="AF224" s="1">
        <v>18.920000000000002</v>
      </c>
      <c r="AG224" s="1">
        <v>18.89</v>
      </c>
      <c r="AH224" s="1">
        <v>18.907</v>
      </c>
      <c r="AI224" s="1">
        <v>18.937999999999999</v>
      </c>
      <c r="AJ224" s="1">
        <v>18.713999999999999</v>
      </c>
      <c r="AK224" s="1">
        <v>18.794</v>
      </c>
      <c r="AL224" s="1">
        <v>18.837</v>
      </c>
      <c r="AM224" s="1">
        <v>18.902000000000001</v>
      </c>
      <c r="AN224" s="1">
        <v>18.931999999999999</v>
      </c>
      <c r="AO224" s="1">
        <v>18.914999999999999</v>
      </c>
      <c r="AP224" s="1">
        <v>18.896999999999998</v>
      </c>
      <c r="AQ224" s="1">
        <v>18.806000000000001</v>
      </c>
      <c r="AR224" s="1">
        <v>18.911000000000001</v>
      </c>
      <c r="AS224" s="1">
        <v>18.82</v>
      </c>
      <c r="AT224" s="1">
        <v>18.896000000000001</v>
      </c>
      <c r="AU224" s="1">
        <v>18.937999999999999</v>
      </c>
      <c r="AV224" s="1">
        <v>18.748000000000001</v>
      </c>
      <c r="AW224" s="1">
        <v>18.902000000000001</v>
      </c>
      <c r="AX224" s="1">
        <v>18.850000000000001</v>
      </c>
      <c r="AY224" s="1">
        <v>18.914999999999999</v>
      </c>
      <c r="AZ224" s="1">
        <v>18.879000000000001</v>
      </c>
      <c r="BA224" s="1">
        <v>18.829000000000001</v>
      </c>
      <c r="BB224" s="1">
        <v>18.768000000000001</v>
      </c>
      <c r="BC224" s="1">
        <v>18.896999999999998</v>
      </c>
      <c r="BD224" s="1">
        <v>18.835000000000001</v>
      </c>
      <c r="BE224" s="1">
        <v>18.920000000000002</v>
      </c>
      <c r="BF224" s="1">
        <v>18.832000000000001</v>
      </c>
      <c r="BG224" s="1">
        <v>18.876999999999999</v>
      </c>
      <c r="BH224" s="1">
        <v>18.722999999999999</v>
      </c>
      <c r="BI224" s="1">
        <v>18.835999999999999</v>
      </c>
      <c r="BJ224" s="1">
        <v>18.882999999999999</v>
      </c>
      <c r="BK224" s="1">
        <v>18.817</v>
      </c>
      <c r="BL224" s="1">
        <v>18.802</v>
      </c>
      <c r="BN224" s="9">
        <v>24</v>
      </c>
      <c r="BO224" s="9">
        <v>3225</v>
      </c>
      <c r="BP224" s="10">
        <f t="shared" si="183"/>
        <v>-4.7139534883720502E-3</v>
      </c>
      <c r="BQ224" s="10">
        <f t="shared" si="184"/>
        <v>-7.9883720930238472E-4</v>
      </c>
      <c r="BR224" s="10">
        <f t="shared" si="185"/>
        <v>5.2383720930237912E-4</v>
      </c>
      <c r="BS224" s="10">
        <f t="shared" si="186"/>
        <v>-5.5075581395348707E-3</v>
      </c>
      <c r="BT224" s="10">
        <f t="shared" si="187"/>
        <v>-1.8040697674418325E-3</v>
      </c>
      <c r="BU224" s="10">
        <f t="shared" si="188"/>
        <v>-2.227325581395274E-3</v>
      </c>
      <c r="BV224" s="10">
        <f t="shared" si="189"/>
        <v>5.1796511627906147E-3</v>
      </c>
      <c r="BW224" s="10">
        <f t="shared" si="190"/>
        <v>-6.5127906976745059E-3</v>
      </c>
      <c r="BX224" s="10">
        <f t="shared" si="191"/>
        <v>2.0052325581395194E-3</v>
      </c>
      <c r="BY224" s="10">
        <f t="shared" si="192"/>
        <v>2.5343023255814624E-3</v>
      </c>
      <c r="BZ224" s="10">
        <f t="shared" si="193"/>
        <v>-1.3808139534883907E-3</v>
      </c>
      <c r="CA224" s="10">
        <f t="shared" si="194"/>
        <v>-3.391279069767474E-3</v>
      </c>
      <c r="CB224" s="10">
        <f t="shared" si="195"/>
        <v>2.0639534883725087E-4</v>
      </c>
      <c r="CC224" s="10">
        <f t="shared" si="196"/>
        <v>-1.5924418604652056E-3</v>
      </c>
      <c r="CD224" s="10">
        <f t="shared" si="197"/>
        <v>-1.698255813953519E-3</v>
      </c>
      <c r="CE224" s="10">
        <f t="shared" si="198"/>
        <v>1.7936046511627043E-3</v>
      </c>
      <c r="CF224" s="10">
        <f t="shared" si="199"/>
        <v>-4.8139534883725647E-4</v>
      </c>
      <c r="CG224" s="10">
        <f t="shared" si="200"/>
        <v>-2.227325581395274E-3</v>
      </c>
      <c r="CH224" s="10">
        <f t="shared" si="201"/>
        <v>-1.1691860465115759E-3</v>
      </c>
      <c r="CI224" s="10">
        <f t="shared" si="202"/>
        <v>-5.7191860465116854E-3</v>
      </c>
      <c r="CJ224" s="10">
        <f t="shared" si="203"/>
        <v>-1.2750000000000773E-3</v>
      </c>
      <c r="CK224" s="10">
        <f t="shared" si="204"/>
        <v>-3.9203488372092287E-3</v>
      </c>
      <c r="CL224" s="10">
        <f t="shared" si="205"/>
        <v>3.122093023255643E-4</v>
      </c>
      <c r="CM224" s="10">
        <f t="shared" si="206"/>
        <v>-4.184883720930295E-3</v>
      </c>
      <c r="CN224" s="10">
        <f t="shared" si="207"/>
        <v>-1.6453488372092683E-3</v>
      </c>
      <c r="CO224" s="10">
        <f t="shared" si="208"/>
        <v>6.2965116279069255E-4</v>
      </c>
      <c r="CP224" s="10">
        <f t="shared" si="209"/>
        <v>-2.4389534883720891E-3</v>
      </c>
      <c r="CQ224" s="10">
        <f t="shared" si="210"/>
        <v>1.0000000000000716E-3</v>
      </c>
      <c r="CR224" s="10">
        <f t="shared" si="211"/>
        <v>-5.8720930232556985E-4</v>
      </c>
      <c r="CS224" s="10">
        <f t="shared" si="212"/>
        <v>3.122093023255643E-4</v>
      </c>
      <c r="CT224" s="10">
        <f t="shared" si="213"/>
        <v>1.9523255813952685E-3</v>
      </c>
      <c r="CU224" s="10">
        <f t="shared" si="214"/>
        <v>-9.8988372093024163E-3</v>
      </c>
      <c r="CV224" s="10">
        <f t="shared" si="215"/>
        <v>-5.6662790697674346E-3</v>
      </c>
      <c r="CW224" s="10">
        <f t="shared" si="216"/>
        <v>-3.391279069767474E-3</v>
      </c>
      <c r="CX224" s="10">
        <f t="shared" si="217"/>
        <v>4.7674418604686705E-5</v>
      </c>
      <c r="CY224" s="10">
        <f t="shared" si="218"/>
        <v>1.6348837209301402E-3</v>
      </c>
      <c r="CZ224" s="10">
        <f t="shared" si="219"/>
        <v>7.354651162790061E-4</v>
      </c>
      <c r="DA224" s="10">
        <f t="shared" si="220"/>
        <v>-2.1686046511637885E-4</v>
      </c>
      <c r="DB224" s="10">
        <f t="shared" si="221"/>
        <v>-5.031395348837178E-3</v>
      </c>
      <c r="DC224" s="10">
        <f t="shared" si="222"/>
        <v>5.2383720930237912E-4</v>
      </c>
      <c r="DD224" s="10">
        <f t="shared" si="223"/>
        <v>-4.2906976744186082E-3</v>
      </c>
      <c r="DE224" s="10">
        <f t="shared" si="224"/>
        <v>-2.6976744186044159E-4</v>
      </c>
      <c r="DF224" s="10">
        <f t="shared" si="225"/>
        <v>1.9523255813952685E-3</v>
      </c>
      <c r="DG224" s="10">
        <f t="shared" si="226"/>
        <v>-8.0999999999999597E-3</v>
      </c>
      <c r="DH224" s="10">
        <f t="shared" si="227"/>
        <v>4.7674418604686705E-5</v>
      </c>
      <c r="DI224" s="10">
        <f t="shared" si="228"/>
        <v>-2.7034883720929667E-3</v>
      </c>
      <c r="DJ224" s="10">
        <f t="shared" si="229"/>
        <v>7.354651162790061E-4</v>
      </c>
      <c r="DK224" s="10">
        <f t="shared" si="230"/>
        <v>-1.1691860465115759E-3</v>
      </c>
      <c r="DL224" s="10">
        <f t="shared" si="231"/>
        <v>-3.8145348837209155E-3</v>
      </c>
      <c r="DM224" s="10">
        <f t="shared" si="232"/>
        <v>-7.0418604651162611E-3</v>
      </c>
      <c r="DN224" s="10">
        <f t="shared" si="233"/>
        <v>-2.1686046511637885E-4</v>
      </c>
      <c r="DO224" s="10">
        <f t="shared" si="234"/>
        <v>-3.4970930232557872E-3</v>
      </c>
      <c r="DP224" s="10">
        <f t="shared" si="235"/>
        <v>1.0000000000000716E-3</v>
      </c>
      <c r="DQ224" s="10">
        <f t="shared" si="236"/>
        <v>-3.6558139534883516E-3</v>
      </c>
      <c r="DR224" s="10">
        <f t="shared" si="237"/>
        <v>-1.2750000000000773E-3</v>
      </c>
      <c r="DS224" s="10">
        <f t="shared" si="238"/>
        <v>-9.4226744186047245E-3</v>
      </c>
      <c r="DT224" s="10">
        <f t="shared" si="239"/>
        <v>-3.4441860465117247E-3</v>
      </c>
      <c r="DU224" s="10">
        <f t="shared" si="240"/>
        <v>-9.5755813953494887E-4</v>
      </c>
      <c r="DV224" s="10">
        <f t="shared" si="241"/>
        <v>-4.4494186046511721E-3</v>
      </c>
      <c r="DW224" s="10">
        <f t="shared" si="242"/>
        <v>-5.2430232558139927E-3</v>
      </c>
    </row>
    <row r="225" spans="2:127" x14ac:dyDescent="0.45">
      <c r="B225" s="1">
        <v>24</v>
      </c>
      <c r="C225" s="1">
        <v>3240</v>
      </c>
      <c r="D225" s="7">
        <f t="shared" si="243"/>
        <v>18.989010989010989</v>
      </c>
      <c r="E225" s="1">
        <v>18.898</v>
      </c>
      <c r="F225" s="1">
        <v>18.974</v>
      </c>
      <c r="G225" s="1">
        <v>19</v>
      </c>
      <c r="H225" s="1">
        <v>18.882999999999999</v>
      </c>
      <c r="I225" s="1">
        <v>18.954000000000001</v>
      </c>
      <c r="J225" s="1">
        <v>18.946000000000002</v>
      </c>
      <c r="K225" s="1">
        <v>19.085999999999999</v>
      </c>
      <c r="L225" s="1">
        <v>18.861999999999998</v>
      </c>
      <c r="M225" s="1">
        <v>19.026</v>
      </c>
      <c r="N225" s="1">
        <v>19.035</v>
      </c>
      <c r="O225" s="1">
        <v>18.963999999999999</v>
      </c>
      <c r="P225" s="1">
        <v>18.923999999999999</v>
      </c>
      <c r="Q225" s="1">
        <v>18.992999999999999</v>
      </c>
      <c r="R225" s="1">
        <v>18.954999999999998</v>
      </c>
      <c r="S225" s="1">
        <v>18.957000000000001</v>
      </c>
      <c r="T225" s="1">
        <v>19.024999999999999</v>
      </c>
      <c r="U225" s="1">
        <v>18.977</v>
      </c>
      <c r="V225" s="1">
        <v>18.946000000000002</v>
      </c>
      <c r="W225" s="1">
        <v>18.966000000000001</v>
      </c>
      <c r="X225" s="1">
        <v>18.873999999999999</v>
      </c>
      <c r="Y225" s="1">
        <v>18.966000000000001</v>
      </c>
      <c r="Z225" s="1">
        <v>18.914999999999999</v>
      </c>
      <c r="AA225" s="1">
        <v>18.992000000000001</v>
      </c>
      <c r="AB225" s="1">
        <v>18.908999999999999</v>
      </c>
      <c r="AC225" s="1">
        <v>18.959</v>
      </c>
      <c r="AD225" s="1">
        <v>19</v>
      </c>
      <c r="AE225" s="1">
        <v>18.943000000000001</v>
      </c>
      <c r="AF225" s="1">
        <v>19.010000000000002</v>
      </c>
      <c r="AG225" s="1">
        <v>18.977</v>
      </c>
      <c r="AH225" s="1">
        <v>18.995999999999999</v>
      </c>
      <c r="AI225" s="1">
        <v>19.023</v>
      </c>
      <c r="AJ225" s="1">
        <v>18.800999999999998</v>
      </c>
      <c r="AK225" s="1">
        <v>18.878</v>
      </c>
      <c r="AL225" s="1">
        <v>18.925999999999998</v>
      </c>
      <c r="AM225" s="1">
        <v>18.989000000000001</v>
      </c>
      <c r="AN225" s="1">
        <v>19.018000000000001</v>
      </c>
      <c r="AO225" s="1">
        <v>19</v>
      </c>
      <c r="AP225" s="1">
        <v>18.984000000000002</v>
      </c>
      <c r="AQ225" s="1">
        <v>18.893999999999998</v>
      </c>
      <c r="AR225" s="1">
        <v>18.997</v>
      </c>
      <c r="AS225" s="1">
        <v>18.908000000000001</v>
      </c>
      <c r="AT225" s="1">
        <v>18.984000000000002</v>
      </c>
      <c r="AU225" s="1">
        <v>19.018000000000001</v>
      </c>
      <c r="AV225" s="1">
        <v>18.831</v>
      </c>
      <c r="AW225" s="1">
        <v>18.989000000000001</v>
      </c>
      <c r="AX225" s="1">
        <v>18.937999999999999</v>
      </c>
      <c r="AY225" s="1">
        <v>18.998999999999999</v>
      </c>
      <c r="AZ225" s="1">
        <v>18.968</v>
      </c>
      <c r="BA225" s="1">
        <v>18.916</v>
      </c>
      <c r="BB225" s="1">
        <v>18.853999999999999</v>
      </c>
      <c r="BC225" s="1">
        <v>18.984000000000002</v>
      </c>
      <c r="BD225" s="1">
        <v>18.920000000000002</v>
      </c>
      <c r="BE225" s="1">
        <v>19.007000000000001</v>
      </c>
      <c r="BF225" s="1">
        <v>18.920000000000002</v>
      </c>
      <c r="BG225" s="1">
        <v>18.962</v>
      </c>
      <c r="BH225" s="1">
        <v>18.805</v>
      </c>
      <c r="BI225" s="1">
        <v>18.923999999999999</v>
      </c>
      <c r="BJ225" s="1">
        <v>18.97</v>
      </c>
      <c r="BK225" s="1">
        <v>18.904</v>
      </c>
      <c r="BL225" s="1">
        <v>18.888999999999999</v>
      </c>
      <c r="BN225" s="9">
        <v>24</v>
      </c>
      <c r="BO225" s="9">
        <v>3240</v>
      </c>
      <c r="BP225" s="10">
        <f t="shared" si="183"/>
        <v>-4.7928240740740926E-3</v>
      </c>
      <c r="BQ225" s="10">
        <f t="shared" si="184"/>
        <v>-7.9050925925925079E-4</v>
      </c>
      <c r="BR225" s="10">
        <f t="shared" si="185"/>
        <v>5.7870370370370161E-4</v>
      </c>
      <c r="BS225" s="10">
        <f t="shared" si="186"/>
        <v>-5.5827546296296779E-3</v>
      </c>
      <c r="BT225" s="10">
        <f t="shared" si="187"/>
        <v>-1.8437499999999691E-3</v>
      </c>
      <c r="BU225" s="10">
        <f t="shared" si="188"/>
        <v>-2.2650462962962191E-3</v>
      </c>
      <c r="BV225" s="10">
        <f t="shared" si="189"/>
        <v>5.1076388888888092E-3</v>
      </c>
      <c r="BW225" s="10">
        <f t="shared" si="190"/>
        <v>-6.6886574074074981E-3</v>
      </c>
      <c r="BX225" s="10">
        <f t="shared" si="191"/>
        <v>1.9479166666666542E-3</v>
      </c>
      <c r="BY225" s="10">
        <f t="shared" si="192"/>
        <v>2.4218750000000056E-3</v>
      </c>
      <c r="BZ225" s="10">
        <f t="shared" si="193"/>
        <v>-1.3171296296297036E-3</v>
      </c>
      <c r="CA225" s="10">
        <f t="shared" si="194"/>
        <v>-3.4236111111111403E-3</v>
      </c>
      <c r="CB225" s="10">
        <f t="shared" si="195"/>
        <v>2.1006944444436606E-4</v>
      </c>
      <c r="CC225" s="10">
        <f t="shared" si="196"/>
        <v>-1.7910879629630548E-3</v>
      </c>
      <c r="CD225" s="10">
        <f t="shared" si="197"/>
        <v>-1.6857638888888521E-3</v>
      </c>
      <c r="CE225" s="10">
        <f t="shared" si="198"/>
        <v>1.8952546296295528E-3</v>
      </c>
      <c r="CF225" s="10">
        <f t="shared" si="199"/>
        <v>-6.325231481481337E-4</v>
      </c>
      <c r="CG225" s="10">
        <f t="shared" si="200"/>
        <v>-2.2650462962962191E-3</v>
      </c>
      <c r="CH225" s="10">
        <f t="shared" si="201"/>
        <v>-1.2118055555555007E-3</v>
      </c>
      <c r="CI225" s="10">
        <f t="shared" si="202"/>
        <v>-6.0567129629630293E-3</v>
      </c>
      <c r="CJ225" s="10">
        <f t="shared" si="203"/>
        <v>-1.2118055555555007E-3</v>
      </c>
      <c r="CK225" s="10">
        <f t="shared" si="204"/>
        <v>-3.8975694444444912E-3</v>
      </c>
      <c r="CL225" s="10">
        <f t="shared" si="205"/>
        <v>1.5740740740745175E-4</v>
      </c>
      <c r="CM225" s="10">
        <f t="shared" si="206"/>
        <v>-4.2135416666667256E-3</v>
      </c>
      <c r="CN225" s="10">
        <f t="shared" si="207"/>
        <v>-1.5804398148148364E-3</v>
      </c>
      <c r="CO225" s="10">
        <f t="shared" si="208"/>
        <v>5.7870370370370161E-4</v>
      </c>
      <c r="CP225" s="10">
        <f t="shared" si="209"/>
        <v>-2.423032407407336E-3</v>
      </c>
      <c r="CQ225" s="10">
        <f t="shared" si="210"/>
        <v>1.1053240740741543E-3</v>
      </c>
      <c r="CR225" s="10">
        <f t="shared" si="211"/>
        <v>-6.325231481481337E-4</v>
      </c>
      <c r="CS225" s="10">
        <f t="shared" si="212"/>
        <v>3.6805555555548313E-4</v>
      </c>
      <c r="CT225" s="10">
        <f t="shared" si="213"/>
        <v>1.789930555555537E-3</v>
      </c>
      <c r="CU225" s="10">
        <f t="shared" si="214"/>
        <v>-9.9010416666667541E-3</v>
      </c>
      <c r="CV225" s="10">
        <f t="shared" si="215"/>
        <v>-5.8460648148148109E-3</v>
      </c>
      <c r="CW225" s="10">
        <f t="shared" si="216"/>
        <v>-3.3182870370371243E-3</v>
      </c>
      <c r="CX225" s="10">
        <f t="shared" si="217"/>
        <v>-5.787037036653475E-7</v>
      </c>
      <c r="CY225" s="10">
        <f t="shared" si="218"/>
        <v>1.5266203703704043E-3</v>
      </c>
      <c r="CZ225" s="10">
        <f t="shared" si="219"/>
        <v>5.7870370370370161E-4</v>
      </c>
      <c r="DA225" s="10">
        <f t="shared" si="220"/>
        <v>-2.6388888888879817E-4</v>
      </c>
      <c r="DB225" s="10">
        <f t="shared" si="221"/>
        <v>-5.003472222222311E-3</v>
      </c>
      <c r="DC225" s="10">
        <f t="shared" si="222"/>
        <v>4.2071759259258457E-4</v>
      </c>
      <c r="DD225" s="10">
        <f t="shared" si="223"/>
        <v>-4.2662037037036402E-3</v>
      </c>
      <c r="DE225" s="10">
        <f t="shared" si="224"/>
        <v>-2.6388888888879817E-4</v>
      </c>
      <c r="DF225" s="10">
        <f t="shared" si="225"/>
        <v>1.5266203703704043E-3</v>
      </c>
      <c r="DG225" s="10">
        <f t="shared" si="226"/>
        <v>-8.3211805555555834E-3</v>
      </c>
      <c r="DH225" s="10">
        <f t="shared" si="227"/>
        <v>-5.787037036653475E-7</v>
      </c>
      <c r="DI225" s="10">
        <f t="shared" si="228"/>
        <v>-2.6863425925926559E-3</v>
      </c>
      <c r="DJ225" s="10">
        <f t="shared" si="229"/>
        <v>5.2604166666660027E-4</v>
      </c>
      <c r="DK225" s="10">
        <f t="shared" si="230"/>
        <v>-1.106481481481485E-3</v>
      </c>
      <c r="DL225" s="10">
        <f t="shared" si="231"/>
        <v>-3.8449074074073902E-3</v>
      </c>
      <c r="DM225" s="10">
        <f t="shared" si="232"/>
        <v>-7.1099537037037476E-3</v>
      </c>
      <c r="DN225" s="10">
        <f t="shared" si="233"/>
        <v>-2.6388888888879817E-4</v>
      </c>
      <c r="DO225" s="10">
        <f t="shared" si="234"/>
        <v>-3.6342592592591713E-3</v>
      </c>
      <c r="DP225" s="10">
        <f t="shared" si="235"/>
        <v>9.4733796296303725E-4</v>
      </c>
      <c r="DQ225" s="10">
        <f t="shared" si="236"/>
        <v>-3.6342592592591713E-3</v>
      </c>
      <c r="DR225" s="10">
        <f t="shared" si="237"/>
        <v>-1.4224537037037192E-3</v>
      </c>
      <c r="DS225" s="10">
        <f t="shared" si="238"/>
        <v>-9.6903935185185357E-3</v>
      </c>
      <c r="DT225" s="10">
        <f t="shared" si="239"/>
        <v>-3.4236111111111403E-3</v>
      </c>
      <c r="DU225" s="10">
        <f t="shared" si="240"/>
        <v>-1.0011574074074694E-3</v>
      </c>
      <c r="DV225" s="10">
        <f t="shared" si="241"/>
        <v>-4.4768518518518586E-3</v>
      </c>
      <c r="DW225" s="10">
        <f t="shared" si="242"/>
        <v>-5.266782407407444E-3</v>
      </c>
    </row>
    <row r="226" spans="2:127" x14ac:dyDescent="0.45">
      <c r="B226" s="1">
        <v>24</v>
      </c>
      <c r="C226" s="1">
        <v>3255</v>
      </c>
      <c r="D226" s="7">
        <f t="shared" si="243"/>
        <v>19.076923076923077</v>
      </c>
      <c r="E226" s="1">
        <v>18.984999999999999</v>
      </c>
      <c r="F226" s="1">
        <v>19.064</v>
      </c>
      <c r="G226" s="1">
        <v>19.087</v>
      </c>
      <c r="H226" s="1">
        <v>18.969000000000001</v>
      </c>
      <c r="I226" s="1">
        <v>19.042000000000002</v>
      </c>
      <c r="J226" s="1">
        <v>19.033999999999999</v>
      </c>
      <c r="K226" s="1">
        <v>19.173999999999999</v>
      </c>
      <c r="L226" s="1">
        <v>18.954000000000001</v>
      </c>
      <c r="M226" s="1">
        <v>19.111000000000001</v>
      </c>
      <c r="N226" s="1">
        <v>19.122</v>
      </c>
      <c r="O226" s="1">
        <v>19.05</v>
      </c>
      <c r="P226" s="1">
        <v>19.012</v>
      </c>
      <c r="Q226" s="1">
        <v>19.079000000000001</v>
      </c>
      <c r="R226" s="1">
        <v>19.041</v>
      </c>
      <c r="S226" s="1">
        <v>19.044</v>
      </c>
      <c r="T226" s="1">
        <v>19.11</v>
      </c>
      <c r="U226" s="1">
        <v>19.062999999999999</v>
      </c>
      <c r="V226" s="1">
        <v>19.03</v>
      </c>
      <c r="W226" s="1">
        <v>19.056999999999999</v>
      </c>
      <c r="X226" s="1">
        <v>18.957000000000001</v>
      </c>
      <c r="Y226" s="1">
        <v>19.052</v>
      </c>
      <c r="Z226" s="1">
        <v>18.998999999999999</v>
      </c>
      <c r="AA226" s="1">
        <v>19.077000000000002</v>
      </c>
      <c r="AB226" s="1">
        <v>18.995999999999999</v>
      </c>
      <c r="AC226" s="1">
        <v>19.048999999999999</v>
      </c>
      <c r="AD226" s="1">
        <v>19.087</v>
      </c>
      <c r="AE226" s="1">
        <v>19.03</v>
      </c>
      <c r="AF226" s="1">
        <v>19.096</v>
      </c>
      <c r="AG226" s="1">
        <v>19.065000000000001</v>
      </c>
      <c r="AH226" s="1">
        <v>19.085999999999999</v>
      </c>
      <c r="AI226" s="1">
        <v>19.11</v>
      </c>
      <c r="AJ226" s="1">
        <v>18.885000000000002</v>
      </c>
      <c r="AK226" s="1">
        <v>18.966000000000001</v>
      </c>
      <c r="AL226" s="1">
        <v>19.013999999999999</v>
      </c>
      <c r="AM226" s="1">
        <v>19.077000000000002</v>
      </c>
      <c r="AN226" s="1">
        <v>19.105</v>
      </c>
      <c r="AO226" s="1">
        <v>19.088000000000001</v>
      </c>
      <c r="AP226" s="1">
        <v>19.074999999999999</v>
      </c>
      <c r="AQ226" s="1">
        <v>18.98</v>
      </c>
      <c r="AR226" s="1">
        <v>19.085999999999999</v>
      </c>
      <c r="AS226" s="1">
        <v>18.995999999999999</v>
      </c>
      <c r="AT226" s="1">
        <v>19.071000000000002</v>
      </c>
      <c r="AU226" s="1">
        <v>19.114999999999998</v>
      </c>
      <c r="AV226" s="1">
        <v>18.917000000000002</v>
      </c>
      <c r="AW226" s="1">
        <v>19.076000000000001</v>
      </c>
      <c r="AX226" s="1">
        <v>19.023</v>
      </c>
      <c r="AY226" s="1">
        <v>19.085999999999999</v>
      </c>
      <c r="AZ226" s="1">
        <v>19.056000000000001</v>
      </c>
      <c r="BA226" s="1">
        <v>19.003</v>
      </c>
      <c r="BB226" s="1">
        <v>18.940000000000001</v>
      </c>
      <c r="BC226" s="1">
        <v>19.068999999999999</v>
      </c>
      <c r="BD226" s="1">
        <v>19.007999999999999</v>
      </c>
      <c r="BE226" s="1">
        <v>19.094999999999999</v>
      </c>
      <c r="BF226" s="1">
        <v>19.007000000000001</v>
      </c>
      <c r="BG226" s="1">
        <v>19.05</v>
      </c>
      <c r="BH226" s="1">
        <v>18.896000000000001</v>
      </c>
      <c r="BI226" s="1">
        <v>19.010000000000002</v>
      </c>
      <c r="BJ226" s="1">
        <v>19.059999999999999</v>
      </c>
      <c r="BK226" s="1">
        <v>18.988</v>
      </c>
      <c r="BL226" s="1">
        <v>18.975999999999999</v>
      </c>
      <c r="BN226" s="9">
        <v>24</v>
      </c>
      <c r="BO226" s="9">
        <v>3255</v>
      </c>
      <c r="BP226" s="10">
        <f t="shared" si="183"/>
        <v>-4.8185483870967901E-3</v>
      </c>
      <c r="BQ226" s="10">
        <f t="shared" si="184"/>
        <v>-6.7741935483869235E-4</v>
      </c>
      <c r="BR226" s="10">
        <f t="shared" si="185"/>
        <v>5.2822580645161383E-4</v>
      </c>
      <c r="BS226" s="10">
        <f t="shared" si="186"/>
        <v>-5.6572580645160523E-3</v>
      </c>
      <c r="BT226" s="10">
        <f t="shared" si="187"/>
        <v>-1.8306451612902248E-3</v>
      </c>
      <c r="BU226" s="10">
        <f t="shared" si="188"/>
        <v>-2.2500000000000423E-3</v>
      </c>
      <c r="BV226" s="10">
        <f t="shared" si="189"/>
        <v>5.0887096774193423E-3</v>
      </c>
      <c r="BW226" s="10">
        <f t="shared" si="190"/>
        <v>-6.4435483870967274E-3</v>
      </c>
      <c r="BX226" s="10">
        <f t="shared" si="191"/>
        <v>1.7862903225806938E-3</v>
      </c>
      <c r="BY226" s="10">
        <f t="shared" si="192"/>
        <v>2.3629032258064599E-3</v>
      </c>
      <c r="BZ226" s="10">
        <f t="shared" si="193"/>
        <v>-1.4112903225805937E-3</v>
      </c>
      <c r="CA226" s="10">
        <f t="shared" si="194"/>
        <v>-3.403225806451575E-3</v>
      </c>
      <c r="CB226" s="10">
        <f t="shared" si="195"/>
        <v>1.0887096774198258E-4</v>
      </c>
      <c r="CC226" s="10">
        <f t="shared" si="196"/>
        <v>-1.8830645161289985E-3</v>
      </c>
      <c r="CD226" s="10">
        <f t="shared" si="197"/>
        <v>-1.7258064516128635E-3</v>
      </c>
      <c r="CE226" s="10">
        <f t="shared" si="198"/>
        <v>1.73387096774192E-3</v>
      </c>
      <c r="CF226" s="10">
        <f t="shared" si="199"/>
        <v>-7.2983870967746611E-4</v>
      </c>
      <c r="CG226" s="10">
        <f t="shared" si="200"/>
        <v>-2.4596774193547648E-3</v>
      </c>
      <c r="CH226" s="10">
        <f t="shared" si="201"/>
        <v>-1.0443548387097362E-3</v>
      </c>
      <c r="CI226" s="10">
        <f t="shared" si="202"/>
        <v>-6.2862903225805924E-3</v>
      </c>
      <c r="CJ226" s="10">
        <f t="shared" si="203"/>
        <v>-1.3064516129032324E-3</v>
      </c>
      <c r="CK226" s="10">
        <f t="shared" si="204"/>
        <v>-4.0846774193548886E-3</v>
      </c>
      <c r="CL226" s="10">
        <f t="shared" si="205"/>
        <v>4.0322580646213349E-6</v>
      </c>
      <c r="CM226" s="10">
        <f t="shared" si="206"/>
        <v>-4.2419354838710236E-3</v>
      </c>
      <c r="CN226" s="10">
        <f t="shared" si="207"/>
        <v>-1.4637096774193674E-3</v>
      </c>
      <c r="CO226" s="10">
        <f t="shared" si="208"/>
        <v>5.2822580645161383E-4</v>
      </c>
      <c r="CP226" s="10">
        <f t="shared" si="209"/>
        <v>-2.4596774193547648E-3</v>
      </c>
      <c r="CQ226" s="10">
        <f t="shared" si="210"/>
        <v>1.0000000000000189E-3</v>
      </c>
      <c r="CR226" s="10">
        <f t="shared" si="211"/>
        <v>-6.2499999999991859E-4</v>
      </c>
      <c r="CS226" s="10">
        <f t="shared" si="212"/>
        <v>4.7580645161284007E-4</v>
      </c>
      <c r="CT226" s="10">
        <f t="shared" si="213"/>
        <v>1.73387096774192E-3</v>
      </c>
      <c r="CU226" s="10">
        <f t="shared" si="214"/>
        <v>-1.0060483870967646E-2</v>
      </c>
      <c r="CV226" s="10">
        <f t="shared" si="215"/>
        <v>-5.8145161290321873E-3</v>
      </c>
      <c r="CW226" s="10">
        <f t="shared" si="216"/>
        <v>-3.2983870967742135E-3</v>
      </c>
      <c r="CX226" s="10">
        <f t="shared" si="217"/>
        <v>4.0322580646213349E-6</v>
      </c>
      <c r="CY226" s="10">
        <f t="shared" si="218"/>
        <v>1.4717741935484237E-3</v>
      </c>
      <c r="CZ226" s="10">
        <f t="shared" si="219"/>
        <v>5.8064516129038759E-4</v>
      </c>
      <c r="DA226" s="10">
        <f t="shared" si="220"/>
        <v>-1.0080645161292614E-4</v>
      </c>
      <c r="DB226" s="10">
        <f t="shared" si="221"/>
        <v>-5.0806451612902858E-3</v>
      </c>
      <c r="DC226" s="10">
        <f t="shared" si="222"/>
        <v>4.7580645161284007E-4</v>
      </c>
      <c r="DD226" s="10">
        <f t="shared" si="223"/>
        <v>-4.2419354838710236E-3</v>
      </c>
      <c r="DE226" s="10">
        <f t="shared" si="224"/>
        <v>-3.1048387096764866E-4</v>
      </c>
      <c r="DF226" s="10">
        <f t="shared" si="225"/>
        <v>1.9959677419354163E-3</v>
      </c>
      <c r="DG226" s="10">
        <f t="shared" si="226"/>
        <v>-8.3830645161289338E-3</v>
      </c>
      <c r="DH226" s="10">
        <f t="shared" si="227"/>
        <v>-4.8387096774152408E-5</v>
      </c>
      <c r="DI226" s="10">
        <f t="shared" si="228"/>
        <v>-2.8266129032258084E-3</v>
      </c>
      <c r="DJ226" s="10">
        <f t="shared" si="229"/>
        <v>4.7580645161284007E-4</v>
      </c>
      <c r="DK226" s="10">
        <f t="shared" si="230"/>
        <v>-1.0967741935483236E-3</v>
      </c>
      <c r="DL226" s="10">
        <f t="shared" si="231"/>
        <v>-3.8749999999999796E-3</v>
      </c>
      <c r="DM226" s="10">
        <f t="shared" si="232"/>
        <v>-7.1774193548386281E-3</v>
      </c>
      <c r="DN226" s="10">
        <f t="shared" si="233"/>
        <v>-4.1532258064519613E-4</v>
      </c>
      <c r="DO226" s="10">
        <f t="shared" si="234"/>
        <v>-3.6129032258064835E-3</v>
      </c>
      <c r="DP226" s="10">
        <f t="shared" si="235"/>
        <v>9.4758064516124502E-4</v>
      </c>
      <c r="DQ226" s="10">
        <f t="shared" si="236"/>
        <v>-3.665322580645071E-3</v>
      </c>
      <c r="DR226" s="10">
        <f t="shared" si="237"/>
        <v>-1.4112903225805937E-3</v>
      </c>
      <c r="DS226" s="10">
        <f t="shared" si="238"/>
        <v>-9.4838709677418798E-3</v>
      </c>
      <c r="DT226" s="10">
        <f t="shared" si="239"/>
        <v>-3.508064516128936E-3</v>
      </c>
      <c r="DU226" s="10">
        <f t="shared" si="240"/>
        <v>-8.8709677419360113E-4</v>
      </c>
      <c r="DV226" s="10">
        <f t="shared" si="241"/>
        <v>-4.6612903225806551E-3</v>
      </c>
      <c r="DW226" s="10">
        <f t="shared" si="242"/>
        <v>-5.2903225806451943E-3</v>
      </c>
    </row>
    <row r="227" spans="2:127" x14ac:dyDescent="0.45">
      <c r="B227" s="1">
        <v>24</v>
      </c>
      <c r="C227" s="1">
        <v>3270</v>
      </c>
      <c r="D227" s="7">
        <f t="shared" si="243"/>
        <v>19.164835164835164</v>
      </c>
      <c r="E227" s="1">
        <v>19.073</v>
      </c>
      <c r="F227" s="1">
        <v>19.149000000000001</v>
      </c>
      <c r="G227" s="1">
        <v>19.172000000000001</v>
      </c>
      <c r="H227" s="1">
        <v>19.056999999999999</v>
      </c>
      <c r="I227" s="1">
        <v>19.13</v>
      </c>
      <c r="J227" s="1">
        <v>19.122</v>
      </c>
      <c r="K227" s="1">
        <v>19.262</v>
      </c>
      <c r="L227" s="1">
        <v>19.036999999999999</v>
      </c>
      <c r="M227" s="1">
        <v>19.198</v>
      </c>
      <c r="N227" s="1">
        <v>19.209</v>
      </c>
      <c r="O227" s="1">
        <v>19.14</v>
      </c>
      <c r="P227" s="1">
        <v>19.099</v>
      </c>
      <c r="Q227" s="1">
        <v>19.166</v>
      </c>
      <c r="R227" s="1">
        <v>19.129000000000001</v>
      </c>
      <c r="S227" s="1">
        <v>19.132000000000001</v>
      </c>
      <c r="T227" s="1">
        <v>19.2</v>
      </c>
      <c r="U227" s="1">
        <v>19.152000000000001</v>
      </c>
      <c r="V227" s="1">
        <v>19.117999999999999</v>
      </c>
      <c r="W227" s="1">
        <v>19.146999999999998</v>
      </c>
      <c r="X227" s="1">
        <v>19.045999999999999</v>
      </c>
      <c r="Y227" s="1">
        <v>19.14</v>
      </c>
      <c r="Z227" s="1">
        <v>19.085999999999999</v>
      </c>
      <c r="AA227" s="1">
        <v>19.167000000000002</v>
      </c>
      <c r="AB227" s="1">
        <v>19.082999999999998</v>
      </c>
      <c r="AC227" s="1">
        <v>19.137</v>
      </c>
      <c r="AD227" s="1">
        <v>19.173999999999999</v>
      </c>
      <c r="AE227" s="1">
        <v>19.117000000000001</v>
      </c>
      <c r="AF227" s="1">
        <v>19.183</v>
      </c>
      <c r="AG227" s="1">
        <v>19.152999999999999</v>
      </c>
      <c r="AH227" s="1">
        <v>19.173999999999999</v>
      </c>
      <c r="AI227" s="1">
        <v>19.195</v>
      </c>
      <c r="AJ227" s="1">
        <v>18.969000000000001</v>
      </c>
      <c r="AK227" s="1">
        <v>19.053000000000001</v>
      </c>
      <c r="AL227" s="1">
        <v>19.102</v>
      </c>
      <c r="AM227" s="1">
        <v>19.166</v>
      </c>
      <c r="AN227" s="1">
        <v>19.190999999999999</v>
      </c>
      <c r="AO227" s="1">
        <v>19.175000000000001</v>
      </c>
      <c r="AP227" s="1">
        <v>19.161999999999999</v>
      </c>
      <c r="AQ227" s="1">
        <v>19.067</v>
      </c>
      <c r="AR227" s="1">
        <v>19.172000000000001</v>
      </c>
      <c r="AS227" s="1">
        <v>19.082999999999998</v>
      </c>
      <c r="AT227" s="1">
        <v>19.158999999999999</v>
      </c>
      <c r="AU227" s="1">
        <v>19.204000000000001</v>
      </c>
      <c r="AV227" s="1">
        <v>19.004000000000001</v>
      </c>
      <c r="AW227" s="1">
        <v>19.161999999999999</v>
      </c>
      <c r="AX227" s="1">
        <v>19.111000000000001</v>
      </c>
      <c r="AY227" s="1">
        <v>19.173999999999999</v>
      </c>
      <c r="AZ227" s="1">
        <v>19.140999999999998</v>
      </c>
      <c r="BA227" s="1">
        <v>19.091000000000001</v>
      </c>
      <c r="BB227" s="1">
        <v>19.027000000000001</v>
      </c>
      <c r="BC227" s="1">
        <v>19.157</v>
      </c>
      <c r="BD227" s="1">
        <v>19.096</v>
      </c>
      <c r="BE227" s="1">
        <v>19.183</v>
      </c>
      <c r="BF227" s="1">
        <v>19.094999999999999</v>
      </c>
      <c r="BG227" s="1">
        <v>19.135999999999999</v>
      </c>
      <c r="BH227" s="1">
        <v>18.98</v>
      </c>
      <c r="BI227" s="1">
        <v>19.099</v>
      </c>
      <c r="BJ227" s="1">
        <v>19.151</v>
      </c>
      <c r="BK227" s="1">
        <v>19.068000000000001</v>
      </c>
      <c r="BL227" s="1">
        <v>19.064</v>
      </c>
      <c r="BN227" s="9">
        <v>24</v>
      </c>
      <c r="BO227" s="9">
        <v>3270</v>
      </c>
      <c r="BP227" s="10">
        <f t="shared" si="183"/>
        <v>-4.7918577981650862E-3</v>
      </c>
      <c r="BQ227" s="10">
        <f t="shared" si="184"/>
        <v>-8.262614678898303E-4</v>
      </c>
      <c r="BR227" s="10">
        <f t="shared" si="185"/>
        <v>3.7385321100923602E-4</v>
      </c>
      <c r="BS227" s="10">
        <f t="shared" si="186"/>
        <v>-5.6267201834862808E-3</v>
      </c>
      <c r="BT227" s="10">
        <f t="shared" si="187"/>
        <v>-1.817660550458737E-3</v>
      </c>
      <c r="BU227" s="10">
        <f t="shared" si="188"/>
        <v>-2.2350917431192413E-3</v>
      </c>
      <c r="BV227" s="10">
        <f t="shared" si="189"/>
        <v>5.0699541284404213E-3</v>
      </c>
      <c r="BW227" s="10">
        <f t="shared" si="190"/>
        <v>-6.6702981651376343E-3</v>
      </c>
      <c r="BX227" s="10">
        <f t="shared" si="191"/>
        <v>1.7305045871560147E-3</v>
      </c>
      <c r="BY227" s="10">
        <f t="shared" si="192"/>
        <v>2.3044724770642316E-3</v>
      </c>
      <c r="BZ227" s="10">
        <f t="shared" si="193"/>
        <v>-1.2958715596329674E-3</v>
      </c>
      <c r="CA227" s="10">
        <f t="shared" si="194"/>
        <v>-3.435206422018308E-3</v>
      </c>
      <c r="CB227" s="10">
        <f t="shared" si="195"/>
        <v>6.0779816513811305E-5</v>
      </c>
      <c r="CC227" s="10">
        <f t="shared" si="196"/>
        <v>-1.8698394495411841E-3</v>
      </c>
      <c r="CD227" s="10">
        <f t="shared" si="197"/>
        <v>-1.7133027522934718E-3</v>
      </c>
      <c r="CE227" s="10">
        <f t="shared" si="198"/>
        <v>1.8348623853210945E-3</v>
      </c>
      <c r="CF227" s="10">
        <f t="shared" si="199"/>
        <v>-6.6972477064211795E-4</v>
      </c>
      <c r="CG227" s="10">
        <f t="shared" si="200"/>
        <v>-2.4438073394495866E-3</v>
      </c>
      <c r="CH227" s="10">
        <f t="shared" si="201"/>
        <v>-9.3061926605509542E-4</v>
      </c>
      <c r="CI227" s="10">
        <f t="shared" si="202"/>
        <v>-6.2006880733944973E-3</v>
      </c>
      <c r="CJ227" s="10">
        <f t="shared" si="203"/>
        <v>-1.2958715596329674E-3</v>
      </c>
      <c r="CK227" s="10">
        <f t="shared" si="204"/>
        <v>-4.1135321100917895E-3</v>
      </c>
      <c r="CL227" s="10">
        <f t="shared" si="205"/>
        <v>1.1295871559644389E-4</v>
      </c>
      <c r="CM227" s="10">
        <f t="shared" si="206"/>
        <v>-4.2700688073395018E-3</v>
      </c>
      <c r="CN227" s="10">
        <f t="shared" si="207"/>
        <v>-1.4524082568806798E-3</v>
      </c>
      <c r="CO227" s="10">
        <f t="shared" si="208"/>
        <v>4.782110091743158E-4</v>
      </c>
      <c r="CP227" s="10">
        <f t="shared" si="209"/>
        <v>-2.4959862385320335E-3</v>
      </c>
      <c r="CQ227" s="10">
        <f t="shared" si="210"/>
        <v>9.4782110091745284E-4</v>
      </c>
      <c r="CR227" s="10">
        <f t="shared" si="211"/>
        <v>-6.1754587155967073E-4</v>
      </c>
      <c r="CS227" s="10">
        <f t="shared" si="212"/>
        <v>4.782110091743158E-4</v>
      </c>
      <c r="CT227" s="10">
        <f t="shared" si="213"/>
        <v>1.5739678899083023E-3</v>
      </c>
      <c r="CU227" s="10">
        <f t="shared" si="214"/>
        <v>-1.0218463302752201E-2</v>
      </c>
      <c r="CV227" s="10">
        <f t="shared" si="215"/>
        <v>-5.8354357798164405E-3</v>
      </c>
      <c r="CW227" s="10">
        <f t="shared" si="216"/>
        <v>-3.2786697247705952E-3</v>
      </c>
      <c r="CX227" s="10">
        <f t="shared" si="217"/>
        <v>6.0779816513811305E-5</v>
      </c>
      <c r="CY227" s="10">
        <f t="shared" si="218"/>
        <v>1.3652522935779575E-3</v>
      </c>
      <c r="CZ227" s="10">
        <f t="shared" si="219"/>
        <v>5.3038990825694842E-4</v>
      </c>
      <c r="DA227" s="10">
        <f t="shared" si="220"/>
        <v>-1.4793577981653364E-4</v>
      </c>
      <c r="DB227" s="10">
        <f t="shared" si="221"/>
        <v>-5.1049311926605109E-3</v>
      </c>
      <c r="DC227" s="10">
        <f t="shared" si="222"/>
        <v>3.7385321100923602E-4</v>
      </c>
      <c r="DD227" s="10">
        <f t="shared" si="223"/>
        <v>-4.2700688073395018E-3</v>
      </c>
      <c r="DE227" s="10">
        <f t="shared" si="224"/>
        <v>-3.0447247706424598E-4</v>
      </c>
      <c r="DF227" s="10">
        <f t="shared" si="225"/>
        <v>2.0435779816514394E-3</v>
      </c>
      <c r="DG227" s="10">
        <f t="shared" si="226"/>
        <v>-8.3922018348622854E-3</v>
      </c>
      <c r="DH227" s="10">
        <f t="shared" si="227"/>
        <v>-1.4793577981653364E-4</v>
      </c>
      <c r="DI227" s="10">
        <f t="shared" si="228"/>
        <v>-2.8090596330274582E-3</v>
      </c>
      <c r="DJ227" s="10">
        <f t="shared" si="229"/>
        <v>4.782110091743158E-4</v>
      </c>
      <c r="DK227" s="10">
        <f t="shared" si="230"/>
        <v>-1.2436926605505201E-3</v>
      </c>
      <c r="DL227" s="10">
        <f t="shared" si="231"/>
        <v>-3.8526376146788121E-3</v>
      </c>
      <c r="DM227" s="10">
        <f t="shared" si="232"/>
        <v>-7.1920871559632187E-3</v>
      </c>
      <c r="DN227" s="10">
        <f t="shared" si="233"/>
        <v>-4.0883027522932577E-4</v>
      </c>
      <c r="DO227" s="10">
        <f t="shared" si="234"/>
        <v>-3.5917431192660203E-3</v>
      </c>
      <c r="DP227" s="10">
        <f t="shared" si="235"/>
        <v>9.4782110091745284E-4</v>
      </c>
      <c r="DQ227" s="10">
        <f t="shared" si="236"/>
        <v>-3.6439220183486529E-3</v>
      </c>
      <c r="DR227" s="10">
        <f t="shared" si="237"/>
        <v>-1.5045871559633123E-3</v>
      </c>
      <c r="DS227" s="10">
        <f t="shared" si="238"/>
        <v>-9.6444954128439842E-3</v>
      </c>
      <c r="DT227" s="10">
        <f t="shared" si="239"/>
        <v>-3.435206422018308E-3</v>
      </c>
      <c r="DU227" s="10">
        <f t="shared" si="240"/>
        <v>-7.2190366972475046E-4</v>
      </c>
      <c r="DV227" s="10">
        <f t="shared" si="241"/>
        <v>-5.0527522935778788E-3</v>
      </c>
      <c r="DW227" s="10">
        <f t="shared" si="242"/>
        <v>-5.2614678899082232E-3</v>
      </c>
    </row>
    <row r="228" spans="2:127" x14ac:dyDescent="0.45">
      <c r="B228" s="1">
        <v>24</v>
      </c>
      <c r="C228" s="1">
        <v>3285</v>
      </c>
      <c r="D228" s="7">
        <f t="shared" si="243"/>
        <v>19.252747252747252</v>
      </c>
      <c r="E228" s="1">
        <v>19.163</v>
      </c>
      <c r="F228" s="1">
        <v>19.236000000000001</v>
      </c>
      <c r="G228" s="1">
        <v>19.260999999999999</v>
      </c>
      <c r="H228" s="1">
        <v>19.143999999999998</v>
      </c>
      <c r="I228" s="1">
        <v>19.219000000000001</v>
      </c>
      <c r="J228" s="1">
        <v>19.209</v>
      </c>
      <c r="K228" s="1">
        <v>19.350000000000001</v>
      </c>
      <c r="L228" s="1">
        <v>19.126000000000001</v>
      </c>
      <c r="M228" s="1">
        <v>19.289000000000001</v>
      </c>
      <c r="N228" s="1">
        <v>19.295999999999999</v>
      </c>
      <c r="O228" s="1">
        <v>19.228000000000002</v>
      </c>
      <c r="P228" s="1">
        <v>19.187000000000001</v>
      </c>
      <c r="Q228" s="1">
        <v>19.251000000000001</v>
      </c>
      <c r="R228" s="1">
        <v>19.22</v>
      </c>
      <c r="S228" s="1">
        <v>19.216999999999999</v>
      </c>
      <c r="T228" s="1">
        <v>19.286000000000001</v>
      </c>
      <c r="U228" s="1">
        <v>19.242000000000001</v>
      </c>
      <c r="V228" s="1">
        <v>19.204000000000001</v>
      </c>
      <c r="W228" s="1">
        <v>19.234999999999999</v>
      </c>
      <c r="X228" s="1">
        <v>19.129000000000001</v>
      </c>
      <c r="Y228" s="1">
        <v>19.227</v>
      </c>
      <c r="Z228" s="1">
        <v>19.175000000000001</v>
      </c>
      <c r="AA228" s="1">
        <v>19.257999999999999</v>
      </c>
      <c r="AB228" s="1">
        <v>19.172000000000001</v>
      </c>
      <c r="AC228" s="1">
        <v>19.227</v>
      </c>
      <c r="AD228" s="1">
        <v>19.260999999999999</v>
      </c>
      <c r="AE228" s="1">
        <v>19.204000000000001</v>
      </c>
      <c r="AF228" s="1">
        <v>19.27</v>
      </c>
      <c r="AG228" s="1">
        <v>19.242000000000001</v>
      </c>
      <c r="AH228" s="1">
        <v>19.260999999999999</v>
      </c>
      <c r="AI228" s="1">
        <v>19.282</v>
      </c>
      <c r="AJ228" s="1">
        <v>19.056999999999999</v>
      </c>
      <c r="AK228" s="1">
        <v>19.140999999999998</v>
      </c>
      <c r="AL228" s="1">
        <v>19.189</v>
      </c>
      <c r="AM228" s="1">
        <v>19.254000000000001</v>
      </c>
      <c r="AN228" s="1">
        <v>19.277000000000001</v>
      </c>
      <c r="AO228" s="1">
        <v>19.263000000000002</v>
      </c>
      <c r="AP228" s="1">
        <v>19.251000000000001</v>
      </c>
      <c r="AQ228" s="1">
        <v>19.152999999999999</v>
      </c>
      <c r="AR228" s="1">
        <v>19.257999999999999</v>
      </c>
      <c r="AS228" s="1">
        <v>19.170000000000002</v>
      </c>
      <c r="AT228" s="1">
        <v>19.245999999999999</v>
      </c>
      <c r="AU228" s="1">
        <v>19.29</v>
      </c>
      <c r="AV228" s="1">
        <v>19.084</v>
      </c>
      <c r="AW228" s="1">
        <v>19.248000000000001</v>
      </c>
      <c r="AX228" s="1">
        <v>19.2</v>
      </c>
      <c r="AY228" s="1">
        <v>19.263000000000002</v>
      </c>
      <c r="AZ228" s="1">
        <v>19.228000000000002</v>
      </c>
      <c r="BA228" s="1">
        <v>19.178000000000001</v>
      </c>
      <c r="BB228" s="1">
        <v>19.114999999999998</v>
      </c>
      <c r="BC228" s="1">
        <v>19.244</v>
      </c>
      <c r="BD228" s="1">
        <v>19.183</v>
      </c>
      <c r="BE228" s="1">
        <v>19.271000000000001</v>
      </c>
      <c r="BF228" s="1">
        <v>19.183</v>
      </c>
      <c r="BG228" s="1">
        <v>19.228000000000002</v>
      </c>
      <c r="BH228" s="1">
        <v>19.065000000000001</v>
      </c>
      <c r="BI228" s="1">
        <v>19.184999999999999</v>
      </c>
      <c r="BJ228" s="1">
        <v>19.239000000000001</v>
      </c>
      <c r="BK228" s="1">
        <v>19.157</v>
      </c>
      <c r="BL228" s="1">
        <v>19.152000000000001</v>
      </c>
      <c r="BN228" s="9">
        <v>24</v>
      </c>
      <c r="BO228" s="9">
        <v>3285</v>
      </c>
      <c r="BP228" s="10">
        <f t="shared" si="183"/>
        <v>-4.6615296803652374E-3</v>
      </c>
      <c r="BQ228" s="10">
        <f t="shared" si="184"/>
        <v>-8.6986301369854958E-4</v>
      </c>
      <c r="BR228" s="10">
        <f t="shared" si="185"/>
        <v>4.2865296803653647E-4</v>
      </c>
      <c r="BS228" s="10">
        <f t="shared" si="186"/>
        <v>-5.6484018264840574E-3</v>
      </c>
      <c r="BT228" s="10">
        <f t="shared" si="187"/>
        <v>-1.7528538812784302E-3</v>
      </c>
      <c r="BU228" s="10">
        <f t="shared" si="188"/>
        <v>-2.2722602739725754E-3</v>
      </c>
      <c r="BV228" s="10">
        <f t="shared" si="189"/>
        <v>5.0513698630138193E-3</v>
      </c>
      <c r="BW228" s="10">
        <f t="shared" si="190"/>
        <v>-6.5833333333332232E-3</v>
      </c>
      <c r="BX228" s="10">
        <f t="shared" si="191"/>
        <v>1.8829908675800321E-3</v>
      </c>
      <c r="BY228" s="10">
        <f t="shared" si="192"/>
        <v>2.2465753424657678E-3</v>
      </c>
      <c r="BZ228" s="10">
        <f t="shared" si="193"/>
        <v>-1.2853881278537551E-3</v>
      </c>
      <c r="CA228" s="10">
        <f t="shared" si="194"/>
        <v>-3.4149543378994363E-3</v>
      </c>
      <c r="CB228" s="10">
        <f t="shared" si="195"/>
        <v>-9.0753424657424137E-5</v>
      </c>
      <c r="CC228" s="10">
        <f t="shared" si="196"/>
        <v>-1.700913242009145E-3</v>
      </c>
      <c r="CD228" s="10">
        <f t="shared" si="197"/>
        <v>-1.85673515981737E-3</v>
      </c>
      <c r="CE228" s="10">
        <f t="shared" si="198"/>
        <v>1.7271689497718071E-3</v>
      </c>
      <c r="CF228" s="10">
        <f t="shared" si="199"/>
        <v>-5.582191780820994E-4</v>
      </c>
      <c r="CG228" s="10">
        <f t="shared" si="200"/>
        <v>-2.5319634703195558E-3</v>
      </c>
      <c r="CH228" s="10">
        <f t="shared" si="201"/>
        <v>-9.2180365296801951E-4</v>
      </c>
      <c r="CI228" s="10">
        <f t="shared" si="202"/>
        <v>-6.4275114155249984E-3</v>
      </c>
      <c r="CJ228" s="10">
        <f t="shared" si="203"/>
        <v>-1.3373287671232248E-3</v>
      </c>
      <c r="CK228" s="10">
        <f t="shared" si="204"/>
        <v>-4.0382420091323364E-3</v>
      </c>
      <c r="CL228" s="10">
        <f t="shared" si="205"/>
        <v>2.7283105022831138E-4</v>
      </c>
      <c r="CM228" s="10">
        <f t="shared" si="206"/>
        <v>-4.1940639269405621E-3</v>
      </c>
      <c r="CN228" s="10">
        <f t="shared" si="207"/>
        <v>-1.3373287671232248E-3</v>
      </c>
      <c r="CO228" s="10">
        <f t="shared" si="208"/>
        <v>4.2865296803653647E-4</v>
      </c>
      <c r="CP228" s="10">
        <f t="shared" si="209"/>
        <v>-2.5319634703195558E-3</v>
      </c>
      <c r="CQ228" s="10">
        <f t="shared" si="210"/>
        <v>8.9611872146121174E-4</v>
      </c>
      <c r="CR228" s="10">
        <f t="shared" si="211"/>
        <v>-5.582191780820994E-4</v>
      </c>
      <c r="CS228" s="10">
        <f t="shared" si="212"/>
        <v>4.2865296803653647E-4</v>
      </c>
      <c r="CT228" s="10">
        <f t="shared" si="213"/>
        <v>1.5194063926941121E-3</v>
      </c>
      <c r="CU228" s="10">
        <f t="shared" si="214"/>
        <v>-1.0167237442922401E-2</v>
      </c>
      <c r="CV228" s="10">
        <f t="shared" si="215"/>
        <v>-5.8042237442922822E-3</v>
      </c>
      <c r="CW228" s="10">
        <f t="shared" si="216"/>
        <v>-3.3110730593606812E-3</v>
      </c>
      <c r="CX228" s="10">
        <f t="shared" si="217"/>
        <v>6.5068493150800951E-5</v>
      </c>
      <c r="CY228" s="10">
        <f t="shared" si="218"/>
        <v>1.2597031963471317E-3</v>
      </c>
      <c r="CZ228" s="10">
        <f t="shared" si="219"/>
        <v>5.3253424657547627E-4</v>
      </c>
      <c r="DA228" s="10">
        <f t="shared" si="220"/>
        <v>-9.0753424657424137E-5</v>
      </c>
      <c r="DB228" s="10">
        <f t="shared" si="221"/>
        <v>-5.180936073059382E-3</v>
      </c>
      <c r="DC228" s="10">
        <f t="shared" si="222"/>
        <v>2.7283105022831138E-4</v>
      </c>
      <c r="DD228" s="10">
        <f t="shared" si="223"/>
        <v>-4.2979452054793168E-3</v>
      </c>
      <c r="DE228" s="10">
        <f t="shared" si="224"/>
        <v>-3.5045662100458897E-4</v>
      </c>
      <c r="DF228" s="10">
        <f t="shared" si="225"/>
        <v>1.9349315068493175E-3</v>
      </c>
      <c r="DG228" s="10">
        <f t="shared" si="226"/>
        <v>-8.764840182648375E-3</v>
      </c>
      <c r="DH228" s="10">
        <f t="shared" si="227"/>
        <v>-2.4657534246564923E-4</v>
      </c>
      <c r="DI228" s="10">
        <f t="shared" si="228"/>
        <v>-2.7397260273972508E-3</v>
      </c>
      <c r="DJ228" s="10">
        <f t="shared" si="229"/>
        <v>5.3253424657547627E-4</v>
      </c>
      <c r="DK228" s="10">
        <f t="shared" si="230"/>
        <v>-1.2853881278537551E-3</v>
      </c>
      <c r="DL228" s="10">
        <f t="shared" si="231"/>
        <v>-3.8824200913241116E-3</v>
      </c>
      <c r="DM228" s="10">
        <f t="shared" si="232"/>
        <v>-7.1546803652968389E-3</v>
      </c>
      <c r="DN228" s="10">
        <f t="shared" si="233"/>
        <v>-4.5433789954334419E-4</v>
      </c>
      <c r="DO228" s="10">
        <f t="shared" si="234"/>
        <v>-3.6227168949771313E-3</v>
      </c>
      <c r="DP228" s="10">
        <f t="shared" si="235"/>
        <v>9.4805936073068166E-4</v>
      </c>
      <c r="DQ228" s="10">
        <f t="shared" si="236"/>
        <v>-3.6227168949771313E-3</v>
      </c>
      <c r="DR228" s="10">
        <f t="shared" si="237"/>
        <v>-1.2853881278537551E-3</v>
      </c>
      <c r="DS228" s="10">
        <f t="shared" si="238"/>
        <v>-9.7517123287670111E-3</v>
      </c>
      <c r="DT228" s="10">
        <f t="shared" si="239"/>
        <v>-3.5188356164383761E-3</v>
      </c>
      <c r="DU228" s="10">
        <f t="shared" si="240"/>
        <v>-7.1404109589032455E-4</v>
      </c>
      <c r="DV228" s="10">
        <f t="shared" si="241"/>
        <v>-4.9731735159816871E-3</v>
      </c>
      <c r="DW228" s="10">
        <f t="shared" si="242"/>
        <v>-5.2328767123286674E-3</v>
      </c>
    </row>
    <row r="229" spans="2:127" x14ac:dyDescent="0.45">
      <c r="B229" s="1">
        <v>24</v>
      </c>
      <c r="C229" s="1">
        <v>3300</v>
      </c>
      <c r="D229" s="7">
        <f t="shared" si="243"/>
        <v>19.340659340659339</v>
      </c>
      <c r="E229" s="1">
        <v>19.25</v>
      </c>
      <c r="F229" s="1">
        <v>19.323</v>
      </c>
      <c r="G229" s="1">
        <v>19.346</v>
      </c>
      <c r="H229" s="1">
        <v>19.231000000000002</v>
      </c>
      <c r="I229" s="1">
        <v>19.303999999999998</v>
      </c>
      <c r="J229" s="1">
        <v>19.295999999999999</v>
      </c>
      <c r="K229" s="1">
        <v>19.437000000000001</v>
      </c>
      <c r="L229" s="1">
        <v>19.21</v>
      </c>
      <c r="M229" s="1">
        <v>19.376999999999999</v>
      </c>
      <c r="N229" s="1">
        <v>19.385000000000002</v>
      </c>
      <c r="O229" s="1">
        <v>19.315999999999999</v>
      </c>
      <c r="P229" s="1">
        <v>19.273</v>
      </c>
      <c r="Q229" s="1">
        <v>19.337</v>
      </c>
      <c r="R229" s="1">
        <v>19.306999999999999</v>
      </c>
      <c r="S229" s="1">
        <v>19.303000000000001</v>
      </c>
      <c r="T229" s="1">
        <v>19.375</v>
      </c>
      <c r="U229" s="1">
        <v>19.331</v>
      </c>
      <c r="V229" s="1">
        <v>19.292000000000002</v>
      </c>
      <c r="W229" s="1">
        <v>19.324000000000002</v>
      </c>
      <c r="X229" s="1">
        <v>19.21</v>
      </c>
      <c r="Y229" s="1">
        <v>19.315000000000001</v>
      </c>
      <c r="Z229" s="1">
        <v>19.262</v>
      </c>
      <c r="AA229" s="1">
        <v>19.346</v>
      </c>
      <c r="AB229" s="1">
        <v>19.260999999999999</v>
      </c>
      <c r="AC229" s="1">
        <v>19.315000000000001</v>
      </c>
      <c r="AD229" s="1">
        <v>19.346</v>
      </c>
      <c r="AE229" s="1">
        <v>19.292999999999999</v>
      </c>
      <c r="AF229" s="1">
        <v>19.358000000000001</v>
      </c>
      <c r="AG229" s="1">
        <v>19.329999999999998</v>
      </c>
      <c r="AH229" s="1">
        <v>19.347000000000001</v>
      </c>
      <c r="AI229" s="1">
        <v>19.369</v>
      </c>
      <c r="AJ229" s="1">
        <v>19.14</v>
      </c>
      <c r="AK229" s="1">
        <v>19.231000000000002</v>
      </c>
      <c r="AL229" s="1">
        <v>19.274999999999999</v>
      </c>
      <c r="AM229" s="1">
        <v>19.338999999999999</v>
      </c>
      <c r="AN229" s="1">
        <v>19.366</v>
      </c>
      <c r="AO229" s="1">
        <v>19.350000000000001</v>
      </c>
      <c r="AP229" s="1">
        <v>19.338000000000001</v>
      </c>
      <c r="AQ229" s="1">
        <v>19.242000000000001</v>
      </c>
      <c r="AR229" s="1">
        <v>19.344999999999999</v>
      </c>
      <c r="AS229" s="1">
        <v>19.257999999999999</v>
      </c>
      <c r="AT229" s="1">
        <v>19.334</v>
      </c>
      <c r="AU229" s="1">
        <v>19.38</v>
      </c>
      <c r="AV229" s="1">
        <v>19.175000000000001</v>
      </c>
      <c r="AW229" s="1">
        <v>19.335000000000001</v>
      </c>
      <c r="AX229" s="1">
        <v>19.288</v>
      </c>
      <c r="AY229" s="1">
        <v>19.349</v>
      </c>
      <c r="AZ229" s="1">
        <v>19.315999999999999</v>
      </c>
      <c r="BA229" s="1">
        <v>19.265999999999998</v>
      </c>
      <c r="BB229" s="1">
        <v>19.201000000000001</v>
      </c>
      <c r="BC229" s="1">
        <v>19.332000000000001</v>
      </c>
      <c r="BD229" s="1">
        <v>19.27</v>
      </c>
      <c r="BE229" s="1">
        <v>19.361000000000001</v>
      </c>
      <c r="BF229" s="1">
        <v>19.27</v>
      </c>
      <c r="BG229" s="1">
        <v>19.318000000000001</v>
      </c>
      <c r="BH229" s="1">
        <v>19.152000000000001</v>
      </c>
      <c r="BI229" s="1">
        <v>19.271000000000001</v>
      </c>
      <c r="BJ229" s="1">
        <v>19.327000000000002</v>
      </c>
      <c r="BK229" s="1">
        <v>19.25</v>
      </c>
      <c r="BL229" s="1">
        <v>19.239999999999998</v>
      </c>
      <c r="BN229" s="9">
        <v>24</v>
      </c>
      <c r="BO229" s="9">
        <v>3300</v>
      </c>
      <c r="BP229" s="10">
        <f t="shared" si="183"/>
        <v>-4.6874999999999374E-3</v>
      </c>
      <c r="BQ229" s="10">
        <f t="shared" si="184"/>
        <v>-9.1306818181809872E-4</v>
      </c>
      <c r="BR229" s="10">
        <f t="shared" si="185"/>
        <v>2.7613636363643066E-4</v>
      </c>
      <c r="BS229" s="10">
        <f t="shared" si="186"/>
        <v>-5.6698863636362165E-3</v>
      </c>
      <c r="BT229" s="10">
        <f t="shared" si="187"/>
        <v>-1.8954545454545608E-3</v>
      </c>
      <c r="BU229" s="10">
        <f t="shared" si="188"/>
        <v>-2.3090909090908792E-3</v>
      </c>
      <c r="BV229" s="10">
        <f t="shared" si="189"/>
        <v>4.9812500000001227E-3</v>
      </c>
      <c r="BW229" s="10">
        <f t="shared" si="190"/>
        <v>-6.755681818181712E-3</v>
      </c>
      <c r="BX229" s="10">
        <f t="shared" si="191"/>
        <v>1.878977272727278E-3</v>
      </c>
      <c r="BY229" s="10">
        <f t="shared" si="192"/>
        <v>2.29261363636378E-3</v>
      </c>
      <c r="BZ229" s="10">
        <f t="shared" si="193"/>
        <v>-1.2749999999999919E-3</v>
      </c>
      <c r="CA229" s="10">
        <f t="shared" si="194"/>
        <v>-3.4982954545454085E-3</v>
      </c>
      <c r="CB229" s="10">
        <f t="shared" si="195"/>
        <v>-1.892045454544961E-4</v>
      </c>
      <c r="CC229" s="10">
        <f t="shared" si="196"/>
        <v>-1.7403409090909186E-3</v>
      </c>
      <c r="CD229" s="10">
        <f t="shared" si="197"/>
        <v>-1.9471590909089858E-3</v>
      </c>
      <c r="CE229" s="10">
        <f t="shared" si="198"/>
        <v>1.7755681818182444E-3</v>
      </c>
      <c r="CF229" s="10">
        <f t="shared" si="199"/>
        <v>-4.9943181818178062E-4</v>
      </c>
      <c r="CG229" s="10">
        <f t="shared" si="200"/>
        <v>-2.5159090909089464E-3</v>
      </c>
      <c r="CH229" s="10">
        <f t="shared" si="201"/>
        <v>-8.6136363636349009E-4</v>
      </c>
      <c r="CI229" s="10">
        <f t="shared" si="202"/>
        <v>-6.755681818181712E-3</v>
      </c>
      <c r="CJ229" s="10">
        <f t="shared" si="203"/>
        <v>-1.3267045454544168E-3</v>
      </c>
      <c r="CK229" s="10">
        <f t="shared" si="204"/>
        <v>-4.0670454545453684E-3</v>
      </c>
      <c r="CL229" s="10">
        <f t="shared" si="205"/>
        <v>2.7613636363643066E-4</v>
      </c>
      <c r="CM229" s="10">
        <f t="shared" si="206"/>
        <v>-4.1187499999999775E-3</v>
      </c>
      <c r="CN229" s="10">
        <f t="shared" si="207"/>
        <v>-1.3267045454544168E-3</v>
      </c>
      <c r="CO229" s="10">
        <f t="shared" si="208"/>
        <v>2.7613636363643066E-4</v>
      </c>
      <c r="CP229" s="10">
        <f t="shared" si="209"/>
        <v>-2.4642045454545212E-3</v>
      </c>
      <c r="CQ229" s="10">
        <f t="shared" si="210"/>
        <v>8.965909090909997E-4</v>
      </c>
      <c r="CR229" s="10">
        <f t="shared" si="211"/>
        <v>-5.5113636363638926E-4</v>
      </c>
      <c r="CS229" s="10">
        <f t="shared" si="212"/>
        <v>3.278409090910393E-4</v>
      </c>
      <c r="CT229" s="10">
        <f t="shared" si="213"/>
        <v>1.4653409090909599E-3</v>
      </c>
      <c r="CU229" s="10">
        <f t="shared" si="214"/>
        <v>-1.0374999999999909E-2</v>
      </c>
      <c r="CV229" s="10">
        <f t="shared" si="215"/>
        <v>-5.6698863636362165E-3</v>
      </c>
      <c r="CW229" s="10">
        <f t="shared" si="216"/>
        <v>-3.3948863636363747E-3</v>
      </c>
      <c r="CX229" s="10">
        <f t="shared" si="217"/>
        <v>-8.5795454545462509E-5</v>
      </c>
      <c r="CY229" s="10">
        <f t="shared" si="218"/>
        <v>1.3102272727273177E-3</v>
      </c>
      <c r="CZ229" s="10">
        <f t="shared" si="219"/>
        <v>4.8295454545468154E-4</v>
      </c>
      <c r="DA229" s="10">
        <f t="shared" si="220"/>
        <v>-1.3749999999988747E-4</v>
      </c>
      <c r="DB229" s="10">
        <f t="shared" si="221"/>
        <v>-5.1011363636362557E-3</v>
      </c>
      <c r="DC229" s="10">
        <f t="shared" si="222"/>
        <v>2.24431818181822E-4</v>
      </c>
      <c r="DD229" s="10">
        <f t="shared" si="223"/>
        <v>-4.2738636363636199E-3</v>
      </c>
      <c r="DE229" s="10">
        <f t="shared" si="224"/>
        <v>-3.4431818181813838E-4</v>
      </c>
      <c r="DF229" s="10">
        <f t="shared" si="225"/>
        <v>2.0340909090909203E-3</v>
      </c>
      <c r="DG229" s="10">
        <f t="shared" si="226"/>
        <v>-8.5653409090908107E-3</v>
      </c>
      <c r="DH229" s="10">
        <f t="shared" si="227"/>
        <v>-2.9261363636352974E-4</v>
      </c>
      <c r="DI229" s="10">
        <f t="shared" si="228"/>
        <v>-2.722727272727197E-3</v>
      </c>
      <c r="DJ229" s="10">
        <f t="shared" si="229"/>
        <v>4.3125000000007291E-4</v>
      </c>
      <c r="DK229" s="10">
        <f t="shared" si="230"/>
        <v>-1.2749999999999919E-3</v>
      </c>
      <c r="DL229" s="10">
        <f t="shared" si="231"/>
        <v>-3.8602272727273016E-3</v>
      </c>
      <c r="DM229" s="10">
        <f t="shared" si="232"/>
        <v>-7.2210227272726385E-3</v>
      </c>
      <c r="DN229" s="10">
        <f t="shared" si="233"/>
        <v>-4.4772727272717199E-4</v>
      </c>
      <c r="DO229" s="10">
        <f t="shared" si="234"/>
        <v>-3.6534090909090505E-3</v>
      </c>
      <c r="DP229" s="10">
        <f t="shared" si="235"/>
        <v>1.0517045454546418E-3</v>
      </c>
      <c r="DQ229" s="10">
        <f t="shared" si="236"/>
        <v>-3.6534090909090505E-3</v>
      </c>
      <c r="DR229" s="10">
        <f t="shared" si="237"/>
        <v>-1.1715909090907746E-3</v>
      </c>
      <c r="DS229" s="10">
        <f t="shared" si="238"/>
        <v>-9.7545454545453405E-3</v>
      </c>
      <c r="DT229" s="10">
        <f t="shared" si="239"/>
        <v>-3.6017045454544419E-3</v>
      </c>
      <c r="DU229" s="10">
        <f t="shared" si="240"/>
        <v>-7.0624999999984784E-4</v>
      </c>
      <c r="DV229" s="10">
        <f t="shared" si="241"/>
        <v>-4.6874999999999374E-3</v>
      </c>
      <c r="DW229" s="10">
        <f t="shared" si="242"/>
        <v>-5.204545454545473E-3</v>
      </c>
    </row>
    <row r="230" spans="2:127" x14ac:dyDescent="0.45">
      <c r="B230" s="1">
        <v>24</v>
      </c>
      <c r="C230" s="1">
        <v>3315</v>
      </c>
      <c r="D230" s="7">
        <f t="shared" si="243"/>
        <v>19.428571428571427</v>
      </c>
      <c r="E230" s="1">
        <v>19.337</v>
      </c>
      <c r="F230" s="1">
        <v>19.411000000000001</v>
      </c>
      <c r="G230" s="1">
        <v>19.436</v>
      </c>
      <c r="H230" s="1">
        <v>19.315000000000001</v>
      </c>
      <c r="I230" s="1">
        <v>19.393000000000001</v>
      </c>
      <c r="J230" s="1">
        <v>19.382999999999999</v>
      </c>
      <c r="K230" s="1">
        <v>19.524999999999999</v>
      </c>
      <c r="L230" s="1">
        <v>19.292999999999999</v>
      </c>
      <c r="M230" s="1">
        <v>19.465</v>
      </c>
      <c r="N230" s="1">
        <v>19.474</v>
      </c>
      <c r="O230" s="1">
        <v>19.402999999999999</v>
      </c>
      <c r="P230" s="1">
        <v>19.36</v>
      </c>
      <c r="Q230" s="1">
        <v>19.422999999999998</v>
      </c>
      <c r="R230" s="1">
        <v>19.395</v>
      </c>
      <c r="S230" s="1">
        <v>19.390999999999998</v>
      </c>
      <c r="T230" s="1">
        <v>19.460999999999999</v>
      </c>
      <c r="U230" s="1">
        <v>19.417999999999999</v>
      </c>
      <c r="V230" s="1">
        <v>19.379000000000001</v>
      </c>
      <c r="W230" s="1">
        <v>19.411999999999999</v>
      </c>
      <c r="X230" s="1">
        <v>19.298999999999999</v>
      </c>
      <c r="Y230" s="1">
        <v>19.402999999999999</v>
      </c>
      <c r="Z230" s="1">
        <v>19.350999999999999</v>
      </c>
      <c r="AA230" s="1">
        <v>19.436</v>
      </c>
      <c r="AB230" s="1">
        <v>19.347000000000001</v>
      </c>
      <c r="AC230" s="1">
        <v>19.402999999999999</v>
      </c>
      <c r="AD230" s="1">
        <v>19.431000000000001</v>
      </c>
      <c r="AE230" s="1">
        <v>19.381</v>
      </c>
      <c r="AF230" s="1">
        <v>19.446000000000002</v>
      </c>
      <c r="AG230" s="1">
        <v>19.414999999999999</v>
      </c>
      <c r="AH230" s="1">
        <v>19.436</v>
      </c>
      <c r="AI230" s="1">
        <v>19.456</v>
      </c>
      <c r="AJ230" s="1">
        <v>19.224</v>
      </c>
      <c r="AK230" s="1">
        <v>19.318999999999999</v>
      </c>
      <c r="AL230" s="1">
        <v>19.361999999999998</v>
      </c>
      <c r="AM230" s="1">
        <v>19.425999999999998</v>
      </c>
      <c r="AN230" s="1">
        <v>19.456</v>
      </c>
      <c r="AO230" s="1">
        <v>19.440000000000001</v>
      </c>
      <c r="AP230" s="1">
        <v>19.425999999999998</v>
      </c>
      <c r="AQ230" s="1">
        <v>19.327000000000002</v>
      </c>
      <c r="AR230" s="1">
        <v>19.433</v>
      </c>
      <c r="AS230" s="1">
        <v>19.347000000000001</v>
      </c>
      <c r="AT230" s="1">
        <v>19.420999999999999</v>
      </c>
      <c r="AU230" s="1">
        <v>19.468</v>
      </c>
      <c r="AV230" s="1">
        <v>19.259</v>
      </c>
      <c r="AW230" s="1">
        <v>19.422999999999998</v>
      </c>
      <c r="AX230" s="1">
        <v>19.373000000000001</v>
      </c>
      <c r="AY230" s="1">
        <v>19.437000000000001</v>
      </c>
      <c r="AZ230" s="1">
        <v>19.402000000000001</v>
      </c>
      <c r="BA230" s="1">
        <v>19.353000000000002</v>
      </c>
      <c r="BB230" s="1">
        <v>19.29</v>
      </c>
      <c r="BC230" s="1">
        <v>19.419</v>
      </c>
      <c r="BD230" s="1">
        <v>19.358000000000001</v>
      </c>
      <c r="BE230" s="1">
        <v>19.448</v>
      </c>
      <c r="BF230" s="1">
        <v>19.358000000000001</v>
      </c>
      <c r="BG230" s="1">
        <v>19.404</v>
      </c>
      <c r="BH230" s="1">
        <v>19.242000000000001</v>
      </c>
      <c r="BI230" s="1">
        <v>19.36</v>
      </c>
      <c r="BJ230" s="1">
        <v>19.414000000000001</v>
      </c>
      <c r="BK230" s="1">
        <v>19.338000000000001</v>
      </c>
      <c r="BL230" s="1">
        <v>19.327999999999999</v>
      </c>
      <c r="BN230" s="9">
        <v>24</v>
      </c>
      <c r="BO230" s="9">
        <v>3315</v>
      </c>
      <c r="BP230" s="10">
        <f t="shared" si="183"/>
        <v>-4.7132352941175824E-3</v>
      </c>
      <c r="BQ230" s="10">
        <f t="shared" si="184"/>
        <v>-9.0441176470573389E-4</v>
      </c>
      <c r="BR230" s="10">
        <f t="shared" si="185"/>
        <v>3.8235294117654607E-4</v>
      </c>
      <c r="BS230" s="10">
        <f t="shared" si="186"/>
        <v>-5.8455882352939741E-3</v>
      </c>
      <c r="BT230" s="10">
        <f t="shared" si="187"/>
        <v>-1.8308823529410631E-3</v>
      </c>
      <c r="BU230" s="10">
        <f t="shared" si="188"/>
        <v>-2.345588235294085E-3</v>
      </c>
      <c r="BV230" s="10">
        <f t="shared" si="189"/>
        <v>4.9632352941176528E-3</v>
      </c>
      <c r="BW230" s="10">
        <f t="shared" si="190"/>
        <v>-6.9779411764705488E-3</v>
      </c>
      <c r="BX230" s="10">
        <f t="shared" si="191"/>
        <v>1.8750000000000713E-3</v>
      </c>
      <c r="BY230" s="10">
        <f t="shared" si="192"/>
        <v>2.3382352941177359E-3</v>
      </c>
      <c r="BZ230" s="10">
        <f t="shared" si="193"/>
        <v>-1.3161764705882243E-3</v>
      </c>
      <c r="CA230" s="10">
        <f t="shared" si="194"/>
        <v>-3.5294117647058335E-3</v>
      </c>
      <c r="CB230" s="10">
        <f t="shared" si="195"/>
        <v>-2.8676470588236385E-4</v>
      </c>
      <c r="CC230" s="10">
        <f t="shared" si="196"/>
        <v>-1.727941176470532E-3</v>
      </c>
      <c r="CD230" s="10">
        <f t="shared" si="197"/>
        <v>-1.9338235294117771E-3</v>
      </c>
      <c r="CE230" s="10">
        <f t="shared" si="198"/>
        <v>1.6691176470588259E-3</v>
      </c>
      <c r="CF230" s="10">
        <f t="shared" si="199"/>
        <v>-5.4411764705878328E-4</v>
      </c>
      <c r="CG230" s="10">
        <f t="shared" si="200"/>
        <v>-2.5514705882351474E-3</v>
      </c>
      <c r="CH230" s="10">
        <f t="shared" si="201"/>
        <v>-8.529411764705597E-4</v>
      </c>
      <c r="CI230" s="10">
        <f t="shared" si="202"/>
        <v>-6.6691176470587716E-3</v>
      </c>
      <c r="CJ230" s="10">
        <f t="shared" si="203"/>
        <v>-1.3161764705882243E-3</v>
      </c>
      <c r="CK230" s="10">
        <f t="shared" si="204"/>
        <v>-3.9926470588234984E-3</v>
      </c>
      <c r="CL230" s="10">
        <f t="shared" si="205"/>
        <v>3.8235294117654607E-4</v>
      </c>
      <c r="CM230" s="10">
        <f t="shared" si="206"/>
        <v>-4.1985294117645603E-3</v>
      </c>
      <c r="CN230" s="10">
        <f t="shared" si="207"/>
        <v>-1.3161764705882243E-3</v>
      </c>
      <c r="CO230" s="10">
        <f t="shared" si="208"/>
        <v>1.2500000000012666E-4</v>
      </c>
      <c r="CP230" s="10">
        <f t="shared" si="209"/>
        <v>-2.448529411764616E-3</v>
      </c>
      <c r="CQ230" s="10">
        <f t="shared" si="210"/>
        <v>8.9705882352956773E-4</v>
      </c>
      <c r="CR230" s="10">
        <f t="shared" si="211"/>
        <v>-6.9852941176467144E-4</v>
      </c>
      <c r="CS230" s="10">
        <f t="shared" si="212"/>
        <v>3.8235294117654607E-4</v>
      </c>
      <c r="CT230" s="10">
        <f t="shared" si="213"/>
        <v>1.4117647058824066E-3</v>
      </c>
      <c r="CU230" s="10">
        <f t="shared" si="214"/>
        <v>-1.0529411764705794E-2</v>
      </c>
      <c r="CV230" s="10">
        <f t="shared" si="215"/>
        <v>-5.6397058823529113E-3</v>
      </c>
      <c r="CW230" s="10">
        <f t="shared" si="216"/>
        <v>-3.4264705882353025E-3</v>
      </c>
      <c r="CX230" s="10">
        <f t="shared" si="217"/>
        <v>-1.3235294117647562E-4</v>
      </c>
      <c r="CY230" s="10">
        <f t="shared" si="218"/>
        <v>1.4117647058824066E-3</v>
      </c>
      <c r="CZ230" s="10">
        <f t="shared" si="219"/>
        <v>5.8823529411779131E-4</v>
      </c>
      <c r="DA230" s="10">
        <f t="shared" si="220"/>
        <v>-1.3235294117647562E-4</v>
      </c>
      <c r="DB230" s="10">
        <f t="shared" si="221"/>
        <v>-5.2279411764704214E-3</v>
      </c>
      <c r="DC230" s="10">
        <f t="shared" si="222"/>
        <v>2.2794117647065783E-4</v>
      </c>
      <c r="DD230" s="10">
        <f t="shared" si="223"/>
        <v>-4.1985294117645603E-3</v>
      </c>
      <c r="DE230" s="10">
        <f t="shared" si="224"/>
        <v>-3.8970588235289502E-4</v>
      </c>
      <c r="DF230" s="10">
        <f t="shared" si="225"/>
        <v>2.0294117647059592E-3</v>
      </c>
      <c r="DG230" s="10">
        <f t="shared" si="226"/>
        <v>-8.7279411764704922E-3</v>
      </c>
      <c r="DH230" s="10">
        <f t="shared" si="227"/>
        <v>-2.8676470588236385E-4</v>
      </c>
      <c r="DI230" s="10">
        <f t="shared" si="228"/>
        <v>-2.8602941176469237E-3</v>
      </c>
      <c r="DJ230" s="10">
        <f t="shared" si="229"/>
        <v>4.3382352941190311E-4</v>
      </c>
      <c r="DK230" s="10">
        <f t="shared" si="230"/>
        <v>-1.3676470588233985E-3</v>
      </c>
      <c r="DL230" s="10">
        <f t="shared" si="231"/>
        <v>-3.889705882352784E-3</v>
      </c>
      <c r="DM230" s="10">
        <f t="shared" si="232"/>
        <v>-7.1323529411764369E-3</v>
      </c>
      <c r="DN230" s="10">
        <f t="shared" si="233"/>
        <v>-4.9264705882342619E-4</v>
      </c>
      <c r="DO230" s="10">
        <f t="shared" si="234"/>
        <v>-3.6323529411763649E-3</v>
      </c>
      <c r="DP230" s="10">
        <f t="shared" si="235"/>
        <v>1.0000000000000989E-3</v>
      </c>
      <c r="DQ230" s="10">
        <f t="shared" si="236"/>
        <v>-3.6323529411763649E-3</v>
      </c>
      <c r="DR230" s="10">
        <f t="shared" si="237"/>
        <v>-1.2647058823528673E-3</v>
      </c>
      <c r="DS230" s="10">
        <f t="shared" si="238"/>
        <v>-9.6029411764704652E-3</v>
      </c>
      <c r="DT230" s="10">
        <f t="shared" si="239"/>
        <v>-3.5294117647058335E-3</v>
      </c>
      <c r="DU230" s="10">
        <f t="shared" si="240"/>
        <v>-7.4999999999984563E-4</v>
      </c>
      <c r="DV230" s="10">
        <f t="shared" si="241"/>
        <v>-4.6617647058822256E-3</v>
      </c>
      <c r="DW230" s="10">
        <f t="shared" si="242"/>
        <v>-5.1764705882352468E-3</v>
      </c>
    </row>
    <row r="231" spans="2:127" x14ac:dyDescent="0.45">
      <c r="B231" s="1">
        <v>24</v>
      </c>
      <c r="C231" s="1">
        <v>3330</v>
      </c>
      <c r="D231" s="7">
        <f t="shared" si="243"/>
        <v>19.516483516483518</v>
      </c>
      <c r="E231" s="1">
        <v>19.425999999999998</v>
      </c>
      <c r="F231" s="1">
        <v>19.494</v>
      </c>
      <c r="G231" s="1">
        <v>19.524999999999999</v>
      </c>
      <c r="H231" s="1">
        <v>19.402000000000001</v>
      </c>
      <c r="I231" s="1">
        <v>19.481999999999999</v>
      </c>
      <c r="J231" s="1">
        <v>19.471</v>
      </c>
      <c r="K231" s="1">
        <v>19.611999999999998</v>
      </c>
      <c r="L231" s="1">
        <v>19.382999999999999</v>
      </c>
      <c r="M231" s="1">
        <v>19.556000000000001</v>
      </c>
      <c r="N231" s="1">
        <v>19.562999999999999</v>
      </c>
      <c r="O231" s="1">
        <v>19.489999999999998</v>
      </c>
      <c r="P231" s="1">
        <v>19.445</v>
      </c>
      <c r="Q231" s="1">
        <v>19.513000000000002</v>
      </c>
      <c r="R231" s="1">
        <v>19.483000000000001</v>
      </c>
      <c r="S231" s="1">
        <v>19.481999999999999</v>
      </c>
      <c r="T231" s="1">
        <v>19.550999999999998</v>
      </c>
      <c r="U231" s="1">
        <v>19.504999999999999</v>
      </c>
      <c r="V231" s="1">
        <v>19.463999999999999</v>
      </c>
      <c r="W231" s="1">
        <v>19.501999999999999</v>
      </c>
      <c r="X231" s="1">
        <v>19.385000000000002</v>
      </c>
      <c r="Y231" s="1">
        <v>19.491</v>
      </c>
      <c r="Z231" s="1">
        <v>19.440999999999999</v>
      </c>
      <c r="AA231" s="1">
        <v>19.524999999999999</v>
      </c>
      <c r="AB231" s="1">
        <v>19.433</v>
      </c>
      <c r="AC231" s="1">
        <v>19.491</v>
      </c>
      <c r="AD231" s="1">
        <v>19.521000000000001</v>
      </c>
      <c r="AE231" s="1">
        <v>19.466999999999999</v>
      </c>
      <c r="AF231" s="1">
        <v>19.536000000000001</v>
      </c>
      <c r="AG231" s="1">
        <v>19.504999999999999</v>
      </c>
      <c r="AH231" s="1">
        <v>19.526</v>
      </c>
      <c r="AI231" s="1">
        <v>19.542999999999999</v>
      </c>
      <c r="AJ231" s="1">
        <v>19.311</v>
      </c>
      <c r="AK231" s="1">
        <v>19.407</v>
      </c>
      <c r="AL231" s="1">
        <v>19.45</v>
      </c>
      <c r="AM231" s="1">
        <v>19.510000000000002</v>
      </c>
      <c r="AN231" s="1">
        <v>19.542999999999999</v>
      </c>
      <c r="AO231" s="1">
        <v>19.527999999999999</v>
      </c>
      <c r="AP231" s="1">
        <v>19.513999999999999</v>
      </c>
      <c r="AQ231" s="1">
        <v>19.414000000000001</v>
      </c>
      <c r="AR231" s="1">
        <v>19.521000000000001</v>
      </c>
      <c r="AS231" s="1">
        <v>19.43</v>
      </c>
      <c r="AT231" s="1">
        <v>19.506</v>
      </c>
      <c r="AU231" s="1">
        <v>19.558</v>
      </c>
      <c r="AV231" s="1">
        <v>19.349</v>
      </c>
      <c r="AW231" s="1">
        <v>19.510000000000002</v>
      </c>
      <c r="AX231" s="1">
        <v>19.463000000000001</v>
      </c>
      <c r="AY231" s="1">
        <v>19.524999999999999</v>
      </c>
      <c r="AZ231" s="1">
        <v>19.484000000000002</v>
      </c>
      <c r="BA231" s="1">
        <v>19.440999999999999</v>
      </c>
      <c r="BB231" s="1">
        <v>19.379000000000001</v>
      </c>
      <c r="BC231" s="1">
        <v>19.506</v>
      </c>
      <c r="BD231" s="1">
        <v>19.446000000000002</v>
      </c>
      <c r="BE231" s="1">
        <v>19.536000000000001</v>
      </c>
      <c r="BF231" s="1">
        <v>19.448</v>
      </c>
      <c r="BG231" s="1">
        <v>19.494</v>
      </c>
      <c r="BH231" s="1">
        <v>19.326000000000001</v>
      </c>
      <c r="BI231" s="1">
        <v>19.448</v>
      </c>
      <c r="BJ231" s="1">
        <v>19.503</v>
      </c>
      <c r="BK231" s="1">
        <v>19.419</v>
      </c>
      <c r="BL231" s="1">
        <v>19.414000000000001</v>
      </c>
      <c r="BN231" s="9">
        <v>24</v>
      </c>
      <c r="BO231" s="9">
        <v>3330</v>
      </c>
      <c r="BP231" s="10">
        <f t="shared" si="183"/>
        <v>-4.6362612612614318E-3</v>
      </c>
      <c r="BQ231" s="10">
        <f t="shared" si="184"/>
        <v>-1.1520270270271265E-3</v>
      </c>
      <c r="BR231" s="10">
        <f t="shared" si="185"/>
        <v>4.3637387387371302E-4</v>
      </c>
      <c r="BS231" s="10">
        <f t="shared" si="186"/>
        <v>-5.865990990991026E-3</v>
      </c>
      <c r="BT231" s="10">
        <f t="shared" si="187"/>
        <v>-1.7668918918920147E-3</v>
      </c>
      <c r="BU231" s="10">
        <f t="shared" si="188"/>
        <v>-2.3305180180181015E-3</v>
      </c>
      <c r="BV231" s="10">
        <f t="shared" si="189"/>
        <v>4.8941441441439698E-3</v>
      </c>
      <c r="BW231" s="10">
        <f t="shared" si="190"/>
        <v>-6.8395270270271598E-3</v>
      </c>
      <c r="BX231" s="10">
        <f t="shared" si="191"/>
        <v>2.0247747747747348E-3</v>
      </c>
      <c r="BY231" s="10">
        <f t="shared" si="192"/>
        <v>2.3834459459457979E-3</v>
      </c>
      <c r="BZ231" s="10">
        <f t="shared" si="193"/>
        <v>-1.3569819819821501E-3</v>
      </c>
      <c r="CA231" s="10">
        <f t="shared" si="194"/>
        <v>-3.6627252252252984E-3</v>
      </c>
      <c r="CB231" s="10">
        <f t="shared" si="195"/>
        <v>-1.7849099099099308E-4</v>
      </c>
      <c r="CC231" s="10">
        <f t="shared" si="196"/>
        <v>-1.7156531531532133E-3</v>
      </c>
      <c r="CD231" s="10">
        <f t="shared" si="197"/>
        <v>-1.7668918918920147E-3</v>
      </c>
      <c r="CE231" s="10">
        <f t="shared" si="198"/>
        <v>1.76858108108091E-3</v>
      </c>
      <c r="CF231" s="10">
        <f t="shared" si="199"/>
        <v>-5.8840090090103985E-4</v>
      </c>
      <c r="CG231" s="10">
        <f t="shared" si="200"/>
        <v>-2.6891891891893467E-3</v>
      </c>
      <c r="CH231" s="10">
        <f t="shared" si="201"/>
        <v>-7.4211711711726189E-4</v>
      </c>
      <c r="CI231" s="10">
        <f t="shared" si="202"/>
        <v>-6.7370495495495571E-3</v>
      </c>
      <c r="CJ231" s="10">
        <f t="shared" si="203"/>
        <v>-1.3057432432433487E-3</v>
      </c>
      <c r="CK231" s="10">
        <f t="shared" si="204"/>
        <v>-3.8676801801803217E-3</v>
      </c>
      <c r="CL231" s="10">
        <f t="shared" si="205"/>
        <v>4.3637387387371302E-4</v>
      </c>
      <c r="CM231" s="10">
        <f t="shared" si="206"/>
        <v>-4.2775900900901866E-3</v>
      </c>
      <c r="CN231" s="10">
        <f t="shared" si="207"/>
        <v>-1.3057432432433487E-3</v>
      </c>
      <c r="CO231" s="10">
        <f t="shared" si="208"/>
        <v>2.3141891891887166E-4</v>
      </c>
      <c r="CP231" s="10">
        <f t="shared" si="209"/>
        <v>-2.5354729729731248E-3</v>
      </c>
      <c r="CQ231" s="10">
        <f t="shared" si="210"/>
        <v>9.9999999999998181E-4</v>
      </c>
      <c r="CR231" s="10">
        <f t="shared" si="211"/>
        <v>-5.8840090090103985E-4</v>
      </c>
      <c r="CS231" s="10">
        <f t="shared" si="212"/>
        <v>4.8761261261251438E-4</v>
      </c>
      <c r="CT231" s="10">
        <f t="shared" si="213"/>
        <v>1.3586711711710451E-3</v>
      </c>
      <c r="CU231" s="10">
        <f t="shared" si="214"/>
        <v>-1.0528716216216306E-2</v>
      </c>
      <c r="CV231" s="10">
        <f t="shared" si="215"/>
        <v>-5.6097972972973835E-3</v>
      </c>
      <c r="CW231" s="10">
        <f t="shared" si="216"/>
        <v>-3.4065315315316555E-3</v>
      </c>
      <c r="CX231" s="10">
        <f t="shared" si="217"/>
        <v>-3.3220720720721509E-4</v>
      </c>
      <c r="CY231" s="10">
        <f t="shared" si="218"/>
        <v>1.3586711711710451E-3</v>
      </c>
      <c r="CZ231" s="10">
        <f t="shared" si="219"/>
        <v>5.9009009008993501E-4</v>
      </c>
      <c r="DA231" s="10">
        <f t="shared" si="220"/>
        <v>-1.2725225225237375E-4</v>
      </c>
      <c r="DB231" s="10">
        <f t="shared" si="221"/>
        <v>-5.2511261261261382E-3</v>
      </c>
      <c r="DC231" s="10">
        <f t="shared" si="222"/>
        <v>2.3141891891887166E-4</v>
      </c>
      <c r="DD231" s="10">
        <f t="shared" si="223"/>
        <v>-4.4313063063064085E-3</v>
      </c>
      <c r="DE231" s="10">
        <f t="shared" si="224"/>
        <v>-5.3716216216223849E-4</v>
      </c>
      <c r="DF231" s="10">
        <f t="shared" si="225"/>
        <v>2.1272522522521554E-3</v>
      </c>
      <c r="DG231" s="10">
        <f t="shared" si="226"/>
        <v>-8.581644144144222E-3</v>
      </c>
      <c r="DH231" s="10">
        <f t="shared" si="227"/>
        <v>-3.3220720720721509E-4</v>
      </c>
      <c r="DI231" s="10">
        <f t="shared" si="228"/>
        <v>-2.7404279279279664E-3</v>
      </c>
      <c r="DJ231" s="10">
        <f t="shared" si="229"/>
        <v>4.3637387387371302E-4</v>
      </c>
      <c r="DK231" s="10">
        <f t="shared" si="230"/>
        <v>-1.664414414414412E-3</v>
      </c>
      <c r="DL231" s="10">
        <f t="shared" si="231"/>
        <v>-3.8676801801803217E-3</v>
      </c>
      <c r="DM231" s="10">
        <f t="shared" si="232"/>
        <v>-7.0444819819820009E-3</v>
      </c>
      <c r="DN231" s="10">
        <f t="shared" si="233"/>
        <v>-5.3716216216223849E-4</v>
      </c>
      <c r="DO231" s="10">
        <f t="shared" si="234"/>
        <v>-3.611486486486497E-3</v>
      </c>
      <c r="DP231" s="10">
        <f t="shared" si="235"/>
        <v>9.9999999999998181E-4</v>
      </c>
      <c r="DQ231" s="10">
        <f t="shared" si="236"/>
        <v>-3.5090090090090765E-3</v>
      </c>
      <c r="DR231" s="10">
        <f t="shared" si="237"/>
        <v>-1.1520270270271265E-3</v>
      </c>
      <c r="DS231" s="10">
        <f t="shared" si="238"/>
        <v>-9.7601351351351961E-3</v>
      </c>
      <c r="DT231" s="10">
        <f t="shared" si="239"/>
        <v>-3.5090090090090765E-3</v>
      </c>
      <c r="DU231" s="10">
        <f t="shared" si="240"/>
        <v>-6.9087837837846053E-4</v>
      </c>
      <c r="DV231" s="10">
        <f t="shared" si="241"/>
        <v>-4.9949324324324949E-3</v>
      </c>
      <c r="DW231" s="10">
        <f t="shared" si="242"/>
        <v>-5.2511261261261382E-3</v>
      </c>
    </row>
    <row r="232" spans="2:127" x14ac:dyDescent="0.45">
      <c r="B232" s="1">
        <v>24</v>
      </c>
      <c r="C232" s="1">
        <v>3345</v>
      </c>
      <c r="D232" s="7">
        <f t="shared" si="243"/>
        <v>19.604395604395606</v>
      </c>
      <c r="E232" s="1">
        <v>19.513999999999999</v>
      </c>
      <c r="F232" s="1">
        <v>19.581</v>
      </c>
      <c r="G232" s="1">
        <v>19.614999999999998</v>
      </c>
      <c r="H232" s="1">
        <v>19.491</v>
      </c>
      <c r="I232" s="1">
        <v>19.571000000000002</v>
      </c>
      <c r="J232" s="1">
        <v>19.559000000000001</v>
      </c>
      <c r="K232" s="1">
        <v>19.701000000000001</v>
      </c>
      <c r="L232" s="1">
        <v>19.468</v>
      </c>
      <c r="M232" s="1">
        <v>19.643000000000001</v>
      </c>
      <c r="N232" s="1">
        <v>19.649999999999999</v>
      </c>
      <c r="O232" s="1">
        <v>19.577000000000002</v>
      </c>
      <c r="P232" s="1">
        <v>19.533000000000001</v>
      </c>
      <c r="Q232" s="1">
        <v>19.600999999999999</v>
      </c>
      <c r="R232" s="1">
        <v>19.573</v>
      </c>
      <c r="S232" s="1">
        <v>19.57</v>
      </c>
      <c r="T232" s="1">
        <v>19.635000000000002</v>
      </c>
      <c r="U232" s="1">
        <v>19.596</v>
      </c>
      <c r="V232" s="1">
        <v>19.548999999999999</v>
      </c>
      <c r="W232" s="1">
        <v>19.588999999999999</v>
      </c>
      <c r="X232" s="1">
        <v>19.469000000000001</v>
      </c>
      <c r="Y232" s="1">
        <v>19.582000000000001</v>
      </c>
      <c r="Z232" s="1">
        <v>19.527999999999999</v>
      </c>
      <c r="AA232" s="1">
        <v>19.613</v>
      </c>
      <c r="AB232" s="1">
        <v>19.521000000000001</v>
      </c>
      <c r="AC232" s="1">
        <v>19.581</v>
      </c>
      <c r="AD232" s="1">
        <v>19.611000000000001</v>
      </c>
      <c r="AE232" s="1">
        <v>19.552</v>
      </c>
      <c r="AF232" s="1">
        <v>19.623000000000001</v>
      </c>
      <c r="AG232" s="1">
        <v>19.591999999999999</v>
      </c>
      <c r="AH232" s="1">
        <v>19.617000000000001</v>
      </c>
      <c r="AI232" s="1">
        <v>19.63</v>
      </c>
      <c r="AJ232" s="1">
        <v>19.396000000000001</v>
      </c>
      <c r="AK232" s="1">
        <v>19.494</v>
      </c>
      <c r="AL232" s="1">
        <v>19.536000000000001</v>
      </c>
      <c r="AM232" s="1">
        <v>19.597999999999999</v>
      </c>
      <c r="AN232" s="1">
        <v>19.634</v>
      </c>
      <c r="AO232" s="1">
        <v>19.616</v>
      </c>
      <c r="AP232" s="1">
        <v>19.602</v>
      </c>
      <c r="AQ232" s="1">
        <v>19.501000000000001</v>
      </c>
      <c r="AR232" s="1">
        <v>19.611000000000001</v>
      </c>
      <c r="AS232" s="1">
        <v>19.52</v>
      </c>
      <c r="AT232" s="1">
        <v>19.594000000000001</v>
      </c>
      <c r="AU232" s="1">
        <v>19.646999999999998</v>
      </c>
      <c r="AV232" s="1">
        <v>19.434000000000001</v>
      </c>
      <c r="AW232" s="1">
        <v>19.600000000000001</v>
      </c>
      <c r="AX232" s="1">
        <v>19.550999999999998</v>
      </c>
      <c r="AY232" s="1">
        <v>19.614999999999998</v>
      </c>
      <c r="AZ232" s="1">
        <v>19.57</v>
      </c>
      <c r="BA232" s="1">
        <v>19.529</v>
      </c>
      <c r="BB232" s="1">
        <v>19.465</v>
      </c>
      <c r="BC232" s="1">
        <v>19.593</v>
      </c>
      <c r="BD232" s="1">
        <v>19.533000000000001</v>
      </c>
      <c r="BE232" s="1">
        <v>19.623000000000001</v>
      </c>
      <c r="BF232" s="1">
        <v>19.535</v>
      </c>
      <c r="BG232" s="1">
        <v>19.582000000000001</v>
      </c>
      <c r="BH232" s="1">
        <v>19.414000000000001</v>
      </c>
      <c r="BI232" s="1">
        <v>19.533000000000001</v>
      </c>
      <c r="BJ232" s="1">
        <v>19.591999999999999</v>
      </c>
      <c r="BK232" s="1">
        <v>19.507000000000001</v>
      </c>
      <c r="BL232" s="1">
        <v>19.501999999999999</v>
      </c>
      <c r="BN232" s="9">
        <v>24</v>
      </c>
      <c r="BO232" s="9">
        <v>3345</v>
      </c>
      <c r="BP232" s="10">
        <f t="shared" si="183"/>
        <v>-4.6109865470853068E-3</v>
      </c>
      <c r="BQ232" s="10">
        <f t="shared" si="184"/>
        <v>-1.1933856502243114E-3</v>
      </c>
      <c r="BR232" s="10">
        <f t="shared" si="185"/>
        <v>5.4091928251105931E-4</v>
      </c>
      <c r="BS232" s="10">
        <f t="shared" si="186"/>
        <v>-5.7841928251121961E-3</v>
      </c>
      <c r="BT232" s="10">
        <f t="shared" si="187"/>
        <v>-1.7034753363228646E-3</v>
      </c>
      <c r="BU232" s="10">
        <f t="shared" si="188"/>
        <v>-2.3155829596412736E-3</v>
      </c>
      <c r="BV232" s="10">
        <f t="shared" si="189"/>
        <v>4.9276905829595957E-3</v>
      </c>
      <c r="BW232" s="10">
        <f t="shared" si="190"/>
        <v>-6.9573991031390862E-3</v>
      </c>
      <c r="BX232" s="10">
        <f t="shared" si="191"/>
        <v>1.9691704035874071E-3</v>
      </c>
      <c r="BY232" s="10">
        <f t="shared" si="192"/>
        <v>2.3262331838563577E-3</v>
      </c>
      <c r="BZ232" s="10">
        <f t="shared" si="193"/>
        <v>-1.3974215246636602E-3</v>
      </c>
      <c r="CA232" s="10">
        <f t="shared" si="194"/>
        <v>-3.6418161434977653E-3</v>
      </c>
      <c r="CB232" s="10">
        <f t="shared" si="195"/>
        <v>-1.732062780270239E-4</v>
      </c>
      <c r="CC232" s="10">
        <f t="shared" si="196"/>
        <v>-1.6014573991031903E-3</v>
      </c>
      <c r="CD232" s="10">
        <f t="shared" si="197"/>
        <v>-1.7544843049327925E-3</v>
      </c>
      <c r="CE232" s="10">
        <f t="shared" si="198"/>
        <v>1.5610986547085282E-3</v>
      </c>
      <c r="CF232" s="10">
        <f t="shared" si="199"/>
        <v>-4.2825112107630051E-4</v>
      </c>
      <c r="CG232" s="10">
        <f t="shared" si="200"/>
        <v>-2.8256726457400079E-3</v>
      </c>
      <c r="CH232" s="10">
        <f t="shared" si="201"/>
        <v>-7.8531390134543269E-4</v>
      </c>
      <c r="CI232" s="10">
        <f t="shared" si="202"/>
        <v>-6.9063901345291579E-3</v>
      </c>
      <c r="CJ232" s="10">
        <f t="shared" si="203"/>
        <v>-1.1423766816143837E-3</v>
      </c>
      <c r="CK232" s="10">
        <f t="shared" si="204"/>
        <v>-3.8968609865472235E-3</v>
      </c>
      <c r="CL232" s="10">
        <f t="shared" si="205"/>
        <v>4.389013452913849E-4</v>
      </c>
      <c r="CM232" s="10">
        <f t="shared" si="206"/>
        <v>-4.2539237668161745E-3</v>
      </c>
      <c r="CN232" s="10">
        <f t="shared" si="207"/>
        <v>-1.1933856502243114E-3</v>
      </c>
      <c r="CO232" s="10">
        <f t="shared" si="208"/>
        <v>3.3688340807171049E-4</v>
      </c>
      <c r="CP232" s="10">
        <f t="shared" si="209"/>
        <v>-2.6726457399104055E-3</v>
      </c>
      <c r="CQ232" s="10">
        <f t="shared" si="210"/>
        <v>9.4899103139011929E-4</v>
      </c>
      <c r="CR232" s="10">
        <f t="shared" si="211"/>
        <v>-6.3228699551583049E-4</v>
      </c>
      <c r="CS232" s="10">
        <f t="shared" si="212"/>
        <v>6.4293721973091489E-4</v>
      </c>
      <c r="CT232" s="10">
        <f t="shared" si="213"/>
        <v>1.3060538116590702E-3</v>
      </c>
      <c r="CU232" s="10">
        <f t="shared" si="214"/>
        <v>-1.0630044843049358E-2</v>
      </c>
      <c r="CV232" s="10">
        <f t="shared" si="215"/>
        <v>-5.6311659192825941E-3</v>
      </c>
      <c r="CW232" s="10">
        <f t="shared" si="216"/>
        <v>-3.4887892376681633E-3</v>
      </c>
      <c r="CX232" s="10">
        <f t="shared" si="217"/>
        <v>-3.262331838566261E-4</v>
      </c>
      <c r="CY232" s="10">
        <f t="shared" si="218"/>
        <v>1.5100896860986003E-3</v>
      </c>
      <c r="CZ232" s="10">
        <f t="shared" si="219"/>
        <v>5.919282511209871E-4</v>
      </c>
      <c r="DA232" s="10">
        <f t="shared" si="220"/>
        <v>-1.2219730941709611E-4</v>
      </c>
      <c r="DB232" s="10">
        <f t="shared" si="221"/>
        <v>-5.2741031390134618E-3</v>
      </c>
      <c r="DC232" s="10">
        <f t="shared" si="222"/>
        <v>3.3688340807171049E-4</v>
      </c>
      <c r="DD232" s="10">
        <f t="shared" si="223"/>
        <v>-4.304932735426102E-3</v>
      </c>
      <c r="DE232" s="10">
        <f t="shared" si="224"/>
        <v>-5.3026905829597491E-4</v>
      </c>
      <c r="DF232" s="10">
        <f t="shared" si="225"/>
        <v>2.1732062780267557E-3</v>
      </c>
      <c r="DG232" s="10">
        <f t="shared" si="226"/>
        <v>-8.6917040358744577E-3</v>
      </c>
      <c r="DH232" s="10">
        <f t="shared" si="227"/>
        <v>-2.2421524663677049E-4</v>
      </c>
      <c r="DI232" s="10">
        <f t="shared" si="228"/>
        <v>-2.7236547085203334E-3</v>
      </c>
      <c r="DJ232" s="10">
        <f t="shared" si="229"/>
        <v>5.4091928251105931E-4</v>
      </c>
      <c r="DK232" s="10">
        <f t="shared" si="230"/>
        <v>-1.7544843049327925E-3</v>
      </c>
      <c r="DL232" s="10">
        <f t="shared" si="231"/>
        <v>-3.8458520179372956E-3</v>
      </c>
      <c r="DM232" s="10">
        <f t="shared" si="232"/>
        <v>-7.1104260089686882E-3</v>
      </c>
      <c r="DN232" s="10">
        <f t="shared" si="233"/>
        <v>-5.812780269059027E-4</v>
      </c>
      <c r="DO232" s="10">
        <f t="shared" si="234"/>
        <v>-3.6418161434977653E-3</v>
      </c>
      <c r="DP232" s="10">
        <f t="shared" si="235"/>
        <v>9.4899103139011929E-4</v>
      </c>
      <c r="DQ232" s="10">
        <f t="shared" si="236"/>
        <v>-3.5397982062780912E-3</v>
      </c>
      <c r="DR232" s="10">
        <f t="shared" si="237"/>
        <v>-1.1423766816143837E-3</v>
      </c>
      <c r="DS232" s="10">
        <f t="shared" si="238"/>
        <v>-9.7118834080717441E-3</v>
      </c>
      <c r="DT232" s="10">
        <f t="shared" si="239"/>
        <v>-3.6418161434977653E-3</v>
      </c>
      <c r="DU232" s="10">
        <f t="shared" si="240"/>
        <v>-6.3228699551583049E-4</v>
      </c>
      <c r="DV232" s="10">
        <f t="shared" si="241"/>
        <v>-4.9680493273542578E-3</v>
      </c>
      <c r="DW232" s="10">
        <f t="shared" si="242"/>
        <v>-5.2230941704037156E-3</v>
      </c>
    </row>
    <row r="233" spans="2:127" x14ac:dyDescent="0.45">
      <c r="B233" s="1">
        <v>24</v>
      </c>
      <c r="C233" s="1">
        <v>3360</v>
      </c>
      <c r="D233" s="7">
        <f t="shared" si="243"/>
        <v>19.692307692307693</v>
      </c>
      <c r="E233" s="1">
        <v>19.600999999999999</v>
      </c>
      <c r="F233" s="1">
        <v>19.672999999999998</v>
      </c>
      <c r="G233" s="1">
        <v>19.702999999999999</v>
      </c>
      <c r="H233" s="1">
        <v>19.581</v>
      </c>
      <c r="I233" s="1">
        <v>19.658999999999999</v>
      </c>
      <c r="J233" s="1">
        <v>19.646000000000001</v>
      </c>
      <c r="K233" s="1">
        <v>19.79</v>
      </c>
      <c r="L233" s="1">
        <v>19.558</v>
      </c>
      <c r="M233" s="1">
        <v>19.733000000000001</v>
      </c>
      <c r="N233" s="1">
        <v>19.739000000000001</v>
      </c>
      <c r="O233" s="1">
        <v>19.666</v>
      </c>
      <c r="P233" s="1">
        <v>19.620999999999999</v>
      </c>
      <c r="Q233" s="1">
        <v>19.687999999999999</v>
      </c>
      <c r="R233" s="1">
        <v>19.661000000000001</v>
      </c>
      <c r="S233" s="1">
        <v>19.658999999999999</v>
      </c>
      <c r="T233" s="1">
        <v>19.722999999999999</v>
      </c>
      <c r="U233" s="1">
        <v>19.684000000000001</v>
      </c>
      <c r="V233" s="1">
        <v>19.635999999999999</v>
      </c>
      <c r="W233" s="1">
        <v>19.678000000000001</v>
      </c>
      <c r="X233" s="1">
        <v>19.553999999999998</v>
      </c>
      <c r="Y233" s="1">
        <v>19.661999999999999</v>
      </c>
      <c r="Z233" s="1">
        <v>19.614999999999998</v>
      </c>
      <c r="AA233" s="1">
        <v>19.701000000000001</v>
      </c>
      <c r="AB233" s="1">
        <v>19.608000000000001</v>
      </c>
      <c r="AC233" s="1">
        <v>19.667000000000002</v>
      </c>
      <c r="AD233" s="1">
        <v>19.7</v>
      </c>
      <c r="AE233" s="1">
        <v>19.638999999999999</v>
      </c>
      <c r="AF233" s="1">
        <v>19.710999999999999</v>
      </c>
      <c r="AG233" s="1">
        <v>19.681000000000001</v>
      </c>
      <c r="AH233" s="1">
        <v>19.707000000000001</v>
      </c>
      <c r="AI233" s="1">
        <v>19.718</v>
      </c>
      <c r="AJ233" s="1">
        <v>19.484000000000002</v>
      </c>
      <c r="AK233" s="1">
        <v>19.582000000000001</v>
      </c>
      <c r="AL233" s="1">
        <v>19.623999999999999</v>
      </c>
      <c r="AM233" s="1">
        <v>19.687999999999999</v>
      </c>
      <c r="AN233" s="1">
        <v>19.722000000000001</v>
      </c>
      <c r="AO233" s="1">
        <v>19.701000000000001</v>
      </c>
      <c r="AP233" s="1">
        <v>19.689</v>
      </c>
      <c r="AQ233" s="1">
        <v>19.588999999999999</v>
      </c>
      <c r="AR233" s="1">
        <v>19.699000000000002</v>
      </c>
      <c r="AS233" s="1">
        <v>19.606000000000002</v>
      </c>
      <c r="AT233" s="1">
        <v>19.681999999999999</v>
      </c>
      <c r="AU233" s="1">
        <v>19.734999999999999</v>
      </c>
      <c r="AV233" s="1">
        <v>19.52</v>
      </c>
      <c r="AW233" s="1">
        <v>19.687999999999999</v>
      </c>
      <c r="AX233" s="1">
        <v>19.638999999999999</v>
      </c>
      <c r="AY233" s="1">
        <v>19.702999999999999</v>
      </c>
      <c r="AZ233" s="1">
        <v>19.658000000000001</v>
      </c>
      <c r="BA233" s="1">
        <v>19.617000000000001</v>
      </c>
      <c r="BB233" s="1">
        <v>19.552</v>
      </c>
      <c r="BC233" s="1">
        <v>19.681000000000001</v>
      </c>
      <c r="BD233" s="1">
        <v>19.62</v>
      </c>
      <c r="BE233" s="1">
        <v>19.710999999999999</v>
      </c>
      <c r="BF233" s="1">
        <v>19.620999999999999</v>
      </c>
      <c r="BG233" s="1">
        <v>19.669</v>
      </c>
      <c r="BH233" s="1">
        <v>19.495000000000001</v>
      </c>
      <c r="BI233" s="1">
        <v>19.62</v>
      </c>
      <c r="BJ233" s="1">
        <v>19.68</v>
      </c>
      <c r="BK233" s="1">
        <v>19.596</v>
      </c>
      <c r="BL233" s="1">
        <v>19.59</v>
      </c>
      <c r="BN233" s="9">
        <v>24</v>
      </c>
      <c r="BO233" s="9">
        <v>3360</v>
      </c>
      <c r="BP233" s="10">
        <f t="shared" si="183"/>
        <v>-4.6367187500001017E-3</v>
      </c>
      <c r="BQ233" s="10">
        <f t="shared" si="184"/>
        <v>-9.8046875000014355E-4</v>
      </c>
      <c r="BR233" s="10">
        <f t="shared" si="185"/>
        <v>5.4296874999991418E-4</v>
      </c>
      <c r="BS233" s="10">
        <f t="shared" si="186"/>
        <v>-5.65234375000008E-3</v>
      </c>
      <c r="BT233" s="10">
        <f t="shared" si="187"/>
        <v>-1.6914062500001104E-3</v>
      </c>
      <c r="BU233" s="10">
        <f t="shared" si="188"/>
        <v>-2.3515625000000151E-3</v>
      </c>
      <c r="BV233" s="10">
        <f t="shared" si="189"/>
        <v>4.9609374999999012E-3</v>
      </c>
      <c r="BW233" s="10">
        <f t="shared" si="190"/>
        <v>-6.8203125000000642E-3</v>
      </c>
      <c r="BX233" s="10">
        <f t="shared" si="191"/>
        <v>2.0664062499999719E-3</v>
      </c>
      <c r="BY233" s="10">
        <f t="shared" si="192"/>
        <v>2.3710937499999835E-3</v>
      </c>
      <c r="BZ233" s="10">
        <f t="shared" si="193"/>
        <v>-1.3359375000000367E-3</v>
      </c>
      <c r="CA233" s="10">
        <f t="shared" si="194"/>
        <v>-3.6210937500001233E-3</v>
      </c>
      <c r="CB233" s="10">
        <f t="shared" si="195"/>
        <v>-2.1875000000011469E-4</v>
      </c>
      <c r="CC233" s="10">
        <f t="shared" si="196"/>
        <v>-1.5898437499999862E-3</v>
      </c>
      <c r="CD233" s="10">
        <f t="shared" si="197"/>
        <v>-1.6914062500001104E-3</v>
      </c>
      <c r="CE233" s="10">
        <f t="shared" si="198"/>
        <v>1.5585937499998925E-3</v>
      </c>
      <c r="CF233" s="10">
        <f t="shared" si="199"/>
        <v>-4.2187500000000211E-4</v>
      </c>
      <c r="CG233" s="10">
        <f t="shared" si="200"/>
        <v>-2.8593750000000945E-3</v>
      </c>
      <c r="CH233" s="10">
        <f t="shared" si="201"/>
        <v>-7.2656250000001366E-4</v>
      </c>
      <c r="CI233" s="10">
        <f t="shared" si="202"/>
        <v>-7.023437500000132E-3</v>
      </c>
      <c r="CJ233" s="10">
        <f t="shared" si="203"/>
        <v>-1.5390625000001046E-3</v>
      </c>
      <c r="CK233" s="10">
        <f t="shared" si="204"/>
        <v>-3.9257812500001349E-3</v>
      </c>
      <c r="CL233" s="10">
        <f t="shared" si="205"/>
        <v>4.4140624999997047E-4</v>
      </c>
      <c r="CM233" s="10">
        <f t="shared" si="206"/>
        <v>-4.2812500000000281E-3</v>
      </c>
      <c r="CN233" s="10">
        <f t="shared" si="207"/>
        <v>-1.2851562499999747E-3</v>
      </c>
      <c r="CO233" s="10">
        <f t="shared" si="208"/>
        <v>3.9062499999990841E-4</v>
      </c>
      <c r="CP233" s="10">
        <f t="shared" si="209"/>
        <v>-2.7070312500000887E-3</v>
      </c>
      <c r="CQ233" s="10">
        <f t="shared" si="210"/>
        <v>9.4921874999986944E-4</v>
      </c>
      <c r="CR233" s="10">
        <f t="shared" si="211"/>
        <v>-5.7421875000000788E-4</v>
      </c>
      <c r="CS233" s="10">
        <f t="shared" si="212"/>
        <v>7.4609374999998201E-4</v>
      </c>
      <c r="CT233" s="10">
        <f t="shared" si="213"/>
        <v>1.304687499999943E-3</v>
      </c>
      <c r="CU233" s="10">
        <f t="shared" si="214"/>
        <v>-1.0578124999999966E-2</v>
      </c>
      <c r="CV233" s="10">
        <f t="shared" si="215"/>
        <v>-5.601562500000018E-3</v>
      </c>
      <c r="CW233" s="10">
        <f t="shared" si="216"/>
        <v>-3.4687500000001176E-3</v>
      </c>
      <c r="CX233" s="10">
        <f t="shared" si="217"/>
        <v>-2.1875000000011469E-4</v>
      </c>
      <c r="CY233" s="10">
        <f t="shared" si="218"/>
        <v>1.5078125000000109E-3</v>
      </c>
      <c r="CZ233" s="10">
        <f t="shared" si="219"/>
        <v>4.4140624999997047E-4</v>
      </c>
      <c r="DA233" s="10">
        <f t="shared" si="220"/>
        <v>-1.6796875000005262E-4</v>
      </c>
      <c r="DB233" s="10">
        <f t="shared" si="221"/>
        <v>-5.2460937500001248E-3</v>
      </c>
      <c r="DC233" s="10">
        <f t="shared" si="222"/>
        <v>3.3984375000002676E-4</v>
      </c>
      <c r="DD233" s="10">
        <f t="shared" si="223"/>
        <v>-4.3828124999999718E-3</v>
      </c>
      <c r="DE233" s="10">
        <f t="shared" si="224"/>
        <v>-5.2343750000012623E-4</v>
      </c>
      <c r="DF233" s="10">
        <f t="shared" si="225"/>
        <v>2.1679687499999156E-3</v>
      </c>
      <c r="DG233" s="10">
        <f t="shared" si="226"/>
        <v>-8.7500000000000772E-3</v>
      </c>
      <c r="DH233" s="10">
        <f t="shared" si="227"/>
        <v>-2.1875000000011469E-4</v>
      </c>
      <c r="DI233" s="10">
        <f t="shared" si="228"/>
        <v>-2.7070312500000887E-3</v>
      </c>
      <c r="DJ233" s="10">
        <f t="shared" si="229"/>
        <v>5.4296874999991418E-4</v>
      </c>
      <c r="DK233" s="10">
        <f t="shared" si="230"/>
        <v>-1.742187499999992E-3</v>
      </c>
      <c r="DL233" s="10">
        <f t="shared" si="231"/>
        <v>-3.8242187500000108E-3</v>
      </c>
      <c r="DM233" s="10">
        <f t="shared" si="232"/>
        <v>-7.1250000000000757E-3</v>
      </c>
      <c r="DN233" s="10">
        <f t="shared" si="233"/>
        <v>-5.7421875000000788E-4</v>
      </c>
      <c r="DO233" s="10">
        <f t="shared" si="234"/>
        <v>-3.671875000000005E-3</v>
      </c>
      <c r="DP233" s="10">
        <f t="shared" si="235"/>
        <v>9.4921874999986944E-4</v>
      </c>
      <c r="DQ233" s="10">
        <f t="shared" si="236"/>
        <v>-3.6210937500001233E-3</v>
      </c>
      <c r="DR233" s="10">
        <f t="shared" si="237"/>
        <v>-1.183593750000031E-3</v>
      </c>
      <c r="DS233" s="10">
        <f t="shared" si="238"/>
        <v>-1.0019531250000005E-2</v>
      </c>
      <c r="DT233" s="10">
        <f t="shared" si="239"/>
        <v>-3.671875000000005E-3</v>
      </c>
      <c r="DU233" s="10">
        <f t="shared" si="240"/>
        <v>-6.2500000000006994E-4</v>
      </c>
      <c r="DV233" s="10">
        <f t="shared" si="241"/>
        <v>-4.8906250000000512E-3</v>
      </c>
      <c r="DW233" s="10">
        <f t="shared" si="242"/>
        <v>-5.1953125000000627E-3</v>
      </c>
    </row>
    <row r="234" spans="2:127" x14ac:dyDescent="0.45">
      <c r="B234" s="1">
        <v>24</v>
      </c>
      <c r="C234" s="1">
        <v>3375</v>
      </c>
      <c r="D234" s="7">
        <f t="shared" si="243"/>
        <v>19.780219780219781</v>
      </c>
      <c r="E234" s="1">
        <v>19.687999999999999</v>
      </c>
      <c r="F234" s="1">
        <v>19.760999999999999</v>
      </c>
      <c r="G234" s="1">
        <v>19.788</v>
      </c>
      <c r="H234" s="1">
        <v>19.667000000000002</v>
      </c>
      <c r="I234" s="1">
        <v>19.748000000000001</v>
      </c>
      <c r="J234" s="1">
        <v>19.734999999999999</v>
      </c>
      <c r="K234" s="1">
        <v>19.878</v>
      </c>
      <c r="L234" s="1">
        <v>19.646999999999998</v>
      </c>
      <c r="M234" s="1">
        <v>19.821000000000002</v>
      </c>
      <c r="N234" s="1">
        <v>19.827999999999999</v>
      </c>
      <c r="O234" s="1">
        <v>19.753</v>
      </c>
      <c r="P234" s="1">
        <v>19.710999999999999</v>
      </c>
      <c r="Q234" s="1">
        <v>19.777000000000001</v>
      </c>
      <c r="R234" s="1">
        <v>19.75</v>
      </c>
      <c r="S234" s="1">
        <v>19.745999999999999</v>
      </c>
      <c r="T234" s="1">
        <v>19.811</v>
      </c>
      <c r="U234" s="1">
        <v>19.771999999999998</v>
      </c>
      <c r="V234" s="1">
        <v>19.725999999999999</v>
      </c>
      <c r="W234" s="1">
        <v>19.766999999999999</v>
      </c>
      <c r="X234" s="1">
        <v>19.643999999999998</v>
      </c>
      <c r="Y234" s="1">
        <v>19.751999999999999</v>
      </c>
      <c r="Z234" s="1">
        <v>19.701000000000001</v>
      </c>
      <c r="AA234" s="1">
        <v>19.79</v>
      </c>
      <c r="AB234" s="1">
        <v>19.696000000000002</v>
      </c>
      <c r="AC234" s="1">
        <v>19.757000000000001</v>
      </c>
      <c r="AD234" s="1">
        <v>19.788</v>
      </c>
      <c r="AE234" s="1">
        <v>19.728999999999999</v>
      </c>
      <c r="AF234" s="1">
        <v>19.798999999999999</v>
      </c>
      <c r="AG234" s="1">
        <v>19.766999999999999</v>
      </c>
      <c r="AH234" s="1">
        <v>19.8</v>
      </c>
      <c r="AI234" s="1">
        <v>19.803999999999998</v>
      </c>
      <c r="AJ234" s="1">
        <v>19.567</v>
      </c>
      <c r="AK234" s="1">
        <v>19.667000000000002</v>
      </c>
      <c r="AL234" s="1">
        <v>19.710999999999999</v>
      </c>
      <c r="AM234" s="1">
        <v>19.777000000000001</v>
      </c>
      <c r="AN234" s="1">
        <v>19.811</v>
      </c>
      <c r="AO234" s="1">
        <v>19.788</v>
      </c>
      <c r="AP234" s="1">
        <v>19.777000000000001</v>
      </c>
      <c r="AQ234" s="1">
        <v>19.673999999999999</v>
      </c>
      <c r="AR234" s="1">
        <v>19.785</v>
      </c>
      <c r="AS234" s="1">
        <v>19.693000000000001</v>
      </c>
      <c r="AT234" s="1">
        <v>19.768999999999998</v>
      </c>
      <c r="AU234" s="1">
        <v>19.823</v>
      </c>
      <c r="AV234" s="1">
        <v>19.606000000000002</v>
      </c>
      <c r="AW234" s="1">
        <v>19.774999999999999</v>
      </c>
      <c r="AX234" s="1">
        <v>19.727</v>
      </c>
      <c r="AY234" s="1">
        <v>19.79</v>
      </c>
      <c r="AZ234" s="1">
        <v>19.748000000000001</v>
      </c>
      <c r="BA234" s="1">
        <v>19.704000000000001</v>
      </c>
      <c r="BB234" s="1">
        <v>19.638999999999999</v>
      </c>
      <c r="BC234" s="1">
        <v>19.766999999999999</v>
      </c>
      <c r="BD234" s="1">
        <v>19.71</v>
      </c>
      <c r="BE234" s="1">
        <v>19.798999999999999</v>
      </c>
      <c r="BF234" s="1">
        <v>19.71</v>
      </c>
      <c r="BG234" s="1">
        <v>19.753</v>
      </c>
      <c r="BH234" s="1">
        <v>19.581</v>
      </c>
      <c r="BI234" s="1">
        <v>19.71</v>
      </c>
      <c r="BJ234" s="1">
        <v>19.768000000000001</v>
      </c>
      <c r="BK234" s="1">
        <v>19.681999999999999</v>
      </c>
      <c r="BL234" s="1">
        <v>19.678000000000001</v>
      </c>
      <c r="BN234" s="9">
        <v>24</v>
      </c>
      <c r="BO234" s="9">
        <v>3375</v>
      </c>
      <c r="BP234" s="10">
        <f t="shared" si="183"/>
        <v>-4.6622222222223201E-3</v>
      </c>
      <c r="BQ234" s="10">
        <f t="shared" si="184"/>
        <v>-9.7166666666674486E-4</v>
      </c>
      <c r="BR234" s="10">
        <f t="shared" si="185"/>
        <v>3.9333333333330675E-4</v>
      </c>
      <c r="BS234" s="10">
        <f t="shared" si="186"/>
        <v>-5.7238888888888478E-3</v>
      </c>
      <c r="BT234" s="10">
        <f t="shared" si="187"/>
        <v>-1.6288888888888722E-3</v>
      </c>
      <c r="BU234" s="10">
        <f t="shared" si="188"/>
        <v>-2.2861111111111792E-3</v>
      </c>
      <c r="BV234" s="10">
        <f t="shared" si="189"/>
        <v>4.9433333333332996E-3</v>
      </c>
      <c r="BW234" s="10">
        <f t="shared" si="190"/>
        <v>-6.7350000000001168E-3</v>
      </c>
      <c r="BX234" s="10">
        <f t="shared" si="191"/>
        <v>2.0616666666667034E-3</v>
      </c>
      <c r="BY234" s="10">
        <f t="shared" si="192"/>
        <v>2.4155555555554859E-3</v>
      </c>
      <c r="BZ234" s="10">
        <f t="shared" si="193"/>
        <v>-1.3761111111111448E-3</v>
      </c>
      <c r="CA234" s="10">
        <f t="shared" si="194"/>
        <v>-3.4994444444445584E-3</v>
      </c>
      <c r="CB234" s="10">
        <f t="shared" si="195"/>
        <v>-1.6277777777776552E-4</v>
      </c>
      <c r="CC234" s="10">
        <f t="shared" si="196"/>
        <v>-1.5277777777778171E-3</v>
      </c>
      <c r="CD234" s="10">
        <f t="shared" si="197"/>
        <v>-1.7300000000001069E-3</v>
      </c>
      <c r="CE234" s="10">
        <f t="shared" si="198"/>
        <v>1.5561111111110687E-3</v>
      </c>
      <c r="CF234" s="10">
        <f t="shared" si="199"/>
        <v>-4.1555555555567261E-4</v>
      </c>
      <c r="CG234" s="10">
        <f t="shared" si="200"/>
        <v>-2.7411111111111963E-3</v>
      </c>
      <c r="CH234" s="10">
        <f t="shared" si="201"/>
        <v>-6.6833333333340007E-4</v>
      </c>
      <c r="CI234" s="10">
        <f t="shared" si="202"/>
        <v>-6.8866666666667891E-3</v>
      </c>
      <c r="CJ234" s="10">
        <f t="shared" si="203"/>
        <v>-1.4266666666667622E-3</v>
      </c>
      <c r="CK234" s="10">
        <f t="shared" si="204"/>
        <v>-4.0050000000000138E-3</v>
      </c>
      <c r="CL234" s="10">
        <f t="shared" si="205"/>
        <v>4.9444444444436187E-4</v>
      </c>
      <c r="CM234" s="10">
        <f t="shared" si="206"/>
        <v>-4.2577777777777406E-3</v>
      </c>
      <c r="CN234" s="10">
        <f t="shared" si="207"/>
        <v>-1.173888888888855E-3</v>
      </c>
      <c r="CO234" s="10">
        <f t="shared" si="208"/>
        <v>3.9333333333330675E-4</v>
      </c>
      <c r="CP234" s="10">
        <f t="shared" si="209"/>
        <v>-2.5894444444445239E-3</v>
      </c>
      <c r="CQ234" s="10">
        <f t="shared" si="210"/>
        <v>9.4944444444437911E-4</v>
      </c>
      <c r="CR234" s="10">
        <f t="shared" si="211"/>
        <v>-6.6833333333340007E-4</v>
      </c>
      <c r="CS234" s="10">
        <f t="shared" si="212"/>
        <v>9.9999999999999633E-4</v>
      </c>
      <c r="CT234" s="10">
        <f t="shared" si="213"/>
        <v>1.2022222222221066E-3</v>
      </c>
      <c r="CU234" s="10">
        <f t="shared" si="214"/>
        <v>-1.0779444444444475E-2</v>
      </c>
      <c r="CV234" s="10">
        <f t="shared" si="215"/>
        <v>-5.7238888888888478E-3</v>
      </c>
      <c r="CW234" s="10">
        <f t="shared" si="216"/>
        <v>-3.4994444444445584E-3</v>
      </c>
      <c r="CX234" s="10">
        <f t="shared" si="217"/>
        <v>-1.6277777777776552E-4</v>
      </c>
      <c r="CY234" s="10">
        <f t="shared" si="218"/>
        <v>1.5561111111110687E-3</v>
      </c>
      <c r="CZ234" s="10">
        <f t="shared" si="219"/>
        <v>3.9333333333330675E-4</v>
      </c>
      <c r="DA234" s="10">
        <f t="shared" si="220"/>
        <v>-1.6277777777776552E-4</v>
      </c>
      <c r="DB234" s="10">
        <f t="shared" si="221"/>
        <v>-5.3700000000000648E-3</v>
      </c>
      <c r="DC234" s="10">
        <f t="shared" si="222"/>
        <v>2.4166666666663436E-4</v>
      </c>
      <c r="DD234" s="10">
        <f t="shared" si="223"/>
        <v>-4.4094444444444129E-3</v>
      </c>
      <c r="DE234" s="10">
        <f t="shared" si="224"/>
        <v>-5.6722222222234506E-4</v>
      </c>
      <c r="DF234" s="10">
        <f t="shared" si="225"/>
        <v>2.1627777777777583E-3</v>
      </c>
      <c r="DG234" s="10">
        <f t="shared" si="226"/>
        <v>-8.8077777777777339E-3</v>
      </c>
      <c r="DH234" s="10">
        <f t="shared" si="227"/>
        <v>-2.6388888888900021E-4</v>
      </c>
      <c r="DI234" s="10">
        <f t="shared" si="228"/>
        <v>-2.6905555555555793E-3</v>
      </c>
      <c r="DJ234" s="10">
        <f t="shared" si="229"/>
        <v>4.9444444444436187E-4</v>
      </c>
      <c r="DK234" s="10">
        <f t="shared" si="230"/>
        <v>-1.6288888888888722E-3</v>
      </c>
      <c r="DL234" s="10">
        <f t="shared" si="231"/>
        <v>-3.853333333333341E-3</v>
      </c>
      <c r="DM234" s="10">
        <f t="shared" si="232"/>
        <v>-7.1394444444445168E-3</v>
      </c>
      <c r="DN234" s="10">
        <f t="shared" si="233"/>
        <v>-6.6833333333340007E-4</v>
      </c>
      <c r="DO234" s="10">
        <f t="shared" si="234"/>
        <v>-3.5499999999999963E-3</v>
      </c>
      <c r="DP234" s="10">
        <f t="shared" si="235"/>
        <v>9.4944444444437911E-4</v>
      </c>
      <c r="DQ234" s="10">
        <f t="shared" si="236"/>
        <v>-3.5499999999999963E-3</v>
      </c>
      <c r="DR234" s="10">
        <f t="shared" si="237"/>
        <v>-1.3761111111111448E-3</v>
      </c>
      <c r="DS234" s="10">
        <f t="shared" si="238"/>
        <v>-1.007166666666673E-2</v>
      </c>
      <c r="DT234" s="10">
        <f t="shared" si="239"/>
        <v>-3.5499999999999963E-3</v>
      </c>
      <c r="DU234" s="10">
        <f t="shared" si="240"/>
        <v>-6.1777777777778274E-4</v>
      </c>
      <c r="DV234" s="10">
        <f t="shared" si="241"/>
        <v>-4.9655555555556648E-3</v>
      </c>
      <c r="DW234" s="10">
        <f t="shared" si="242"/>
        <v>-5.1677777777777755E-3</v>
      </c>
    </row>
    <row r="235" spans="2:127" x14ac:dyDescent="0.45">
      <c r="B235" s="1">
        <v>24</v>
      </c>
      <c r="C235" s="1">
        <v>3390</v>
      </c>
      <c r="D235" s="7">
        <f t="shared" si="243"/>
        <v>19.868131868131869</v>
      </c>
      <c r="E235" s="1">
        <v>19.773</v>
      </c>
      <c r="F235" s="1">
        <v>19.849</v>
      </c>
      <c r="G235" s="1">
        <v>19.875</v>
      </c>
      <c r="H235" s="1">
        <v>19.756</v>
      </c>
      <c r="I235" s="1">
        <v>19.835999999999999</v>
      </c>
      <c r="J235" s="1">
        <v>19.821999999999999</v>
      </c>
      <c r="K235" s="1">
        <v>19.966000000000001</v>
      </c>
      <c r="L235" s="1">
        <v>19.736999999999998</v>
      </c>
      <c r="M235" s="1">
        <v>19.908999999999999</v>
      </c>
      <c r="N235" s="1">
        <v>19.914000000000001</v>
      </c>
      <c r="O235" s="1">
        <v>19.841000000000001</v>
      </c>
      <c r="P235" s="1">
        <v>19.797999999999998</v>
      </c>
      <c r="Q235" s="1">
        <v>19.863</v>
      </c>
      <c r="R235" s="1">
        <v>19.837</v>
      </c>
      <c r="S235" s="1">
        <v>19.835999999999999</v>
      </c>
      <c r="T235" s="1">
        <v>19.902000000000001</v>
      </c>
      <c r="U235" s="1">
        <v>19.859000000000002</v>
      </c>
      <c r="V235" s="1">
        <v>19.815000000000001</v>
      </c>
      <c r="W235" s="1">
        <v>19.853000000000002</v>
      </c>
      <c r="X235" s="1">
        <v>19.728999999999999</v>
      </c>
      <c r="Y235" s="1">
        <v>19.838000000000001</v>
      </c>
      <c r="Z235" s="1">
        <v>19.788</v>
      </c>
      <c r="AA235" s="1">
        <v>19.879000000000001</v>
      </c>
      <c r="AB235" s="1">
        <v>19.783000000000001</v>
      </c>
      <c r="AC235" s="1">
        <v>19.841999999999999</v>
      </c>
      <c r="AD235" s="1">
        <v>19.876000000000001</v>
      </c>
      <c r="AE235" s="1">
        <v>19.817</v>
      </c>
      <c r="AF235" s="1">
        <v>19.887</v>
      </c>
      <c r="AG235" s="1">
        <v>19.852</v>
      </c>
      <c r="AH235" s="1">
        <v>19.887</v>
      </c>
      <c r="AI235" s="1">
        <v>19.893999999999998</v>
      </c>
      <c r="AJ235" s="1">
        <v>19.658000000000001</v>
      </c>
      <c r="AK235" s="1">
        <v>19.754000000000001</v>
      </c>
      <c r="AL235" s="1">
        <v>19.798999999999999</v>
      </c>
      <c r="AM235" s="1">
        <v>19.863</v>
      </c>
      <c r="AN235" s="1">
        <v>19.898</v>
      </c>
      <c r="AO235" s="1">
        <v>19.876000000000001</v>
      </c>
      <c r="AP235" s="1">
        <v>19.864000000000001</v>
      </c>
      <c r="AQ235" s="1">
        <v>19.760999999999999</v>
      </c>
      <c r="AR235" s="1">
        <v>19.875</v>
      </c>
      <c r="AS235" s="1">
        <v>19.780999999999999</v>
      </c>
      <c r="AT235" s="1">
        <v>19.856999999999999</v>
      </c>
      <c r="AU235" s="1">
        <v>19.908000000000001</v>
      </c>
      <c r="AV235" s="1">
        <v>19.693000000000001</v>
      </c>
      <c r="AW235" s="1">
        <v>19.863</v>
      </c>
      <c r="AX235" s="1">
        <v>19.815000000000001</v>
      </c>
      <c r="AY235" s="1">
        <v>19.876000000000001</v>
      </c>
      <c r="AZ235" s="1">
        <v>19.84</v>
      </c>
      <c r="BA235" s="1">
        <v>19.792000000000002</v>
      </c>
      <c r="BB235" s="1">
        <v>19.727</v>
      </c>
      <c r="BC235" s="1">
        <v>19.855</v>
      </c>
      <c r="BD235" s="1">
        <v>19.797999999999998</v>
      </c>
      <c r="BE235" s="1">
        <v>19.887</v>
      </c>
      <c r="BF235" s="1">
        <v>19.797999999999998</v>
      </c>
      <c r="BG235" s="1">
        <v>19.841000000000001</v>
      </c>
      <c r="BH235" s="1">
        <v>19.666</v>
      </c>
      <c r="BI235" s="1">
        <v>19.8</v>
      </c>
      <c r="BJ235" s="1">
        <v>19.856000000000002</v>
      </c>
      <c r="BK235" s="1">
        <v>19.768999999999998</v>
      </c>
      <c r="BL235" s="1">
        <v>19.765000000000001</v>
      </c>
      <c r="BN235" s="9">
        <v>24</v>
      </c>
      <c r="BO235" s="9">
        <v>3390</v>
      </c>
      <c r="BP235" s="10">
        <f t="shared" si="183"/>
        <v>-4.7881637168141981E-3</v>
      </c>
      <c r="BQ235" s="10">
        <f t="shared" si="184"/>
        <v>-9.6294247787611969E-4</v>
      </c>
      <c r="BR235" s="10">
        <f t="shared" si="185"/>
        <v>3.4568584070794102E-4</v>
      </c>
      <c r="BS235" s="10">
        <f t="shared" si="186"/>
        <v>-5.6438053097345254E-3</v>
      </c>
      <c r="BT235" s="10">
        <f t="shared" si="187"/>
        <v>-1.6172566371682395E-3</v>
      </c>
      <c r="BU235" s="10">
        <f t="shared" si="188"/>
        <v>-2.3219026548673216E-3</v>
      </c>
      <c r="BV235" s="10">
        <f t="shared" si="189"/>
        <v>4.9258849557522431E-3</v>
      </c>
      <c r="BW235" s="10">
        <f t="shared" si="190"/>
        <v>-6.6001106194691342E-3</v>
      </c>
      <c r="BX235" s="10">
        <f t="shared" si="191"/>
        <v>2.0569690265485946E-3</v>
      </c>
      <c r="BY235" s="10">
        <f t="shared" si="192"/>
        <v>2.3086283185841214E-3</v>
      </c>
      <c r="BZ235" s="10">
        <f t="shared" si="193"/>
        <v>-1.3655973451327126E-3</v>
      </c>
      <c r="CA235" s="10">
        <f t="shared" si="194"/>
        <v>-3.529867256637279E-3</v>
      </c>
      <c r="CB235" s="10">
        <f t="shared" si="195"/>
        <v>-2.5829646017703762E-4</v>
      </c>
      <c r="CC235" s="10">
        <f t="shared" si="196"/>
        <v>-1.5669247787610983E-3</v>
      </c>
      <c r="CD235" s="10">
        <f t="shared" si="197"/>
        <v>-1.6172566371682395E-3</v>
      </c>
      <c r="CE235" s="10">
        <f t="shared" si="198"/>
        <v>1.7046460176991429E-3</v>
      </c>
      <c r="CF235" s="10">
        <f t="shared" si="199"/>
        <v>-4.5962389380524459E-4</v>
      </c>
      <c r="CG235" s="10">
        <f t="shared" si="200"/>
        <v>-2.6742256637167735E-3</v>
      </c>
      <c r="CH235" s="10">
        <f t="shared" si="201"/>
        <v>-7.6161504424773394E-4</v>
      </c>
      <c r="CI235" s="10">
        <f t="shared" si="202"/>
        <v>-7.0027654867257268E-3</v>
      </c>
      <c r="CJ235" s="10">
        <f t="shared" si="203"/>
        <v>-1.5165929203539573E-3</v>
      </c>
      <c r="CK235" s="10">
        <f t="shared" si="204"/>
        <v>-4.0331858407079754E-3</v>
      </c>
      <c r="CL235" s="10">
        <f t="shared" si="205"/>
        <v>5.4701327433632682E-4</v>
      </c>
      <c r="CM235" s="10">
        <f t="shared" si="206"/>
        <v>-4.2848451327433231E-3</v>
      </c>
      <c r="CN235" s="10">
        <f t="shared" si="207"/>
        <v>-1.3152654867257501E-3</v>
      </c>
      <c r="CO235" s="10">
        <f t="shared" si="208"/>
        <v>3.9601769911508215E-4</v>
      </c>
      <c r="CP235" s="10">
        <f t="shared" si="209"/>
        <v>-2.5735619469026698E-3</v>
      </c>
      <c r="CQ235" s="10">
        <f t="shared" si="210"/>
        <v>9.4966814159291966E-4</v>
      </c>
      <c r="CR235" s="10">
        <f t="shared" si="211"/>
        <v>-8.1194690265487513E-4</v>
      </c>
      <c r="CS235" s="10">
        <f t="shared" si="212"/>
        <v>9.4966814159291966E-4</v>
      </c>
      <c r="CT235" s="10">
        <f t="shared" si="213"/>
        <v>1.3019911504423712E-3</v>
      </c>
      <c r="CU235" s="10">
        <f t="shared" si="214"/>
        <v>-1.0576327433628279E-2</v>
      </c>
      <c r="CV235" s="10">
        <f t="shared" si="215"/>
        <v>-5.7444690265486291E-3</v>
      </c>
      <c r="CW235" s="10">
        <f t="shared" si="216"/>
        <v>-3.4795353982301378E-3</v>
      </c>
      <c r="CX235" s="10">
        <f t="shared" si="217"/>
        <v>-2.5829646017703762E-4</v>
      </c>
      <c r="CY235" s="10">
        <f t="shared" si="218"/>
        <v>1.5033185840707571E-3</v>
      </c>
      <c r="CZ235" s="10">
        <f t="shared" si="219"/>
        <v>3.9601769911508215E-4</v>
      </c>
      <c r="DA235" s="10">
        <f t="shared" si="220"/>
        <v>-2.0796460176989646E-4</v>
      </c>
      <c r="DB235" s="10">
        <f t="shared" si="221"/>
        <v>-5.3921460176991768E-3</v>
      </c>
      <c r="DC235" s="10">
        <f t="shared" si="222"/>
        <v>3.4568584070794102E-4</v>
      </c>
      <c r="DD235" s="10">
        <f t="shared" si="223"/>
        <v>-4.3855088495576055E-3</v>
      </c>
      <c r="DE235" s="10">
        <f t="shared" si="224"/>
        <v>-5.6028761061952697E-4</v>
      </c>
      <c r="DF235" s="10">
        <f t="shared" si="225"/>
        <v>2.006637168141632E-3</v>
      </c>
      <c r="DG235" s="10">
        <f t="shared" si="226"/>
        <v>-8.814712389380485E-3</v>
      </c>
      <c r="DH235" s="10">
        <f t="shared" si="227"/>
        <v>-2.5829646017703762E-4</v>
      </c>
      <c r="DI235" s="10">
        <f t="shared" si="228"/>
        <v>-2.6742256637167735E-3</v>
      </c>
      <c r="DJ235" s="10">
        <f t="shared" si="229"/>
        <v>3.9601769911508215E-4</v>
      </c>
      <c r="DK235" s="10">
        <f t="shared" si="230"/>
        <v>-1.4159292035398536E-3</v>
      </c>
      <c r="DL235" s="10">
        <f t="shared" si="231"/>
        <v>-3.8318584070795893E-3</v>
      </c>
      <c r="DM235" s="10">
        <f t="shared" si="232"/>
        <v>-7.1034292035398305E-3</v>
      </c>
      <c r="DN235" s="10">
        <f t="shared" si="233"/>
        <v>-6.6095132743363046E-4</v>
      </c>
      <c r="DO235" s="10">
        <f t="shared" si="234"/>
        <v>-3.529867256637279E-3</v>
      </c>
      <c r="DP235" s="10">
        <f t="shared" si="235"/>
        <v>9.4966814159291966E-4</v>
      </c>
      <c r="DQ235" s="10">
        <f t="shared" si="236"/>
        <v>-3.529867256637279E-3</v>
      </c>
      <c r="DR235" s="10">
        <f t="shared" si="237"/>
        <v>-1.3655973451327126E-3</v>
      </c>
      <c r="DS235" s="10">
        <f t="shared" si="238"/>
        <v>-1.0173672566371686E-2</v>
      </c>
      <c r="DT235" s="10">
        <f t="shared" si="239"/>
        <v>-3.4292035398229967E-3</v>
      </c>
      <c r="DU235" s="10">
        <f t="shared" si="240"/>
        <v>-6.1061946902648927E-4</v>
      </c>
      <c r="DV235" s="10">
        <f t="shared" si="241"/>
        <v>-4.9894911504425841E-3</v>
      </c>
      <c r="DW235" s="10">
        <f t="shared" si="242"/>
        <v>-5.1908185840707916E-3</v>
      </c>
    </row>
    <row r="236" spans="2:127" x14ac:dyDescent="0.45">
      <c r="B236" s="1">
        <v>24</v>
      </c>
      <c r="C236" s="1">
        <v>3405</v>
      </c>
      <c r="D236" s="7">
        <f t="shared" si="243"/>
        <v>19.956043956043956</v>
      </c>
      <c r="E236" s="1">
        <v>19.86</v>
      </c>
      <c r="F236" s="1">
        <v>19.936</v>
      </c>
      <c r="G236" s="1">
        <v>19.963000000000001</v>
      </c>
      <c r="H236" s="1">
        <v>19.841999999999999</v>
      </c>
      <c r="I236" s="1">
        <v>19.923999999999999</v>
      </c>
      <c r="J236" s="1">
        <v>19.91</v>
      </c>
      <c r="K236" s="1">
        <v>20.053999999999998</v>
      </c>
      <c r="L236" s="1">
        <v>19.824999999999999</v>
      </c>
      <c r="M236" s="1">
        <v>19.997</v>
      </c>
      <c r="N236" s="1">
        <v>20.004000000000001</v>
      </c>
      <c r="O236" s="1">
        <v>19.928999999999998</v>
      </c>
      <c r="P236" s="1">
        <v>19.885999999999999</v>
      </c>
      <c r="Q236" s="1">
        <v>19.952000000000002</v>
      </c>
      <c r="R236" s="1">
        <v>19.927</v>
      </c>
      <c r="S236" s="1">
        <v>19.922000000000001</v>
      </c>
      <c r="T236" s="1">
        <v>19.989999999999998</v>
      </c>
      <c r="U236" s="1">
        <v>19.946999999999999</v>
      </c>
      <c r="V236" s="1">
        <v>19.902999999999999</v>
      </c>
      <c r="W236" s="1">
        <v>19.940999999999999</v>
      </c>
      <c r="X236" s="1">
        <v>19.821000000000002</v>
      </c>
      <c r="Y236" s="1">
        <v>19.928000000000001</v>
      </c>
      <c r="Z236" s="1">
        <v>19.875</v>
      </c>
      <c r="AA236" s="1">
        <v>19.965</v>
      </c>
      <c r="AB236" s="1">
        <v>19.87</v>
      </c>
      <c r="AC236" s="1">
        <v>19.928999999999998</v>
      </c>
      <c r="AD236" s="1">
        <v>19.965</v>
      </c>
      <c r="AE236" s="1">
        <v>19.905000000000001</v>
      </c>
      <c r="AF236" s="1">
        <v>19.975000000000001</v>
      </c>
      <c r="AG236" s="1">
        <v>19.939</v>
      </c>
      <c r="AH236" s="1">
        <v>19.975000000000001</v>
      </c>
      <c r="AI236" s="1">
        <v>19.984000000000002</v>
      </c>
      <c r="AJ236" s="1">
        <v>19.745000000000001</v>
      </c>
      <c r="AK236" s="1">
        <v>19.84</v>
      </c>
      <c r="AL236" s="1">
        <v>19.885999999999999</v>
      </c>
      <c r="AM236" s="1">
        <v>19.952000000000002</v>
      </c>
      <c r="AN236" s="1">
        <v>19.988</v>
      </c>
      <c r="AO236" s="1">
        <v>19.966000000000001</v>
      </c>
      <c r="AP236" s="1">
        <v>19.95</v>
      </c>
      <c r="AQ236" s="1">
        <v>19.847000000000001</v>
      </c>
      <c r="AR236" s="1">
        <v>19.963000000000001</v>
      </c>
      <c r="AS236" s="1">
        <v>19.867999999999999</v>
      </c>
      <c r="AT236" s="1">
        <v>19.943000000000001</v>
      </c>
      <c r="AU236" s="1">
        <v>19.995999999999999</v>
      </c>
      <c r="AV236" s="1">
        <v>19.777000000000001</v>
      </c>
      <c r="AW236" s="1">
        <v>19.95</v>
      </c>
      <c r="AX236" s="1">
        <v>19.902000000000001</v>
      </c>
      <c r="AY236" s="1">
        <v>19.965</v>
      </c>
      <c r="AZ236" s="1">
        <v>19.927</v>
      </c>
      <c r="BA236" s="1">
        <v>19.879000000000001</v>
      </c>
      <c r="BB236" s="1">
        <v>19.812999999999999</v>
      </c>
      <c r="BC236" s="1">
        <v>19.943000000000001</v>
      </c>
      <c r="BD236" s="1">
        <v>19.885000000000002</v>
      </c>
      <c r="BE236" s="1">
        <v>19.972999999999999</v>
      </c>
      <c r="BF236" s="1">
        <v>19.882999999999999</v>
      </c>
      <c r="BG236" s="1">
        <v>19.928000000000001</v>
      </c>
      <c r="BH236" s="1">
        <v>19.75</v>
      </c>
      <c r="BI236" s="1">
        <v>19.887</v>
      </c>
      <c r="BJ236" s="1">
        <v>19.943999999999999</v>
      </c>
      <c r="BK236" s="1">
        <v>19.864000000000001</v>
      </c>
      <c r="BL236" s="1">
        <v>19.853000000000002</v>
      </c>
      <c r="BN236" s="9">
        <v>24</v>
      </c>
      <c r="BO236" s="9">
        <v>3405</v>
      </c>
      <c r="BP236" s="10">
        <f t="shared" si="183"/>
        <v>-4.8127753303965123E-3</v>
      </c>
      <c r="BQ236" s="10">
        <f t="shared" si="184"/>
        <v>-1.004405286343623E-3</v>
      </c>
      <c r="BR236" s="10">
        <f t="shared" si="185"/>
        <v>3.4856828193836659E-4</v>
      </c>
      <c r="BS236" s="10">
        <f t="shared" si="186"/>
        <v>-5.7147577092511717E-3</v>
      </c>
      <c r="BT236" s="10">
        <f t="shared" si="187"/>
        <v>-1.6057268722467295E-3</v>
      </c>
      <c r="BU236" s="10">
        <f t="shared" si="188"/>
        <v>-2.3072687224669612E-3</v>
      </c>
      <c r="BV236" s="10">
        <f t="shared" si="189"/>
        <v>4.9085903083699606E-3</v>
      </c>
      <c r="BW236" s="10">
        <f t="shared" si="190"/>
        <v>-6.56662995594718E-3</v>
      </c>
      <c r="BX236" s="10">
        <f t="shared" si="191"/>
        <v>2.0523127753303829E-3</v>
      </c>
      <c r="BY236" s="10">
        <f t="shared" si="192"/>
        <v>2.4030837004405878E-3</v>
      </c>
      <c r="BZ236" s="10">
        <f t="shared" si="193"/>
        <v>-1.3551762114538278E-3</v>
      </c>
      <c r="CA236" s="10">
        <f t="shared" si="194"/>
        <v>-3.5099118942731738E-3</v>
      </c>
      <c r="CB236" s="10">
        <f t="shared" si="195"/>
        <v>-2.0264317180608834E-4</v>
      </c>
      <c r="CC236" s="10">
        <f t="shared" si="196"/>
        <v>-1.4553964757709529E-3</v>
      </c>
      <c r="CD236" s="10">
        <f t="shared" si="197"/>
        <v>-1.7059471365638546E-3</v>
      </c>
      <c r="CE236" s="10">
        <f t="shared" si="198"/>
        <v>1.7015418502201781E-3</v>
      </c>
      <c r="CF236" s="10">
        <f t="shared" si="199"/>
        <v>-4.5319383259916806E-4</v>
      </c>
      <c r="CG236" s="10">
        <f t="shared" si="200"/>
        <v>-2.658039647577166E-3</v>
      </c>
      <c r="CH236" s="10">
        <f t="shared" si="201"/>
        <v>-7.5385462555072134E-4</v>
      </c>
      <c r="CI236" s="10">
        <f t="shared" si="202"/>
        <v>-6.7670704845814297E-3</v>
      </c>
      <c r="CJ236" s="10">
        <f t="shared" si="203"/>
        <v>-1.4052863436123013E-3</v>
      </c>
      <c r="CK236" s="10">
        <f t="shared" si="204"/>
        <v>-4.0611233480176293E-3</v>
      </c>
      <c r="CL236" s="10">
        <f t="shared" si="205"/>
        <v>4.4878854625549167E-4</v>
      </c>
      <c r="CM236" s="10">
        <f t="shared" si="206"/>
        <v>-4.311674008810531E-3</v>
      </c>
      <c r="CN236" s="10">
        <f t="shared" si="207"/>
        <v>-1.3551762114538278E-3</v>
      </c>
      <c r="CO236" s="10">
        <f t="shared" si="208"/>
        <v>4.4878854625549167E-4</v>
      </c>
      <c r="CP236" s="10">
        <f t="shared" si="209"/>
        <v>-2.5578193832598629E-3</v>
      </c>
      <c r="CQ236" s="10">
        <f t="shared" si="210"/>
        <v>9.4988986784147304E-4</v>
      </c>
      <c r="CR236" s="10">
        <f t="shared" si="211"/>
        <v>-8.5407488986784642E-4</v>
      </c>
      <c r="CS236" s="10">
        <f t="shared" si="212"/>
        <v>9.4988986784147304E-4</v>
      </c>
      <c r="CT236" s="10">
        <f t="shared" si="213"/>
        <v>1.4008810572688029E-3</v>
      </c>
      <c r="CU236" s="10">
        <f t="shared" si="214"/>
        <v>-1.0575440528634319E-2</v>
      </c>
      <c r="CV236" s="10">
        <f t="shared" si="215"/>
        <v>-5.814977973568297E-3</v>
      </c>
      <c r="CW236" s="10">
        <f t="shared" si="216"/>
        <v>-3.5099118942731738E-3</v>
      </c>
      <c r="CX236" s="10">
        <f t="shared" si="217"/>
        <v>-2.0264317180608834E-4</v>
      </c>
      <c r="CY236" s="10">
        <f t="shared" si="218"/>
        <v>1.601321585903053E-3</v>
      </c>
      <c r="CZ236" s="10">
        <f t="shared" si="219"/>
        <v>4.9889867841414323E-4</v>
      </c>
      <c r="DA236" s="10">
        <f t="shared" si="220"/>
        <v>-3.0286343612339142E-4</v>
      </c>
      <c r="DB236" s="10">
        <f t="shared" si="221"/>
        <v>-5.4642070484580921E-3</v>
      </c>
      <c r="DC236" s="10">
        <f t="shared" si="222"/>
        <v>3.4856828193836659E-4</v>
      </c>
      <c r="DD236" s="10">
        <f t="shared" si="223"/>
        <v>-4.4118942731278341E-3</v>
      </c>
      <c r="DE236" s="10">
        <f t="shared" si="224"/>
        <v>-6.5363436123341823E-4</v>
      </c>
      <c r="DF236" s="10">
        <f t="shared" si="225"/>
        <v>2.0022026431717314E-3</v>
      </c>
      <c r="DG236" s="10">
        <f t="shared" si="226"/>
        <v>-8.9719162995594275E-3</v>
      </c>
      <c r="DH236" s="10">
        <f t="shared" si="227"/>
        <v>-3.0286343612339142E-4</v>
      </c>
      <c r="DI236" s="10">
        <f t="shared" si="228"/>
        <v>-2.7081497797356393E-3</v>
      </c>
      <c r="DJ236" s="10">
        <f t="shared" si="229"/>
        <v>4.4878854625549167E-4</v>
      </c>
      <c r="DK236" s="10">
        <f t="shared" si="230"/>
        <v>-1.4553964757709529E-3</v>
      </c>
      <c r="DL236" s="10">
        <f t="shared" si="231"/>
        <v>-3.8606828193832009E-3</v>
      </c>
      <c r="DM236" s="10">
        <f t="shared" si="232"/>
        <v>-7.1679515418502865E-3</v>
      </c>
      <c r="DN236" s="10">
        <f t="shared" si="233"/>
        <v>-6.5363436123341823E-4</v>
      </c>
      <c r="DO236" s="10">
        <f t="shared" si="234"/>
        <v>-3.5600220264316476E-3</v>
      </c>
      <c r="DP236" s="10">
        <f t="shared" si="235"/>
        <v>8.4966960352416993E-4</v>
      </c>
      <c r="DQ236" s="10">
        <f t="shared" si="236"/>
        <v>-3.6602422907489507E-3</v>
      </c>
      <c r="DR236" s="10">
        <f t="shared" si="237"/>
        <v>-1.4052863436123013E-3</v>
      </c>
      <c r="DS236" s="10">
        <f t="shared" si="238"/>
        <v>-1.0324889867841417E-2</v>
      </c>
      <c r="DT236" s="10">
        <f t="shared" si="239"/>
        <v>-3.4598017621145223E-3</v>
      </c>
      <c r="DU236" s="10">
        <f t="shared" si="240"/>
        <v>-6.035242290749447E-4</v>
      </c>
      <c r="DV236" s="10">
        <f t="shared" si="241"/>
        <v>-4.6123348017620839E-3</v>
      </c>
      <c r="DW236" s="10">
        <f t="shared" si="242"/>
        <v>-5.1635462555065384E-3</v>
      </c>
    </row>
    <row r="237" spans="2:127" x14ac:dyDescent="0.45">
      <c r="B237" s="1">
        <v>24</v>
      </c>
      <c r="C237" s="1">
        <v>3420</v>
      </c>
      <c r="D237" s="7">
        <f t="shared" si="243"/>
        <v>20.043956043956044</v>
      </c>
      <c r="E237" s="1">
        <v>19.95</v>
      </c>
      <c r="F237" s="1">
        <v>20.023</v>
      </c>
      <c r="G237" s="1">
        <v>20.050999999999998</v>
      </c>
      <c r="H237" s="1">
        <v>19.931000000000001</v>
      </c>
      <c r="I237" s="1">
        <v>20.009</v>
      </c>
      <c r="J237" s="1">
        <v>19.994</v>
      </c>
      <c r="K237" s="1">
        <v>20.141999999999999</v>
      </c>
      <c r="L237" s="1">
        <v>19.911999999999999</v>
      </c>
      <c r="M237" s="1">
        <v>20.087</v>
      </c>
      <c r="N237" s="1">
        <v>20.091000000000001</v>
      </c>
      <c r="O237" s="1">
        <v>20.016999999999999</v>
      </c>
      <c r="P237" s="1">
        <v>19.972999999999999</v>
      </c>
      <c r="Q237" s="1">
        <v>20.039000000000001</v>
      </c>
      <c r="R237" s="1">
        <v>20.013000000000002</v>
      </c>
      <c r="S237" s="1">
        <v>20.012</v>
      </c>
      <c r="T237" s="1">
        <v>20.077999999999999</v>
      </c>
      <c r="U237" s="1">
        <v>20.035</v>
      </c>
      <c r="V237" s="1">
        <v>19.989999999999998</v>
      </c>
      <c r="W237" s="1">
        <v>20.030999999999999</v>
      </c>
      <c r="X237" s="1">
        <v>19.91</v>
      </c>
      <c r="Y237" s="1">
        <v>20.015999999999998</v>
      </c>
      <c r="Z237" s="1">
        <v>19.963000000000001</v>
      </c>
      <c r="AA237" s="1">
        <v>20.050999999999998</v>
      </c>
      <c r="AB237" s="1">
        <v>19.956</v>
      </c>
      <c r="AC237" s="1">
        <v>20.015000000000001</v>
      </c>
      <c r="AD237" s="1">
        <v>20.053000000000001</v>
      </c>
      <c r="AE237" s="1">
        <v>19.992999999999999</v>
      </c>
      <c r="AF237" s="1">
        <v>20.065000000000001</v>
      </c>
      <c r="AG237" s="1">
        <v>20.027000000000001</v>
      </c>
      <c r="AH237" s="1">
        <v>20.065000000000001</v>
      </c>
      <c r="AI237" s="1">
        <v>20.07</v>
      </c>
      <c r="AJ237" s="1">
        <v>19.829999999999998</v>
      </c>
      <c r="AK237" s="1">
        <v>19.928999999999998</v>
      </c>
      <c r="AL237" s="1">
        <v>19.972999999999999</v>
      </c>
      <c r="AM237" s="1">
        <v>20.04</v>
      </c>
      <c r="AN237" s="1">
        <v>20.073</v>
      </c>
      <c r="AO237" s="1">
        <v>20.055</v>
      </c>
      <c r="AP237" s="1">
        <v>20.036000000000001</v>
      </c>
      <c r="AQ237" s="1">
        <v>19.934999999999999</v>
      </c>
      <c r="AR237" s="1">
        <v>20.050999999999998</v>
      </c>
      <c r="AS237" s="1">
        <v>19.956</v>
      </c>
      <c r="AT237" s="1">
        <v>20.03</v>
      </c>
      <c r="AU237" s="1">
        <v>20.085000000000001</v>
      </c>
      <c r="AV237" s="1">
        <v>19.867999999999999</v>
      </c>
      <c r="AW237" s="1">
        <v>20.036000000000001</v>
      </c>
      <c r="AX237" s="1">
        <v>19.992000000000001</v>
      </c>
      <c r="AY237" s="1">
        <v>20.053000000000001</v>
      </c>
      <c r="AZ237" s="1">
        <v>20.016999999999999</v>
      </c>
      <c r="BA237" s="1">
        <v>19.966000000000001</v>
      </c>
      <c r="BB237" s="1">
        <v>19.899000000000001</v>
      </c>
      <c r="BC237" s="1">
        <v>20.033999999999999</v>
      </c>
      <c r="BD237" s="1">
        <v>19.972999999999999</v>
      </c>
      <c r="BE237" s="1">
        <v>20.059000000000001</v>
      </c>
      <c r="BF237" s="1">
        <v>19.969000000000001</v>
      </c>
      <c r="BG237" s="1">
        <v>20.015000000000001</v>
      </c>
      <c r="BH237" s="1">
        <v>19.837</v>
      </c>
      <c r="BI237" s="1">
        <v>19.977</v>
      </c>
      <c r="BJ237" s="1">
        <v>20.030999999999999</v>
      </c>
      <c r="BK237" s="1">
        <v>19.951000000000001</v>
      </c>
      <c r="BL237" s="1">
        <v>19.939</v>
      </c>
      <c r="BN237" s="9">
        <v>24</v>
      </c>
      <c r="BO237" s="9">
        <v>3420</v>
      </c>
      <c r="BP237" s="10">
        <f t="shared" si="183"/>
        <v>-4.6875000000000276E-3</v>
      </c>
      <c r="BQ237" s="10">
        <f t="shared" si="184"/>
        <v>-1.04550438596492E-3</v>
      </c>
      <c r="BR237" s="10">
        <f t="shared" si="185"/>
        <v>3.5142543859641818E-4</v>
      </c>
      <c r="BS237" s="10">
        <f t="shared" si="186"/>
        <v>-5.6354166666666124E-3</v>
      </c>
      <c r="BT237" s="10">
        <f t="shared" si="187"/>
        <v>-1.7439692982455892E-3</v>
      </c>
      <c r="BU237" s="10">
        <f t="shared" si="188"/>
        <v>-2.4923245614035124E-3</v>
      </c>
      <c r="BV237" s="10">
        <f t="shared" si="189"/>
        <v>4.8914473684210334E-3</v>
      </c>
      <c r="BW237" s="10">
        <f t="shared" si="190"/>
        <v>-6.5833333333333742E-3</v>
      </c>
      <c r="BX237" s="10">
        <f t="shared" si="191"/>
        <v>2.1474780701754336E-3</v>
      </c>
      <c r="BY237" s="10">
        <f t="shared" si="192"/>
        <v>2.3470394736842723E-3</v>
      </c>
      <c r="BZ237" s="10">
        <f t="shared" si="193"/>
        <v>-1.3448464912280893E-3</v>
      </c>
      <c r="CA237" s="10">
        <f t="shared" si="194"/>
        <v>-3.5400219298246049E-3</v>
      </c>
      <c r="CB237" s="10">
        <f t="shared" si="195"/>
        <v>-2.4725877192974304E-4</v>
      </c>
      <c r="CC237" s="10">
        <f t="shared" si="196"/>
        <v>-1.5444078947367506E-3</v>
      </c>
      <c r="CD237" s="10">
        <f t="shared" si="197"/>
        <v>-1.5942982456140047E-3</v>
      </c>
      <c r="CE237" s="10">
        <f t="shared" si="198"/>
        <v>1.6984649122806798E-3</v>
      </c>
      <c r="CF237" s="10">
        <f t="shared" si="199"/>
        <v>-4.4682017543858164E-4</v>
      </c>
      <c r="CG237" s="10">
        <f t="shared" si="200"/>
        <v>-2.6918859649123507E-3</v>
      </c>
      <c r="CH237" s="10">
        <f t="shared" si="201"/>
        <v>-6.4638157894742019E-4</v>
      </c>
      <c r="CI237" s="10">
        <f t="shared" si="202"/>
        <v>-6.6831140350877049E-3</v>
      </c>
      <c r="CJ237" s="10">
        <f t="shared" si="203"/>
        <v>-1.3947368421053433E-3</v>
      </c>
      <c r="CK237" s="10">
        <f t="shared" si="204"/>
        <v>-4.0389254385964348E-3</v>
      </c>
      <c r="CL237" s="10">
        <f t="shared" si="205"/>
        <v>3.5142543859641818E-4</v>
      </c>
      <c r="CM237" s="10">
        <f t="shared" si="206"/>
        <v>-4.3881578947368586E-3</v>
      </c>
      <c r="CN237" s="10">
        <f t="shared" si="207"/>
        <v>-1.44462719298242E-3</v>
      </c>
      <c r="CO237" s="10">
        <f t="shared" si="208"/>
        <v>4.5120614035092609E-4</v>
      </c>
      <c r="CP237" s="10">
        <f t="shared" si="209"/>
        <v>-2.5422149122807662E-3</v>
      </c>
      <c r="CQ237" s="10">
        <f t="shared" si="210"/>
        <v>1.0498903508772647E-3</v>
      </c>
      <c r="CR237" s="10">
        <f t="shared" si="211"/>
        <v>-8.4594298245608147E-4</v>
      </c>
      <c r="CS237" s="10">
        <f t="shared" si="212"/>
        <v>1.0498903508772647E-3</v>
      </c>
      <c r="CT237" s="10">
        <f t="shared" si="213"/>
        <v>1.2993421052631799E-3</v>
      </c>
      <c r="CU237" s="10">
        <f t="shared" si="214"/>
        <v>-1.0674342105263235E-2</v>
      </c>
      <c r="CV237" s="10">
        <f t="shared" si="215"/>
        <v>-5.73519736842112E-3</v>
      </c>
      <c r="CW237" s="10">
        <f t="shared" si="216"/>
        <v>-3.5400219298246049E-3</v>
      </c>
      <c r="CX237" s="10">
        <f t="shared" si="217"/>
        <v>-1.9736842105266632E-4</v>
      </c>
      <c r="CY237" s="10">
        <f t="shared" si="218"/>
        <v>1.4490131578947644E-3</v>
      </c>
      <c r="CZ237" s="10">
        <f t="shared" si="219"/>
        <v>5.5098684210525678E-4</v>
      </c>
      <c r="DA237" s="10">
        <f t="shared" si="220"/>
        <v>-3.9692982456132766E-4</v>
      </c>
      <c r="DB237" s="10">
        <f t="shared" si="221"/>
        <v>-5.435855263157951E-3</v>
      </c>
      <c r="DC237" s="10">
        <f t="shared" si="222"/>
        <v>3.5142543859641818E-4</v>
      </c>
      <c r="DD237" s="10">
        <f t="shared" si="223"/>
        <v>-4.3881578947368586E-3</v>
      </c>
      <c r="DE237" s="10">
        <f t="shared" si="224"/>
        <v>-6.9627192982449685E-4</v>
      </c>
      <c r="DF237" s="10">
        <f t="shared" si="225"/>
        <v>2.0476973684211029E-3</v>
      </c>
      <c r="DG237" s="10">
        <f t="shared" si="226"/>
        <v>-8.7785087719298889E-3</v>
      </c>
      <c r="DH237" s="10">
        <f t="shared" si="227"/>
        <v>-3.9692982456132766E-4</v>
      </c>
      <c r="DI237" s="10">
        <f t="shared" si="228"/>
        <v>-2.5921052631578431E-3</v>
      </c>
      <c r="DJ237" s="10">
        <f t="shared" si="229"/>
        <v>4.5120614035092609E-4</v>
      </c>
      <c r="DK237" s="10">
        <f t="shared" si="230"/>
        <v>-1.3448464912280893E-3</v>
      </c>
      <c r="DL237" s="10">
        <f t="shared" si="231"/>
        <v>-3.8892543859648508E-3</v>
      </c>
      <c r="DM237" s="10">
        <f t="shared" si="232"/>
        <v>-7.2319078947367891E-3</v>
      </c>
      <c r="DN237" s="10">
        <f t="shared" si="233"/>
        <v>-4.9671052631583557E-4</v>
      </c>
      <c r="DO237" s="10">
        <f t="shared" si="234"/>
        <v>-3.5400219298246049E-3</v>
      </c>
      <c r="DP237" s="10">
        <f t="shared" si="235"/>
        <v>7.5054824561409533E-4</v>
      </c>
      <c r="DQ237" s="10">
        <f t="shared" si="236"/>
        <v>-3.7395833333332658E-3</v>
      </c>
      <c r="DR237" s="10">
        <f t="shared" si="237"/>
        <v>-1.44462719298242E-3</v>
      </c>
      <c r="DS237" s="10">
        <f t="shared" si="238"/>
        <v>-1.0325109649122812E-2</v>
      </c>
      <c r="DT237" s="10">
        <f t="shared" si="239"/>
        <v>-3.3404605263157661E-3</v>
      </c>
      <c r="DU237" s="10">
        <f t="shared" si="240"/>
        <v>-6.4638157894742019E-4</v>
      </c>
      <c r="DV237" s="10">
        <f t="shared" si="241"/>
        <v>-4.6376096491227738E-3</v>
      </c>
      <c r="DW237" s="10">
        <f t="shared" si="242"/>
        <v>-5.2362938596491118E-3</v>
      </c>
    </row>
    <row r="238" spans="2:127" x14ac:dyDescent="0.45">
      <c r="B238" s="1">
        <v>24</v>
      </c>
      <c r="C238" s="1">
        <v>3435</v>
      </c>
      <c r="D238" s="7">
        <f t="shared" si="243"/>
        <v>20.131868131868131</v>
      </c>
      <c r="E238" s="1">
        <v>20.038</v>
      </c>
      <c r="F238" s="1">
        <v>20.111000000000001</v>
      </c>
      <c r="G238" s="1">
        <v>20.138000000000002</v>
      </c>
      <c r="H238" s="1">
        <v>20.016999999999999</v>
      </c>
      <c r="I238" s="1">
        <v>20.097000000000001</v>
      </c>
      <c r="J238" s="1">
        <v>20.082999999999998</v>
      </c>
      <c r="K238" s="1">
        <v>20.23</v>
      </c>
      <c r="L238" s="1">
        <v>19.992999999999999</v>
      </c>
      <c r="M238" s="1">
        <v>20.175999999999998</v>
      </c>
      <c r="N238" s="1">
        <v>20.18</v>
      </c>
      <c r="O238" s="1">
        <v>20.103000000000002</v>
      </c>
      <c r="P238" s="1">
        <v>20.061</v>
      </c>
      <c r="Q238" s="1">
        <v>20.126999999999999</v>
      </c>
      <c r="R238" s="1">
        <v>20.103000000000002</v>
      </c>
      <c r="S238" s="1">
        <v>20.099</v>
      </c>
      <c r="T238" s="1">
        <v>20.167000000000002</v>
      </c>
      <c r="U238" s="1">
        <v>20.123000000000001</v>
      </c>
      <c r="V238" s="1">
        <v>20.077000000000002</v>
      </c>
      <c r="W238" s="1">
        <v>20.117999999999999</v>
      </c>
      <c r="X238" s="1">
        <v>20</v>
      </c>
      <c r="Y238" s="1">
        <v>20.103000000000002</v>
      </c>
      <c r="Z238" s="1">
        <v>20.05</v>
      </c>
      <c r="AA238" s="1">
        <v>20.14</v>
      </c>
      <c r="AB238" s="1">
        <v>20.042999999999999</v>
      </c>
      <c r="AC238" s="1">
        <v>20.103000000000002</v>
      </c>
      <c r="AD238" s="1">
        <v>20.141999999999999</v>
      </c>
      <c r="AE238" s="1">
        <v>20.079999999999998</v>
      </c>
      <c r="AF238" s="1">
        <v>20.149999999999999</v>
      </c>
      <c r="AG238" s="1">
        <v>20.111999999999998</v>
      </c>
      <c r="AH238" s="1">
        <v>20.154</v>
      </c>
      <c r="AI238" s="1">
        <v>20.158000000000001</v>
      </c>
      <c r="AJ238" s="1">
        <v>19.917999999999999</v>
      </c>
      <c r="AK238" s="1">
        <v>20.015000000000001</v>
      </c>
      <c r="AL238" s="1">
        <v>20.058</v>
      </c>
      <c r="AM238" s="1">
        <v>20.13</v>
      </c>
      <c r="AN238" s="1">
        <v>20.16</v>
      </c>
      <c r="AO238" s="1">
        <v>20.143999999999998</v>
      </c>
      <c r="AP238" s="1">
        <v>20.122</v>
      </c>
      <c r="AQ238" s="1">
        <v>20.024000000000001</v>
      </c>
      <c r="AR238" s="1">
        <v>20.14</v>
      </c>
      <c r="AS238" s="1">
        <v>20.045000000000002</v>
      </c>
      <c r="AT238" s="1">
        <v>20.119</v>
      </c>
      <c r="AU238" s="1">
        <v>20.175000000000001</v>
      </c>
      <c r="AV238" s="1">
        <v>19.954000000000001</v>
      </c>
      <c r="AW238" s="1">
        <v>20.126000000000001</v>
      </c>
      <c r="AX238" s="1">
        <v>20.079999999999998</v>
      </c>
      <c r="AY238" s="1">
        <v>20.141999999999999</v>
      </c>
      <c r="AZ238" s="1">
        <v>20.103999999999999</v>
      </c>
      <c r="BA238" s="1">
        <v>20.055</v>
      </c>
      <c r="BB238" s="1">
        <v>19.986000000000001</v>
      </c>
      <c r="BC238" s="1">
        <v>20.120999999999999</v>
      </c>
      <c r="BD238" s="1">
        <v>20.061</v>
      </c>
      <c r="BE238" s="1">
        <v>20.146000000000001</v>
      </c>
      <c r="BF238" s="1">
        <v>20.053999999999998</v>
      </c>
      <c r="BG238" s="1">
        <v>20.106999999999999</v>
      </c>
      <c r="BH238" s="1">
        <v>19.928999999999998</v>
      </c>
      <c r="BI238" s="1">
        <v>20.064</v>
      </c>
      <c r="BJ238" s="1">
        <v>20.117999999999999</v>
      </c>
      <c r="BK238" s="1">
        <v>20.038</v>
      </c>
      <c r="BL238" s="1">
        <v>20.026</v>
      </c>
      <c r="BN238" s="9">
        <v>24</v>
      </c>
      <c r="BO238" s="9">
        <v>3435</v>
      </c>
      <c r="BP238" s="10">
        <f t="shared" si="183"/>
        <v>-4.6626637554584797E-3</v>
      </c>
      <c r="BQ238" s="10">
        <f t="shared" si="184"/>
        <v>-1.036572052401691E-3</v>
      </c>
      <c r="BR238" s="10">
        <f t="shared" si="185"/>
        <v>3.0458515283853454E-4</v>
      </c>
      <c r="BS238" s="10">
        <f t="shared" si="186"/>
        <v>-5.7057860262008774E-3</v>
      </c>
      <c r="BT238" s="10">
        <f t="shared" si="187"/>
        <v>-1.7319868995632306E-3</v>
      </c>
      <c r="BU238" s="10">
        <f t="shared" si="188"/>
        <v>-2.4274017467249467E-3</v>
      </c>
      <c r="BV238" s="10">
        <f t="shared" si="189"/>
        <v>4.8744541484716606E-3</v>
      </c>
      <c r="BW238" s="10">
        <f t="shared" si="190"/>
        <v>-6.8979257641921888E-3</v>
      </c>
      <c r="BX238" s="10">
        <f t="shared" si="191"/>
        <v>2.1921397379912094E-3</v>
      </c>
      <c r="BY238" s="10">
        <f t="shared" si="192"/>
        <v>2.3908296943231534E-3</v>
      </c>
      <c r="BZ238" s="10">
        <f t="shared" si="193"/>
        <v>-1.4339519650654027E-3</v>
      </c>
      <c r="CA238" s="10">
        <f t="shared" si="194"/>
        <v>-3.5201965065501978E-3</v>
      </c>
      <c r="CB238" s="10">
        <f t="shared" si="195"/>
        <v>-2.4181222707426761E-4</v>
      </c>
      <c r="CC238" s="10">
        <f t="shared" si="196"/>
        <v>-1.4339519650654027E-3</v>
      </c>
      <c r="CD238" s="10">
        <f t="shared" si="197"/>
        <v>-1.6326419213973469E-3</v>
      </c>
      <c r="CE238" s="10">
        <f t="shared" si="198"/>
        <v>1.7450873362446439E-3</v>
      </c>
      <c r="CF238" s="10">
        <f t="shared" si="199"/>
        <v>-4.4050218340603521E-4</v>
      </c>
      <c r="CG238" s="10">
        <f t="shared" si="200"/>
        <v>-2.7254366812225982E-3</v>
      </c>
      <c r="CH238" s="10">
        <f t="shared" si="201"/>
        <v>-6.8886462882100945E-4</v>
      </c>
      <c r="CI238" s="10">
        <f t="shared" si="202"/>
        <v>-6.5502183406113308E-3</v>
      </c>
      <c r="CJ238" s="10">
        <f t="shared" si="203"/>
        <v>-1.4339519650654027E-3</v>
      </c>
      <c r="CK238" s="10">
        <f t="shared" si="204"/>
        <v>-4.0665938864628236E-3</v>
      </c>
      <c r="CL238" s="10">
        <f t="shared" si="205"/>
        <v>4.0393013100441835E-4</v>
      </c>
      <c r="CM238" s="10">
        <f t="shared" si="206"/>
        <v>-4.4143013100436815E-3</v>
      </c>
      <c r="CN238" s="10">
        <f t="shared" si="207"/>
        <v>-1.4339519650654027E-3</v>
      </c>
      <c r="CO238" s="10">
        <f t="shared" si="208"/>
        <v>5.0327510917030211E-4</v>
      </c>
      <c r="CP238" s="10">
        <f t="shared" si="209"/>
        <v>-2.5764192139738607E-3</v>
      </c>
      <c r="CQ238" s="10">
        <f t="shared" si="210"/>
        <v>9.0065502183401386E-4</v>
      </c>
      <c r="CR238" s="10">
        <f t="shared" si="211"/>
        <v>-9.8689956331883739E-4</v>
      </c>
      <c r="CS238" s="10">
        <f t="shared" si="212"/>
        <v>1.0993449781659579E-3</v>
      </c>
      <c r="CT238" s="10">
        <f t="shared" si="213"/>
        <v>1.298034934497902E-3</v>
      </c>
      <c r="CU238" s="10">
        <f t="shared" si="214"/>
        <v>-1.062336244541486E-2</v>
      </c>
      <c r="CV238" s="10">
        <f t="shared" si="215"/>
        <v>-5.8051310043667611E-3</v>
      </c>
      <c r="CW238" s="10">
        <f t="shared" si="216"/>
        <v>-3.6692139737991118E-3</v>
      </c>
      <c r="CX238" s="10">
        <f t="shared" si="217"/>
        <v>-9.2794759825353657E-5</v>
      </c>
      <c r="CY238" s="10">
        <f t="shared" si="218"/>
        <v>1.3973799126637857E-3</v>
      </c>
      <c r="CZ238" s="10">
        <f t="shared" si="219"/>
        <v>6.0262008733618592E-4</v>
      </c>
      <c r="DA238" s="10">
        <f t="shared" si="220"/>
        <v>-4.9017467248906532E-4</v>
      </c>
      <c r="DB238" s="10">
        <f t="shared" si="221"/>
        <v>-5.3580786026200186E-3</v>
      </c>
      <c r="DC238" s="10">
        <f t="shared" si="222"/>
        <v>4.0393013100441835E-4</v>
      </c>
      <c r="DD238" s="10">
        <f t="shared" si="223"/>
        <v>-4.3149563318776217E-3</v>
      </c>
      <c r="DE238" s="10">
        <f t="shared" si="224"/>
        <v>-6.3919213973797934E-4</v>
      </c>
      <c r="DF238" s="10">
        <f t="shared" si="225"/>
        <v>2.1424672489083556E-3</v>
      </c>
      <c r="DG238" s="10">
        <f t="shared" si="226"/>
        <v>-8.8351528384278937E-3</v>
      </c>
      <c r="DH238" s="10">
        <f t="shared" si="227"/>
        <v>-2.9148471615712129E-4</v>
      </c>
      <c r="DI238" s="10">
        <f t="shared" si="228"/>
        <v>-2.5764192139738607E-3</v>
      </c>
      <c r="DJ238" s="10">
        <f t="shared" si="229"/>
        <v>5.0327510917030211E-4</v>
      </c>
      <c r="DK238" s="10">
        <f t="shared" si="230"/>
        <v>-1.3842794759825491E-3</v>
      </c>
      <c r="DL238" s="10">
        <f t="shared" si="231"/>
        <v>-3.8182314410480258E-3</v>
      </c>
      <c r="DM238" s="10">
        <f t="shared" si="232"/>
        <v>-7.2456331877728698E-3</v>
      </c>
      <c r="DN238" s="10">
        <f t="shared" si="233"/>
        <v>-5.3984716157209553E-4</v>
      </c>
      <c r="DO238" s="10">
        <f t="shared" si="234"/>
        <v>-3.5201965065501978E-3</v>
      </c>
      <c r="DP238" s="10">
        <f t="shared" si="235"/>
        <v>7.0196506550224624E-4</v>
      </c>
      <c r="DQ238" s="10">
        <f t="shared" si="236"/>
        <v>-3.8679039301310562E-3</v>
      </c>
      <c r="DR238" s="10">
        <f t="shared" si="237"/>
        <v>-1.2352620087336351E-3</v>
      </c>
      <c r="DS238" s="10">
        <f t="shared" si="238"/>
        <v>-1.0076965065502236E-2</v>
      </c>
      <c r="DT238" s="10">
        <f t="shared" si="239"/>
        <v>-3.3711790393012842E-3</v>
      </c>
      <c r="DU238" s="10">
        <f t="shared" si="240"/>
        <v>-6.8886462882100945E-4</v>
      </c>
      <c r="DV238" s="10">
        <f t="shared" si="241"/>
        <v>-4.6626637554584797E-3</v>
      </c>
      <c r="DW238" s="10">
        <f t="shared" si="242"/>
        <v>-5.2587336244541349E-3</v>
      </c>
    </row>
    <row r="239" spans="2:127" x14ac:dyDescent="0.45">
      <c r="B239" s="1">
        <v>24</v>
      </c>
      <c r="C239" s="1">
        <v>3450</v>
      </c>
      <c r="D239" s="7">
        <f t="shared" si="243"/>
        <v>20.219780219780219</v>
      </c>
      <c r="E239" s="1">
        <v>20.126999999999999</v>
      </c>
      <c r="F239" s="1">
        <v>20.199000000000002</v>
      </c>
      <c r="G239" s="1">
        <v>20.228999999999999</v>
      </c>
      <c r="H239" s="1">
        <v>20.106000000000002</v>
      </c>
      <c r="I239" s="1">
        <v>20.187000000000001</v>
      </c>
      <c r="J239" s="1">
        <v>20.172000000000001</v>
      </c>
      <c r="K239" s="1">
        <v>20.32</v>
      </c>
      <c r="L239" s="1">
        <v>20.079999999999998</v>
      </c>
      <c r="M239" s="1">
        <v>20.263000000000002</v>
      </c>
      <c r="N239" s="1">
        <v>20.268000000000001</v>
      </c>
      <c r="O239" s="1">
        <v>20.190999999999999</v>
      </c>
      <c r="P239" s="1">
        <v>20.148</v>
      </c>
      <c r="Q239" s="1">
        <v>20.215</v>
      </c>
      <c r="R239" s="1">
        <v>20.190999999999999</v>
      </c>
      <c r="S239" s="1">
        <v>20.186</v>
      </c>
      <c r="T239" s="1">
        <v>20.254999999999999</v>
      </c>
      <c r="U239" s="1">
        <v>20.209</v>
      </c>
      <c r="V239" s="1">
        <v>20.167000000000002</v>
      </c>
      <c r="W239" s="1">
        <v>20.206</v>
      </c>
      <c r="X239" s="1">
        <v>20.082999999999998</v>
      </c>
      <c r="Y239" s="1">
        <v>20.190999999999999</v>
      </c>
      <c r="Z239" s="1">
        <v>20.137</v>
      </c>
      <c r="AA239" s="1">
        <v>20.225999999999999</v>
      </c>
      <c r="AB239" s="1">
        <v>20.129000000000001</v>
      </c>
      <c r="AC239" s="1">
        <v>20.192</v>
      </c>
      <c r="AD239" s="1">
        <v>20.228999999999999</v>
      </c>
      <c r="AE239" s="1">
        <v>20.167999999999999</v>
      </c>
      <c r="AF239" s="1">
        <v>20.236999999999998</v>
      </c>
      <c r="AG239" s="1">
        <v>20.199000000000002</v>
      </c>
      <c r="AH239" s="1">
        <v>20.244</v>
      </c>
      <c r="AI239" s="1">
        <v>20.244</v>
      </c>
      <c r="AJ239" s="1">
        <v>20.007000000000001</v>
      </c>
      <c r="AK239" s="1">
        <v>20.100000000000001</v>
      </c>
      <c r="AL239" s="1">
        <v>20.146000000000001</v>
      </c>
      <c r="AM239" s="1">
        <v>20.216999999999999</v>
      </c>
      <c r="AN239" s="1">
        <v>20.247</v>
      </c>
      <c r="AO239" s="1">
        <v>20.231999999999999</v>
      </c>
      <c r="AP239" s="1">
        <v>20.213000000000001</v>
      </c>
      <c r="AQ239" s="1">
        <v>20.111999999999998</v>
      </c>
      <c r="AR239" s="1">
        <v>20.228000000000002</v>
      </c>
      <c r="AS239" s="1">
        <v>20.131</v>
      </c>
      <c r="AT239" s="1">
        <v>20.209</v>
      </c>
      <c r="AU239" s="1">
        <v>20.263000000000002</v>
      </c>
      <c r="AV239" s="1">
        <v>20.038</v>
      </c>
      <c r="AW239" s="1">
        <v>20.213999999999999</v>
      </c>
      <c r="AX239" s="1">
        <v>20.167999999999999</v>
      </c>
      <c r="AY239" s="1">
        <v>20.228000000000002</v>
      </c>
      <c r="AZ239" s="1">
        <v>20.195</v>
      </c>
      <c r="BA239" s="1">
        <v>20.141999999999999</v>
      </c>
      <c r="BB239" s="1">
        <v>20.076000000000001</v>
      </c>
      <c r="BC239" s="1">
        <v>20.21</v>
      </c>
      <c r="BD239" s="1">
        <v>20.148</v>
      </c>
      <c r="BE239" s="1">
        <v>20.236000000000001</v>
      </c>
      <c r="BF239" s="1">
        <v>20.143999999999998</v>
      </c>
      <c r="BG239" s="1">
        <v>20.187999999999999</v>
      </c>
      <c r="BH239" s="1">
        <v>20.010999999999999</v>
      </c>
      <c r="BI239" s="1">
        <v>20.152000000000001</v>
      </c>
      <c r="BJ239" s="1">
        <v>20.204999999999998</v>
      </c>
      <c r="BK239" s="1">
        <v>20.117999999999999</v>
      </c>
      <c r="BL239" s="1">
        <v>20.111999999999998</v>
      </c>
      <c r="BN239" s="9">
        <v>24</v>
      </c>
      <c r="BO239" s="9">
        <v>3450</v>
      </c>
      <c r="BP239" s="10">
        <f t="shared" si="183"/>
        <v>-4.5885869565217554E-3</v>
      </c>
      <c r="BQ239" s="10">
        <f t="shared" si="184"/>
        <v>-1.0277173913042291E-3</v>
      </c>
      <c r="BR239" s="10">
        <f t="shared" si="185"/>
        <v>4.5597826086956451E-4</v>
      </c>
      <c r="BS239" s="10">
        <f t="shared" si="186"/>
        <v>-5.627173913043358E-3</v>
      </c>
      <c r="BT239" s="10">
        <f t="shared" si="187"/>
        <v>-1.6211956521738169E-3</v>
      </c>
      <c r="BU239" s="10">
        <f t="shared" si="188"/>
        <v>-2.3630434782608016E-3</v>
      </c>
      <c r="BV239" s="10">
        <f t="shared" si="189"/>
        <v>4.9565217391304879E-3</v>
      </c>
      <c r="BW239" s="10">
        <f t="shared" si="190"/>
        <v>-6.9130434782609159E-3</v>
      </c>
      <c r="BX239" s="10">
        <f t="shared" si="191"/>
        <v>2.1375000000001215E-3</v>
      </c>
      <c r="BY239" s="10">
        <f t="shared" si="192"/>
        <v>2.3847826086957247E-3</v>
      </c>
      <c r="BZ239" s="10">
        <f t="shared" si="193"/>
        <v>-1.4233695652174048E-3</v>
      </c>
      <c r="CA239" s="10">
        <f t="shared" si="194"/>
        <v>-3.5499999999999768E-3</v>
      </c>
      <c r="CB239" s="10">
        <f t="shared" si="195"/>
        <v>-2.3641304347822928E-4</v>
      </c>
      <c r="CC239" s="10">
        <f t="shared" si="196"/>
        <v>-1.4233695652174048E-3</v>
      </c>
      <c r="CD239" s="10">
        <f t="shared" si="197"/>
        <v>-1.6706521739130078E-3</v>
      </c>
      <c r="CE239" s="10">
        <f t="shared" si="198"/>
        <v>1.741847826086946E-3</v>
      </c>
      <c r="CF239" s="10">
        <f t="shared" si="199"/>
        <v>-5.3315217391302315E-4</v>
      </c>
      <c r="CG239" s="10">
        <f t="shared" si="200"/>
        <v>-2.6103260869564044E-3</v>
      </c>
      <c r="CH239" s="10">
        <f t="shared" si="201"/>
        <v>-6.815217391304201E-4</v>
      </c>
      <c r="CI239" s="10">
        <f t="shared" si="202"/>
        <v>-6.764673913043519E-3</v>
      </c>
      <c r="CJ239" s="10">
        <f t="shared" si="203"/>
        <v>-1.4233695652174048E-3</v>
      </c>
      <c r="CK239" s="10">
        <f t="shared" si="204"/>
        <v>-4.0940217391303739E-3</v>
      </c>
      <c r="CL239" s="10">
        <f t="shared" si="205"/>
        <v>3.0760869565216756E-4</v>
      </c>
      <c r="CM239" s="10">
        <f t="shared" si="206"/>
        <v>-4.489673913043374E-3</v>
      </c>
      <c r="CN239" s="10">
        <f t="shared" si="207"/>
        <v>-1.3739130434782139E-3</v>
      </c>
      <c r="CO239" s="10">
        <f t="shared" si="208"/>
        <v>4.5597826086956451E-4</v>
      </c>
      <c r="CP239" s="10">
        <f t="shared" si="209"/>
        <v>-2.5608695652173893E-3</v>
      </c>
      <c r="CQ239" s="10">
        <f t="shared" si="210"/>
        <v>8.5163043478256437E-4</v>
      </c>
      <c r="CR239" s="10">
        <f t="shared" si="211"/>
        <v>-1.0277173913042291E-3</v>
      </c>
      <c r="CS239" s="10">
        <f t="shared" si="212"/>
        <v>1.1978260869565491E-3</v>
      </c>
      <c r="CT239" s="10">
        <f t="shared" si="213"/>
        <v>1.1978260869565491E-3</v>
      </c>
      <c r="CU239" s="10">
        <f t="shared" si="214"/>
        <v>-1.0523369565217282E-2</v>
      </c>
      <c r="CV239" s="10">
        <f t="shared" si="215"/>
        <v>-5.9239130434781519E-3</v>
      </c>
      <c r="CW239" s="10">
        <f t="shared" si="216"/>
        <v>-3.648913043478183E-3</v>
      </c>
      <c r="CX239" s="10">
        <f t="shared" si="217"/>
        <v>-1.3750000000002324E-4</v>
      </c>
      <c r="CY239" s="10">
        <f t="shared" si="218"/>
        <v>1.346195652173946E-3</v>
      </c>
      <c r="CZ239" s="10">
        <f t="shared" si="219"/>
        <v>6.043478260869614E-4</v>
      </c>
      <c r="DA239" s="10">
        <f t="shared" si="220"/>
        <v>-3.3532608695643532E-4</v>
      </c>
      <c r="DB239" s="10">
        <f t="shared" si="221"/>
        <v>-5.3304347826087402E-3</v>
      </c>
      <c r="DC239" s="10">
        <f t="shared" si="222"/>
        <v>4.0652173913054932E-4</v>
      </c>
      <c r="DD239" s="10">
        <f t="shared" si="223"/>
        <v>-4.3907608695651678E-3</v>
      </c>
      <c r="DE239" s="10">
        <f t="shared" si="224"/>
        <v>-5.3315217391302315E-4</v>
      </c>
      <c r="DF239" s="10">
        <f t="shared" si="225"/>
        <v>2.1375000000001215E-3</v>
      </c>
      <c r="DG239" s="10">
        <f t="shared" si="226"/>
        <v>-8.9902173913042963E-3</v>
      </c>
      <c r="DH239" s="10">
        <f t="shared" si="227"/>
        <v>-2.8586956521742019E-4</v>
      </c>
      <c r="DI239" s="10">
        <f t="shared" si="228"/>
        <v>-2.5608695652173893E-3</v>
      </c>
      <c r="DJ239" s="10">
        <f t="shared" si="229"/>
        <v>4.0652173913054932E-4</v>
      </c>
      <c r="DK239" s="10">
        <f t="shared" si="230"/>
        <v>-1.225543478260817E-3</v>
      </c>
      <c r="DL239" s="10">
        <f t="shared" si="231"/>
        <v>-3.8467391304347707E-3</v>
      </c>
      <c r="DM239" s="10">
        <f t="shared" si="232"/>
        <v>-7.1108695652173275E-3</v>
      </c>
      <c r="DN239" s="10">
        <f t="shared" si="233"/>
        <v>-4.8369565217383227E-4</v>
      </c>
      <c r="DO239" s="10">
        <f t="shared" si="234"/>
        <v>-3.5499999999999768E-3</v>
      </c>
      <c r="DP239" s="10">
        <f t="shared" si="235"/>
        <v>8.0217391304354929E-4</v>
      </c>
      <c r="DQ239" s="10">
        <f t="shared" si="236"/>
        <v>-3.7478260869565649E-3</v>
      </c>
      <c r="DR239" s="10">
        <f t="shared" si="237"/>
        <v>-1.5717391304348016E-3</v>
      </c>
      <c r="DS239" s="10">
        <f t="shared" si="238"/>
        <v>-1.032554347826087E-2</v>
      </c>
      <c r="DT239" s="10">
        <f t="shared" si="239"/>
        <v>-3.3521739130433891E-3</v>
      </c>
      <c r="DU239" s="10">
        <f t="shared" si="240"/>
        <v>-7.3097826086961093E-4</v>
      </c>
      <c r="DV239" s="10">
        <f t="shared" si="241"/>
        <v>-5.0336956521739463E-3</v>
      </c>
      <c r="DW239" s="10">
        <f t="shared" si="242"/>
        <v>-5.3304347826087402E-3</v>
      </c>
    </row>
    <row r="240" spans="2:127" x14ac:dyDescent="0.45">
      <c r="B240" s="1">
        <v>24</v>
      </c>
      <c r="C240" s="1">
        <v>3465</v>
      </c>
      <c r="D240" s="7">
        <f t="shared" si="243"/>
        <v>20.307692307692307</v>
      </c>
      <c r="E240" s="1">
        <v>20.215</v>
      </c>
      <c r="F240" s="1">
        <v>20.286000000000001</v>
      </c>
      <c r="G240" s="1">
        <v>20.314</v>
      </c>
      <c r="H240" s="1">
        <v>20.190999999999999</v>
      </c>
      <c r="I240" s="1">
        <v>20.274999999999999</v>
      </c>
      <c r="J240" s="1">
        <v>20.260000000000002</v>
      </c>
      <c r="K240" s="1">
        <v>20.408999999999999</v>
      </c>
      <c r="L240" s="1">
        <v>20.164000000000001</v>
      </c>
      <c r="M240" s="1">
        <v>20.350999999999999</v>
      </c>
      <c r="N240" s="1">
        <v>20.356999999999999</v>
      </c>
      <c r="O240" s="1">
        <v>20.282</v>
      </c>
      <c r="P240" s="1">
        <v>20.234000000000002</v>
      </c>
      <c r="Q240" s="1">
        <v>20.300999999999998</v>
      </c>
      <c r="R240" s="1">
        <v>20.277999999999999</v>
      </c>
      <c r="S240" s="1">
        <v>20.271999999999998</v>
      </c>
      <c r="T240" s="1">
        <v>20.341999999999999</v>
      </c>
      <c r="U240" s="1">
        <v>20.297000000000001</v>
      </c>
      <c r="V240" s="1">
        <v>20.251999999999999</v>
      </c>
      <c r="W240" s="1">
        <v>20.291</v>
      </c>
      <c r="X240" s="1">
        <v>20.172000000000001</v>
      </c>
      <c r="Y240" s="1">
        <v>20.277999999999999</v>
      </c>
      <c r="Z240" s="1">
        <v>20.222000000000001</v>
      </c>
      <c r="AA240" s="1">
        <v>20.312999999999999</v>
      </c>
      <c r="AB240" s="1">
        <v>20.215</v>
      </c>
      <c r="AC240" s="1">
        <v>20.282</v>
      </c>
      <c r="AD240" s="1">
        <v>20.317</v>
      </c>
      <c r="AE240" s="1">
        <v>20.256</v>
      </c>
      <c r="AF240" s="1">
        <v>20.327000000000002</v>
      </c>
      <c r="AG240" s="1">
        <v>20.286999999999999</v>
      </c>
      <c r="AH240" s="1">
        <v>20.332999999999998</v>
      </c>
      <c r="AI240" s="1">
        <v>20.332999999999998</v>
      </c>
      <c r="AJ240" s="1">
        <v>20.093</v>
      </c>
      <c r="AK240" s="1">
        <v>20.186</v>
      </c>
      <c r="AL240" s="1">
        <v>20.234000000000002</v>
      </c>
      <c r="AM240" s="1">
        <v>20.305</v>
      </c>
      <c r="AN240" s="1">
        <v>20.332999999999998</v>
      </c>
      <c r="AO240" s="1">
        <v>20.32</v>
      </c>
      <c r="AP240" s="1">
        <v>20.300999999999998</v>
      </c>
      <c r="AQ240" s="1">
        <v>20.202000000000002</v>
      </c>
      <c r="AR240" s="1">
        <v>20.314</v>
      </c>
      <c r="AS240" s="1">
        <v>20.216999999999999</v>
      </c>
      <c r="AT240" s="1">
        <v>20.295000000000002</v>
      </c>
      <c r="AU240" s="1">
        <v>20.350999999999999</v>
      </c>
      <c r="AV240" s="1">
        <v>20.123000000000001</v>
      </c>
      <c r="AW240" s="1">
        <v>20.303999999999998</v>
      </c>
      <c r="AX240" s="1">
        <v>20.256</v>
      </c>
      <c r="AY240" s="1">
        <v>20.315999999999999</v>
      </c>
      <c r="AZ240" s="1">
        <v>20.283000000000001</v>
      </c>
      <c r="BA240" s="1">
        <v>20.228999999999999</v>
      </c>
      <c r="BB240" s="1">
        <v>20.161000000000001</v>
      </c>
      <c r="BC240" s="1">
        <v>20.297000000000001</v>
      </c>
      <c r="BD240" s="1">
        <v>20.236000000000001</v>
      </c>
      <c r="BE240" s="1">
        <v>20.323</v>
      </c>
      <c r="BF240" s="1">
        <v>20.23</v>
      </c>
      <c r="BG240" s="1">
        <v>20.274000000000001</v>
      </c>
      <c r="BH240" s="1">
        <v>20.100000000000001</v>
      </c>
      <c r="BI240" s="1">
        <v>20.239000000000001</v>
      </c>
      <c r="BJ240" s="1">
        <v>20.291</v>
      </c>
      <c r="BK240" s="1">
        <v>20.202999999999999</v>
      </c>
      <c r="BL240" s="1">
        <v>20.202000000000002</v>
      </c>
      <c r="BN240" s="9">
        <v>24</v>
      </c>
      <c r="BO240" s="9">
        <v>3465</v>
      </c>
      <c r="BP240" s="10">
        <f t="shared" si="183"/>
        <v>-4.5643939393938925E-3</v>
      </c>
      <c r="BQ240" s="10">
        <f t="shared" si="184"/>
        <v>-1.0681818181816972E-3</v>
      </c>
      <c r="BR240" s="10">
        <f t="shared" si="185"/>
        <v>3.1060606060611724E-4</v>
      </c>
      <c r="BS240" s="10">
        <f t="shared" si="186"/>
        <v>-5.7462121212121199E-3</v>
      </c>
      <c r="BT240" s="10">
        <f t="shared" si="187"/>
        <v>-1.6098484848485011E-3</v>
      </c>
      <c r="BU240" s="10">
        <f t="shared" si="188"/>
        <v>-2.3484848484847179E-3</v>
      </c>
      <c r="BV240" s="10">
        <f t="shared" si="189"/>
        <v>4.9886363636363644E-3</v>
      </c>
      <c r="BW240" s="10">
        <f t="shared" si="190"/>
        <v>-7.0757575757574498E-3</v>
      </c>
      <c r="BX240" s="10">
        <f t="shared" si="191"/>
        <v>2.1325757575757667E-3</v>
      </c>
      <c r="BY240" s="10">
        <f t="shared" si="192"/>
        <v>2.4280303030303233E-3</v>
      </c>
      <c r="BZ240" s="10">
        <f t="shared" si="193"/>
        <v>-1.2651515151514601E-3</v>
      </c>
      <c r="CA240" s="10">
        <f t="shared" si="194"/>
        <v>-3.6287878787877384E-3</v>
      </c>
      <c r="CB240" s="10">
        <f t="shared" si="195"/>
        <v>-3.2954545454548051E-4</v>
      </c>
      <c r="CC240" s="10">
        <f t="shared" si="196"/>
        <v>-1.4621212121212228E-3</v>
      </c>
      <c r="CD240" s="10">
        <f t="shared" si="197"/>
        <v>-1.7575757575757794E-3</v>
      </c>
      <c r="CE240" s="10">
        <f t="shared" si="198"/>
        <v>1.6893939393939318E-3</v>
      </c>
      <c r="CF240" s="10">
        <f t="shared" si="199"/>
        <v>-5.2651515151506836E-4</v>
      </c>
      <c r="CG240" s="10">
        <f t="shared" si="200"/>
        <v>-2.7424242424242433E-3</v>
      </c>
      <c r="CH240" s="10">
        <f t="shared" si="201"/>
        <v>-8.21969696969625E-4</v>
      </c>
      <c r="CI240" s="10">
        <f t="shared" si="202"/>
        <v>-6.6818181818180987E-3</v>
      </c>
      <c r="CJ240" s="10">
        <f t="shared" si="203"/>
        <v>-1.4621212121212228E-3</v>
      </c>
      <c r="CK240" s="10">
        <f t="shared" si="204"/>
        <v>-4.2196969696968517E-3</v>
      </c>
      <c r="CL240" s="10">
        <f t="shared" si="205"/>
        <v>2.6136363636363282E-4</v>
      </c>
      <c r="CM240" s="10">
        <f t="shared" si="206"/>
        <v>-4.5643939393938925E-3</v>
      </c>
      <c r="CN240" s="10">
        <f t="shared" si="207"/>
        <v>-1.2651515151514601E-3</v>
      </c>
      <c r="CO240" s="10">
        <f t="shared" si="208"/>
        <v>4.5833333333339556E-4</v>
      </c>
      <c r="CP240" s="10">
        <f t="shared" si="209"/>
        <v>-2.5454545454544806E-3</v>
      </c>
      <c r="CQ240" s="10">
        <f t="shared" si="210"/>
        <v>9.5075757575771504E-4</v>
      </c>
      <c r="CR240" s="10">
        <f t="shared" si="211"/>
        <v>-1.0189393939393878E-3</v>
      </c>
      <c r="CS240" s="10">
        <f t="shared" si="212"/>
        <v>1.2462121212120968E-3</v>
      </c>
      <c r="CT240" s="10">
        <f t="shared" si="213"/>
        <v>1.2462121212120968E-3</v>
      </c>
      <c r="CU240" s="10">
        <f t="shared" si="214"/>
        <v>-1.0571969696969646E-2</v>
      </c>
      <c r="CV240" s="10">
        <f t="shared" si="215"/>
        <v>-5.9924242424241915E-3</v>
      </c>
      <c r="CW240" s="10">
        <f t="shared" si="216"/>
        <v>-3.6287878787877384E-3</v>
      </c>
      <c r="CX240" s="10">
        <f t="shared" si="217"/>
        <v>-1.3257575757571774E-4</v>
      </c>
      <c r="CY240" s="10">
        <f t="shared" si="218"/>
        <v>1.2462121212120968E-3</v>
      </c>
      <c r="CZ240" s="10">
        <f t="shared" si="219"/>
        <v>6.0606060606067393E-4</v>
      </c>
      <c r="DA240" s="10">
        <f t="shared" si="220"/>
        <v>-3.2954545454548051E-4</v>
      </c>
      <c r="DB240" s="10">
        <f t="shared" si="221"/>
        <v>-5.204545454545316E-3</v>
      </c>
      <c r="DC240" s="10">
        <f t="shared" si="222"/>
        <v>3.1060606060611724E-4</v>
      </c>
      <c r="DD240" s="10">
        <f t="shared" si="223"/>
        <v>-4.4659090909090985E-3</v>
      </c>
      <c r="DE240" s="10">
        <f t="shared" si="224"/>
        <v>-6.2499999999986221E-4</v>
      </c>
      <c r="DF240" s="10">
        <f t="shared" si="225"/>
        <v>2.1325757575757667E-3</v>
      </c>
      <c r="DG240" s="10">
        <f t="shared" si="226"/>
        <v>-9.0946969696968621E-3</v>
      </c>
      <c r="DH240" s="10">
        <f t="shared" si="227"/>
        <v>-1.8181818181820216E-4</v>
      </c>
      <c r="DI240" s="10">
        <f t="shared" si="228"/>
        <v>-2.5454545454544806E-3</v>
      </c>
      <c r="DJ240" s="10">
        <f t="shared" si="229"/>
        <v>4.0909090909091114E-4</v>
      </c>
      <c r="DK240" s="10">
        <f t="shared" si="230"/>
        <v>-1.2159090909089755E-3</v>
      </c>
      <c r="DL240" s="10">
        <f t="shared" si="231"/>
        <v>-3.8749999999999857E-3</v>
      </c>
      <c r="DM240" s="10">
        <f t="shared" si="232"/>
        <v>-7.2234848484847283E-3</v>
      </c>
      <c r="DN240" s="10">
        <f t="shared" si="233"/>
        <v>-5.2651515151506836E-4</v>
      </c>
      <c r="DO240" s="10">
        <f t="shared" si="234"/>
        <v>-3.5303030303029444E-3</v>
      </c>
      <c r="DP240" s="10">
        <f t="shared" si="235"/>
        <v>7.5378787878795225E-4</v>
      </c>
      <c r="DQ240" s="10">
        <f t="shared" si="236"/>
        <v>-3.8257575757575011E-3</v>
      </c>
      <c r="DR240" s="10">
        <f t="shared" si="237"/>
        <v>-1.6590909090908107E-3</v>
      </c>
      <c r="DS240" s="10">
        <f t="shared" si="238"/>
        <v>-1.0227272727272604E-2</v>
      </c>
      <c r="DT240" s="10">
        <f t="shared" si="239"/>
        <v>-3.3825757575756663E-3</v>
      </c>
      <c r="DU240" s="10">
        <f t="shared" si="240"/>
        <v>-8.21969696969625E-4</v>
      </c>
      <c r="DV240" s="10">
        <f t="shared" si="241"/>
        <v>-5.1553030303030057E-3</v>
      </c>
      <c r="DW240" s="10">
        <f t="shared" si="242"/>
        <v>-5.204545454545316E-3</v>
      </c>
    </row>
    <row r="241" spans="2:127" x14ac:dyDescent="0.45">
      <c r="B241" s="1">
        <v>24</v>
      </c>
      <c r="C241" s="1">
        <v>3480</v>
      </c>
      <c r="D241" s="7">
        <f t="shared" si="243"/>
        <v>20.395604395604394</v>
      </c>
      <c r="E241" s="1">
        <v>20.302</v>
      </c>
      <c r="F241" s="1">
        <v>20.373999999999999</v>
      </c>
      <c r="G241" s="1">
        <v>20.399999999999999</v>
      </c>
      <c r="H241" s="1">
        <v>20.276</v>
      </c>
      <c r="I241" s="1">
        <v>20.364999999999998</v>
      </c>
      <c r="J241" s="1">
        <v>20.350000000000001</v>
      </c>
      <c r="K241" s="1">
        <v>20.498000000000001</v>
      </c>
      <c r="L241" s="1">
        <v>20.248999999999999</v>
      </c>
      <c r="M241" s="1">
        <v>20.439</v>
      </c>
      <c r="N241" s="1">
        <v>20.442</v>
      </c>
      <c r="O241" s="1">
        <v>20.370999999999999</v>
      </c>
      <c r="P241" s="1">
        <v>20.321000000000002</v>
      </c>
      <c r="Q241" s="1">
        <v>20.385999999999999</v>
      </c>
      <c r="R241" s="1">
        <v>20.361000000000001</v>
      </c>
      <c r="S241" s="1">
        <v>20.359000000000002</v>
      </c>
      <c r="T241" s="1">
        <v>20.428000000000001</v>
      </c>
      <c r="U241" s="1">
        <v>20.382000000000001</v>
      </c>
      <c r="V241" s="1">
        <v>20.338999999999999</v>
      </c>
      <c r="W241" s="1">
        <v>20.38</v>
      </c>
      <c r="X241" s="1">
        <v>20.259</v>
      </c>
      <c r="Y241" s="1">
        <v>20.370999999999999</v>
      </c>
      <c r="Z241" s="1">
        <v>20.309999999999999</v>
      </c>
      <c r="AA241" s="1">
        <v>20.399999999999999</v>
      </c>
      <c r="AB241" s="1">
        <v>20.303999999999998</v>
      </c>
      <c r="AC241" s="1">
        <v>20.37</v>
      </c>
      <c r="AD241" s="1">
        <v>20.404</v>
      </c>
      <c r="AE241" s="1">
        <v>20.344000000000001</v>
      </c>
      <c r="AF241" s="1">
        <v>20.414999999999999</v>
      </c>
      <c r="AG241" s="1">
        <v>20.376999999999999</v>
      </c>
      <c r="AH241" s="1">
        <v>20.420000000000002</v>
      </c>
      <c r="AI241" s="1">
        <v>20.420000000000002</v>
      </c>
      <c r="AJ241" s="1">
        <v>20.181999999999999</v>
      </c>
      <c r="AK241" s="1">
        <v>20.271000000000001</v>
      </c>
      <c r="AL241" s="1">
        <v>20.323</v>
      </c>
      <c r="AM241" s="1">
        <v>20.393000000000001</v>
      </c>
      <c r="AN241" s="1">
        <v>20.419</v>
      </c>
      <c r="AO241" s="1">
        <v>20.407</v>
      </c>
      <c r="AP241" s="1">
        <v>20.388999999999999</v>
      </c>
      <c r="AQ241" s="1">
        <v>20.286999999999999</v>
      </c>
      <c r="AR241" s="1">
        <v>20.404</v>
      </c>
      <c r="AS241" s="1">
        <v>20.303999999999998</v>
      </c>
      <c r="AT241" s="1">
        <v>20.385999999999999</v>
      </c>
      <c r="AU241" s="1">
        <v>20.437999999999999</v>
      </c>
      <c r="AV241" s="1">
        <v>20.209</v>
      </c>
      <c r="AW241" s="1">
        <v>20.39</v>
      </c>
      <c r="AX241" s="1">
        <v>20.343</v>
      </c>
      <c r="AY241" s="1">
        <v>20.404</v>
      </c>
      <c r="AZ241" s="1">
        <v>20.370999999999999</v>
      </c>
      <c r="BA241" s="1">
        <v>20.317</v>
      </c>
      <c r="BB241" s="1">
        <v>20.248000000000001</v>
      </c>
      <c r="BC241" s="1">
        <v>20.385000000000002</v>
      </c>
      <c r="BD241" s="1">
        <v>20.321000000000002</v>
      </c>
      <c r="BE241" s="1">
        <v>20.411999999999999</v>
      </c>
      <c r="BF241" s="1">
        <v>20.32</v>
      </c>
      <c r="BG241" s="1">
        <v>20.359000000000002</v>
      </c>
      <c r="BH241" s="1">
        <v>20.18</v>
      </c>
      <c r="BI241" s="1">
        <v>20.327000000000002</v>
      </c>
      <c r="BJ241" s="1">
        <v>20.378</v>
      </c>
      <c r="BK241" s="1">
        <v>20.291</v>
      </c>
      <c r="BL241" s="1">
        <v>20.286999999999999</v>
      </c>
      <c r="BN241" s="9">
        <v>24</v>
      </c>
      <c r="BO241" s="9">
        <v>3480</v>
      </c>
      <c r="BP241" s="10">
        <f t="shared" si="183"/>
        <v>-4.589439655172365E-3</v>
      </c>
      <c r="BQ241" s="10">
        <f t="shared" si="184"/>
        <v>-1.0592672413793013E-3</v>
      </c>
      <c r="BR241" s="10">
        <f t="shared" si="185"/>
        <v>2.1551724137930958E-4</v>
      </c>
      <c r="BS241" s="10">
        <f t="shared" si="186"/>
        <v>-5.864224137930976E-3</v>
      </c>
      <c r="BT241" s="10">
        <f t="shared" si="187"/>
        <v>-1.5005387931034562E-3</v>
      </c>
      <c r="BU241" s="10">
        <f t="shared" si="188"/>
        <v>-2.2359913793102062E-3</v>
      </c>
      <c r="BV241" s="10">
        <f t="shared" si="189"/>
        <v>5.0204741379311583E-3</v>
      </c>
      <c r="BW241" s="10">
        <f t="shared" si="190"/>
        <v>-7.1880387931034396E-3</v>
      </c>
      <c r="BX241" s="10">
        <f t="shared" si="191"/>
        <v>2.1276939655173132E-3</v>
      </c>
      <c r="BY241" s="10">
        <f t="shared" si="192"/>
        <v>2.2747844827586982E-3</v>
      </c>
      <c r="BZ241" s="10">
        <f t="shared" si="193"/>
        <v>-1.2063577586206864E-3</v>
      </c>
      <c r="CA241" s="10">
        <f t="shared" si="194"/>
        <v>-3.6578663793102022E-3</v>
      </c>
      <c r="CB241" s="10">
        <f t="shared" si="195"/>
        <v>-4.7090517241376185E-4</v>
      </c>
      <c r="CC241" s="10">
        <f t="shared" si="196"/>
        <v>-1.6966594827585199E-3</v>
      </c>
      <c r="CD241" s="10">
        <f t="shared" si="197"/>
        <v>-1.7947198275860517E-3</v>
      </c>
      <c r="CE241" s="10">
        <f t="shared" si="198"/>
        <v>1.5883620689656267E-3</v>
      </c>
      <c r="CF241" s="10">
        <f t="shared" si="199"/>
        <v>-6.6702586206882563E-4</v>
      </c>
      <c r="CG241" s="10">
        <f t="shared" si="200"/>
        <v>-2.7753232758620672E-3</v>
      </c>
      <c r="CH241" s="10">
        <f t="shared" si="201"/>
        <v>-7.6508620689653159E-4</v>
      </c>
      <c r="CI241" s="10">
        <f t="shared" si="202"/>
        <v>-6.6977370689654319E-3</v>
      </c>
      <c r="CJ241" s="10">
        <f t="shared" si="203"/>
        <v>-1.2063577586206864E-3</v>
      </c>
      <c r="CK241" s="10">
        <f t="shared" si="204"/>
        <v>-4.1971982758620633E-3</v>
      </c>
      <c r="CL241" s="10">
        <f t="shared" si="205"/>
        <v>2.1551724137930958E-4</v>
      </c>
      <c r="CM241" s="10">
        <f t="shared" si="206"/>
        <v>-4.4913793103448325E-3</v>
      </c>
      <c r="CN241" s="10">
        <f t="shared" si="207"/>
        <v>-1.2553879310343652E-3</v>
      </c>
      <c r="CO241" s="10">
        <f t="shared" si="208"/>
        <v>4.1163793103454754E-4</v>
      </c>
      <c r="CP241" s="10">
        <f t="shared" si="209"/>
        <v>-2.5301724137929762E-3</v>
      </c>
      <c r="CQ241" s="10">
        <f t="shared" si="210"/>
        <v>9.509698275862341E-4</v>
      </c>
      <c r="CR241" s="10">
        <f t="shared" si="211"/>
        <v>-9.1217672413791652E-4</v>
      </c>
      <c r="CS241" s="10">
        <f t="shared" si="212"/>
        <v>1.196120689655325E-3</v>
      </c>
      <c r="CT241" s="10">
        <f t="shared" si="213"/>
        <v>1.196120689655325E-3</v>
      </c>
      <c r="CU241" s="10">
        <f t="shared" si="214"/>
        <v>-1.0473060344827586E-2</v>
      </c>
      <c r="CV241" s="10">
        <f t="shared" si="215"/>
        <v>-6.1093749999998927E-3</v>
      </c>
      <c r="CW241" s="10">
        <f t="shared" si="216"/>
        <v>-3.5598060344826706E-3</v>
      </c>
      <c r="CX241" s="10">
        <f t="shared" si="217"/>
        <v>-1.2769396551713904E-4</v>
      </c>
      <c r="CY241" s="10">
        <f t="shared" si="218"/>
        <v>1.147090517241472E-3</v>
      </c>
      <c r="CZ241" s="10">
        <f t="shared" si="219"/>
        <v>5.5872844827593241E-4</v>
      </c>
      <c r="DA241" s="10">
        <f t="shared" si="220"/>
        <v>-3.2381465517237698E-4</v>
      </c>
      <c r="DB241" s="10">
        <f t="shared" si="221"/>
        <v>-5.3248922413792893E-3</v>
      </c>
      <c r="DC241" s="10">
        <f t="shared" si="222"/>
        <v>4.1163793103454754E-4</v>
      </c>
      <c r="DD241" s="10">
        <f t="shared" si="223"/>
        <v>-4.4913793103448325E-3</v>
      </c>
      <c r="DE241" s="10">
        <f t="shared" si="224"/>
        <v>-4.7090517241376185E-4</v>
      </c>
      <c r="DF241" s="10">
        <f t="shared" si="225"/>
        <v>2.0786637931034602E-3</v>
      </c>
      <c r="DG241" s="10">
        <f t="shared" si="226"/>
        <v>-9.1492456896551215E-3</v>
      </c>
      <c r="DH241" s="10">
        <f t="shared" si="227"/>
        <v>-2.7478448275852394E-4</v>
      </c>
      <c r="DI241" s="10">
        <f t="shared" si="228"/>
        <v>-2.5792025862068292E-3</v>
      </c>
      <c r="DJ241" s="10">
        <f t="shared" si="229"/>
        <v>4.1163793103454754E-4</v>
      </c>
      <c r="DK241" s="10">
        <f t="shared" si="230"/>
        <v>-1.2063577586206864E-3</v>
      </c>
      <c r="DL241" s="10">
        <f t="shared" si="231"/>
        <v>-3.8539870689654403E-3</v>
      </c>
      <c r="DM241" s="10">
        <f t="shared" si="232"/>
        <v>-7.2370689655171187E-3</v>
      </c>
      <c r="DN241" s="10">
        <f t="shared" si="233"/>
        <v>-5.1993534482744071E-4</v>
      </c>
      <c r="DO241" s="10">
        <f t="shared" si="234"/>
        <v>-3.6578663793102022E-3</v>
      </c>
      <c r="DP241" s="10">
        <f t="shared" si="235"/>
        <v>8.0387931034484918E-4</v>
      </c>
      <c r="DQ241" s="10">
        <f t="shared" si="236"/>
        <v>-3.7068965517240552E-3</v>
      </c>
      <c r="DR241" s="10">
        <f t="shared" si="237"/>
        <v>-1.7947198275860517E-3</v>
      </c>
      <c r="DS241" s="10">
        <f t="shared" si="238"/>
        <v>-1.0571120689655118E-2</v>
      </c>
      <c r="DT241" s="10">
        <f t="shared" si="239"/>
        <v>-3.3636853448274326E-3</v>
      </c>
      <c r="DU241" s="10">
        <f t="shared" si="240"/>
        <v>-8.6314655172406354E-4</v>
      </c>
      <c r="DV241" s="10">
        <f t="shared" si="241"/>
        <v>-5.1287715517240508E-3</v>
      </c>
      <c r="DW241" s="10">
        <f t="shared" si="242"/>
        <v>-5.3248922413792893E-3</v>
      </c>
    </row>
    <row r="242" spans="2:127" x14ac:dyDescent="0.45">
      <c r="B242" s="1">
        <v>24</v>
      </c>
      <c r="C242" s="1">
        <v>3495</v>
      </c>
      <c r="D242" s="7">
        <f t="shared" si="243"/>
        <v>20.483516483516482</v>
      </c>
      <c r="E242" s="1">
        <v>20.388999999999999</v>
      </c>
      <c r="F242" s="1">
        <v>20.460999999999999</v>
      </c>
      <c r="G242" s="1">
        <v>20.486999999999998</v>
      </c>
      <c r="H242" s="1">
        <v>20.361999999999998</v>
      </c>
      <c r="I242" s="1">
        <v>20.452999999999999</v>
      </c>
      <c r="J242" s="1">
        <v>20.437999999999999</v>
      </c>
      <c r="K242" s="1">
        <v>20.585999999999999</v>
      </c>
      <c r="L242" s="1">
        <v>20.343</v>
      </c>
      <c r="M242" s="1">
        <v>20.524999999999999</v>
      </c>
      <c r="N242" s="1">
        <v>20.53</v>
      </c>
      <c r="O242" s="1">
        <v>20.457999999999998</v>
      </c>
      <c r="P242" s="1">
        <v>20.408999999999999</v>
      </c>
      <c r="Q242" s="1">
        <v>20.475999999999999</v>
      </c>
      <c r="R242" s="1">
        <v>20.446999999999999</v>
      </c>
      <c r="S242" s="1">
        <v>20.449000000000002</v>
      </c>
      <c r="T242" s="1">
        <v>20.516999999999999</v>
      </c>
      <c r="U242" s="1">
        <v>20.47</v>
      </c>
      <c r="V242" s="1">
        <v>20.423999999999999</v>
      </c>
      <c r="W242" s="1">
        <v>20.468</v>
      </c>
      <c r="X242" s="1">
        <v>20.343</v>
      </c>
      <c r="Y242" s="1">
        <v>20.452999999999999</v>
      </c>
      <c r="Z242" s="1">
        <v>20.396000000000001</v>
      </c>
      <c r="AA242" s="1">
        <v>20.484000000000002</v>
      </c>
      <c r="AB242" s="1">
        <v>20.391999999999999</v>
      </c>
      <c r="AC242" s="1">
        <v>20.46</v>
      </c>
      <c r="AD242" s="1">
        <v>20.492000000000001</v>
      </c>
      <c r="AE242" s="1">
        <v>20.431000000000001</v>
      </c>
      <c r="AF242" s="1">
        <v>20.503</v>
      </c>
      <c r="AG242" s="1">
        <v>20.460999999999999</v>
      </c>
      <c r="AH242" s="1">
        <v>20.507999999999999</v>
      </c>
      <c r="AI242" s="1">
        <v>20.507000000000001</v>
      </c>
      <c r="AJ242" s="1">
        <v>20.271000000000001</v>
      </c>
      <c r="AK242" s="1">
        <v>20.358000000000001</v>
      </c>
      <c r="AL242" s="1">
        <v>20.411000000000001</v>
      </c>
      <c r="AM242" s="1">
        <v>20.481000000000002</v>
      </c>
      <c r="AN242" s="1">
        <v>20.506</v>
      </c>
      <c r="AO242" s="1">
        <v>20.495999999999999</v>
      </c>
      <c r="AP242" s="1">
        <v>20.475999999999999</v>
      </c>
      <c r="AQ242" s="1">
        <v>20.373000000000001</v>
      </c>
      <c r="AR242" s="1">
        <v>20.489000000000001</v>
      </c>
      <c r="AS242" s="1">
        <v>20.393000000000001</v>
      </c>
      <c r="AT242" s="1">
        <v>20.472999999999999</v>
      </c>
      <c r="AU242" s="1">
        <v>20.526</v>
      </c>
      <c r="AV242" s="1">
        <v>20.291</v>
      </c>
      <c r="AW242" s="1">
        <v>20.477</v>
      </c>
      <c r="AX242" s="1">
        <v>20.43</v>
      </c>
      <c r="AY242" s="1">
        <v>20.488</v>
      </c>
      <c r="AZ242" s="1">
        <v>20.46</v>
      </c>
      <c r="BA242" s="1">
        <v>20.402999999999999</v>
      </c>
      <c r="BB242" s="1">
        <v>20.331</v>
      </c>
      <c r="BC242" s="1">
        <v>20.47</v>
      </c>
      <c r="BD242" s="1">
        <v>20.407</v>
      </c>
      <c r="BE242" s="1">
        <v>20.498999999999999</v>
      </c>
      <c r="BF242" s="1">
        <v>20.408000000000001</v>
      </c>
      <c r="BG242" s="1">
        <v>20.45</v>
      </c>
      <c r="BH242" s="1">
        <v>20.268000000000001</v>
      </c>
      <c r="BI242" s="1">
        <v>20.413</v>
      </c>
      <c r="BJ242" s="1">
        <v>20.468</v>
      </c>
      <c r="BK242" s="1">
        <v>20.376000000000001</v>
      </c>
      <c r="BL242" s="1">
        <v>20.373999999999999</v>
      </c>
      <c r="BN242" s="9">
        <v>24</v>
      </c>
      <c r="BO242" s="9">
        <v>3495</v>
      </c>
      <c r="BP242" s="10">
        <f t="shared" si="183"/>
        <v>-4.6142703862660428E-3</v>
      </c>
      <c r="BQ242" s="10">
        <f t="shared" si="184"/>
        <v>-1.0992489270386151E-3</v>
      </c>
      <c r="BR242" s="10">
        <f t="shared" si="185"/>
        <v>1.7006437768240544E-4</v>
      </c>
      <c r="BS242" s="10">
        <f t="shared" si="186"/>
        <v>-5.932403433476393E-3</v>
      </c>
      <c r="BT242" s="10">
        <f t="shared" si="187"/>
        <v>-1.4898068669527351E-3</v>
      </c>
      <c r="BU242" s="10">
        <f t="shared" si="188"/>
        <v>-2.2221030042918186E-3</v>
      </c>
      <c r="BV242" s="10">
        <f t="shared" si="189"/>
        <v>5.0032188841201836E-3</v>
      </c>
      <c r="BW242" s="10">
        <f t="shared" si="190"/>
        <v>-6.8599785407724503E-3</v>
      </c>
      <c r="BX242" s="10">
        <f t="shared" si="191"/>
        <v>2.0252145922746928E-3</v>
      </c>
      <c r="BY242" s="10">
        <f t="shared" si="192"/>
        <v>2.2693133047211695E-3</v>
      </c>
      <c r="BZ242" s="10">
        <f t="shared" si="193"/>
        <v>-1.2457081545064316E-3</v>
      </c>
      <c r="CA242" s="10">
        <f t="shared" si="194"/>
        <v>-3.637875536480656E-3</v>
      </c>
      <c r="CB242" s="10">
        <f t="shared" si="195"/>
        <v>-3.6695278969953139E-4</v>
      </c>
      <c r="CC242" s="10">
        <f t="shared" si="196"/>
        <v>-1.7827253218883686E-3</v>
      </c>
      <c r="CD242" s="10">
        <f t="shared" si="197"/>
        <v>-1.6850858369097084E-3</v>
      </c>
      <c r="CE242" s="10">
        <f t="shared" si="198"/>
        <v>1.6346566523605726E-3</v>
      </c>
      <c r="CF242" s="10">
        <f t="shared" si="199"/>
        <v>-6.598712446351648E-4</v>
      </c>
      <c r="CG242" s="10">
        <f t="shared" si="200"/>
        <v>-2.9055793991415724E-3</v>
      </c>
      <c r="CH242" s="10">
        <f t="shared" si="201"/>
        <v>-7.5751072961365148E-4</v>
      </c>
      <c r="CI242" s="10">
        <f t="shared" si="202"/>
        <v>-6.8599785407724503E-3</v>
      </c>
      <c r="CJ242" s="10">
        <f t="shared" si="203"/>
        <v>-1.4898068669527351E-3</v>
      </c>
      <c r="CK242" s="10">
        <f t="shared" si="204"/>
        <v>-4.272532188841079E-3</v>
      </c>
      <c r="CL242" s="10">
        <f t="shared" si="205"/>
        <v>2.3605150214762167E-5</v>
      </c>
      <c r="CM242" s="10">
        <f t="shared" si="206"/>
        <v>-4.4678111587982258E-3</v>
      </c>
      <c r="CN242" s="10">
        <f t="shared" si="207"/>
        <v>-1.1480686695277717E-3</v>
      </c>
      <c r="CO242" s="10">
        <f t="shared" si="208"/>
        <v>4.1416309012888227E-4</v>
      </c>
      <c r="CP242" s="10">
        <f t="shared" si="209"/>
        <v>-2.5638412017166086E-3</v>
      </c>
      <c r="CQ242" s="10">
        <f t="shared" si="210"/>
        <v>9.5118025751081913E-4</v>
      </c>
      <c r="CR242" s="10">
        <f t="shared" si="211"/>
        <v>-1.0992489270386151E-3</v>
      </c>
      <c r="CS242" s="10">
        <f t="shared" si="212"/>
        <v>1.1952789699571226E-3</v>
      </c>
      <c r="CT242" s="10">
        <f t="shared" si="213"/>
        <v>1.146459227467966E-3</v>
      </c>
      <c r="CU242" s="10">
        <f t="shared" si="214"/>
        <v>-1.0374999999999877E-2</v>
      </c>
      <c r="CV242" s="10">
        <f t="shared" si="215"/>
        <v>-6.1276824034333663E-3</v>
      </c>
      <c r="CW242" s="10">
        <f t="shared" si="216"/>
        <v>-3.5402360515019958E-3</v>
      </c>
      <c r="CX242" s="10">
        <f t="shared" si="217"/>
        <v>-1.2285407725305455E-4</v>
      </c>
      <c r="CY242" s="10">
        <f t="shared" si="218"/>
        <v>1.0976394849786359E-3</v>
      </c>
      <c r="CZ242" s="10">
        <f t="shared" si="219"/>
        <v>6.0944206008585564E-4</v>
      </c>
      <c r="DA242" s="10">
        <f t="shared" si="220"/>
        <v>-3.6695278969953139E-4</v>
      </c>
      <c r="DB242" s="10">
        <f t="shared" si="221"/>
        <v>-5.3953862660942832E-3</v>
      </c>
      <c r="DC242" s="10">
        <f t="shared" si="222"/>
        <v>2.6770386266106557E-4</v>
      </c>
      <c r="DD242" s="10">
        <f t="shared" si="223"/>
        <v>-4.4189914163088959E-3</v>
      </c>
      <c r="DE242" s="10">
        <f t="shared" si="224"/>
        <v>-5.1341201716734815E-4</v>
      </c>
      <c r="DF242" s="10">
        <f t="shared" si="225"/>
        <v>2.0740343347640227E-3</v>
      </c>
      <c r="DG242" s="10">
        <f t="shared" si="226"/>
        <v>-9.398605150214491E-3</v>
      </c>
      <c r="DH242" s="10">
        <f t="shared" si="227"/>
        <v>-3.1813304721020131E-4</v>
      </c>
      <c r="DI242" s="10">
        <f t="shared" si="228"/>
        <v>-2.6126609442059389E-3</v>
      </c>
      <c r="DJ242" s="10">
        <f t="shared" si="229"/>
        <v>2.1888412017173549E-4</v>
      </c>
      <c r="DK242" s="10">
        <f t="shared" si="230"/>
        <v>-1.1480686695277717E-3</v>
      </c>
      <c r="DL242" s="10">
        <f t="shared" si="231"/>
        <v>-3.9307939914162895E-3</v>
      </c>
      <c r="DM242" s="10">
        <f t="shared" si="232"/>
        <v>-7.4458154506437174E-3</v>
      </c>
      <c r="DN242" s="10">
        <f t="shared" si="233"/>
        <v>-6.598712446351648E-4</v>
      </c>
      <c r="DO242" s="10">
        <f t="shared" si="234"/>
        <v>-3.7355150214591426E-3</v>
      </c>
      <c r="DP242" s="10">
        <f t="shared" si="235"/>
        <v>7.5590128755367229E-4</v>
      </c>
      <c r="DQ242" s="10">
        <f t="shared" si="236"/>
        <v>-3.6866952789698123E-3</v>
      </c>
      <c r="DR242" s="10">
        <f t="shared" si="237"/>
        <v>-1.6362660944205518E-3</v>
      </c>
      <c r="DS242" s="10">
        <f t="shared" si="238"/>
        <v>-1.0521459227467694E-2</v>
      </c>
      <c r="DT242" s="10">
        <f t="shared" si="239"/>
        <v>-3.4425965665235091E-3</v>
      </c>
      <c r="DU242" s="10">
        <f t="shared" si="240"/>
        <v>-7.5751072961365148E-4</v>
      </c>
      <c r="DV242" s="10">
        <f t="shared" si="241"/>
        <v>-5.2489270386264662E-3</v>
      </c>
      <c r="DW242" s="10">
        <f t="shared" si="242"/>
        <v>-5.3465665236051268E-3</v>
      </c>
    </row>
    <row r="243" spans="2:127" x14ac:dyDescent="0.45">
      <c r="B243" s="1">
        <v>24</v>
      </c>
      <c r="C243" s="1">
        <v>3510</v>
      </c>
      <c r="D243" s="7">
        <f t="shared" si="243"/>
        <v>20.571428571428573</v>
      </c>
      <c r="E243" s="1">
        <v>20.475999999999999</v>
      </c>
      <c r="F243" s="1">
        <v>20.548999999999999</v>
      </c>
      <c r="G243" s="1">
        <v>20.574000000000002</v>
      </c>
      <c r="H243" s="1">
        <v>20.449000000000002</v>
      </c>
      <c r="I243" s="1">
        <v>20.541</v>
      </c>
      <c r="J243" s="1">
        <v>20.526</v>
      </c>
      <c r="K243" s="1">
        <v>20.675000000000001</v>
      </c>
      <c r="L243" s="1">
        <v>20.43</v>
      </c>
      <c r="M243" s="1">
        <v>20.613</v>
      </c>
      <c r="N243" s="1">
        <v>20.613</v>
      </c>
      <c r="O243" s="1">
        <v>20.545999999999999</v>
      </c>
      <c r="P243" s="1">
        <v>20.495999999999999</v>
      </c>
      <c r="Q243" s="1">
        <v>20.56</v>
      </c>
      <c r="R243" s="1">
        <v>20.536000000000001</v>
      </c>
      <c r="S243" s="1">
        <v>20.533999999999999</v>
      </c>
      <c r="T243" s="1">
        <v>20.605</v>
      </c>
      <c r="U243" s="1">
        <v>20.559000000000001</v>
      </c>
      <c r="V243" s="1">
        <v>20.510999999999999</v>
      </c>
      <c r="W243" s="1">
        <v>20.556999999999999</v>
      </c>
      <c r="X243" s="1">
        <v>20.425999999999998</v>
      </c>
      <c r="Y243" s="1">
        <v>20.54</v>
      </c>
      <c r="Z243" s="1">
        <v>20.481000000000002</v>
      </c>
      <c r="AA243" s="1">
        <v>20.574000000000002</v>
      </c>
      <c r="AB243" s="1">
        <v>20.478999999999999</v>
      </c>
      <c r="AC243" s="1">
        <v>20.547999999999998</v>
      </c>
      <c r="AD243" s="1">
        <v>20.579000000000001</v>
      </c>
      <c r="AE243" s="1">
        <v>20.518999999999998</v>
      </c>
      <c r="AF243" s="1">
        <v>20.591000000000001</v>
      </c>
      <c r="AG243" s="1">
        <v>20.548999999999999</v>
      </c>
      <c r="AH243" s="1">
        <v>20.597999999999999</v>
      </c>
      <c r="AI243" s="1">
        <v>20.593</v>
      </c>
      <c r="AJ243" s="1">
        <v>20.353999999999999</v>
      </c>
      <c r="AK243" s="1">
        <v>20.445</v>
      </c>
      <c r="AL243" s="1">
        <v>20.498000000000001</v>
      </c>
      <c r="AM243" s="1">
        <v>20.568000000000001</v>
      </c>
      <c r="AN243" s="1">
        <v>20.591000000000001</v>
      </c>
      <c r="AO243" s="1">
        <v>20.582000000000001</v>
      </c>
      <c r="AP243" s="1">
        <v>20.564</v>
      </c>
      <c r="AQ243" s="1">
        <v>20.460999999999999</v>
      </c>
      <c r="AR243" s="1">
        <v>20.574999999999999</v>
      </c>
      <c r="AS243" s="1">
        <v>20.478999999999999</v>
      </c>
      <c r="AT243" s="1">
        <v>20.561</v>
      </c>
      <c r="AU243" s="1">
        <v>20.614000000000001</v>
      </c>
      <c r="AV243" s="1">
        <v>20.378</v>
      </c>
      <c r="AW243" s="1">
        <v>20.564</v>
      </c>
      <c r="AX243" s="1">
        <v>20.518000000000001</v>
      </c>
      <c r="AY243" s="1">
        <v>20.579000000000001</v>
      </c>
      <c r="AZ243" s="1">
        <v>20.548999999999999</v>
      </c>
      <c r="BA243" s="1">
        <v>20.491</v>
      </c>
      <c r="BB243" s="1">
        <v>20.417999999999999</v>
      </c>
      <c r="BC243" s="1">
        <v>20.559000000000001</v>
      </c>
      <c r="BD243" s="1">
        <v>20.498000000000001</v>
      </c>
      <c r="BE243" s="1">
        <v>20.585999999999999</v>
      </c>
      <c r="BF243" s="1">
        <v>20.498000000000001</v>
      </c>
      <c r="BG243" s="1">
        <v>20.536000000000001</v>
      </c>
      <c r="BH243" s="1">
        <v>20.353999999999999</v>
      </c>
      <c r="BI243" s="1">
        <v>20.5</v>
      </c>
      <c r="BJ243" s="1">
        <v>20.556000000000001</v>
      </c>
      <c r="BK243" s="1">
        <v>20.46</v>
      </c>
      <c r="BL243" s="1">
        <v>20.462</v>
      </c>
      <c r="BN243" s="9">
        <v>24</v>
      </c>
      <c r="BO243" s="9">
        <v>3510</v>
      </c>
      <c r="BP243" s="10">
        <f t="shared" si="183"/>
        <v>-4.6388888888890065E-3</v>
      </c>
      <c r="BQ243" s="10">
        <f t="shared" si="184"/>
        <v>-1.0902777777778766E-3</v>
      </c>
      <c r="BR243" s="10">
        <f t="shared" si="185"/>
        <v>1.2500000000000472E-4</v>
      </c>
      <c r="BS243" s="10">
        <f t="shared" si="186"/>
        <v>-5.9513888888888837E-3</v>
      </c>
      <c r="BT243" s="10">
        <f t="shared" si="187"/>
        <v>-1.4791666666667226E-3</v>
      </c>
      <c r="BU243" s="10">
        <f t="shared" si="188"/>
        <v>-2.2083333333334167E-3</v>
      </c>
      <c r="BV243" s="10">
        <f t="shared" si="189"/>
        <v>5.0347222222221827E-3</v>
      </c>
      <c r="BW243" s="10">
        <f t="shared" si="190"/>
        <v>-6.8750000000000876E-3</v>
      </c>
      <c r="BX243" s="10">
        <f t="shared" si="191"/>
        <v>2.020833333333237E-3</v>
      </c>
      <c r="BY243" s="10">
        <f t="shared" si="192"/>
        <v>2.020833333333237E-3</v>
      </c>
      <c r="BZ243" s="10">
        <f t="shared" si="193"/>
        <v>-1.2361111111112155E-3</v>
      </c>
      <c r="CA243" s="10">
        <f t="shared" si="194"/>
        <v>-3.6666666666668054E-3</v>
      </c>
      <c r="CB243" s="10">
        <f t="shared" si="195"/>
        <v>-5.5555555555569173E-4</v>
      </c>
      <c r="CC243" s="10">
        <f t="shared" si="196"/>
        <v>-1.7222222222222298E-3</v>
      </c>
      <c r="CD243" s="10">
        <f t="shared" si="197"/>
        <v>-1.8194444444445709E-3</v>
      </c>
      <c r="CE243" s="10">
        <f t="shared" si="198"/>
        <v>1.631944444444391E-3</v>
      </c>
      <c r="CF243" s="10">
        <f t="shared" si="199"/>
        <v>-6.0416666666668947E-4</v>
      </c>
      <c r="CG243" s="10">
        <f t="shared" si="200"/>
        <v>-2.937500000000111E-3</v>
      </c>
      <c r="CH243" s="10">
        <f t="shared" si="201"/>
        <v>-7.0138888888903058E-4</v>
      </c>
      <c r="CI243" s="10">
        <f t="shared" si="202"/>
        <v>-7.0694444444445968E-3</v>
      </c>
      <c r="CJ243" s="10">
        <f t="shared" si="203"/>
        <v>-1.5277777777778932E-3</v>
      </c>
      <c r="CK243" s="10">
        <f t="shared" si="204"/>
        <v>-4.3958333333333271E-3</v>
      </c>
      <c r="CL243" s="10">
        <f t="shared" si="205"/>
        <v>1.2500000000000472E-4</v>
      </c>
      <c r="CM243" s="10">
        <f t="shared" si="206"/>
        <v>-4.4930555555556676E-3</v>
      </c>
      <c r="CN243" s="10">
        <f t="shared" si="207"/>
        <v>-1.138888888889047E-3</v>
      </c>
      <c r="CO243" s="10">
        <f t="shared" si="208"/>
        <v>3.6805555555551191E-4</v>
      </c>
      <c r="CP243" s="10">
        <f t="shared" si="209"/>
        <v>-2.5486111111112653E-3</v>
      </c>
      <c r="CQ243" s="10">
        <f t="shared" si="210"/>
        <v>9.513888888888673E-4</v>
      </c>
      <c r="CR243" s="10">
        <f t="shared" si="211"/>
        <v>-1.0902777777778766E-3</v>
      </c>
      <c r="CS243" s="10">
        <f t="shared" si="212"/>
        <v>1.2916666666665428E-3</v>
      </c>
      <c r="CT243" s="10">
        <f t="shared" si="213"/>
        <v>1.0486111111110356E-3</v>
      </c>
      <c r="CU243" s="10">
        <f t="shared" si="214"/>
        <v>-1.0569444444444557E-2</v>
      </c>
      <c r="CV243" s="10">
        <f t="shared" si="215"/>
        <v>-6.1458333333333929E-3</v>
      </c>
      <c r="CW243" s="10">
        <f t="shared" si="216"/>
        <v>-3.5694444444444645E-3</v>
      </c>
      <c r="CX243" s="10">
        <f t="shared" si="217"/>
        <v>-1.6666666666667298E-4</v>
      </c>
      <c r="CY243" s="10">
        <f t="shared" si="218"/>
        <v>9.513888888888673E-4</v>
      </c>
      <c r="CZ243" s="10">
        <f t="shared" si="219"/>
        <v>5.1388888888885076E-4</v>
      </c>
      <c r="DA243" s="10">
        <f t="shared" si="220"/>
        <v>-3.6111111111118233E-4</v>
      </c>
      <c r="DB243" s="10">
        <f t="shared" si="221"/>
        <v>-5.3680555555557013E-3</v>
      </c>
      <c r="DC243" s="10">
        <f t="shared" si="222"/>
        <v>1.7361111111100253E-4</v>
      </c>
      <c r="DD243" s="10">
        <f t="shared" si="223"/>
        <v>-4.4930555555556676E-3</v>
      </c>
      <c r="DE243" s="10">
        <f t="shared" si="224"/>
        <v>-5.0694444444452117E-4</v>
      </c>
      <c r="DF243" s="10">
        <f t="shared" si="225"/>
        <v>2.0694444444444076E-3</v>
      </c>
      <c r="DG243" s="10">
        <f t="shared" si="226"/>
        <v>-9.4027777777778449E-3</v>
      </c>
      <c r="DH243" s="10">
        <f t="shared" si="227"/>
        <v>-3.6111111111118233E-4</v>
      </c>
      <c r="DI243" s="10">
        <f t="shared" si="228"/>
        <v>-2.5972222222222629E-3</v>
      </c>
      <c r="DJ243" s="10">
        <f t="shared" si="229"/>
        <v>3.6805555555551191E-4</v>
      </c>
      <c r="DK243" s="10">
        <f t="shared" si="230"/>
        <v>-1.0902777777778766E-3</v>
      </c>
      <c r="DL243" s="10">
        <f t="shared" si="231"/>
        <v>-3.9097222222223126E-3</v>
      </c>
      <c r="DM243" s="10">
        <f t="shared" si="232"/>
        <v>-7.4583333333334426E-3</v>
      </c>
      <c r="DN243" s="10">
        <f t="shared" si="233"/>
        <v>-6.0416666666668947E-4</v>
      </c>
      <c r="DO243" s="10">
        <f t="shared" si="234"/>
        <v>-3.5694444444444645E-3</v>
      </c>
      <c r="DP243" s="10">
        <f t="shared" si="235"/>
        <v>7.0833333333318745E-4</v>
      </c>
      <c r="DQ243" s="10">
        <f t="shared" si="236"/>
        <v>-3.5694444444444645E-3</v>
      </c>
      <c r="DR243" s="10">
        <f t="shared" si="237"/>
        <v>-1.7222222222222298E-3</v>
      </c>
      <c r="DS243" s="10">
        <f t="shared" si="238"/>
        <v>-1.0569444444444557E-2</v>
      </c>
      <c r="DT243" s="10">
        <f t="shared" si="239"/>
        <v>-3.4722222222222962E-3</v>
      </c>
      <c r="DU243" s="10">
        <f t="shared" si="240"/>
        <v>-7.5000000000002831E-4</v>
      </c>
      <c r="DV243" s="10">
        <f t="shared" si="241"/>
        <v>-5.4166666666666989E-3</v>
      </c>
      <c r="DW243" s="10">
        <f t="shared" si="242"/>
        <v>-5.3194444444445302E-3</v>
      </c>
    </row>
    <row r="244" spans="2:127" x14ac:dyDescent="0.45">
      <c r="B244" s="1">
        <v>24</v>
      </c>
      <c r="C244" s="1">
        <v>3525</v>
      </c>
      <c r="D244" s="7">
        <f t="shared" si="243"/>
        <v>20.659340659340661</v>
      </c>
      <c r="E244" s="1">
        <v>20.564</v>
      </c>
      <c r="F244" s="1">
        <v>20.637</v>
      </c>
      <c r="G244" s="1">
        <v>20.658999999999999</v>
      </c>
      <c r="H244" s="1">
        <v>20.533999999999999</v>
      </c>
      <c r="I244" s="1">
        <v>20.629000000000001</v>
      </c>
      <c r="J244" s="1">
        <v>20.613</v>
      </c>
      <c r="K244" s="1">
        <v>20.763000000000002</v>
      </c>
      <c r="L244" s="1">
        <v>20.518000000000001</v>
      </c>
      <c r="M244" s="1">
        <v>20.702000000000002</v>
      </c>
      <c r="N244" s="1">
        <v>20.702000000000002</v>
      </c>
      <c r="O244" s="1">
        <v>20.635999999999999</v>
      </c>
      <c r="P244" s="1">
        <v>20.584</v>
      </c>
      <c r="Q244" s="1">
        <v>20.648</v>
      </c>
      <c r="R244" s="1">
        <v>20.623999999999999</v>
      </c>
      <c r="S244" s="1">
        <v>20.620999999999999</v>
      </c>
      <c r="T244" s="1">
        <v>20.69</v>
      </c>
      <c r="U244" s="1">
        <v>20.646999999999998</v>
      </c>
      <c r="V244" s="1">
        <v>20.597000000000001</v>
      </c>
      <c r="W244" s="1">
        <v>20.645</v>
      </c>
      <c r="X244" s="1">
        <v>20.518000000000001</v>
      </c>
      <c r="Y244" s="1">
        <v>20.626000000000001</v>
      </c>
      <c r="Z244" s="1">
        <v>20.568999999999999</v>
      </c>
      <c r="AA244" s="1">
        <v>20.661999999999999</v>
      </c>
      <c r="AB244" s="1">
        <v>20.565000000000001</v>
      </c>
      <c r="AC244" s="1">
        <v>20.635999999999999</v>
      </c>
      <c r="AD244" s="1">
        <v>20.666</v>
      </c>
      <c r="AE244" s="1">
        <v>20.605</v>
      </c>
      <c r="AF244" s="1">
        <v>20.678000000000001</v>
      </c>
      <c r="AG244" s="1">
        <v>20.637</v>
      </c>
      <c r="AH244" s="1">
        <v>20.687000000000001</v>
      </c>
      <c r="AI244" s="1">
        <v>20.678000000000001</v>
      </c>
      <c r="AJ244" s="1">
        <v>20.440999999999999</v>
      </c>
      <c r="AK244" s="1">
        <v>20.533000000000001</v>
      </c>
      <c r="AL244" s="1">
        <v>20.585999999999999</v>
      </c>
      <c r="AM244" s="1">
        <v>20.655000000000001</v>
      </c>
      <c r="AN244" s="1">
        <v>20.678000000000001</v>
      </c>
      <c r="AO244" s="1">
        <v>20.67</v>
      </c>
      <c r="AP244" s="1">
        <v>20.652000000000001</v>
      </c>
      <c r="AQ244" s="1">
        <v>20.548999999999999</v>
      </c>
      <c r="AR244" s="1">
        <v>20.663</v>
      </c>
      <c r="AS244" s="1">
        <v>20.567</v>
      </c>
      <c r="AT244" s="1">
        <v>20.65</v>
      </c>
      <c r="AU244" s="1">
        <v>20.704000000000001</v>
      </c>
      <c r="AV244" s="1">
        <v>20.460999999999999</v>
      </c>
      <c r="AW244" s="1">
        <v>20.652000000000001</v>
      </c>
      <c r="AX244" s="1">
        <v>20.606999999999999</v>
      </c>
      <c r="AY244" s="1">
        <v>20.667000000000002</v>
      </c>
      <c r="AZ244" s="1">
        <v>20.638999999999999</v>
      </c>
      <c r="BA244" s="1">
        <v>20.577999999999999</v>
      </c>
      <c r="BB244" s="1">
        <v>20.506</v>
      </c>
      <c r="BC244" s="1">
        <v>20.646999999999998</v>
      </c>
      <c r="BD244" s="1">
        <v>20.585999999999999</v>
      </c>
      <c r="BE244" s="1">
        <v>20.673999999999999</v>
      </c>
      <c r="BF244" s="1">
        <v>20.584</v>
      </c>
      <c r="BG244" s="1">
        <v>20.623999999999999</v>
      </c>
      <c r="BH244" s="1">
        <v>20.440999999999999</v>
      </c>
      <c r="BI244" s="1">
        <v>20.585999999999999</v>
      </c>
      <c r="BJ244" s="1">
        <v>20.645</v>
      </c>
      <c r="BK244" s="1">
        <v>20.547999999999998</v>
      </c>
      <c r="BL244" s="1">
        <v>20.55</v>
      </c>
      <c r="BN244" s="9">
        <v>24</v>
      </c>
      <c r="BO244" s="9">
        <v>3525</v>
      </c>
      <c r="BP244" s="10">
        <f t="shared" si="183"/>
        <v>-4.6148936170213326E-3</v>
      </c>
      <c r="BQ244" s="10">
        <f t="shared" si="184"/>
        <v>-1.0813829787234407E-3</v>
      </c>
      <c r="BR244" s="10">
        <f t="shared" si="185"/>
        <v>-1.6489361702238518E-5</v>
      </c>
      <c r="BS244" s="10">
        <f t="shared" si="186"/>
        <v>-6.0670212765958553E-3</v>
      </c>
      <c r="BT244" s="10">
        <f t="shared" si="187"/>
        <v>-1.4686170212765896E-3</v>
      </c>
      <c r="BU244" s="10">
        <f t="shared" si="188"/>
        <v>-2.2430851063830592E-3</v>
      </c>
      <c r="BV244" s="10">
        <f t="shared" si="189"/>
        <v>5.0175531914893844E-3</v>
      </c>
      <c r="BW244" s="10">
        <f t="shared" si="190"/>
        <v>-6.8414893617021527E-3</v>
      </c>
      <c r="BX244" s="10">
        <f t="shared" si="191"/>
        <v>2.0648936170213016E-3</v>
      </c>
      <c r="BY244" s="10">
        <f t="shared" si="192"/>
        <v>2.0648936170213016E-3</v>
      </c>
      <c r="BZ244" s="10">
        <f t="shared" si="193"/>
        <v>-1.1297872340426489E-3</v>
      </c>
      <c r="CA244" s="10">
        <f t="shared" si="194"/>
        <v>-3.6468085106383741E-3</v>
      </c>
      <c r="CB244" s="10">
        <f t="shared" si="195"/>
        <v>-5.4893617021283968E-4</v>
      </c>
      <c r="CC244" s="10">
        <f t="shared" si="196"/>
        <v>-1.710638297872458E-3</v>
      </c>
      <c r="CD244" s="10">
        <f t="shared" si="197"/>
        <v>-1.8558510638299103E-3</v>
      </c>
      <c r="CE244" s="10">
        <f t="shared" si="198"/>
        <v>1.4840425531914927E-3</v>
      </c>
      <c r="CF244" s="10">
        <f t="shared" si="199"/>
        <v>-5.9734042553204777E-4</v>
      </c>
      <c r="CG244" s="10">
        <f t="shared" si="200"/>
        <v>-3.017553191489357E-3</v>
      </c>
      <c r="CH244" s="10">
        <f t="shared" si="201"/>
        <v>-6.941489361702919E-4</v>
      </c>
      <c r="CI244" s="10">
        <f t="shared" si="202"/>
        <v>-6.8414893617021527E-3</v>
      </c>
      <c r="CJ244" s="10">
        <f t="shared" si="203"/>
        <v>-1.6138297872340418E-3</v>
      </c>
      <c r="CK244" s="10">
        <f t="shared" si="204"/>
        <v>-4.3728723404256355E-3</v>
      </c>
      <c r="CL244" s="10">
        <f t="shared" si="205"/>
        <v>1.287234042552138E-4</v>
      </c>
      <c r="CM244" s="10">
        <f t="shared" si="206"/>
        <v>-4.5664893617021239E-3</v>
      </c>
      <c r="CN244" s="10">
        <f t="shared" si="207"/>
        <v>-1.1297872340426489E-3</v>
      </c>
      <c r="CO244" s="10">
        <f t="shared" si="208"/>
        <v>3.2234042553187418E-4</v>
      </c>
      <c r="CP244" s="10">
        <f t="shared" si="209"/>
        <v>-2.6303191489362079E-3</v>
      </c>
      <c r="CQ244" s="10">
        <f t="shared" si="210"/>
        <v>9.0319148936168336E-4</v>
      </c>
      <c r="CR244" s="10">
        <f t="shared" si="211"/>
        <v>-1.0813829787234407E-3</v>
      </c>
      <c r="CS244" s="10">
        <f t="shared" si="212"/>
        <v>1.3388297872340403E-3</v>
      </c>
      <c r="CT244" s="10">
        <f t="shared" si="213"/>
        <v>9.0319148936168336E-4</v>
      </c>
      <c r="CU244" s="10">
        <f t="shared" si="214"/>
        <v>-1.0568617021276705E-2</v>
      </c>
      <c r="CV244" s="10">
        <f t="shared" si="215"/>
        <v>-6.1154255319148913E-3</v>
      </c>
      <c r="CW244" s="10">
        <f t="shared" si="216"/>
        <v>-3.5500000000001299E-3</v>
      </c>
      <c r="CX244" s="10">
        <f t="shared" si="217"/>
        <v>-2.1010638297872694E-4</v>
      </c>
      <c r="CY244" s="10">
        <f t="shared" si="218"/>
        <v>9.0319148936168336E-4</v>
      </c>
      <c r="CZ244" s="10">
        <f t="shared" si="219"/>
        <v>5.1595744680853455E-4</v>
      </c>
      <c r="DA244" s="10">
        <f t="shared" si="220"/>
        <v>-3.5531914893617924E-4</v>
      </c>
      <c r="DB244" s="10">
        <f t="shared" si="221"/>
        <v>-5.3409574468085939E-3</v>
      </c>
      <c r="DC244" s="10">
        <f t="shared" si="222"/>
        <v>1.7712765957442187E-4</v>
      </c>
      <c r="DD244" s="10">
        <f t="shared" si="223"/>
        <v>-4.4696808510638801E-3</v>
      </c>
      <c r="DE244" s="10">
        <f t="shared" si="224"/>
        <v>-4.5212765957459544E-4</v>
      </c>
      <c r="DF244" s="10">
        <f t="shared" si="225"/>
        <v>2.1617021276595458E-3</v>
      </c>
      <c r="DG244" s="10">
        <f t="shared" si="226"/>
        <v>-9.6005319148937465E-3</v>
      </c>
      <c r="DH244" s="10">
        <f t="shared" si="227"/>
        <v>-3.5531914893617924E-4</v>
      </c>
      <c r="DI244" s="10">
        <f t="shared" si="228"/>
        <v>-2.5335106382979636E-3</v>
      </c>
      <c r="DJ244" s="10">
        <f t="shared" si="229"/>
        <v>3.7074468085108227E-4</v>
      </c>
      <c r="DK244" s="10">
        <f t="shared" si="230"/>
        <v>-9.8457446808519647E-4</v>
      </c>
      <c r="DL244" s="10">
        <f t="shared" si="231"/>
        <v>-3.937234042553279E-3</v>
      </c>
      <c r="DM244" s="10">
        <f t="shared" si="232"/>
        <v>-7.4223404255319625E-3</v>
      </c>
      <c r="DN244" s="10">
        <f t="shared" si="233"/>
        <v>-5.9734042553204777E-4</v>
      </c>
      <c r="DO244" s="10">
        <f t="shared" si="234"/>
        <v>-3.5500000000001299E-3</v>
      </c>
      <c r="DP244" s="10">
        <f t="shared" si="235"/>
        <v>7.0957446808502303E-4</v>
      </c>
      <c r="DQ244" s="10">
        <f t="shared" si="236"/>
        <v>-3.6468085106383741E-3</v>
      </c>
      <c r="DR244" s="10">
        <f t="shared" si="237"/>
        <v>-1.710638297872458E-3</v>
      </c>
      <c r="DS244" s="10">
        <f t="shared" si="238"/>
        <v>-1.0568617021276705E-2</v>
      </c>
      <c r="DT244" s="10">
        <f t="shared" si="239"/>
        <v>-3.5500000000001299E-3</v>
      </c>
      <c r="DU244" s="10">
        <f t="shared" si="240"/>
        <v>-6.941489361702919E-4</v>
      </c>
      <c r="DV244" s="10">
        <f t="shared" si="241"/>
        <v>-5.3893617021278017E-3</v>
      </c>
      <c r="DW244" s="10">
        <f t="shared" si="242"/>
        <v>-5.2925531914893853E-3</v>
      </c>
    </row>
    <row r="245" spans="2:127" x14ac:dyDescent="0.45">
      <c r="B245" s="1">
        <v>24</v>
      </c>
      <c r="C245" s="1">
        <v>3540</v>
      </c>
      <c r="D245" s="7">
        <f t="shared" si="243"/>
        <v>20.747252747252748</v>
      </c>
      <c r="E245" s="1">
        <v>20.652000000000001</v>
      </c>
      <c r="F245" s="1">
        <v>20.721</v>
      </c>
      <c r="G245" s="1">
        <v>20.745999999999999</v>
      </c>
      <c r="H245" s="1">
        <v>20.620999999999999</v>
      </c>
      <c r="I245" s="1">
        <v>20.716999999999999</v>
      </c>
      <c r="J245" s="1">
        <v>20.7</v>
      </c>
      <c r="K245" s="1">
        <v>20.85</v>
      </c>
      <c r="L245" s="1">
        <v>20.600999999999999</v>
      </c>
      <c r="M245" s="1">
        <v>20.792000000000002</v>
      </c>
      <c r="N245" s="1">
        <v>20.792000000000002</v>
      </c>
      <c r="O245" s="1">
        <v>20.724</v>
      </c>
      <c r="P245" s="1">
        <v>20.670999999999999</v>
      </c>
      <c r="Q245" s="1">
        <v>20.734000000000002</v>
      </c>
      <c r="R245" s="1">
        <v>20.713000000000001</v>
      </c>
      <c r="S245" s="1">
        <v>20.707999999999998</v>
      </c>
      <c r="T245" s="1">
        <v>20.78</v>
      </c>
      <c r="U245" s="1">
        <v>20.734999999999999</v>
      </c>
      <c r="V245" s="1">
        <v>20.684999999999999</v>
      </c>
      <c r="W245" s="1">
        <v>20.736000000000001</v>
      </c>
      <c r="X245" s="1">
        <v>20.597000000000001</v>
      </c>
      <c r="Y245" s="1">
        <v>20.715</v>
      </c>
      <c r="Z245" s="1">
        <v>20.658000000000001</v>
      </c>
      <c r="AA245" s="1">
        <v>20.751000000000001</v>
      </c>
      <c r="AB245" s="1">
        <v>20.654</v>
      </c>
      <c r="AC245" s="1">
        <v>20.724</v>
      </c>
      <c r="AD245" s="1">
        <v>20.75</v>
      </c>
      <c r="AE245" s="1">
        <v>20.693000000000001</v>
      </c>
      <c r="AF245" s="1">
        <v>20.763000000000002</v>
      </c>
      <c r="AG245" s="1">
        <v>20.724</v>
      </c>
      <c r="AH245" s="1">
        <v>20.774000000000001</v>
      </c>
      <c r="AI245" s="1">
        <v>20.765000000000001</v>
      </c>
      <c r="AJ245" s="1">
        <v>20.526</v>
      </c>
      <c r="AK245" s="1">
        <v>20.62</v>
      </c>
      <c r="AL245" s="1">
        <v>20.673999999999999</v>
      </c>
      <c r="AM245" s="1">
        <v>20.744</v>
      </c>
      <c r="AN245" s="1">
        <v>20.768000000000001</v>
      </c>
      <c r="AO245" s="1">
        <v>20.757000000000001</v>
      </c>
      <c r="AP245" s="1">
        <v>20.74</v>
      </c>
      <c r="AQ245" s="1">
        <v>20.638999999999999</v>
      </c>
      <c r="AR245" s="1">
        <v>20.748999999999999</v>
      </c>
      <c r="AS245" s="1">
        <v>20.655000000000001</v>
      </c>
      <c r="AT245" s="1">
        <v>20.739000000000001</v>
      </c>
      <c r="AU245" s="1">
        <v>20.791</v>
      </c>
      <c r="AV245" s="1">
        <v>20.548999999999999</v>
      </c>
      <c r="AW245" s="1">
        <v>20.739000000000001</v>
      </c>
      <c r="AX245" s="1">
        <v>20.696000000000002</v>
      </c>
      <c r="AY245" s="1">
        <v>20.754999999999999</v>
      </c>
      <c r="AZ245" s="1">
        <v>20.727</v>
      </c>
      <c r="BA245" s="1">
        <v>20.664000000000001</v>
      </c>
      <c r="BB245" s="1">
        <v>20.594000000000001</v>
      </c>
      <c r="BC245" s="1">
        <v>20.731999999999999</v>
      </c>
      <c r="BD245" s="1">
        <v>20.673999999999999</v>
      </c>
      <c r="BE245" s="1">
        <v>20.762</v>
      </c>
      <c r="BF245" s="1">
        <v>20.670999999999999</v>
      </c>
      <c r="BG245" s="1">
        <v>20.712</v>
      </c>
      <c r="BH245" s="1">
        <v>20.523</v>
      </c>
      <c r="BI245" s="1">
        <v>20.670999999999999</v>
      </c>
      <c r="BJ245" s="1">
        <v>20.734999999999999</v>
      </c>
      <c r="BK245" s="1">
        <v>20.643000000000001</v>
      </c>
      <c r="BL245" s="1">
        <v>20.637</v>
      </c>
      <c r="BN245" s="9">
        <v>24</v>
      </c>
      <c r="BO245" s="9">
        <v>3540</v>
      </c>
      <c r="BP245" s="10">
        <f t="shared" si="183"/>
        <v>-4.591101694915248E-3</v>
      </c>
      <c r="BQ245" s="10">
        <f t="shared" si="184"/>
        <v>-1.2653601694915645E-3</v>
      </c>
      <c r="BR245" s="10">
        <f t="shared" si="185"/>
        <v>-6.0381355932311053E-5</v>
      </c>
      <c r="BS245" s="10">
        <f t="shared" si="186"/>
        <v>-6.0852754237289211E-3</v>
      </c>
      <c r="BT245" s="10">
        <f t="shared" si="187"/>
        <v>-1.4581567796611203E-3</v>
      </c>
      <c r="BU245" s="10">
        <f t="shared" si="188"/>
        <v>-2.2775423728814332E-3</v>
      </c>
      <c r="BV245" s="10">
        <f t="shared" si="189"/>
        <v>4.9523305084746014E-3</v>
      </c>
      <c r="BW245" s="10">
        <f t="shared" si="190"/>
        <v>-7.0492584745763583E-3</v>
      </c>
      <c r="BX245" s="10">
        <f t="shared" si="191"/>
        <v>2.1567796610169826E-3</v>
      </c>
      <c r="BY245" s="10">
        <f t="shared" si="192"/>
        <v>2.1567796610169826E-3</v>
      </c>
      <c r="BZ245" s="10">
        <f t="shared" si="193"/>
        <v>-1.1207627118644404E-3</v>
      </c>
      <c r="CA245" s="10">
        <f t="shared" si="194"/>
        <v>-3.6753177966102426E-3</v>
      </c>
      <c r="CB245" s="10">
        <f t="shared" si="195"/>
        <v>-6.3877118644063626E-4</v>
      </c>
      <c r="CC245" s="10">
        <f t="shared" si="196"/>
        <v>-1.650953389830505E-3</v>
      </c>
      <c r="CD245" s="10">
        <f t="shared" si="197"/>
        <v>-1.8919491525424927E-3</v>
      </c>
      <c r="CE245" s="10">
        <f t="shared" si="198"/>
        <v>1.5783898305084861E-3</v>
      </c>
      <c r="CF245" s="10">
        <f t="shared" si="199"/>
        <v>-5.9057203389837579E-4</v>
      </c>
      <c r="CG245" s="10">
        <f t="shared" si="200"/>
        <v>-3.0005296610170541E-3</v>
      </c>
      <c r="CH245" s="10">
        <f t="shared" si="201"/>
        <v>-5.4237288135594391E-4</v>
      </c>
      <c r="CI245" s="10">
        <f t="shared" si="202"/>
        <v>-7.2420550847457424E-3</v>
      </c>
      <c r="CJ245" s="10">
        <f t="shared" si="203"/>
        <v>-1.5545550847458128E-3</v>
      </c>
      <c r="CK245" s="10">
        <f t="shared" si="204"/>
        <v>-4.3019067796610001E-3</v>
      </c>
      <c r="CL245" s="10">
        <f t="shared" si="205"/>
        <v>1.8061440677967662E-4</v>
      </c>
      <c r="CM245" s="10">
        <f t="shared" si="206"/>
        <v>-4.4947033898305559E-3</v>
      </c>
      <c r="CN245" s="10">
        <f t="shared" si="207"/>
        <v>-1.1207627118644404E-3</v>
      </c>
      <c r="CO245" s="10">
        <f t="shared" si="208"/>
        <v>1.3241525423724485E-4</v>
      </c>
      <c r="CP245" s="10">
        <f t="shared" si="209"/>
        <v>-2.6149364406779421E-3</v>
      </c>
      <c r="CQ245" s="10">
        <f t="shared" si="210"/>
        <v>7.5900423728817313E-4</v>
      </c>
      <c r="CR245" s="10">
        <f t="shared" si="211"/>
        <v>-1.1207627118644404E-3</v>
      </c>
      <c r="CS245" s="10">
        <f t="shared" si="212"/>
        <v>1.2891949152542379E-3</v>
      </c>
      <c r="CT245" s="10">
        <f t="shared" si="213"/>
        <v>8.5540254237286549E-4</v>
      </c>
      <c r="CU245" s="10">
        <f t="shared" si="214"/>
        <v>-1.0664194915254289E-2</v>
      </c>
      <c r="CV245" s="10">
        <f t="shared" si="215"/>
        <v>-6.1334745762711817E-3</v>
      </c>
      <c r="CW245" s="10">
        <f t="shared" si="216"/>
        <v>-3.5307203389831187E-3</v>
      </c>
      <c r="CX245" s="10">
        <f t="shared" si="217"/>
        <v>-1.5677966101700338E-4</v>
      </c>
      <c r="CY245" s="10">
        <f t="shared" si="218"/>
        <v>9.9999999999998961E-4</v>
      </c>
      <c r="CZ245" s="10">
        <f t="shared" si="219"/>
        <v>4.6980932203392488E-4</v>
      </c>
      <c r="DA245" s="10">
        <f t="shared" si="220"/>
        <v>-3.4957627118655931E-4</v>
      </c>
      <c r="DB245" s="10">
        <f t="shared" si="221"/>
        <v>-5.2176906779661759E-3</v>
      </c>
      <c r="DC245" s="10">
        <f t="shared" si="222"/>
        <v>8.4216101694813061E-5</v>
      </c>
      <c r="DD245" s="10">
        <f t="shared" si="223"/>
        <v>-4.4465042372881236E-3</v>
      </c>
      <c r="DE245" s="10">
        <f t="shared" si="224"/>
        <v>-3.9777542372881983E-4</v>
      </c>
      <c r="DF245" s="10">
        <f t="shared" si="225"/>
        <v>2.1085805084745507E-3</v>
      </c>
      <c r="DG245" s="10">
        <f t="shared" si="226"/>
        <v>-9.5556144067797284E-3</v>
      </c>
      <c r="DH245" s="10">
        <f t="shared" si="227"/>
        <v>-3.9777542372881983E-4</v>
      </c>
      <c r="DI245" s="10">
        <f t="shared" si="228"/>
        <v>-2.4703389830508181E-3</v>
      </c>
      <c r="DJ245" s="10">
        <f t="shared" si="229"/>
        <v>3.7341101694906127E-4</v>
      </c>
      <c r="DK245" s="10">
        <f t="shared" si="230"/>
        <v>-9.7616525423731629E-4</v>
      </c>
      <c r="DL245" s="10">
        <f t="shared" si="231"/>
        <v>-4.0127118644067514E-3</v>
      </c>
      <c r="DM245" s="10">
        <f t="shared" si="232"/>
        <v>-7.3866525423728667E-3</v>
      </c>
      <c r="DN245" s="10">
        <f t="shared" si="233"/>
        <v>-7.3516949152549981E-4</v>
      </c>
      <c r="DO245" s="10">
        <f t="shared" si="234"/>
        <v>-3.5307203389831187E-3</v>
      </c>
      <c r="DP245" s="10">
        <f t="shared" si="235"/>
        <v>7.1080508474574136E-4</v>
      </c>
      <c r="DQ245" s="10">
        <f t="shared" si="236"/>
        <v>-3.6753177966102426E-3</v>
      </c>
      <c r="DR245" s="10">
        <f t="shared" si="237"/>
        <v>-1.6991525423729369E-3</v>
      </c>
      <c r="DS245" s="10">
        <f t="shared" si="238"/>
        <v>-1.0808792372881414E-2</v>
      </c>
      <c r="DT245" s="10">
        <f t="shared" si="239"/>
        <v>-3.6753177966102426E-3</v>
      </c>
      <c r="DU245" s="10">
        <f t="shared" si="240"/>
        <v>-5.9057203389837579E-4</v>
      </c>
      <c r="DV245" s="10">
        <f t="shared" si="241"/>
        <v>-5.0248940677966201E-3</v>
      </c>
      <c r="DW245" s="10">
        <f t="shared" si="242"/>
        <v>-5.3140889830508688E-3</v>
      </c>
    </row>
    <row r="246" spans="2:127" x14ac:dyDescent="0.45">
      <c r="B246" s="1">
        <v>24</v>
      </c>
      <c r="C246" s="1">
        <v>3555</v>
      </c>
      <c r="D246" s="7">
        <f t="shared" si="243"/>
        <v>20.835164835164836</v>
      </c>
      <c r="E246" s="1">
        <v>20.742000000000001</v>
      </c>
      <c r="F246" s="1">
        <v>20.81</v>
      </c>
      <c r="G246" s="1">
        <v>20.834</v>
      </c>
      <c r="H246" s="1">
        <v>20.704999999999998</v>
      </c>
      <c r="I246" s="1">
        <v>20.805</v>
      </c>
      <c r="J246" s="1">
        <v>20.788</v>
      </c>
      <c r="K246" s="1">
        <v>20.940999999999999</v>
      </c>
      <c r="L246" s="1">
        <v>20.689</v>
      </c>
      <c r="M246" s="1">
        <v>20.876999999999999</v>
      </c>
      <c r="N246" s="1">
        <v>20.88</v>
      </c>
      <c r="O246" s="1">
        <v>20.811</v>
      </c>
      <c r="P246" s="1">
        <v>20.757999999999999</v>
      </c>
      <c r="Q246" s="1">
        <v>20.818999999999999</v>
      </c>
      <c r="R246" s="1">
        <v>20.8</v>
      </c>
      <c r="S246" s="1">
        <v>20.795999999999999</v>
      </c>
      <c r="T246" s="1">
        <v>20.867000000000001</v>
      </c>
      <c r="U246" s="1">
        <v>20.826000000000001</v>
      </c>
      <c r="V246" s="1">
        <v>20.771999999999998</v>
      </c>
      <c r="W246" s="1">
        <v>20.826000000000001</v>
      </c>
      <c r="X246" s="1">
        <v>20.683</v>
      </c>
      <c r="Y246" s="1">
        <v>20.800999999999998</v>
      </c>
      <c r="Z246" s="1">
        <v>20.744</v>
      </c>
      <c r="AA246" s="1">
        <v>20.841000000000001</v>
      </c>
      <c r="AB246" s="1">
        <v>20.742000000000001</v>
      </c>
      <c r="AC246" s="1">
        <v>20.812000000000001</v>
      </c>
      <c r="AD246" s="1">
        <v>20.837</v>
      </c>
      <c r="AE246" s="1">
        <v>20.780999999999999</v>
      </c>
      <c r="AF246" s="1">
        <v>20.852</v>
      </c>
      <c r="AG246" s="1">
        <v>20.811</v>
      </c>
      <c r="AH246" s="1">
        <v>20.861000000000001</v>
      </c>
      <c r="AI246" s="1">
        <v>20.852</v>
      </c>
      <c r="AJ246" s="1">
        <v>20.613</v>
      </c>
      <c r="AK246" s="1">
        <v>20.704999999999998</v>
      </c>
      <c r="AL246" s="1">
        <v>20.759</v>
      </c>
      <c r="AM246" s="1">
        <v>20.831</v>
      </c>
      <c r="AN246" s="1">
        <v>20.856000000000002</v>
      </c>
      <c r="AO246" s="1">
        <v>20.843</v>
      </c>
      <c r="AP246" s="1">
        <v>20.827000000000002</v>
      </c>
      <c r="AQ246" s="1">
        <v>20.724</v>
      </c>
      <c r="AR246" s="1">
        <v>20.838000000000001</v>
      </c>
      <c r="AS246" s="1">
        <v>20.742999999999999</v>
      </c>
      <c r="AT246" s="1">
        <v>20.827000000000002</v>
      </c>
      <c r="AU246" s="1">
        <v>20.88</v>
      </c>
      <c r="AV246" s="1">
        <v>20.637</v>
      </c>
      <c r="AW246" s="1">
        <v>20.827000000000002</v>
      </c>
      <c r="AX246" s="1">
        <v>20.783999999999999</v>
      </c>
      <c r="AY246" s="1">
        <v>20.844999999999999</v>
      </c>
      <c r="AZ246" s="1">
        <v>20.815000000000001</v>
      </c>
      <c r="BA246" s="1">
        <v>20.748999999999999</v>
      </c>
      <c r="BB246" s="1">
        <v>20.681999999999999</v>
      </c>
      <c r="BC246" s="1">
        <v>20.818999999999999</v>
      </c>
      <c r="BD246" s="1">
        <v>20.760999999999999</v>
      </c>
      <c r="BE246" s="1">
        <v>20.852</v>
      </c>
      <c r="BF246" s="1">
        <v>20.759</v>
      </c>
      <c r="BG246" s="1">
        <v>20.798999999999999</v>
      </c>
      <c r="BH246" s="1">
        <v>20.609000000000002</v>
      </c>
      <c r="BI246" s="1">
        <v>20.757000000000001</v>
      </c>
      <c r="BJ246" s="1">
        <v>20.82</v>
      </c>
      <c r="BK246" s="1">
        <v>20.73</v>
      </c>
      <c r="BL246" s="1">
        <v>20.725000000000001</v>
      </c>
      <c r="BN246" s="9">
        <v>24</v>
      </c>
      <c r="BO246" s="9">
        <v>3555</v>
      </c>
      <c r="BP246" s="10">
        <f t="shared" si="183"/>
        <v>-4.4715189873417577E-3</v>
      </c>
      <c r="BQ246" s="10">
        <f t="shared" si="184"/>
        <v>-1.2078059071730853E-3</v>
      </c>
      <c r="BR246" s="10">
        <f t="shared" si="185"/>
        <v>-5.590717299582643E-5</v>
      </c>
      <c r="BS246" s="10">
        <f t="shared" si="186"/>
        <v>-6.2473628691984218E-3</v>
      </c>
      <c r="BT246" s="10">
        <f t="shared" si="187"/>
        <v>-1.4477848101266239E-3</v>
      </c>
      <c r="BU246" s="10">
        <f t="shared" si="188"/>
        <v>-2.2637130801687923E-3</v>
      </c>
      <c r="BV246" s="10">
        <f t="shared" si="189"/>
        <v>5.0796413502108917E-3</v>
      </c>
      <c r="BW246" s="10">
        <f t="shared" si="190"/>
        <v>-7.0152953586498142E-3</v>
      </c>
      <c r="BX246" s="10">
        <f t="shared" si="191"/>
        <v>2.007911392404982E-3</v>
      </c>
      <c r="BY246" s="10">
        <f t="shared" si="192"/>
        <v>2.1518987341771394E-3</v>
      </c>
      <c r="BZ246" s="10">
        <f t="shared" si="193"/>
        <v>-1.1598101265823094E-3</v>
      </c>
      <c r="CA246" s="10">
        <f t="shared" si="194"/>
        <v>-3.7035864978903657E-3</v>
      </c>
      <c r="CB246" s="10">
        <f t="shared" si="195"/>
        <v>-7.7584388185661314E-4</v>
      </c>
      <c r="CC246" s="10">
        <f t="shared" si="196"/>
        <v>-1.6877637130801627E-3</v>
      </c>
      <c r="CD246" s="10">
        <f t="shared" si="197"/>
        <v>-1.8797468354430961E-3</v>
      </c>
      <c r="CE246" s="10">
        <f t="shared" si="198"/>
        <v>1.5279535864979044E-3</v>
      </c>
      <c r="CF246" s="10">
        <f t="shared" si="199"/>
        <v>-4.3987341772152254E-4</v>
      </c>
      <c r="CG246" s="10">
        <f t="shared" si="200"/>
        <v>-3.0316455696203547E-3</v>
      </c>
      <c r="CH246" s="10">
        <f t="shared" si="201"/>
        <v>-4.3987341772152254E-4</v>
      </c>
      <c r="CI246" s="10">
        <f t="shared" si="202"/>
        <v>-7.303270042194129E-3</v>
      </c>
      <c r="CJ246" s="10">
        <f t="shared" si="203"/>
        <v>-1.6397679324895572E-3</v>
      </c>
      <c r="CK246" s="10">
        <f t="shared" si="204"/>
        <v>-4.3755274261603767E-3</v>
      </c>
      <c r="CL246" s="10">
        <f t="shared" si="205"/>
        <v>2.8006329113926422E-4</v>
      </c>
      <c r="CM246" s="10">
        <f t="shared" si="206"/>
        <v>-4.4715189873417577E-3</v>
      </c>
      <c r="CN246" s="10">
        <f t="shared" si="207"/>
        <v>-1.1118143459915334E-3</v>
      </c>
      <c r="CO246" s="10">
        <f t="shared" si="208"/>
        <v>8.8080168776330921E-5</v>
      </c>
      <c r="CP246" s="10">
        <f t="shared" si="209"/>
        <v>-2.599683544303883E-3</v>
      </c>
      <c r="CQ246" s="10">
        <f t="shared" si="210"/>
        <v>8.0801687763711765E-4</v>
      </c>
      <c r="CR246" s="10">
        <f t="shared" si="211"/>
        <v>-1.1598101265823094E-3</v>
      </c>
      <c r="CS246" s="10">
        <f t="shared" si="212"/>
        <v>1.2399789029535898E-3</v>
      </c>
      <c r="CT246" s="10">
        <f t="shared" si="213"/>
        <v>8.0801687763711765E-4</v>
      </c>
      <c r="CU246" s="10">
        <f t="shared" si="214"/>
        <v>-1.0662974683544353E-2</v>
      </c>
      <c r="CV246" s="10">
        <f t="shared" si="215"/>
        <v>-6.2473628691984218E-3</v>
      </c>
      <c r="CW246" s="10">
        <f t="shared" si="216"/>
        <v>-3.6555907172995897E-3</v>
      </c>
      <c r="CX246" s="10">
        <f t="shared" si="217"/>
        <v>-1.9989451476798379E-4</v>
      </c>
      <c r="CY246" s="10">
        <f t="shared" si="218"/>
        <v>1.000000000000051E-3</v>
      </c>
      <c r="CZ246" s="10">
        <f t="shared" si="219"/>
        <v>3.7605485232064561E-4</v>
      </c>
      <c r="DA246" s="10">
        <f t="shared" si="220"/>
        <v>-3.9187763713074655E-4</v>
      </c>
      <c r="DB246" s="10">
        <f t="shared" si="221"/>
        <v>-5.335443037974702E-3</v>
      </c>
      <c r="DC246" s="10">
        <f t="shared" si="222"/>
        <v>1.3607594936710689E-4</v>
      </c>
      <c r="DD246" s="10">
        <f t="shared" si="223"/>
        <v>-4.4235232067511522E-3</v>
      </c>
      <c r="DE246" s="10">
        <f t="shared" si="224"/>
        <v>-3.9187763713074655E-4</v>
      </c>
      <c r="DF246" s="10">
        <f t="shared" si="225"/>
        <v>2.1518987341771394E-3</v>
      </c>
      <c r="DG246" s="10">
        <f t="shared" si="226"/>
        <v>-9.5110759493670944E-3</v>
      </c>
      <c r="DH246" s="10">
        <f t="shared" si="227"/>
        <v>-3.9187763713074655E-4</v>
      </c>
      <c r="DI246" s="10">
        <f t="shared" si="228"/>
        <v>-2.4556962025317256E-3</v>
      </c>
      <c r="DJ246" s="10">
        <f t="shared" si="229"/>
        <v>4.72046413502027E-4</v>
      </c>
      <c r="DK246" s="10">
        <f t="shared" si="230"/>
        <v>-9.6782700421937603E-4</v>
      </c>
      <c r="DL246" s="10">
        <f t="shared" si="231"/>
        <v>-4.1355485232068374E-3</v>
      </c>
      <c r="DM246" s="10">
        <f t="shared" si="232"/>
        <v>-7.3512658227849045E-3</v>
      </c>
      <c r="DN246" s="10">
        <f t="shared" si="233"/>
        <v>-7.7584388185661314E-4</v>
      </c>
      <c r="DO246" s="10">
        <f t="shared" si="234"/>
        <v>-3.5595991561182083E-3</v>
      </c>
      <c r="DP246" s="10">
        <f t="shared" si="235"/>
        <v>8.0801687763711765E-4</v>
      </c>
      <c r="DQ246" s="10">
        <f t="shared" si="236"/>
        <v>-3.6555907172995897E-3</v>
      </c>
      <c r="DR246" s="10">
        <f t="shared" si="237"/>
        <v>-1.7357594936709387E-3</v>
      </c>
      <c r="DS246" s="10">
        <f t="shared" si="238"/>
        <v>-1.0854957805907115E-2</v>
      </c>
      <c r="DT246" s="10">
        <f t="shared" si="239"/>
        <v>-3.7515822784809712E-3</v>
      </c>
      <c r="DU246" s="10">
        <f t="shared" si="240"/>
        <v>-7.278481012658372E-4</v>
      </c>
      <c r="DV246" s="10">
        <f t="shared" si="241"/>
        <v>-5.0474683544303872E-3</v>
      </c>
      <c r="DW246" s="10">
        <f t="shared" si="242"/>
        <v>-5.2874472573839256E-3</v>
      </c>
    </row>
    <row r="247" spans="2:127" x14ac:dyDescent="0.45">
      <c r="B247" s="1">
        <v>24</v>
      </c>
      <c r="C247" s="1">
        <v>3570</v>
      </c>
      <c r="D247" s="7">
        <f t="shared" si="243"/>
        <v>20.923076923076923</v>
      </c>
      <c r="E247" s="1">
        <v>20.829000000000001</v>
      </c>
      <c r="F247" s="1">
        <v>20.895</v>
      </c>
      <c r="G247" s="1">
        <v>20.922999999999998</v>
      </c>
      <c r="H247" s="1">
        <v>20.791</v>
      </c>
      <c r="I247" s="1">
        <v>20.896000000000001</v>
      </c>
      <c r="J247" s="1">
        <v>20.875</v>
      </c>
      <c r="K247" s="1">
        <v>21.029</v>
      </c>
      <c r="L247" s="1">
        <v>20.777999999999999</v>
      </c>
      <c r="M247" s="1">
        <v>20.968</v>
      </c>
      <c r="N247" s="1">
        <v>20.968</v>
      </c>
      <c r="O247" s="1">
        <v>20.899000000000001</v>
      </c>
      <c r="P247" s="1">
        <v>20.843</v>
      </c>
      <c r="Q247" s="1">
        <v>20.91</v>
      </c>
      <c r="R247" s="1">
        <v>20.887</v>
      </c>
      <c r="S247" s="1">
        <v>20.884</v>
      </c>
      <c r="T247" s="1">
        <v>20.952000000000002</v>
      </c>
      <c r="U247" s="1">
        <v>20.913</v>
      </c>
      <c r="V247" s="1">
        <v>20.856999999999999</v>
      </c>
      <c r="W247" s="1">
        <v>20.913</v>
      </c>
      <c r="X247" s="1">
        <v>20.768000000000001</v>
      </c>
      <c r="Y247" s="1">
        <v>20.893999999999998</v>
      </c>
      <c r="Z247" s="1">
        <v>20.831</v>
      </c>
      <c r="AA247" s="1">
        <v>20.93</v>
      </c>
      <c r="AB247" s="1">
        <v>20.829000000000001</v>
      </c>
      <c r="AC247" s="1">
        <v>20.9</v>
      </c>
      <c r="AD247" s="1">
        <v>20.925999999999998</v>
      </c>
      <c r="AE247" s="1">
        <v>20.867000000000001</v>
      </c>
      <c r="AF247" s="1">
        <v>20.94</v>
      </c>
      <c r="AG247" s="1">
        <v>20.898</v>
      </c>
      <c r="AH247" s="1">
        <v>20.952000000000002</v>
      </c>
      <c r="AI247" s="1">
        <v>20.937999999999999</v>
      </c>
      <c r="AJ247" s="1">
        <v>20.696999999999999</v>
      </c>
      <c r="AK247" s="1">
        <v>20.792999999999999</v>
      </c>
      <c r="AL247" s="1">
        <v>20.846</v>
      </c>
      <c r="AM247" s="1">
        <v>20.917000000000002</v>
      </c>
      <c r="AN247" s="1">
        <v>20.943999999999999</v>
      </c>
      <c r="AO247" s="1">
        <v>20.931999999999999</v>
      </c>
      <c r="AP247" s="1">
        <v>20.913</v>
      </c>
      <c r="AQ247" s="1">
        <v>20.811</v>
      </c>
      <c r="AR247" s="1">
        <v>20.925999999999998</v>
      </c>
      <c r="AS247" s="1">
        <v>20.829000000000001</v>
      </c>
      <c r="AT247" s="1">
        <v>20.914999999999999</v>
      </c>
      <c r="AU247" s="1">
        <v>20.968</v>
      </c>
      <c r="AV247" s="1">
        <v>20.721</v>
      </c>
      <c r="AW247" s="1">
        <v>20.914999999999999</v>
      </c>
      <c r="AX247" s="1">
        <v>20.870999999999999</v>
      </c>
      <c r="AY247" s="1">
        <v>20.933</v>
      </c>
      <c r="AZ247" s="1">
        <v>20.902000000000001</v>
      </c>
      <c r="BA247" s="1">
        <v>20.835000000000001</v>
      </c>
      <c r="BB247" s="1">
        <v>20.768000000000001</v>
      </c>
      <c r="BC247" s="1">
        <v>20.907</v>
      </c>
      <c r="BD247" s="1">
        <v>20.849</v>
      </c>
      <c r="BE247" s="1">
        <v>20.937000000000001</v>
      </c>
      <c r="BF247" s="1">
        <v>20.847999999999999</v>
      </c>
      <c r="BG247" s="1">
        <v>20.890999999999998</v>
      </c>
      <c r="BH247" s="1">
        <v>20.7</v>
      </c>
      <c r="BI247" s="1">
        <v>20.844999999999999</v>
      </c>
      <c r="BJ247" s="1">
        <v>20.911000000000001</v>
      </c>
      <c r="BK247" s="1">
        <v>20.818999999999999</v>
      </c>
      <c r="BL247" s="1">
        <v>20.812000000000001</v>
      </c>
      <c r="BN247" s="9">
        <v>24</v>
      </c>
      <c r="BO247" s="9">
        <v>3570</v>
      </c>
      <c r="BP247" s="10">
        <f t="shared" si="183"/>
        <v>-4.4963235294117479E-3</v>
      </c>
      <c r="BQ247" s="10">
        <f t="shared" si="184"/>
        <v>-1.3419117647059159E-3</v>
      </c>
      <c r="BR247" s="10">
        <f t="shared" si="185"/>
        <v>-3.6764705883312173E-6</v>
      </c>
      <c r="BS247" s="10">
        <f t="shared" si="186"/>
        <v>-6.3124999999999952E-3</v>
      </c>
      <c r="BT247" s="10">
        <f t="shared" si="187"/>
        <v>-1.2941176470587985E-3</v>
      </c>
      <c r="BU247" s="10">
        <f t="shared" si="188"/>
        <v>-2.2977941176470719E-3</v>
      </c>
      <c r="BV247" s="10">
        <f t="shared" si="189"/>
        <v>5.0624999999999828E-3</v>
      </c>
      <c r="BW247" s="10">
        <f t="shared" si="190"/>
        <v>-6.9338235294118403E-3</v>
      </c>
      <c r="BX247" s="10">
        <f t="shared" si="191"/>
        <v>2.1470588235293973E-3</v>
      </c>
      <c r="BY247" s="10">
        <f t="shared" si="192"/>
        <v>2.1470588235293973E-3</v>
      </c>
      <c r="BZ247" s="10">
        <f t="shared" si="193"/>
        <v>-1.1507352941176167E-3</v>
      </c>
      <c r="CA247" s="10">
        <f t="shared" si="194"/>
        <v>-3.8272058823529556E-3</v>
      </c>
      <c r="CB247" s="10">
        <f t="shared" si="195"/>
        <v>-6.250000000000063E-4</v>
      </c>
      <c r="CC247" s="10">
        <f t="shared" si="196"/>
        <v>-1.7242647058823442E-3</v>
      </c>
      <c r="CD247" s="10">
        <f t="shared" si="197"/>
        <v>-1.8676470588235262E-3</v>
      </c>
      <c r="CE247" s="10">
        <f t="shared" si="198"/>
        <v>1.3823529411765405E-3</v>
      </c>
      <c r="CF247" s="10">
        <f t="shared" si="199"/>
        <v>-4.8161764705882437E-4</v>
      </c>
      <c r="CG247" s="10">
        <f t="shared" si="200"/>
        <v>-3.1580882352941634E-3</v>
      </c>
      <c r="CH247" s="10">
        <f t="shared" si="201"/>
        <v>-4.8161764705882437E-4</v>
      </c>
      <c r="CI247" s="10">
        <f t="shared" si="202"/>
        <v>-7.411764705882333E-3</v>
      </c>
      <c r="CJ247" s="10">
        <f t="shared" si="203"/>
        <v>-1.3897058823530331E-3</v>
      </c>
      <c r="CK247" s="10">
        <f t="shared" si="204"/>
        <v>-4.4007352941176836E-3</v>
      </c>
      <c r="CL247" s="10">
        <f t="shared" si="205"/>
        <v>3.3088235294114984E-4</v>
      </c>
      <c r="CM247" s="10">
        <f t="shared" si="206"/>
        <v>-4.4963235294117479E-3</v>
      </c>
      <c r="CN247" s="10">
        <f t="shared" si="207"/>
        <v>-1.1029411764706691E-3</v>
      </c>
      <c r="CO247" s="10">
        <f t="shared" si="208"/>
        <v>1.3970588235285067E-4</v>
      </c>
      <c r="CP247" s="10">
        <f t="shared" si="209"/>
        <v>-2.6801470588235002E-3</v>
      </c>
      <c r="CQ247" s="10">
        <f t="shared" si="210"/>
        <v>8.0882352941181275E-4</v>
      </c>
      <c r="CR247" s="10">
        <f t="shared" si="211"/>
        <v>-1.1985294117647339E-3</v>
      </c>
      <c r="CS247" s="10">
        <f t="shared" si="212"/>
        <v>1.3823529411765405E-3</v>
      </c>
      <c r="CT247" s="10">
        <f t="shared" si="213"/>
        <v>7.1323529411757827E-4</v>
      </c>
      <c r="CU247" s="10">
        <f t="shared" si="214"/>
        <v>-1.0805147058823582E-2</v>
      </c>
      <c r="CV247" s="10">
        <f t="shared" si="215"/>
        <v>-6.2169117647059308E-3</v>
      </c>
      <c r="CW247" s="10">
        <f t="shared" si="216"/>
        <v>-3.6838235294117737E-3</v>
      </c>
      <c r="CX247" s="10">
        <f t="shared" si="217"/>
        <v>-2.9044117647052521E-4</v>
      </c>
      <c r="CY247" s="10">
        <f t="shared" si="218"/>
        <v>9.9999999999994212E-4</v>
      </c>
      <c r="CZ247" s="10">
        <f t="shared" si="219"/>
        <v>4.2647058823521447E-4</v>
      </c>
      <c r="DA247" s="10">
        <f t="shared" si="220"/>
        <v>-4.8161764705882437E-4</v>
      </c>
      <c r="DB247" s="10">
        <f t="shared" si="221"/>
        <v>-5.356617647058839E-3</v>
      </c>
      <c r="DC247" s="10">
        <f t="shared" si="222"/>
        <v>1.3970588235285067E-4</v>
      </c>
      <c r="DD247" s="10">
        <f t="shared" si="223"/>
        <v>-4.4963235294117479E-3</v>
      </c>
      <c r="DE247" s="10">
        <f t="shared" si="224"/>
        <v>-3.8602941176475969E-4</v>
      </c>
      <c r="DF247" s="10">
        <f t="shared" si="225"/>
        <v>2.1470588235293973E-3</v>
      </c>
      <c r="DG247" s="10">
        <f t="shared" si="226"/>
        <v>-9.6580882352941266E-3</v>
      </c>
      <c r="DH247" s="10">
        <f t="shared" si="227"/>
        <v>-3.8602941176475969E-4</v>
      </c>
      <c r="DI247" s="10">
        <f t="shared" si="228"/>
        <v>-2.4889705882353711E-3</v>
      </c>
      <c r="DJ247" s="10">
        <f t="shared" si="229"/>
        <v>4.7426470588233171E-4</v>
      </c>
      <c r="DK247" s="10">
        <f t="shared" si="230"/>
        <v>-1.0073529411764347E-3</v>
      </c>
      <c r="DL247" s="10">
        <f t="shared" si="231"/>
        <v>-4.209558823529384E-3</v>
      </c>
      <c r="DM247" s="10">
        <f t="shared" si="232"/>
        <v>-7.411764705882333E-3</v>
      </c>
      <c r="DN247" s="10">
        <f t="shared" si="233"/>
        <v>-7.6838235294118817E-4</v>
      </c>
      <c r="DO247" s="10">
        <f t="shared" si="234"/>
        <v>-3.5404411764705917E-3</v>
      </c>
      <c r="DP247" s="10">
        <f t="shared" si="235"/>
        <v>6.6544117647063087E-4</v>
      </c>
      <c r="DQ247" s="10">
        <f t="shared" si="236"/>
        <v>-3.5882352941177089E-3</v>
      </c>
      <c r="DR247" s="10">
        <f t="shared" si="237"/>
        <v>-1.5330882352942148E-3</v>
      </c>
      <c r="DS247" s="10">
        <f t="shared" si="238"/>
        <v>-1.06617647058824E-2</v>
      </c>
      <c r="DT247" s="10">
        <f t="shared" si="239"/>
        <v>-3.7316176470588908E-3</v>
      </c>
      <c r="DU247" s="10">
        <f t="shared" si="240"/>
        <v>-5.7720588235288901E-4</v>
      </c>
      <c r="DV247" s="10">
        <f t="shared" si="241"/>
        <v>-4.9742647058824106E-3</v>
      </c>
      <c r="DW247" s="10">
        <f t="shared" si="242"/>
        <v>-5.3088235294117218E-3</v>
      </c>
    </row>
    <row r="248" spans="2:127" x14ac:dyDescent="0.45">
      <c r="B248" s="1">
        <v>24</v>
      </c>
      <c r="C248" s="1">
        <v>3585</v>
      </c>
      <c r="D248" s="7">
        <f t="shared" si="243"/>
        <v>21.010989010989011</v>
      </c>
      <c r="E248" s="1">
        <v>20.914999999999999</v>
      </c>
      <c r="F248" s="1">
        <v>20.978999999999999</v>
      </c>
      <c r="G248" s="1">
        <v>21.01</v>
      </c>
      <c r="H248" s="1">
        <v>20.88</v>
      </c>
      <c r="I248" s="1">
        <v>20.984999999999999</v>
      </c>
      <c r="J248" s="1">
        <v>20.963000000000001</v>
      </c>
      <c r="K248" s="1">
        <v>21.122</v>
      </c>
      <c r="L248" s="1">
        <v>20.861999999999998</v>
      </c>
      <c r="M248" s="1">
        <v>21.056000000000001</v>
      </c>
      <c r="N248" s="1">
        <v>21.056000000000001</v>
      </c>
      <c r="O248" s="1">
        <v>20.984999999999999</v>
      </c>
      <c r="P248" s="1">
        <v>20.933</v>
      </c>
      <c r="Q248" s="1">
        <v>20.998000000000001</v>
      </c>
      <c r="R248" s="1">
        <v>20.975000000000001</v>
      </c>
      <c r="S248" s="1">
        <v>20.974</v>
      </c>
      <c r="T248" s="1">
        <v>21.036000000000001</v>
      </c>
      <c r="U248" s="1">
        <v>20.998999999999999</v>
      </c>
      <c r="V248" s="1">
        <v>20.94</v>
      </c>
      <c r="W248" s="1">
        <v>21.001999999999999</v>
      </c>
      <c r="X248" s="1">
        <v>20.856000000000002</v>
      </c>
      <c r="Y248" s="1">
        <v>20.974</v>
      </c>
      <c r="Z248" s="1">
        <v>20.919</v>
      </c>
      <c r="AA248" s="1">
        <v>21.018000000000001</v>
      </c>
      <c r="AB248" s="1">
        <v>20.917999999999999</v>
      </c>
      <c r="AC248" s="1">
        <v>20.986999999999998</v>
      </c>
      <c r="AD248" s="1">
        <v>21.015999999999998</v>
      </c>
      <c r="AE248" s="1">
        <v>20.952000000000002</v>
      </c>
      <c r="AF248" s="1">
        <v>21.027000000000001</v>
      </c>
      <c r="AG248" s="1">
        <v>20.984999999999999</v>
      </c>
      <c r="AH248" s="1">
        <v>21.041</v>
      </c>
      <c r="AI248" s="1">
        <v>21.023</v>
      </c>
      <c r="AJ248" s="1">
        <v>20.785</v>
      </c>
      <c r="AK248" s="1">
        <v>20.88</v>
      </c>
      <c r="AL248" s="1">
        <v>20.933</v>
      </c>
      <c r="AM248" s="1">
        <v>21.004000000000001</v>
      </c>
      <c r="AN248" s="1">
        <v>21.032</v>
      </c>
      <c r="AO248" s="1">
        <v>21.02</v>
      </c>
      <c r="AP248" s="1">
        <v>21.001999999999999</v>
      </c>
      <c r="AQ248" s="1">
        <v>20.898</v>
      </c>
      <c r="AR248" s="1">
        <v>21.013000000000002</v>
      </c>
      <c r="AS248" s="1">
        <v>20.914999999999999</v>
      </c>
      <c r="AT248" s="1">
        <v>21.004000000000001</v>
      </c>
      <c r="AU248" s="1">
        <v>21.058</v>
      </c>
      <c r="AV248" s="1">
        <v>20.808</v>
      </c>
      <c r="AW248" s="1">
        <v>21.004999999999999</v>
      </c>
      <c r="AX248" s="1">
        <v>20.959</v>
      </c>
      <c r="AY248" s="1">
        <v>21.021000000000001</v>
      </c>
      <c r="AZ248" s="1">
        <v>20.986999999999998</v>
      </c>
      <c r="BA248" s="1">
        <v>20.925000000000001</v>
      </c>
      <c r="BB248" s="1">
        <v>20.858000000000001</v>
      </c>
      <c r="BC248" s="1">
        <v>20.994</v>
      </c>
      <c r="BD248" s="1">
        <v>20.936</v>
      </c>
      <c r="BE248" s="1">
        <v>21.024999999999999</v>
      </c>
      <c r="BF248" s="1">
        <v>20.936</v>
      </c>
      <c r="BG248" s="1">
        <v>20.975000000000001</v>
      </c>
      <c r="BH248" s="1">
        <v>20.782</v>
      </c>
      <c r="BI248" s="1">
        <v>20.928999999999998</v>
      </c>
      <c r="BJ248" s="1">
        <v>20.998999999999999</v>
      </c>
      <c r="BK248" s="1">
        <v>20.905000000000001</v>
      </c>
      <c r="BL248" s="1">
        <v>20.9</v>
      </c>
      <c r="BN248" s="9">
        <v>24</v>
      </c>
      <c r="BO248" s="9">
        <v>3585</v>
      </c>
      <c r="BP248" s="10">
        <f t="shared" si="183"/>
        <v>-4.5685146443515028E-3</v>
      </c>
      <c r="BQ248" s="10">
        <f t="shared" si="184"/>
        <v>-1.52248953974899E-3</v>
      </c>
      <c r="BR248" s="10">
        <f t="shared" si="185"/>
        <v>-4.7071129707036714E-5</v>
      </c>
      <c r="BS248" s="10">
        <f t="shared" si="186"/>
        <v>-6.2343096234310077E-3</v>
      </c>
      <c r="BT248" s="10">
        <f t="shared" si="187"/>
        <v>-1.2369246861924938E-3</v>
      </c>
      <c r="BU248" s="10">
        <f t="shared" si="188"/>
        <v>-2.2839958158995337E-3</v>
      </c>
      <c r="BV248" s="10">
        <f t="shared" si="189"/>
        <v>5.2834728033472767E-3</v>
      </c>
      <c r="BW248" s="10">
        <f t="shared" si="190"/>
        <v>-7.0910041841004967E-3</v>
      </c>
      <c r="BX248" s="10">
        <f t="shared" si="191"/>
        <v>2.1422594142259878E-3</v>
      </c>
      <c r="BY248" s="10">
        <f t="shared" si="192"/>
        <v>2.1422594142259878E-3</v>
      </c>
      <c r="BZ248" s="10">
        <f t="shared" si="193"/>
        <v>-1.2369246861924938E-3</v>
      </c>
      <c r="CA248" s="10">
        <f t="shared" si="194"/>
        <v>-3.7118200836820147E-3</v>
      </c>
      <c r="CB248" s="10">
        <f t="shared" si="195"/>
        <v>-6.1820083682002903E-4</v>
      </c>
      <c r="CC248" s="10">
        <f t="shared" si="196"/>
        <v>-1.7128661087865414E-3</v>
      </c>
      <c r="CD248" s="10">
        <f t="shared" si="197"/>
        <v>-1.7604602510460138E-3</v>
      </c>
      <c r="CE248" s="10">
        <f t="shared" si="198"/>
        <v>1.1903765690377238E-3</v>
      </c>
      <c r="CF248" s="10">
        <f t="shared" si="199"/>
        <v>-5.7060669456072575E-4</v>
      </c>
      <c r="CG248" s="10">
        <f t="shared" si="200"/>
        <v>-3.3786610878660459E-3</v>
      </c>
      <c r="CH248" s="10">
        <f t="shared" si="201"/>
        <v>-4.2782426778247766E-4</v>
      </c>
      <c r="CI248" s="10">
        <f t="shared" si="202"/>
        <v>-7.3765690376568233E-3</v>
      </c>
      <c r="CJ248" s="10">
        <f t="shared" si="203"/>
        <v>-1.7604602510460138E-3</v>
      </c>
      <c r="CK248" s="10">
        <f t="shared" si="204"/>
        <v>-4.3781380753137823E-3</v>
      </c>
      <c r="CL248" s="10">
        <f t="shared" si="205"/>
        <v>3.3368200836823516E-4</v>
      </c>
      <c r="CM248" s="10">
        <f t="shared" si="206"/>
        <v>-4.4257322175732553E-3</v>
      </c>
      <c r="CN248" s="10">
        <f t="shared" si="207"/>
        <v>-1.1417364016737181E-3</v>
      </c>
      <c r="CO248" s="10">
        <f t="shared" si="208"/>
        <v>2.3849372384929037E-4</v>
      </c>
      <c r="CP248" s="10">
        <f t="shared" si="209"/>
        <v>-2.8075313807530539E-3</v>
      </c>
      <c r="CQ248" s="10">
        <f t="shared" si="210"/>
        <v>7.6202928870297939E-4</v>
      </c>
      <c r="CR248" s="10">
        <f t="shared" si="211"/>
        <v>-1.2369246861924938E-3</v>
      </c>
      <c r="CS248" s="10">
        <f t="shared" si="212"/>
        <v>1.4283472803347476E-3</v>
      </c>
      <c r="CT248" s="10">
        <f t="shared" si="213"/>
        <v>5.7165271966525899E-4</v>
      </c>
      <c r="CU248" s="10">
        <f t="shared" si="214"/>
        <v>-1.0755753138075305E-2</v>
      </c>
      <c r="CV248" s="10">
        <f t="shared" si="215"/>
        <v>-6.2343096234310077E-3</v>
      </c>
      <c r="CW248" s="10">
        <f t="shared" si="216"/>
        <v>-3.7118200836820147E-3</v>
      </c>
      <c r="CX248" s="10">
        <f t="shared" si="217"/>
        <v>-3.3263598326353289E-4</v>
      </c>
      <c r="CY248" s="10">
        <f t="shared" si="218"/>
        <v>1.0000000000000033E-3</v>
      </c>
      <c r="CZ248" s="10">
        <f t="shared" si="219"/>
        <v>4.2887029288701085E-4</v>
      </c>
      <c r="DA248" s="10">
        <f t="shared" si="220"/>
        <v>-4.2782426778247766E-4</v>
      </c>
      <c r="DB248" s="10">
        <f t="shared" si="221"/>
        <v>-5.3776150627615196E-3</v>
      </c>
      <c r="DC248" s="10">
        <f t="shared" si="222"/>
        <v>9.5711297071211372E-5</v>
      </c>
      <c r="DD248" s="10">
        <f t="shared" si="223"/>
        <v>-4.5685146443515028E-3</v>
      </c>
      <c r="DE248" s="10">
        <f t="shared" si="224"/>
        <v>-3.3263598326353289E-4</v>
      </c>
      <c r="DF248" s="10">
        <f t="shared" si="225"/>
        <v>2.2374476987447635E-3</v>
      </c>
      <c r="DG248" s="10">
        <f t="shared" si="226"/>
        <v>-9.6610878661087928E-3</v>
      </c>
      <c r="DH248" s="10">
        <f t="shared" si="227"/>
        <v>-2.8504184100422957E-4</v>
      </c>
      <c r="DI248" s="10">
        <f t="shared" si="228"/>
        <v>-2.4743723849372542E-3</v>
      </c>
      <c r="DJ248" s="10">
        <f t="shared" si="229"/>
        <v>4.7646443514648326E-4</v>
      </c>
      <c r="DK248" s="10">
        <f t="shared" si="230"/>
        <v>-1.1417364016737181E-3</v>
      </c>
      <c r="DL248" s="10">
        <f t="shared" si="231"/>
        <v>-4.0925732217572865E-3</v>
      </c>
      <c r="DM248" s="10">
        <f t="shared" si="232"/>
        <v>-7.2813807531380481E-3</v>
      </c>
      <c r="DN248" s="10">
        <f t="shared" si="233"/>
        <v>-8.0857740585774953E-4</v>
      </c>
      <c r="DO248" s="10">
        <f t="shared" si="234"/>
        <v>-3.5690376569037664E-3</v>
      </c>
      <c r="DP248" s="10">
        <f t="shared" si="235"/>
        <v>6.6684100418403468E-4</v>
      </c>
      <c r="DQ248" s="10">
        <f t="shared" si="236"/>
        <v>-3.5690376569037664E-3</v>
      </c>
      <c r="DR248" s="10">
        <f t="shared" si="237"/>
        <v>-1.7128661087865414E-3</v>
      </c>
      <c r="DS248" s="10">
        <f t="shared" si="238"/>
        <v>-1.0898535564853554E-2</v>
      </c>
      <c r="DT248" s="10">
        <f t="shared" si="239"/>
        <v>-3.9021966527197352E-3</v>
      </c>
      <c r="DU248" s="10">
        <f t="shared" si="240"/>
        <v>-5.7060669456072575E-4</v>
      </c>
      <c r="DV248" s="10">
        <f t="shared" si="241"/>
        <v>-5.0444560669455508E-3</v>
      </c>
      <c r="DW248" s="10">
        <f t="shared" si="242"/>
        <v>-5.2824267782427435E-3</v>
      </c>
    </row>
    <row r="249" spans="2:127" x14ac:dyDescent="0.45">
      <c r="B249" s="1">
        <v>24</v>
      </c>
      <c r="C249" s="1">
        <v>3600</v>
      </c>
      <c r="D249" s="7">
        <f t="shared" si="243"/>
        <v>21.098901098901099</v>
      </c>
      <c r="E249" s="1">
        <v>21.001999999999999</v>
      </c>
      <c r="F249" s="1">
        <v>21.068999999999999</v>
      </c>
      <c r="G249" s="1">
        <v>21.097000000000001</v>
      </c>
      <c r="H249" s="1">
        <v>20.968</v>
      </c>
      <c r="I249" s="1">
        <v>21.073</v>
      </c>
      <c r="J249" s="1">
        <v>21.050999999999998</v>
      </c>
      <c r="K249" s="1">
        <v>21.207999999999998</v>
      </c>
      <c r="L249" s="1">
        <v>20.954999999999998</v>
      </c>
      <c r="M249" s="1">
        <v>21.145</v>
      </c>
      <c r="N249" s="1">
        <v>21.143000000000001</v>
      </c>
      <c r="O249" s="1">
        <v>21.073</v>
      </c>
      <c r="P249" s="1">
        <v>21.021000000000001</v>
      </c>
      <c r="Q249" s="1">
        <v>21.085999999999999</v>
      </c>
      <c r="R249" s="1">
        <v>21.062999999999999</v>
      </c>
      <c r="S249" s="1">
        <v>21.059000000000001</v>
      </c>
      <c r="T249" s="1">
        <v>21.126000000000001</v>
      </c>
      <c r="U249" s="1">
        <v>21.09</v>
      </c>
      <c r="V249" s="1">
        <v>21.027999999999999</v>
      </c>
      <c r="W249" s="1">
        <v>21.088999999999999</v>
      </c>
      <c r="X249" s="1">
        <v>20.943999999999999</v>
      </c>
      <c r="Y249" s="1">
        <v>21.062999999999999</v>
      </c>
      <c r="Z249" s="1">
        <v>21.006</v>
      </c>
      <c r="AA249" s="1">
        <v>21.105</v>
      </c>
      <c r="AB249" s="1">
        <v>21.004000000000001</v>
      </c>
      <c r="AC249" s="1">
        <v>21.073</v>
      </c>
      <c r="AD249" s="1">
        <v>21.103000000000002</v>
      </c>
      <c r="AE249" s="1">
        <v>21.039000000000001</v>
      </c>
      <c r="AF249" s="1">
        <v>21.114999999999998</v>
      </c>
      <c r="AG249" s="1">
        <v>21.071000000000002</v>
      </c>
      <c r="AH249" s="1">
        <v>21.132000000000001</v>
      </c>
      <c r="AI249" s="1">
        <v>21.109000000000002</v>
      </c>
      <c r="AJ249" s="1">
        <v>20.870999999999999</v>
      </c>
      <c r="AK249" s="1">
        <v>20.966999999999999</v>
      </c>
      <c r="AL249" s="1">
        <v>21.021000000000001</v>
      </c>
      <c r="AM249" s="1">
        <v>21.093</v>
      </c>
      <c r="AN249" s="1">
        <v>21.12</v>
      </c>
      <c r="AO249" s="1">
        <v>21.105</v>
      </c>
      <c r="AP249" s="1">
        <v>21.088999999999999</v>
      </c>
      <c r="AQ249" s="1">
        <v>20.986000000000001</v>
      </c>
      <c r="AR249" s="1">
        <v>21.100999999999999</v>
      </c>
      <c r="AS249" s="1">
        <v>21.004000000000001</v>
      </c>
      <c r="AT249" s="1">
        <v>21.093</v>
      </c>
      <c r="AU249" s="1">
        <v>21.146000000000001</v>
      </c>
      <c r="AV249" s="1">
        <v>20.893999999999998</v>
      </c>
      <c r="AW249" s="1">
        <v>21.091999999999999</v>
      </c>
      <c r="AX249" s="1">
        <v>21.047999999999998</v>
      </c>
      <c r="AY249" s="1">
        <v>21.111000000000001</v>
      </c>
      <c r="AZ249" s="1">
        <v>21.074999999999999</v>
      </c>
      <c r="BA249" s="1">
        <v>21.013000000000002</v>
      </c>
      <c r="BB249" s="1">
        <v>20.943999999999999</v>
      </c>
      <c r="BC249" s="1">
        <v>21.082000000000001</v>
      </c>
      <c r="BD249" s="1">
        <v>21.024000000000001</v>
      </c>
      <c r="BE249" s="1">
        <v>21.113</v>
      </c>
      <c r="BF249" s="1">
        <v>21.02</v>
      </c>
      <c r="BG249" s="1">
        <v>21.059000000000001</v>
      </c>
      <c r="BH249" s="1">
        <v>20.870999999999999</v>
      </c>
      <c r="BI249" s="1">
        <v>21.018000000000001</v>
      </c>
      <c r="BJ249" s="1">
        <v>21.088000000000001</v>
      </c>
      <c r="BK249" s="1">
        <v>20.992999999999999</v>
      </c>
      <c r="BL249" s="1">
        <v>20.986999999999998</v>
      </c>
      <c r="BN249" s="9">
        <v>24</v>
      </c>
      <c r="BO249" s="9">
        <v>3600</v>
      </c>
      <c r="BP249" s="10">
        <f t="shared" si="183"/>
        <v>-4.5927083333333696E-3</v>
      </c>
      <c r="BQ249" s="10">
        <f t="shared" si="184"/>
        <v>-1.4171875000000278E-3</v>
      </c>
      <c r="BR249" s="10">
        <f t="shared" si="185"/>
        <v>-9.0104166666588045E-5</v>
      </c>
      <c r="BS249" s="10">
        <f t="shared" si="186"/>
        <v>-6.2041666666666512E-3</v>
      </c>
      <c r="BT249" s="10">
        <f t="shared" si="187"/>
        <v>-1.2276041666666312E-3</v>
      </c>
      <c r="BU249" s="10">
        <f t="shared" si="188"/>
        <v>-2.27031250000006E-3</v>
      </c>
      <c r="BV249" s="10">
        <f t="shared" si="189"/>
        <v>5.1708333333332747E-3</v>
      </c>
      <c r="BW249" s="10">
        <f t="shared" si="190"/>
        <v>-6.8203125000000642E-3</v>
      </c>
      <c r="BX249" s="10">
        <f t="shared" si="191"/>
        <v>2.1848958333333299E-3</v>
      </c>
      <c r="BY249" s="10">
        <f t="shared" si="192"/>
        <v>2.0901041666667158E-3</v>
      </c>
      <c r="BZ249" s="10">
        <f t="shared" si="193"/>
        <v>-1.2276041666666312E-3</v>
      </c>
      <c r="CA249" s="10">
        <f t="shared" si="194"/>
        <v>-3.6921874999999455E-3</v>
      </c>
      <c r="CB249" s="10">
        <f t="shared" si="195"/>
        <v>-6.1145833333338677E-4</v>
      </c>
      <c r="CC249" s="10">
        <f t="shared" si="196"/>
        <v>-1.7015625000000385E-3</v>
      </c>
      <c r="CD249" s="10">
        <f t="shared" si="197"/>
        <v>-1.8911458333332669E-3</v>
      </c>
      <c r="CE249" s="10">
        <f t="shared" si="198"/>
        <v>1.2843750000000745E-3</v>
      </c>
      <c r="CF249" s="10">
        <f t="shared" si="199"/>
        <v>-4.2187499999999007E-4</v>
      </c>
      <c r="CG249" s="10">
        <f t="shared" si="200"/>
        <v>-3.360416666666712E-3</v>
      </c>
      <c r="CH249" s="10">
        <f t="shared" si="201"/>
        <v>-4.6927083333338134E-4</v>
      </c>
      <c r="CI249" s="10">
        <f t="shared" si="202"/>
        <v>-7.3416666666666942E-3</v>
      </c>
      <c r="CJ249" s="10">
        <f t="shared" si="203"/>
        <v>-1.7015625000000385E-3</v>
      </c>
      <c r="CK249" s="10">
        <f t="shared" si="204"/>
        <v>-4.403124999999973E-3</v>
      </c>
      <c r="CL249" s="10">
        <f t="shared" si="205"/>
        <v>2.8906250000003685E-4</v>
      </c>
      <c r="CM249" s="10">
        <f t="shared" si="206"/>
        <v>-4.4979166666665868E-3</v>
      </c>
      <c r="CN249" s="10">
        <f t="shared" si="207"/>
        <v>-1.2276041666666312E-3</v>
      </c>
      <c r="CO249" s="10">
        <f t="shared" si="208"/>
        <v>1.9427083333342274E-4</v>
      </c>
      <c r="CP249" s="10">
        <f t="shared" si="209"/>
        <v>-2.8390624999999133E-3</v>
      </c>
      <c r="CQ249" s="10">
        <f t="shared" si="210"/>
        <v>7.6302083333327586E-4</v>
      </c>
      <c r="CR249" s="10">
        <f t="shared" si="211"/>
        <v>-1.3223958333332454E-3</v>
      </c>
      <c r="CS249" s="10">
        <f t="shared" si="212"/>
        <v>1.5687500000000855E-3</v>
      </c>
      <c r="CT249" s="10">
        <f t="shared" si="213"/>
        <v>4.7864583333343349E-4</v>
      </c>
      <c r="CU249" s="10">
        <f t="shared" si="214"/>
        <v>-1.0801562500000047E-2</v>
      </c>
      <c r="CV249" s="10">
        <f t="shared" si="215"/>
        <v>-6.2515625000000427E-3</v>
      </c>
      <c r="CW249" s="10">
        <f t="shared" si="216"/>
        <v>-3.6921874999999455E-3</v>
      </c>
      <c r="CX249" s="10">
        <f t="shared" si="217"/>
        <v>-2.796874999999847E-4</v>
      </c>
      <c r="CY249" s="10">
        <f t="shared" si="218"/>
        <v>1.0000000000000638E-3</v>
      </c>
      <c r="CZ249" s="10">
        <f t="shared" si="219"/>
        <v>2.8906250000003685E-4</v>
      </c>
      <c r="DA249" s="10">
        <f t="shared" si="220"/>
        <v>-4.6927083333338134E-4</v>
      </c>
      <c r="DB249" s="10">
        <f t="shared" si="221"/>
        <v>-5.3510416666666194E-3</v>
      </c>
      <c r="DC249" s="10">
        <f t="shared" si="222"/>
        <v>9.947916666664022E-5</v>
      </c>
      <c r="DD249" s="10">
        <f t="shared" si="223"/>
        <v>-4.4979166666665868E-3</v>
      </c>
      <c r="DE249" s="10">
        <f t="shared" si="224"/>
        <v>-2.796874999999847E-4</v>
      </c>
      <c r="DF249" s="10">
        <f t="shared" si="225"/>
        <v>2.2322916666667209E-3</v>
      </c>
      <c r="DG249" s="10">
        <f t="shared" si="226"/>
        <v>-9.7114583333333948E-3</v>
      </c>
      <c r="DH249" s="10">
        <f t="shared" si="227"/>
        <v>-3.2708333333337597E-4</v>
      </c>
      <c r="DI249" s="10">
        <f t="shared" si="228"/>
        <v>-2.4125000000000656E-3</v>
      </c>
      <c r="DJ249" s="10">
        <f t="shared" si="229"/>
        <v>5.7343750000004765E-4</v>
      </c>
      <c r="DK249" s="10">
        <f t="shared" si="230"/>
        <v>-1.1328125000000171E-3</v>
      </c>
      <c r="DL249" s="10">
        <f t="shared" si="231"/>
        <v>-4.0713541666665704E-3</v>
      </c>
      <c r="DM249" s="10">
        <f t="shared" si="232"/>
        <v>-7.3416666666666942E-3</v>
      </c>
      <c r="DN249" s="10">
        <f t="shared" si="233"/>
        <v>-8.0104166666661498E-4</v>
      </c>
      <c r="DO249" s="10">
        <f t="shared" si="234"/>
        <v>-3.5499999999999404E-3</v>
      </c>
      <c r="DP249" s="10">
        <f t="shared" si="235"/>
        <v>6.6822916666666181E-4</v>
      </c>
      <c r="DQ249" s="10">
        <f t="shared" si="236"/>
        <v>-3.7395833333333369E-3</v>
      </c>
      <c r="DR249" s="10">
        <f t="shared" si="237"/>
        <v>-1.8911458333332669E-3</v>
      </c>
      <c r="DS249" s="10">
        <f t="shared" si="238"/>
        <v>-1.0801562500000047E-2</v>
      </c>
      <c r="DT249" s="10">
        <f t="shared" si="239"/>
        <v>-3.8343749999999511E-3</v>
      </c>
      <c r="DU249" s="10">
        <f t="shared" si="240"/>
        <v>-5.1666666666660423E-4</v>
      </c>
      <c r="DV249" s="10">
        <f t="shared" si="241"/>
        <v>-5.0192708333333851E-3</v>
      </c>
      <c r="DW249" s="10">
        <f t="shared" si="242"/>
        <v>-5.3036458333333963E-3</v>
      </c>
    </row>
    <row r="250" spans="2:127" x14ac:dyDescent="0.45">
      <c r="B250" s="1">
        <v>24</v>
      </c>
      <c r="C250" s="1">
        <v>3615</v>
      </c>
      <c r="D250" s="7">
        <f t="shared" si="243"/>
        <v>21.186813186813186</v>
      </c>
      <c r="E250" s="1">
        <v>21.091999999999999</v>
      </c>
      <c r="F250" s="1">
        <v>21.157</v>
      </c>
      <c r="G250" s="1">
        <v>21.184999999999999</v>
      </c>
      <c r="H250" s="1">
        <v>21.056000000000001</v>
      </c>
      <c r="I250" s="1">
        <v>21.161000000000001</v>
      </c>
      <c r="J250" s="1">
        <v>21.138999999999999</v>
      </c>
      <c r="K250" s="1">
        <v>21.295999999999999</v>
      </c>
      <c r="L250" s="1">
        <v>21.041</v>
      </c>
      <c r="M250" s="1">
        <v>21.233000000000001</v>
      </c>
      <c r="N250" s="1">
        <v>21.233000000000001</v>
      </c>
      <c r="O250" s="1">
        <v>21.16</v>
      </c>
      <c r="P250" s="1">
        <v>21.111000000000001</v>
      </c>
      <c r="Q250" s="1">
        <v>21.175999999999998</v>
      </c>
      <c r="R250" s="1">
        <v>21.152999999999999</v>
      </c>
      <c r="S250" s="1">
        <v>21.149000000000001</v>
      </c>
      <c r="T250" s="1">
        <v>21.215</v>
      </c>
      <c r="U250" s="1">
        <v>21.177</v>
      </c>
      <c r="V250" s="1">
        <v>21.117000000000001</v>
      </c>
      <c r="W250" s="1">
        <v>21.177</v>
      </c>
      <c r="X250" s="1">
        <v>21.032</v>
      </c>
      <c r="Y250" s="1">
        <v>21.151</v>
      </c>
      <c r="Z250" s="1">
        <v>21.093</v>
      </c>
      <c r="AA250" s="1">
        <v>21.195</v>
      </c>
      <c r="AB250" s="1">
        <v>21.091999999999999</v>
      </c>
      <c r="AC250" s="1">
        <v>21.161999999999999</v>
      </c>
      <c r="AD250" s="1">
        <v>21.190999999999999</v>
      </c>
      <c r="AE250" s="1">
        <v>21.128</v>
      </c>
      <c r="AF250" s="1">
        <v>21.202000000000002</v>
      </c>
      <c r="AG250" s="1">
        <v>21.158000000000001</v>
      </c>
      <c r="AH250" s="1">
        <v>21.221</v>
      </c>
      <c r="AI250" s="1">
        <v>21.199000000000002</v>
      </c>
      <c r="AJ250" s="1">
        <v>20.956</v>
      </c>
      <c r="AK250" s="1">
        <v>21.055</v>
      </c>
      <c r="AL250" s="1">
        <v>21.108000000000001</v>
      </c>
      <c r="AM250" s="1">
        <v>21.181000000000001</v>
      </c>
      <c r="AN250" s="1">
        <v>21.210999999999999</v>
      </c>
      <c r="AO250" s="1">
        <v>21.195</v>
      </c>
      <c r="AP250" s="1">
        <v>21.177</v>
      </c>
      <c r="AQ250" s="1">
        <v>21.073</v>
      </c>
      <c r="AR250" s="1">
        <v>21.189</v>
      </c>
      <c r="AS250" s="1">
        <v>21.093</v>
      </c>
      <c r="AT250" s="1">
        <v>21.18</v>
      </c>
      <c r="AU250" s="1">
        <v>21.234000000000002</v>
      </c>
      <c r="AV250" s="1">
        <v>20.983000000000001</v>
      </c>
      <c r="AW250" s="1">
        <v>21.18</v>
      </c>
      <c r="AX250" s="1">
        <v>21.135999999999999</v>
      </c>
      <c r="AY250" s="1">
        <v>21.199000000000002</v>
      </c>
      <c r="AZ250" s="1">
        <v>21.164999999999999</v>
      </c>
      <c r="BA250" s="1">
        <v>21.1</v>
      </c>
      <c r="BB250" s="1">
        <v>21.030999999999999</v>
      </c>
      <c r="BC250" s="1">
        <v>21.167999999999999</v>
      </c>
      <c r="BD250" s="1">
        <v>21.111999999999998</v>
      </c>
      <c r="BE250" s="1">
        <v>21.202000000000002</v>
      </c>
      <c r="BF250" s="1">
        <v>21.111000000000001</v>
      </c>
      <c r="BG250" s="1">
        <v>21.15</v>
      </c>
      <c r="BH250" s="1">
        <v>20.956</v>
      </c>
      <c r="BI250" s="1">
        <v>21.108000000000001</v>
      </c>
      <c r="BJ250" s="1">
        <v>21.173999999999999</v>
      </c>
      <c r="BK250" s="1">
        <v>21.071000000000002</v>
      </c>
      <c r="BL250" s="1">
        <v>21.074999999999999</v>
      </c>
      <c r="BN250" s="9">
        <v>24</v>
      </c>
      <c r="BO250" s="9">
        <v>3615</v>
      </c>
      <c r="BP250" s="10">
        <f t="shared" si="183"/>
        <v>-4.4751037344398616E-3</v>
      </c>
      <c r="BQ250" s="10">
        <f t="shared" si="184"/>
        <v>-1.4071576763485152E-3</v>
      </c>
      <c r="BR250" s="10">
        <f t="shared" si="185"/>
        <v>-8.5580912863099582E-5</v>
      </c>
      <c r="BS250" s="10">
        <f t="shared" si="186"/>
        <v>-6.1742738589210863E-3</v>
      </c>
      <c r="BT250" s="10">
        <f t="shared" si="187"/>
        <v>-1.2183609958505268E-3</v>
      </c>
      <c r="BU250" s="10">
        <f t="shared" si="188"/>
        <v>-2.256742738589211E-3</v>
      </c>
      <c r="BV250" s="10">
        <f t="shared" si="189"/>
        <v>5.1535269709543589E-3</v>
      </c>
      <c r="BW250" s="10">
        <f t="shared" si="190"/>
        <v>-6.8822614107883328E-3</v>
      </c>
      <c r="BX250" s="10">
        <f t="shared" si="191"/>
        <v>2.1799792531120902E-3</v>
      </c>
      <c r="BY250" s="10">
        <f t="shared" si="192"/>
        <v>2.1799792531120902E-3</v>
      </c>
      <c r="BZ250" s="10">
        <f t="shared" si="193"/>
        <v>-1.2655601659750657E-3</v>
      </c>
      <c r="CA250" s="10">
        <f t="shared" si="194"/>
        <v>-3.5783195020746266E-3</v>
      </c>
      <c r="CB250" s="10">
        <f t="shared" si="195"/>
        <v>-5.1037344398344761E-4</v>
      </c>
      <c r="CC250" s="10">
        <f t="shared" si="196"/>
        <v>-1.5959543568465034E-3</v>
      </c>
      <c r="CD250" s="10">
        <f t="shared" si="197"/>
        <v>-1.7847510373443242E-3</v>
      </c>
      <c r="CE250" s="10">
        <f t="shared" si="198"/>
        <v>1.3303941908713939E-3</v>
      </c>
      <c r="CF250" s="10">
        <f t="shared" si="199"/>
        <v>-4.6317427385890865E-4</v>
      </c>
      <c r="CG250" s="10">
        <f t="shared" si="200"/>
        <v>-3.2951244813277281E-3</v>
      </c>
      <c r="CH250" s="10">
        <f t="shared" si="201"/>
        <v>-4.6317427385890865E-4</v>
      </c>
      <c r="CI250" s="10">
        <f t="shared" si="202"/>
        <v>-7.3070539419086812E-3</v>
      </c>
      <c r="CJ250" s="10">
        <f t="shared" si="203"/>
        <v>-1.6903526970954137E-3</v>
      </c>
      <c r="CK250" s="10">
        <f t="shared" si="204"/>
        <v>-4.4279045643153226E-3</v>
      </c>
      <c r="CL250" s="10">
        <f t="shared" si="205"/>
        <v>3.8641078838178749E-4</v>
      </c>
      <c r="CM250" s="10">
        <f t="shared" si="206"/>
        <v>-4.4751037344398616E-3</v>
      </c>
      <c r="CN250" s="10">
        <f t="shared" si="207"/>
        <v>-1.1711618257261554E-3</v>
      </c>
      <c r="CO250" s="10">
        <f t="shared" si="208"/>
        <v>1.9761410788379913E-4</v>
      </c>
      <c r="CP250" s="10">
        <f t="shared" si="209"/>
        <v>-2.7759336099584695E-3</v>
      </c>
      <c r="CQ250" s="10">
        <f t="shared" si="210"/>
        <v>7.168049792532252E-4</v>
      </c>
      <c r="CR250" s="10">
        <f t="shared" si="211"/>
        <v>-1.359958506223976E-3</v>
      </c>
      <c r="CS250" s="10">
        <f t="shared" si="212"/>
        <v>1.6135892116182927E-3</v>
      </c>
      <c r="CT250" s="10">
        <f t="shared" si="213"/>
        <v>5.7520746887977582E-4</v>
      </c>
      <c r="CU250" s="10">
        <f t="shared" si="214"/>
        <v>-1.0894190871369287E-2</v>
      </c>
      <c r="CV250" s="10">
        <f t="shared" si="215"/>
        <v>-6.2214730290456252E-3</v>
      </c>
      <c r="CW250" s="10">
        <f t="shared" si="216"/>
        <v>-3.7199170124480761E-3</v>
      </c>
      <c r="CX250" s="10">
        <f t="shared" si="217"/>
        <v>-2.7437759336092026E-4</v>
      </c>
      <c r="CY250" s="10">
        <f t="shared" si="218"/>
        <v>1.1415975103734055E-3</v>
      </c>
      <c r="CZ250" s="10">
        <f t="shared" si="219"/>
        <v>3.8641078838178749E-4</v>
      </c>
      <c r="DA250" s="10">
        <f t="shared" si="220"/>
        <v>-4.6317427385890865E-4</v>
      </c>
      <c r="DB250" s="10">
        <f t="shared" si="221"/>
        <v>-5.3718879668049292E-3</v>
      </c>
      <c r="DC250" s="10">
        <f t="shared" si="222"/>
        <v>1.0321576763488878E-4</v>
      </c>
      <c r="DD250" s="10">
        <f t="shared" si="223"/>
        <v>-4.4279045643153226E-3</v>
      </c>
      <c r="DE250" s="10">
        <f t="shared" si="224"/>
        <v>-3.2157676348545927E-4</v>
      </c>
      <c r="DF250" s="10">
        <f t="shared" si="225"/>
        <v>2.2271784232366291E-3</v>
      </c>
      <c r="DG250" s="10">
        <f t="shared" si="226"/>
        <v>-9.6198132780082428E-3</v>
      </c>
      <c r="DH250" s="10">
        <f t="shared" si="227"/>
        <v>-3.2157676348545927E-4</v>
      </c>
      <c r="DI250" s="10">
        <f t="shared" si="228"/>
        <v>-2.3983402489626605E-3</v>
      </c>
      <c r="DJ250" s="10">
        <f t="shared" si="229"/>
        <v>5.7520746887977582E-4</v>
      </c>
      <c r="DK250" s="10">
        <f t="shared" si="230"/>
        <v>-1.0295643153527061E-3</v>
      </c>
      <c r="DL250" s="10">
        <f t="shared" si="231"/>
        <v>-4.0975103734438847E-3</v>
      </c>
      <c r="DM250" s="10">
        <f t="shared" si="232"/>
        <v>-7.3542531120332202E-3</v>
      </c>
      <c r="DN250" s="10">
        <f t="shared" si="233"/>
        <v>-8.8796680497925666E-4</v>
      </c>
      <c r="DO250" s="10">
        <f t="shared" si="234"/>
        <v>-3.5311203319502555E-3</v>
      </c>
      <c r="DP250" s="10">
        <f t="shared" si="235"/>
        <v>7.168049792532252E-4</v>
      </c>
      <c r="DQ250" s="10">
        <f t="shared" si="236"/>
        <v>-3.5783195020746266E-3</v>
      </c>
      <c r="DR250" s="10">
        <f t="shared" si="237"/>
        <v>-1.7375518672199529E-3</v>
      </c>
      <c r="DS250" s="10">
        <f t="shared" si="238"/>
        <v>-1.0894190871369287E-2</v>
      </c>
      <c r="DT250" s="10">
        <f t="shared" si="239"/>
        <v>-3.7199170124480761E-3</v>
      </c>
      <c r="DU250" s="10">
        <f t="shared" si="240"/>
        <v>-6.0477178423235802E-4</v>
      </c>
      <c r="DV250" s="10">
        <f t="shared" si="241"/>
        <v>-5.4662863070538397E-3</v>
      </c>
      <c r="DW250" s="10">
        <f t="shared" si="242"/>
        <v>-5.2774896265560187E-3</v>
      </c>
    </row>
    <row r="251" spans="2:127" x14ac:dyDescent="0.45">
      <c r="B251" s="1">
        <v>24</v>
      </c>
      <c r="C251" s="1">
        <v>3630</v>
      </c>
      <c r="D251" s="7">
        <f t="shared" si="243"/>
        <v>21.274725274725274</v>
      </c>
      <c r="E251" s="1">
        <v>21.173999999999999</v>
      </c>
      <c r="F251" s="1">
        <v>21.245000000000001</v>
      </c>
      <c r="G251" s="1">
        <v>21.273</v>
      </c>
      <c r="H251" s="1">
        <v>21.143000000000001</v>
      </c>
      <c r="I251" s="1">
        <v>21.248999999999999</v>
      </c>
      <c r="J251" s="1">
        <v>21.227</v>
      </c>
      <c r="K251" s="1">
        <v>21.382000000000001</v>
      </c>
      <c r="L251" s="1">
        <v>21.126999999999999</v>
      </c>
      <c r="M251" s="1">
        <v>21.321999999999999</v>
      </c>
      <c r="N251" s="1">
        <v>21.321999999999999</v>
      </c>
      <c r="O251" s="1">
        <v>21.248000000000001</v>
      </c>
      <c r="P251" s="1">
        <v>21.199000000000002</v>
      </c>
      <c r="Q251" s="1">
        <v>21.263999999999999</v>
      </c>
      <c r="R251" s="1">
        <v>21.242000000000001</v>
      </c>
      <c r="S251" s="1">
        <v>21.24</v>
      </c>
      <c r="T251" s="1">
        <v>21.305</v>
      </c>
      <c r="U251" s="1">
        <v>21.265000000000001</v>
      </c>
      <c r="V251" s="1">
        <v>21.207999999999998</v>
      </c>
      <c r="W251" s="1">
        <v>21.265000000000001</v>
      </c>
      <c r="X251" s="1">
        <v>21.122</v>
      </c>
      <c r="Y251" s="1">
        <v>21.242000000000001</v>
      </c>
      <c r="Z251" s="1">
        <v>21.178000000000001</v>
      </c>
      <c r="AA251" s="1">
        <v>21.283000000000001</v>
      </c>
      <c r="AB251" s="1">
        <v>21.178000000000001</v>
      </c>
      <c r="AC251" s="1">
        <v>21.25</v>
      </c>
      <c r="AD251" s="1">
        <v>21.28</v>
      </c>
      <c r="AE251" s="1">
        <v>21.218</v>
      </c>
      <c r="AF251" s="1">
        <v>21.291</v>
      </c>
      <c r="AG251" s="1">
        <v>21.245000000000001</v>
      </c>
      <c r="AH251" s="1">
        <v>21.31</v>
      </c>
      <c r="AI251" s="1">
        <v>21.288</v>
      </c>
      <c r="AJ251" s="1">
        <v>21.042999999999999</v>
      </c>
      <c r="AK251" s="1">
        <v>21.141999999999999</v>
      </c>
      <c r="AL251" s="1">
        <v>21.196999999999999</v>
      </c>
      <c r="AM251" s="1">
        <v>21.268000000000001</v>
      </c>
      <c r="AN251" s="1">
        <v>21.298999999999999</v>
      </c>
      <c r="AO251" s="1">
        <v>21.283000000000001</v>
      </c>
      <c r="AP251" s="1">
        <v>21.263000000000002</v>
      </c>
      <c r="AQ251" s="1">
        <v>21.16</v>
      </c>
      <c r="AR251" s="1">
        <v>21.276</v>
      </c>
      <c r="AS251" s="1">
        <v>21.177</v>
      </c>
      <c r="AT251" s="1">
        <v>21.266999999999999</v>
      </c>
      <c r="AU251" s="1">
        <v>21.32</v>
      </c>
      <c r="AV251" s="1">
        <v>21.068999999999999</v>
      </c>
      <c r="AW251" s="1">
        <v>21.266999999999999</v>
      </c>
      <c r="AX251" s="1">
        <v>21.225000000000001</v>
      </c>
      <c r="AY251" s="1">
        <v>21.286000000000001</v>
      </c>
      <c r="AZ251" s="1">
        <v>21.254000000000001</v>
      </c>
      <c r="BA251" s="1">
        <v>21.187999999999999</v>
      </c>
      <c r="BB251" s="1">
        <v>21.119</v>
      </c>
      <c r="BC251" s="1">
        <v>21.256</v>
      </c>
      <c r="BD251" s="1">
        <v>21.199000000000002</v>
      </c>
      <c r="BE251" s="1">
        <v>21.286999999999999</v>
      </c>
      <c r="BF251" s="1">
        <v>21.196999999999999</v>
      </c>
      <c r="BG251" s="1">
        <v>21.234999999999999</v>
      </c>
      <c r="BH251" s="1">
        <v>21.042999999999999</v>
      </c>
      <c r="BI251" s="1">
        <v>21.196000000000002</v>
      </c>
      <c r="BJ251" s="1">
        <v>21.263000000000002</v>
      </c>
      <c r="BK251" s="1">
        <v>21.166</v>
      </c>
      <c r="BL251" s="1">
        <v>21.164000000000001</v>
      </c>
      <c r="BN251" s="9">
        <v>24</v>
      </c>
      <c r="BO251" s="9">
        <v>3630</v>
      </c>
      <c r="BP251" s="10">
        <f t="shared" si="183"/>
        <v>-4.7345041322313835E-3</v>
      </c>
      <c r="BQ251" s="10">
        <f t="shared" si="184"/>
        <v>-1.3972107438015603E-3</v>
      </c>
      <c r="BR251" s="10">
        <f t="shared" si="185"/>
        <v>-8.1095041322282871E-5</v>
      </c>
      <c r="BS251" s="10">
        <f t="shared" si="186"/>
        <v>-6.1916322314048812E-3</v>
      </c>
      <c r="BT251" s="10">
        <f t="shared" si="187"/>
        <v>-1.2091942148760447E-3</v>
      </c>
      <c r="BU251" s="10">
        <f t="shared" si="188"/>
        <v>-2.2432851239668817E-3</v>
      </c>
      <c r="BV251" s="10">
        <f t="shared" si="189"/>
        <v>5.0423553719009407E-3</v>
      </c>
      <c r="BW251" s="10">
        <f t="shared" si="190"/>
        <v>-6.9436983471074442E-3</v>
      </c>
      <c r="BX251" s="10">
        <f t="shared" si="191"/>
        <v>2.2221074380165363E-3</v>
      </c>
      <c r="BY251" s="10">
        <f t="shared" si="192"/>
        <v>2.2221074380165363E-3</v>
      </c>
      <c r="BZ251" s="10">
        <f t="shared" si="193"/>
        <v>-1.2561983471073401E-3</v>
      </c>
      <c r="CA251" s="10">
        <f t="shared" si="194"/>
        <v>-3.5594008264461592E-3</v>
      </c>
      <c r="CB251" s="10">
        <f t="shared" si="195"/>
        <v>-5.0413223140494351E-4</v>
      </c>
      <c r="CC251" s="10">
        <f t="shared" si="196"/>
        <v>-1.5382231404957806E-3</v>
      </c>
      <c r="CD251" s="10">
        <f t="shared" si="197"/>
        <v>-1.6322314049587053E-3</v>
      </c>
      <c r="CE251" s="10">
        <f t="shared" si="198"/>
        <v>1.4230371900826773E-3</v>
      </c>
      <c r="CF251" s="10">
        <f t="shared" si="199"/>
        <v>-4.5712809917348112E-4</v>
      </c>
      <c r="CG251" s="10">
        <f t="shared" si="200"/>
        <v>-3.1363636363636654E-3</v>
      </c>
      <c r="CH251" s="10">
        <f t="shared" si="201"/>
        <v>-4.5712809917348112E-4</v>
      </c>
      <c r="CI251" s="10">
        <f t="shared" si="202"/>
        <v>-7.1787190082644222E-3</v>
      </c>
      <c r="CJ251" s="10">
        <f t="shared" si="203"/>
        <v>-1.5382231404957806E-3</v>
      </c>
      <c r="CK251" s="10">
        <f t="shared" si="204"/>
        <v>-4.5464876033057006E-3</v>
      </c>
      <c r="CL251" s="10">
        <f t="shared" si="205"/>
        <v>3.8894628099184019E-4</v>
      </c>
      <c r="CM251" s="10">
        <f t="shared" si="206"/>
        <v>-4.5464876033057006E-3</v>
      </c>
      <c r="CN251" s="10">
        <f t="shared" si="207"/>
        <v>-1.1621900826445824E-3</v>
      </c>
      <c r="CO251" s="10">
        <f t="shared" si="208"/>
        <v>2.4793388429761998E-4</v>
      </c>
      <c r="CP251" s="10">
        <f t="shared" si="209"/>
        <v>-2.6663223140495425E-3</v>
      </c>
      <c r="CQ251" s="10">
        <f t="shared" si="210"/>
        <v>7.6497933884303853E-4</v>
      </c>
      <c r="CR251" s="10">
        <f t="shared" si="211"/>
        <v>-1.3972107438015603E-3</v>
      </c>
      <c r="CS251" s="10">
        <f t="shared" si="212"/>
        <v>1.6580578512396553E-3</v>
      </c>
      <c r="CT251" s="10">
        <f t="shared" si="213"/>
        <v>6.2396694214881827E-4</v>
      </c>
      <c r="CU251" s="10">
        <f t="shared" si="214"/>
        <v>-1.0892045454545444E-2</v>
      </c>
      <c r="CV251" s="10">
        <f t="shared" si="215"/>
        <v>-6.2386363636363438E-3</v>
      </c>
      <c r="CW251" s="10">
        <f t="shared" si="216"/>
        <v>-3.6534090909090839E-3</v>
      </c>
      <c r="CX251" s="10">
        <f t="shared" si="217"/>
        <v>-3.1611570247926091E-4</v>
      </c>
      <c r="CY251" s="10">
        <f t="shared" si="218"/>
        <v>1.1410123966942368E-3</v>
      </c>
      <c r="CZ251" s="10">
        <f t="shared" si="219"/>
        <v>3.8894628099184019E-4</v>
      </c>
      <c r="DA251" s="10">
        <f t="shared" si="220"/>
        <v>-5.5113636363623899E-4</v>
      </c>
      <c r="DB251" s="10">
        <f t="shared" si="221"/>
        <v>-5.3925619834710222E-3</v>
      </c>
      <c r="DC251" s="10">
        <f t="shared" si="222"/>
        <v>5.9917355371937358E-5</v>
      </c>
      <c r="DD251" s="10">
        <f t="shared" si="223"/>
        <v>-4.5934917355371632E-3</v>
      </c>
      <c r="DE251" s="10">
        <f t="shared" si="224"/>
        <v>-3.631198347107233E-4</v>
      </c>
      <c r="DF251" s="10">
        <f t="shared" si="225"/>
        <v>2.1280991735537782E-3</v>
      </c>
      <c r="DG251" s="10">
        <f t="shared" si="226"/>
        <v>-9.6699380165289235E-3</v>
      </c>
      <c r="DH251" s="10">
        <f t="shared" si="227"/>
        <v>-3.631198347107233E-4</v>
      </c>
      <c r="DI251" s="10">
        <f t="shared" si="228"/>
        <v>-2.3372933884296394E-3</v>
      </c>
      <c r="DJ251" s="10">
        <f t="shared" si="229"/>
        <v>5.2995867768606045E-4</v>
      </c>
      <c r="DK251" s="10">
        <f t="shared" si="230"/>
        <v>-9.7417355371889967E-4</v>
      </c>
      <c r="DL251" s="10">
        <f t="shared" si="231"/>
        <v>-4.0764462809917447E-3</v>
      </c>
      <c r="DM251" s="10">
        <f t="shared" si="232"/>
        <v>-7.3197314049586425E-3</v>
      </c>
      <c r="DN251" s="10">
        <f t="shared" si="233"/>
        <v>-8.8016528925614185E-4</v>
      </c>
      <c r="DO251" s="10">
        <f t="shared" si="234"/>
        <v>-3.5594008264461592E-3</v>
      </c>
      <c r="DP251" s="10">
        <f t="shared" si="235"/>
        <v>5.7696280991735582E-4</v>
      </c>
      <c r="DQ251" s="10">
        <f t="shared" si="236"/>
        <v>-3.6534090909090839E-3</v>
      </c>
      <c r="DR251" s="10">
        <f t="shared" si="237"/>
        <v>-1.8672520661156835E-3</v>
      </c>
      <c r="DS251" s="10">
        <f t="shared" si="238"/>
        <v>-1.0892045454545444E-2</v>
      </c>
      <c r="DT251" s="10">
        <f t="shared" si="239"/>
        <v>-3.7004132231403795E-3</v>
      </c>
      <c r="DU251" s="10">
        <f t="shared" si="240"/>
        <v>-5.5113636363623899E-4</v>
      </c>
      <c r="DV251" s="10">
        <f t="shared" si="241"/>
        <v>-5.1105371900825817E-3</v>
      </c>
      <c r="DW251" s="10">
        <f t="shared" si="242"/>
        <v>-5.2045454545453394E-3</v>
      </c>
    </row>
    <row r="252" spans="2:127" x14ac:dyDescent="0.45">
      <c r="B252" s="1">
        <v>24</v>
      </c>
      <c r="C252" s="1">
        <v>3645</v>
      </c>
      <c r="D252" s="7">
        <f t="shared" si="243"/>
        <v>21.362637362637361</v>
      </c>
      <c r="E252" s="1">
        <v>21.263000000000002</v>
      </c>
      <c r="F252" s="1">
        <v>21.332999999999998</v>
      </c>
      <c r="G252" s="1">
        <v>21.361999999999998</v>
      </c>
      <c r="H252" s="1">
        <v>21.231000000000002</v>
      </c>
      <c r="I252" s="1">
        <v>21.335999999999999</v>
      </c>
      <c r="J252" s="1">
        <v>21.314</v>
      </c>
      <c r="K252" s="1">
        <v>21.47</v>
      </c>
      <c r="L252" s="1">
        <v>21.215</v>
      </c>
      <c r="M252" s="1">
        <v>21.41</v>
      </c>
      <c r="N252" s="1">
        <v>21.41</v>
      </c>
      <c r="O252" s="1">
        <v>21.335999999999999</v>
      </c>
      <c r="P252" s="1">
        <v>21.286000000000001</v>
      </c>
      <c r="Q252" s="1">
        <v>21.352</v>
      </c>
      <c r="R252" s="1">
        <v>21.33</v>
      </c>
      <c r="S252" s="1">
        <v>21.327999999999999</v>
      </c>
      <c r="T252" s="1">
        <v>21.390999999999998</v>
      </c>
      <c r="U252" s="1">
        <v>21.352</v>
      </c>
      <c r="V252" s="1">
        <v>21.295999999999999</v>
      </c>
      <c r="W252" s="1">
        <v>21.350999999999999</v>
      </c>
      <c r="X252" s="1">
        <v>21.210999999999999</v>
      </c>
      <c r="Y252" s="1">
        <v>21.332000000000001</v>
      </c>
      <c r="Z252" s="1">
        <v>21.266999999999999</v>
      </c>
      <c r="AA252" s="1">
        <v>21.37</v>
      </c>
      <c r="AB252" s="1">
        <v>21.265000000000001</v>
      </c>
      <c r="AC252" s="1">
        <v>21.335999999999999</v>
      </c>
      <c r="AD252" s="1">
        <v>21.367999999999999</v>
      </c>
      <c r="AE252" s="1">
        <v>21.305</v>
      </c>
      <c r="AF252" s="1">
        <v>21.379000000000001</v>
      </c>
      <c r="AG252" s="1">
        <v>21.33</v>
      </c>
      <c r="AH252" s="1">
        <v>21.398</v>
      </c>
      <c r="AI252" s="1">
        <v>21.378</v>
      </c>
      <c r="AJ252" s="1">
        <v>21.131</v>
      </c>
      <c r="AK252" s="1">
        <v>21.227</v>
      </c>
      <c r="AL252" s="1">
        <v>21.283999999999999</v>
      </c>
      <c r="AM252" s="1">
        <v>21.356000000000002</v>
      </c>
      <c r="AN252" s="1">
        <v>21.388999999999999</v>
      </c>
      <c r="AO252" s="1">
        <v>21.370999999999999</v>
      </c>
      <c r="AP252" s="1">
        <v>21.349</v>
      </c>
      <c r="AQ252" s="1">
        <v>21.245000000000001</v>
      </c>
      <c r="AR252" s="1">
        <v>21.363</v>
      </c>
      <c r="AS252" s="1">
        <v>21.265000000000001</v>
      </c>
      <c r="AT252" s="1">
        <v>21.352</v>
      </c>
      <c r="AU252" s="1">
        <v>21.405999999999999</v>
      </c>
      <c r="AV252" s="1">
        <v>21.155000000000001</v>
      </c>
      <c r="AW252" s="1">
        <v>21.355</v>
      </c>
      <c r="AX252" s="1">
        <v>21.31</v>
      </c>
      <c r="AY252" s="1">
        <v>21.373999999999999</v>
      </c>
      <c r="AZ252" s="1">
        <v>21.341000000000001</v>
      </c>
      <c r="BA252" s="1">
        <v>21.274999999999999</v>
      </c>
      <c r="BB252" s="1">
        <v>21.204000000000001</v>
      </c>
      <c r="BC252" s="1">
        <v>21.344000000000001</v>
      </c>
      <c r="BD252" s="1">
        <v>21.288</v>
      </c>
      <c r="BE252" s="1">
        <v>21.373999999999999</v>
      </c>
      <c r="BF252" s="1">
        <v>21.283999999999999</v>
      </c>
      <c r="BG252" s="1">
        <v>21.329000000000001</v>
      </c>
      <c r="BH252" s="1">
        <v>21.126000000000001</v>
      </c>
      <c r="BI252" s="1">
        <v>21.286000000000001</v>
      </c>
      <c r="BJ252" s="1">
        <v>21.349</v>
      </c>
      <c r="BK252" s="1">
        <v>21.251999999999999</v>
      </c>
      <c r="BL252" s="1">
        <v>21.25</v>
      </c>
      <c r="BN252" s="9">
        <v>24</v>
      </c>
      <c r="BO252" s="9">
        <v>3645</v>
      </c>
      <c r="BP252" s="10">
        <f t="shared" si="183"/>
        <v>-4.6640946502056226E-3</v>
      </c>
      <c r="BQ252" s="10">
        <f t="shared" si="184"/>
        <v>-1.3873456790123599E-3</v>
      </c>
      <c r="BR252" s="10">
        <f t="shared" si="185"/>
        <v>-2.9835390946520248E-5</v>
      </c>
      <c r="BS252" s="10">
        <f t="shared" si="186"/>
        <v>-6.1620370370369E-3</v>
      </c>
      <c r="BT252" s="10">
        <f t="shared" si="187"/>
        <v>-1.2469135802469224E-3</v>
      </c>
      <c r="BU252" s="10">
        <f t="shared" si="188"/>
        <v>-2.2767489711933526E-3</v>
      </c>
      <c r="BV252" s="10">
        <f t="shared" si="189"/>
        <v>5.0257201646090608E-3</v>
      </c>
      <c r="BW252" s="10">
        <f t="shared" si="190"/>
        <v>-6.911008230452622E-3</v>
      </c>
      <c r="BX252" s="10">
        <f t="shared" si="191"/>
        <v>2.2170781893004784E-3</v>
      </c>
      <c r="BY252" s="10">
        <f t="shared" si="192"/>
        <v>2.2170781893004784E-3</v>
      </c>
      <c r="BZ252" s="10">
        <f t="shared" si="193"/>
        <v>-1.2469135802469224E-3</v>
      </c>
      <c r="CA252" s="10">
        <f t="shared" si="194"/>
        <v>-3.5874485596706579E-3</v>
      </c>
      <c r="CB252" s="10">
        <f t="shared" si="195"/>
        <v>-4.9794238683120078E-4</v>
      </c>
      <c r="CC252" s="10">
        <f t="shared" si="196"/>
        <v>-1.5277777777777974E-3</v>
      </c>
      <c r="CD252" s="10">
        <f t="shared" si="197"/>
        <v>-1.6213991769547002E-3</v>
      </c>
      <c r="CE252" s="10">
        <f t="shared" si="198"/>
        <v>1.3276748971193194E-3</v>
      </c>
      <c r="CF252" s="10">
        <f t="shared" si="199"/>
        <v>-4.9794238683120078E-4</v>
      </c>
      <c r="CG252" s="10">
        <f t="shared" si="200"/>
        <v>-3.1193415637859774E-3</v>
      </c>
      <c r="CH252" s="10">
        <f t="shared" si="201"/>
        <v>-5.4475308641973533E-4</v>
      </c>
      <c r="CI252" s="10">
        <f t="shared" si="202"/>
        <v>-7.0982510288065933E-3</v>
      </c>
      <c r="CJ252" s="10">
        <f t="shared" si="203"/>
        <v>-1.4341563786007283E-3</v>
      </c>
      <c r="CK252" s="10">
        <f t="shared" si="204"/>
        <v>-4.476851851851817E-3</v>
      </c>
      <c r="CL252" s="10">
        <f t="shared" si="205"/>
        <v>3.4465020576142374E-4</v>
      </c>
      <c r="CM252" s="10">
        <f t="shared" si="206"/>
        <v>-4.5704732510287198E-3</v>
      </c>
      <c r="CN252" s="10">
        <f t="shared" si="207"/>
        <v>-1.2469135802469224E-3</v>
      </c>
      <c r="CO252" s="10">
        <f t="shared" si="208"/>
        <v>2.5102880658435463E-4</v>
      </c>
      <c r="CP252" s="10">
        <f t="shared" si="209"/>
        <v>-2.698045267489665E-3</v>
      </c>
      <c r="CQ252" s="10">
        <f t="shared" si="210"/>
        <v>7.6594650205773608E-4</v>
      </c>
      <c r="CR252" s="10">
        <f t="shared" si="211"/>
        <v>-1.5277777777777974E-3</v>
      </c>
      <c r="CS252" s="10">
        <f t="shared" si="212"/>
        <v>1.655349794238729E-3</v>
      </c>
      <c r="CT252" s="10">
        <f t="shared" si="213"/>
        <v>7.1913580246920153E-4</v>
      </c>
      <c r="CU252" s="10">
        <f t="shared" si="214"/>
        <v>-1.0843106995884703E-2</v>
      </c>
      <c r="CV252" s="10">
        <f t="shared" si="215"/>
        <v>-6.3492798353908721E-3</v>
      </c>
      <c r="CW252" s="10">
        <f t="shared" si="216"/>
        <v>-3.6810699588477273E-3</v>
      </c>
      <c r="CX252" s="10">
        <f t="shared" si="217"/>
        <v>-3.1069958847722881E-4</v>
      </c>
      <c r="CY252" s="10">
        <f t="shared" si="218"/>
        <v>1.2340534979424166E-3</v>
      </c>
      <c r="CZ252" s="10">
        <f t="shared" si="219"/>
        <v>3.9146090534979204E-4</v>
      </c>
      <c r="DA252" s="10">
        <f t="shared" si="220"/>
        <v>-6.3837448559663824E-4</v>
      </c>
      <c r="DB252" s="10">
        <f t="shared" si="221"/>
        <v>-5.5066872427982473E-3</v>
      </c>
      <c r="DC252" s="10">
        <f t="shared" si="222"/>
        <v>1.697530864201433E-5</v>
      </c>
      <c r="DD252" s="10">
        <f t="shared" si="223"/>
        <v>-4.5704732510287198E-3</v>
      </c>
      <c r="DE252" s="10">
        <f t="shared" si="224"/>
        <v>-4.9794238683120078E-4</v>
      </c>
      <c r="DF252" s="10">
        <f t="shared" si="225"/>
        <v>2.0298353909465067E-3</v>
      </c>
      <c r="DG252" s="10">
        <f t="shared" si="226"/>
        <v>-9.7196502057612048E-3</v>
      </c>
      <c r="DH252" s="10">
        <f t="shared" si="227"/>
        <v>-3.5751028806576337E-4</v>
      </c>
      <c r="DI252" s="10">
        <f t="shared" si="228"/>
        <v>-2.4639917695473247E-3</v>
      </c>
      <c r="DJ252" s="10">
        <f t="shared" si="229"/>
        <v>5.318930041152295E-4</v>
      </c>
      <c r="DK252" s="10">
        <f t="shared" si="230"/>
        <v>-1.0128600823044159E-3</v>
      </c>
      <c r="DL252" s="10">
        <f t="shared" si="231"/>
        <v>-4.1023662551440392E-3</v>
      </c>
      <c r="DM252" s="10">
        <f t="shared" si="232"/>
        <v>-7.4259259259258368E-3</v>
      </c>
      <c r="DN252" s="10">
        <f t="shared" si="233"/>
        <v>-8.7242798353897851E-4</v>
      </c>
      <c r="DO252" s="10">
        <f t="shared" si="234"/>
        <v>-3.4938271604937551E-3</v>
      </c>
      <c r="DP252" s="10">
        <f t="shared" si="235"/>
        <v>5.318930041152295E-4</v>
      </c>
      <c r="DQ252" s="10">
        <f t="shared" si="236"/>
        <v>-3.6810699588477273E-3</v>
      </c>
      <c r="DR252" s="10">
        <f t="shared" si="237"/>
        <v>-1.5745884773661657E-3</v>
      </c>
      <c r="DS252" s="10">
        <f t="shared" si="238"/>
        <v>-1.1077160493827044E-2</v>
      </c>
      <c r="DT252" s="10">
        <f t="shared" si="239"/>
        <v>-3.5874485596706579E-3</v>
      </c>
      <c r="DU252" s="10">
        <f t="shared" si="240"/>
        <v>-6.3837448559663824E-4</v>
      </c>
      <c r="DV252" s="10">
        <f t="shared" si="241"/>
        <v>-5.1790123456790038E-3</v>
      </c>
      <c r="DW252" s="10">
        <f t="shared" si="242"/>
        <v>-5.2726337448559075E-3</v>
      </c>
    </row>
    <row r="253" spans="2:127" x14ac:dyDescent="0.45">
      <c r="B253" s="1">
        <v>24</v>
      </c>
      <c r="C253" s="1">
        <v>3660</v>
      </c>
      <c r="D253" s="7">
        <f t="shared" si="243"/>
        <v>21.450549450549449</v>
      </c>
      <c r="E253" s="1">
        <v>21.352</v>
      </c>
      <c r="F253" s="1">
        <v>21.420999999999999</v>
      </c>
      <c r="G253" s="1">
        <v>21.45</v>
      </c>
      <c r="H253" s="1">
        <v>21.321000000000002</v>
      </c>
      <c r="I253" s="1">
        <v>21.422999999999998</v>
      </c>
      <c r="J253" s="1">
        <v>21.401</v>
      </c>
      <c r="K253" s="1">
        <v>21.553999999999998</v>
      </c>
      <c r="L253" s="1">
        <v>21.302</v>
      </c>
      <c r="M253" s="1">
        <v>21.498999999999999</v>
      </c>
      <c r="N253" s="1">
        <v>21.497</v>
      </c>
      <c r="O253" s="1">
        <v>21.422999999999998</v>
      </c>
      <c r="P253" s="1">
        <v>21.373999999999999</v>
      </c>
      <c r="Q253" s="1">
        <v>21.439</v>
      </c>
      <c r="R253" s="1">
        <v>21.419</v>
      </c>
      <c r="S253" s="1">
        <v>21.417000000000002</v>
      </c>
      <c r="T253" s="1">
        <v>21.481000000000002</v>
      </c>
      <c r="U253" s="1">
        <v>21.44</v>
      </c>
      <c r="V253" s="1">
        <v>21.385999999999999</v>
      </c>
      <c r="W253" s="1">
        <v>21.44</v>
      </c>
      <c r="X253" s="1">
        <v>21.300999999999998</v>
      </c>
      <c r="Y253" s="1">
        <v>21.417000000000002</v>
      </c>
      <c r="Z253" s="1">
        <v>21.353000000000002</v>
      </c>
      <c r="AA253" s="1">
        <v>21.457999999999998</v>
      </c>
      <c r="AB253" s="1">
        <v>21.350999999999999</v>
      </c>
      <c r="AC253" s="1">
        <v>21.42</v>
      </c>
      <c r="AD253" s="1">
        <v>21.457000000000001</v>
      </c>
      <c r="AE253" s="1">
        <v>21.390999999999998</v>
      </c>
      <c r="AF253" s="1">
        <v>21.466000000000001</v>
      </c>
      <c r="AG253" s="1">
        <v>21.417000000000002</v>
      </c>
      <c r="AH253" s="1">
        <v>21.484999999999999</v>
      </c>
      <c r="AI253" s="1">
        <v>21.466000000000001</v>
      </c>
      <c r="AJ253" s="1">
        <v>21.218</v>
      </c>
      <c r="AK253" s="1">
        <v>21.314</v>
      </c>
      <c r="AL253" s="1">
        <v>21.370999999999999</v>
      </c>
      <c r="AM253" s="1">
        <v>21.443000000000001</v>
      </c>
      <c r="AN253" s="1">
        <v>21.475999999999999</v>
      </c>
      <c r="AO253" s="1">
        <v>21.459</v>
      </c>
      <c r="AP253" s="1">
        <v>21.434999999999999</v>
      </c>
      <c r="AQ253" s="1">
        <v>21.332000000000001</v>
      </c>
      <c r="AR253" s="1">
        <v>21.45</v>
      </c>
      <c r="AS253" s="1">
        <v>21.353000000000002</v>
      </c>
      <c r="AT253" s="1">
        <v>21.439</v>
      </c>
      <c r="AU253" s="1">
        <v>21.492999999999999</v>
      </c>
      <c r="AV253" s="1">
        <v>21.244</v>
      </c>
      <c r="AW253" s="1">
        <v>21.442</v>
      </c>
      <c r="AX253" s="1">
        <v>21.396999999999998</v>
      </c>
      <c r="AY253" s="1">
        <v>21.460999999999999</v>
      </c>
      <c r="AZ253" s="1">
        <v>21.428000000000001</v>
      </c>
      <c r="BA253" s="1">
        <v>21.361999999999998</v>
      </c>
      <c r="BB253" s="1">
        <v>21.291</v>
      </c>
      <c r="BC253" s="1">
        <v>21.431999999999999</v>
      </c>
      <c r="BD253" s="1">
        <v>21.375</v>
      </c>
      <c r="BE253" s="1">
        <v>21.460999999999999</v>
      </c>
      <c r="BF253" s="1">
        <v>21.37</v>
      </c>
      <c r="BG253" s="1">
        <v>21.414999999999999</v>
      </c>
      <c r="BH253" s="1">
        <v>21.210999999999999</v>
      </c>
      <c r="BI253" s="1">
        <v>21.373999999999999</v>
      </c>
      <c r="BJ253" s="1">
        <v>21.437999999999999</v>
      </c>
      <c r="BK253" s="1">
        <v>21.332000000000001</v>
      </c>
      <c r="BL253" s="1">
        <v>21.335999999999999</v>
      </c>
      <c r="BN253" s="9">
        <v>24</v>
      </c>
      <c r="BO253" s="9">
        <v>3660</v>
      </c>
      <c r="BP253" s="10">
        <f t="shared" si="183"/>
        <v>-4.5942622950818782E-3</v>
      </c>
      <c r="BQ253" s="10">
        <f t="shared" si="184"/>
        <v>-1.3775614754097908E-3</v>
      </c>
      <c r="BR253" s="10">
        <f t="shared" si="185"/>
        <v>-2.5614754098319161E-5</v>
      </c>
      <c r="BS253" s="10">
        <f t="shared" si="186"/>
        <v>-6.0394467213113314E-3</v>
      </c>
      <c r="BT253" s="10">
        <f t="shared" si="187"/>
        <v>-1.2843237704918097E-3</v>
      </c>
      <c r="BU253" s="10">
        <f t="shared" si="188"/>
        <v>-2.3099385245900989E-3</v>
      </c>
      <c r="BV253" s="10">
        <f t="shared" si="189"/>
        <v>4.8227459016393489E-3</v>
      </c>
      <c r="BW253" s="10">
        <f t="shared" si="190"/>
        <v>-6.9252049180327313E-3</v>
      </c>
      <c r="BX253" s="10">
        <f t="shared" si="191"/>
        <v>2.2587090163934606E-3</v>
      </c>
      <c r="BY253" s="10">
        <f t="shared" si="192"/>
        <v>2.1654713114754795E-3</v>
      </c>
      <c r="BZ253" s="10">
        <f t="shared" si="193"/>
        <v>-1.2843237704918097E-3</v>
      </c>
      <c r="CA253" s="10">
        <f t="shared" si="194"/>
        <v>-3.568647540983589E-3</v>
      </c>
      <c r="CB253" s="10">
        <f t="shared" si="195"/>
        <v>-5.3842213114746375E-4</v>
      </c>
      <c r="CC253" s="10">
        <f t="shared" si="196"/>
        <v>-1.4707991803277719E-3</v>
      </c>
      <c r="CD253" s="10">
        <f t="shared" si="197"/>
        <v>-1.564036885245753E-3</v>
      </c>
      <c r="CE253" s="10">
        <f t="shared" si="198"/>
        <v>1.4195696721312991E-3</v>
      </c>
      <c r="CF253" s="10">
        <f t="shared" si="199"/>
        <v>-4.9180327868839037E-4</v>
      </c>
      <c r="CG253" s="10">
        <f t="shared" si="200"/>
        <v>-3.0092213114753714E-3</v>
      </c>
      <c r="CH253" s="10">
        <f t="shared" si="201"/>
        <v>-4.9180327868839037E-4</v>
      </c>
      <c r="CI253" s="10">
        <f t="shared" si="202"/>
        <v>-6.9718237704918043E-3</v>
      </c>
      <c r="CJ253" s="10">
        <f t="shared" si="203"/>
        <v>-1.564036885245753E-3</v>
      </c>
      <c r="CK253" s="10">
        <f t="shared" si="204"/>
        <v>-4.5476434426228052E-3</v>
      </c>
      <c r="CL253" s="10">
        <f t="shared" si="205"/>
        <v>3.4733606557377092E-4</v>
      </c>
      <c r="CM253" s="10">
        <f t="shared" si="206"/>
        <v>-4.640881147540952E-3</v>
      </c>
      <c r="CN253" s="10">
        <f t="shared" si="207"/>
        <v>-1.4241803278686985E-3</v>
      </c>
      <c r="CO253" s="10">
        <f t="shared" si="208"/>
        <v>3.007172131148632E-4</v>
      </c>
      <c r="CP253" s="10">
        <f t="shared" si="209"/>
        <v>-2.7761270491803358E-3</v>
      </c>
      <c r="CQ253" s="10">
        <f t="shared" si="210"/>
        <v>7.2028688524602665E-4</v>
      </c>
      <c r="CR253" s="10">
        <f t="shared" si="211"/>
        <v>-1.564036885245753E-3</v>
      </c>
      <c r="CS253" s="10">
        <f t="shared" si="212"/>
        <v>1.6060450819672613E-3</v>
      </c>
      <c r="CT253" s="10">
        <f t="shared" si="213"/>
        <v>7.2028688524602665E-4</v>
      </c>
      <c r="CU253" s="10">
        <f t="shared" si="214"/>
        <v>-1.0841188524590092E-2</v>
      </c>
      <c r="CV253" s="10">
        <f t="shared" si="215"/>
        <v>-6.3657786885245133E-3</v>
      </c>
      <c r="CW253" s="10">
        <f t="shared" si="216"/>
        <v>-3.7085040983606435E-3</v>
      </c>
      <c r="CX253" s="10">
        <f t="shared" si="217"/>
        <v>-3.5194672131133586E-4</v>
      </c>
      <c r="CY253" s="10">
        <f t="shared" si="218"/>
        <v>1.186475409836098E-3</v>
      </c>
      <c r="CZ253" s="10">
        <f t="shared" si="219"/>
        <v>3.9395491803284431E-4</v>
      </c>
      <c r="DA253" s="10">
        <f t="shared" si="220"/>
        <v>-7.2489754098359165E-4</v>
      </c>
      <c r="DB253" s="10">
        <f t="shared" si="221"/>
        <v>-5.5266393442621863E-3</v>
      </c>
      <c r="DC253" s="10">
        <f t="shared" si="222"/>
        <v>-2.5614754098319161E-5</v>
      </c>
      <c r="DD253" s="10">
        <f t="shared" si="223"/>
        <v>-4.5476434426228052E-3</v>
      </c>
      <c r="DE253" s="10">
        <f t="shared" si="224"/>
        <v>-5.3842213114746375E-4</v>
      </c>
      <c r="DF253" s="10">
        <f t="shared" si="225"/>
        <v>1.9789959016393516E-3</v>
      </c>
      <c r="DG253" s="10">
        <f t="shared" si="226"/>
        <v>-9.6290983606556746E-3</v>
      </c>
      <c r="DH253" s="10">
        <f t="shared" si="227"/>
        <v>-3.9856557377040925E-4</v>
      </c>
      <c r="DI253" s="10">
        <f t="shared" si="228"/>
        <v>-2.4964139344262268E-3</v>
      </c>
      <c r="DJ253" s="10">
        <f t="shared" si="229"/>
        <v>4.8719262295082543E-4</v>
      </c>
      <c r="DK253" s="10">
        <f t="shared" si="230"/>
        <v>-1.0512295081966084E-3</v>
      </c>
      <c r="DL253" s="10">
        <f t="shared" si="231"/>
        <v>-4.128073770491807E-3</v>
      </c>
      <c r="DM253" s="10">
        <f t="shared" si="232"/>
        <v>-7.4380122950818755E-3</v>
      </c>
      <c r="DN253" s="10">
        <f t="shared" si="233"/>
        <v>-8.6475409836064615E-4</v>
      </c>
      <c r="DO253" s="10">
        <f t="shared" si="234"/>
        <v>-3.522028688524516E-3</v>
      </c>
      <c r="DP253" s="10">
        <f t="shared" si="235"/>
        <v>4.8719262295082543E-4</v>
      </c>
      <c r="DQ253" s="10">
        <f t="shared" si="236"/>
        <v>-3.7551229508195516E-3</v>
      </c>
      <c r="DR253" s="10">
        <f t="shared" si="237"/>
        <v>-1.6572745901638998E-3</v>
      </c>
      <c r="DS253" s="10">
        <f t="shared" si="238"/>
        <v>-1.1167520491803274E-2</v>
      </c>
      <c r="DT253" s="10">
        <f t="shared" si="239"/>
        <v>-3.568647540983589E-3</v>
      </c>
      <c r="DU253" s="10">
        <f t="shared" si="240"/>
        <v>-5.8504098360653714E-4</v>
      </c>
      <c r="DV253" s="10">
        <f t="shared" si="241"/>
        <v>-5.5266393442621863E-3</v>
      </c>
      <c r="DW253" s="10">
        <f t="shared" si="242"/>
        <v>-5.3401639344262241E-3</v>
      </c>
    </row>
    <row r="254" spans="2:127" x14ac:dyDescent="0.45">
      <c r="B254" s="1">
        <v>24</v>
      </c>
      <c r="C254" s="1">
        <v>3675</v>
      </c>
      <c r="D254" s="7">
        <f t="shared" si="243"/>
        <v>21.53846153846154</v>
      </c>
      <c r="E254" s="1">
        <v>21.442</v>
      </c>
      <c r="F254" s="1">
        <v>21.507999999999999</v>
      </c>
      <c r="G254" s="1">
        <v>21.538</v>
      </c>
      <c r="H254" s="1">
        <v>21.408000000000001</v>
      </c>
      <c r="I254" s="1">
        <v>21.510999999999999</v>
      </c>
      <c r="J254" s="1">
        <v>21.488</v>
      </c>
      <c r="K254" s="1">
        <v>21.641999999999999</v>
      </c>
      <c r="L254" s="1">
        <v>21.39</v>
      </c>
      <c r="M254" s="1">
        <v>21.585000000000001</v>
      </c>
      <c r="N254" s="1">
        <v>21.587</v>
      </c>
      <c r="O254" s="1">
        <v>21.507999999999999</v>
      </c>
      <c r="P254" s="1">
        <v>21.462</v>
      </c>
      <c r="Q254" s="1">
        <v>21.527999999999999</v>
      </c>
      <c r="R254" s="1">
        <v>21.507000000000001</v>
      </c>
      <c r="S254" s="1">
        <v>21.507000000000001</v>
      </c>
      <c r="T254" s="1">
        <v>21.568999999999999</v>
      </c>
      <c r="U254" s="1">
        <v>21.527999999999999</v>
      </c>
      <c r="V254" s="1">
        <v>21.474</v>
      </c>
      <c r="W254" s="1">
        <v>21.526</v>
      </c>
      <c r="X254" s="1">
        <v>21.385000000000002</v>
      </c>
      <c r="Y254" s="1">
        <v>21.504999999999999</v>
      </c>
      <c r="Z254" s="1">
        <v>21.439</v>
      </c>
      <c r="AA254" s="1">
        <v>21.545000000000002</v>
      </c>
      <c r="AB254" s="1">
        <v>21.437999999999999</v>
      </c>
      <c r="AC254" s="1">
        <v>21.509</v>
      </c>
      <c r="AD254" s="1">
        <v>21.545999999999999</v>
      </c>
      <c r="AE254" s="1">
        <v>21.481000000000002</v>
      </c>
      <c r="AF254" s="1">
        <v>21.556000000000001</v>
      </c>
      <c r="AG254" s="1">
        <v>21.504000000000001</v>
      </c>
      <c r="AH254" s="1">
        <v>21.577000000000002</v>
      </c>
      <c r="AI254" s="1">
        <v>21.556000000000001</v>
      </c>
      <c r="AJ254" s="1">
        <v>21.306000000000001</v>
      </c>
      <c r="AK254" s="1">
        <v>21.404</v>
      </c>
      <c r="AL254" s="1">
        <v>21.457999999999998</v>
      </c>
      <c r="AM254" s="1">
        <v>21.530999999999999</v>
      </c>
      <c r="AN254" s="1">
        <v>21.564</v>
      </c>
      <c r="AO254" s="1">
        <v>21.547000000000001</v>
      </c>
      <c r="AP254" s="1">
        <v>21.521999999999998</v>
      </c>
      <c r="AQ254" s="1">
        <v>21.42</v>
      </c>
      <c r="AR254" s="1">
        <v>21.538</v>
      </c>
      <c r="AS254" s="1">
        <v>21.44</v>
      </c>
      <c r="AT254" s="1">
        <v>21.526</v>
      </c>
      <c r="AU254" s="1">
        <v>21.582999999999998</v>
      </c>
      <c r="AV254" s="1">
        <v>21.329000000000001</v>
      </c>
      <c r="AW254" s="1">
        <v>21.53</v>
      </c>
      <c r="AX254" s="1">
        <v>21.484000000000002</v>
      </c>
      <c r="AY254" s="1">
        <v>21.548999999999999</v>
      </c>
      <c r="AZ254" s="1">
        <v>21.515999999999998</v>
      </c>
      <c r="BA254" s="1">
        <v>21.45</v>
      </c>
      <c r="BB254" s="1">
        <v>21.376999999999999</v>
      </c>
      <c r="BC254" s="1">
        <v>21.521999999999998</v>
      </c>
      <c r="BD254" s="1">
        <v>21.463000000000001</v>
      </c>
      <c r="BE254" s="1">
        <v>21.548999999999999</v>
      </c>
      <c r="BF254" s="1">
        <v>21.457000000000001</v>
      </c>
      <c r="BG254" s="1">
        <v>21.501000000000001</v>
      </c>
      <c r="BH254" s="1">
        <v>21.295999999999999</v>
      </c>
      <c r="BI254" s="1">
        <v>21.462</v>
      </c>
      <c r="BJ254" s="1">
        <v>21.523</v>
      </c>
      <c r="BK254" s="1">
        <v>21.425000000000001</v>
      </c>
      <c r="BL254" s="1">
        <v>21.423999999999999</v>
      </c>
      <c r="BN254" s="9">
        <v>24</v>
      </c>
      <c r="BO254" s="9">
        <v>3675</v>
      </c>
      <c r="BP254" s="10">
        <f t="shared" si="183"/>
        <v>-4.4785714285714966E-3</v>
      </c>
      <c r="BQ254" s="10">
        <f t="shared" si="184"/>
        <v>-1.4142857142858312E-3</v>
      </c>
      <c r="BR254" s="10">
        <f t="shared" si="185"/>
        <v>-2.1428571428635681E-5</v>
      </c>
      <c r="BS254" s="10">
        <f t="shared" si="186"/>
        <v>-6.0571428571428746E-3</v>
      </c>
      <c r="BT254" s="10">
        <f t="shared" si="187"/>
        <v>-1.2750000000001118E-3</v>
      </c>
      <c r="BU254" s="10">
        <f t="shared" si="188"/>
        <v>-2.3428571428572398E-3</v>
      </c>
      <c r="BV254" s="10">
        <f t="shared" si="189"/>
        <v>4.8071428571427556E-3</v>
      </c>
      <c r="BW254" s="10">
        <f t="shared" si="190"/>
        <v>-6.8928571428571919E-3</v>
      </c>
      <c r="BX254" s="10">
        <f t="shared" si="191"/>
        <v>2.1607142857142489E-3</v>
      </c>
      <c r="BY254" s="10">
        <f t="shared" si="192"/>
        <v>2.2535714285713405E-3</v>
      </c>
      <c r="BZ254" s="10">
        <f t="shared" si="193"/>
        <v>-1.4142857142858312E-3</v>
      </c>
      <c r="CA254" s="10">
        <f t="shared" si="194"/>
        <v>-3.5500000000000878E-3</v>
      </c>
      <c r="CB254" s="10">
        <f t="shared" si="195"/>
        <v>-4.8571428571442249E-4</v>
      </c>
      <c r="CC254" s="10">
        <f t="shared" si="196"/>
        <v>-1.4607142857142943E-3</v>
      </c>
      <c r="CD254" s="10">
        <f t="shared" si="197"/>
        <v>-1.4607142857142943E-3</v>
      </c>
      <c r="CE254" s="10">
        <f t="shared" si="198"/>
        <v>1.4178571428570231E-3</v>
      </c>
      <c r="CF254" s="10">
        <f t="shared" si="199"/>
        <v>-4.8571428571442249E-4</v>
      </c>
      <c r="CG254" s="10">
        <f t="shared" si="200"/>
        <v>-2.9928571428572094E-3</v>
      </c>
      <c r="CH254" s="10">
        <f t="shared" si="201"/>
        <v>-5.7857142857151394E-4</v>
      </c>
      <c r="CI254" s="10">
        <f t="shared" si="202"/>
        <v>-7.1250000000000029E-3</v>
      </c>
      <c r="CJ254" s="10">
        <f t="shared" si="203"/>
        <v>-1.5535714285715508E-3</v>
      </c>
      <c r="CK254" s="10">
        <f t="shared" si="204"/>
        <v>-4.617857142857216E-3</v>
      </c>
      <c r="CL254" s="10">
        <f t="shared" si="205"/>
        <v>3.0357142857143158E-4</v>
      </c>
      <c r="CM254" s="10">
        <f t="shared" si="206"/>
        <v>-4.6642857142858438E-3</v>
      </c>
      <c r="CN254" s="10">
        <f t="shared" si="207"/>
        <v>-1.3678571428572029E-3</v>
      </c>
      <c r="CO254" s="10">
        <f t="shared" si="208"/>
        <v>3.4999999999989483E-4</v>
      </c>
      <c r="CP254" s="10">
        <f t="shared" si="209"/>
        <v>-2.6678571428571424E-3</v>
      </c>
      <c r="CQ254" s="10">
        <f t="shared" si="210"/>
        <v>8.1428571428568159E-4</v>
      </c>
      <c r="CR254" s="10">
        <f t="shared" si="211"/>
        <v>-1.600000000000014E-3</v>
      </c>
      <c r="CS254" s="10">
        <f t="shared" si="212"/>
        <v>1.7892857142857185E-3</v>
      </c>
      <c r="CT254" s="10">
        <f t="shared" si="213"/>
        <v>8.1428571428568159E-4</v>
      </c>
      <c r="CU254" s="10">
        <f t="shared" si="214"/>
        <v>-1.0792857142857175E-2</v>
      </c>
      <c r="CV254" s="10">
        <f t="shared" si="215"/>
        <v>-6.2428571428572227E-3</v>
      </c>
      <c r="CW254" s="10">
        <f t="shared" si="216"/>
        <v>-3.7357142857144354E-3</v>
      </c>
      <c r="CX254" s="10">
        <f t="shared" si="217"/>
        <v>-3.4642857142870294E-4</v>
      </c>
      <c r="CY254" s="10">
        <f t="shared" si="218"/>
        <v>1.1857142857142121E-3</v>
      </c>
      <c r="CZ254" s="10">
        <f t="shared" si="219"/>
        <v>3.9642857142852298E-4</v>
      </c>
      <c r="DA254" s="10">
        <f t="shared" si="220"/>
        <v>-7.6428571428586165E-4</v>
      </c>
      <c r="DB254" s="10">
        <f t="shared" si="221"/>
        <v>-5.4999999999999962E-3</v>
      </c>
      <c r="DC254" s="10">
        <f t="shared" si="222"/>
        <v>-2.1428571428635681E-5</v>
      </c>
      <c r="DD254" s="10">
        <f t="shared" si="223"/>
        <v>-4.5714285714285883E-3</v>
      </c>
      <c r="DE254" s="10">
        <f t="shared" si="224"/>
        <v>-5.7857142857151394E-4</v>
      </c>
      <c r="DF254" s="10">
        <f t="shared" si="225"/>
        <v>2.0678571428569925E-3</v>
      </c>
      <c r="DG254" s="10">
        <f t="shared" si="226"/>
        <v>-9.7250000000000461E-3</v>
      </c>
      <c r="DH254" s="10">
        <f t="shared" si="227"/>
        <v>-3.9285714285716618E-4</v>
      </c>
      <c r="DI254" s="10">
        <f t="shared" si="228"/>
        <v>-2.5285714285714226E-3</v>
      </c>
      <c r="DJ254" s="10">
        <f t="shared" si="229"/>
        <v>4.8928571428561438E-4</v>
      </c>
      <c r="DK254" s="10">
        <f t="shared" si="230"/>
        <v>-1.0428571428573008E-3</v>
      </c>
      <c r="DL254" s="10">
        <f t="shared" si="231"/>
        <v>-4.1071428571429662E-3</v>
      </c>
      <c r="DM254" s="10">
        <f t="shared" si="232"/>
        <v>-7.4964285714286981E-3</v>
      </c>
      <c r="DN254" s="10">
        <f t="shared" si="233"/>
        <v>-7.6428571428586165E-4</v>
      </c>
      <c r="DO254" s="10">
        <f t="shared" si="234"/>
        <v>-3.5035714285714596E-3</v>
      </c>
      <c r="DP254" s="10">
        <f t="shared" si="235"/>
        <v>4.8928571428561438E-4</v>
      </c>
      <c r="DQ254" s="10">
        <f t="shared" si="236"/>
        <v>-3.7821428571428988E-3</v>
      </c>
      <c r="DR254" s="10">
        <f t="shared" si="237"/>
        <v>-1.7392857142857336E-3</v>
      </c>
      <c r="DS254" s="10">
        <f t="shared" si="238"/>
        <v>-1.1257142857142962E-2</v>
      </c>
      <c r="DT254" s="10">
        <f t="shared" si="239"/>
        <v>-3.5500000000000878E-3</v>
      </c>
      <c r="DU254" s="10">
        <f t="shared" si="240"/>
        <v>-7.1785714285723344E-4</v>
      </c>
      <c r="DV254" s="10">
        <f t="shared" si="241"/>
        <v>-5.2678571428571852E-3</v>
      </c>
      <c r="DW254" s="10">
        <f t="shared" si="242"/>
        <v>-5.3142857142858138E-3</v>
      </c>
    </row>
    <row r="255" spans="2:127" x14ac:dyDescent="0.45">
      <c r="B255" s="1">
        <v>24</v>
      </c>
      <c r="C255" s="1">
        <v>3690</v>
      </c>
      <c r="D255" s="7">
        <f t="shared" si="243"/>
        <v>21.626373626373628</v>
      </c>
      <c r="E255" s="1">
        <v>21.527999999999999</v>
      </c>
      <c r="F255" s="1">
        <v>21.596</v>
      </c>
      <c r="G255" s="1">
        <v>21.626999999999999</v>
      </c>
      <c r="H255" s="1">
        <v>21.495999999999999</v>
      </c>
      <c r="I255" s="1">
        <v>21.599</v>
      </c>
      <c r="J255" s="1">
        <v>21.579000000000001</v>
      </c>
      <c r="K255" s="1">
        <v>21.731000000000002</v>
      </c>
      <c r="L255" s="1">
        <v>21.471</v>
      </c>
      <c r="M255" s="1">
        <v>21.675999999999998</v>
      </c>
      <c r="N255" s="1">
        <v>21.672000000000001</v>
      </c>
      <c r="O255" s="1">
        <v>21.596</v>
      </c>
      <c r="P255" s="1">
        <v>21.55</v>
      </c>
      <c r="Q255" s="1">
        <v>21.617000000000001</v>
      </c>
      <c r="R255" s="1">
        <v>21.594999999999999</v>
      </c>
      <c r="S255" s="1">
        <v>21.594999999999999</v>
      </c>
      <c r="T255" s="1">
        <v>21.657</v>
      </c>
      <c r="U255" s="1">
        <v>21.614000000000001</v>
      </c>
      <c r="V255" s="1">
        <v>21.564</v>
      </c>
      <c r="W255" s="1">
        <v>21.614000000000001</v>
      </c>
      <c r="X255" s="1">
        <v>21.472999999999999</v>
      </c>
      <c r="Y255" s="1">
        <v>21.594999999999999</v>
      </c>
      <c r="Z255" s="1">
        <v>21.527000000000001</v>
      </c>
      <c r="AA255" s="1">
        <v>21.63</v>
      </c>
      <c r="AB255" s="1">
        <v>21.523</v>
      </c>
      <c r="AC255" s="1">
        <v>21.6</v>
      </c>
      <c r="AD255" s="1">
        <v>21.634</v>
      </c>
      <c r="AE255" s="1">
        <v>21.568000000000001</v>
      </c>
      <c r="AF255" s="1">
        <v>21.641999999999999</v>
      </c>
      <c r="AG255" s="1">
        <v>21.591000000000001</v>
      </c>
      <c r="AH255" s="1">
        <v>21.664000000000001</v>
      </c>
      <c r="AI255" s="1">
        <v>21.641999999999999</v>
      </c>
      <c r="AJ255" s="1">
        <v>21.388999999999999</v>
      </c>
      <c r="AK255" s="1">
        <v>21.49</v>
      </c>
      <c r="AL255" s="1">
        <v>21.545000000000002</v>
      </c>
      <c r="AM255" s="1">
        <v>21.619</v>
      </c>
      <c r="AN255" s="1">
        <v>21.652000000000001</v>
      </c>
      <c r="AO255" s="1">
        <v>21.635999999999999</v>
      </c>
      <c r="AP255" s="1">
        <v>21.61</v>
      </c>
      <c r="AQ255" s="1">
        <v>21.507999999999999</v>
      </c>
      <c r="AR255" s="1">
        <v>21.626000000000001</v>
      </c>
      <c r="AS255" s="1">
        <v>21.526</v>
      </c>
      <c r="AT255" s="1">
        <v>21.614999999999998</v>
      </c>
      <c r="AU255" s="1">
        <v>21.67</v>
      </c>
      <c r="AV255" s="1">
        <v>21.413</v>
      </c>
      <c r="AW255" s="1">
        <v>21.617999999999999</v>
      </c>
      <c r="AX255" s="1">
        <v>21.571999999999999</v>
      </c>
      <c r="AY255" s="1">
        <v>21.637</v>
      </c>
      <c r="AZ255" s="1">
        <v>21.603999999999999</v>
      </c>
      <c r="BA255" s="1">
        <v>21.538</v>
      </c>
      <c r="BB255" s="1">
        <v>21.465</v>
      </c>
      <c r="BC255" s="1">
        <v>21.608000000000001</v>
      </c>
      <c r="BD255" s="1">
        <v>21.55</v>
      </c>
      <c r="BE255" s="1">
        <v>21.637</v>
      </c>
      <c r="BF255" s="1">
        <v>21.545999999999999</v>
      </c>
      <c r="BG255" s="1">
        <v>21.588000000000001</v>
      </c>
      <c r="BH255" s="1">
        <v>21.39</v>
      </c>
      <c r="BI255" s="1">
        <v>21.55</v>
      </c>
      <c r="BJ255" s="1">
        <v>21.608000000000001</v>
      </c>
      <c r="BK255" s="1">
        <v>21.507000000000001</v>
      </c>
      <c r="BL255" s="1">
        <v>21.512</v>
      </c>
      <c r="BN255" s="9">
        <v>24</v>
      </c>
      <c r="BO255" s="9">
        <v>3690</v>
      </c>
      <c r="BP255" s="10">
        <f t="shared" si="183"/>
        <v>-4.5487804878049992E-3</v>
      </c>
      <c r="BQ255" s="10">
        <f t="shared" si="184"/>
        <v>-1.4044715447155045E-3</v>
      </c>
      <c r="BR255" s="10">
        <f t="shared" si="185"/>
        <v>2.8963414634033708E-5</v>
      </c>
      <c r="BS255" s="10">
        <f t="shared" si="186"/>
        <v>-6.0284552845529683E-3</v>
      </c>
      <c r="BT255" s="10">
        <f t="shared" si="187"/>
        <v>-1.2657520325203772E-3</v>
      </c>
      <c r="BU255" s="10">
        <f t="shared" si="188"/>
        <v>-2.1905487804878372E-3</v>
      </c>
      <c r="BV255" s="10">
        <f t="shared" si="189"/>
        <v>4.8379065040650548E-3</v>
      </c>
      <c r="BW255" s="10">
        <f t="shared" si="190"/>
        <v>-7.1844512195122518E-3</v>
      </c>
      <c r="BX255" s="10">
        <f t="shared" si="191"/>
        <v>2.2947154471543349E-3</v>
      </c>
      <c r="BY255" s="10">
        <f t="shared" si="192"/>
        <v>2.1097560975609415E-3</v>
      </c>
      <c r="BZ255" s="10">
        <f t="shared" si="193"/>
        <v>-1.4044715447155045E-3</v>
      </c>
      <c r="CA255" s="10">
        <f t="shared" si="194"/>
        <v>-3.5315040650406786E-3</v>
      </c>
      <c r="CB255" s="10">
        <f t="shared" si="195"/>
        <v>-4.3343495934961408E-4</v>
      </c>
      <c r="CC255" s="10">
        <f t="shared" si="196"/>
        <v>-1.450711382113935E-3</v>
      </c>
      <c r="CD255" s="10">
        <f t="shared" si="197"/>
        <v>-1.450711382113935E-3</v>
      </c>
      <c r="CE255" s="10">
        <f t="shared" si="198"/>
        <v>1.4161585365853057E-3</v>
      </c>
      <c r="CF255" s="10">
        <f t="shared" si="199"/>
        <v>-5.7215447154474125E-4</v>
      </c>
      <c r="CG255" s="10">
        <f t="shared" si="200"/>
        <v>-2.8841463414634731E-3</v>
      </c>
      <c r="CH255" s="10">
        <f t="shared" si="201"/>
        <v>-5.7215447154474125E-4</v>
      </c>
      <c r="CI255" s="10">
        <f t="shared" si="202"/>
        <v>-7.0919715447155555E-3</v>
      </c>
      <c r="CJ255" s="10">
        <f t="shared" si="203"/>
        <v>-1.450711382113935E-3</v>
      </c>
      <c r="CK255" s="10">
        <f t="shared" si="204"/>
        <v>-4.5950203252032662E-3</v>
      </c>
      <c r="CL255" s="10">
        <f t="shared" si="205"/>
        <v>1.6768292682916092E-4</v>
      </c>
      <c r="CM255" s="10">
        <f t="shared" si="206"/>
        <v>-4.7799796747968236E-3</v>
      </c>
      <c r="CN255" s="10">
        <f t="shared" si="207"/>
        <v>-1.2195121951219469E-3</v>
      </c>
      <c r="CO255" s="10">
        <f t="shared" si="208"/>
        <v>3.5264227642271861E-4</v>
      </c>
      <c r="CP255" s="10">
        <f t="shared" si="209"/>
        <v>-2.6991869918699153E-3</v>
      </c>
      <c r="CQ255" s="10">
        <f t="shared" si="210"/>
        <v>7.2256097560966968E-4</v>
      </c>
      <c r="CR255" s="10">
        <f t="shared" si="211"/>
        <v>-1.6356707317073285E-3</v>
      </c>
      <c r="CS255" s="10">
        <f t="shared" si="212"/>
        <v>1.7398373983739906E-3</v>
      </c>
      <c r="CT255" s="10">
        <f t="shared" si="213"/>
        <v>7.2256097560966968E-4</v>
      </c>
      <c r="CU255" s="10">
        <f t="shared" si="214"/>
        <v>-1.0976117886178952E-2</v>
      </c>
      <c r="CV255" s="10">
        <f t="shared" si="215"/>
        <v>-6.3058943089432228E-3</v>
      </c>
      <c r="CW255" s="10">
        <f t="shared" si="216"/>
        <v>-3.7627032520325026E-3</v>
      </c>
      <c r="CX255" s="10">
        <f t="shared" si="217"/>
        <v>-3.4095528455291741E-4</v>
      </c>
      <c r="CY255" s="10">
        <f t="shared" si="218"/>
        <v>1.1849593495934817E-3</v>
      </c>
      <c r="CZ255" s="10">
        <f t="shared" si="219"/>
        <v>4.4512195121941528E-4</v>
      </c>
      <c r="DA255" s="10">
        <f t="shared" si="220"/>
        <v>-7.5711382113829897E-4</v>
      </c>
      <c r="DB255" s="10">
        <f t="shared" si="221"/>
        <v>-5.4735772357724592E-3</v>
      </c>
      <c r="DC255" s="10">
        <f t="shared" si="222"/>
        <v>-1.7276422764232508E-5</v>
      </c>
      <c r="DD255" s="10">
        <f t="shared" si="223"/>
        <v>-4.6412601626016963E-3</v>
      </c>
      <c r="DE255" s="10">
        <f t="shared" si="224"/>
        <v>-5.2591463414647507E-4</v>
      </c>
      <c r="DF255" s="10">
        <f t="shared" si="225"/>
        <v>2.0172764227642452E-3</v>
      </c>
      <c r="DG255" s="10">
        <f t="shared" si="226"/>
        <v>-9.8663617886179354E-3</v>
      </c>
      <c r="DH255" s="10">
        <f t="shared" si="227"/>
        <v>-3.871951219513479E-4</v>
      </c>
      <c r="DI255" s="10">
        <f t="shared" si="228"/>
        <v>-2.5142276422765223E-3</v>
      </c>
      <c r="DJ255" s="10">
        <f t="shared" si="229"/>
        <v>4.9136178861784578E-4</v>
      </c>
      <c r="DK255" s="10">
        <f t="shared" si="230"/>
        <v>-1.0345528455285534E-3</v>
      </c>
      <c r="DL255" s="10">
        <f t="shared" si="231"/>
        <v>-4.0863821138211872E-3</v>
      </c>
      <c r="DM255" s="10">
        <f t="shared" si="232"/>
        <v>-7.4618902439025064E-3</v>
      </c>
      <c r="DN255" s="10">
        <f t="shared" si="233"/>
        <v>-8.495934959349957E-4</v>
      </c>
      <c r="DO255" s="10">
        <f t="shared" si="234"/>
        <v>-3.5315040650406786E-3</v>
      </c>
      <c r="DP255" s="10">
        <f t="shared" si="235"/>
        <v>4.9136178861784578E-4</v>
      </c>
      <c r="DQ255" s="10">
        <f t="shared" si="236"/>
        <v>-3.7164634146342364E-3</v>
      </c>
      <c r="DR255" s="10">
        <f t="shared" si="237"/>
        <v>-1.7743902439024556E-3</v>
      </c>
      <c r="DS255" s="10">
        <f t="shared" si="238"/>
        <v>-1.0929878048780522E-2</v>
      </c>
      <c r="DT255" s="10">
        <f t="shared" si="239"/>
        <v>-3.5315040650406786E-3</v>
      </c>
      <c r="DU255" s="10">
        <f t="shared" si="240"/>
        <v>-8.495934959349957E-4</v>
      </c>
      <c r="DV255" s="10">
        <f t="shared" si="241"/>
        <v>-5.5198170731707253E-3</v>
      </c>
      <c r="DW255" s="10">
        <f t="shared" si="242"/>
        <v>-5.2886178861789018E-3</v>
      </c>
    </row>
    <row r="256" spans="2:127" x14ac:dyDescent="0.45">
      <c r="B256" s="1">
        <v>24</v>
      </c>
      <c r="C256" s="1">
        <v>3705</v>
      </c>
      <c r="D256" s="7">
        <f t="shared" si="243"/>
        <v>21.714285714285715</v>
      </c>
      <c r="E256" s="1">
        <v>21.617000000000001</v>
      </c>
      <c r="F256" s="1">
        <v>21.683</v>
      </c>
      <c r="G256" s="1">
        <v>21.718</v>
      </c>
      <c r="H256" s="1">
        <v>21.582999999999998</v>
      </c>
      <c r="I256" s="1">
        <v>21.687999999999999</v>
      </c>
      <c r="J256" s="1">
        <v>21.667999999999999</v>
      </c>
      <c r="K256" s="1">
        <v>21.818999999999999</v>
      </c>
      <c r="L256" s="1">
        <v>21.56</v>
      </c>
      <c r="M256" s="1">
        <v>21.762</v>
      </c>
      <c r="N256" s="1">
        <v>21.762</v>
      </c>
      <c r="O256" s="1">
        <v>21.687000000000001</v>
      </c>
      <c r="P256" s="1">
        <v>21.638000000000002</v>
      </c>
      <c r="Q256" s="1">
        <v>21.704999999999998</v>
      </c>
      <c r="R256" s="1">
        <v>21.681999999999999</v>
      </c>
      <c r="S256" s="1">
        <v>21.681999999999999</v>
      </c>
      <c r="T256" s="1">
        <v>21.744</v>
      </c>
      <c r="U256" s="1">
        <v>21.701000000000001</v>
      </c>
      <c r="V256" s="1">
        <v>21.651</v>
      </c>
      <c r="W256" s="1">
        <v>21.699000000000002</v>
      </c>
      <c r="X256" s="1">
        <v>21.564</v>
      </c>
      <c r="Y256" s="1">
        <v>21.681999999999999</v>
      </c>
      <c r="Z256" s="1">
        <v>21.613</v>
      </c>
      <c r="AA256" s="1">
        <v>21.718</v>
      </c>
      <c r="AB256" s="1">
        <v>21.61</v>
      </c>
      <c r="AC256" s="1">
        <v>21.687999999999999</v>
      </c>
      <c r="AD256" s="1">
        <v>21.721</v>
      </c>
      <c r="AE256" s="1">
        <v>21.655999999999999</v>
      </c>
      <c r="AF256" s="1">
        <v>21.733000000000001</v>
      </c>
      <c r="AG256" s="1">
        <v>21.68</v>
      </c>
      <c r="AH256" s="1">
        <v>21.754000000000001</v>
      </c>
      <c r="AI256" s="1">
        <v>21.731000000000002</v>
      </c>
      <c r="AJ256" s="1">
        <v>21.48</v>
      </c>
      <c r="AK256" s="1">
        <v>21.574999999999999</v>
      </c>
      <c r="AL256" s="1">
        <v>21.634</v>
      </c>
      <c r="AM256" s="1">
        <v>21.706</v>
      </c>
      <c r="AN256" s="1">
        <v>21.74</v>
      </c>
      <c r="AO256" s="1">
        <v>21.722000000000001</v>
      </c>
      <c r="AP256" s="1">
        <v>21.699000000000002</v>
      </c>
      <c r="AQ256" s="1">
        <v>21.596</v>
      </c>
      <c r="AR256" s="1">
        <v>21.713000000000001</v>
      </c>
      <c r="AS256" s="1">
        <v>21.613</v>
      </c>
      <c r="AT256" s="1">
        <v>21.702999999999999</v>
      </c>
      <c r="AU256" s="1">
        <v>21.757999999999999</v>
      </c>
      <c r="AV256" s="1">
        <v>21.5</v>
      </c>
      <c r="AW256" s="1">
        <v>21.706</v>
      </c>
      <c r="AX256" s="1">
        <v>21.658999999999999</v>
      </c>
      <c r="AY256" s="1">
        <v>21.725000000000001</v>
      </c>
      <c r="AZ256" s="1">
        <v>21.693000000000001</v>
      </c>
      <c r="BA256" s="1">
        <v>21.626000000000001</v>
      </c>
      <c r="BB256" s="1">
        <v>21.55</v>
      </c>
      <c r="BC256" s="1">
        <v>21.695</v>
      </c>
      <c r="BD256" s="1">
        <v>21.638000000000002</v>
      </c>
      <c r="BE256" s="1">
        <v>21.725999999999999</v>
      </c>
      <c r="BF256" s="1">
        <v>21.634</v>
      </c>
      <c r="BG256" s="1">
        <v>21.675000000000001</v>
      </c>
      <c r="BH256" s="1">
        <v>21.477</v>
      </c>
      <c r="BI256" s="1">
        <v>21.635999999999999</v>
      </c>
      <c r="BJ256" s="1">
        <v>21.695</v>
      </c>
      <c r="BK256" s="1">
        <v>21.591999999999999</v>
      </c>
      <c r="BL256" s="1">
        <v>21.6</v>
      </c>
      <c r="BN256" s="9">
        <v>24</v>
      </c>
      <c r="BO256" s="9">
        <v>3705</v>
      </c>
      <c r="BP256" s="10">
        <f t="shared" si="183"/>
        <v>-4.4802631578947424E-3</v>
      </c>
      <c r="BQ256" s="10">
        <f t="shared" si="184"/>
        <v>-1.440789473684265E-3</v>
      </c>
      <c r="BR256" s="10">
        <f t="shared" si="185"/>
        <v>1.710526315788993E-4</v>
      </c>
      <c r="BS256" s="10">
        <f t="shared" si="186"/>
        <v>-6.0460526315790674E-3</v>
      </c>
      <c r="BT256" s="10">
        <f t="shared" si="187"/>
        <v>-1.2105263157895741E-3</v>
      </c>
      <c r="BU256" s="10">
        <f t="shared" si="188"/>
        <v>-2.1315789473685016E-3</v>
      </c>
      <c r="BV256" s="10">
        <f t="shared" si="189"/>
        <v>4.8223684210525414E-3</v>
      </c>
      <c r="BW256" s="10">
        <f t="shared" si="190"/>
        <v>-7.1052631578948418E-3</v>
      </c>
      <c r="BX256" s="10">
        <f t="shared" si="191"/>
        <v>2.1973684210526059E-3</v>
      </c>
      <c r="BY256" s="10">
        <f t="shared" si="192"/>
        <v>2.1973684210526059E-3</v>
      </c>
      <c r="BZ256" s="10">
        <f t="shared" si="193"/>
        <v>-1.2565789473684141E-3</v>
      </c>
      <c r="CA256" s="10">
        <f t="shared" si="194"/>
        <v>-3.5131578947368114E-3</v>
      </c>
      <c r="CB256" s="10">
        <f t="shared" si="195"/>
        <v>-4.2763157894749366E-4</v>
      </c>
      <c r="CC256" s="10">
        <f t="shared" si="196"/>
        <v>-1.4868421052632687E-3</v>
      </c>
      <c r="CD256" s="10">
        <f t="shared" si="197"/>
        <v>-1.4868421052632687E-3</v>
      </c>
      <c r="CE256" s="10">
        <f t="shared" si="198"/>
        <v>1.3684210526315216E-3</v>
      </c>
      <c r="CF256" s="10">
        <f t="shared" si="199"/>
        <v>-6.1184210526318101E-4</v>
      </c>
      <c r="CG256" s="10">
        <f t="shared" si="200"/>
        <v>-2.9144736842105822E-3</v>
      </c>
      <c r="CH256" s="10">
        <f t="shared" si="201"/>
        <v>-7.0394736842102471E-4</v>
      </c>
      <c r="CI256" s="10">
        <f t="shared" si="202"/>
        <v>-6.9210526315789909E-3</v>
      </c>
      <c r="CJ256" s="10">
        <f t="shared" si="203"/>
        <v>-1.4868421052632687E-3</v>
      </c>
      <c r="CK256" s="10">
        <f t="shared" si="204"/>
        <v>-4.6644736842105941E-3</v>
      </c>
      <c r="CL256" s="10">
        <f t="shared" si="205"/>
        <v>1.710526315788993E-4</v>
      </c>
      <c r="CM256" s="10">
        <f t="shared" si="206"/>
        <v>-4.8026315789474411E-3</v>
      </c>
      <c r="CN256" s="10">
        <f t="shared" si="207"/>
        <v>-1.2105263157895741E-3</v>
      </c>
      <c r="CO256" s="10">
        <f t="shared" si="208"/>
        <v>3.0921052631574666E-4</v>
      </c>
      <c r="CP256" s="10">
        <f t="shared" si="209"/>
        <v>-2.6842105263158913E-3</v>
      </c>
      <c r="CQ256" s="10">
        <f t="shared" si="210"/>
        <v>8.6184210526313602E-4</v>
      </c>
      <c r="CR256" s="10">
        <f t="shared" si="211"/>
        <v>-1.5789473684211124E-3</v>
      </c>
      <c r="CS256" s="10">
        <f t="shared" si="212"/>
        <v>1.8289473684210673E-3</v>
      </c>
      <c r="CT256" s="10">
        <f t="shared" si="213"/>
        <v>7.6973684210529232E-4</v>
      </c>
      <c r="CU256" s="10">
        <f t="shared" si="214"/>
        <v>-1.0789473684210554E-2</v>
      </c>
      <c r="CV256" s="10">
        <f t="shared" si="215"/>
        <v>-6.4144736842106052E-3</v>
      </c>
      <c r="CW256" s="10">
        <f t="shared" si="216"/>
        <v>-3.6973684210526623E-3</v>
      </c>
      <c r="CX256" s="10">
        <f t="shared" si="217"/>
        <v>-3.8157894736849001E-4</v>
      </c>
      <c r="CY256" s="10">
        <f t="shared" si="218"/>
        <v>1.1842105263156707E-3</v>
      </c>
      <c r="CZ256" s="10">
        <f t="shared" si="219"/>
        <v>3.5526315789475031E-4</v>
      </c>
      <c r="DA256" s="10">
        <f t="shared" si="220"/>
        <v>-7.0394736842102471E-4</v>
      </c>
      <c r="DB256" s="10">
        <f t="shared" si="221"/>
        <v>-5.4473684210526738E-3</v>
      </c>
      <c r="DC256" s="10">
        <f t="shared" si="222"/>
        <v>-5.9210526315791714E-5</v>
      </c>
      <c r="DD256" s="10">
        <f t="shared" si="223"/>
        <v>-4.6644736842105941E-3</v>
      </c>
      <c r="DE256" s="10">
        <f t="shared" si="224"/>
        <v>-5.1973684210533742E-4</v>
      </c>
      <c r="DF256" s="10">
        <f t="shared" si="225"/>
        <v>2.0131578947367545E-3</v>
      </c>
      <c r="DG256" s="10">
        <f t="shared" si="226"/>
        <v>-9.8684210526316252E-3</v>
      </c>
      <c r="DH256" s="10">
        <f t="shared" si="227"/>
        <v>-3.8157894736849001E-4</v>
      </c>
      <c r="DI256" s="10">
        <f t="shared" si="228"/>
        <v>-2.5460526315790439E-3</v>
      </c>
      <c r="DJ256" s="10">
        <f t="shared" si="229"/>
        <v>4.9342105263159761E-4</v>
      </c>
      <c r="DK256" s="10">
        <f t="shared" si="230"/>
        <v>-9.8026315789471932E-4</v>
      </c>
      <c r="DL256" s="10">
        <f t="shared" si="231"/>
        <v>-4.0657894736842006E-3</v>
      </c>
      <c r="DM256" s="10">
        <f t="shared" si="232"/>
        <v>-7.5657894736842245E-3</v>
      </c>
      <c r="DN256" s="10">
        <f t="shared" si="233"/>
        <v>-8.8815789473687572E-4</v>
      </c>
      <c r="DO256" s="10">
        <f t="shared" si="234"/>
        <v>-3.5131578947368114E-3</v>
      </c>
      <c r="DP256" s="10">
        <f t="shared" si="235"/>
        <v>5.3947368421043771E-4</v>
      </c>
      <c r="DQ256" s="10">
        <f t="shared" si="236"/>
        <v>-3.6973684210526623E-3</v>
      </c>
      <c r="DR256" s="10">
        <f t="shared" si="237"/>
        <v>-1.8092105263158033E-3</v>
      </c>
      <c r="DS256" s="10">
        <f t="shared" si="238"/>
        <v>-1.0927631578947401E-2</v>
      </c>
      <c r="DT256" s="10">
        <f t="shared" si="239"/>
        <v>-3.6052631578948188E-3</v>
      </c>
      <c r="DU256" s="10">
        <f t="shared" si="240"/>
        <v>-8.8815789473687572E-4</v>
      </c>
      <c r="DV256" s="10">
        <f t="shared" si="241"/>
        <v>-5.6315789473685247E-3</v>
      </c>
      <c r="DW256" s="10">
        <f t="shared" si="242"/>
        <v>-5.2631578947368229E-3</v>
      </c>
    </row>
    <row r="257" spans="2:127" x14ac:dyDescent="0.45">
      <c r="B257" s="1">
        <v>24</v>
      </c>
      <c r="C257" s="1">
        <v>3720</v>
      </c>
      <c r="D257" s="7">
        <f t="shared" si="243"/>
        <v>21.802197802197803</v>
      </c>
      <c r="E257" s="1">
        <v>21.702999999999999</v>
      </c>
      <c r="F257" s="1">
        <v>21.771000000000001</v>
      </c>
      <c r="G257" s="1">
        <v>21.805</v>
      </c>
      <c r="H257" s="1">
        <v>21.67</v>
      </c>
      <c r="I257" s="1">
        <v>21.774999999999999</v>
      </c>
      <c r="J257" s="1">
        <v>21.756</v>
      </c>
      <c r="K257" s="1">
        <v>21.905999999999999</v>
      </c>
      <c r="L257" s="1">
        <v>21.645</v>
      </c>
      <c r="M257" s="1">
        <v>21.850999999999999</v>
      </c>
      <c r="N257" s="1">
        <v>21.849</v>
      </c>
      <c r="O257" s="1">
        <v>21.774999999999999</v>
      </c>
      <c r="P257" s="1">
        <v>21.724</v>
      </c>
      <c r="Q257" s="1">
        <v>21.792000000000002</v>
      </c>
      <c r="R257" s="1">
        <v>21.766999999999999</v>
      </c>
      <c r="S257" s="1">
        <v>21.77</v>
      </c>
      <c r="T257" s="1">
        <v>21.831</v>
      </c>
      <c r="U257" s="1">
        <v>21.786000000000001</v>
      </c>
      <c r="V257" s="1">
        <v>21.739000000000001</v>
      </c>
      <c r="W257" s="1">
        <v>21.785</v>
      </c>
      <c r="X257" s="1">
        <v>21.648</v>
      </c>
      <c r="Y257" s="1">
        <v>21.771000000000001</v>
      </c>
      <c r="Z257" s="1">
        <v>21.698</v>
      </c>
      <c r="AA257" s="1">
        <v>21.803999999999998</v>
      </c>
      <c r="AB257" s="1">
        <v>21.696999999999999</v>
      </c>
      <c r="AC257" s="1">
        <v>21.777999999999999</v>
      </c>
      <c r="AD257" s="1">
        <v>21.809000000000001</v>
      </c>
      <c r="AE257" s="1">
        <v>21.744</v>
      </c>
      <c r="AF257" s="1">
        <v>21.821000000000002</v>
      </c>
      <c r="AG257" s="1">
        <v>21.766999999999999</v>
      </c>
      <c r="AH257" s="1">
        <v>21.84</v>
      </c>
      <c r="AI257" s="1">
        <v>21.817</v>
      </c>
      <c r="AJ257" s="1">
        <v>21.565000000000001</v>
      </c>
      <c r="AK257" s="1">
        <v>21.66</v>
      </c>
      <c r="AL257" s="1">
        <v>21.724</v>
      </c>
      <c r="AM257" s="1">
        <v>21.792999999999999</v>
      </c>
      <c r="AN257" s="1">
        <v>21.824999999999999</v>
      </c>
      <c r="AO257" s="1">
        <v>21.811</v>
      </c>
      <c r="AP257" s="1">
        <v>21.786000000000001</v>
      </c>
      <c r="AQ257" s="1">
        <v>21.683</v>
      </c>
      <c r="AR257" s="1">
        <v>21.8</v>
      </c>
      <c r="AS257" s="1">
        <v>21.698</v>
      </c>
      <c r="AT257" s="1">
        <v>21.792000000000002</v>
      </c>
      <c r="AU257" s="1">
        <v>21.844000000000001</v>
      </c>
      <c r="AV257" s="1">
        <v>21.588000000000001</v>
      </c>
      <c r="AW257" s="1">
        <v>21.792999999999999</v>
      </c>
      <c r="AX257" s="1">
        <v>21.745000000000001</v>
      </c>
      <c r="AY257" s="1">
        <v>21.811</v>
      </c>
      <c r="AZ257" s="1">
        <v>21.780999999999999</v>
      </c>
      <c r="BA257" s="1">
        <v>21.713000000000001</v>
      </c>
      <c r="BB257" s="1">
        <v>21.635999999999999</v>
      </c>
      <c r="BC257" s="1">
        <v>21.783000000000001</v>
      </c>
      <c r="BD257" s="1">
        <v>21.724</v>
      </c>
      <c r="BE257" s="1">
        <v>21.815000000000001</v>
      </c>
      <c r="BF257" s="1">
        <v>21.721</v>
      </c>
      <c r="BG257" s="1">
        <v>21.759</v>
      </c>
      <c r="BH257" s="1">
        <v>21.56</v>
      </c>
      <c r="BI257" s="1">
        <v>21.724</v>
      </c>
      <c r="BJ257" s="1">
        <v>21.782</v>
      </c>
      <c r="BK257" s="1">
        <v>21.686</v>
      </c>
      <c r="BL257" s="1">
        <v>21.687000000000001</v>
      </c>
      <c r="BN257" s="9">
        <v>24</v>
      </c>
      <c r="BO257" s="9">
        <v>3720</v>
      </c>
      <c r="BP257" s="10">
        <f t="shared" si="183"/>
        <v>-4.5498991935484468E-3</v>
      </c>
      <c r="BQ257" s="10">
        <f t="shared" si="184"/>
        <v>-1.4309475806451571E-3</v>
      </c>
      <c r="BR257" s="10">
        <f t="shared" si="185"/>
        <v>1.2852822580640633E-4</v>
      </c>
      <c r="BS257" s="10">
        <f t="shared" si="186"/>
        <v>-6.063508064516083E-3</v>
      </c>
      <c r="BT257" s="10">
        <f t="shared" si="187"/>
        <v>-1.2474798387097747E-3</v>
      </c>
      <c r="BU257" s="10">
        <f t="shared" si="188"/>
        <v>-2.1189516129032477E-3</v>
      </c>
      <c r="BV257" s="10">
        <f t="shared" si="189"/>
        <v>4.7610887096773327E-3</v>
      </c>
      <c r="BW257" s="10">
        <f t="shared" si="190"/>
        <v>-7.2101814516129549E-3</v>
      </c>
      <c r="BX257" s="10">
        <f t="shared" si="191"/>
        <v>2.2384072580644422E-3</v>
      </c>
      <c r="BY257" s="10">
        <f t="shared" si="192"/>
        <v>2.1466733870967509E-3</v>
      </c>
      <c r="BZ257" s="10">
        <f t="shared" si="193"/>
        <v>-1.2474798387097747E-3</v>
      </c>
      <c r="CA257" s="10">
        <f t="shared" si="194"/>
        <v>-3.5866935483871197E-3</v>
      </c>
      <c r="CB257" s="10">
        <f t="shared" si="195"/>
        <v>-4.6774193548383019E-4</v>
      </c>
      <c r="CC257" s="10">
        <f t="shared" si="196"/>
        <v>-1.6144153225807021E-3</v>
      </c>
      <c r="CD257" s="10">
        <f t="shared" si="197"/>
        <v>-1.476814516129084E-3</v>
      </c>
      <c r="CE257" s="10">
        <f t="shared" si="198"/>
        <v>1.3210685483870423E-3</v>
      </c>
      <c r="CF257" s="10">
        <f t="shared" si="199"/>
        <v>-7.4294354838706637E-4</v>
      </c>
      <c r="CG257" s="10">
        <f t="shared" si="200"/>
        <v>-2.8986895161290291E-3</v>
      </c>
      <c r="CH257" s="10">
        <f t="shared" si="201"/>
        <v>-7.8881048387099344E-4</v>
      </c>
      <c r="CI257" s="10">
        <f t="shared" si="202"/>
        <v>-7.0725806451613369E-3</v>
      </c>
      <c r="CJ257" s="10">
        <f t="shared" si="203"/>
        <v>-1.4309475806451571E-3</v>
      </c>
      <c r="CK257" s="10">
        <f t="shared" si="204"/>
        <v>-4.7792338709677562E-3</v>
      </c>
      <c r="CL257" s="10">
        <f t="shared" si="205"/>
        <v>8.2661290322479314E-5</v>
      </c>
      <c r="CM257" s="10">
        <f t="shared" si="206"/>
        <v>-4.8251008064516829E-3</v>
      </c>
      <c r="CN257" s="10">
        <f t="shared" si="207"/>
        <v>-1.1098790322581567E-3</v>
      </c>
      <c r="CO257" s="10">
        <f t="shared" si="208"/>
        <v>3.1199596774195149E-4</v>
      </c>
      <c r="CP257" s="10">
        <f t="shared" si="209"/>
        <v>-2.6693548387097198E-3</v>
      </c>
      <c r="CQ257" s="10">
        <f t="shared" si="210"/>
        <v>8.6239919354842395E-4</v>
      </c>
      <c r="CR257" s="10">
        <f t="shared" si="211"/>
        <v>-1.6144153225807021E-3</v>
      </c>
      <c r="CS257" s="10">
        <f t="shared" si="212"/>
        <v>1.7338709677418966E-3</v>
      </c>
      <c r="CT257" s="10">
        <f t="shared" si="213"/>
        <v>6.7893145161287884E-4</v>
      </c>
      <c r="CU257" s="10">
        <f t="shared" si="214"/>
        <v>-1.0879536290322555E-2</v>
      </c>
      <c r="CV257" s="10">
        <f t="shared" si="215"/>
        <v>-6.5221774193548639E-3</v>
      </c>
      <c r="CW257" s="10">
        <f t="shared" si="216"/>
        <v>-3.5866935483871197E-3</v>
      </c>
      <c r="CX257" s="10">
        <f t="shared" si="217"/>
        <v>-4.2187500000006613E-4</v>
      </c>
      <c r="CY257" s="10">
        <f t="shared" si="218"/>
        <v>1.0458669354838062E-3</v>
      </c>
      <c r="CZ257" s="10">
        <f t="shared" si="219"/>
        <v>4.0372983870964256E-4</v>
      </c>
      <c r="DA257" s="10">
        <f t="shared" si="220"/>
        <v>-7.4294354838706637E-4</v>
      </c>
      <c r="DB257" s="10">
        <f t="shared" si="221"/>
        <v>-5.4672379032258463E-3</v>
      </c>
      <c r="DC257" s="10">
        <f t="shared" si="222"/>
        <v>-1.0080645161290286E-4</v>
      </c>
      <c r="DD257" s="10">
        <f t="shared" si="223"/>
        <v>-4.7792338709677562E-3</v>
      </c>
      <c r="DE257" s="10">
        <f t="shared" si="224"/>
        <v>-4.6774193548383019E-4</v>
      </c>
      <c r="DF257" s="10">
        <f t="shared" si="225"/>
        <v>1.9173387096774418E-3</v>
      </c>
      <c r="DG257" s="10">
        <f t="shared" si="226"/>
        <v>-9.8245967741935353E-3</v>
      </c>
      <c r="DH257" s="10">
        <f t="shared" si="227"/>
        <v>-4.2187500000006613E-4</v>
      </c>
      <c r="DI257" s="10">
        <f t="shared" si="228"/>
        <v>-2.6234879032257931E-3</v>
      </c>
      <c r="DJ257" s="10">
        <f t="shared" si="229"/>
        <v>4.0372983870964256E-4</v>
      </c>
      <c r="DK257" s="10">
        <f t="shared" si="230"/>
        <v>-9.7227822580653854E-4</v>
      </c>
      <c r="DL257" s="10">
        <f t="shared" si="231"/>
        <v>-4.0912298387096651E-3</v>
      </c>
      <c r="DM257" s="10">
        <f t="shared" si="232"/>
        <v>-7.622983870967809E-3</v>
      </c>
      <c r="DN257" s="10">
        <f t="shared" si="233"/>
        <v>-8.8054435483868451E-4</v>
      </c>
      <c r="DO257" s="10">
        <f t="shared" si="234"/>
        <v>-3.5866935483871197E-3</v>
      </c>
      <c r="DP257" s="10">
        <f t="shared" si="235"/>
        <v>5.8719758064518766E-4</v>
      </c>
      <c r="DQ257" s="10">
        <f t="shared" si="236"/>
        <v>-3.7242943548387378E-3</v>
      </c>
      <c r="DR257" s="10">
        <f t="shared" si="237"/>
        <v>-1.9813508064516292E-3</v>
      </c>
      <c r="DS257" s="10">
        <f t="shared" si="238"/>
        <v>-1.1108870967742025E-2</v>
      </c>
      <c r="DT257" s="10">
        <f t="shared" si="239"/>
        <v>-3.5866935483871197E-3</v>
      </c>
      <c r="DU257" s="10">
        <f t="shared" si="240"/>
        <v>-9.2641129032261158E-4</v>
      </c>
      <c r="DV257" s="10">
        <f t="shared" si="241"/>
        <v>-5.3296370967742283E-3</v>
      </c>
      <c r="DW257" s="10">
        <f t="shared" si="242"/>
        <v>-5.2837701612903016E-3</v>
      </c>
    </row>
    <row r="258" spans="2:127" x14ac:dyDescent="0.45">
      <c r="B258" s="1">
        <v>24</v>
      </c>
      <c r="C258" s="1">
        <v>3735</v>
      </c>
      <c r="D258" s="7">
        <f t="shared" si="243"/>
        <v>21.890109890109891</v>
      </c>
      <c r="E258" s="1">
        <v>21.792000000000002</v>
      </c>
      <c r="F258" s="1">
        <v>21.859000000000002</v>
      </c>
      <c r="G258" s="1">
        <v>21.890999999999998</v>
      </c>
      <c r="H258" s="1">
        <v>21.754999999999999</v>
      </c>
      <c r="I258" s="1">
        <v>21.864999999999998</v>
      </c>
      <c r="J258" s="1">
        <v>21.844000000000001</v>
      </c>
      <c r="K258" s="1">
        <v>21.994</v>
      </c>
      <c r="L258" s="1">
        <v>21.734999999999999</v>
      </c>
      <c r="M258" s="1">
        <v>21.937000000000001</v>
      </c>
      <c r="N258" s="1">
        <v>21.934999999999999</v>
      </c>
      <c r="O258" s="1">
        <v>21.863</v>
      </c>
      <c r="P258" s="1">
        <v>21.812000000000001</v>
      </c>
      <c r="Q258" s="1">
        <v>21.878</v>
      </c>
      <c r="R258" s="1">
        <v>21.853000000000002</v>
      </c>
      <c r="S258" s="1">
        <v>21.858000000000001</v>
      </c>
      <c r="T258" s="1">
        <v>21.92</v>
      </c>
      <c r="U258" s="1">
        <v>21.873999999999999</v>
      </c>
      <c r="V258" s="1">
        <v>21.824999999999999</v>
      </c>
      <c r="W258" s="1">
        <v>21.873000000000001</v>
      </c>
      <c r="X258" s="1">
        <v>21.734999999999999</v>
      </c>
      <c r="Y258" s="1">
        <v>21.858000000000001</v>
      </c>
      <c r="Z258" s="1">
        <v>21.783000000000001</v>
      </c>
      <c r="AA258" s="1">
        <v>21.891999999999999</v>
      </c>
      <c r="AB258" s="1">
        <v>21.786000000000001</v>
      </c>
      <c r="AC258" s="1">
        <v>21.866</v>
      </c>
      <c r="AD258" s="1">
        <v>21.896000000000001</v>
      </c>
      <c r="AE258" s="1">
        <v>21.832000000000001</v>
      </c>
      <c r="AF258" s="1">
        <v>21.911000000000001</v>
      </c>
      <c r="AG258" s="1">
        <v>21.855</v>
      </c>
      <c r="AH258" s="1">
        <v>21.928999999999998</v>
      </c>
      <c r="AI258" s="1">
        <v>21.905999999999999</v>
      </c>
      <c r="AJ258" s="1">
        <v>21.651</v>
      </c>
      <c r="AK258" s="1">
        <v>21.75</v>
      </c>
      <c r="AL258" s="1">
        <v>21.812000000000001</v>
      </c>
      <c r="AM258" s="1">
        <v>21.882000000000001</v>
      </c>
      <c r="AN258" s="1">
        <v>21.914000000000001</v>
      </c>
      <c r="AO258" s="1">
        <v>21.899000000000001</v>
      </c>
      <c r="AP258" s="1">
        <v>21.873000000000001</v>
      </c>
      <c r="AQ258" s="1">
        <v>21.77</v>
      </c>
      <c r="AR258" s="1">
        <v>21.887</v>
      </c>
      <c r="AS258" s="1">
        <v>21.786000000000001</v>
      </c>
      <c r="AT258" s="1">
        <v>21.878</v>
      </c>
      <c r="AU258" s="1">
        <v>21.933</v>
      </c>
      <c r="AV258" s="1">
        <v>21.67</v>
      </c>
      <c r="AW258" s="1">
        <v>21.881</v>
      </c>
      <c r="AX258" s="1">
        <v>21.83</v>
      </c>
      <c r="AY258" s="1">
        <v>21.9</v>
      </c>
      <c r="AZ258" s="1">
        <v>21.867999999999999</v>
      </c>
      <c r="BA258" s="1">
        <v>21.8</v>
      </c>
      <c r="BB258" s="1">
        <v>21.72</v>
      </c>
      <c r="BC258" s="1">
        <v>21.872</v>
      </c>
      <c r="BD258" s="1">
        <v>21.812000000000001</v>
      </c>
      <c r="BE258" s="1">
        <v>21.901</v>
      </c>
      <c r="BF258" s="1">
        <v>21.811</v>
      </c>
      <c r="BG258" s="1">
        <v>21.847000000000001</v>
      </c>
      <c r="BH258" s="1">
        <v>21.645</v>
      </c>
      <c r="BI258" s="1">
        <v>21.809000000000001</v>
      </c>
      <c r="BJ258" s="1">
        <v>21.869</v>
      </c>
      <c r="BK258" s="1">
        <v>21.763999999999999</v>
      </c>
      <c r="BL258" s="1">
        <v>21.774999999999999</v>
      </c>
      <c r="BN258" s="9">
        <v>24</v>
      </c>
      <c r="BO258" s="9">
        <v>3735</v>
      </c>
      <c r="BP258" s="10">
        <f t="shared" si="183"/>
        <v>-4.4819277108433184E-3</v>
      </c>
      <c r="BQ258" s="10">
        <f t="shared" si="184"/>
        <v>-1.4211847389557605E-3</v>
      </c>
      <c r="BR258" s="10">
        <f t="shared" si="185"/>
        <v>4.0662650602311301E-5</v>
      </c>
      <c r="BS258" s="10">
        <f t="shared" si="186"/>
        <v>-6.1721887550201431E-3</v>
      </c>
      <c r="BT258" s="10">
        <f t="shared" si="187"/>
        <v>-1.1470883534137439E-3</v>
      </c>
      <c r="BU258" s="10">
        <f t="shared" si="188"/>
        <v>-2.1064257028112084E-3</v>
      </c>
      <c r="BV258" s="10">
        <f t="shared" si="189"/>
        <v>4.7459839357429437E-3</v>
      </c>
      <c r="BW258" s="10">
        <f t="shared" si="190"/>
        <v>-7.0858433734940192E-3</v>
      </c>
      <c r="BX258" s="10">
        <f t="shared" si="191"/>
        <v>2.142068273092405E-3</v>
      </c>
      <c r="BY258" s="10">
        <f t="shared" si="192"/>
        <v>2.0507028112449035E-3</v>
      </c>
      <c r="BZ258" s="10">
        <f t="shared" si="193"/>
        <v>-1.2384538152610829E-3</v>
      </c>
      <c r="CA258" s="10">
        <f t="shared" si="194"/>
        <v>-3.5682730923694422E-3</v>
      </c>
      <c r="CB258" s="10">
        <f t="shared" si="195"/>
        <v>-5.532128514056351E-4</v>
      </c>
      <c r="CC258" s="10">
        <f t="shared" si="196"/>
        <v>-1.6952811244979396E-3</v>
      </c>
      <c r="CD258" s="10">
        <f t="shared" si="197"/>
        <v>-1.4668674698795111E-3</v>
      </c>
      <c r="CE258" s="10">
        <f t="shared" si="198"/>
        <v>1.3654618473896182E-3</v>
      </c>
      <c r="CF258" s="10">
        <f t="shared" si="199"/>
        <v>-7.3594377510047531E-4</v>
      </c>
      <c r="CG258" s="10">
        <f t="shared" si="200"/>
        <v>-2.974397590361496E-3</v>
      </c>
      <c r="CH258" s="10">
        <f t="shared" si="201"/>
        <v>-7.8162650602406358E-4</v>
      </c>
      <c r="CI258" s="10">
        <f t="shared" si="202"/>
        <v>-7.0858433734940192E-3</v>
      </c>
      <c r="CJ258" s="10">
        <f t="shared" si="203"/>
        <v>-1.4668674698795111E-3</v>
      </c>
      <c r="CK258" s="10">
        <f t="shared" si="204"/>
        <v>-4.8930722891565867E-3</v>
      </c>
      <c r="CL258" s="10">
        <f t="shared" si="205"/>
        <v>8.6345381526061911E-5</v>
      </c>
      <c r="CM258" s="10">
        <f t="shared" si="206"/>
        <v>-4.7560240963854979E-3</v>
      </c>
      <c r="CN258" s="10">
        <f t="shared" si="207"/>
        <v>-1.1014056224899933E-3</v>
      </c>
      <c r="CO258" s="10">
        <f t="shared" si="208"/>
        <v>2.6907630522090203E-4</v>
      </c>
      <c r="CP258" s="10">
        <f t="shared" si="209"/>
        <v>-2.6546184738955665E-3</v>
      </c>
      <c r="CQ258" s="10">
        <f t="shared" si="210"/>
        <v>9.5431726907634973E-4</v>
      </c>
      <c r="CR258" s="10">
        <f t="shared" si="211"/>
        <v>-1.6039156626506007E-3</v>
      </c>
      <c r="CS258" s="10">
        <f t="shared" si="212"/>
        <v>1.7766064257027246E-3</v>
      </c>
      <c r="CT258" s="10">
        <f t="shared" si="213"/>
        <v>7.2590361445775894E-4</v>
      </c>
      <c r="CU258" s="10">
        <f t="shared" si="214"/>
        <v>-1.0923192771084365E-2</v>
      </c>
      <c r="CV258" s="10">
        <f t="shared" si="215"/>
        <v>-6.4006024096385722E-3</v>
      </c>
      <c r="CW258" s="10">
        <f t="shared" si="216"/>
        <v>-3.5682730923694422E-3</v>
      </c>
      <c r="CX258" s="10">
        <f t="shared" si="217"/>
        <v>-3.7048192771079499E-4</v>
      </c>
      <c r="CY258" s="10">
        <f t="shared" si="218"/>
        <v>1.0913654618474392E-3</v>
      </c>
      <c r="CZ258" s="10">
        <f t="shared" si="219"/>
        <v>4.0612449799199156E-4</v>
      </c>
      <c r="DA258" s="10">
        <f t="shared" si="220"/>
        <v>-7.8162650602406358E-4</v>
      </c>
      <c r="DB258" s="10">
        <f t="shared" si="221"/>
        <v>-5.4869477911646961E-3</v>
      </c>
      <c r="DC258" s="10">
        <f t="shared" si="222"/>
        <v>-1.4206827309236653E-4</v>
      </c>
      <c r="DD258" s="10">
        <f t="shared" si="223"/>
        <v>-4.7560240963854979E-3</v>
      </c>
      <c r="DE258" s="10">
        <f t="shared" si="224"/>
        <v>-5.532128514056351E-4</v>
      </c>
      <c r="DF258" s="10">
        <f t="shared" si="225"/>
        <v>1.9593373493975645E-3</v>
      </c>
      <c r="DG258" s="10">
        <f t="shared" si="226"/>
        <v>-1.0055220883534076E-2</v>
      </c>
      <c r="DH258" s="10">
        <f t="shared" si="227"/>
        <v>-4.1616465863454557E-4</v>
      </c>
      <c r="DI258" s="10">
        <f t="shared" si="228"/>
        <v>-2.7459839357430677E-3</v>
      </c>
      <c r="DJ258" s="10">
        <f t="shared" si="229"/>
        <v>4.5180722891557988E-4</v>
      </c>
      <c r="DK258" s="10">
        <f t="shared" si="230"/>
        <v>-1.0100401606426544E-3</v>
      </c>
      <c r="DL258" s="10">
        <f t="shared" si="231"/>
        <v>-4.1164658634538004E-3</v>
      </c>
      <c r="DM258" s="10">
        <f t="shared" si="232"/>
        <v>-7.7710843373494671E-3</v>
      </c>
      <c r="DN258" s="10">
        <f t="shared" si="233"/>
        <v>-8.2730923694781416E-4</v>
      </c>
      <c r="DO258" s="10">
        <f t="shared" si="234"/>
        <v>-3.5682730923694422E-3</v>
      </c>
      <c r="DP258" s="10">
        <f t="shared" si="235"/>
        <v>4.9748995983933046E-4</v>
      </c>
      <c r="DQ258" s="10">
        <f t="shared" si="236"/>
        <v>-3.613955823293193E-3</v>
      </c>
      <c r="DR258" s="10">
        <f t="shared" si="237"/>
        <v>-1.9693775100401187E-3</v>
      </c>
      <c r="DS258" s="10">
        <f t="shared" si="238"/>
        <v>-1.1197289156626542E-2</v>
      </c>
      <c r="DT258" s="10">
        <f t="shared" si="239"/>
        <v>-3.705321285140532E-3</v>
      </c>
      <c r="DU258" s="10">
        <f t="shared" si="240"/>
        <v>-9.6435742971890369E-4</v>
      </c>
      <c r="DV258" s="10">
        <f t="shared" si="241"/>
        <v>-5.7610441767068747E-3</v>
      </c>
      <c r="DW258" s="10">
        <f t="shared" si="242"/>
        <v>-5.2585341365462678E-3</v>
      </c>
    </row>
    <row r="259" spans="2:127" x14ac:dyDescent="0.45">
      <c r="B259" s="1">
        <v>24</v>
      </c>
      <c r="C259" s="1">
        <v>3750</v>
      </c>
      <c r="D259" s="7">
        <f t="shared" si="243"/>
        <v>21.978021978021978</v>
      </c>
      <c r="E259" s="1">
        <v>21.878</v>
      </c>
      <c r="F259" s="1">
        <v>21.946000000000002</v>
      </c>
      <c r="G259" s="1">
        <v>21.98</v>
      </c>
      <c r="H259" s="1">
        <v>21.841999999999999</v>
      </c>
      <c r="I259" s="1">
        <v>21.952999999999999</v>
      </c>
      <c r="J259" s="1">
        <v>21.933</v>
      </c>
      <c r="K259" s="1">
        <v>22.082000000000001</v>
      </c>
      <c r="L259" s="1">
        <v>21.82</v>
      </c>
      <c r="M259" s="1">
        <v>22.024000000000001</v>
      </c>
      <c r="N259" s="1">
        <v>22.021000000000001</v>
      </c>
      <c r="O259" s="1">
        <v>21.952000000000002</v>
      </c>
      <c r="P259" s="1">
        <v>21.899000000000001</v>
      </c>
      <c r="Q259" s="1">
        <v>21.963999999999999</v>
      </c>
      <c r="R259" s="1">
        <v>21.940999999999999</v>
      </c>
      <c r="S259" s="1">
        <v>21.946000000000002</v>
      </c>
      <c r="T259" s="1">
        <v>22.007000000000001</v>
      </c>
      <c r="U259" s="1">
        <v>21.962</v>
      </c>
      <c r="V259" s="1">
        <v>21.914000000000001</v>
      </c>
      <c r="W259" s="1">
        <v>21.960999999999999</v>
      </c>
      <c r="X259" s="1">
        <v>21.817</v>
      </c>
      <c r="Y259" s="1">
        <v>21.948</v>
      </c>
      <c r="Z259" s="1">
        <v>21.87</v>
      </c>
      <c r="AA259" s="1">
        <v>21.978999999999999</v>
      </c>
      <c r="AB259" s="1">
        <v>21.873000000000001</v>
      </c>
      <c r="AC259" s="1">
        <v>21.954000000000001</v>
      </c>
      <c r="AD259" s="1">
        <v>21.984000000000002</v>
      </c>
      <c r="AE259" s="1">
        <v>21.919</v>
      </c>
      <c r="AF259" s="1">
        <v>21.998999999999999</v>
      </c>
      <c r="AG259" s="1">
        <v>21.942</v>
      </c>
      <c r="AH259" s="1">
        <v>22.016999999999999</v>
      </c>
      <c r="AI259" s="1">
        <v>21.991</v>
      </c>
      <c r="AJ259" s="1">
        <v>21.734999999999999</v>
      </c>
      <c r="AK259" s="1">
        <v>21.835000000000001</v>
      </c>
      <c r="AL259" s="1">
        <v>21.9</v>
      </c>
      <c r="AM259" s="1">
        <v>21.968</v>
      </c>
      <c r="AN259" s="1">
        <v>21.998000000000001</v>
      </c>
      <c r="AO259" s="1">
        <v>21.983000000000001</v>
      </c>
      <c r="AP259" s="1">
        <v>21.96</v>
      </c>
      <c r="AQ259" s="1">
        <v>21.856999999999999</v>
      </c>
      <c r="AR259" s="1">
        <v>21.972000000000001</v>
      </c>
      <c r="AS259" s="1">
        <v>21.872</v>
      </c>
      <c r="AT259" s="1">
        <v>21.966999999999999</v>
      </c>
      <c r="AU259" s="1">
        <v>22.018999999999998</v>
      </c>
      <c r="AV259" s="1">
        <v>21.756</v>
      </c>
      <c r="AW259" s="1">
        <v>21.966999999999999</v>
      </c>
      <c r="AX259" s="1">
        <v>21.917999999999999</v>
      </c>
      <c r="AY259" s="1">
        <v>21.986999999999998</v>
      </c>
      <c r="AZ259" s="1">
        <v>21.956</v>
      </c>
      <c r="BA259" s="1">
        <v>21.887</v>
      </c>
      <c r="BB259" s="1">
        <v>21.803999999999998</v>
      </c>
      <c r="BC259" s="1">
        <v>21.957000000000001</v>
      </c>
      <c r="BD259" s="1">
        <v>21.9</v>
      </c>
      <c r="BE259" s="1">
        <v>21.988</v>
      </c>
      <c r="BF259" s="1">
        <v>21.9</v>
      </c>
      <c r="BG259" s="1">
        <v>21.937999999999999</v>
      </c>
      <c r="BH259" s="1">
        <v>21.739000000000001</v>
      </c>
      <c r="BI259" s="1">
        <v>21.896999999999998</v>
      </c>
      <c r="BJ259" s="1">
        <v>21.957000000000001</v>
      </c>
      <c r="BK259" s="1">
        <v>21.853000000000002</v>
      </c>
      <c r="BL259" s="1">
        <v>21.863</v>
      </c>
      <c r="BN259" s="9">
        <v>24</v>
      </c>
      <c r="BO259" s="9">
        <v>3750</v>
      </c>
      <c r="BP259" s="10">
        <f t="shared" si="183"/>
        <v>-4.5509999999999986E-3</v>
      </c>
      <c r="BQ259" s="10">
        <f t="shared" si="184"/>
        <v>-1.4569999999999349E-3</v>
      </c>
      <c r="BR259" s="10">
        <f t="shared" si="185"/>
        <v>9.0000000000015849E-5</v>
      </c>
      <c r="BS259" s="10">
        <f t="shared" si="186"/>
        <v>-6.1890000000000608E-3</v>
      </c>
      <c r="BT259" s="10">
        <f t="shared" si="187"/>
        <v>-1.1385000000000308E-3</v>
      </c>
      <c r="BU259" s="10">
        <f t="shared" si="188"/>
        <v>-2.0485000000000112E-3</v>
      </c>
      <c r="BV259" s="10">
        <f t="shared" si="189"/>
        <v>4.7310000000000303E-3</v>
      </c>
      <c r="BW259" s="10">
        <f t="shared" si="190"/>
        <v>-7.1899999999999907E-3</v>
      </c>
      <c r="BX259" s="10">
        <f t="shared" si="191"/>
        <v>2.0920000000000378E-3</v>
      </c>
      <c r="BY259" s="10">
        <f t="shared" si="192"/>
        <v>1.9555000000000327E-3</v>
      </c>
      <c r="BZ259" s="10">
        <f t="shared" si="193"/>
        <v>-1.1839999999999247E-3</v>
      </c>
      <c r="CA259" s="10">
        <f t="shared" si="194"/>
        <v>-3.595499999999962E-3</v>
      </c>
      <c r="CB259" s="10">
        <f t="shared" si="195"/>
        <v>-6.380000000000656E-4</v>
      </c>
      <c r="CC259" s="10">
        <f t="shared" si="196"/>
        <v>-1.6845000000000514E-3</v>
      </c>
      <c r="CD259" s="10">
        <f t="shared" si="197"/>
        <v>-1.4569999999999349E-3</v>
      </c>
      <c r="CE259" s="10">
        <f t="shared" si="198"/>
        <v>1.3185000000000625E-3</v>
      </c>
      <c r="CF259" s="10">
        <f t="shared" si="199"/>
        <v>-7.2900000000001523E-4</v>
      </c>
      <c r="CG259" s="10">
        <f t="shared" si="200"/>
        <v>-2.9129999999999365E-3</v>
      </c>
      <c r="CH259" s="10">
        <f t="shared" si="201"/>
        <v>-7.7450000000007081E-4</v>
      </c>
      <c r="CI259" s="10">
        <f t="shared" si="202"/>
        <v>-7.3264999999999953E-3</v>
      </c>
      <c r="CJ259" s="10">
        <f t="shared" si="203"/>
        <v>-1.3659999999999855E-3</v>
      </c>
      <c r="CK259" s="10">
        <f t="shared" si="204"/>
        <v>-4.9149999999999585E-3</v>
      </c>
      <c r="CL259" s="10">
        <f t="shared" si="205"/>
        <v>4.4499999999960241E-5</v>
      </c>
      <c r="CM259" s="10">
        <f t="shared" si="206"/>
        <v>-4.7784999999999529E-3</v>
      </c>
      <c r="CN259" s="10">
        <f t="shared" si="207"/>
        <v>-1.0929999999999751E-3</v>
      </c>
      <c r="CO259" s="10">
        <f t="shared" si="208"/>
        <v>2.7200000000007665E-4</v>
      </c>
      <c r="CP259" s="10">
        <f t="shared" si="209"/>
        <v>-2.6854999999999817E-3</v>
      </c>
      <c r="CQ259" s="10">
        <f t="shared" si="210"/>
        <v>9.5449999999994086E-4</v>
      </c>
      <c r="CR259" s="10">
        <f t="shared" si="211"/>
        <v>-1.6389999999999957E-3</v>
      </c>
      <c r="CS259" s="10">
        <f t="shared" si="212"/>
        <v>1.7734999999999719E-3</v>
      </c>
      <c r="CT259" s="10">
        <f t="shared" si="213"/>
        <v>5.9049999999998091E-4</v>
      </c>
      <c r="CU259" s="10">
        <f t="shared" si="214"/>
        <v>-1.1057500000000029E-2</v>
      </c>
      <c r="CV259" s="10">
        <f t="shared" si="215"/>
        <v>-6.5074999999999647E-3</v>
      </c>
      <c r="CW259" s="10">
        <f t="shared" si="216"/>
        <v>-3.5500000000000683E-3</v>
      </c>
      <c r="CX259" s="10">
        <f t="shared" si="217"/>
        <v>-4.5600000000000485E-4</v>
      </c>
      <c r="CY259" s="10">
        <f t="shared" si="218"/>
        <v>9.0900000000004692E-4</v>
      </c>
      <c r="CZ259" s="10">
        <f t="shared" si="219"/>
        <v>2.2650000000002101E-4</v>
      </c>
      <c r="DA259" s="10">
        <f t="shared" si="220"/>
        <v>-8.1999999999996475E-4</v>
      </c>
      <c r="DB259" s="10">
        <f t="shared" si="221"/>
        <v>-5.5065000000000348E-3</v>
      </c>
      <c r="DC259" s="10">
        <f t="shared" si="222"/>
        <v>-2.7399999999994405E-4</v>
      </c>
      <c r="DD259" s="10">
        <f t="shared" si="223"/>
        <v>-4.8240000000000088E-3</v>
      </c>
      <c r="DE259" s="10">
        <f t="shared" si="224"/>
        <v>-5.0150000000006049E-4</v>
      </c>
      <c r="DF259" s="10">
        <f t="shared" si="225"/>
        <v>1.8644999999999213E-3</v>
      </c>
      <c r="DG259" s="10">
        <f t="shared" si="226"/>
        <v>-1.0101999999999993E-2</v>
      </c>
      <c r="DH259" s="10">
        <f t="shared" si="227"/>
        <v>-5.0150000000006049E-4</v>
      </c>
      <c r="DI259" s="10">
        <f t="shared" si="228"/>
        <v>-2.7310000000000372E-3</v>
      </c>
      <c r="DJ259" s="10">
        <f t="shared" si="229"/>
        <v>4.0849999999992016E-4</v>
      </c>
      <c r="DK259" s="10">
        <f t="shared" si="230"/>
        <v>-1.0020000000000254E-3</v>
      </c>
      <c r="DL259" s="10">
        <f t="shared" si="231"/>
        <v>-4.1414999999999829E-3</v>
      </c>
      <c r="DM259" s="10">
        <f t="shared" si="232"/>
        <v>-7.9180000000000725E-3</v>
      </c>
      <c r="DN259" s="10">
        <f t="shared" si="233"/>
        <v>-9.5649999999996996E-4</v>
      </c>
      <c r="DO259" s="10">
        <f t="shared" si="234"/>
        <v>-3.5500000000000683E-3</v>
      </c>
      <c r="DP259" s="10">
        <f t="shared" si="235"/>
        <v>4.5399999999997574E-4</v>
      </c>
      <c r="DQ259" s="10">
        <f t="shared" si="236"/>
        <v>-3.5500000000000683E-3</v>
      </c>
      <c r="DR259" s="10">
        <f t="shared" si="237"/>
        <v>-1.8210000000000565E-3</v>
      </c>
      <c r="DS259" s="10">
        <f t="shared" si="238"/>
        <v>-1.0875499999999969E-2</v>
      </c>
      <c r="DT259" s="10">
        <f t="shared" si="239"/>
        <v>-3.6865000000000734E-3</v>
      </c>
      <c r="DU259" s="10">
        <f t="shared" si="240"/>
        <v>-9.5649999999996996E-4</v>
      </c>
      <c r="DV259" s="10">
        <f t="shared" si="241"/>
        <v>-5.6884999999999341E-3</v>
      </c>
      <c r="DW259" s="10">
        <f t="shared" si="242"/>
        <v>-5.2335000000000246E-3</v>
      </c>
    </row>
    <row r="260" spans="2:127" x14ac:dyDescent="0.45">
      <c r="B260" s="1">
        <v>24</v>
      </c>
      <c r="C260" s="1">
        <v>3765</v>
      </c>
      <c r="D260" s="7">
        <f t="shared" si="243"/>
        <v>22.065934065934066</v>
      </c>
      <c r="E260" s="1">
        <v>21.963999999999999</v>
      </c>
      <c r="F260" s="1">
        <v>22.033999999999999</v>
      </c>
      <c r="G260" s="1">
        <v>22.065999999999999</v>
      </c>
      <c r="H260" s="1">
        <v>21.927</v>
      </c>
      <c r="I260" s="1">
        <v>22.042999999999999</v>
      </c>
      <c r="J260" s="1">
        <v>22.021000000000001</v>
      </c>
      <c r="K260" s="1">
        <v>22.169</v>
      </c>
      <c r="L260" s="1">
        <v>21.908000000000001</v>
      </c>
      <c r="M260" s="1">
        <v>22.114000000000001</v>
      </c>
      <c r="N260" s="1">
        <v>22.108000000000001</v>
      </c>
      <c r="O260" s="1">
        <v>22.038</v>
      </c>
      <c r="P260" s="1">
        <v>21.986999999999998</v>
      </c>
      <c r="Q260" s="1">
        <v>22.052</v>
      </c>
      <c r="R260" s="1">
        <v>22.029</v>
      </c>
      <c r="S260" s="1">
        <v>22.033999999999999</v>
      </c>
      <c r="T260" s="1">
        <v>22.094000000000001</v>
      </c>
      <c r="U260" s="1">
        <v>22.050999999999998</v>
      </c>
      <c r="V260" s="1">
        <v>22</v>
      </c>
      <c r="W260" s="1">
        <v>22.050999999999998</v>
      </c>
      <c r="X260" s="1">
        <v>21.908000000000001</v>
      </c>
      <c r="Y260" s="1">
        <v>22.033999999999999</v>
      </c>
      <c r="Z260" s="1">
        <v>21.957999999999998</v>
      </c>
      <c r="AA260" s="1">
        <v>22.068000000000001</v>
      </c>
      <c r="AB260" s="1">
        <v>21.96</v>
      </c>
      <c r="AC260" s="1">
        <v>22.042999999999999</v>
      </c>
      <c r="AD260" s="1">
        <v>22.071000000000002</v>
      </c>
      <c r="AE260" s="1">
        <v>22.006</v>
      </c>
      <c r="AF260" s="1">
        <v>22.085999999999999</v>
      </c>
      <c r="AG260" s="1">
        <v>22.029</v>
      </c>
      <c r="AH260" s="1">
        <v>22.105</v>
      </c>
      <c r="AI260" s="1">
        <v>22.077999999999999</v>
      </c>
      <c r="AJ260" s="1">
        <v>21.821000000000002</v>
      </c>
      <c r="AK260" s="1">
        <v>21.922000000000001</v>
      </c>
      <c r="AL260" s="1">
        <v>21.986999999999998</v>
      </c>
      <c r="AM260" s="1">
        <v>22.056999999999999</v>
      </c>
      <c r="AN260" s="1">
        <v>22.085999999999999</v>
      </c>
      <c r="AO260" s="1">
        <v>22.071000000000002</v>
      </c>
      <c r="AP260" s="1">
        <v>22.047999999999998</v>
      </c>
      <c r="AQ260" s="1">
        <v>21.945</v>
      </c>
      <c r="AR260" s="1">
        <v>22.056000000000001</v>
      </c>
      <c r="AS260" s="1">
        <v>21.957999999999998</v>
      </c>
      <c r="AT260" s="1">
        <v>22.052</v>
      </c>
      <c r="AU260" s="1">
        <v>22.106000000000002</v>
      </c>
      <c r="AV260" s="1">
        <v>21.838999999999999</v>
      </c>
      <c r="AW260" s="1">
        <v>22.053000000000001</v>
      </c>
      <c r="AX260" s="1">
        <v>22.004999999999999</v>
      </c>
      <c r="AY260" s="1">
        <v>22.076000000000001</v>
      </c>
      <c r="AZ260" s="1">
        <v>22.042999999999999</v>
      </c>
      <c r="BA260" s="1">
        <v>21.972999999999999</v>
      </c>
      <c r="BB260" s="1">
        <v>21.895</v>
      </c>
      <c r="BC260" s="1">
        <v>22.044</v>
      </c>
      <c r="BD260" s="1">
        <v>21.99</v>
      </c>
      <c r="BE260" s="1">
        <v>22.076000000000001</v>
      </c>
      <c r="BF260" s="1">
        <v>21.986999999999998</v>
      </c>
      <c r="BG260" s="1">
        <v>22.026</v>
      </c>
      <c r="BH260" s="1">
        <v>21.82</v>
      </c>
      <c r="BI260" s="1">
        <v>21.983000000000001</v>
      </c>
      <c r="BJ260" s="1">
        <v>22.045000000000002</v>
      </c>
      <c r="BK260" s="1">
        <v>21.934000000000001</v>
      </c>
      <c r="BL260" s="1">
        <v>21.949000000000002</v>
      </c>
      <c r="BN260" s="9">
        <v>24</v>
      </c>
      <c r="BO260" s="9">
        <v>3765</v>
      </c>
      <c r="BP260" s="10">
        <f t="shared" si="183"/>
        <v>-4.6195219123506487E-3</v>
      </c>
      <c r="BQ260" s="10">
        <f t="shared" si="184"/>
        <v>-1.4472111553785244E-3</v>
      </c>
      <c r="BR260" s="10">
        <f t="shared" si="185"/>
        <v>2.9880478087278988E-6</v>
      </c>
      <c r="BS260" s="10">
        <f t="shared" si="186"/>
        <v>-6.2963147410358637E-3</v>
      </c>
      <c r="BT260" s="10">
        <f t="shared" si="187"/>
        <v>-1.0393426294820947E-3</v>
      </c>
      <c r="BU260" s="10">
        <f t="shared" si="188"/>
        <v>-2.0363545816732601E-3</v>
      </c>
      <c r="BV260" s="10">
        <f t="shared" si="189"/>
        <v>4.6708167330677614E-3</v>
      </c>
      <c r="BW260" s="10">
        <f t="shared" si="190"/>
        <v>-7.15737051792822E-3</v>
      </c>
      <c r="BX260" s="10">
        <f t="shared" si="191"/>
        <v>2.178286852589687E-3</v>
      </c>
      <c r="BY260" s="10">
        <f t="shared" si="192"/>
        <v>1.906374501992067E-3</v>
      </c>
      <c r="BZ260" s="10">
        <f t="shared" si="193"/>
        <v>-1.2659362549800575E-3</v>
      </c>
      <c r="CA260" s="10">
        <f t="shared" si="194"/>
        <v>-3.5771912350598262E-3</v>
      </c>
      <c r="CB260" s="10">
        <f t="shared" si="195"/>
        <v>-6.3147410358566482E-4</v>
      </c>
      <c r="CC260" s="10">
        <f t="shared" si="196"/>
        <v>-1.6738047808764873E-3</v>
      </c>
      <c r="CD260" s="10">
        <f t="shared" si="197"/>
        <v>-1.4472111553785244E-3</v>
      </c>
      <c r="CE260" s="10">
        <f t="shared" si="198"/>
        <v>1.2719123505976742E-3</v>
      </c>
      <c r="CF260" s="10">
        <f t="shared" si="199"/>
        <v>-6.7679282868532181E-4</v>
      </c>
      <c r="CG260" s="10">
        <f t="shared" si="200"/>
        <v>-2.9880478087649298E-3</v>
      </c>
      <c r="CH260" s="10">
        <f t="shared" si="201"/>
        <v>-6.7679282868532181E-4</v>
      </c>
      <c r="CI260" s="10">
        <f t="shared" si="202"/>
        <v>-7.15737051792822E-3</v>
      </c>
      <c r="CJ260" s="10">
        <f t="shared" si="203"/>
        <v>-1.4472111553785244E-3</v>
      </c>
      <c r="CK260" s="10">
        <f t="shared" si="204"/>
        <v>-4.8914342629482691E-3</v>
      </c>
      <c r="CL260" s="10">
        <f t="shared" si="205"/>
        <v>9.3625498008041854E-5</v>
      </c>
      <c r="CM260" s="10">
        <f t="shared" si="206"/>
        <v>-4.8007968127489545E-3</v>
      </c>
      <c r="CN260" s="10">
        <f t="shared" si="207"/>
        <v>-1.0393426294820947E-3</v>
      </c>
      <c r="CO260" s="10">
        <f t="shared" si="208"/>
        <v>2.2958167330685178E-4</v>
      </c>
      <c r="CP260" s="10">
        <f t="shared" si="209"/>
        <v>-2.7161354581673098E-3</v>
      </c>
      <c r="CQ260" s="10">
        <f t="shared" si="210"/>
        <v>9.0936254980074046E-4</v>
      </c>
      <c r="CR260" s="10">
        <f t="shared" si="211"/>
        <v>-1.6738047808764873E-3</v>
      </c>
      <c r="CS260" s="10">
        <f t="shared" si="212"/>
        <v>1.770418326693257E-3</v>
      </c>
      <c r="CT260" s="10">
        <f t="shared" si="213"/>
        <v>5.4681274900396761E-4</v>
      </c>
      <c r="CU260" s="10">
        <f t="shared" si="214"/>
        <v>-1.1100099601593546E-2</v>
      </c>
      <c r="CV260" s="10">
        <f t="shared" si="215"/>
        <v>-6.5229083665338267E-3</v>
      </c>
      <c r="CW260" s="10">
        <f t="shared" si="216"/>
        <v>-3.5771912350598262E-3</v>
      </c>
      <c r="CX260" s="10">
        <f t="shared" si="217"/>
        <v>-4.048804780877019E-4</v>
      </c>
      <c r="CY260" s="10">
        <f t="shared" si="218"/>
        <v>9.0936254980074046E-4</v>
      </c>
      <c r="CZ260" s="10">
        <f t="shared" si="219"/>
        <v>2.2958167330685178E-4</v>
      </c>
      <c r="DA260" s="10">
        <f t="shared" si="220"/>
        <v>-8.1274900398413169E-4</v>
      </c>
      <c r="DB260" s="10">
        <f t="shared" si="221"/>
        <v>-5.4805776892430042E-3</v>
      </c>
      <c r="DC260" s="10">
        <f t="shared" si="222"/>
        <v>-4.5019920318719789E-4</v>
      </c>
      <c r="DD260" s="10">
        <f t="shared" si="223"/>
        <v>-4.8914342629482691E-3</v>
      </c>
      <c r="DE260" s="10">
        <f t="shared" si="224"/>
        <v>-6.3147410358566482E-4</v>
      </c>
      <c r="DF260" s="10">
        <f t="shared" si="225"/>
        <v>1.8157370517929139E-3</v>
      </c>
      <c r="DG260" s="10">
        <f t="shared" si="226"/>
        <v>-1.0284362549800849E-2</v>
      </c>
      <c r="DH260" s="10">
        <f t="shared" si="227"/>
        <v>-5.8615537848600782E-4</v>
      </c>
      <c r="DI260" s="10">
        <f t="shared" si="228"/>
        <v>-2.7614541832669667E-3</v>
      </c>
      <c r="DJ260" s="10">
        <f t="shared" si="229"/>
        <v>4.5617529880481467E-4</v>
      </c>
      <c r="DK260" s="10">
        <f t="shared" si="230"/>
        <v>-1.0393426294820947E-3</v>
      </c>
      <c r="DL260" s="10">
        <f t="shared" si="231"/>
        <v>-4.2116533864542194E-3</v>
      </c>
      <c r="DM260" s="10">
        <f t="shared" si="232"/>
        <v>-7.7465139442231164E-3</v>
      </c>
      <c r="DN260" s="10">
        <f t="shared" si="233"/>
        <v>-9.9402390438243756E-4</v>
      </c>
      <c r="DO260" s="10">
        <f t="shared" si="234"/>
        <v>-3.4412350597610164E-3</v>
      </c>
      <c r="DP260" s="10">
        <f t="shared" si="235"/>
        <v>4.5617529880481467E-4</v>
      </c>
      <c r="DQ260" s="10">
        <f t="shared" si="236"/>
        <v>-3.5771912350598262E-3</v>
      </c>
      <c r="DR260" s="10">
        <f t="shared" si="237"/>
        <v>-1.8097609561752972E-3</v>
      </c>
      <c r="DS260" s="10">
        <f t="shared" si="238"/>
        <v>-1.1145418326693204E-2</v>
      </c>
      <c r="DT260" s="10">
        <f t="shared" si="239"/>
        <v>-3.7584661354581324E-3</v>
      </c>
      <c r="DU260" s="10">
        <f t="shared" si="240"/>
        <v>-9.4870517928278067E-4</v>
      </c>
      <c r="DV260" s="10">
        <f t="shared" si="241"/>
        <v>-5.9790836653385868E-3</v>
      </c>
      <c r="DW260" s="10">
        <f t="shared" si="242"/>
        <v>-5.299302788844538E-3</v>
      </c>
    </row>
    <row r="261" spans="2:127" x14ac:dyDescent="0.45">
      <c r="B261" s="1">
        <v>24</v>
      </c>
      <c r="C261" s="1">
        <v>3780</v>
      </c>
      <c r="D261" s="7">
        <f t="shared" si="243"/>
        <v>22.153846153846153</v>
      </c>
      <c r="E261" s="1">
        <v>22.052</v>
      </c>
      <c r="F261" s="1">
        <v>22.120999999999999</v>
      </c>
      <c r="G261" s="1">
        <v>22.154</v>
      </c>
      <c r="H261" s="1">
        <v>22.013999999999999</v>
      </c>
      <c r="I261" s="1">
        <v>22.129000000000001</v>
      </c>
      <c r="J261" s="1">
        <v>22.108000000000001</v>
      </c>
      <c r="K261" s="1">
        <v>22.254999999999999</v>
      </c>
      <c r="L261" s="1">
        <v>21.998000000000001</v>
      </c>
      <c r="M261" s="1">
        <v>22.202999999999999</v>
      </c>
      <c r="N261" s="1">
        <v>22.198</v>
      </c>
      <c r="O261" s="1">
        <v>22.126999999999999</v>
      </c>
      <c r="P261" s="1">
        <v>22.074000000000002</v>
      </c>
      <c r="Q261" s="1">
        <v>22.14</v>
      </c>
      <c r="R261" s="1">
        <v>22.117000000000001</v>
      </c>
      <c r="S261" s="1">
        <v>22.123000000000001</v>
      </c>
      <c r="T261" s="1">
        <v>22.178999999999998</v>
      </c>
      <c r="U261" s="1">
        <v>22.138999999999999</v>
      </c>
      <c r="V261" s="1">
        <v>22.088999999999999</v>
      </c>
      <c r="W261" s="1">
        <v>22.138999999999999</v>
      </c>
      <c r="X261" s="1">
        <v>21.988</v>
      </c>
      <c r="Y261" s="1">
        <v>22.123000000000001</v>
      </c>
      <c r="Z261" s="1">
        <v>22.045000000000002</v>
      </c>
      <c r="AA261" s="1">
        <v>22.155999999999999</v>
      </c>
      <c r="AB261" s="1">
        <v>22.047000000000001</v>
      </c>
      <c r="AC261" s="1">
        <v>22.131</v>
      </c>
      <c r="AD261" s="1">
        <v>22.155999999999999</v>
      </c>
      <c r="AE261" s="1">
        <v>22.093</v>
      </c>
      <c r="AF261" s="1">
        <v>22.172999999999998</v>
      </c>
      <c r="AG261" s="1">
        <v>22.117000000000001</v>
      </c>
      <c r="AH261" s="1">
        <v>22.193000000000001</v>
      </c>
      <c r="AI261" s="1">
        <v>22.164999999999999</v>
      </c>
      <c r="AJ261" s="1">
        <v>21.907</v>
      </c>
      <c r="AK261" s="1">
        <v>22.009</v>
      </c>
      <c r="AL261" s="1">
        <v>22.076000000000001</v>
      </c>
      <c r="AM261" s="1">
        <v>22.143000000000001</v>
      </c>
      <c r="AN261" s="1">
        <v>22.177</v>
      </c>
      <c r="AO261" s="1">
        <v>22.158000000000001</v>
      </c>
      <c r="AP261" s="1">
        <v>22.135999999999999</v>
      </c>
      <c r="AQ261" s="1">
        <v>22.032</v>
      </c>
      <c r="AR261" s="1">
        <v>22.143000000000001</v>
      </c>
      <c r="AS261" s="1">
        <v>22.047000000000001</v>
      </c>
      <c r="AT261" s="1">
        <v>22.141999999999999</v>
      </c>
      <c r="AU261" s="1">
        <v>22.193000000000001</v>
      </c>
      <c r="AV261" s="1">
        <v>21.922000000000001</v>
      </c>
      <c r="AW261" s="1">
        <v>22.143000000000001</v>
      </c>
      <c r="AX261" s="1">
        <v>22.094000000000001</v>
      </c>
      <c r="AY261" s="1">
        <v>22.164999999999999</v>
      </c>
      <c r="AZ261" s="1">
        <v>22.131</v>
      </c>
      <c r="BA261" s="1">
        <v>22.06</v>
      </c>
      <c r="BB261" s="1">
        <v>21.981000000000002</v>
      </c>
      <c r="BC261" s="1">
        <v>22.131</v>
      </c>
      <c r="BD261" s="1">
        <v>22.077999999999999</v>
      </c>
      <c r="BE261" s="1">
        <v>22.164999999999999</v>
      </c>
      <c r="BF261" s="1">
        <v>22.076000000000001</v>
      </c>
      <c r="BG261" s="1">
        <v>22.117999999999999</v>
      </c>
      <c r="BH261" s="1">
        <v>21.905999999999999</v>
      </c>
      <c r="BI261" s="1">
        <v>22.07</v>
      </c>
      <c r="BJ261" s="1">
        <v>22.132999999999999</v>
      </c>
      <c r="BK261" s="1">
        <v>22.021999999999998</v>
      </c>
      <c r="BL261" s="1">
        <v>22.036999999999999</v>
      </c>
      <c r="BN261" s="9">
        <v>24</v>
      </c>
      <c r="BO261" s="9">
        <v>3780</v>
      </c>
      <c r="BP261" s="10">
        <f t="shared" si="183"/>
        <v>-4.5972222222222152E-3</v>
      </c>
      <c r="BQ261" s="10">
        <f t="shared" si="184"/>
        <v>-1.4826388888889246E-3</v>
      </c>
      <c r="BR261" s="10">
        <f t="shared" si="185"/>
        <v>6.9444444444652674E-6</v>
      </c>
      <c r="BS261" s="10">
        <f t="shared" si="186"/>
        <v>-6.3125000000000047E-3</v>
      </c>
      <c r="BT261" s="10">
        <f t="shared" si="187"/>
        <v>-1.1215277777776929E-3</v>
      </c>
      <c r="BU261" s="10">
        <f t="shared" si="188"/>
        <v>-2.0694444444443955E-3</v>
      </c>
      <c r="BV261" s="10">
        <f t="shared" si="189"/>
        <v>4.5659722222222022E-3</v>
      </c>
      <c r="BW261" s="10">
        <f t="shared" si="190"/>
        <v>-7.034722222222148E-3</v>
      </c>
      <c r="BX261" s="10">
        <f t="shared" si="191"/>
        <v>2.2187499999999976E-3</v>
      </c>
      <c r="BY261" s="10">
        <f t="shared" si="192"/>
        <v>1.9930555555555981E-3</v>
      </c>
      <c r="BZ261" s="10">
        <f t="shared" si="193"/>
        <v>-1.211805555555581E-3</v>
      </c>
      <c r="CA261" s="10">
        <f t="shared" si="194"/>
        <v>-3.604166666666569E-3</v>
      </c>
      <c r="CB261" s="10">
        <f t="shared" si="195"/>
        <v>-6.2499999999994971E-4</v>
      </c>
      <c r="CC261" s="10">
        <f t="shared" si="196"/>
        <v>-1.66319444444438E-3</v>
      </c>
      <c r="CD261" s="10">
        <f t="shared" si="197"/>
        <v>-1.3923611111110363E-3</v>
      </c>
      <c r="CE261" s="10">
        <f t="shared" si="198"/>
        <v>1.1354166666666234E-3</v>
      </c>
      <c r="CF261" s="10">
        <f t="shared" si="199"/>
        <v>-6.7013888888889372E-4</v>
      </c>
      <c r="CG261" s="10">
        <f t="shared" si="200"/>
        <v>-2.9270833333333705E-3</v>
      </c>
      <c r="CH261" s="10">
        <f t="shared" si="201"/>
        <v>-6.7013888888889372E-4</v>
      </c>
      <c r="CI261" s="10">
        <f t="shared" si="202"/>
        <v>-7.4861111111111074E-3</v>
      </c>
      <c r="CJ261" s="10">
        <f t="shared" si="203"/>
        <v>-1.3923611111110363E-3</v>
      </c>
      <c r="CK261" s="10">
        <f t="shared" si="204"/>
        <v>-4.9131944444443425E-3</v>
      </c>
      <c r="CL261" s="10">
        <f t="shared" si="205"/>
        <v>9.7222222222193011E-5</v>
      </c>
      <c r="CM261" s="10">
        <f t="shared" si="206"/>
        <v>-4.8229166666666152E-3</v>
      </c>
      <c r="CN261" s="10">
        <f t="shared" si="207"/>
        <v>-1.0312499999999651E-3</v>
      </c>
      <c r="CO261" s="10">
        <f t="shared" si="208"/>
        <v>9.7222222222193011E-5</v>
      </c>
      <c r="CP261" s="10">
        <f t="shared" si="209"/>
        <v>-2.7465277777777544E-3</v>
      </c>
      <c r="CQ261" s="10">
        <f t="shared" si="210"/>
        <v>8.6458333333327975E-4</v>
      </c>
      <c r="CR261" s="10">
        <f t="shared" si="211"/>
        <v>-1.66319444444438E-3</v>
      </c>
      <c r="CS261" s="10">
        <f t="shared" si="212"/>
        <v>1.7673611111111986E-3</v>
      </c>
      <c r="CT261" s="10">
        <f t="shared" si="213"/>
        <v>5.0347222222220844E-4</v>
      </c>
      <c r="CU261" s="10">
        <f t="shared" si="214"/>
        <v>-1.1142361111111086E-2</v>
      </c>
      <c r="CV261" s="10">
        <f t="shared" si="215"/>
        <v>-6.5381944444444047E-3</v>
      </c>
      <c r="CW261" s="10">
        <f t="shared" si="216"/>
        <v>-3.5138888888888412E-3</v>
      </c>
      <c r="CX261" s="10">
        <f t="shared" si="217"/>
        <v>-4.895833333332779E-4</v>
      </c>
      <c r="CY261" s="10">
        <f t="shared" si="218"/>
        <v>1.0451388888888956E-3</v>
      </c>
      <c r="CZ261" s="10">
        <f t="shared" si="219"/>
        <v>1.8750000000008113E-4</v>
      </c>
      <c r="DA261" s="10">
        <f t="shared" si="220"/>
        <v>-8.0555555555556553E-4</v>
      </c>
      <c r="DB261" s="10">
        <f t="shared" si="221"/>
        <v>-5.4999999999999745E-3</v>
      </c>
      <c r="DC261" s="10">
        <f t="shared" si="222"/>
        <v>-4.895833333332779E-4</v>
      </c>
      <c r="DD261" s="10">
        <f t="shared" si="223"/>
        <v>-4.8229166666666152E-3</v>
      </c>
      <c r="DE261" s="10">
        <f t="shared" si="224"/>
        <v>-5.3472222222222191E-4</v>
      </c>
      <c r="DF261" s="10">
        <f t="shared" si="225"/>
        <v>1.7673611111111986E-3</v>
      </c>
      <c r="DG261" s="10">
        <f t="shared" si="226"/>
        <v>-1.0465277777777726E-2</v>
      </c>
      <c r="DH261" s="10">
        <f t="shared" si="227"/>
        <v>-4.895833333332779E-4</v>
      </c>
      <c r="DI261" s="10">
        <f t="shared" si="228"/>
        <v>-2.7013888888888105E-3</v>
      </c>
      <c r="DJ261" s="10">
        <f t="shared" si="229"/>
        <v>5.0347222222220844E-4</v>
      </c>
      <c r="DK261" s="10">
        <f t="shared" si="230"/>
        <v>-1.0312499999999651E-3</v>
      </c>
      <c r="DL261" s="10">
        <f t="shared" si="231"/>
        <v>-4.2361111111111445E-3</v>
      </c>
      <c r="DM261" s="10">
        <f t="shared" si="232"/>
        <v>-7.8020833333332347E-3</v>
      </c>
      <c r="DN261" s="10">
        <f t="shared" si="233"/>
        <v>-1.0312499999999651E-3</v>
      </c>
      <c r="DO261" s="10">
        <f t="shared" si="234"/>
        <v>-3.4236111111111134E-3</v>
      </c>
      <c r="DP261" s="10">
        <f t="shared" si="235"/>
        <v>5.0347222222220844E-4</v>
      </c>
      <c r="DQ261" s="10">
        <f t="shared" si="236"/>
        <v>-3.5138888888888412E-3</v>
      </c>
      <c r="DR261" s="10">
        <f t="shared" si="237"/>
        <v>-1.6180555555555963E-3</v>
      </c>
      <c r="DS261" s="10">
        <f t="shared" si="238"/>
        <v>-1.1187500000000029E-2</v>
      </c>
      <c r="DT261" s="10">
        <f t="shared" si="239"/>
        <v>-3.784722222222185E-3</v>
      </c>
      <c r="DU261" s="10">
        <f t="shared" si="240"/>
        <v>-9.4097222222223735E-4</v>
      </c>
      <c r="DV261" s="10">
        <f t="shared" si="241"/>
        <v>-5.951388888888934E-3</v>
      </c>
      <c r="DW261" s="10">
        <f t="shared" si="242"/>
        <v>-5.2743055555555746E-3</v>
      </c>
    </row>
    <row r="262" spans="2:127" x14ac:dyDescent="0.45">
      <c r="B262" s="1">
        <v>24</v>
      </c>
      <c r="C262" s="1">
        <v>3795</v>
      </c>
      <c r="D262" s="7">
        <f t="shared" si="243"/>
        <v>22.241758241758241</v>
      </c>
      <c r="E262" s="1">
        <v>22.141999999999999</v>
      </c>
      <c r="F262" s="1">
        <v>22.207000000000001</v>
      </c>
      <c r="G262" s="1">
        <v>22.245000000000001</v>
      </c>
      <c r="H262" s="1">
        <v>22.097999999999999</v>
      </c>
      <c r="I262" s="1">
        <v>22.219000000000001</v>
      </c>
      <c r="J262" s="1">
        <v>22.196000000000002</v>
      </c>
      <c r="K262" s="1">
        <v>22.341999999999999</v>
      </c>
      <c r="L262" s="1">
        <v>22.082999999999998</v>
      </c>
      <c r="M262" s="1">
        <v>22.291</v>
      </c>
      <c r="N262" s="1">
        <v>22.286999999999999</v>
      </c>
      <c r="O262" s="1">
        <v>22.213000000000001</v>
      </c>
      <c r="P262" s="1">
        <v>22.163</v>
      </c>
      <c r="Q262" s="1">
        <v>22.225999999999999</v>
      </c>
      <c r="R262" s="1">
        <v>22.207000000000001</v>
      </c>
      <c r="S262" s="1">
        <v>22.213000000000001</v>
      </c>
      <c r="T262" s="1">
        <v>22.268999999999998</v>
      </c>
      <c r="U262" s="1">
        <v>22.227</v>
      </c>
      <c r="V262" s="1">
        <v>22.175000000000001</v>
      </c>
      <c r="W262" s="1">
        <v>22.225999999999999</v>
      </c>
      <c r="X262" s="1">
        <v>22.07</v>
      </c>
      <c r="Y262" s="1">
        <v>22.212</v>
      </c>
      <c r="Z262" s="1">
        <v>22.132999999999999</v>
      </c>
      <c r="AA262" s="1">
        <v>22.245999999999999</v>
      </c>
      <c r="AB262" s="1">
        <v>22.135000000000002</v>
      </c>
      <c r="AC262" s="1">
        <v>22.219000000000001</v>
      </c>
      <c r="AD262" s="1">
        <v>22.242999999999999</v>
      </c>
      <c r="AE262" s="1">
        <v>22.181000000000001</v>
      </c>
      <c r="AF262" s="1">
        <v>22.26</v>
      </c>
      <c r="AG262" s="1">
        <v>22.202999999999999</v>
      </c>
      <c r="AH262" s="1">
        <v>22.28</v>
      </c>
      <c r="AI262" s="1">
        <v>22.251000000000001</v>
      </c>
      <c r="AJ262" s="1">
        <v>21.992000000000001</v>
      </c>
      <c r="AK262" s="1">
        <v>22.097000000000001</v>
      </c>
      <c r="AL262" s="1">
        <v>22.163</v>
      </c>
      <c r="AM262" s="1">
        <v>22.231999999999999</v>
      </c>
      <c r="AN262" s="1">
        <v>22.265999999999998</v>
      </c>
      <c r="AO262" s="1">
        <v>22.245000000000001</v>
      </c>
      <c r="AP262" s="1">
        <v>22.224</v>
      </c>
      <c r="AQ262" s="1">
        <v>22.117999999999999</v>
      </c>
      <c r="AR262" s="1">
        <v>22.231000000000002</v>
      </c>
      <c r="AS262" s="1">
        <v>22.135999999999999</v>
      </c>
      <c r="AT262" s="1">
        <v>22.228000000000002</v>
      </c>
      <c r="AU262" s="1">
        <v>22.28</v>
      </c>
      <c r="AV262" s="1">
        <v>22.01</v>
      </c>
      <c r="AW262" s="1">
        <v>22.231999999999999</v>
      </c>
      <c r="AX262" s="1">
        <v>22.181000000000001</v>
      </c>
      <c r="AY262" s="1">
        <v>22.254000000000001</v>
      </c>
      <c r="AZ262" s="1">
        <v>22.219000000000001</v>
      </c>
      <c r="BA262" s="1">
        <v>22.146000000000001</v>
      </c>
      <c r="BB262" s="1">
        <v>22.068000000000001</v>
      </c>
      <c r="BC262" s="1">
        <v>22.216999999999999</v>
      </c>
      <c r="BD262" s="1">
        <v>22.164999999999999</v>
      </c>
      <c r="BE262" s="1">
        <v>22.251000000000001</v>
      </c>
      <c r="BF262" s="1">
        <v>22.164999999999999</v>
      </c>
      <c r="BG262" s="1">
        <v>22.209</v>
      </c>
      <c r="BH262" s="1">
        <v>21.995999999999999</v>
      </c>
      <c r="BI262" s="1">
        <v>22.155000000000001</v>
      </c>
      <c r="BJ262" s="1">
        <v>22.222000000000001</v>
      </c>
      <c r="BK262" s="1">
        <v>22.113</v>
      </c>
      <c r="BL262" s="1">
        <v>22.125</v>
      </c>
      <c r="BN262" s="9">
        <v>24</v>
      </c>
      <c r="BO262" s="9">
        <v>3795</v>
      </c>
      <c r="BP262" s="10">
        <f t="shared" si="183"/>
        <v>-4.4851778656126344E-3</v>
      </c>
      <c r="BQ262" s="10">
        <f t="shared" si="184"/>
        <v>-1.5627470355730508E-3</v>
      </c>
      <c r="BR262" s="10">
        <f t="shared" si="185"/>
        <v>1.4575098814237583E-4</v>
      </c>
      <c r="BS262" s="10">
        <f t="shared" si="186"/>
        <v>-6.4634387351778736E-3</v>
      </c>
      <c r="BT262" s="10">
        <f t="shared" si="187"/>
        <v>-1.0232213438734256E-3</v>
      </c>
      <c r="BU262" s="10">
        <f t="shared" si="188"/>
        <v>-2.0573122529643204E-3</v>
      </c>
      <c r="BV262" s="10">
        <f t="shared" si="189"/>
        <v>4.5069169960474135E-3</v>
      </c>
      <c r="BW262" s="10">
        <f t="shared" si="190"/>
        <v>-7.137845849802405E-3</v>
      </c>
      <c r="BX262" s="10">
        <f t="shared" si="191"/>
        <v>2.2139328063241659E-3</v>
      </c>
      <c r="BY262" s="10">
        <f t="shared" si="192"/>
        <v>2.0340909090909042E-3</v>
      </c>
      <c r="BZ262" s="10">
        <f t="shared" si="193"/>
        <v>-1.292984189723238E-3</v>
      </c>
      <c r="CA262" s="10">
        <f t="shared" si="194"/>
        <v>-3.5410079051382899E-3</v>
      </c>
      <c r="CB262" s="10">
        <f t="shared" si="195"/>
        <v>-7.0849802371541733E-4</v>
      </c>
      <c r="CC262" s="10">
        <f t="shared" si="196"/>
        <v>-1.5627470355730508E-3</v>
      </c>
      <c r="CD262" s="10">
        <f t="shared" si="197"/>
        <v>-1.292984189723238E-3</v>
      </c>
      <c r="CE262" s="10">
        <f t="shared" si="198"/>
        <v>1.2248023715414665E-3</v>
      </c>
      <c r="CF262" s="10">
        <f t="shared" si="199"/>
        <v>-6.6353754940706201E-4</v>
      </c>
      <c r="CG262" s="10">
        <f t="shared" si="200"/>
        <v>-3.0014822134386649E-3</v>
      </c>
      <c r="CH262" s="10">
        <f t="shared" si="201"/>
        <v>-7.0849802371541733E-4</v>
      </c>
      <c r="CI262" s="10">
        <f t="shared" si="202"/>
        <v>-7.7223320158102257E-3</v>
      </c>
      <c r="CJ262" s="10">
        <f t="shared" si="203"/>
        <v>-1.3379446640315936E-3</v>
      </c>
      <c r="CK262" s="10">
        <f t="shared" si="204"/>
        <v>-4.8898221343873531E-3</v>
      </c>
      <c r="CL262" s="10">
        <f t="shared" si="205"/>
        <v>1.9071146245057145E-4</v>
      </c>
      <c r="CM262" s="10">
        <f t="shared" si="206"/>
        <v>-4.7999011857706424E-3</v>
      </c>
      <c r="CN262" s="10">
        <f t="shared" si="207"/>
        <v>-1.0232213438734256E-3</v>
      </c>
      <c r="CO262" s="10">
        <f t="shared" si="208"/>
        <v>5.583003952566515E-5</v>
      </c>
      <c r="CP262" s="10">
        <f t="shared" si="209"/>
        <v>-2.7317193675888522E-3</v>
      </c>
      <c r="CQ262" s="10">
        <f t="shared" si="210"/>
        <v>8.2015810276690737E-4</v>
      </c>
      <c r="CR262" s="10">
        <f t="shared" si="211"/>
        <v>-1.7425889328063124E-3</v>
      </c>
      <c r="CS262" s="10">
        <f t="shared" si="212"/>
        <v>1.719367588932896E-3</v>
      </c>
      <c r="CT262" s="10">
        <f t="shared" si="213"/>
        <v>4.1551383399218846E-4</v>
      </c>
      <c r="CU262" s="10">
        <f t="shared" si="214"/>
        <v>-1.122924901185763E-2</v>
      </c>
      <c r="CV262" s="10">
        <f t="shared" si="215"/>
        <v>-6.5083992094860689E-3</v>
      </c>
      <c r="CW262" s="10">
        <f t="shared" si="216"/>
        <v>-3.5410079051382899E-3</v>
      </c>
      <c r="CX262" s="10">
        <f t="shared" si="217"/>
        <v>-4.3873517786560472E-4</v>
      </c>
      <c r="CY262" s="10">
        <f t="shared" si="218"/>
        <v>1.0899209486165602E-3</v>
      </c>
      <c r="CZ262" s="10">
        <f t="shared" si="219"/>
        <v>1.4575098814237583E-4</v>
      </c>
      <c r="DA262" s="10">
        <f t="shared" si="220"/>
        <v>-7.9841897233196826E-4</v>
      </c>
      <c r="DB262" s="10">
        <f t="shared" si="221"/>
        <v>-5.5642292490118844E-3</v>
      </c>
      <c r="DC262" s="10">
        <f t="shared" si="222"/>
        <v>-4.8369565217380034E-4</v>
      </c>
      <c r="DD262" s="10">
        <f t="shared" si="223"/>
        <v>-4.7549407114624463E-3</v>
      </c>
      <c r="DE262" s="10">
        <f t="shared" si="224"/>
        <v>-6.1857707509870659E-4</v>
      </c>
      <c r="DF262" s="10">
        <f t="shared" si="225"/>
        <v>1.719367588932896E-3</v>
      </c>
      <c r="DG262" s="10">
        <f t="shared" si="226"/>
        <v>-1.0419960474308192E-2</v>
      </c>
      <c r="DH262" s="10">
        <f t="shared" si="227"/>
        <v>-4.3873517786560472E-4</v>
      </c>
      <c r="DI262" s="10">
        <f t="shared" si="228"/>
        <v>-2.7317193675888522E-3</v>
      </c>
      <c r="DJ262" s="10">
        <f t="shared" si="229"/>
        <v>5.5039525691709477E-4</v>
      </c>
      <c r="DK262" s="10">
        <f t="shared" si="230"/>
        <v>-1.0232213438734256E-3</v>
      </c>
      <c r="DL262" s="10">
        <f t="shared" si="231"/>
        <v>-4.3053359683793728E-3</v>
      </c>
      <c r="DM262" s="10">
        <f t="shared" si="232"/>
        <v>-7.8122529644267767E-3</v>
      </c>
      <c r="DN262" s="10">
        <f t="shared" si="233"/>
        <v>-1.1131422924901362E-3</v>
      </c>
      <c r="DO262" s="10">
        <f t="shared" si="234"/>
        <v>-3.4510869565217389E-3</v>
      </c>
      <c r="DP262" s="10">
        <f t="shared" si="235"/>
        <v>4.1551383399218846E-4</v>
      </c>
      <c r="DQ262" s="10">
        <f t="shared" si="236"/>
        <v>-3.4510869565217389E-3</v>
      </c>
      <c r="DR262" s="10">
        <f t="shared" si="237"/>
        <v>-1.4728260869564997E-3</v>
      </c>
      <c r="DS262" s="10">
        <f t="shared" si="238"/>
        <v>-1.1049407114624528E-2</v>
      </c>
      <c r="DT262" s="10">
        <f t="shared" si="239"/>
        <v>-3.9006916996046537E-3</v>
      </c>
      <c r="DU262" s="10">
        <f t="shared" si="240"/>
        <v>-8.8833992094851919E-4</v>
      </c>
      <c r="DV262" s="10">
        <f t="shared" si="241"/>
        <v>-5.7890316205533414E-3</v>
      </c>
      <c r="DW262" s="10">
        <f t="shared" si="242"/>
        <v>-5.2495059288537168E-3</v>
      </c>
    </row>
    <row r="263" spans="2:127" x14ac:dyDescent="0.45">
      <c r="B263" s="1">
        <v>24</v>
      </c>
      <c r="C263" s="1">
        <v>3810</v>
      </c>
      <c r="D263" s="7">
        <f t="shared" si="243"/>
        <v>22.329670329670328</v>
      </c>
      <c r="E263" s="1">
        <v>22.228000000000002</v>
      </c>
      <c r="F263" s="1">
        <v>22.292000000000002</v>
      </c>
      <c r="G263" s="1">
        <v>22.334</v>
      </c>
      <c r="H263" s="1">
        <v>22.186</v>
      </c>
      <c r="I263" s="1">
        <v>22.306000000000001</v>
      </c>
      <c r="J263" s="1">
        <v>22.283999999999999</v>
      </c>
      <c r="K263" s="1">
        <v>22.43</v>
      </c>
      <c r="L263" s="1">
        <v>22.166</v>
      </c>
      <c r="M263" s="1">
        <v>22.378</v>
      </c>
      <c r="N263" s="1">
        <v>22.375</v>
      </c>
      <c r="O263" s="1">
        <v>22.302</v>
      </c>
      <c r="P263" s="1">
        <v>22.248999999999999</v>
      </c>
      <c r="Q263" s="1">
        <v>22.314</v>
      </c>
      <c r="R263" s="1">
        <v>22.292999999999999</v>
      </c>
      <c r="S263" s="1">
        <v>22.303999999999998</v>
      </c>
      <c r="T263" s="1">
        <v>22.356000000000002</v>
      </c>
      <c r="U263" s="1">
        <v>22.315999999999999</v>
      </c>
      <c r="V263" s="1">
        <v>22.263999999999999</v>
      </c>
      <c r="W263" s="1">
        <v>22.315000000000001</v>
      </c>
      <c r="X263" s="1">
        <v>22.158000000000001</v>
      </c>
      <c r="Y263" s="1">
        <v>22.298999999999999</v>
      </c>
      <c r="Z263" s="1">
        <v>22.219000000000001</v>
      </c>
      <c r="AA263" s="1">
        <v>22.335000000000001</v>
      </c>
      <c r="AB263" s="1">
        <v>22.222000000000001</v>
      </c>
      <c r="AC263" s="1">
        <v>22.306999999999999</v>
      </c>
      <c r="AD263" s="1">
        <v>22.332999999999998</v>
      </c>
      <c r="AE263" s="1">
        <v>22.268999999999998</v>
      </c>
      <c r="AF263" s="1">
        <v>22.347999999999999</v>
      </c>
      <c r="AG263" s="1">
        <v>22.289000000000001</v>
      </c>
      <c r="AH263" s="1">
        <v>22.367999999999999</v>
      </c>
      <c r="AI263" s="1">
        <v>22.337</v>
      </c>
      <c r="AJ263" s="1">
        <v>22.076000000000001</v>
      </c>
      <c r="AK263" s="1">
        <v>22.184000000000001</v>
      </c>
      <c r="AL263" s="1">
        <v>22.251000000000001</v>
      </c>
      <c r="AM263" s="1">
        <v>22.315999999999999</v>
      </c>
      <c r="AN263" s="1">
        <v>22.353999999999999</v>
      </c>
      <c r="AO263" s="1">
        <v>22.33</v>
      </c>
      <c r="AP263" s="1">
        <v>22.31</v>
      </c>
      <c r="AQ263" s="1">
        <v>22.207999999999998</v>
      </c>
      <c r="AR263" s="1">
        <v>22.318000000000001</v>
      </c>
      <c r="AS263" s="1">
        <v>22.222000000000001</v>
      </c>
      <c r="AT263" s="1">
        <v>22.318000000000001</v>
      </c>
      <c r="AU263" s="1">
        <v>22.367999999999999</v>
      </c>
      <c r="AV263" s="1">
        <v>22.100999999999999</v>
      </c>
      <c r="AW263" s="1">
        <v>22.318000000000001</v>
      </c>
      <c r="AX263" s="1">
        <v>22.268000000000001</v>
      </c>
      <c r="AY263" s="1">
        <v>22.341000000000001</v>
      </c>
      <c r="AZ263" s="1">
        <v>22.306000000000001</v>
      </c>
      <c r="BA263" s="1">
        <v>22.231000000000002</v>
      </c>
      <c r="BB263" s="1">
        <v>22.155999999999999</v>
      </c>
      <c r="BC263" s="1">
        <v>22.303999999999998</v>
      </c>
      <c r="BD263" s="1">
        <v>22.251000000000001</v>
      </c>
      <c r="BE263" s="1">
        <v>22.341999999999999</v>
      </c>
      <c r="BF263" s="1">
        <v>22.253</v>
      </c>
      <c r="BG263" s="1">
        <v>22.291</v>
      </c>
      <c r="BH263" s="1">
        <v>22.074000000000002</v>
      </c>
      <c r="BI263" s="1">
        <v>22.242000000000001</v>
      </c>
      <c r="BJ263" s="1">
        <v>22.308</v>
      </c>
      <c r="BK263" s="1">
        <v>22.204000000000001</v>
      </c>
      <c r="BL263" s="1">
        <v>22.213000000000001</v>
      </c>
      <c r="BN263" s="1">
        <v>24</v>
      </c>
      <c r="BO263" s="1">
        <v>3810</v>
      </c>
      <c r="BP263" s="3">
        <f t="shared" si="183"/>
        <v>-4.5531496062990919E-3</v>
      </c>
      <c r="BQ263" s="3">
        <f t="shared" si="184"/>
        <v>-1.6870078740156243E-3</v>
      </c>
      <c r="BR263" s="3">
        <f t="shared" si="185"/>
        <v>1.938976377953115E-4</v>
      </c>
      <c r="BS263" s="3">
        <f t="shared" si="186"/>
        <v>-6.4340551181101867E-3</v>
      </c>
      <c r="BT263" s="3">
        <f t="shared" si="187"/>
        <v>-1.0600393700786457E-3</v>
      </c>
      <c r="BU263" s="3">
        <f t="shared" si="188"/>
        <v>-2.045275590551177E-3</v>
      </c>
      <c r="BV263" s="3">
        <f t="shared" si="189"/>
        <v>4.4931102362205126E-3</v>
      </c>
      <c r="BW263" s="3">
        <f t="shared" si="190"/>
        <v>-7.3297244094487502E-3</v>
      </c>
      <c r="BX263" s="3">
        <f t="shared" si="191"/>
        <v>2.164370078740215E-3</v>
      </c>
      <c r="BY263" s="3">
        <f t="shared" si="192"/>
        <v>2.0300196850394229E-3</v>
      </c>
      <c r="BZ263" s="3">
        <f t="shared" si="193"/>
        <v>-1.2391732283464222E-3</v>
      </c>
      <c r="CA263" s="3">
        <f t="shared" si="194"/>
        <v>-3.6126968503937032E-3</v>
      </c>
      <c r="CB263" s="3">
        <f t="shared" si="195"/>
        <v>-7.0177165354325208E-4</v>
      </c>
      <c r="CC263" s="3">
        <f t="shared" si="196"/>
        <v>-1.6422244094487996E-3</v>
      </c>
      <c r="CD263" s="3">
        <f t="shared" si="197"/>
        <v>-1.1496062992126135E-3</v>
      </c>
      <c r="CE263" s="3">
        <f t="shared" si="198"/>
        <v>1.1791338582678428E-3</v>
      </c>
      <c r="CF263" s="3">
        <f t="shared" si="199"/>
        <v>-6.1220472440944355E-4</v>
      </c>
      <c r="CG263" s="3">
        <f t="shared" si="200"/>
        <v>-2.9409448818897409E-3</v>
      </c>
      <c r="CH263" s="3">
        <f t="shared" si="201"/>
        <v>-6.5698818897626829E-4</v>
      </c>
      <c r="CI263" s="3">
        <f t="shared" si="202"/>
        <v>-7.6879921259841435E-3</v>
      </c>
      <c r="CJ263" s="3">
        <f t="shared" si="203"/>
        <v>-1.3735236220472147E-3</v>
      </c>
      <c r="CK263" s="3">
        <f t="shared" si="204"/>
        <v>-4.9562007874014696E-3</v>
      </c>
      <c r="CL263" s="3">
        <f t="shared" si="205"/>
        <v>2.3868110236229537E-4</v>
      </c>
      <c r="CM263" s="3">
        <f t="shared" si="206"/>
        <v>-4.821850393700677E-3</v>
      </c>
      <c r="CN263" s="3">
        <f t="shared" si="207"/>
        <v>-1.015255905511821E-3</v>
      </c>
      <c r="CO263" s="3">
        <f t="shared" si="208"/>
        <v>1.4911417322832765E-4</v>
      </c>
      <c r="CP263" s="3">
        <f t="shared" si="209"/>
        <v>-2.7170275590551398E-3</v>
      </c>
      <c r="CQ263" s="3">
        <f t="shared" si="210"/>
        <v>8.2086614173229014E-4</v>
      </c>
      <c r="CR263" s="3">
        <f t="shared" si="211"/>
        <v>-1.8213582677164169E-3</v>
      </c>
      <c r="CS263" s="3">
        <f t="shared" si="212"/>
        <v>1.7165354330708539E-3</v>
      </c>
      <c r="CT263" s="3">
        <f t="shared" si="213"/>
        <v>3.2824803149610402E-4</v>
      </c>
      <c r="CU263" s="3">
        <f t="shared" si="214"/>
        <v>-1.1360236220472367E-2</v>
      </c>
      <c r="CV263" s="3">
        <f t="shared" si="215"/>
        <v>-6.5236220472439949E-3</v>
      </c>
      <c r="CW263" s="3">
        <f t="shared" si="216"/>
        <v>-3.5231299212597354E-3</v>
      </c>
      <c r="CX263" s="3">
        <f t="shared" si="217"/>
        <v>-6.1220472440944355E-4</v>
      </c>
      <c r="CY263" s="3">
        <f t="shared" si="218"/>
        <v>1.0895669291338752E-3</v>
      </c>
      <c r="CZ263" s="3">
        <f t="shared" si="219"/>
        <v>1.4763779527535138E-5</v>
      </c>
      <c r="DA263" s="3">
        <f t="shared" si="220"/>
        <v>-8.8090551181102853E-4</v>
      </c>
      <c r="DB263" s="3">
        <f t="shared" si="221"/>
        <v>-5.4488188976378141E-3</v>
      </c>
      <c r="DC263" s="3">
        <f t="shared" si="222"/>
        <v>-5.2263779527547574E-4</v>
      </c>
      <c r="DD263" s="3">
        <f t="shared" si="223"/>
        <v>-4.821850393700677E-3</v>
      </c>
      <c r="DE263" s="3">
        <f t="shared" si="224"/>
        <v>-5.2263779527547574E-4</v>
      </c>
      <c r="DF263" s="3">
        <f t="shared" si="225"/>
        <v>1.7165354330708539E-3</v>
      </c>
      <c r="DG263" s="3">
        <f t="shared" si="226"/>
        <v>-1.0240649606299201E-2</v>
      </c>
      <c r="DH263" s="3">
        <f t="shared" si="227"/>
        <v>-5.2263779527547574E-4</v>
      </c>
      <c r="DI263" s="3">
        <f t="shared" si="228"/>
        <v>-2.7618110236219645E-3</v>
      </c>
      <c r="DJ263" s="3">
        <f t="shared" si="229"/>
        <v>5.0738188976388041E-4</v>
      </c>
      <c r="DK263" s="3">
        <f t="shared" si="230"/>
        <v>-1.0600393700786457E-3</v>
      </c>
      <c r="DL263" s="3">
        <f t="shared" si="231"/>
        <v>-4.4187992125982994E-3</v>
      </c>
      <c r="DM263" s="3">
        <f t="shared" si="232"/>
        <v>-7.7775590551181113E-3</v>
      </c>
      <c r="DN263" s="3">
        <f t="shared" si="233"/>
        <v>-1.1496062992126135E-3</v>
      </c>
      <c r="DO263" s="3">
        <f t="shared" si="234"/>
        <v>-3.5231299212597354E-3</v>
      </c>
      <c r="DP263" s="3">
        <f t="shared" si="235"/>
        <v>5.5216535433070515E-4</v>
      </c>
      <c r="DQ263" s="3">
        <f t="shared" si="236"/>
        <v>-3.4335629921259268E-3</v>
      </c>
      <c r="DR263" s="3">
        <f t="shared" si="237"/>
        <v>-1.7317913385826082E-3</v>
      </c>
      <c r="DS263" s="3">
        <f t="shared" si="238"/>
        <v>-1.1449803149606174E-2</v>
      </c>
      <c r="DT263" s="3">
        <f t="shared" si="239"/>
        <v>-3.9261811023621127E-3</v>
      </c>
      <c r="DU263" s="3">
        <f t="shared" si="240"/>
        <v>-9.7047244094483718E-4</v>
      </c>
      <c r="DV263" s="3">
        <f t="shared" si="241"/>
        <v>-5.6279527559054314E-3</v>
      </c>
      <c r="DW263" s="3">
        <f t="shared" si="242"/>
        <v>-5.2249015748030538E-3</v>
      </c>
    </row>
    <row r="264" spans="2:127" x14ac:dyDescent="0.45">
      <c r="B264" s="1">
        <v>24</v>
      </c>
      <c r="C264" s="1">
        <v>3825</v>
      </c>
      <c r="D264" s="7">
        <f t="shared" si="243"/>
        <v>22.417582417582416</v>
      </c>
      <c r="E264" s="1">
        <v>22.315999999999999</v>
      </c>
      <c r="F264" s="1">
        <v>22.379000000000001</v>
      </c>
      <c r="G264" s="1">
        <v>22.422000000000001</v>
      </c>
      <c r="H264" s="1">
        <v>22.274000000000001</v>
      </c>
      <c r="I264" s="1">
        <v>22.396999999999998</v>
      </c>
      <c r="J264" s="1">
        <v>22.372</v>
      </c>
      <c r="K264" s="1">
        <v>22.516999999999999</v>
      </c>
      <c r="L264" s="1">
        <v>22.260999999999999</v>
      </c>
      <c r="M264" s="1">
        <v>22.466999999999999</v>
      </c>
      <c r="N264" s="1">
        <v>22.463000000000001</v>
      </c>
      <c r="O264" s="1">
        <v>22.388000000000002</v>
      </c>
      <c r="P264" s="1">
        <v>22.337</v>
      </c>
      <c r="Q264" s="1">
        <v>22.405000000000001</v>
      </c>
      <c r="R264" s="1">
        <v>22.38</v>
      </c>
      <c r="S264" s="1">
        <v>22.390999999999998</v>
      </c>
      <c r="T264" s="1">
        <v>22.440999999999999</v>
      </c>
      <c r="U264" s="1">
        <v>22.402999999999999</v>
      </c>
      <c r="V264" s="1">
        <v>22.349</v>
      </c>
      <c r="W264" s="1">
        <v>22.402000000000001</v>
      </c>
      <c r="X264" s="1">
        <v>22.242000000000001</v>
      </c>
      <c r="Y264" s="1">
        <v>22.384</v>
      </c>
      <c r="Z264" s="1">
        <v>22.306999999999999</v>
      </c>
      <c r="AA264" s="1">
        <v>22.422000000000001</v>
      </c>
      <c r="AB264" s="1">
        <v>22.31</v>
      </c>
      <c r="AC264" s="1">
        <v>22.395</v>
      </c>
      <c r="AD264" s="1">
        <v>22.420999999999999</v>
      </c>
      <c r="AE264" s="1">
        <v>22.353000000000002</v>
      </c>
      <c r="AF264" s="1">
        <v>22.436</v>
      </c>
      <c r="AG264" s="1">
        <v>22.378</v>
      </c>
      <c r="AH264" s="1">
        <v>22.457999999999998</v>
      </c>
      <c r="AI264" s="1">
        <v>22.425999999999998</v>
      </c>
      <c r="AJ264" s="1">
        <v>22.161999999999999</v>
      </c>
      <c r="AK264" s="1">
        <v>22.271999999999998</v>
      </c>
      <c r="AL264" s="1">
        <v>22.338000000000001</v>
      </c>
      <c r="AM264" s="1">
        <v>22.402999999999999</v>
      </c>
      <c r="AN264" s="1">
        <v>22.443999999999999</v>
      </c>
      <c r="AO264" s="1">
        <v>22.417999999999999</v>
      </c>
      <c r="AP264" s="1">
        <v>22.398</v>
      </c>
      <c r="AQ264" s="1">
        <v>22.295000000000002</v>
      </c>
      <c r="AR264" s="1">
        <v>22.405000000000001</v>
      </c>
      <c r="AS264" s="1">
        <v>22.308</v>
      </c>
      <c r="AT264" s="1">
        <v>22.405000000000001</v>
      </c>
      <c r="AU264" s="1">
        <v>22.454999999999998</v>
      </c>
      <c r="AV264" s="1">
        <v>22.186</v>
      </c>
      <c r="AW264" s="1">
        <v>22.407</v>
      </c>
      <c r="AX264" s="1">
        <v>22.353000000000002</v>
      </c>
      <c r="AY264" s="1">
        <v>22.43</v>
      </c>
      <c r="AZ264" s="1">
        <v>22.390999999999998</v>
      </c>
      <c r="BA264" s="1">
        <v>22.321000000000002</v>
      </c>
      <c r="BB264" s="1">
        <v>22.241</v>
      </c>
      <c r="BC264" s="1">
        <v>22.39</v>
      </c>
      <c r="BD264" s="1">
        <v>22.34</v>
      </c>
      <c r="BE264" s="1">
        <v>22.428000000000001</v>
      </c>
      <c r="BF264" s="1">
        <v>22.337</v>
      </c>
      <c r="BG264" s="1">
        <v>22.38</v>
      </c>
      <c r="BH264" s="1">
        <v>22.166</v>
      </c>
      <c r="BI264" s="1">
        <v>22.324999999999999</v>
      </c>
      <c r="BJ264" s="1">
        <v>22.395</v>
      </c>
      <c r="BK264" s="1">
        <v>22.285</v>
      </c>
      <c r="BL264" s="1">
        <v>22.3</v>
      </c>
      <c r="BN264" s="1">
        <v>24</v>
      </c>
      <c r="BO264" s="1">
        <v>3825</v>
      </c>
      <c r="BP264" s="3">
        <f t="shared" si="183"/>
        <v>-4.531372549019589E-3</v>
      </c>
      <c r="BQ264" s="3">
        <f t="shared" si="184"/>
        <v>-1.7210784313724233E-3</v>
      </c>
      <c r="BR264" s="3">
        <f t="shared" si="185"/>
        <v>1.9705882352950458E-4</v>
      </c>
      <c r="BS264" s="3">
        <f t="shared" si="186"/>
        <v>-6.4049019607842076E-3</v>
      </c>
      <c r="BT264" s="3">
        <f t="shared" si="187"/>
        <v>-9.1813725490196311E-4</v>
      </c>
      <c r="BU264" s="3">
        <f t="shared" si="188"/>
        <v>-2.0333333333332725E-3</v>
      </c>
      <c r="BV264" s="3">
        <f t="shared" si="189"/>
        <v>4.4348039215686696E-3</v>
      </c>
      <c r="BW264" s="3">
        <f t="shared" si="190"/>
        <v>-6.9848039215685961E-3</v>
      </c>
      <c r="BX264" s="3">
        <f t="shared" si="191"/>
        <v>2.2044117647058931E-3</v>
      </c>
      <c r="BY264" s="3">
        <f t="shared" si="192"/>
        <v>2.025980392156972E-3</v>
      </c>
      <c r="BZ264" s="3">
        <f t="shared" si="193"/>
        <v>-1.3196078431371139E-3</v>
      </c>
      <c r="CA264" s="3">
        <f t="shared" si="194"/>
        <v>-3.5946078431372003E-3</v>
      </c>
      <c r="CB264" s="3">
        <f t="shared" si="195"/>
        <v>-5.612745098038047E-4</v>
      </c>
      <c r="CC264" s="3">
        <f t="shared" si="196"/>
        <v>-1.6764705882352723E-3</v>
      </c>
      <c r="CD264" s="3">
        <f t="shared" si="197"/>
        <v>-1.1857843137255027E-3</v>
      </c>
      <c r="CE264" s="3">
        <f t="shared" si="198"/>
        <v>1.0446078431372743E-3</v>
      </c>
      <c r="CF264" s="3">
        <f t="shared" si="199"/>
        <v>-6.5049019607842356E-4</v>
      </c>
      <c r="CG264" s="3">
        <f t="shared" si="200"/>
        <v>-3.0593137254901212E-3</v>
      </c>
      <c r="CH264" s="3">
        <f t="shared" si="201"/>
        <v>-6.9509803921557448E-4</v>
      </c>
      <c r="CI264" s="3">
        <f t="shared" si="202"/>
        <v>-7.832352941176365E-3</v>
      </c>
      <c r="CJ264" s="3">
        <f t="shared" si="203"/>
        <v>-1.4980392156861931E-3</v>
      </c>
      <c r="CK264" s="3">
        <f t="shared" si="204"/>
        <v>-4.9328431372548985E-3</v>
      </c>
      <c r="CL264" s="3">
        <f t="shared" si="205"/>
        <v>1.9705882352950458E-4</v>
      </c>
      <c r="CM264" s="3">
        <f t="shared" si="206"/>
        <v>-4.7990196078431281E-3</v>
      </c>
      <c r="CN264" s="3">
        <f t="shared" si="207"/>
        <v>-1.0073529411764235E-3</v>
      </c>
      <c r="CO264" s="3">
        <f t="shared" si="208"/>
        <v>1.5245098039219515E-4</v>
      </c>
      <c r="CP264" s="3">
        <f t="shared" si="209"/>
        <v>-2.8808823529410418E-3</v>
      </c>
      <c r="CQ264" s="3">
        <f t="shared" si="210"/>
        <v>8.2156862745104409E-4</v>
      </c>
      <c r="CR264" s="3">
        <f t="shared" si="211"/>
        <v>-1.7656862745097327E-3</v>
      </c>
      <c r="CS264" s="3">
        <f t="shared" si="212"/>
        <v>1.8029411764705836E-3</v>
      </c>
      <c r="CT264" s="3">
        <f t="shared" si="213"/>
        <v>3.7549019607842533E-4</v>
      </c>
      <c r="CU264" s="3">
        <f t="shared" si="214"/>
        <v>-1.140098039215684E-2</v>
      </c>
      <c r="CV264" s="3">
        <f t="shared" si="215"/>
        <v>-6.4941176470588264E-3</v>
      </c>
      <c r="CW264" s="3">
        <f t="shared" si="216"/>
        <v>-3.5499999999998909E-3</v>
      </c>
      <c r="CX264" s="3">
        <f t="shared" si="217"/>
        <v>-6.5049019607842356E-4</v>
      </c>
      <c r="CY264" s="3">
        <f t="shared" si="218"/>
        <v>1.1784313725490441E-3</v>
      </c>
      <c r="CZ264" s="3">
        <f t="shared" si="219"/>
        <v>1.8627450980425374E-5</v>
      </c>
      <c r="DA264" s="3">
        <f t="shared" si="220"/>
        <v>-8.7352941176465368E-4</v>
      </c>
      <c r="DB264" s="3">
        <f t="shared" si="221"/>
        <v>-5.4681372549018189E-3</v>
      </c>
      <c r="DC264" s="3">
        <f t="shared" si="222"/>
        <v>-5.612745098038047E-4</v>
      </c>
      <c r="DD264" s="3">
        <f t="shared" si="223"/>
        <v>-4.8882352941175891E-3</v>
      </c>
      <c r="DE264" s="3">
        <f t="shared" si="224"/>
        <v>-5.612745098038047E-4</v>
      </c>
      <c r="DF264" s="3">
        <f t="shared" si="225"/>
        <v>1.6691176470588138E-3</v>
      </c>
      <c r="DG264" s="3">
        <f t="shared" si="226"/>
        <v>-1.0330392156862682E-2</v>
      </c>
      <c r="DH264" s="3">
        <f t="shared" si="227"/>
        <v>-4.7205882352934435E-4</v>
      </c>
      <c r="DI264" s="3">
        <f t="shared" si="228"/>
        <v>-2.8808823529410418E-3</v>
      </c>
      <c r="DJ264" s="3">
        <f t="shared" si="229"/>
        <v>5.5392156862750454E-4</v>
      </c>
      <c r="DK264" s="3">
        <f t="shared" si="230"/>
        <v>-1.1857843137255027E-3</v>
      </c>
      <c r="DL264" s="3">
        <f t="shared" si="231"/>
        <v>-4.3083333333332006E-3</v>
      </c>
      <c r="DM264" s="3">
        <f t="shared" si="232"/>
        <v>-7.8769607843136753E-3</v>
      </c>
      <c r="DN264" s="3">
        <f t="shared" si="233"/>
        <v>-1.2303921568626536E-3</v>
      </c>
      <c r="DO264" s="3">
        <f t="shared" si="234"/>
        <v>-3.4607843137254308E-3</v>
      </c>
      <c r="DP264" s="3">
        <f t="shared" si="235"/>
        <v>4.6470588235304413E-4</v>
      </c>
      <c r="DQ264" s="3">
        <f t="shared" si="236"/>
        <v>-3.5946078431372003E-3</v>
      </c>
      <c r="DR264" s="3">
        <f t="shared" si="237"/>
        <v>-1.6764705882352723E-3</v>
      </c>
      <c r="DS264" s="3">
        <f t="shared" si="238"/>
        <v>-1.1222549019607762E-2</v>
      </c>
      <c r="DT264" s="3">
        <f t="shared" si="239"/>
        <v>-4.1299019607842795E-3</v>
      </c>
      <c r="DU264" s="3">
        <f t="shared" si="240"/>
        <v>-1.0073529411764235E-3</v>
      </c>
      <c r="DV264" s="3">
        <f t="shared" si="241"/>
        <v>-5.9142156862744379E-3</v>
      </c>
      <c r="DW264" s="3">
        <f t="shared" si="242"/>
        <v>-5.2450980392155884E-3</v>
      </c>
    </row>
    <row r="265" spans="2:127" x14ac:dyDescent="0.45">
      <c r="B265" s="1">
        <v>24</v>
      </c>
      <c r="C265" s="1">
        <v>3840</v>
      </c>
      <c r="D265" s="7">
        <f t="shared" si="243"/>
        <v>22.505494505494507</v>
      </c>
      <c r="E265" s="1">
        <v>22.402000000000001</v>
      </c>
      <c r="F265" s="1">
        <v>22.466999999999999</v>
      </c>
      <c r="G265" s="1">
        <v>22.51</v>
      </c>
      <c r="H265" s="1">
        <v>22.364000000000001</v>
      </c>
      <c r="I265" s="1">
        <v>22.483000000000001</v>
      </c>
      <c r="J265" s="1">
        <v>22.459</v>
      </c>
      <c r="K265" s="1">
        <v>22.603999999999999</v>
      </c>
      <c r="L265" s="1">
        <v>22.335000000000001</v>
      </c>
      <c r="M265" s="1">
        <v>22.558</v>
      </c>
      <c r="N265" s="1">
        <v>22.550999999999998</v>
      </c>
      <c r="O265" s="1">
        <v>22.475000000000001</v>
      </c>
      <c r="P265" s="1">
        <v>22.428000000000001</v>
      </c>
      <c r="Q265" s="1">
        <v>22.491</v>
      </c>
      <c r="R265" s="1">
        <v>22.466999999999999</v>
      </c>
      <c r="S265" s="1">
        <v>22.478999999999999</v>
      </c>
      <c r="T265" s="1">
        <v>22.527000000000001</v>
      </c>
      <c r="U265" s="1">
        <v>22.49</v>
      </c>
      <c r="V265" s="1">
        <v>22.436</v>
      </c>
      <c r="W265" s="1">
        <v>22.489000000000001</v>
      </c>
      <c r="X265" s="1">
        <v>22.33</v>
      </c>
      <c r="Y265" s="1">
        <v>22.478000000000002</v>
      </c>
      <c r="Z265" s="1">
        <v>22.390999999999998</v>
      </c>
      <c r="AA265" s="1">
        <v>22.51</v>
      </c>
      <c r="AB265" s="1">
        <v>22.396999999999998</v>
      </c>
      <c r="AC265" s="1">
        <v>22.481999999999999</v>
      </c>
      <c r="AD265" s="1">
        <v>22.51</v>
      </c>
      <c r="AE265" s="1">
        <v>22.440999999999999</v>
      </c>
      <c r="AF265" s="1">
        <v>22.524999999999999</v>
      </c>
      <c r="AG265" s="1">
        <v>22.463999999999999</v>
      </c>
      <c r="AH265" s="1">
        <v>22.545999999999999</v>
      </c>
      <c r="AI265" s="1">
        <v>22.507999999999999</v>
      </c>
      <c r="AJ265" s="1">
        <v>22.245000000000001</v>
      </c>
      <c r="AK265" s="1">
        <v>22.36</v>
      </c>
      <c r="AL265" s="1">
        <v>22.425999999999998</v>
      </c>
      <c r="AM265" s="1">
        <v>22.49</v>
      </c>
      <c r="AN265" s="1">
        <v>22.532</v>
      </c>
      <c r="AO265" s="1">
        <v>22.504000000000001</v>
      </c>
      <c r="AP265" s="1">
        <v>22.483000000000001</v>
      </c>
      <c r="AQ265" s="1">
        <v>22.382000000000001</v>
      </c>
      <c r="AR265" s="1">
        <v>22.491</v>
      </c>
      <c r="AS265" s="1">
        <v>22.395</v>
      </c>
      <c r="AT265" s="1">
        <v>22.492999999999999</v>
      </c>
      <c r="AU265" s="1">
        <v>22.542999999999999</v>
      </c>
      <c r="AV265" s="1">
        <v>22.271999999999998</v>
      </c>
      <c r="AW265" s="1">
        <v>22.495999999999999</v>
      </c>
      <c r="AX265" s="1">
        <v>22.44</v>
      </c>
      <c r="AY265" s="1">
        <v>22.52</v>
      </c>
      <c r="AZ265" s="1">
        <v>22.475000000000001</v>
      </c>
      <c r="BA265" s="1">
        <v>22.408999999999999</v>
      </c>
      <c r="BB265" s="1">
        <v>22.33</v>
      </c>
      <c r="BC265" s="1">
        <v>22.478000000000002</v>
      </c>
      <c r="BD265" s="1">
        <v>22.425999999999998</v>
      </c>
      <c r="BE265" s="1">
        <v>22.515999999999998</v>
      </c>
      <c r="BF265" s="1">
        <v>22.428000000000001</v>
      </c>
      <c r="BG265" s="1">
        <v>22.474</v>
      </c>
      <c r="BH265" s="1">
        <v>22.247</v>
      </c>
      <c r="BI265" s="1">
        <v>22.411000000000001</v>
      </c>
      <c r="BJ265" s="1">
        <v>22.481999999999999</v>
      </c>
      <c r="BK265" s="1">
        <v>22.372</v>
      </c>
      <c r="BL265" s="1">
        <v>22.385999999999999</v>
      </c>
      <c r="BN265" s="1">
        <v>24</v>
      </c>
      <c r="BO265" s="1">
        <v>3840</v>
      </c>
      <c r="BP265" s="3">
        <f t="shared" ref="BP265:BP282" si="244">(E265-$D265)/$D265</f>
        <v>-4.5986328125000326E-3</v>
      </c>
      <c r="BQ265" s="3">
        <f t="shared" ref="BQ265:BQ282" si="245">(F265-$D265)/$D265</f>
        <v>-1.7104492187501334E-3</v>
      </c>
      <c r="BR265" s="3">
        <f t="shared" ref="BR265:BR282" si="246">(G265-$D265)/$D265</f>
        <v>2.0019531249999137E-4</v>
      </c>
      <c r="BS265" s="3">
        <f t="shared" ref="BS265:BS282" si="247">(H265-$D265)/$D265</f>
        <v>-6.2871093750000431E-3</v>
      </c>
      <c r="BT265" s="3">
        <f t="shared" ref="BT265:BT282" si="248">(I265-$D265)/$D265</f>
        <v>-9.9951171875005407E-4</v>
      </c>
      <c r="BU265" s="3">
        <f t="shared" ref="BU265:BU282" si="249">(J265-$D265)/$D265</f>
        <v>-2.0659179687500945E-3</v>
      </c>
      <c r="BV265" s="3">
        <f t="shared" ref="BV265:BV282" si="250">(K265-$D265)/$D265</f>
        <v>4.3769531249998866E-3</v>
      </c>
      <c r="BW265" s="3">
        <f t="shared" ref="BW265:BW282" si="251">(L265-$D265)/$D265</f>
        <v>-7.5756835937500393E-3</v>
      </c>
      <c r="BX265" s="3">
        <f t="shared" ref="BX265:BX282" si="252">(M265-$D265)/$D265</f>
        <v>2.3330078124999144E-3</v>
      </c>
      <c r="BY265" s="3">
        <f t="shared" ref="BY265:BY282" si="253">(N265-$D265)/$D265</f>
        <v>2.02197265624985E-3</v>
      </c>
      <c r="BZ265" s="3">
        <f t="shared" ref="BZ265:BZ282" si="254">(O265-$D265)/$D265</f>
        <v>-1.3549804687500149E-3</v>
      </c>
      <c r="CA265" s="3">
        <f t="shared" ref="CA265:CA282" si="255">(P265-$D265)/$D265</f>
        <v>-3.443359375000041E-3</v>
      </c>
      <c r="CB265" s="3">
        <f t="shared" ref="CB265:CB282" si="256">(Q265-$D265)/$D265</f>
        <v>-6.4404296875009322E-4</v>
      </c>
      <c r="CC265" s="3">
        <f t="shared" ref="CC265:CC282" si="257">(R265-$D265)/$D265</f>
        <v>-1.7104492187501334E-3</v>
      </c>
      <c r="CD265" s="3">
        <f t="shared" ref="CD265:CD282" si="258">(S265-$D265)/$D265</f>
        <v>-1.1772460937501134E-3</v>
      </c>
      <c r="CE265" s="3">
        <f t="shared" ref="CE265:CE282" si="259">(T265-$D265)/$D265</f>
        <v>9.5556640624996729E-4</v>
      </c>
      <c r="CF265" s="3">
        <f t="shared" ref="CF265:CF282" si="260">(U265-$D265)/$D265</f>
        <v>-6.8847656250014752E-4</v>
      </c>
      <c r="CG265" s="3">
        <f t="shared" ref="CG265:CG282" si="261">(V265-$D265)/$D265</f>
        <v>-3.0878906250000802E-3</v>
      </c>
      <c r="CH265" s="3">
        <f t="shared" ref="CH265:CH282" si="262">(W265-$D265)/$D265</f>
        <v>-7.3291015625004386E-4</v>
      </c>
      <c r="CI265" s="3">
        <f t="shared" ref="CI265:CI282" si="263">(X265-$D265)/$D265</f>
        <v>-7.797851562500153E-3</v>
      </c>
      <c r="CJ265" s="3">
        <f t="shared" ref="CJ265:CJ282" si="264">(Y265-$D265)/$D265</f>
        <v>-1.2216796875000099E-3</v>
      </c>
      <c r="CK265" s="3">
        <f t="shared" ref="CK265:CK282" si="265">(Z265-$D265)/$D265</f>
        <v>-5.0874023437501564E-3</v>
      </c>
      <c r="CL265" s="3">
        <f t="shared" ref="CL265:CL282" si="266">(AA265-$D265)/$D265</f>
        <v>2.0019531249999137E-4</v>
      </c>
      <c r="CM265" s="3">
        <f t="shared" ref="CM265:CM282" si="267">(AB265-$D265)/$D265</f>
        <v>-4.8208007812501463E-3</v>
      </c>
      <c r="CN265" s="3">
        <f t="shared" ref="CN265:CN282" si="268">(AC265-$D265)/$D265</f>
        <v>-1.0439453125001084E-3</v>
      </c>
      <c r="CO265" s="3">
        <f t="shared" ref="CO265:CO282" si="269">(AD265-$D265)/$D265</f>
        <v>2.0019531249999137E-4</v>
      </c>
      <c r="CP265" s="3">
        <f t="shared" ref="CP265:CP282" si="270">(AE265-$D265)/$D265</f>
        <v>-2.8657226562501244E-3</v>
      </c>
      <c r="CQ265" s="3">
        <f t="shared" ref="CQ265:CQ282" si="271">(AF265-$D265)/$D265</f>
        <v>8.6669921874985869E-4</v>
      </c>
      <c r="CR265" s="3">
        <f t="shared" ref="CR265:CR282" si="272">(AG265-$D265)/$D265</f>
        <v>-1.8437500000001385E-3</v>
      </c>
      <c r="CS265" s="3">
        <f t="shared" ref="CS265:CS282" si="273">(AH265-$D265)/$D265</f>
        <v>1.7998046874998939E-3</v>
      </c>
      <c r="CT265" s="3">
        <f t="shared" ref="CT265:CT282" si="274">(AI265-$D265)/$D265</f>
        <v>1.1132812499988277E-4</v>
      </c>
      <c r="CU265" s="3">
        <f t="shared" ref="CU265:CU282" si="275">(AJ265-$D265)/$D265</f>
        <v>-1.1574707031250032E-2</v>
      </c>
      <c r="CV265" s="3">
        <f t="shared" ref="CV265:CV282" si="276">(AK265-$D265)/$D265</f>
        <v>-6.4648437500001025E-3</v>
      </c>
      <c r="CW265" s="3">
        <f t="shared" ref="CW265:CW282" si="277">(AL265-$D265)/$D265</f>
        <v>-3.5322265625001496E-3</v>
      </c>
      <c r="CX265" s="3">
        <f t="shared" ref="CX265:CX282" si="278">(AM265-$D265)/$D265</f>
        <v>-6.8847656250014752E-4</v>
      </c>
      <c r="CY265" s="3">
        <f t="shared" ref="CY265:CY282" si="279">(AN265-$D265)/$D265</f>
        <v>1.1777343749999232E-3</v>
      </c>
      <c r="CZ265" s="3">
        <f t="shared" ref="CZ265:CZ282" si="280">(AO265-$D265)/$D265</f>
        <v>-6.6406250000018707E-5</v>
      </c>
      <c r="DA265" s="3">
        <f t="shared" ref="DA265:DA282" si="281">(AP265-$D265)/$D265</f>
        <v>-9.9951171875005407E-4</v>
      </c>
      <c r="DB265" s="3">
        <f t="shared" ref="DB265:DB282" si="282">(AQ265-$D265)/$D265</f>
        <v>-5.4873046875000137E-3</v>
      </c>
      <c r="DC265" s="3">
        <f t="shared" ref="DC265:DC282" si="283">(AR265-$D265)/$D265</f>
        <v>-6.4404296875009322E-4</v>
      </c>
      <c r="DD265" s="3">
        <f t="shared" ref="DD265:DD282" si="284">(AS265-$D265)/$D265</f>
        <v>-4.909667968750097E-3</v>
      </c>
      <c r="DE265" s="3">
        <f t="shared" ref="DE265:DE282" si="285">(AT265-$D265)/$D265</f>
        <v>-5.5517578125014247E-4</v>
      </c>
      <c r="DF265" s="3">
        <f t="shared" ref="DF265:DF282" si="286">(AU265-$D265)/$D265</f>
        <v>1.6665039062498889E-3</v>
      </c>
      <c r="DG265" s="3">
        <f t="shared" ref="DG265:DG282" si="287">(AV265-$D265)/$D265</f>
        <v>-1.0375000000000146E-2</v>
      </c>
      <c r="DH265" s="3">
        <f t="shared" ref="DH265:DH282" si="288">(AW265-$D265)/$D265</f>
        <v>-4.2187500000013736E-4</v>
      </c>
      <c r="DI265" s="3">
        <f t="shared" ref="DI265:DI282" si="289">(AX265-$D265)/$D265</f>
        <v>-2.9101562500000208E-3</v>
      </c>
      <c r="DJ265" s="3">
        <f t="shared" ref="DJ265:DJ282" si="290">(AY265-$D265)/$D265</f>
        <v>6.4453124999990299E-4</v>
      </c>
      <c r="DK265" s="3">
        <f t="shared" ref="DK265:DK282" si="291">(AZ265-$D265)/$D265</f>
        <v>-1.3549804687500149E-3</v>
      </c>
      <c r="DL265" s="3">
        <f t="shared" ref="DL265:DL282" si="292">(BA265-$D265)/$D265</f>
        <v>-4.2875976562501261E-3</v>
      </c>
      <c r="DM265" s="3">
        <f t="shared" ref="DM265:DM282" si="293">(BB265-$D265)/$D265</f>
        <v>-7.797851562500153E-3</v>
      </c>
      <c r="DN265" s="3">
        <f t="shared" ref="DN265:DN282" si="294">(BC265-$D265)/$D265</f>
        <v>-1.2216796875000099E-3</v>
      </c>
      <c r="DO265" s="3">
        <f t="shared" ref="DO265:DO282" si="295">(BD265-$D265)/$D265</f>
        <v>-3.5322265625001496E-3</v>
      </c>
      <c r="DP265" s="3">
        <f t="shared" ref="DP265:DP282" si="296">(BE265-$D265)/$D265</f>
        <v>4.6679687499984358E-4</v>
      </c>
      <c r="DQ265" s="3">
        <f t="shared" ref="DQ265:DQ282" si="297">(BF265-$D265)/$D265</f>
        <v>-3.443359375000041E-3</v>
      </c>
      <c r="DR265" s="3">
        <f t="shared" ref="DR265:DR282" si="298">(BG265-$D265)/$D265</f>
        <v>-1.399414062500069E-3</v>
      </c>
      <c r="DS265" s="3">
        <f t="shared" ref="DS265:DS282" si="299">(BH265-$D265)/$D265</f>
        <v>-1.1485839843750081E-2</v>
      </c>
      <c r="DT265" s="3">
        <f t="shared" ref="DT265:DT282" si="300">(BI265-$D265)/$D265</f>
        <v>-4.1987304687500174E-3</v>
      </c>
      <c r="DU265" s="3">
        <f t="shared" ref="DU265:DU282" si="301">(BJ265-$D265)/$D265</f>
        <v>-1.0439453125001084E-3</v>
      </c>
      <c r="DV265" s="3">
        <f t="shared" ref="DV265:DV282" si="302">(BK265-$D265)/$D265</f>
        <v>-5.9316406250000822E-3</v>
      </c>
      <c r="DW265" s="3">
        <f t="shared" ref="DW265:DW282" si="303">(BL265-$D265)/$D265</f>
        <v>-5.3095703125001122E-3</v>
      </c>
    </row>
    <row r="266" spans="2:127" x14ac:dyDescent="0.45">
      <c r="B266" s="1">
        <v>24</v>
      </c>
      <c r="C266" s="1">
        <v>3855</v>
      </c>
      <c r="D266" s="7">
        <f t="shared" ref="D266:D282" si="304">24*C266/4095</f>
        <v>22.593406593406595</v>
      </c>
      <c r="E266" s="1">
        <v>22.491</v>
      </c>
      <c r="F266" s="1">
        <v>22.556999999999999</v>
      </c>
      <c r="G266" s="1">
        <v>22.599</v>
      </c>
      <c r="H266" s="1">
        <v>22.452000000000002</v>
      </c>
      <c r="I266" s="1">
        <v>22.573</v>
      </c>
      <c r="J266" s="1">
        <v>22.547999999999998</v>
      </c>
      <c r="K266" s="1">
        <v>22.692</v>
      </c>
      <c r="L266" s="1">
        <v>22.425000000000001</v>
      </c>
      <c r="M266" s="1">
        <v>22.646000000000001</v>
      </c>
      <c r="N266" s="1">
        <v>22.638000000000002</v>
      </c>
      <c r="O266" s="1">
        <v>22.562000000000001</v>
      </c>
      <c r="P266" s="1">
        <v>22.515000000000001</v>
      </c>
      <c r="Q266" s="1">
        <v>22.582000000000001</v>
      </c>
      <c r="R266" s="1">
        <v>22.558</v>
      </c>
      <c r="S266" s="1">
        <v>22.57</v>
      </c>
      <c r="T266" s="1">
        <v>22.616</v>
      </c>
      <c r="U266" s="1">
        <v>22.58</v>
      </c>
      <c r="V266" s="1">
        <v>22.527000000000001</v>
      </c>
      <c r="W266" s="1">
        <v>22.577000000000002</v>
      </c>
      <c r="X266" s="1">
        <v>22.417000000000002</v>
      </c>
      <c r="Y266" s="1">
        <v>22.562000000000001</v>
      </c>
      <c r="Z266" s="1">
        <v>22.478000000000002</v>
      </c>
      <c r="AA266" s="1">
        <v>22.6</v>
      </c>
      <c r="AB266" s="1">
        <v>22.483000000000001</v>
      </c>
      <c r="AC266" s="1">
        <v>22.568999999999999</v>
      </c>
      <c r="AD266" s="1">
        <v>22.597000000000001</v>
      </c>
      <c r="AE266" s="1">
        <v>22.529</v>
      </c>
      <c r="AF266" s="1">
        <v>22.614000000000001</v>
      </c>
      <c r="AG266" s="1">
        <v>22.553000000000001</v>
      </c>
      <c r="AH266" s="1">
        <v>22.635000000000002</v>
      </c>
      <c r="AI266" s="1">
        <v>22.597000000000001</v>
      </c>
      <c r="AJ266" s="1">
        <v>22.332999999999998</v>
      </c>
      <c r="AK266" s="1">
        <v>22.446999999999999</v>
      </c>
      <c r="AL266" s="1">
        <v>22.513000000000002</v>
      </c>
      <c r="AM266" s="1">
        <v>22.58</v>
      </c>
      <c r="AN266" s="1">
        <v>22.623000000000001</v>
      </c>
      <c r="AO266" s="1">
        <v>22.591999999999999</v>
      </c>
      <c r="AP266" s="1">
        <v>22.571000000000002</v>
      </c>
      <c r="AQ266" s="1">
        <v>22.468</v>
      </c>
      <c r="AR266" s="1">
        <v>22.58</v>
      </c>
      <c r="AS266" s="1">
        <v>22.484999999999999</v>
      </c>
      <c r="AT266" s="1">
        <v>22.58</v>
      </c>
      <c r="AU266" s="1">
        <v>22.631</v>
      </c>
      <c r="AV266" s="1">
        <v>22.363</v>
      </c>
      <c r="AW266" s="1">
        <v>22.584</v>
      </c>
      <c r="AX266" s="1">
        <v>22.527000000000001</v>
      </c>
      <c r="AY266" s="1">
        <v>22.608000000000001</v>
      </c>
      <c r="AZ266" s="1">
        <v>22.565000000000001</v>
      </c>
      <c r="BA266" s="1">
        <v>22.495999999999999</v>
      </c>
      <c r="BB266" s="1">
        <v>22.417000000000002</v>
      </c>
      <c r="BC266" s="1">
        <v>22.562999999999999</v>
      </c>
      <c r="BD266" s="1">
        <v>22.515000000000001</v>
      </c>
      <c r="BE266" s="1">
        <v>22.603000000000002</v>
      </c>
      <c r="BF266" s="1">
        <v>22.515999999999998</v>
      </c>
      <c r="BG266" s="1">
        <v>22.555</v>
      </c>
      <c r="BH266" s="1">
        <v>22.335000000000001</v>
      </c>
      <c r="BI266" s="1">
        <v>22.501000000000001</v>
      </c>
      <c r="BJ266" s="1">
        <v>22.57</v>
      </c>
      <c r="BK266" s="1">
        <v>22.457999999999998</v>
      </c>
      <c r="BL266" s="1">
        <v>22.475000000000001</v>
      </c>
      <c r="BN266" s="1">
        <v>24</v>
      </c>
      <c r="BO266" s="1">
        <v>3855</v>
      </c>
      <c r="BP266" s="3">
        <f t="shared" si="244"/>
        <v>-4.5325875486382106E-3</v>
      </c>
      <c r="BQ266" s="3">
        <f t="shared" si="245"/>
        <v>-1.6113813229573239E-3</v>
      </c>
      <c r="BR266" s="3">
        <f t="shared" si="246"/>
        <v>2.4756809338515886E-4</v>
      </c>
      <c r="BS266" s="3">
        <f t="shared" si="247"/>
        <v>-6.2587548638132163E-3</v>
      </c>
      <c r="BT266" s="3">
        <f t="shared" si="248"/>
        <v>-9.0321011673156375E-4</v>
      </c>
      <c r="BU266" s="3">
        <f t="shared" si="249"/>
        <v>-2.0097276264592844E-3</v>
      </c>
      <c r="BV266" s="3">
        <f t="shared" si="250"/>
        <v>4.3638132295719277E-3</v>
      </c>
      <c r="BW266" s="3">
        <f t="shared" si="251"/>
        <v>-7.4537937743190978E-3</v>
      </c>
      <c r="BX266" s="3">
        <f t="shared" si="252"/>
        <v>2.3278210116731229E-3</v>
      </c>
      <c r="BY266" s="3">
        <f t="shared" si="253"/>
        <v>1.9737354085603213E-3</v>
      </c>
      <c r="BZ266" s="3">
        <f t="shared" si="254"/>
        <v>-1.3900778210116855E-3</v>
      </c>
      <c r="CA266" s="3">
        <f t="shared" si="255"/>
        <v>-3.4703307392996495E-3</v>
      </c>
      <c r="CB266" s="3">
        <f t="shared" si="256"/>
        <v>-5.0486381322960316E-4</v>
      </c>
      <c r="CC266" s="3">
        <f t="shared" si="257"/>
        <v>-1.5671206225681647E-3</v>
      </c>
      <c r="CD266" s="3">
        <f t="shared" si="258"/>
        <v>-1.035992217898884E-3</v>
      </c>
      <c r="CE266" s="3">
        <f t="shared" si="259"/>
        <v>9.9999999999992087E-4</v>
      </c>
      <c r="CF266" s="3">
        <f t="shared" si="260"/>
        <v>-5.933852140079215E-4</v>
      </c>
      <c r="CG266" s="3">
        <f t="shared" si="261"/>
        <v>-2.9392023346303687E-3</v>
      </c>
      <c r="CH266" s="3">
        <f t="shared" si="262"/>
        <v>-7.2616731517508438E-4</v>
      </c>
      <c r="CI266" s="3">
        <f t="shared" si="263"/>
        <v>-7.8078793774318993E-3</v>
      </c>
      <c r="CJ266" s="3">
        <f t="shared" si="264"/>
        <v>-1.3900778210116855E-3</v>
      </c>
      <c r="CK266" s="3">
        <f t="shared" si="265"/>
        <v>-5.1079766536964938E-3</v>
      </c>
      <c r="CL266" s="3">
        <f t="shared" si="266"/>
        <v>2.9182879377431803E-4</v>
      </c>
      <c r="CM266" s="3">
        <f t="shared" si="267"/>
        <v>-4.8866731517510122E-3</v>
      </c>
      <c r="CN266" s="3">
        <f t="shared" si="268"/>
        <v>-1.0802529182880431E-3</v>
      </c>
      <c r="CO266" s="3">
        <f t="shared" si="269"/>
        <v>1.590466926069978E-4</v>
      </c>
      <c r="CP266" s="3">
        <f t="shared" si="270"/>
        <v>-2.8506809338522078E-3</v>
      </c>
      <c r="CQ266" s="3">
        <f t="shared" si="271"/>
        <v>9.1147859922175985E-4</v>
      </c>
      <c r="CR266" s="3">
        <f t="shared" si="272"/>
        <v>-1.788424124513646E-3</v>
      </c>
      <c r="CS266" s="3">
        <f t="shared" si="273"/>
        <v>1.8409533073930012E-3</v>
      </c>
      <c r="CT266" s="3">
        <f t="shared" si="274"/>
        <v>1.590466926069978E-4</v>
      </c>
      <c r="CU266" s="3">
        <f t="shared" si="275"/>
        <v>-1.1525778210116865E-2</v>
      </c>
      <c r="CV266" s="3">
        <f t="shared" si="276"/>
        <v>-6.480058365758855E-3</v>
      </c>
      <c r="CW266" s="3">
        <f t="shared" si="277"/>
        <v>-3.5588521400778104E-3</v>
      </c>
      <c r="CX266" s="3">
        <f t="shared" si="278"/>
        <v>-5.933852140079215E-4</v>
      </c>
      <c r="CY266" s="3">
        <f t="shared" si="279"/>
        <v>1.3098249027237204E-3</v>
      </c>
      <c r="CZ266" s="3">
        <f t="shared" si="280"/>
        <v>-6.2256809338640684E-5</v>
      </c>
      <c r="DA266" s="3">
        <f t="shared" si="281"/>
        <v>-9.9173151750972478E-4</v>
      </c>
      <c r="DB266" s="3">
        <f t="shared" si="282"/>
        <v>-5.5505836575876133E-3</v>
      </c>
      <c r="DC266" s="3">
        <f t="shared" si="283"/>
        <v>-5.933852140079215E-4</v>
      </c>
      <c r="DD266" s="3">
        <f t="shared" si="284"/>
        <v>-4.7981517509728512E-3</v>
      </c>
      <c r="DE266" s="3">
        <f t="shared" si="285"/>
        <v>-5.933852140079215E-4</v>
      </c>
      <c r="DF266" s="3">
        <f t="shared" si="286"/>
        <v>1.663910505836522E-3</v>
      </c>
      <c r="DG266" s="3">
        <f t="shared" si="287"/>
        <v>-1.0197957198443663E-2</v>
      </c>
      <c r="DH266" s="3">
        <f t="shared" si="288"/>
        <v>-4.1634241245144213E-4</v>
      </c>
      <c r="DI266" s="3">
        <f t="shared" si="289"/>
        <v>-2.9392023346303687E-3</v>
      </c>
      <c r="DJ266" s="3">
        <f t="shared" si="290"/>
        <v>6.4591439688711945E-4</v>
      </c>
      <c r="DK266" s="3">
        <f t="shared" si="291"/>
        <v>-1.2572957198443652E-3</v>
      </c>
      <c r="DL266" s="3">
        <f t="shared" si="292"/>
        <v>-4.3112840466927298E-3</v>
      </c>
      <c r="DM266" s="3">
        <f t="shared" si="293"/>
        <v>-7.8078793774318993E-3</v>
      </c>
      <c r="DN266" s="3">
        <f t="shared" si="294"/>
        <v>-1.3458171206226835E-3</v>
      </c>
      <c r="DO266" s="3">
        <f t="shared" si="295"/>
        <v>-3.4703307392996495E-3</v>
      </c>
      <c r="DP266" s="3">
        <f t="shared" si="296"/>
        <v>4.2461089494163823E-4</v>
      </c>
      <c r="DQ266" s="3">
        <f t="shared" si="297"/>
        <v>-3.4260700389106475E-3</v>
      </c>
      <c r="DR266" s="3">
        <f t="shared" si="298"/>
        <v>-1.6999027237354851E-3</v>
      </c>
      <c r="DS266" s="3">
        <f t="shared" si="299"/>
        <v>-1.1437256809338547E-2</v>
      </c>
      <c r="DT266" s="3">
        <f t="shared" si="300"/>
        <v>-4.0899805447470912E-3</v>
      </c>
      <c r="DU266" s="3">
        <f t="shared" si="301"/>
        <v>-1.035992217898884E-3</v>
      </c>
      <c r="DV266" s="3">
        <f t="shared" si="302"/>
        <v>-5.9931906614787336E-3</v>
      </c>
      <c r="DW266" s="3">
        <f t="shared" si="303"/>
        <v>-5.2407587548638137E-3</v>
      </c>
    </row>
    <row r="267" spans="2:127" x14ac:dyDescent="0.45">
      <c r="B267" s="1">
        <v>24</v>
      </c>
      <c r="C267" s="1">
        <v>3870</v>
      </c>
      <c r="D267" s="7">
        <f t="shared" si="304"/>
        <v>22.681318681318682</v>
      </c>
      <c r="E267" s="1">
        <v>22.576000000000001</v>
      </c>
      <c r="F267" s="1">
        <v>22.643000000000001</v>
      </c>
      <c r="G267" s="1">
        <v>22.689</v>
      </c>
      <c r="H267" s="1">
        <v>22.54</v>
      </c>
      <c r="I267" s="1">
        <v>22.66</v>
      </c>
      <c r="J267" s="1">
        <v>22.635000000000002</v>
      </c>
      <c r="K267" s="1">
        <v>22.78</v>
      </c>
      <c r="L267" s="1">
        <v>22.523</v>
      </c>
      <c r="M267" s="1">
        <v>22.733000000000001</v>
      </c>
      <c r="N267" s="1">
        <v>22.725999999999999</v>
      </c>
      <c r="O267" s="1">
        <v>22.649000000000001</v>
      </c>
      <c r="P267" s="1">
        <v>22.603000000000002</v>
      </c>
      <c r="Q267" s="1">
        <v>22.670999999999999</v>
      </c>
      <c r="R267" s="1">
        <v>22.645</v>
      </c>
      <c r="S267" s="1">
        <v>22.66</v>
      </c>
      <c r="T267" s="1">
        <v>22.707000000000001</v>
      </c>
      <c r="U267" s="1">
        <v>22.667999999999999</v>
      </c>
      <c r="V267" s="1">
        <v>22.616</v>
      </c>
      <c r="W267" s="1">
        <v>22.666</v>
      </c>
      <c r="X267" s="1">
        <v>22.506</v>
      </c>
      <c r="Y267" s="1">
        <v>22.65</v>
      </c>
      <c r="Z267" s="1">
        <v>22.567</v>
      </c>
      <c r="AA267" s="1">
        <v>22.687000000000001</v>
      </c>
      <c r="AB267" s="1">
        <v>22.57</v>
      </c>
      <c r="AC267" s="1">
        <v>22.658000000000001</v>
      </c>
      <c r="AD267" s="1">
        <v>22.687000000000001</v>
      </c>
      <c r="AE267" s="1">
        <v>22.617999999999999</v>
      </c>
      <c r="AF267" s="1">
        <v>22.702000000000002</v>
      </c>
      <c r="AG267" s="1">
        <v>22.638999999999999</v>
      </c>
      <c r="AH267" s="1">
        <v>22.725999999999999</v>
      </c>
      <c r="AI267" s="1">
        <v>22.687999999999999</v>
      </c>
      <c r="AJ267" s="1">
        <v>22.422000000000001</v>
      </c>
      <c r="AK267" s="1">
        <v>22.535</v>
      </c>
      <c r="AL267" s="1">
        <v>22.600999999999999</v>
      </c>
      <c r="AM267" s="1">
        <v>22.667999999999999</v>
      </c>
      <c r="AN267" s="1">
        <v>22.710999999999999</v>
      </c>
      <c r="AO267" s="1">
        <v>22.683</v>
      </c>
      <c r="AP267" s="1">
        <v>22.658000000000001</v>
      </c>
      <c r="AQ267" s="1">
        <v>22.555</v>
      </c>
      <c r="AR267" s="1">
        <v>22.667999999999999</v>
      </c>
      <c r="AS267" s="1">
        <v>22.571000000000002</v>
      </c>
      <c r="AT267" s="1">
        <v>22.667999999999999</v>
      </c>
      <c r="AU267" s="1">
        <v>22.718</v>
      </c>
      <c r="AV267" s="1">
        <v>22.446999999999999</v>
      </c>
      <c r="AW267" s="1">
        <v>22.670999999999999</v>
      </c>
      <c r="AX267" s="1">
        <v>22.616</v>
      </c>
      <c r="AY267" s="1">
        <v>22.696000000000002</v>
      </c>
      <c r="AZ267" s="1">
        <v>22.655999999999999</v>
      </c>
      <c r="BA267" s="1">
        <v>22.585000000000001</v>
      </c>
      <c r="BB267" s="1">
        <v>22.506</v>
      </c>
      <c r="BC267" s="1">
        <v>22.65</v>
      </c>
      <c r="BD267" s="1">
        <v>22.600999999999999</v>
      </c>
      <c r="BE267" s="1">
        <v>22.690999999999999</v>
      </c>
      <c r="BF267" s="1">
        <v>22.600999999999999</v>
      </c>
      <c r="BG267" s="1">
        <v>22.645</v>
      </c>
      <c r="BH267" s="1">
        <v>22.422000000000001</v>
      </c>
      <c r="BI267" s="1">
        <v>22.59</v>
      </c>
      <c r="BJ267" s="1">
        <v>22.66</v>
      </c>
      <c r="BK267" s="1">
        <v>22.550999999999998</v>
      </c>
      <c r="BL267" s="1">
        <v>22.562000000000001</v>
      </c>
      <c r="BN267" s="1">
        <v>24</v>
      </c>
      <c r="BO267" s="1">
        <v>3870</v>
      </c>
      <c r="BP267" s="3">
        <f t="shared" si="244"/>
        <v>-4.6434108527132053E-3</v>
      </c>
      <c r="BQ267" s="3">
        <f t="shared" si="245"/>
        <v>-1.6894379844961437E-3</v>
      </c>
      <c r="BR267" s="3">
        <f t="shared" si="246"/>
        <v>3.3866279069762699E-4</v>
      </c>
      <c r="BS267" s="3">
        <f t="shared" si="247"/>
        <v>-6.2306201550388473E-3</v>
      </c>
      <c r="BT267" s="3">
        <f t="shared" si="248"/>
        <v>-9.3992248062019863E-4</v>
      </c>
      <c r="BU267" s="3">
        <f t="shared" si="249"/>
        <v>-2.0421511627906784E-3</v>
      </c>
      <c r="BV267" s="3">
        <f t="shared" si="250"/>
        <v>4.3507751937984498E-3</v>
      </c>
      <c r="BW267" s="3">
        <f t="shared" si="251"/>
        <v>-6.9801356589147918E-3</v>
      </c>
      <c r="BX267" s="3">
        <f t="shared" si="252"/>
        <v>2.2785852713178034E-3</v>
      </c>
      <c r="BY267" s="3">
        <f t="shared" si="253"/>
        <v>1.9699612403099873E-3</v>
      </c>
      <c r="BZ267" s="3">
        <f t="shared" si="254"/>
        <v>-1.4249031007752037E-3</v>
      </c>
      <c r="CA267" s="3">
        <f t="shared" si="255"/>
        <v>-3.4530038759689745E-3</v>
      </c>
      <c r="CB267" s="3">
        <f t="shared" si="256"/>
        <v>-4.5494186046519372E-4</v>
      </c>
      <c r="CC267" s="3">
        <f t="shared" si="257"/>
        <v>-1.6012596899225493E-3</v>
      </c>
      <c r="CD267" s="3">
        <f t="shared" si="258"/>
        <v>-9.3992248062019863E-4</v>
      </c>
      <c r="CE267" s="3">
        <f t="shared" si="259"/>
        <v>1.1322674418604477E-3</v>
      </c>
      <c r="CF267" s="3">
        <f t="shared" si="260"/>
        <v>-5.8720930232566385E-4</v>
      </c>
      <c r="CG267" s="3">
        <f t="shared" si="261"/>
        <v>-2.879844961240375E-3</v>
      </c>
      <c r="CH267" s="3">
        <f t="shared" si="262"/>
        <v>-6.7538759689925838E-4</v>
      </c>
      <c r="CI267" s="3">
        <f t="shared" si="263"/>
        <v>-7.7296511627907372E-3</v>
      </c>
      <c r="CJ267" s="3">
        <f t="shared" si="264"/>
        <v>-1.3808139534884846E-3</v>
      </c>
      <c r="CK267" s="3">
        <f t="shared" si="265"/>
        <v>-5.040213178294616E-3</v>
      </c>
      <c r="CL267" s="3">
        <f t="shared" si="266"/>
        <v>2.5048449612403246E-4</v>
      </c>
      <c r="CM267" s="3">
        <f t="shared" si="267"/>
        <v>-4.9079457364341458E-3</v>
      </c>
      <c r="CN267" s="3">
        <f t="shared" si="268"/>
        <v>-1.0281007751937932E-3</v>
      </c>
      <c r="CO267" s="3">
        <f t="shared" si="269"/>
        <v>2.5048449612403246E-4</v>
      </c>
      <c r="CP267" s="3">
        <f t="shared" si="270"/>
        <v>-2.7916666666667803E-3</v>
      </c>
      <c r="CQ267" s="3">
        <f t="shared" si="271"/>
        <v>9.1182170542638305E-4</v>
      </c>
      <c r="CR267" s="3">
        <f t="shared" si="272"/>
        <v>-1.8657945736434895E-3</v>
      </c>
      <c r="CS267" s="3">
        <f t="shared" si="273"/>
        <v>1.9699612403099873E-3</v>
      </c>
      <c r="CT267" s="3">
        <f t="shared" si="274"/>
        <v>2.9457364341075139E-4</v>
      </c>
      <c r="CU267" s="3">
        <f t="shared" si="275"/>
        <v>-1.1433139534883743E-2</v>
      </c>
      <c r="CV267" s="3">
        <f t="shared" si="276"/>
        <v>-6.4510658914729117E-3</v>
      </c>
      <c r="CW267" s="3">
        <f t="shared" si="277"/>
        <v>-3.5411821705427257E-3</v>
      </c>
      <c r="CX267" s="3">
        <f t="shared" si="278"/>
        <v>-5.8720930232566385E-4</v>
      </c>
      <c r="CY267" s="3">
        <f t="shared" si="279"/>
        <v>1.3086240310076368E-3</v>
      </c>
      <c r="CZ267" s="3">
        <f t="shared" si="280"/>
        <v>7.4127906976686751E-5</v>
      </c>
      <c r="DA267" s="3">
        <f t="shared" si="281"/>
        <v>-1.0281007751937932E-3</v>
      </c>
      <c r="DB267" s="3">
        <f t="shared" si="282"/>
        <v>-5.5692829457364961E-3</v>
      </c>
      <c r="DC267" s="3">
        <f t="shared" si="283"/>
        <v>-5.8720930232566385E-4</v>
      </c>
      <c r="DD267" s="3">
        <f t="shared" si="284"/>
        <v>-4.8638565891472698E-3</v>
      </c>
      <c r="DE267" s="3">
        <f t="shared" si="285"/>
        <v>-5.8720930232566385E-4</v>
      </c>
      <c r="DF267" s="3">
        <f t="shared" si="286"/>
        <v>1.6172480620154526E-3</v>
      </c>
      <c r="DG267" s="3">
        <f t="shared" si="287"/>
        <v>-1.0330910852713263E-2</v>
      </c>
      <c r="DH267" s="3">
        <f t="shared" si="288"/>
        <v>-4.5494186046519372E-4</v>
      </c>
      <c r="DI267" s="3">
        <f t="shared" si="289"/>
        <v>-2.879844961240375E-3</v>
      </c>
      <c r="DJ267" s="3">
        <f t="shared" si="290"/>
        <v>6.4728682170544279E-4</v>
      </c>
      <c r="DK267" s="3">
        <f t="shared" si="291"/>
        <v>-1.1162790697675444E-3</v>
      </c>
      <c r="DL267" s="3">
        <f t="shared" si="292"/>
        <v>-4.2466085271317955E-3</v>
      </c>
      <c r="DM267" s="3">
        <f t="shared" si="293"/>
        <v>-7.7296511627907372E-3</v>
      </c>
      <c r="DN267" s="3">
        <f t="shared" si="294"/>
        <v>-1.3808139534884846E-3</v>
      </c>
      <c r="DO267" s="3">
        <f t="shared" si="295"/>
        <v>-3.5411821705427257E-3</v>
      </c>
      <c r="DP267" s="3">
        <f t="shared" si="296"/>
        <v>4.2684108527122152E-4</v>
      </c>
      <c r="DQ267" s="3">
        <f t="shared" si="297"/>
        <v>-3.5411821705427257E-3</v>
      </c>
      <c r="DR267" s="3">
        <f t="shared" si="298"/>
        <v>-1.6012596899225493E-3</v>
      </c>
      <c r="DS267" s="3">
        <f t="shared" si="299"/>
        <v>-1.1433139534883743E-2</v>
      </c>
      <c r="DT267" s="3">
        <f t="shared" si="300"/>
        <v>-4.0261627906977302E-3</v>
      </c>
      <c r="DU267" s="3">
        <f t="shared" si="301"/>
        <v>-9.3992248062019863E-4</v>
      </c>
      <c r="DV267" s="3">
        <f t="shared" si="302"/>
        <v>-5.7456395348838424E-3</v>
      </c>
      <c r="DW267" s="3">
        <f t="shared" si="303"/>
        <v>-5.2606589147286805E-3</v>
      </c>
    </row>
    <row r="268" spans="2:127" x14ac:dyDescent="0.45">
      <c r="B268" s="1">
        <v>24</v>
      </c>
      <c r="C268" s="1">
        <v>3885</v>
      </c>
      <c r="D268" s="7">
        <f t="shared" si="304"/>
        <v>22.76923076923077</v>
      </c>
      <c r="E268" s="1">
        <v>22.661999999999999</v>
      </c>
      <c r="F268" s="1">
        <v>22.733000000000001</v>
      </c>
      <c r="G268" s="1">
        <v>22.776</v>
      </c>
      <c r="H268" s="1">
        <v>22.626999999999999</v>
      </c>
      <c r="I268" s="1">
        <v>22.748000000000001</v>
      </c>
      <c r="J268" s="1">
        <v>22.722999999999999</v>
      </c>
      <c r="K268" s="1">
        <v>22.869</v>
      </c>
      <c r="L268" s="1">
        <v>22.603000000000002</v>
      </c>
      <c r="M268" s="1">
        <v>22.821999999999999</v>
      </c>
      <c r="N268" s="1">
        <v>22.815999999999999</v>
      </c>
      <c r="O268" s="1">
        <v>22.734000000000002</v>
      </c>
      <c r="P268" s="1">
        <v>22.689</v>
      </c>
      <c r="Q268" s="1">
        <v>22.756</v>
      </c>
      <c r="R268" s="1">
        <v>22.731999999999999</v>
      </c>
      <c r="S268" s="1">
        <v>22.745999999999999</v>
      </c>
      <c r="T268" s="1">
        <v>22.795000000000002</v>
      </c>
      <c r="U268" s="1">
        <v>22.756</v>
      </c>
      <c r="V268" s="1">
        <v>22.702999999999999</v>
      </c>
      <c r="W268" s="1">
        <v>22.754999999999999</v>
      </c>
      <c r="X268" s="1">
        <v>22.594999999999999</v>
      </c>
      <c r="Y268" s="1">
        <v>22.738</v>
      </c>
      <c r="Z268" s="1">
        <v>22.654</v>
      </c>
      <c r="AA268" s="1">
        <v>22.774999999999999</v>
      </c>
      <c r="AB268" s="1">
        <v>22.657</v>
      </c>
      <c r="AC268" s="1">
        <v>22.745000000000001</v>
      </c>
      <c r="AD268" s="1">
        <v>22.777999999999999</v>
      </c>
      <c r="AE268" s="1">
        <v>22.706</v>
      </c>
      <c r="AF268" s="1">
        <v>22.786999999999999</v>
      </c>
      <c r="AG268" s="1">
        <v>22.722999999999999</v>
      </c>
      <c r="AH268" s="1">
        <v>22.812999999999999</v>
      </c>
      <c r="AI268" s="1">
        <v>22.779</v>
      </c>
      <c r="AJ268" s="1">
        <v>22.512</v>
      </c>
      <c r="AK268" s="1">
        <v>22.62</v>
      </c>
      <c r="AL268" s="1">
        <v>22.689</v>
      </c>
      <c r="AM268" s="1">
        <v>22.754999999999999</v>
      </c>
      <c r="AN268" s="1">
        <v>22.800999999999998</v>
      </c>
      <c r="AO268" s="1">
        <v>22.771000000000001</v>
      </c>
      <c r="AP268" s="1">
        <v>22.745000000000001</v>
      </c>
      <c r="AQ268" s="1">
        <v>22.638999999999999</v>
      </c>
      <c r="AR268" s="1">
        <v>22.754999999999999</v>
      </c>
      <c r="AS268" s="1">
        <v>22.658000000000001</v>
      </c>
      <c r="AT268" s="1">
        <v>22.753</v>
      </c>
      <c r="AU268" s="1">
        <v>22.806000000000001</v>
      </c>
      <c r="AV268" s="1">
        <v>22.533999999999999</v>
      </c>
      <c r="AW268" s="1">
        <v>22.759</v>
      </c>
      <c r="AX268" s="1">
        <v>22.702999999999999</v>
      </c>
      <c r="AY268" s="1">
        <v>22.783999999999999</v>
      </c>
      <c r="AZ268" s="1">
        <v>22.742000000000001</v>
      </c>
      <c r="BA268" s="1">
        <v>22.672999999999998</v>
      </c>
      <c r="BB268" s="1">
        <v>22.591999999999999</v>
      </c>
      <c r="BC268" s="1">
        <v>22.74</v>
      </c>
      <c r="BD268" s="1">
        <v>22.689</v>
      </c>
      <c r="BE268" s="1">
        <v>22.779</v>
      </c>
      <c r="BF268" s="1">
        <v>22.689</v>
      </c>
      <c r="BG268" s="1">
        <v>22.736999999999998</v>
      </c>
      <c r="BH268" s="1">
        <v>22.504999999999999</v>
      </c>
      <c r="BI268" s="1">
        <v>22.68</v>
      </c>
      <c r="BJ268" s="1">
        <v>22.748999999999999</v>
      </c>
      <c r="BK268" s="1">
        <v>22.631</v>
      </c>
      <c r="BL268" s="1">
        <v>22.652000000000001</v>
      </c>
      <c r="BN268" s="1">
        <v>24</v>
      </c>
      <c r="BO268" s="1">
        <v>3885</v>
      </c>
      <c r="BP268" s="3">
        <f t="shared" si="244"/>
        <v>-4.7094594594595382E-3</v>
      </c>
      <c r="BQ268" s="3">
        <f t="shared" si="245"/>
        <v>-1.5912162162162284E-3</v>
      </c>
      <c r="BR268" s="3">
        <f t="shared" si="246"/>
        <v>2.9729729729725254E-4</v>
      </c>
      <c r="BS268" s="3">
        <f t="shared" si="247"/>
        <v>-6.2466216216217063E-3</v>
      </c>
      <c r="BT268" s="3">
        <f t="shared" si="248"/>
        <v>-9.324324324324197E-4</v>
      </c>
      <c r="BU268" s="3">
        <f t="shared" si="249"/>
        <v>-2.0304054054054864E-3</v>
      </c>
      <c r="BV268" s="3">
        <f t="shared" si="250"/>
        <v>4.3817567567567108E-3</v>
      </c>
      <c r="BW268" s="3">
        <f t="shared" si="251"/>
        <v>-7.3006756756756443E-3</v>
      </c>
      <c r="BX268" s="3">
        <f t="shared" si="252"/>
        <v>2.3175675675674952E-3</v>
      </c>
      <c r="BY268" s="3">
        <f t="shared" si="253"/>
        <v>2.0540540540539718E-3</v>
      </c>
      <c r="BZ268" s="3">
        <f t="shared" si="254"/>
        <v>-1.5472972972972558E-3</v>
      </c>
      <c r="CA268" s="3">
        <f t="shared" si="255"/>
        <v>-3.523648648648682E-3</v>
      </c>
      <c r="CB268" s="3">
        <f t="shared" si="256"/>
        <v>-5.8108108108110711E-4</v>
      </c>
      <c r="CC268" s="3">
        <f t="shared" si="257"/>
        <v>-1.635135135135201E-3</v>
      </c>
      <c r="CD268" s="3">
        <f t="shared" si="258"/>
        <v>-1.0202702702703649E-3</v>
      </c>
      <c r="CE268" s="3">
        <f t="shared" si="259"/>
        <v>1.1317567567567955E-3</v>
      </c>
      <c r="CF268" s="3">
        <f t="shared" si="260"/>
        <v>-5.8108108108110711E-4</v>
      </c>
      <c r="CG268" s="3">
        <f t="shared" si="261"/>
        <v>-2.9087837837838458E-3</v>
      </c>
      <c r="CH268" s="3">
        <f t="shared" si="262"/>
        <v>-6.250000000000797E-4</v>
      </c>
      <c r="CI268" s="3">
        <f t="shared" si="263"/>
        <v>-7.6520270270271128E-3</v>
      </c>
      <c r="CJ268" s="3">
        <f t="shared" si="264"/>
        <v>-1.3716216216216775E-3</v>
      </c>
      <c r="CK268" s="3">
        <f t="shared" si="265"/>
        <v>-5.0608108108108505E-3</v>
      </c>
      <c r="CL268" s="3">
        <f t="shared" si="266"/>
        <v>2.5337837837827995E-4</v>
      </c>
      <c r="CM268" s="3">
        <f t="shared" si="267"/>
        <v>-4.9290540540540889E-3</v>
      </c>
      <c r="CN268" s="3">
        <f t="shared" si="268"/>
        <v>-1.0641891891891816E-3</v>
      </c>
      <c r="CO268" s="3">
        <f t="shared" si="269"/>
        <v>3.8513513513504171E-4</v>
      </c>
      <c r="CP268" s="3">
        <f t="shared" si="270"/>
        <v>-2.7770270270270842E-3</v>
      </c>
      <c r="CQ268" s="3">
        <f t="shared" si="271"/>
        <v>7.804054054053269E-4</v>
      </c>
      <c r="CR268" s="3">
        <f t="shared" si="272"/>
        <v>-2.0304054054054864E-3</v>
      </c>
      <c r="CS268" s="3">
        <f t="shared" si="273"/>
        <v>1.92229729729721E-3</v>
      </c>
      <c r="CT268" s="3">
        <f t="shared" si="274"/>
        <v>4.290540540540143E-4</v>
      </c>
      <c r="CU268" s="3">
        <f t="shared" si="275"/>
        <v>-1.1297297297297313E-2</v>
      </c>
      <c r="CV268" s="3">
        <f t="shared" si="276"/>
        <v>-6.5540540540540461E-3</v>
      </c>
      <c r="CW268" s="3">
        <f t="shared" si="277"/>
        <v>-3.523648648648682E-3</v>
      </c>
      <c r="CX268" s="3">
        <f t="shared" si="278"/>
        <v>-6.250000000000797E-4</v>
      </c>
      <c r="CY268" s="3">
        <f t="shared" si="279"/>
        <v>1.3952702702701631E-3</v>
      </c>
      <c r="CZ268" s="3">
        <f t="shared" si="280"/>
        <v>7.7702702702701646E-5</v>
      </c>
      <c r="DA268" s="3">
        <f t="shared" si="281"/>
        <v>-1.0641891891891816E-3</v>
      </c>
      <c r="DB268" s="3">
        <f t="shared" si="282"/>
        <v>-5.7195945945946588E-3</v>
      </c>
      <c r="DC268" s="3">
        <f t="shared" si="283"/>
        <v>-6.250000000000797E-4</v>
      </c>
      <c r="DD268" s="3">
        <f t="shared" si="284"/>
        <v>-4.8851351351351163E-3</v>
      </c>
      <c r="DE268" s="3">
        <f t="shared" si="285"/>
        <v>-7.1283783783786887E-4</v>
      </c>
      <c r="DF268" s="3">
        <f t="shared" si="286"/>
        <v>1.61486486486487E-3</v>
      </c>
      <c r="DG268" s="3">
        <f t="shared" si="287"/>
        <v>-1.0331081081081165E-2</v>
      </c>
      <c r="DH268" s="3">
        <f t="shared" si="288"/>
        <v>-4.4932432432434534E-4</v>
      </c>
      <c r="DI268" s="3">
        <f t="shared" si="289"/>
        <v>-2.9087837837838458E-3</v>
      </c>
      <c r="DJ268" s="3">
        <f t="shared" si="290"/>
        <v>6.4864864864856513E-4</v>
      </c>
      <c r="DK268" s="3">
        <f t="shared" si="291"/>
        <v>-1.1959459459459432E-3</v>
      </c>
      <c r="DL268" s="3">
        <f t="shared" si="292"/>
        <v>-4.2263513513514633E-3</v>
      </c>
      <c r="DM268" s="3">
        <f t="shared" si="293"/>
        <v>-7.7837837837838745E-3</v>
      </c>
      <c r="DN268" s="3">
        <f t="shared" si="294"/>
        <v>-1.2837837837838884E-3</v>
      </c>
      <c r="DO268" s="3">
        <f t="shared" si="295"/>
        <v>-3.523648648648682E-3</v>
      </c>
      <c r="DP268" s="3">
        <f t="shared" si="296"/>
        <v>4.290540540540143E-4</v>
      </c>
      <c r="DQ268" s="3">
        <f t="shared" si="297"/>
        <v>-3.523648648648682E-3</v>
      </c>
      <c r="DR268" s="3">
        <f t="shared" si="298"/>
        <v>-1.4155405405406501E-3</v>
      </c>
      <c r="DS268" s="3">
        <f t="shared" si="299"/>
        <v>-1.1604729729729809E-2</v>
      </c>
      <c r="DT268" s="3">
        <f t="shared" si="300"/>
        <v>-3.9189189189189674E-3</v>
      </c>
      <c r="DU268" s="3">
        <f t="shared" si="301"/>
        <v>-8.8851351351360312E-4</v>
      </c>
      <c r="DV268" s="3">
        <f t="shared" si="302"/>
        <v>-6.0709459459459721E-3</v>
      </c>
      <c r="DW268" s="3">
        <f t="shared" si="303"/>
        <v>-5.1486486486486396E-3</v>
      </c>
    </row>
    <row r="269" spans="2:127" x14ac:dyDescent="0.45">
      <c r="B269" s="1">
        <v>24</v>
      </c>
      <c r="C269" s="1">
        <v>3900</v>
      </c>
      <c r="D269" s="7">
        <f t="shared" si="304"/>
        <v>22.857142857142858</v>
      </c>
      <c r="E269" s="1">
        <v>22.751999999999999</v>
      </c>
      <c r="F269" s="1">
        <v>22.821000000000002</v>
      </c>
      <c r="G269" s="1">
        <v>22.864000000000001</v>
      </c>
      <c r="H269" s="1">
        <v>22.715</v>
      </c>
      <c r="I269" s="1">
        <v>22.835000000000001</v>
      </c>
      <c r="J269" s="1">
        <v>22.809000000000001</v>
      </c>
      <c r="K269" s="1">
        <v>22.954999999999998</v>
      </c>
      <c r="L269" s="1">
        <v>22.692</v>
      </c>
      <c r="M269" s="1">
        <v>22.908999999999999</v>
      </c>
      <c r="N269" s="1">
        <v>22.902000000000001</v>
      </c>
      <c r="O269" s="1">
        <v>22.821999999999999</v>
      </c>
      <c r="P269" s="1">
        <v>22.776</v>
      </c>
      <c r="Q269" s="1">
        <v>22.844999999999999</v>
      </c>
      <c r="R269" s="1">
        <v>22.818000000000001</v>
      </c>
      <c r="S269" s="1">
        <v>22.835000000000001</v>
      </c>
      <c r="T269" s="1">
        <v>22.885000000000002</v>
      </c>
      <c r="U269" s="1">
        <v>22.841000000000001</v>
      </c>
      <c r="V269" s="1">
        <v>22.792999999999999</v>
      </c>
      <c r="W269" s="1">
        <v>22.844000000000001</v>
      </c>
      <c r="X269" s="1">
        <v>22.68</v>
      </c>
      <c r="Y269" s="1">
        <v>22.827999999999999</v>
      </c>
      <c r="Z269" s="1">
        <v>22.741</v>
      </c>
      <c r="AA269" s="1">
        <v>22.861999999999998</v>
      </c>
      <c r="AB269" s="1">
        <v>22.744</v>
      </c>
      <c r="AC269" s="1">
        <v>22.829000000000001</v>
      </c>
      <c r="AD269" s="1">
        <v>22.864000000000001</v>
      </c>
      <c r="AE269" s="1">
        <v>22.792999999999999</v>
      </c>
      <c r="AF269" s="1">
        <v>22.876999999999999</v>
      </c>
      <c r="AG269" s="1">
        <v>22.812000000000001</v>
      </c>
      <c r="AH269" s="1">
        <v>22.902000000000001</v>
      </c>
      <c r="AI269" s="1">
        <v>22.867000000000001</v>
      </c>
      <c r="AJ269" s="1">
        <v>22.596</v>
      </c>
      <c r="AK269" s="1">
        <v>22.71</v>
      </c>
      <c r="AL269" s="1">
        <v>22.776</v>
      </c>
      <c r="AM269" s="1">
        <v>22.841000000000001</v>
      </c>
      <c r="AN269" s="1">
        <v>22.89</v>
      </c>
      <c r="AO269" s="1">
        <v>22.86</v>
      </c>
      <c r="AP269" s="1">
        <v>22.831</v>
      </c>
      <c r="AQ269" s="1">
        <v>22.725000000000001</v>
      </c>
      <c r="AR269" s="1">
        <v>22.843</v>
      </c>
      <c r="AS269" s="1">
        <v>22.745000000000001</v>
      </c>
      <c r="AT269" s="1">
        <v>22.841000000000001</v>
      </c>
      <c r="AU269" s="1">
        <v>22.893000000000001</v>
      </c>
      <c r="AV269" s="1">
        <v>22.623000000000001</v>
      </c>
      <c r="AW269" s="1">
        <v>22.844999999999999</v>
      </c>
      <c r="AX269" s="1">
        <v>22.791</v>
      </c>
      <c r="AY269" s="1">
        <v>22.87</v>
      </c>
      <c r="AZ269" s="1">
        <v>22.831</v>
      </c>
      <c r="BA269" s="1">
        <v>22.760999999999999</v>
      </c>
      <c r="BB269" s="1">
        <v>22.68</v>
      </c>
      <c r="BC269" s="1">
        <v>22.829000000000001</v>
      </c>
      <c r="BD269" s="1">
        <v>22.779</v>
      </c>
      <c r="BE269" s="1">
        <v>22.864000000000001</v>
      </c>
      <c r="BF269" s="1">
        <v>22.771999999999998</v>
      </c>
      <c r="BG269" s="1">
        <v>22.824999999999999</v>
      </c>
      <c r="BH269" s="1">
        <v>22.600999999999999</v>
      </c>
      <c r="BI269" s="1">
        <v>22.77</v>
      </c>
      <c r="BJ269" s="1">
        <v>22.835999999999999</v>
      </c>
      <c r="BK269" s="1">
        <v>22.716999999999999</v>
      </c>
      <c r="BL269" s="1">
        <v>22.738</v>
      </c>
      <c r="BN269" s="1">
        <v>24</v>
      </c>
      <c r="BO269" s="1">
        <v>3900</v>
      </c>
      <c r="BP269" s="3">
        <f t="shared" si="244"/>
        <v>-4.6000000000000702E-3</v>
      </c>
      <c r="BQ269" s="3">
        <f t="shared" si="245"/>
        <v>-1.5812499999999562E-3</v>
      </c>
      <c r="BR269" s="3">
        <f t="shared" si="246"/>
        <v>3.0000000000001136E-4</v>
      </c>
      <c r="BS269" s="3">
        <f t="shared" si="247"/>
        <v>-6.2187500000000281E-3</v>
      </c>
      <c r="BT269" s="3">
        <f t="shared" si="248"/>
        <v>-9.6874999999998492E-4</v>
      </c>
      <c r="BU269" s="3">
        <f t="shared" si="249"/>
        <v>-2.1062499999999762E-3</v>
      </c>
      <c r="BV269" s="3">
        <f t="shared" si="250"/>
        <v>4.2812499999999032E-3</v>
      </c>
      <c r="BW269" s="3">
        <f t="shared" si="251"/>
        <v>-7.2250000000000144E-3</v>
      </c>
      <c r="BX269" s="3">
        <f t="shared" si="252"/>
        <v>2.2687499999999305E-3</v>
      </c>
      <c r="BY269" s="3">
        <f t="shared" si="253"/>
        <v>1.9625000000000224E-3</v>
      </c>
      <c r="BZ269" s="3">
        <f t="shared" si="254"/>
        <v>-1.5375000000000581E-3</v>
      </c>
      <c r="CA269" s="3">
        <f t="shared" si="255"/>
        <v>-3.550000000000031E-3</v>
      </c>
      <c r="CB269" s="3">
        <f t="shared" si="256"/>
        <v>-5.3125000000007192E-4</v>
      </c>
      <c r="CC269" s="3">
        <f t="shared" si="257"/>
        <v>-1.7124999999999612E-3</v>
      </c>
      <c r="CD269" s="3">
        <f t="shared" si="258"/>
        <v>-9.6874999999998492E-4</v>
      </c>
      <c r="CE269" s="3">
        <f t="shared" si="259"/>
        <v>1.2187500000000462E-3</v>
      </c>
      <c r="CF269" s="3">
        <f t="shared" si="260"/>
        <v>-7.0624999999997491E-4</v>
      </c>
      <c r="CG269" s="3">
        <f t="shared" si="261"/>
        <v>-2.8062500000000544E-3</v>
      </c>
      <c r="CH269" s="3">
        <f t="shared" si="262"/>
        <v>-5.7499999999996996E-4</v>
      </c>
      <c r="CI269" s="3">
        <f t="shared" si="263"/>
        <v>-7.7500000000000346E-3</v>
      </c>
      <c r="CJ269" s="3">
        <f t="shared" si="264"/>
        <v>-1.2750000000000482E-3</v>
      </c>
      <c r="CK269" s="3">
        <f t="shared" si="265"/>
        <v>-5.0812500000000371E-3</v>
      </c>
      <c r="CL269" s="3">
        <f t="shared" si="266"/>
        <v>2.1249999999990442E-4</v>
      </c>
      <c r="CM269" s="3">
        <f t="shared" si="267"/>
        <v>-4.9500000000000316E-3</v>
      </c>
      <c r="CN269" s="3">
        <f t="shared" si="268"/>
        <v>-1.2312499999999947E-3</v>
      </c>
      <c r="CO269" s="3">
        <f t="shared" si="269"/>
        <v>3.0000000000001136E-4</v>
      </c>
      <c r="CP269" s="3">
        <f t="shared" si="270"/>
        <v>-2.8062500000000544E-3</v>
      </c>
      <c r="CQ269" s="3">
        <f t="shared" si="271"/>
        <v>8.6874999999992926E-4</v>
      </c>
      <c r="CR269" s="3">
        <f t="shared" si="272"/>
        <v>-1.9749999999999711E-3</v>
      </c>
      <c r="CS269" s="3">
        <f t="shared" si="273"/>
        <v>1.9625000000000224E-3</v>
      </c>
      <c r="CT269" s="3">
        <f t="shared" si="274"/>
        <v>4.3125000000001631E-4</v>
      </c>
      <c r="CU269" s="3">
        <f t="shared" si="275"/>
        <v>-1.1425000000000018E-2</v>
      </c>
      <c r="CV269" s="3">
        <f t="shared" si="276"/>
        <v>-6.4374999999999849E-3</v>
      </c>
      <c r="CW269" s="3">
        <f t="shared" si="277"/>
        <v>-3.550000000000031E-3</v>
      </c>
      <c r="CX269" s="3">
        <f t="shared" si="278"/>
        <v>-7.0624999999997491E-4</v>
      </c>
      <c r="CY269" s="3">
        <f t="shared" si="279"/>
        <v>1.4375000000000026E-3</v>
      </c>
      <c r="CZ269" s="3">
        <f t="shared" si="280"/>
        <v>1.2499999999995292E-4</v>
      </c>
      <c r="DA269" s="3">
        <f t="shared" si="281"/>
        <v>-1.1437500000000434E-3</v>
      </c>
      <c r="DB269" s="3">
        <f t="shared" si="282"/>
        <v>-5.78124999999996E-3</v>
      </c>
      <c r="DC269" s="3">
        <f t="shared" si="283"/>
        <v>-6.1875000000002347E-4</v>
      </c>
      <c r="DD269" s="3">
        <f t="shared" si="284"/>
        <v>-4.9062499999999783E-3</v>
      </c>
      <c r="DE269" s="3">
        <f t="shared" si="285"/>
        <v>-7.0624999999997491E-4</v>
      </c>
      <c r="DF269" s="3">
        <f t="shared" si="286"/>
        <v>1.5687500000000076E-3</v>
      </c>
      <c r="DG269" s="3">
        <f t="shared" si="287"/>
        <v>-1.0243749999999973E-2</v>
      </c>
      <c r="DH269" s="3">
        <f t="shared" si="288"/>
        <v>-5.3125000000007192E-4</v>
      </c>
      <c r="DI269" s="3">
        <f t="shared" si="289"/>
        <v>-2.8937500000000061E-3</v>
      </c>
      <c r="DJ269" s="3">
        <f t="shared" si="290"/>
        <v>5.6250000000002132E-4</v>
      </c>
      <c r="DK269" s="3">
        <f t="shared" si="291"/>
        <v>-1.1437500000000434E-3</v>
      </c>
      <c r="DL269" s="3">
        <f t="shared" si="292"/>
        <v>-4.2062500000000554E-3</v>
      </c>
      <c r="DM269" s="3">
        <f t="shared" si="293"/>
        <v>-7.7500000000000346E-3</v>
      </c>
      <c r="DN269" s="3">
        <f t="shared" si="294"/>
        <v>-1.2312499999999947E-3</v>
      </c>
      <c r="DO269" s="3">
        <f t="shared" si="295"/>
        <v>-3.4187500000000259E-3</v>
      </c>
      <c r="DP269" s="3">
        <f t="shared" si="296"/>
        <v>3.0000000000001136E-4</v>
      </c>
      <c r="DQ269" s="3">
        <f t="shared" si="297"/>
        <v>-3.7250000000000894E-3</v>
      </c>
      <c r="DR269" s="3">
        <f t="shared" si="298"/>
        <v>-1.4062500000000533E-3</v>
      </c>
      <c r="DS269" s="3">
        <f t="shared" si="299"/>
        <v>-1.1206250000000062E-2</v>
      </c>
      <c r="DT269" s="3">
        <f t="shared" si="300"/>
        <v>-3.8125000000000407E-3</v>
      </c>
      <c r="DU269" s="3">
        <f t="shared" si="301"/>
        <v>-9.2500000000008689E-4</v>
      </c>
      <c r="DV269" s="3">
        <f t="shared" si="302"/>
        <v>-6.1312500000000767E-3</v>
      </c>
      <c r="DW269" s="3">
        <f t="shared" si="303"/>
        <v>-5.2125000000000418E-3</v>
      </c>
    </row>
    <row r="270" spans="2:127" x14ac:dyDescent="0.45">
      <c r="B270" s="1">
        <v>24</v>
      </c>
      <c r="C270" s="1">
        <v>3915</v>
      </c>
      <c r="D270" s="7">
        <f t="shared" si="304"/>
        <v>22.945054945054945</v>
      </c>
      <c r="E270" s="1">
        <v>22.843</v>
      </c>
      <c r="F270" s="1">
        <v>22.908000000000001</v>
      </c>
      <c r="G270" s="1">
        <v>22.951000000000001</v>
      </c>
      <c r="H270" s="1">
        <v>22.802</v>
      </c>
      <c r="I270" s="1">
        <v>22.920999999999999</v>
      </c>
      <c r="J270" s="1">
        <v>22.896999999999998</v>
      </c>
      <c r="K270" s="1">
        <v>23.044</v>
      </c>
      <c r="L270" s="1">
        <v>22.771999999999998</v>
      </c>
      <c r="M270" s="1">
        <v>22.997</v>
      </c>
      <c r="N270" s="1">
        <v>22.992999999999999</v>
      </c>
      <c r="O270" s="1">
        <v>22.907</v>
      </c>
      <c r="P270" s="1">
        <v>22.866</v>
      </c>
      <c r="Q270" s="1">
        <v>22.934000000000001</v>
      </c>
      <c r="R270" s="1">
        <v>22.907</v>
      </c>
      <c r="S270" s="1">
        <v>22.922999999999998</v>
      </c>
      <c r="T270" s="1">
        <v>22.972999999999999</v>
      </c>
      <c r="U270" s="1">
        <v>22.931000000000001</v>
      </c>
      <c r="V270" s="1">
        <v>22.879000000000001</v>
      </c>
      <c r="W270" s="1">
        <v>22.931000000000001</v>
      </c>
      <c r="X270" s="1">
        <v>22.768000000000001</v>
      </c>
      <c r="Y270" s="1">
        <v>22.916</v>
      </c>
      <c r="Z270" s="1">
        <v>22.827999999999999</v>
      </c>
      <c r="AA270" s="1">
        <v>22.95</v>
      </c>
      <c r="AB270" s="1">
        <v>22.831</v>
      </c>
      <c r="AC270" s="1">
        <v>22.917000000000002</v>
      </c>
      <c r="AD270" s="1">
        <v>22.954000000000001</v>
      </c>
      <c r="AE270" s="1">
        <v>22.881</v>
      </c>
      <c r="AF270" s="1">
        <v>22.962</v>
      </c>
      <c r="AG270" s="1">
        <v>22.896000000000001</v>
      </c>
      <c r="AH270" s="1">
        <v>22.991</v>
      </c>
      <c r="AI270" s="1">
        <v>22.957000000000001</v>
      </c>
      <c r="AJ270" s="1">
        <v>22.684000000000001</v>
      </c>
      <c r="AK270" s="1">
        <v>22.797000000000001</v>
      </c>
      <c r="AL270" s="1">
        <v>22.863</v>
      </c>
      <c r="AM270" s="1">
        <v>22.931000000000001</v>
      </c>
      <c r="AN270" s="1">
        <v>22.98</v>
      </c>
      <c r="AO270" s="1">
        <v>22.946999999999999</v>
      </c>
      <c r="AP270" s="1">
        <v>22.917000000000002</v>
      </c>
      <c r="AQ270" s="1">
        <v>22.812000000000001</v>
      </c>
      <c r="AR270" s="1">
        <v>22.931000000000001</v>
      </c>
      <c r="AS270" s="1">
        <v>22.835000000000001</v>
      </c>
      <c r="AT270" s="1">
        <v>22.93</v>
      </c>
      <c r="AU270" s="1">
        <v>22.981000000000002</v>
      </c>
      <c r="AV270" s="1">
        <v>22.71</v>
      </c>
      <c r="AW270" s="1">
        <v>22.931999999999999</v>
      </c>
      <c r="AX270" s="1">
        <v>22.878</v>
      </c>
      <c r="AY270" s="1">
        <v>22.957000000000001</v>
      </c>
      <c r="AZ270" s="1">
        <v>22.92</v>
      </c>
      <c r="BA270" s="1">
        <v>22.850999999999999</v>
      </c>
      <c r="BB270" s="1">
        <v>22.765000000000001</v>
      </c>
      <c r="BC270" s="1">
        <v>22.917000000000002</v>
      </c>
      <c r="BD270" s="1">
        <v>22.867000000000001</v>
      </c>
      <c r="BE270" s="1">
        <v>22.951000000000001</v>
      </c>
      <c r="BF270" s="1">
        <v>22.859000000000002</v>
      </c>
      <c r="BG270" s="1">
        <v>22.911000000000001</v>
      </c>
      <c r="BH270" s="1">
        <v>22.684999999999999</v>
      </c>
      <c r="BI270" s="1">
        <v>22.858000000000001</v>
      </c>
      <c r="BJ270" s="1">
        <v>22.925999999999998</v>
      </c>
      <c r="BK270" s="1">
        <v>22.806000000000001</v>
      </c>
      <c r="BL270" s="1">
        <v>22.826000000000001</v>
      </c>
      <c r="BN270" s="1">
        <v>24</v>
      </c>
      <c r="BO270" s="1">
        <v>3915</v>
      </c>
      <c r="BP270" s="3">
        <f t="shared" si="244"/>
        <v>-4.4477969348659099E-3</v>
      </c>
      <c r="BQ270" s="3">
        <f t="shared" si="245"/>
        <v>-1.6149425287355862E-3</v>
      </c>
      <c r="BR270" s="3">
        <f t="shared" si="246"/>
        <v>2.5909961685825132E-4</v>
      </c>
      <c r="BS270" s="3">
        <f t="shared" si="247"/>
        <v>-6.2346743295019413E-3</v>
      </c>
      <c r="BT270" s="3">
        <f t="shared" si="248"/>
        <v>-1.0483716475096143E-3</v>
      </c>
      <c r="BU270" s="3">
        <f t="shared" si="249"/>
        <v>-2.0943486590039068E-3</v>
      </c>
      <c r="BV270" s="3">
        <f t="shared" si="250"/>
        <v>4.3122605363984804E-3</v>
      </c>
      <c r="BW270" s="3">
        <f t="shared" si="251"/>
        <v>-7.5421455938698067E-3</v>
      </c>
      <c r="BX270" s="3">
        <f t="shared" si="252"/>
        <v>2.2638888888888752E-3</v>
      </c>
      <c r="BY270" s="3">
        <f t="shared" si="253"/>
        <v>2.0895593869731085E-3</v>
      </c>
      <c r="BZ270" s="3">
        <f t="shared" si="254"/>
        <v>-1.6585249042145667E-3</v>
      </c>
      <c r="CA270" s="3">
        <f t="shared" si="255"/>
        <v>-3.4454022988505981E-3</v>
      </c>
      <c r="CB270" s="3">
        <f t="shared" si="256"/>
        <v>-4.8180076628348757E-4</v>
      </c>
      <c r="CC270" s="3">
        <f t="shared" si="257"/>
        <v>-1.6585249042145667E-3</v>
      </c>
      <c r="CD270" s="3">
        <f t="shared" si="258"/>
        <v>-9.612068965518082E-4</v>
      </c>
      <c r="CE270" s="3">
        <f t="shared" si="259"/>
        <v>1.2179118773945829E-3</v>
      </c>
      <c r="CF270" s="3">
        <f t="shared" si="260"/>
        <v>-6.1254789272027418E-4</v>
      </c>
      <c r="CG270" s="3">
        <f t="shared" si="261"/>
        <v>-2.8788314176244711E-3</v>
      </c>
      <c r="CH270" s="3">
        <f t="shared" si="262"/>
        <v>-6.1254789272027418E-4</v>
      </c>
      <c r="CI270" s="3">
        <f t="shared" si="263"/>
        <v>-7.7164750957854191E-3</v>
      </c>
      <c r="CJ270" s="3">
        <f t="shared" si="264"/>
        <v>-1.2662835249042069E-3</v>
      </c>
      <c r="CK270" s="3">
        <f t="shared" si="265"/>
        <v>-5.1015325670498426E-3</v>
      </c>
      <c r="CL270" s="3">
        <f t="shared" si="266"/>
        <v>2.1551724137927088E-4</v>
      </c>
      <c r="CM270" s="3">
        <f t="shared" si="267"/>
        <v>-4.9707854406130566E-3</v>
      </c>
      <c r="CN270" s="3">
        <f t="shared" si="268"/>
        <v>-1.2227011494252264E-3</v>
      </c>
      <c r="CO270" s="3">
        <f t="shared" si="269"/>
        <v>3.8984674329503789E-4</v>
      </c>
      <c r="CP270" s="3">
        <f t="shared" si="270"/>
        <v>-2.7916666666666654E-3</v>
      </c>
      <c r="CQ270" s="3">
        <f t="shared" si="271"/>
        <v>7.3850574712641713E-4</v>
      </c>
      <c r="CR270" s="3">
        <f t="shared" si="272"/>
        <v>-2.1379310344827322E-3</v>
      </c>
      <c r="CS270" s="3">
        <f t="shared" si="273"/>
        <v>2.0023946360153023E-3</v>
      </c>
      <c r="CT270" s="3">
        <f t="shared" si="274"/>
        <v>5.205938697318245E-4</v>
      </c>
      <c r="CU270" s="3">
        <f t="shared" si="275"/>
        <v>-1.1377394636015288E-2</v>
      </c>
      <c r="CV270" s="3">
        <f t="shared" si="276"/>
        <v>-6.4525862068965344E-3</v>
      </c>
      <c r="CW270" s="3">
        <f t="shared" si="277"/>
        <v>-3.5761494252873846E-3</v>
      </c>
      <c r="CX270" s="3">
        <f t="shared" si="278"/>
        <v>-6.1254789272027418E-4</v>
      </c>
      <c r="CY270" s="3">
        <f t="shared" si="279"/>
        <v>1.5229885057471365E-3</v>
      </c>
      <c r="CZ270" s="3">
        <f t="shared" si="280"/>
        <v>8.4770114942484299E-5</v>
      </c>
      <c r="DA270" s="3">
        <f t="shared" si="281"/>
        <v>-1.2227011494252264E-3</v>
      </c>
      <c r="DB270" s="3">
        <f t="shared" si="282"/>
        <v>-5.7988505747126017E-3</v>
      </c>
      <c r="DC270" s="3">
        <f t="shared" si="283"/>
        <v>-6.1254789272027418E-4</v>
      </c>
      <c r="DD270" s="3">
        <f t="shared" si="284"/>
        <v>-4.796455938697289E-3</v>
      </c>
      <c r="DE270" s="3">
        <f t="shared" si="285"/>
        <v>-6.5613026819925457E-4</v>
      </c>
      <c r="DF270" s="3">
        <f t="shared" si="286"/>
        <v>1.566570881226117E-3</v>
      </c>
      <c r="DG270" s="3">
        <f t="shared" si="287"/>
        <v>-1.0244252873563189E-2</v>
      </c>
      <c r="DH270" s="3">
        <f t="shared" si="288"/>
        <v>-5.6896551724144851E-4</v>
      </c>
      <c r="DI270" s="3">
        <f t="shared" si="289"/>
        <v>-2.9224137931034518E-3</v>
      </c>
      <c r="DJ270" s="3">
        <f t="shared" si="290"/>
        <v>5.205938697318245E-4</v>
      </c>
      <c r="DK270" s="3">
        <f t="shared" si="291"/>
        <v>-1.0919540229884399E-3</v>
      </c>
      <c r="DL270" s="3">
        <f t="shared" si="292"/>
        <v>-4.0991379310345308E-3</v>
      </c>
      <c r="DM270" s="3">
        <f t="shared" si="293"/>
        <v>-7.8472222222222051E-3</v>
      </c>
      <c r="DN270" s="3">
        <f t="shared" si="294"/>
        <v>-1.2227011494252264E-3</v>
      </c>
      <c r="DO270" s="3">
        <f t="shared" si="295"/>
        <v>-3.4018199233716174E-3</v>
      </c>
      <c r="DP270" s="3">
        <f t="shared" si="296"/>
        <v>2.5909961685825132E-4</v>
      </c>
      <c r="DQ270" s="3">
        <f t="shared" si="297"/>
        <v>-3.7504789272029969E-3</v>
      </c>
      <c r="DR270" s="3">
        <f t="shared" si="298"/>
        <v>-1.4841954022987995E-3</v>
      </c>
      <c r="DS270" s="3">
        <f t="shared" si="299"/>
        <v>-1.1333812260536463E-2</v>
      </c>
      <c r="DT270" s="3">
        <f t="shared" si="300"/>
        <v>-3.7940613026819772E-3</v>
      </c>
      <c r="DU270" s="3">
        <f t="shared" si="301"/>
        <v>-8.3045977011502164E-4</v>
      </c>
      <c r="DV270" s="3">
        <f t="shared" si="302"/>
        <v>-6.0603448275861746E-3</v>
      </c>
      <c r="DW270" s="3">
        <f t="shared" si="303"/>
        <v>-5.1886973180076488E-3</v>
      </c>
    </row>
    <row r="271" spans="2:127" x14ac:dyDescent="0.45">
      <c r="B271" s="1">
        <v>24</v>
      </c>
      <c r="C271" s="1">
        <v>3930</v>
      </c>
      <c r="D271" s="7">
        <f t="shared" si="304"/>
        <v>23.032967032967033</v>
      </c>
      <c r="E271" s="1">
        <v>22.93</v>
      </c>
      <c r="F271" s="1">
        <v>22.995000000000001</v>
      </c>
      <c r="G271" s="1">
        <v>23.041</v>
      </c>
      <c r="H271" s="1">
        <v>22.89</v>
      </c>
      <c r="I271" s="1">
        <v>23.01</v>
      </c>
      <c r="J271" s="1">
        <v>22.986999999999998</v>
      </c>
      <c r="K271" s="1">
        <v>23.134</v>
      </c>
      <c r="L271" s="1">
        <v>22.866</v>
      </c>
      <c r="M271" s="1">
        <v>23.087</v>
      </c>
      <c r="N271" s="1">
        <v>23.08</v>
      </c>
      <c r="O271" s="1">
        <v>22.992999999999999</v>
      </c>
      <c r="P271" s="1">
        <v>22.951000000000001</v>
      </c>
      <c r="Q271" s="1">
        <v>23.021999999999998</v>
      </c>
      <c r="R271" s="1">
        <v>22.992000000000001</v>
      </c>
      <c r="S271" s="1">
        <v>23.010999999999999</v>
      </c>
      <c r="T271" s="1">
        <v>23.062999999999999</v>
      </c>
      <c r="U271" s="1">
        <v>23.015999999999998</v>
      </c>
      <c r="V271" s="1">
        <v>22.968</v>
      </c>
      <c r="W271" s="1">
        <v>23.018999999999998</v>
      </c>
      <c r="X271" s="1">
        <v>22.858000000000001</v>
      </c>
      <c r="Y271" s="1">
        <v>23.007000000000001</v>
      </c>
      <c r="Z271" s="1">
        <v>22.916</v>
      </c>
      <c r="AA271" s="1">
        <v>23.038</v>
      </c>
      <c r="AB271" s="1">
        <v>22.916</v>
      </c>
      <c r="AC271" s="1">
        <v>23.007000000000001</v>
      </c>
      <c r="AD271" s="1">
        <v>23.044</v>
      </c>
      <c r="AE271" s="1">
        <v>22.969000000000001</v>
      </c>
      <c r="AF271" s="1">
        <v>23.052</v>
      </c>
      <c r="AG271" s="1">
        <v>22.981999999999999</v>
      </c>
      <c r="AH271" s="1">
        <v>23.079000000000001</v>
      </c>
      <c r="AI271" s="1">
        <v>23.045000000000002</v>
      </c>
      <c r="AJ271" s="1">
        <v>22.771000000000001</v>
      </c>
      <c r="AK271" s="1">
        <v>22.885000000000002</v>
      </c>
      <c r="AL271" s="1">
        <v>22.95</v>
      </c>
      <c r="AM271" s="1">
        <v>23.018000000000001</v>
      </c>
      <c r="AN271" s="1">
        <v>23.065000000000001</v>
      </c>
      <c r="AO271" s="1">
        <v>23.036999999999999</v>
      </c>
      <c r="AP271" s="1">
        <v>23.007000000000001</v>
      </c>
      <c r="AQ271" s="1">
        <v>22.901</v>
      </c>
      <c r="AR271" s="1">
        <v>23.018999999999998</v>
      </c>
      <c r="AS271" s="1">
        <v>22.920999999999999</v>
      </c>
      <c r="AT271" s="1">
        <v>23.018999999999998</v>
      </c>
      <c r="AU271" s="1">
        <v>23.068999999999999</v>
      </c>
      <c r="AV271" s="1">
        <v>22.795000000000002</v>
      </c>
      <c r="AW271" s="1">
        <v>23.02</v>
      </c>
      <c r="AX271" s="1">
        <v>22.966000000000001</v>
      </c>
      <c r="AY271" s="1">
        <v>23.044</v>
      </c>
      <c r="AZ271" s="1">
        <v>23.007999999999999</v>
      </c>
      <c r="BA271" s="1">
        <v>22.942</v>
      </c>
      <c r="BB271" s="1">
        <v>22.852</v>
      </c>
      <c r="BC271" s="1">
        <v>23.007000000000001</v>
      </c>
      <c r="BD271" s="1">
        <v>22.954000000000001</v>
      </c>
      <c r="BE271" s="1">
        <v>23.042000000000002</v>
      </c>
      <c r="BF271" s="1">
        <v>22.949000000000002</v>
      </c>
      <c r="BG271" s="1">
        <v>23.001000000000001</v>
      </c>
      <c r="BH271" s="1">
        <v>22.77</v>
      </c>
      <c r="BI271" s="1">
        <v>22.946999999999999</v>
      </c>
      <c r="BJ271" s="1">
        <v>23.012</v>
      </c>
      <c r="BK271" s="1">
        <v>22.89</v>
      </c>
      <c r="BL271" s="1">
        <v>22.919</v>
      </c>
      <c r="BN271" s="1">
        <v>24</v>
      </c>
      <c r="BO271" s="1">
        <v>3930</v>
      </c>
      <c r="BP271" s="3">
        <f t="shared" si="244"/>
        <v>-4.4704198473282516E-3</v>
      </c>
      <c r="BQ271" s="3">
        <f t="shared" si="245"/>
        <v>-1.6483778625953716E-3</v>
      </c>
      <c r="BR271" s="3">
        <f t="shared" si="246"/>
        <v>3.4875954198475398E-4</v>
      </c>
      <c r="BS271" s="3">
        <f t="shared" si="247"/>
        <v>-6.2070610687022607E-3</v>
      </c>
      <c r="BT271" s="3">
        <f t="shared" si="248"/>
        <v>-9.9713740458007966E-4</v>
      </c>
      <c r="BU271" s="3">
        <f t="shared" si="249"/>
        <v>-1.9957061068702968E-3</v>
      </c>
      <c r="BV271" s="3">
        <f t="shared" si="250"/>
        <v>4.3864503816794095E-3</v>
      </c>
      <c r="BW271" s="3">
        <f t="shared" si="251"/>
        <v>-7.2490458015267269E-3</v>
      </c>
      <c r="BX271" s="3">
        <f t="shared" si="252"/>
        <v>2.3458969465648795E-3</v>
      </c>
      <c r="BY271" s="3">
        <f t="shared" si="253"/>
        <v>2.0419847328243586E-3</v>
      </c>
      <c r="BZ271" s="3">
        <f t="shared" si="254"/>
        <v>-1.73520992366418E-3</v>
      </c>
      <c r="CA271" s="3">
        <f t="shared" si="255"/>
        <v>-3.5586832061068429E-3</v>
      </c>
      <c r="CB271" s="3">
        <f t="shared" si="256"/>
        <v>-4.7614503816800047E-4</v>
      </c>
      <c r="CC271" s="3">
        <f t="shared" si="257"/>
        <v>-1.7786259541984299E-3</v>
      </c>
      <c r="CD271" s="3">
        <f t="shared" si="258"/>
        <v>-9.5372137404582972E-4</v>
      </c>
      <c r="CE271" s="3">
        <f t="shared" si="259"/>
        <v>1.3039122137404125E-3</v>
      </c>
      <c r="CF271" s="3">
        <f t="shared" si="260"/>
        <v>-7.3664122137411718E-4</v>
      </c>
      <c r="CG271" s="3">
        <f t="shared" si="261"/>
        <v>-2.8206106870228968E-3</v>
      </c>
      <c r="CH271" s="3">
        <f t="shared" si="262"/>
        <v>-6.063931297710588E-4</v>
      </c>
      <c r="CI271" s="3">
        <f t="shared" si="263"/>
        <v>-7.5963740458014984E-3</v>
      </c>
      <c r="CJ271" s="3">
        <f t="shared" si="264"/>
        <v>-1.127385496183138E-3</v>
      </c>
      <c r="CK271" s="3">
        <f t="shared" si="265"/>
        <v>-5.078244274809139E-3</v>
      </c>
      <c r="CL271" s="3">
        <f t="shared" si="266"/>
        <v>2.1851145038169557E-4</v>
      </c>
      <c r="CM271" s="3">
        <f t="shared" si="267"/>
        <v>-5.078244274809139E-3</v>
      </c>
      <c r="CN271" s="3">
        <f t="shared" si="268"/>
        <v>-1.127385496183138E-3</v>
      </c>
      <c r="CO271" s="3">
        <f t="shared" si="269"/>
        <v>4.790076335878123E-4</v>
      </c>
      <c r="CP271" s="3">
        <f t="shared" si="270"/>
        <v>-2.7771946564884927E-3</v>
      </c>
      <c r="CQ271" s="3">
        <f t="shared" si="271"/>
        <v>8.2633587786258328E-4</v>
      </c>
      <c r="CR271" s="3">
        <f t="shared" si="272"/>
        <v>-2.2127862595420094E-3</v>
      </c>
      <c r="CS271" s="3">
        <f t="shared" si="273"/>
        <v>1.9985687022901085E-3</v>
      </c>
      <c r="CT271" s="3">
        <f t="shared" si="274"/>
        <v>5.2242366412221658E-4</v>
      </c>
      <c r="CU271" s="3">
        <f t="shared" si="275"/>
        <v>-1.1373568702290037E-2</v>
      </c>
      <c r="CV271" s="3">
        <f t="shared" si="276"/>
        <v>-6.4241412213739725E-3</v>
      </c>
      <c r="CW271" s="3">
        <f t="shared" si="277"/>
        <v>-3.6020992366412471E-3</v>
      </c>
      <c r="CX271" s="3">
        <f t="shared" si="278"/>
        <v>-6.4980916030530885E-4</v>
      </c>
      <c r="CY271" s="3">
        <f t="shared" si="279"/>
        <v>1.3907442748092209E-3</v>
      </c>
      <c r="CZ271" s="3">
        <f t="shared" si="280"/>
        <v>1.7509541984729138E-4</v>
      </c>
      <c r="DA271" s="3">
        <f t="shared" si="281"/>
        <v>-1.127385496183138E-3</v>
      </c>
      <c r="DB271" s="3">
        <f t="shared" si="282"/>
        <v>-5.7294847328244313E-3</v>
      </c>
      <c r="DC271" s="3">
        <f t="shared" si="283"/>
        <v>-6.063931297710588E-4</v>
      </c>
      <c r="DD271" s="3">
        <f t="shared" si="284"/>
        <v>-4.8611641221374263E-3</v>
      </c>
      <c r="DE271" s="3">
        <f t="shared" si="285"/>
        <v>-6.063931297710588E-4</v>
      </c>
      <c r="DF271" s="3">
        <f t="shared" si="286"/>
        <v>1.5644083969465292E-3</v>
      </c>
      <c r="DG271" s="3">
        <f t="shared" si="287"/>
        <v>-1.033158396946557E-2</v>
      </c>
      <c r="DH271" s="3">
        <f t="shared" si="288"/>
        <v>-5.6297709923665469E-4</v>
      </c>
      <c r="DI271" s="3">
        <f t="shared" si="289"/>
        <v>-2.907442748091551E-3</v>
      </c>
      <c r="DJ271" s="3">
        <f t="shared" si="290"/>
        <v>4.790076335878123E-4</v>
      </c>
      <c r="DK271" s="3">
        <f t="shared" si="291"/>
        <v>-1.0839694656488881E-3</v>
      </c>
      <c r="DL271" s="3">
        <f t="shared" si="292"/>
        <v>-3.9494274809160181E-3</v>
      </c>
      <c r="DM271" s="3">
        <f t="shared" si="293"/>
        <v>-7.8568702290076151E-3</v>
      </c>
      <c r="DN271" s="3">
        <f t="shared" si="294"/>
        <v>-1.127385496183138E-3</v>
      </c>
      <c r="DO271" s="3">
        <f t="shared" si="295"/>
        <v>-3.4284351145037846E-3</v>
      </c>
      <c r="DP271" s="3">
        <f t="shared" si="296"/>
        <v>3.9217557251915814E-4</v>
      </c>
      <c r="DQ271" s="3">
        <f t="shared" si="297"/>
        <v>-3.6455152671754972E-3</v>
      </c>
      <c r="DR271" s="3">
        <f t="shared" si="298"/>
        <v>-1.3878816793892548E-3</v>
      </c>
      <c r="DS271" s="3">
        <f t="shared" si="299"/>
        <v>-1.1416984732824442E-2</v>
      </c>
      <c r="DT271" s="3">
        <f t="shared" si="300"/>
        <v>-3.7323473282443054E-3</v>
      </c>
      <c r="DU271" s="3">
        <f t="shared" si="301"/>
        <v>-9.1030534351142561E-4</v>
      </c>
      <c r="DV271" s="3">
        <f t="shared" si="302"/>
        <v>-6.2070610687022607E-3</v>
      </c>
      <c r="DW271" s="3">
        <f t="shared" si="303"/>
        <v>-4.947996183206081E-3</v>
      </c>
    </row>
    <row r="272" spans="2:127" x14ac:dyDescent="0.45">
      <c r="B272" s="1">
        <v>24</v>
      </c>
      <c r="C272" s="1">
        <v>3945</v>
      </c>
      <c r="D272" s="7">
        <f t="shared" si="304"/>
        <v>23.12087912087912</v>
      </c>
      <c r="E272" s="1">
        <v>23.018999999999998</v>
      </c>
      <c r="F272" s="1">
        <v>23.084</v>
      </c>
      <c r="G272" s="1">
        <v>23.129000000000001</v>
      </c>
      <c r="H272" s="1">
        <v>22.977</v>
      </c>
      <c r="I272" s="1">
        <v>23.099</v>
      </c>
      <c r="J272" s="1">
        <v>23.076000000000001</v>
      </c>
      <c r="K272" s="1">
        <v>23.222999999999999</v>
      </c>
      <c r="L272" s="1">
        <v>22.946999999999999</v>
      </c>
      <c r="M272" s="1">
        <v>23.173999999999999</v>
      </c>
      <c r="N272" s="1">
        <v>23.167000000000002</v>
      </c>
      <c r="O272" s="1">
        <v>23.082999999999998</v>
      </c>
      <c r="P272" s="1">
        <v>23.039000000000001</v>
      </c>
      <c r="Q272" s="1">
        <v>23.11</v>
      </c>
      <c r="R272" s="1">
        <v>23.081</v>
      </c>
      <c r="S272" s="1">
        <v>23.097999999999999</v>
      </c>
      <c r="T272" s="1">
        <v>23.151</v>
      </c>
      <c r="U272" s="1">
        <v>23.103000000000002</v>
      </c>
      <c r="V272" s="1">
        <v>23.056000000000001</v>
      </c>
      <c r="W272" s="1">
        <v>23.105</v>
      </c>
      <c r="X272" s="1">
        <v>22.939</v>
      </c>
      <c r="Y272" s="1">
        <v>23.094000000000001</v>
      </c>
      <c r="Z272" s="1">
        <v>23.003</v>
      </c>
      <c r="AA272" s="1">
        <v>23.123999999999999</v>
      </c>
      <c r="AB272" s="1">
        <v>23.001000000000001</v>
      </c>
      <c r="AC272" s="1">
        <v>23.097999999999999</v>
      </c>
      <c r="AD272" s="1">
        <v>23.132000000000001</v>
      </c>
      <c r="AE272" s="1">
        <v>23.056000000000001</v>
      </c>
      <c r="AF272" s="1">
        <v>23.140999999999998</v>
      </c>
      <c r="AG272" s="1">
        <v>23.071999999999999</v>
      </c>
      <c r="AH272" s="1">
        <v>23.166</v>
      </c>
      <c r="AI272" s="1">
        <v>23.132999999999999</v>
      </c>
      <c r="AJ272" s="1">
        <v>22.858000000000001</v>
      </c>
      <c r="AK272" s="1">
        <v>22.97</v>
      </c>
      <c r="AL272" s="1">
        <v>23.038</v>
      </c>
      <c r="AM272" s="1">
        <v>23.106000000000002</v>
      </c>
      <c r="AN272" s="1">
        <v>23.155000000000001</v>
      </c>
      <c r="AO272" s="1">
        <v>23.125</v>
      </c>
      <c r="AP272" s="1">
        <v>23.096</v>
      </c>
      <c r="AQ272" s="1">
        <v>22.989000000000001</v>
      </c>
      <c r="AR272" s="1">
        <v>23.106999999999999</v>
      </c>
      <c r="AS272" s="1">
        <v>23.007999999999999</v>
      </c>
      <c r="AT272" s="1">
        <v>23.106000000000002</v>
      </c>
      <c r="AU272" s="1">
        <v>23.157</v>
      </c>
      <c r="AV272" s="1">
        <v>22.885000000000002</v>
      </c>
      <c r="AW272" s="1">
        <v>23.106999999999999</v>
      </c>
      <c r="AX272" s="1">
        <v>23.053999999999998</v>
      </c>
      <c r="AY272" s="1">
        <v>23.132000000000001</v>
      </c>
      <c r="AZ272" s="1">
        <v>23.094999999999999</v>
      </c>
      <c r="BA272" s="1">
        <v>23.03</v>
      </c>
      <c r="BB272" s="1">
        <v>22.94</v>
      </c>
      <c r="BC272" s="1">
        <v>23.091999999999999</v>
      </c>
      <c r="BD272" s="1">
        <v>23.042000000000002</v>
      </c>
      <c r="BE272" s="1">
        <v>23.13</v>
      </c>
      <c r="BF272" s="1">
        <v>23.035</v>
      </c>
      <c r="BG272" s="1">
        <v>23.088000000000001</v>
      </c>
      <c r="BH272" s="1">
        <v>22.859000000000002</v>
      </c>
      <c r="BI272" s="1">
        <v>23.033999999999999</v>
      </c>
      <c r="BJ272" s="1">
        <v>23.097999999999999</v>
      </c>
      <c r="BK272" s="1">
        <v>22.984000000000002</v>
      </c>
      <c r="BL272" s="1">
        <v>23.007000000000001</v>
      </c>
      <c r="BN272" s="1">
        <v>24</v>
      </c>
      <c r="BO272" s="1">
        <v>3945</v>
      </c>
      <c r="BP272" s="3">
        <f t="shared" si="244"/>
        <v>-4.4063688212928288E-3</v>
      </c>
      <c r="BQ272" s="3">
        <f t="shared" si="245"/>
        <v>-1.5950570342205298E-3</v>
      </c>
      <c r="BR272" s="3">
        <f t="shared" si="246"/>
        <v>3.5123574144494329E-4</v>
      </c>
      <c r="BS272" s="3">
        <f t="shared" si="247"/>
        <v>-6.2229087452471167E-3</v>
      </c>
      <c r="BT272" s="3">
        <f t="shared" si="248"/>
        <v>-9.4629277566537205E-4</v>
      </c>
      <c r="BU272" s="3">
        <f t="shared" si="249"/>
        <v>-1.9410646387832294E-3</v>
      </c>
      <c r="BV272" s="3">
        <f t="shared" si="250"/>
        <v>4.4168250950570084E-3</v>
      </c>
      <c r="BW272" s="3">
        <f t="shared" si="251"/>
        <v>-7.5204372623574314E-3</v>
      </c>
      <c r="BX272" s="3">
        <f t="shared" si="252"/>
        <v>2.2975285171102627E-3</v>
      </c>
      <c r="BY272" s="3">
        <f t="shared" si="253"/>
        <v>1.994771863117958E-3</v>
      </c>
      <c r="BZ272" s="3">
        <f t="shared" si="254"/>
        <v>-1.6383079847909249E-3</v>
      </c>
      <c r="CA272" s="3">
        <f t="shared" si="255"/>
        <v>-3.541349809885849E-3</v>
      </c>
      <c r="CB272" s="3">
        <f t="shared" si="256"/>
        <v>-4.7053231939164102E-4</v>
      </c>
      <c r="CC272" s="3">
        <f t="shared" si="257"/>
        <v>-1.7248098859315613E-3</v>
      </c>
      <c r="CD272" s="3">
        <f t="shared" si="258"/>
        <v>-9.8954372623576712E-4</v>
      </c>
      <c r="CE272" s="3">
        <f t="shared" si="259"/>
        <v>1.3027566539924053E-3</v>
      </c>
      <c r="CF272" s="3">
        <f t="shared" si="260"/>
        <v>-7.7328897338394551E-4</v>
      </c>
      <c r="CG272" s="3">
        <f t="shared" si="261"/>
        <v>-2.806083650190055E-3</v>
      </c>
      <c r="CH272" s="3">
        <f t="shared" si="262"/>
        <v>-6.86787072243309E-4</v>
      </c>
      <c r="CI272" s="3">
        <f t="shared" si="263"/>
        <v>-7.8664448669201314E-3</v>
      </c>
      <c r="CJ272" s="3">
        <f t="shared" si="264"/>
        <v>-1.1625475285170401E-3</v>
      </c>
      <c r="CK272" s="3">
        <f t="shared" si="265"/>
        <v>-5.0983840304182279E-3</v>
      </c>
      <c r="CL272" s="3">
        <f t="shared" si="266"/>
        <v>1.349809885931216E-4</v>
      </c>
      <c r="CM272" s="3">
        <f t="shared" si="267"/>
        <v>-5.1848859315588641E-3</v>
      </c>
      <c r="CN272" s="3">
        <f t="shared" si="268"/>
        <v>-9.8954372623576712E-4</v>
      </c>
      <c r="CO272" s="3">
        <f t="shared" si="269"/>
        <v>4.8098859315597481E-4</v>
      </c>
      <c r="CP272" s="3">
        <f t="shared" si="270"/>
        <v>-2.806083650190055E-3</v>
      </c>
      <c r="CQ272" s="3">
        <f t="shared" si="271"/>
        <v>8.7024714828891575E-4</v>
      </c>
      <c r="CR272" s="3">
        <f t="shared" si="272"/>
        <v>-2.1140684410646559E-3</v>
      </c>
      <c r="CS272" s="3">
        <f t="shared" si="273"/>
        <v>1.9515209125475631E-3</v>
      </c>
      <c r="CT272" s="3">
        <f t="shared" si="274"/>
        <v>5.242395437262162E-4</v>
      </c>
      <c r="CU272" s="3">
        <f t="shared" si="275"/>
        <v>-1.136977186311783E-2</v>
      </c>
      <c r="CV272" s="3">
        <f t="shared" si="276"/>
        <v>-6.5256653992395745E-3</v>
      </c>
      <c r="CW272" s="3">
        <f t="shared" si="277"/>
        <v>-3.5846007604562443E-3</v>
      </c>
      <c r="CX272" s="3">
        <f t="shared" si="278"/>
        <v>-6.4353612167291393E-4</v>
      </c>
      <c r="CY272" s="3">
        <f t="shared" si="279"/>
        <v>1.4757604562738321E-3</v>
      </c>
      <c r="CZ272" s="3">
        <f t="shared" si="280"/>
        <v>1.7823193916351667E-4</v>
      </c>
      <c r="DA272" s="3">
        <f t="shared" si="281"/>
        <v>-1.0760456273764035E-3</v>
      </c>
      <c r="DB272" s="3">
        <f t="shared" si="282"/>
        <v>-5.70389733840299E-3</v>
      </c>
      <c r="DC272" s="3">
        <f t="shared" si="283"/>
        <v>-6.0028517110267249E-4</v>
      </c>
      <c r="DD272" s="3">
        <f t="shared" si="284"/>
        <v>-4.8821292775665598E-3</v>
      </c>
      <c r="DE272" s="3">
        <f t="shared" si="285"/>
        <v>-6.4353612167291393E-4</v>
      </c>
      <c r="DF272" s="3">
        <f t="shared" si="286"/>
        <v>1.5622623574144685E-3</v>
      </c>
      <c r="DG272" s="3">
        <f t="shared" si="287"/>
        <v>-1.0201996197718546E-2</v>
      </c>
      <c r="DH272" s="3">
        <f t="shared" si="288"/>
        <v>-6.0028517110267249E-4</v>
      </c>
      <c r="DI272" s="3">
        <f t="shared" si="289"/>
        <v>-2.8925855513308452E-3</v>
      </c>
      <c r="DJ272" s="3">
        <f t="shared" si="290"/>
        <v>4.8098859315597481E-4</v>
      </c>
      <c r="DK272" s="3">
        <f t="shared" si="291"/>
        <v>-1.1192965779467986E-3</v>
      </c>
      <c r="DL272" s="3">
        <f t="shared" si="292"/>
        <v>-3.9306083650189434E-3</v>
      </c>
      <c r="DM272" s="3">
        <f t="shared" si="293"/>
        <v>-7.8231939163497365E-3</v>
      </c>
      <c r="DN272" s="3">
        <f t="shared" si="294"/>
        <v>-1.2490494296578303E-3</v>
      </c>
      <c r="DO272" s="3">
        <f t="shared" si="295"/>
        <v>-3.4115969581748175E-3</v>
      </c>
      <c r="DP272" s="3">
        <f t="shared" si="296"/>
        <v>3.9448669201518468E-4</v>
      </c>
      <c r="DQ272" s="3">
        <f t="shared" si="297"/>
        <v>-3.7143536121672757E-3</v>
      </c>
      <c r="DR272" s="3">
        <f t="shared" si="298"/>
        <v>-1.4220532319391031E-3</v>
      </c>
      <c r="DS272" s="3">
        <f t="shared" si="299"/>
        <v>-1.1326520912547433E-2</v>
      </c>
      <c r="DT272" s="3">
        <f t="shared" si="300"/>
        <v>-3.7576045627376706E-3</v>
      </c>
      <c r="DU272" s="3">
        <f t="shared" si="301"/>
        <v>-9.8954372623576712E-4</v>
      </c>
      <c r="DV272" s="3">
        <f t="shared" si="302"/>
        <v>-5.920152091254658E-3</v>
      </c>
      <c r="DW272" s="3">
        <f t="shared" si="303"/>
        <v>-4.9253802281368012E-3</v>
      </c>
    </row>
    <row r="273" spans="2:127" x14ac:dyDescent="0.45">
      <c r="B273" s="1">
        <v>24</v>
      </c>
      <c r="C273" s="1">
        <v>3960</v>
      </c>
      <c r="D273" s="7">
        <f t="shared" si="304"/>
        <v>23.208791208791208</v>
      </c>
      <c r="E273" s="1">
        <v>23.106000000000002</v>
      </c>
      <c r="F273" s="1">
        <v>23.17</v>
      </c>
      <c r="G273" s="1">
        <v>23.216999999999999</v>
      </c>
      <c r="H273" s="1">
        <v>23.062999999999999</v>
      </c>
      <c r="I273" s="1">
        <v>23.187000000000001</v>
      </c>
      <c r="J273" s="1">
        <v>23.163</v>
      </c>
      <c r="K273" s="1">
        <v>23.312000000000001</v>
      </c>
      <c r="L273" s="1">
        <v>23.035</v>
      </c>
      <c r="M273" s="1">
        <v>23.262</v>
      </c>
      <c r="N273" s="1">
        <v>23.254999999999999</v>
      </c>
      <c r="O273" s="1">
        <v>23.172000000000001</v>
      </c>
      <c r="P273" s="1">
        <v>23.126000000000001</v>
      </c>
      <c r="Q273" s="1">
        <v>23.196999999999999</v>
      </c>
      <c r="R273" s="1">
        <v>23.166</v>
      </c>
      <c r="S273" s="1">
        <v>23.186</v>
      </c>
      <c r="T273" s="1">
        <v>23.24</v>
      </c>
      <c r="U273" s="1">
        <v>23.19</v>
      </c>
      <c r="V273" s="1">
        <v>23.143999999999998</v>
      </c>
      <c r="W273" s="1">
        <v>23.193999999999999</v>
      </c>
      <c r="X273" s="1">
        <v>23.024999999999999</v>
      </c>
      <c r="Y273" s="1">
        <v>23.183</v>
      </c>
      <c r="Z273" s="1">
        <v>23.091000000000001</v>
      </c>
      <c r="AA273" s="1">
        <v>23.212</v>
      </c>
      <c r="AB273" s="1">
        <v>23.091999999999999</v>
      </c>
      <c r="AC273" s="1">
        <v>23.186</v>
      </c>
      <c r="AD273" s="1">
        <v>23.22</v>
      </c>
      <c r="AE273" s="1">
        <v>23.143999999999998</v>
      </c>
      <c r="AF273" s="1">
        <v>23.231000000000002</v>
      </c>
      <c r="AG273" s="1">
        <v>23.16</v>
      </c>
      <c r="AH273" s="1">
        <v>23.254999999999999</v>
      </c>
      <c r="AI273" s="1">
        <v>23.22</v>
      </c>
      <c r="AJ273" s="1">
        <v>22.946000000000002</v>
      </c>
      <c r="AK273" s="1">
        <v>23.056000000000001</v>
      </c>
      <c r="AL273" s="1">
        <v>23.129000000000001</v>
      </c>
      <c r="AM273" s="1">
        <v>23.193999999999999</v>
      </c>
      <c r="AN273" s="1">
        <v>23.24</v>
      </c>
      <c r="AO273" s="1">
        <v>23.212</v>
      </c>
      <c r="AP273" s="1">
        <v>23.183</v>
      </c>
      <c r="AQ273" s="1">
        <v>23.074999999999999</v>
      </c>
      <c r="AR273" s="1">
        <v>23.193999999999999</v>
      </c>
      <c r="AS273" s="1">
        <v>23.096</v>
      </c>
      <c r="AT273" s="1">
        <v>23.195</v>
      </c>
      <c r="AU273" s="1">
        <v>23.242999999999999</v>
      </c>
      <c r="AV273" s="1">
        <v>22.974</v>
      </c>
      <c r="AW273" s="1">
        <v>23.193999999999999</v>
      </c>
      <c r="AX273" s="1">
        <v>23.140999999999998</v>
      </c>
      <c r="AY273" s="1">
        <v>23.216999999999999</v>
      </c>
      <c r="AZ273" s="1">
        <v>23.184999999999999</v>
      </c>
      <c r="BA273" s="1">
        <v>23.119</v>
      </c>
      <c r="BB273" s="1">
        <v>23.029</v>
      </c>
      <c r="BC273" s="1">
        <v>23.183</v>
      </c>
      <c r="BD273" s="1">
        <v>23.128</v>
      </c>
      <c r="BE273" s="1">
        <v>23.22</v>
      </c>
      <c r="BF273" s="1">
        <v>23.120999999999999</v>
      </c>
      <c r="BG273" s="1">
        <v>23.170999999999999</v>
      </c>
      <c r="BH273" s="1">
        <v>22.94</v>
      </c>
      <c r="BI273" s="1">
        <v>23.120999999999999</v>
      </c>
      <c r="BJ273" s="1">
        <v>23.184999999999999</v>
      </c>
      <c r="BK273" s="1">
        <v>23.068999999999999</v>
      </c>
      <c r="BL273" s="1">
        <v>23.094999999999999</v>
      </c>
      <c r="BN273" s="1">
        <v>24</v>
      </c>
      <c r="BO273" s="1">
        <v>3960</v>
      </c>
      <c r="BP273" s="3">
        <f t="shared" si="244"/>
        <v>-4.4289772727271696E-3</v>
      </c>
      <c r="BQ273" s="3">
        <f t="shared" si="245"/>
        <v>-1.6714015151514097E-3</v>
      </c>
      <c r="BR273" s="3">
        <f t="shared" si="246"/>
        <v>3.536931818181599E-4</v>
      </c>
      <c r="BS273" s="3">
        <f t="shared" si="247"/>
        <v>-6.2817234848485037E-3</v>
      </c>
      <c r="BT273" s="3">
        <f t="shared" si="248"/>
        <v>-9.3892045454537236E-4</v>
      </c>
      <c r="BU273" s="3">
        <f t="shared" si="249"/>
        <v>-1.9730113636363209E-3</v>
      </c>
      <c r="BV273" s="3">
        <f t="shared" si="250"/>
        <v>4.446969696969779E-3</v>
      </c>
      <c r="BW273" s="3">
        <f t="shared" si="251"/>
        <v>-7.4881628787878407E-3</v>
      </c>
      <c r="BX273" s="3">
        <f t="shared" si="252"/>
        <v>2.2926136363636881E-3</v>
      </c>
      <c r="BY273" s="3">
        <f t="shared" si="253"/>
        <v>1.9910037878787768E-3</v>
      </c>
      <c r="BZ273" s="3">
        <f t="shared" si="254"/>
        <v>-1.5852272727272152E-3</v>
      </c>
      <c r="CA273" s="3">
        <f t="shared" si="255"/>
        <v>-3.5672348484847641E-3</v>
      </c>
      <c r="CB273" s="3">
        <f t="shared" si="256"/>
        <v>-5.0804924242424604E-4</v>
      </c>
      <c r="CC273" s="3">
        <f t="shared" si="257"/>
        <v>-1.8437499999999522E-3</v>
      </c>
      <c r="CD273" s="3">
        <f t="shared" si="258"/>
        <v>-9.8200757575754626E-4</v>
      </c>
      <c r="CE273" s="3">
        <f t="shared" si="259"/>
        <v>1.3446969696969343E-3</v>
      </c>
      <c r="CF273" s="3">
        <f t="shared" si="260"/>
        <v>-8.0965909090900386E-4</v>
      </c>
      <c r="CG273" s="3">
        <f t="shared" si="261"/>
        <v>-2.7916666666667057E-3</v>
      </c>
      <c r="CH273" s="3">
        <f t="shared" si="262"/>
        <v>-6.3731060606061454E-4</v>
      </c>
      <c r="CI273" s="3">
        <f t="shared" si="263"/>
        <v>-7.9190340909091207E-3</v>
      </c>
      <c r="CJ273" s="3">
        <f t="shared" si="264"/>
        <v>-1.1112689393939148E-3</v>
      </c>
      <c r="CK273" s="3">
        <f t="shared" si="265"/>
        <v>-5.0752840909090123E-3</v>
      </c>
      <c r="CL273" s="3">
        <f t="shared" si="266"/>
        <v>1.3825757575759671E-4</v>
      </c>
      <c r="CM273" s="3">
        <f t="shared" si="267"/>
        <v>-5.032196969696992E-3</v>
      </c>
      <c r="CN273" s="3">
        <f t="shared" si="268"/>
        <v>-9.8200757575754626E-4</v>
      </c>
      <c r="CO273" s="3">
        <f t="shared" si="269"/>
        <v>4.8295454545452845E-4</v>
      </c>
      <c r="CP273" s="3">
        <f t="shared" si="270"/>
        <v>-2.7916666666667057E-3</v>
      </c>
      <c r="CQ273" s="3">
        <f t="shared" si="271"/>
        <v>9.5691287878798181E-4</v>
      </c>
      <c r="CR273" s="3">
        <f t="shared" si="272"/>
        <v>-2.1022727272726892E-3</v>
      </c>
      <c r="CS273" s="3">
        <f t="shared" si="273"/>
        <v>1.9910037878787768E-3</v>
      </c>
      <c r="CT273" s="3">
        <f t="shared" si="274"/>
        <v>4.8295454545452845E-4</v>
      </c>
      <c r="CU273" s="3">
        <f t="shared" si="275"/>
        <v>-1.132291666666657E-2</v>
      </c>
      <c r="CV273" s="3">
        <f t="shared" si="276"/>
        <v>-6.5833333333332614E-3</v>
      </c>
      <c r="CW273" s="3">
        <f t="shared" si="277"/>
        <v>-3.4379734848483954E-3</v>
      </c>
      <c r="CX273" s="3">
        <f t="shared" si="278"/>
        <v>-6.3731060606061454E-4</v>
      </c>
      <c r="CY273" s="3">
        <f t="shared" si="279"/>
        <v>1.3446969696969343E-3</v>
      </c>
      <c r="CZ273" s="3">
        <f t="shared" si="280"/>
        <v>1.3825757575759671E-4</v>
      </c>
      <c r="DA273" s="3">
        <f t="shared" si="281"/>
        <v>-1.1112689393939148E-3</v>
      </c>
      <c r="DB273" s="3">
        <f t="shared" si="282"/>
        <v>-5.7646780303030288E-3</v>
      </c>
      <c r="DC273" s="3">
        <f t="shared" si="283"/>
        <v>-6.3731060606061454E-4</v>
      </c>
      <c r="DD273" s="3">
        <f t="shared" si="284"/>
        <v>-4.8598484848484495E-3</v>
      </c>
      <c r="DE273" s="3">
        <f t="shared" si="285"/>
        <v>-5.9422348484844064E-4</v>
      </c>
      <c r="DF273" s="3">
        <f t="shared" si="286"/>
        <v>1.4739583333333028E-3</v>
      </c>
      <c r="DG273" s="3">
        <f t="shared" si="287"/>
        <v>-1.0116477272727232E-2</v>
      </c>
      <c r="DH273" s="3">
        <f t="shared" si="288"/>
        <v>-6.3731060606061454E-4</v>
      </c>
      <c r="DI273" s="3">
        <f t="shared" si="289"/>
        <v>-2.9209280303030744E-3</v>
      </c>
      <c r="DJ273" s="3">
        <f t="shared" si="290"/>
        <v>3.536931818181599E-4</v>
      </c>
      <c r="DK273" s="3">
        <f t="shared" si="291"/>
        <v>-1.0250946969697201E-3</v>
      </c>
      <c r="DL273" s="3">
        <f t="shared" si="292"/>
        <v>-3.8688446969696749E-3</v>
      </c>
      <c r="DM273" s="3">
        <f t="shared" si="293"/>
        <v>-7.7466856060605781E-3</v>
      </c>
      <c r="DN273" s="3">
        <f t="shared" si="294"/>
        <v>-1.1112689393939148E-3</v>
      </c>
      <c r="DO273" s="3">
        <f t="shared" si="295"/>
        <v>-3.4810606060605691E-3</v>
      </c>
      <c r="DP273" s="3">
        <f t="shared" si="296"/>
        <v>4.8295454545452845E-4</v>
      </c>
      <c r="DQ273" s="3">
        <f t="shared" si="297"/>
        <v>-3.7826704545454804E-3</v>
      </c>
      <c r="DR273" s="3">
        <f t="shared" si="298"/>
        <v>-1.628314393939389E-3</v>
      </c>
      <c r="DS273" s="3">
        <f t="shared" si="299"/>
        <v>-1.1581439393939307E-2</v>
      </c>
      <c r="DT273" s="3">
        <f t="shared" si="300"/>
        <v>-3.7826704545454804E-3</v>
      </c>
      <c r="DU273" s="3">
        <f t="shared" si="301"/>
        <v>-1.0250946969697201E-3</v>
      </c>
      <c r="DV273" s="3">
        <f t="shared" si="302"/>
        <v>-6.0232007575757663E-3</v>
      </c>
      <c r="DW273" s="3">
        <f t="shared" si="303"/>
        <v>-4.9029356060606233E-3</v>
      </c>
    </row>
    <row r="274" spans="2:127" x14ac:dyDescent="0.45">
      <c r="B274" s="1">
        <v>24</v>
      </c>
      <c r="C274" s="1">
        <v>3975</v>
      </c>
      <c r="D274" s="7">
        <f t="shared" si="304"/>
        <v>23.296703296703296</v>
      </c>
      <c r="E274" s="1">
        <v>23.190999999999999</v>
      </c>
      <c r="F274" s="1">
        <v>23.259</v>
      </c>
      <c r="G274" s="1">
        <v>23.303999999999998</v>
      </c>
      <c r="H274" s="1">
        <v>23.148</v>
      </c>
      <c r="I274" s="1">
        <v>23.274999999999999</v>
      </c>
      <c r="J274" s="1">
        <v>23.251000000000001</v>
      </c>
      <c r="K274" s="1">
        <v>23.402000000000001</v>
      </c>
      <c r="L274" s="1">
        <v>23.125</v>
      </c>
      <c r="M274" s="1">
        <v>23.347000000000001</v>
      </c>
      <c r="N274" s="1">
        <v>23.343</v>
      </c>
      <c r="O274" s="1">
        <v>23.260999999999999</v>
      </c>
      <c r="P274" s="1">
        <v>23.213000000000001</v>
      </c>
      <c r="Q274" s="1">
        <v>23.285</v>
      </c>
      <c r="R274" s="1">
        <v>23.251000000000001</v>
      </c>
      <c r="S274" s="1">
        <v>23.27</v>
      </c>
      <c r="T274" s="1">
        <v>23.327999999999999</v>
      </c>
      <c r="U274" s="1">
        <v>23.277000000000001</v>
      </c>
      <c r="V274" s="1">
        <v>23.228999999999999</v>
      </c>
      <c r="W274" s="1">
        <v>23.283999999999999</v>
      </c>
      <c r="X274" s="1">
        <v>23.123999999999999</v>
      </c>
      <c r="Y274" s="1">
        <v>23.27</v>
      </c>
      <c r="Z274" s="1">
        <v>23.175999999999998</v>
      </c>
      <c r="AA274" s="1">
        <v>23.298999999999999</v>
      </c>
      <c r="AB274" s="1">
        <v>23.178999999999998</v>
      </c>
      <c r="AC274" s="1">
        <v>23.274999999999999</v>
      </c>
      <c r="AD274" s="1">
        <v>23.308</v>
      </c>
      <c r="AE274" s="1">
        <v>23.233000000000001</v>
      </c>
      <c r="AF274" s="1">
        <v>23.318999999999999</v>
      </c>
      <c r="AG274" s="1">
        <v>23.247</v>
      </c>
      <c r="AH274" s="1">
        <v>23.343</v>
      </c>
      <c r="AI274" s="1">
        <v>23.308</v>
      </c>
      <c r="AJ274" s="1">
        <v>23.030999999999999</v>
      </c>
      <c r="AK274" s="1">
        <v>23.145</v>
      </c>
      <c r="AL274" s="1">
        <v>23.216999999999999</v>
      </c>
      <c r="AM274" s="1">
        <v>23.280999999999999</v>
      </c>
      <c r="AN274" s="1">
        <v>23.327999999999999</v>
      </c>
      <c r="AO274" s="1">
        <v>23.300999999999998</v>
      </c>
      <c r="AP274" s="1">
        <v>23.271000000000001</v>
      </c>
      <c r="AQ274" s="1">
        <v>23.16</v>
      </c>
      <c r="AR274" s="1">
        <v>23.280999999999999</v>
      </c>
      <c r="AS274" s="1">
        <v>23.183</v>
      </c>
      <c r="AT274" s="1">
        <v>23.282</v>
      </c>
      <c r="AU274" s="1">
        <v>23.331</v>
      </c>
      <c r="AV274" s="1">
        <v>23.056000000000001</v>
      </c>
      <c r="AW274" s="1">
        <v>23.283999999999999</v>
      </c>
      <c r="AX274" s="1">
        <v>23.228000000000002</v>
      </c>
      <c r="AY274" s="1">
        <v>23.305</v>
      </c>
      <c r="AZ274" s="1">
        <v>23.273</v>
      </c>
      <c r="BA274" s="1">
        <v>23.206</v>
      </c>
      <c r="BB274" s="1">
        <v>23.114000000000001</v>
      </c>
      <c r="BC274" s="1">
        <v>23.27</v>
      </c>
      <c r="BD274" s="1">
        <v>23.213999999999999</v>
      </c>
      <c r="BE274" s="1">
        <v>23.308</v>
      </c>
      <c r="BF274" s="1">
        <v>23.21</v>
      </c>
      <c r="BG274" s="1">
        <v>23.257999999999999</v>
      </c>
      <c r="BH274" s="1">
        <v>23.029</v>
      </c>
      <c r="BI274" s="1">
        <v>23.206</v>
      </c>
      <c r="BJ274" s="1">
        <v>23.274000000000001</v>
      </c>
      <c r="BK274" s="1">
        <v>23.157</v>
      </c>
      <c r="BL274" s="1">
        <v>23.183</v>
      </c>
      <c r="BN274" s="1">
        <v>24</v>
      </c>
      <c r="BO274" s="1">
        <v>3975</v>
      </c>
      <c r="BP274" s="3">
        <f t="shared" si="244"/>
        <v>-4.5372641509433967E-3</v>
      </c>
      <c r="BQ274" s="3">
        <f t="shared" si="245"/>
        <v>-1.6183962264150345E-3</v>
      </c>
      <c r="BR274" s="3">
        <f t="shared" si="246"/>
        <v>3.1320754716979192E-4</v>
      </c>
      <c r="BS274" s="3">
        <f t="shared" si="247"/>
        <v>-6.3830188679244969E-3</v>
      </c>
      <c r="BT274" s="3">
        <f t="shared" si="248"/>
        <v>-9.3160377358492141E-4</v>
      </c>
      <c r="BU274" s="3">
        <f t="shared" si="249"/>
        <v>-1.9617924528300911E-3</v>
      </c>
      <c r="BV274" s="3">
        <f t="shared" si="250"/>
        <v>4.5198113207548067E-3</v>
      </c>
      <c r="BW274" s="3">
        <f t="shared" si="251"/>
        <v>-7.3702830188678795E-3</v>
      </c>
      <c r="BX274" s="3">
        <f t="shared" si="252"/>
        <v>2.1589622641510447E-3</v>
      </c>
      <c r="BY274" s="3">
        <f t="shared" si="253"/>
        <v>1.9872641509434403E-3</v>
      </c>
      <c r="BZ274" s="3">
        <f t="shared" si="254"/>
        <v>-1.5325471698113085E-3</v>
      </c>
      <c r="CA274" s="3">
        <f t="shared" si="255"/>
        <v>-3.5929245283018003E-3</v>
      </c>
      <c r="CB274" s="3">
        <f t="shared" si="256"/>
        <v>-5.0235849056598644E-4</v>
      </c>
      <c r="CC274" s="3">
        <f t="shared" si="257"/>
        <v>-1.9617924528300911E-3</v>
      </c>
      <c r="CD274" s="3">
        <f t="shared" si="258"/>
        <v>-1.1462264150943126E-3</v>
      </c>
      <c r="CE274" s="3">
        <f t="shared" si="259"/>
        <v>1.343396226415114E-3</v>
      </c>
      <c r="CF274" s="3">
        <f t="shared" si="260"/>
        <v>-8.45754716981043E-4</v>
      </c>
      <c r="CG274" s="3">
        <f t="shared" si="261"/>
        <v>-2.9061320754716871E-3</v>
      </c>
      <c r="CH274" s="3">
        <f t="shared" si="262"/>
        <v>-5.452830188679257E-4</v>
      </c>
      <c r="CI274" s="3">
        <f t="shared" si="263"/>
        <v>-7.4132075471698188E-3</v>
      </c>
      <c r="CJ274" s="3">
        <f t="shared" si="264"/>
        <v>-1.1462264150943126E-3</v>
      </c>
      <c r="CK274" s="3">
        <f t="shared" si="265"/>
        <v>-5.1811320754717224E-3</v>
      </c>
      <c r="CL274" s="3">
        <f t="shared" si="266"/>
        <v>9.8584905660400654E-5</v>
      </c>
      <c r="CM274" s="3">
        <f t="shared" si="267"/>
        <v>-5.0523584905660572E-3</v>
      </c>
      <c r="CN274" s="3">
        <f t="shared" si="268"/>
        <v>-9.3160377358492141E-4</v>
      </c>
      <c r="CO274" s="3">
        <f t="shared" si="269"/>
        <v>4.8490566037739642E-4</v>
      </c>
      <c r="CP274" s="3">
        <f t="shared" si="270"/>
        <v>-2.7344339622640827E-3</v>
      </c>
      <c r="CQ274" s="3">
        <f t="shared" si="271"/>
        <v>9.5707547169811822E-4</v>
      </c>
      <c r="CR274" s="3">
        <f t="shared" si="272"/>
        <v>-2.1334905660376955E-3</v>
      </c>
      <c r="CS274" s="3">
        <f t="shared" si="273"/>
        <v>1.9872641509434403E-3</v>
      </c>
      <c r="CT274" s="3">
        <f t="shared" si="274"/>
        <v>4.8490566037739642E-4</v>
      </c>
      <c r="CU274" s="3">
        <f t="shared" si="275"/>
        <v>-1.140518867924529E-2</v>
      </c>
      <c r="CV274" s="3">
        <f t="shared" si="276"/>
        <v>-6.511792452830162E-3</v>
      </c>
      <c r="CW274" s="3">
        <f t="shared" si="277"/>
        <v>-3.4212264150943481E-3</v>
      </c>
      <c r="CX274" s="3">
        <f t="shared" si="278"/>
        <v>-6.7405660377359094E-4</v>
      </c>
      <c r="CY274" s="3">
        <f t="shared" si="279"/>
        <v>1.343396226415114E-3</v>
      </c>
      <c r="CZ274" s="3">
        <f t="shared" si="280"/>
        <v>1.8443396226412666E-4</v>
      </c>
      <c r="DA274" s="3">
        <f t="shared" si="281"/>
        <v>-1.1033018867923734E-3</v>
      </c>
      <c r="DB274" s="3">
        <f t="shared" si="282"/>
        <v>-5.8679245283018355E-3</v>
      </c>
      <c r="DC274" s="3">
        <f t="shared" si="283"/>
        <v>-6.7405660377359094E-4</v>
      </c>
      <c r="DD274" s="3">
        <f t="shared" si="284"/>
        <v>-4.8806603773584529E-3</v>
      </c>
      <c r="DE274" s="3">
        <f t="shared" si="285"/>
        <v>-6.3113207547165168E-4</v>
      </c>
      <c r="DF274" s="3">
        <f t="shared" si="286"/>
        <v>1.4721698113207794E-3</v>
      </c>
      <c r="DG274" s="3">
        <f t="shared" si="287"/>
        <v>-1.0332075471698027E-2</v>
      </c>
      <c r="DH274" s="3">
        <f t="shared" si="288"/>
        <v>-5.452830188679257E-4</v>
      </c>
      <c r="DI274" s="3">
        <f t="shared" si="289"/>
        <v>-2.9490566037734737E-3</v>
      </c>
      <c r="DJ274" s="3">
        <f t="shared" si="290"/>
        <v>3.5613207547173118E-4</v>
      </c>
      <c r="DK274" s="3">
        <f t="shared" si="291"/>
        <v>-1.0174528301886475E-3</v>
      </c>
      <c r="DL274" s="3">
        <f t="shared" si="292"/>
        <v>-3.8933962264150702E-3</v>
      </c>
      <c r="DM274" s="3">
        <f t="shared" si="293"/>
        <v>-7.8424528301886016E-3</v>
      </c>
      <c r="DN274" s="3">
        <f t="shared" si="294"/>
        <v>-1.1462264150943126E-3</v>
      </c>
      <c r="DO274" s="3">
        <f t="shared" si="295"/>
        <v>-3.5500000000000136E-3</v>
      </c>
      <c r="DP274" s="3">
        <f t="shared" si="296"/>
        <v>4.8490566037739642E-4</v>
      </c>
      <c r="DQ274" s="3">
        <f t="shared" si="297"/>
        <v>-3.7216981132074654E-3</v>
      </c>
      <c r="DR274" s="3">
        <f t="shared" si="298"/>
        <v>-1.6613207547169738E-3</v>
      </c>
      <c r="DS274" s="3">
        <f t="shared" si="299"/>
        <v>-1.1491037735849016E-2</v>
      </c>
      <c r="DT274" s="3">
        <f t="shared" si="300"/>
        <v>-3.8933962264150702E-3</v>
      </c>
      <c r="DU274" s="3">
        <f t="shared" si="301"/>
        <v>-9.7452830188670824E-4</v>
      </c>
      <c r="DV274" s="3">
        <f t="shared" si="302"/>
        <v>-5.9966981132075006E-3</v>
      </c>
      <c r="DW274" s="3">
        <f t="shared" si="303"/>
        <v>-4.8806603773584529E-3</v>
      </c>
    </row>
    <row r="275" spans="2:127" x14ac:dyDescent="0.45">
      <c r="B275" s="1">
        <v>24</v>
      </c>
      <c r="C275" s="1">
        <v>3990</v>
      </c>
      <c r="D275" s="7">
        <f t="shared" si="304"/>
        <v>23.384615384615383</v>
      </c>
      <c r="E275" s="1">
        <v>23.280999999999999</v>
      </c>
      <c r="F275" s="1">
        <v>23.346</v>
      </c>
      <c r="G275" s="1">
        <v>23.390999999999998</v>
      </c>
      <c r="H275" s="1">
        <v>23.234999999999999</v>
      </c>
      <c r="I275" s="1">
        <v>23.364000000000001</v>
      </c>
      <c r="J275" s="1">
        <v>23.338999999999999</v>
      </c>
      <c r="K275" s="1">
        <v>23.488</v>
      </c>
      <c r="L275" s="1">
        <v>23.213999999999999</v>
      </c>
      <c r="M275" s="1">
        <v>23.436</v>
      </c>
      <c r="N275" s="1">
        <v>23.427</v>
      </c>
      <c r="O275" s="1">
        <v>23.349</v>
      </c>
      <c r="P275" s="1">
        <v>23.3</v>
      </c>
      <c r="Q275" s="1">
        <v>23.37</v>
      </c>
      <c r="R275" s="1">
        <v>23.338999999999999</v>
      </c>
      <c r="S275" s="1">
        <v>23.358000000000001</v>
      </c>
      <c r="T275" s="1">
        <v>23.417000000000002</v>
      </c>
      <c r="U275" s="1">
        <v>23.367999999999999</v>
      </c>
      <c r="V275" s="1">
        <v>23.317</v>
      </c>
      <c r="W275" s="1">
        <v>23.373000000000001</v>
      </c>
      <c r="X275" s="1">
        <v>23.207999999999998</v>
      </c>
      <c r="Y275" s="1">
        <v>23.36</v>
      </c>
      <c r="Z275" s="1">
        <v>23.263000000000002</v>
      </c>
      <c r="AA275" s="1">
        <v>23.387</v>
      </c>
      <c r="AB275" s="1">
        <v>23.265999999999998</v>
      </c>
      <c r="AC275" s="1">
        <v>23.364000000000001</v>
      </c>
      <c r="AD275" s="1">
        <v>23.396000000000001</v>
      </c>
      <c r="AE275" s="1">
        <v>23.321999999999999</v>
      </c>
      <c r="AF275" s="1">
        <v>23.407</v>
      </c>
      <c r="AG275" s="1">
        <v>23.335000000000001</v>
      </c>
      <c r="AH275" s="1">
        <v>23.428999999999998</v>
      </c>
      <c r="AI275" s="1">
        <v>23.396000000000001</v>
      </c>
      <c r="AJ275" s="1">
        <v>23.117999999999999</v>
      </c>
      <c r="AK275" s="1">
        <v>23.231999999999999</v>
      </c>
      <c r="AL275" s="1">
        <v>23.305</v>
      </c>
      <c r="AM275" s="1">
        <v>23.367999999999999</v>
      </c>
      <c r="AN275" s="1">
        <v>23.414000000000001</v>
      </c>
      <c r="AO275" s="1">
        <v>23.388999999999999</v>
      </c>
      <c r="AP275" s="1">
        <v>23.358000000000001</v>
      </c>
      <c r="AQ275" s="1">
        <v>23.247</v>
      </c>
      <c r="AR275" s="1">
        <v>23.369</v>
      </c>
      <c r="AS275" s="1">
        <v>23.268999999999998</v>
      </c>
      <c r="AT275" s="1">
        <v>23.37</v>
      </c>
      <c r="AU275" s="1">
        <v>23.417999999999999</v>
      </c>
      <c r="AV275" s="1">
        <v>23.143000000000001</v>
      </c>
      <c r="AW275" s="1">
        <v>23.369</v>
      </c>
      <c r="AX275" s="1">
        <v>23.315000000000001</v>
      </c>
      <c r="AY275" s="1">
        <v>23.395</v>
      </c>
      <c r="AZ275" s="1">
        <v>23.36</v>
      </c>
      <c r="BA275" s="1">
        <v>23.295999999999999</v>
      </c>
      <c r="BB275" s="1">
        <v>23.201000000000001</v>
      </c>
      <c r="BC275" s="1">
        <v>23.356999999999999</v>
      </c>
      <c r="BD275" s="1">
        <v>23.303999999999998</v>
      </c>
      <c r="BE275" s="1">
        <v>23.395</v>
      </c>
      <c r="BF275" s="1">
        <v>23.295999999999999</v>
      </c>
      <c r="BG275" s="1">
        <v>23.346</v>
      </c>
      <c r="BH275" s="1">
        <v>23.113</v>
      </c>
      <c r="BI275" s="1">
        <v>23.295999999999999</v>
      </c>
      <c r="BJ275" s="1">
        <v>23.361999999999998</v>
      </c>
      <c r="BK275" s="1">
        <v>23.24</v>
      </c>
      <c r="BL275" s="1">
        <v>23.271000000000001</v>
      </c>
      <c r="BN275" s="1">
        <v>24</v>
      </c>
      <c r="BO275" s="1">
        <v>3990</v>
      </c>
      <c r="BP275" s="3">
        <f t="shared" si="244"/>
        <v>-4.4309210526315718E-3</v>
      </c>
      <c r="BQ275" s="3">
        <f t="shared" si="245"/>
        <v>-1.6513157894736223E-3</v>
      </c>
      <c r="BR275" s="3">
        <f t="shared" si="246"/>
        <v>2.7302631578945676E-4</v>
      </c>
      <c r="BS275" s="3">
        <f t="shared" si="247"/>
        <v>-6.39802631578944E-3</v>
      </c>
      <c r="BT275" s="3">
        <f t="shared" si="248"/>
        <v>-8.8157894736832988E-4</v>
      </c>
      <c r="BU275" s="3">
        <f t="shared" si="249"/>
        <v>-1.9506578947368421E-3</v>
      </c>
      <c r="BV275" s="3">
        <f t="shared" si="250"/>
        <v>4.421052631578987E-3</v>
      </c>
      <c r="BW275" s="3">
        <f t="shared" si="251"/>
        <v>-7.2960526315789479E-3</v>
      </c>
      <c r="BX275" s="3">
        <f t="shared" si="252"/>
        <v>2.1973684210526878E-3</v>
      </c>
      <c r="BY275" s="3">
        <f t="shared" si="253"/>
        <v>1.8125000000000415E-3</v>
      </c>
      <c r="BZ275" s="3">
        <f t="shared" si="254"/>
        <v>-1.5230263157894068E-3</v>
      </c>
      <c r="CA275" s="3">
        <f t="shared" si="255"/>
        <v>-3.6184210526314904E-3</v>
      </c>
      <c r="CB275" s="3">
        <f t="shared" si="256"/>
        <v>-6.2499999999989907E-4</v>
      </c>
      <c r="CC275" s="3">
        <f t="shared" si="257"/>
        <v>-1.9506578947368421E-3</v>
      </c>
      <c r="CD275" s="3">
        <f t="shared" si="258"/>
        <v>-1.1381578947367607E-3</v>
      </c>
      <c r="CE275" s="3">
        <f t="shared" si="259"/>
        <v>1.3848684210527582E-3</v>
      </c>
      <c r="CF275" s="3">
        <f t="shared" si="260"/>
        <v>-7.1052631578947731E-4</v>
      </c>
      <c r="CG275" s="3">
        <f t="shared" si="261"/>
        <v>-2.891447368420987E-3</v>
      </c>
      <c r="CH275" s="3">
        <f t="shared" si="262"/>
        <v>-4.9671052631568367E-4</v>
      </c>
      <c r="CI275" s="3">
        <f t="shared" si="263"/>
        <v>-7.5526315789473785E-3</v>
      </c>
      <c r="CJ275" s="3">
        <f t="shared" si="264"/>
        <v>-1.0526315789473344E-3</v>
      </c>
      <c r="CK275" s="3">
        <f t="shared" si="265"/>
        <v>-5.2006578947367127E-3</v>
      </c>
      <c r="CL275" s="3">
        <f t="shared" si="266"/>
        <v>1.019736842106042E-4</v>
      </c>
      <c r="CM275" s="3">
        <f t="shared" si="267"/>
        <v>-5.0723684210526492E-3</v>
      </c>
      <c r="CN275" s="3">
        <f t="shared" si="268"/>
        <v>-8.8157894736832988E-4</v>
      </c>
      <c r="CO275" s="3">
        <f t="shared" si="269"/>
        <v>4.868421052632504E-4</v>
      </c>
      <c r="CP275" s="3">
        <f t="shared" si="270"/>
        <v>-2.6776315789473456E-3</v>
      </c>
      <c r="CQ275" s="3">
        <f t="shared" si="271"/>
        <v>9.5723684210532285E-4</v>
      </c>
      <c r="CR275" s="3">
        <f t="shared" si="272"/>
        <v>-2.1217105263156948E-3</v>
      </c>
      <c r="CS275" s="3">
        <f t="shared" si="273"/>
        <v>1.8980263157894678E-3</v>
      </c>
      <c r="CT275" s="3">
        <f t="shared" si="274"/>
        <v>4.868421052632504E-4</v>
      </c>
      <c r="CU275" s="3">
        <f t="shared" si="275"/>
        <v>-1.1401315789473688E-2</v>
      </c>
      <c r="CV275" s="3">
        <f t="shared" si="276"/>
        <v>-6.5263157894736553E-3</v>
      </c>
      <c r="CW275" s="3">
        <f t="shared" si="277"/>
        <v>-3.4046052631578486E-3</v>
      </c>
      <c r="CX275" s="3">
        <f t="shared" si="278"/>
        <v>-7.1052631578947731E-4</v>
      </c>
      <c r="CY275" s="3">
        <f t="shared" si="279"/>
        <v>1.2565789473685427E-3</v>
      </c>
      <c r="CZ275" s="3">
        <f t="shared" si="280"/>
        <v>1.875000000000305E-4</v>
      </c>
      <c r="DA275" s="3">
        <f t="shared" si="281"/>
        <v>-1.1381578947367607E-3</v>
      </c>
      <c r="DB275" s="3">
        <f t="shared" si="282"/>
        <v>-5.8848684210525788E-3</v>
      </c>
      <c r="DC275" s="3">
        <f t="shared" si="283"/>
        <v>-6.6776315789468814E-4</v>
      </c>
      <c r="DD275" s="3">
        <f t="shared" si="284"/>
        <v>-4.944078947368433E-3</v>
      </c>
      <c r="DE275" s="3">
        <f t="shared" si="285"/>
        <v>-6.2499999999989907E-4</v>
      </c>
      <c r="DF275" s="3">
        <f t="shared" si="286"/>
        <v>1.4276315789473954E-3</v>
      </c>
      <c r="DG275" s="3">
        <f t="shared" si="287"/>
        <v>-1.0332236842105175E-2</v>
      </c>
      <c r="DH275" s="3">
        <f t="shared" si="288"/>
        <v>-6.6776315789468814E-4</v>
      </c>
      <c r="DI275" s="3">
        <f t="shared" si="289"/>
        <v>-2.9769736842104135E-3</v>
      </c>
      <c r="DJ275" s="3">
        <f t="shared" si="290"/>
        <v>4.4407894736846128E-4</v>
      </c>
      <c r="DK275" s="3">
        <f t="shared" si="291"/>
        <v>-1.0526315789473344E-3</v>
      </c>
      <c r="DL275" s="3">
        <f t="shared" si="292"/>
        <v>-3.7894736842104949E-3</v>
      </c>
      <c r="DM275" s="3">
        <f t="shared" si="293"/>
        <v>-7.8519736842104469E-3</v>
      </c>
      <c r="DN275" s="3">
        <f t="shared" si="294"/>
        <v>-1.1809210526315496E-3</v>
      </c>
      <c r="DO275" s="3">
        <f t="shared" si="295"/>
        <v>-3.4473684210526378E-3</v>
      </c>
      <c r="DP275" s="3">
        <f t="shared" si="296"/>
        <v>4.4407894736846128E-4</v>
      </c>
      <c r="DQ275" s="3">
        <f t="shared" si="297"/>
        <v>-3.7894736842104949E-3</v>
      </c>
      <c r="DR275" s="3">
        <f t="shared" si="298"/>
        <v>-1.6513157894736223E-3</v>
      </c>
      <c r="DS275" s="3">
        <f t="shared" si="299"/>
        <v>-1.161513157894733E-2</v>
      </c>
      <c r="DT275" s="3">
        <f t="shared" si="300"/>
        <v>-3.7894736842104949E-3</v>
      </c>
      <c r="DU275" s="3">
        <f t="shared" si="301"/>
        <v>-9.6710526315790812E-4</v>
      </c>
      <c r="DV275" s="3">
        <f t="shared" si="302"/>
        <v>-6.1842105263157981E-3</v>
      </c>
      <c r="DW275" s="3">
        <f t="shared" si="303"/>
        <v>-4.8585526315788555E-3</v>
      </c>
    </row>
    <row r="276" spans="2:127" x14ac:dyDescent="0.45">
      <c r="B276" s="1">
        <v>24</v>
      </c>
      <c r="C276" s="1">
        <v>4005</v>
      </c>
      <c r="D276" s="7">
        <f t="shared" si="304"/>
        <v>23.472527472527471</v>
      </c>
      <c r="E276" s="1">
        <v>23.366</v>
      </c>
      <c r="F276" s="1">
        <v>23.434000000000001</v>
      </c>
      <c r="G276" s="1">
        <v>23.475999999999999</v>
      </c>
      <c r="H276" s="1">
        <v>23.32</v>
      </c>
      <c r="I276" s="1">
        <v>23.452000000000002</v>
      </c>
      <c r="J276" s="1">
        <v>23.427</v>
      </c>
      <c r="K276" s="1">
        <v>23.577000000000002</v>
      </c>
      <c r="L276" s="1">
        <v>23.303999999999998</v>
      </c>
      <c r="M276" s="1">
        <v>23.524000000000001</v>
      </c>
      <c r="N276" s="1">
        <v>23.513999999999999</v>
      </c>
      <c r="O276" s="1">
        <v>23.434000000000001</v>
      </c>
      <c r="P276" s="1">
        <v>23.387</v>
      </c>
      <c r="Q276" s="1">
        <v>23.459</v>
      </c>
      <c r="R276" s="1">
        <v>23.425999999999998</v>
      </c>
      <c r="S276" s="1">
        <v>23.445</v>
      </c>
      <c r="T276" s="1">
        <v>23.504999999999999</v>
      </c>
      <c r="U276" s="1">
        <v>23.454000000000001</v>
      </c>
      <c r="V276" s="1">
        <v>23.404</v>
      </c>
      <c r="W276" s="1">
        <v>23.460999999999999</v>
      </c>
      <c r="X276" s="1">
        <v>23.292000000000002</v>
      </c>
      <c r="Y276" s="1">
        <v>23.448</v>
      </c>
      <c r="Z276" s="1">
        <v>23.350999999999999</v>
      </c>
      <c r="AA276" s="1">
        <v>23.472999999999999</v>
      </c>
      <c r="AB276" s="1">
        <v>23.353999999999999</v>
      </c>
      <c r="AC276" s="1">
        <v>23.452000000000002</v>
      </c>
      <c r="AD276" s="1">
        <v>23.484000000000002</v>
      </c>
      <c r="AE276" s="1">
        <v>23.407</v>
      </c>
      <c r="AF276" s="1">
        <v>23.495000000000001</v>
      </c>
      <c r="AG276" s="1">
        <v>23.420999999999999</v>
      </c>
      <c r="AH276" s="1">
        <v>23.52</v>
      </c>
      <c r="AI276" s="1">
        <v>23.483000000000001</v>
      </c>
      <c r="AJ276" s="1">
        <v>23.204999999999998</v>
      </c>
      <c r="AK276" s="1">
        <v>23.317</v>
      </c>
      <c r="AL276" s="1">
        <v>23.396000000000001</v>
      </c>
      <c r="AM276" s="1">
        <v>23.456</v>
      </c>
      <c r="AN276" s="1">
        <v>23.501999999999999</v>
      </c>
      <c r="AO276" s="1">
        <v>23.475999999999999</v>
      </c>
      <c r="AP276" s="1">
        <v>23.446000000000002</v>
      </c>
      <c r="AQ276" s="1">
        <v>23.334</v>
      </c>
      <c r="AR276" s="1">
        <v>23.452999999999999</v>
      </c>
      <c r="AS276" s="1">
        <v>23.358000000000001</v>
      </c>
      <c r="AT276" s="1">
        <v>23.46</v>
      </c>
      <c r="AU276" s="1">
        <v>23.506</v>
      </c>
      <c r="AV276" s="1">
        <v>23.222999999999999</v>
      </c>
      <c r="AW276" s="1">
        <v>23.456</v>
      </c>
      <c r="AX276" s="1">
        <v>23.405999999999999</v>
      </c>
      <c r="AY276" s="1">
        <v>23.483000000000001</v>
      </c>
      <c r="AZ276" s="1">
        <v>23.448</v>
      </c>
      <c r="BA276" s="1">
        <v>23.382999999999999</v>
      </c>
      <c r="BB276" s="1">
        <v>23.288</v>
      </c>
      <c r="BC276" s="1">
        <v>23.442</v>
      </c>
      <c r="BD276" s="1">
        <v>23.391999999999999</v>
      </c>
      <c r="BE276" s="1">
        <v>23.483000000000001</v>
      </c>
      <c r="BF276" s="1">
        <v>23.384</v>
      </c>
      <c r="BG276" s="1">
        <v>23.437000000000001</v>
      </c>
      <c r="BH276" s="1">
        <v>23.204999999999998</v>
      </c>
      <c r="BI276" s="1">
        <v>23.382999999999999</v>
      </c>
      <c r="BJ276" s="1">
        <v>23.45</v>
      </c>
      <c r="BK276" s="1">
        <v>23.32</v>
      </c>
      <c r="BL276" s="1">
        <v>23.36</v>
      </c>
      <c r="BN276" s="1">
        <v>24</v>
      </c>
      <c r="BO276" s="1">
        <v>4005</v>
      </c>
      <c r="BP276" s="3">
        <f t="shared" si="244"/>
        <v>-4.5383895131085577E-3</v>
      </c>
      <c r="BQ276" s="3">
        <f t="shared" si="245"/>
        <v>-1.6413857677901459E-3</v>
      </c>
      <c r="BR276" s="3">
        <f t="shared" si="246"/>
        <v>1.4794007490639982E-4</v>
      </c>
      <c r="BS276" s="3">
        <f t="shared" si="247"/>
        <v>-6.4981273408238867E-3</v>
      </c>
      <c r="BT276" s="3">
        <f t="shared" si="248"/>
        <v>-8.745318352058472E-4</v>
      </c>
      <c r="BU276" s="3">
        <f t="shared" si="249"/>
        <v>-1.9396067415729792E-3</v>
      </c>
      <c r="BV276" s="3">
        <f t="shared" si="250"/>
        <v>4.4508426966293592E-3</v>
      </c>
      <c r="BW276" s="3">
        <f t="shared" si="251"/>
        <v>-7.1797752808988695E-3</v>
      </c>
      <c r="BX276" s="3">
        <f t="shared" si="252"/>
        <v>2.1928838951311967E-3</v>
      </c>
      <c r="BY276" s="3">
        <f t="shared" si="253"/>
        <v>1.7668539325843135E-3</v>
      </c>
      <c r="BZ276" s="3">
        <f t="shared" si="254"/>
        <v>-1.6413857677901459E-3</v>
      </c>
      <c r="CA276" s="3">
        <f t="shared" si="255"/>
        <v>-3.6437265917602089E-3</v>
      </c>
      <c r="CB276" s="3">
        <f t="shared" si="256"/>
        <v>-5.7631086142316524E-4</v>
      </c>
      <c r="CC276" s="3">
        <f t="shared" si="257"/>
        <v>-1.982209737827713E-3</v>
      </c>
      <c r="CD276" s="3">
        <f t="shared" si="258"/>
        <v>-1.1727528089886805E-3</v>
      </c>
      <c r="CE276" s="3">
        <f t="shared" si="259"/>
        <v>1.383426966292164E-3</v>
      </c>
      <c r="CF276" s="3">
        <f t="shared" si="260"/>
        <v>-7.8932584269653116E-4</v>
      </c>
      <c r="CG276" s="3">
        <f t="shared" si="261"/>
        <v>-2.9194756554306437E-3</v>
      </c>
      <c r="CH276" s="3">
        <f t="shared" si="262"/>
        <v>-4.911048689138492E-4</v>
      </c>
      <c r="CI276" s="3">
        <f t="shared" si="263"/>
        <v>-7.6910112359549173E-3</v>
      </c>
      <c r="CJ276" s="3">
        <f t="shared" si="264"/>
        <v>-1.0449438202246306E-3</v>
      </c>
      <c r="CK276" s="3">
        <f t="shared" si="265"/>
        <v>-5.1774344569288063E-3</v>
      </c>
      <c r="CL276" s="3">
        <f t="shared" si="266"/>
        <v>2.0131086142350029E-5</v>
      </c>
      <c r="CM276" s="3">
        <f t="shared" si="267"/>
        <v>-5.0496254681647564E-3</v>
      </c>
      <c r="CN276" s="3">
        <f t="shared" si="268"/>
        <v>-8.745318352058472E-4</v>
      </c>
      <c r="CO276" s="3">
        <f t="shared" si="269"/>
        <v>4.8876404494396688E-4</v>
      </c>
      <c r="CP276" s="3">
        <f t="shared" si="270"/>
        <v>-2.7916666666665943E-3</v>
      </c>
      <c r="CQ276" s="3">
        <f t="shared" si="271"/>
        <v>9.5739700374543237E-4</v>
      </c>
      <c r="CR276" s="3">
        <f t="shared" si="272"/>
        <v>-2.195224719101079E-3</v>
      </c>
      <c r="CS276" s="3">
        <f t="shared" si="273"/>
        <v>2.022471910112413E-3</v>
      </c>
      <c r="CT276" s="3">
        <f t="shared" si="274"/>
        <v>4.4616104868923313E-4</v>
      </c>
      <c r="CU276" s="3">
        <f t="shared" si="275"/>
        <v>-1.1397471910112362E-2</v>
      </c>
      <c r="CV276" s="3">
        <f t="shared" si="276"/>
        <v>-6.6259363295879366E-3</v>
      </c>
      <c r="CW276" s="3">
        <f t="shared" si="277"/>
        <v>-3.2602996254680596E-3</v>
      </c>
      <c r="CX276" s="3">
        <f t="shared" si="278"/>
        <v>-7.0411985018721502E-4</v>
      </c>
      <c r="CY276" s="3">
        <f t="shared" si="279"/>
        <v>1.2556179775281143E-3</v>
      </c>
      <c r="CZ276" s="3">
        <f t="shared" si="280"/>
        <v>1.4794007490639982E-4</v>
      </c>
      <c r="DA276" s="3">
        <f t="shared" si="281"/>
        <v>-1.1301498127339468E-3</v>
      </c>
      <c r="DB276" s="3">
        <f t="shared" si="282"/>
        <v>-5.9016853932583714E-3</v>
      </c>
      <c r="DC276" s="3">
        <f t="shared" si="283"/>
        <v>-8.319288389512648E-4</v>
      </c>
      <c r="DD276" s="3">
        <f t="shared" si="284"/>
        <v>-4.8792134831459732E-3</v>
      </c>
      <c r="DE276" s="3">
        <f t="shared" si="285"/>
        <v>-5.3370786516843149E-4</v>
      </c>
      <c r="DF276" s="3">
        <f t="shared" si="286"/>
        <v>1.4260299625468978E-3</v>
      </c>
      <c r="DG276" s="3">
        <f t="shared" si="287"/>
        <v>-1.0630617977528062E-2</v>
      </c>
      <c r="DH276" s="3">
        <f t="shared" si="288"/>
        <v>-7.0411985018721502E-4</v>
      </c>
      <c r="DI276" s="3">
        <f t="shared" si="289"/>
        <v>-2.834269662921328E-3</v>
      </c>
      <c r="DJ276" s="3">
        <f t="shared" si="290"/>
        <v>4.4616104868923313E-4</v>
      </c>
      <c r="DK276" s="3">
        <f t="shared" si="291"/>
        <v>-1.0449438202246306E-3</v>
      </c>
      <c r="DL276" s="3">
        <f t="shared" si="292"/>
        <v>-3.8141385767789925E-3</v>
      </c>
      <c r="DM276" s="3">
        <f t="shared" si="293"/>
        <v>-7.8614232209737005E-3</v>
      </c>
      <c r="DN276" s="3">
        <f t="shared" si="294"/>
        <v>-1.3005617977527304E-3</v>
      </c>
      <c r="DO276" s="3">
        <f t="shared" si="295"/>
        <v>-3.4307116104868433E-3</v>
      </c>
      <c r="DP276" s="3">
        <f t="shared" si="296"/>
        <v>4.4616104868923313E-4</v>
      </c>
      <c r="DQ276" s="3">
        <f t="shared" si="297"/>
        <v>-3.7715355805242588E-3</v>
      </c>
      <c r="DR276" s="3">
        <f t="shared" si="298"/>
        <v>-1.5135767790260962E-3</v>
      </c>
      <c r="DS276" s="3">
        <f t="shared" si="299"/>
        <v>-1.1397471910112362E-2</v>
      </c>
      <c r="DT276" s="3">
        <f t="shared" si="300"/>
        <v>-3.8141385767789925E-3</v>
      </c>
      <c r="DU276" s="3">
        <f t="shared" si="301"/>
        <v>-9.5973782771531459E-4</v>
      </c>
      <c r="DV276" s="3">
        <f t="shared" si="302"/>
        <v>-6.4981273408238867E-3</v>
      </c>
      <c r="DW276" s="3">
        <f t="shared" si="303"/>
        <v>-4.7940074906366575E-3</v>
      </c>
    </row>
    <row r="277" spans="2:127" x14ac:dyDescent="0.45">
      <c r="B277" s="1">
        <v>24</v>
      </c>
      <c r="C277" s="1">
        <v>4020</v>
      </c>
      <c r="D277" s="7">
        <f t="shared" si="304"/>
        <v>23.560439560439562</v>
      </c>
      <c r="E277" s="1">
        <v>23.454000000000001</v>
      </c>
      <c r="F277" s="1">
        <v>23.521000000000001</v>
      </c>
      <c r="G277" s="1">
        <v>23.564</v>
      </c>
      <c r="H277" s="1">
        <v>23.404</v>
      </c>
      <c r="I277" s="1">
        <v>23.539000000000001</v>
      </c>
      <c r="J277" s="1">
        <v>23.515999999999998</v>
      </c>
      <c r="K277" s="1">
        <v>23.664999999999999</v>
      </c>
      <c r="L277" s="1">
        <v>23.385000000000002</v>
      </c>
      <c r="M277" s="1">
        <v>23.613</v>
      </c>
      <c r="N277" s="1">
        <v>23.603999999999999</v>
      </c>
      <c r="O277" s="1">
        <v>23.521000000000001</v>
      </c>
      <c r="P277" s="1">
        <v>23.472000000000001</v>
      </c>
      <c r="Q277" s="1">
        <v>23.545000000000002</v>
      </c>
      <c r="R277" s="1">
        <v>23.513000000000002</v>
      </c>
      <c r="S277" s="1">
        <v>23.53</v>
      </c>
      <c r="T277" s="1">
        <v>23.591000000000001</v>
      </c>
      <c r="U277" s="1">
        <v>23.542999999999999</v>
      </c>
      <c r="V277" s="1">
        <v>23.49</v>
      </c>
      <c r="W277" s="1">
        <v>23.550999999999998</v>
      </c>
      <c r="X277" s="1">
        <v>23.369</v>
      </c>
      <c r="Y277" s="1">
        <v>23.536000000000001</v>
      </c>
      <c r="Z277" s="1">
        <v>23.44</v>
      </c>
      <c r="AA277" s="1">
        <v>23.562999999999999</v>
      </c>
      <c r="AB277" s="1">
        <v>23.44</v>
      </c>
      <c r="AC277" s="1">
        <v>23.539000000000001</v>
      </c>
      <c r="AD277" s="1">
        <v>23.57</v>
      </c>
      <c r="AE277" s="1">
        <v>23.495000000000001</v>
      </c>
      <c r="AF277" s="1">
        <v>23.582999999999998</v>
      </c>
      <c r="AG277" s="1">
        <v>23.507000000000001</v>
      </c>
      <c r="AH277" s="1">
        <v>23.605</v>
      </c>
      <c r="AI277" s="1">
        <v>23.57</v>
      </c>
      <c r="AJ277" s="1">
        <v>23.292000000000002</v>
      </c>
      <c r="AK277" s="1">
        <v>23.408000000000001</v>
      </c>
      <c r="AL277" s="1">
        <v>23.481999999999999</v>
      </c>
      <c r="AM277" s="1">
        <v>23.544</v>
      </c>
      <c r="AN277" s="1">
        <v>23.591000000000001</v>
      </c>
      <c r="AO277" s="1">
        <v>23.562999999999999</v>
      </c>
      <c r="AP277" s="1">
        <v>23.533000000000001</v>
      </c>
      <c r="AQ277" s="1">
        <v>23.420999999999999</v>
      </c>
      <c r="AR277" s="1">
        <v>23.54</v>
      </c>
      <c r="AS277" s="1">
        <v>23.445</v>
      </c>
      <c r="AT277" s="1">
        <v>23.547000000000001</v>
      </c>
      <c r="AU277" s="1">
        <v>23.593</v>
      </c>
      <c r="AV277" s="1">
        <v>23.312000000000001</v>
      </c>
      <c r="AW277" s="1">
        <v>23.544</v>
      </c>
      <c r="AX277" s="1">
        <v>23.494</v>
      </c>
      <c r="AY277" s="1">
        <v>23.57</v>
      </c>
      <c r="AZ277" s="1">
        <v>23.536999999999999</v>
      </c>
      <c r="BA277" s="1">
        <v>23.471</v>
      </c>
      <c r="BB277" s="1">
        <v>23.376999999999999</v>
      </c>
      <c r="BC277" s="1">
        <v>23.53</v>
      </c>
      <c r="BD277" s="1">
        <v>23.481999999999999</v>
      </c>
      <c r="BE277" s="1">
        <v>23.57</v>
      </c>
      <c r="BF277" s="1">
        <v>23.472999999999999</v>
      </c>
      <c r="BG277" s="1">
        <v>23.524000000000001</v>
      </c>
      <c r="BH277" s="1">
        <v>23.286000000000001</v>
      </c>
      <c r="BI277" s="1">
        <v>23.469000000000001</v>
      </c>
      <c r="BJ277" s="1">
        <v>23.539000000000001</v>
      </c>
      <c r="BK277" s="1">
        <v>23.414999999999999</v>
      </c>
      <c r="BL277" s="1">
        <v>23.448</v>
      </c>
      <c r="BN277" s="1">
        <v>24</v>
      </c>
      <c r="BO277" s="1">
        <v>4020</v>
      </c>
      <c r="BP277" s="3">
        <f t="shared" si="244"/>
        <v>-4.517723880597054E-3</v>
      </c>
      <c r="BQ277" s="3">
        <f t="shared" si="245"/>
        <v>-1.6739738805970474E-3</v>
      </c>
      <c r="BR277" s="3">
        <f t="shared" si="246"/>
        <v>1.5111940298501075E-4</v>
      </c>
      <c r="BS277" s="3">
        <f t="shared" si="247"/>
        <v>-6.639925373134398E-3</v>
      </c>
      <c r="BT277" s="3">
        <f t="shared" si="248"/>
        <v>-9.0998134328358561E-4</v>
      </c>
      <c r="BU277" s="3">
        <f t="shared" si="249"/>
        <v>-1.8861940298508873E-3</v>
      </c>
      <c r="BV277" s="3">
        <f t="shared" si="250"/>
        <v>4.437966417910345E-3</v>
      </c>
      <c r="BW277" s="3">
        <f t="shared" si="251"/>
        <v>-7.4463619402985069E-3</v>
      </c>
      <c r="BX277" s="3">
        <f t="shared" si="252"/>
        <v>2.2308768656715563E-3</v>
      </c>
      <c r="BY277" s="3">
        <f t="shared" si="253"/>
        <v>1.8488805970148252E-3</v>
      </c>
      <c r="BZ277" s="3">
        <f t="shared" si="254"/>
        <v>-1.6739738805970474E-3</v>
      </c>
      <c r="CA277" s="3">
        <f t="shared" si="255"/>
        <v>-3.7537313432835927E-3</v>
      </c>
      <c r="CB277" s="3">
        <f t="shared" si="256"/>
        <v>-6.5531716417909836E-4</v>
      </c>
      <c r="CC277" s="3">
        <f t="shared" si="257"/>
        <v>-2.01352611940298E-3</v>
      </c>
      <c r="CD277" s="3">
        <f t="shared" si="258"/>
        <v>-1.2919776119403165E-3</v>
      </c>
      <c r="CE277" s="3">
        <f t="shared" si="259"/>
        <v>1.2971082089552033E-3</v>
      </c>
      <c r="CF277" s="3">
        <f t="shared" si="260"/>
        <v>-7.4020522388069466E-4</v>
      </c>
      <c r="CG277" s="3">
        <f t="shared" si="261"/>
        <v>-2.9897388059702819E-3</v>
      </c>
      <c r="CH277" s="3">
        <f t="shared" si="262"/>
        <v>-4.0065298507476187E-4</v>
      </c>
      <c r="CI277" s="3">
        <f t="shared" si="263"/>
        <v>-8.1254664179105235E-3</v>
      </c>
      <c r="CJ277" s="3">
        <f t="shared" si="264"/>
        <v>-1.0373134328358292E-3</v>
      </c>
      <c r="CK277" s="3">
        <f t="shared" si="265"/>
        <v>-5.1119402985074745E-3</v>
      </c>
      <c r="CL277" s="3">
        <f t="shared" si="266"/>
        <v>1.0867537313421261E-4</v>
      </c>
      <c r="CM277" s="3">
        <f t="shared" si="267"/>
        <v>-5.1119402985074745E-3</v>
      </c>
      <c r="CN277" s="3">
        <f t="shared" si="268"/>
        <v>-9.0998134328358561E-4</v>
      </c>
      <c r="CO277" s="3">
        <f t="shared" si="269"/>
        <v>4.0578358208949797E-4</v>
      </c>
      <c r="CP277" s="3">
        <f t="shared" si="270"/>
        <v>-2.7775186567164417E-3</v>
      </c>
      <c r="CQ277" s="3">
        <f t="shared" si="271"/>
        <v>9.575559701491198E-4</v>
      </c>
      <c r="CR277" s="3">
        <f t="shared" si="272"/>
        <v>-2.2681902985074672E-3</v>
      </c>
      <c r="CS277" s="3">
        <f t="shared" si="273"/>
        <v>1.8913246268656234E-3</v>
      </c>
      <c r="CT277" s="3">
        <f t="shared" si="274"/>
        <v>4.0578358208949797E-4</v>
      </c>
      <c r="CU277" s="3">
        <f t="shared" si="275"/>
        <v>-1.1393656716417908E-2</v>
      </c>
      <c r="CV277" s="3">
        <f t="shared" si="276"/>
        <v>-6.4701492537313559E-3</v>
      </c>
      <c r="CW277" s="3">
        <f t="shared" si="277"/>
        <v>-3.3292910447762143E-3</v>
      </c>
      <c r="CX277" s="3">
        <f t="shared" si="278"/>
        <v>-6.9776119402989651E-4</v>
      </c>
      <c r="CY277" s="3">
        <f t="shared" si="279"/>
        <v>1.2971082089552033E-3</v>
      </c>
      <c r="CZ277" s="3">
        <f t="shared" si="280"/>
        <v>1.0867537313421261E-4</v>
      </c>
      <c r="DA277" s="3">
        <f t="shared" si="281"/>
        <v>-1.1646455223880729E-3</v>
      </c>
      <c r="DB277" s="3">
        <f t="shared" si="282"/>
        <v>-5.9183768656717343E-3</v>
      </c>
      <c r="DC277" s="3">
        <f t="shared" si="283"/>
        <v>-8.6753731343293828E-4</v>
      </c>
      <c r="DD277" s="3">
        <f t="shared" si="284"/>
        <v>-4.8997201492537853E-3</v>
      </c>
      <c r="DE277" s="3">
        <f t="shared" si="285"/>
        <v>-5.7042910447765288E-4</v>
      </c>
      <c r="DF277" s="3">
        <f t="shared" si="286"/>
        <v>1.3819962686566489E-3</v>
      </c>
      <c r="DG277" s="3">
        <f t="shared" si="287"/>
        <v>-1.0544776119403002E-2</v>
      </c>
      <c r="DH277" s="3">
        <f t="shared" si="288"/>
        <v>-6.9776119402989651E-4</v>
      </c>
      <c r="DI277" s="3">
        <f t="shared" si="289"/>
        <v>-2.8199626865672398E-3</v>
      </c>
      <c r="DJ277" s="3">
        <f t="shared" si="290"/>
        <v>4.0578358208949797E-4</v>
      </c>
      <c r="DK277" s="3">
        <f t="shared" si="291"/>
        <v>-9.948694029851819E-4</v>
      </c>
      <c r="DL277" s="3">
        <f t="shared" si="292"/>
        <v>-3.7961753731343907E-3</v>
      </c>
      <c r="DM277" s="3">
        <f t="shared" si="293"/>
        <v>-7.7859141791045902E-3</v>
      </c>
      <c r="DN277" s="3">
        <f t="shared" si="294"/>
        <v>-1.2919776119403165E-3</v>
      </c>
      <c r="DO277" s="3">
        <f t="shared" si="295"/>
        <v>-3.3292910447762143E-3</v>
      </c>
      <c r="DP277" s="3">
        <f t="shared" si="296"/>
        <v>4.0578358208949797E-4</v>
      </c>
      <c r="DQ277" s="3">
        <f t="shared" si="297"/>
        <v>-3.7112873134329451E-3</v>
      </c>
      <c r="DR277" s="3">
        <f t="shared" si="298"/>
        <v>-1.5466417910448037E-3</v>
      </c>
      <c r="DS277" s="3">
        <f t="shared" si="299"/>
        <v>-1.1648320895522396E-2</v>
      </c>
      <c r="DT277" s="3">
        <f t="shared" si="300"/>
        <v>-3.8810634328358363E-3</v>
      </c>
      <c r="DU277" s="3">
        <f t="shared" si="301"/>
        <v>-9.0998134328358561E-4</v>
      </c>
      <c r="DV277" s="3">
        <f t="shared" si="302"/>
        <v>-6.1730410447762216E-3</v>
      </c>
      <c r="DW277" s="3">
        <f t="shared" si="303"/>
        <v>-4.7723880597015413E-3</v>
      </c>
    </row>
    <row r="278" spans="2:127" x14ac:dyDescent="0.45">
      <c r="B278" s="1">
        <v>24</v>
      </c>
      <c r="C278" s="1">
        <v>4035</v>
      </c>
      <c r="D278" s="7">
        <f t="shared" si="304"/>
        <v>23.64835164835165</v>
      </c>
      <c r="E278" s="1">
        <v>23.541</v>
      </c>
      <c r="F278" s="1">
        <v>23.609000000000002</v>
      </c>
      <c r="G278" s="1">
        <v>23.652999999999999</v>
      </c>
      <c r="H278" s="1">
        <v>23.49</v>
      </c>
      <c r="I278" s="1">
        <v>23.628</v>
      </c>
      <c r="J278" s="1">
        <v>23.602</v>
      </c>
      <c r="K278" s="1">
        <v>23.753</v>
      </c>
      <c r="L278" s="1">
        <v>23.468</v>
      </c>
      <c r="M278" s="1">
        <v>23.701000000000001</v>
      </c>
      <c r="N278" s="1">
        <v>23.693000000000001</v>
      </c>
      <c r="O278" s="1">
        <v>23.608000000000001</v>
      </c>
      <c r="P278" s="1">
        <v>23.56</v>
      </c>
      <c r="Q278" s="1">
        <v>23.632000000000001</v>
      </c>
      <c r="R278" s="1">
        <v>23.597999999999999</v>
      </c>
      <c r="S278" s="1">
        <v>23.620999999999999</v>
      </c>
      <c r="T278" s="1">
        <v>23.678000000000001</v>
      </c>
      <c r="U278" s="1">
        <v>23.631</v>
      </c>
      <c r="V278" s="1">
        <v>23.574999999999999</v>
      </c>
      <c r="W278" s="1">
        <v>23.638999999999999</v>
      </c>
      <c r="X278" s="1">
        <v>23.46</v>
      </c>
      <c r="Y278" s="1">
        <v>23.623999999999999</v>
      </c>
      <c r="Z278" s="1">
        <v>23.526</v>
      </c>
      <c r="AA278" s="1">
        <v>23.651</v>
      </c>
      <c r="AB278" s="1">
        <v>23.526</v>
      </c>
      <c r="AC278" s="1">
        <v>23.628</v>
      </c>
      <c r="AD278" s="1">
        <v>23.658000000000001</v>
      </c>
      <c r="AE278" s="1">
        <v>23.581</v>
      </c>
      <c r="AF278" s="1">
        <v>23.669</v>
      </c>
      <c r="AG278" s="1">
        <v>23.597000000000001</v>
      </c>
      <c r="AH278" s="1">
        <v>23.695</v>
      </c>
      <c r="AI278" s="1">
        <v>23.657</v>
      </c>
      <c r="AJ278" s="1">
        <v>23.376999999999999</v>
      </c>
      <c r="AK278" s="1">
        <v>23.495000000000001</v>
      </c>
      <c r="AL278" s="1">
        <v>23.57</v>
      </c>
      <c r="AM278" s="1">
        <v>23.629000000000001</v>
      </c>
      <c r="AN278" s="1">
        <v>23.681999999999999</v>
      </c>
      <c r="AO278" s="1">
        <v>23.65</v>
      </c>
      <c r="AP278" s="1">
        <v>23.620999999999999</v>
      </c>
      <c r="AQ278" s="1">
        <v>23.506</v>
      </c>
      <c r="AR278" s="1">
        <v>23.628</v>
      </c>
      <c r="AS278" s="1">
        <v>23.533000000000001</v>
      </c>
      <c r="AT278" s="1">
        <v>23.635999999999999</v>
      </c>
      <c r="AU278" s="1">
        <v>23.68</v>
      </c>
      <c r="AV278" s="1">
        <v>23.399000000000001</v>
      </c>
      <c r="AW278" s="1">
        <v>23.634</v>
      </c>
      <c r="AX278" s="1">
        <v>23.582000000000001</v>
      </c>
      <c r="AY278" s="1">
        <v>23.658000000000001</v>
      </c>
      <c r="AZ278" s="1">
        <v>23.625</v>
      </c>
      <c r="BA278" s="1">
        <v>23.558</v>
      </c>
      <c r="BB278" s="1">
        <v>23.465</v>
      </c>
      <c r="BC278" s="1">
        <v>23.616</v>
      </c>
      <c r="BD278" s="1">
        <v>23.568000000000001</v>
      </c>
      <c r="BE278" s="1">
        <v>23.658000000000001</v>
      </c>
      <c r="BF278" s="1">
        <v>23.559000000000001</v>
      </c>
      <c r="BG278" s="1">
        <v>23.617000000000001</v>
      </c>
      <c r="BH278" s="1">
        <v>23.373000000000001</v>
      </c>
      <c r="BI278" s="1">
        <v>23.556000000000001</v>
      </c>
      <c r="BJ278" s="1">
        <v>23.628</v>
      </c>
      <c r="BK278" s="1">
        <v>23.498999999999999</v>
      </c>
      <c r="BL278" s="1">
        <v>23.536000000000001</v>
      </c>
      <c r="BN278" s="1">
        <v>24</v>
      </c>
      <c r="BO278" s="1">
        <v>4035</v>
      </c>
      <c r="BP278" s="3">
        <f t="shared" si="244"/>
        <v>-4.5394981412639774E-3</v>
      </c>
      <c r="BQ278" s="3">
        <f t="shared" si="245"/>
        <v>-1.6640334572490488E-3</v>
      </c>
      <c r="BR278" s="3">
        <f t="shared" si="246"/>
        <v>1.965613382898547E-4</v>
      </c>
      <c r="BS278" s="3">
        <f t="shared" si="247"/>
        <v>-6.6960966542752116E-3</v>
      </c>
      <c r="BT278" s="3">
        <f t="shared" si="248"/>
        <v>-8.6059479553908145E-4</v>
      </c>
      <c r="BU278" s="3">
        <f t="shared" si="249"/>
        <v>-1.9600371747212292E-3</v>
      </c>
      <c r="BV278" s="3">
        <f t="shared" si="250"/>
        <v>4.4251858736058993E-3</v>
      </c>
      <c r="BW278" s="3">
        <f t="shared" si="251"/>
        <v>-7.6263940520446636E-3</v>
      </c>
      <c r="BX278" s="3">
        <f t="shared" si="252"/>
        <v>2.2263011152416044E-3</v>
      </c>
      <c r="BY278" s="3">
        <f t="shared" si="253"/>
        <v>1.8880111524163629E-3</v>
      </c>
      <c r="BZ278" s="3">
        <f t="shared" si="254"/>
        <v>-1.7063197026022604E-3</v>
      </c>
      <c r="CA278" s="3">
        <f t="shared" si="255"/>
        <v>-3.7360594795540101E-3</v>
      </c>
      <c r="CB278" s="3">
        <f t="shared" si="256"/>
        <v>-6.9144981412638557E-4</v>
      </c>
      <c r="CC278" s="3">
        <f t="shared" si="257"/>
        <v>-2.1291821561339251E-3</v>
      </c>
      <c r="CD278" s="3">
        <f t="shared" si="258"/>
        <v>-1.1565985130112617E-3</v>
      </c>
      <c r="CE278" s="3">
        <f t="shared" si="259"/>
        <v>1.2537174721189411E-3</v>
      </c>
      <c r="CF278" s="3">
        <f t="shared" si="260"/>
        <v>-7.3373605947959705E-4</v>
      </c>
      <c r="CG278" s="3">
        <f t="shared" si="261"/>
        <v>-3.1017657992565882E-3</v>
      </c>
      <c r="CH278" s="3">
        <f t="shared" si="262"/>
        <v>-3.9544609665435556E-4</v>
      </c>
      <c r="CI278" s="3">
        <f t="shared" si="263"/>
        <v>-7.9646840148699053E-3</v>
      </c>
      <c r="CJ278" s="3">
        <f t="shared" si="264"/>
        <v>-1.0297397769517772E-3</v>
      </c>
      <c r="CK278" s="3">
        <f t="shared" si="265"/>
        <v>-5.1737918215613993E-3</v>
      </c>
      <c r="CL278" s="3">
        <f t="shared" si="266"/>
        <v>1.1198884758358188E-4</v>
      </c>
      <c r="CM278" s="3">
        <f t="shared" si="267"/>
        <v>-5.1737918215613993E-3</v>
      </c>
      <c r="CN278" s="3">
        <f t="shared" si="268"/>
        <v>-8.6059479553908145E-4</v>
      </c>
      <c r="CO278" s="3">
        <f t="shared" si="269"/>
        <v>4.0799256505576209E-4</v>
      </c>
      <c r="CP278" s="3">
        <f t="shared" si="270"/>
        <v>-2.8480483271376197E-3</v>
      </c>
      <c r="CQ278" s="3">
        <f t="shared" si="271"/>
        <v>8.7314126394048798E-4</v>
      </c>
      <c r="CR278" s="3">
        <f t="shared" si="272"/>
        <v>-2.1714684014869862E-3</v>
      </c>
      <c r="CS278" s="3">
        <f t="shared" si="273"/>
        <v>1.9725836431226359E-3</v>
      </c>
      <c r="CT278" s="3">
        <f t="shared" si="274"/>
        <v>3.657063197025506E-4</v>
      </c>
      <c r="CU278" s="3">
        <f t="shared" si="275"/>
        <v>-1.1474442379182255E-2</v>
      </c>
      <c r="CV278" s="3">
        <f t="shared" si="276"/>
        <v>-6.4846654275093037E-3</v>
      </c>
      <c r="CW278" s="3">
        <f t="shared" si="277"/>
        <v>-3.3131970260223457E-3</v>
      </c>
      <c r="CX278" s="3">
        <f t="shared" si="278"/>
        <v>-8.1830855018586986E-4</v>
      </c>
      <c r="CY278" s="3">
        <f t="shared" si="279"/>
        <v>1.4228624535314867E-3</v>
      </c>
      <c r="CZ278" s="3">
        <f t="shared" si="280"/>
        <v>6.970260223037034E-5</v>
      </c>
      <c r="DA278" s="3">
        <f t="shared" si="281"/>
        <v>-1.1565985130112617E-3</v>
      </c>
      <c r="DB278" s="3">
        <f t="shared" si="282"/>
        <v>-6.0195167286245781E-3</v>
      </c>
      <c r="DC278" s="3">
        <f t="shared" si="283"/>
        <v>-8.6059479553908145E-4</v>
      </c>
      <c r="DD278" s="3">
        <f t="shared" si="284"/>
        <v>-4.8777881040892191E-3</v>
      </c>
      <c r="DE278" s="3">
        <f t="shared" si="285"/>
        <v>-5.2230483271383985E-4</v>
      </c>
      <c r="DF278" s="3">
        <f t="shared" si="286"/>
        <v>1.338289962825214E-3</v>
      </c>
      <c r="DG278" s="3">
        <f t="shared" si="287"/>
        <v>-1.0544144981412653E-2</v>
      </c>
      <c r="DH278" s="3">
        <f t="shared" si="288"/>
        <v>-6.0687732342011276E-4</v>
      </c>
      <c r="DI278" s="3">
        <f t="shared" si="289"/>
        <v>-2.8057620817844081E-3</v>
      </c>
      <c r="DJ278" s="3">
        <f t="shared" si="290"/>
        <v>4.0799256505576209E-4</v>
      </c>
      <c r="DK278" s="3">
        <f t="shared" si="291"/>
        <v>-9.8745353159856585E-4</v>
      </c>
      <c r="DL278" s="3">
        <f t="shared" si="292"/>
        <v>-3.8206319702602828E-3</v>
      </c>
      <c r="DM278" s="3">
        <f t="shared" si="293"/>
        <v>-7.7532527881041475E-3</v>
      </c>
      <c r="DN278" s="3">
        <f t="shared" si="294"/>
        <v>-1.3680297397770189E-3</v>
      </c>
      <c r="DO278" s="3">
        <f t="shared" si="295"/>
        <v>-3.3977695167286184E-3</v>
      </c>
      <c r="DP278" s="3">
        <f t="shared" si="296"/>
        <v>4.0799256505576209E-4</v>
      </c>
      <c r="DQ278" s="3">
        <f t="shared" si="297"/>
        <v>-3.7783457249070712E-3</v>
      </c>
      <c r="DR278" s="3">
        <f t="shared" si="298"/>
        <v>-1.3257434944238073E-3</v>
      </c>
      <c r="DS278" s="3">
        <f t="shared" si="299"/>
        <v>-1.1643587360594801E-2</v>
      </c>
      <c r="DT278" s="3">
        <f t="shared" si="300"/>
        <v>-3.9052044609665555E-3</v>
      </c>
      <c r="DU278" s="3">
        <f t="shared" si="301"/>
        <v>-8.6059479553908145E-4</v>
      </c>
      <c r="DV278" s="3">
        <f t="shared" si="302"/>
        <v>-6.3155204460967583E-3</v>
      </c>
      <c r="DW278" s="3">
        <f t="shared" si="303"/>
        <v>-4.7509293680297344E-3</v>
      </c>
    </row>
    <row r="279" spans="2:127" x14ac:dyDescent="0.45">
      <c r="B279" s="1">
        <v>24</v>
      </c>
      <c r="C279" s="1">
        <v>4050</v>
      </c>
      <c r="D279" s="7">
        <f t="shared" si="304"/>
        <v>23.736263736263737</v>
      </c>
      <c r="E279" s="1">
        <v>23.629000000000001</v>
      </c>
      <c r="F279" s="1">
        <v>23.693000000000001</v>
      </c>
      <c r="G279" s="1">
        <v>23.742000000000001</v>
      </c>
      <c r="H279" s="1">
        <v>23.577000000000002</v>
      </c>
      <c r="I279" s="1">
        <v>23.715</v>
      </c>
      <c r="J279" s="1">
        <v>23.689</v>
      </c>
      <c r="K279" s="1">
        <v>23.841000000000001</v>
      </c>
      <c r="L279" s="1">
        <v>23.555</v>
      </c>
      <c r="M279" s="1">
        <v>23.79</v>
      </c>
      <c r="N279" s="1">
        <v>23.780999999999999</v>
      </c>
      <c r="O279" s="1">
        <v>23.696000000000002</v>
      </c>
      <c r="P279" s="1">
        <v>23.646000000000001</v>
      </c>
      <c r="Q279" s="1">
        <v>23.72</v>
      </c>
      <c r="R279" s="1">
        <v>23.684999999999999</v>
      </c>
      <c r="S279" s="1">
        <v>23.710999999999999</v>
      </c>
      <c r="T279" s="1">
        <v>23.765000000000001</v>
      </c>
      <c r="U279" s="1">
        <v>23.718</v>
      </c>
      <c r="V279" s="1">
        <v>23.661999999999999</v>
      </c>
      <c r="W279" s="1">
        <v>23.728000000000002</v>
      </c>
      <c r="X279" s="1">
        <v>23.542999999999999</v>
      </c>
      <c r="Y279" s="1">
        <v>23.712</v>
      </c>
      <c r="Z279" s="1">
        <v>23.616</v>
      </c>
      <c r="AA279" s="1">
        <v>23.739000000000001</v>
      </c>
      <c r="AB279" s="1">
        <v>23.614999999999998</v>
      </c>
      <c r="AC279" s="1">
        <v>23.716000000000001</v>
      </c>
      <c r="AD279" s="1">
        <v>23.747</v>
      </c>
      <c r="AE279" s="1">
        <v>23.667000000000002</v>
      </c>
      <c r="AF279" s="1">
        <v>23.756</v>
      </c>
      <c r="AG279" s="1">
        <v>23.681999999999999</v>
      </c>
      <c r="AH279" s="1">
        <v>23.783000000000001</v>
      </c>
      <c r="AI279" s="1">
        <v>23.742999999999999</v>
      </c>
      <c r="AJ279" s="1">
        <v>23.463000000000001</v>
      </c>
      <c r="AK279" s="1">
        <v>23.581</v>
      </c>
      <c r="AL279" s="1">
        <v>23.658000000000001</v>
      </c>
      <c r="AM279" s="1">
        <v>23.718</v>
      </c>
      <c r="AN279" s="1">
        <v>23.771000000000001</v>
      </c>
      <c r="AO279" s="1">
        <v>23.736999999999998</v>
      </c>
      <c r="AP279" s="1">
        <v>23.707999999999998</v>
      </c>
      <c r="AQ279" s="1">
        <v>23.593</v>
      </c>
      <c r="AR279" s="1">
        <v>23.716000000000001</v>
      </c>
      <c r="AS279" s="1">
        <v>23.62</v>
      </c>
      <c r="AT279" s="1">
        <v>23.724</v>
      </c>
      <c r="AU279" s="1">
        <v>23.768000000000001</v>
      </c>
      <c r="AV279" s="1">
        <v>23.484000000000002</v>
      </c>
      <c r="AW279" s="1">
        <v>23.72</v>
      </c>
      <c r="AX279" s="1">
        <v>23.669</v>
      </c>
      <c r="AY279" s="1">
        <v>23.745000000000001</v>
      </c>
      <c r="AZ279" s="1">
        <v>23.712</v>
      </c>
      <c r="BA279" s="1">
        <v>23.643999999999998</v>
      </c>
      <c r="BB279" s="1">
        <v>23.550999999999998</v>
      </c>
      <c r="BC279" s="1">
        <v>23.704000000000001</v>
      </c>
      <c r="BD279" s="1">
        <v>23.657</v>
      </c>
      <c r="BE279" s="1">
        <v>23.745999999999999</v>
      </c>
      <c r="BF279" s="1">
        <v>23.646000000000001</v>
      </c>
      <c r="BG279" s="1">
        <v>23.702999999999999</v>
      </c>
      <c r="BH279" s="1">
        <v>23.46</v>
      </c>
      <c r="BI279" s="1">
        <v>23.64</v>
      </c>
      <c r="BJ279" s="1">
        <v>23.719000000000001</v>
      </c>
      <c r="BK279" s="1">
        <v>23.591000000000001</v>
      </c>
      <c r="BL279" s="1">
        <v>23.623999999999999</v>
      </c>
      <c r="BN279" s="1">
        <v>24</v>
      </c>
      <c r="BO279" s="1">
        <v>4050</v>
      </c>
      <c r="BP279" s="3">
        <f t="shared" si="244"/>
        <v>-4.5189814814814641E-3</v>
      </c>
      <c r="BQ279" s="3">
        <f t="shared" si="245"/>
        <v>-1.8226851851851659E-3</v>
      </c>
      <c r="BR279" s="3">
        <f t="shared" si="246"/>
        <v>2.4166666666666431E-4</v>
      </c>
      <c r="BS279" s="3">
        <f t="shared" si="247"/>
        <v>-6.7097222222221881E-3</v>
      </c>
      <c r="BT279" s="3">
        <f t="shared" si="248"/>
        <v>-8.9583333333337876E-4</v>
      </c>
      <c r="BU279" s="3">
        <f t="shared" si="249"/>
        <v>-1.9912037037037407E-3</v>
      </c>
      <c r="BV279" s="3">
        <f t="shared" si="250"/>
        <v>4.4125000000000058E-3</v>
      </c>
      <c r="BW279" s="3">
        <f t="shared" si="251"/>
        <v>-7.6365740740741254E-3</v>
      </c>
      <c r="BX279" s="3">
        <f t="shared" si="252"/>
        <v>2.2638888888888136E-3</v>
      </c>
      <c r="BY279" s="3">
        <f t="shared" si="253"/>
        <v>1.8847222222221323E-3</v>
      </c>
      <c r="BZ279" s="3">
        <f t="shared" si="254"/>
        <v>-1.6962962962962722E-3</v>
      </c>
      <c r="CA279" s="3">
        <f t="shared" si="255"/>
        <v>-3.8027777777777834E-3</v>
      </c>
      <c r="CB279" s="3">
        <f t="shared" si="256"/>
        <v>-6.8518518518527255E-4</v>
      </c>
      <c r="CC279" s="3">
        <f t="shared" si="257"/>
        <v>-2.1597222222223154E-3</v>
      </c>
      <c r="CD279" s="3">
        <f t="shared" si="258"/>
        <v>-1.0643518518519536E-3</v>
      </c>
      <c r="CE279" s="3">
        <f t="shared" si="259"/>
        <v>1.2106481481481326E-3</v>
      </c>
      <c r="CF279" s="3">
        <f t="shared" si="260"/>
        <v>-7.6944444444448511E-4</v>
      </c>
      <c r="CG279" s="3">
        <f t="shared" si="261"/>
        <v>-3.1287037037037837E-3</v>
      </c>
      <c r="CH279" s="3">
        <f t="shared" si="262"/>
        <v>-3.4814814814812295E-4</v>
      </c>
      <c r="CI279" s="3">
        <f t="shared" si="263"/>
        <v>-8.1421296296297005E-3</v>
      </c>
      <c r="CJ279" s="3">
        <f t="shared" si="264"/>
        <v>-1.0222222222222724E-3</v>
      </c>
      <c r="CK279" s="3">
        <f t="shared" si="265"/>
        <v>-5.0666666666667201E-3</v>
      </c>
      <c r="CL279" s="3">
        <f t="shared" si="266"/>
        <v>1.1527777777777063E-4</v>
      </c>
      <c r="CM279" s="3">
        <f t="shared" si="267"/>
        <v>-5.1087962962964011E-3</v>
      </c>
      <c r="CN279" s="3">
        <f t="shared" si="268"/>
        <v>-8.5370370370369767E-4</v>
      </c>
      <c r="CO279" s="3">
        <f t="shared" si="269"/>
        <v>4.5231481481477055E-4</v>
      </c>
      <c r="CP279" s="3">
        <f t="shared" si="270"/>
        <v>-2.9180555555555279E-3</v>
      </c>
      <c r="CQ279" s="3">
        <f t="shared" si="271"/>
        <v>8.3148148148145151E-4</v>
      </c>
      <c r="CR279" s="3">
        <f t="shared" si="272"/>
        <v>-2.2861111111112092E-3</v>
      </c>
      <c r="CS279" s="3">
        <f t="shared" si="273"/>
        <v>1.9689814814814947E-3</v>
      </c>
      <c r="CT279" s="3">
        <f t="shared" si="274"/>
        <v>2.8379629629619575E-4</v>
      </c>
      <c r="CU279" s="3">
        <f t="shared" si="275"/>
        <v>-1.1512499999999998E-2</v>
      </c>
      <c r="CV279" s="3">
        <f t="shared" si="276"/>
        <v>-6.5412037037037634E-3</v>
      </c>
      <c r="CW279" s="3">
        <f t="shared" si="277"/>
        <v>-3.2972222222222088E-3</v>
      </c>
      <c r="CX279" s="3">
        <f t="shared" si="278"/>
        <v>-7.6944444444448511E-4</v>
      </c>
      <c r="CY279" s="3">
        <f t="shared" si="279"/>
        <v>1.4634259259259199E-3</v>
      </c>
      <c r="CZ279" s="3">
        <f t="shared" si="280"/>
        <v>3.10185185184084E-5</v>
      </c>
      <c r="DA279" s="3">
        <f t="shared" si="281"/>
        <v>-1.1907407407408472E-3</v>
      </c>
      <c r="DB279" s="3">
        <f t="shared" si="282"/>
        <v>-6.0356481481481884E-3</v>
      </c>
      <c r="DC279" s="3">
        <f t="shared" si="283"/>
        <v>-8.5370370370369767E-4</v>
      </c>
      <c r="DD279" s="3">
        <f t="shared" si="284"/>
        <v>-4.8981481481481454E-3</v>
      </c>
      <c r="DE279" s="3">
        <f t="shared" si="285"/>
        <v>-5.1666666666669769E-4</v>
      </c>
      <c r="DF279" s="3">
        <f t="shared" si="286"/>
        <v>1.3370370370370263E-3</v>
      </c>
      <c r="DG279" s="3">
        <f t="shared" si="287"/>
        <v>-1.0627777777777743E-2</v>
      </c>
      <c r="DH279" s="3">
        <f t="shared" si="288"/>
        <v>-6.8518518518527255E-4</v>
      </c>
      <c r="DI279" s="3">
        <f t="shared" si="289"/>
        <v>-2.8337962962963151E-3</v>
      </c>
      <c r="DJ279" s="3">
        <f t="shared" si="290"/>
        <v>3.6805555555555799E-4</v>
      </c>
      <c r="DK279" s="3">
        <f t="shared" si="291"/>
        <v>-1.0222222222222724E-3</v>
      </c>
      <c r="DL279" s="3">
        <f t="shared" si="292"/>
        <v>-3.8870370370371458E-3</v>
      </c>
      <c r="DM279" s="3">
        <f t="shared" si="293"/>
        <v>-7.8050925925927002E-3</v>
      </c>
      <c r="DN279" s="3">
        <f t="shared" si="294"/>
        <v>-1.3592592592592723E-3</v>
      </c>
      <c r="DO279" s="3">
        <f t="shared" si="295"/>
        <v>-3.3393518518518902E-3</v>
      </c>
      <c r="DP279" s="3">
        <f t="shared" si="296"/>
        <v>4.1018518518508941E-4</v>
      </c>
      <c r="DQ279" s="3">
        <f t="shared" si="297"/>
        <v>-3.8027777777777834E-3</v>
      </c>
      <c r="DR279" s="3">
        <f t="shared" si="298"/>
        <v>-1.4013888888889535E-3</v>
      </c>
      <c r="DS279" s="3">
        <f t="shared" si="299"/>
        <v>-1.1638888888888891E-2</v>
      </c>
      <c r="DT279" s="3">
        <f t="shared" si="300"/>
        <v>-4.0555555555555709E-3</v>
      </c>
      <c r="DU279" s="3">
        <f t="shared" si="301"/>
        <v>-7.2731481481480402E-4</v>
      </c>
      <c r="DV279" s="3">
        <f t="shared" si="302"/>
        <v>-6.1199074074074012E-3</v>
      </c>
      <c r="DW279" s="3">
        <f t="shared" si="303"/>
        <v>-4.7296296296297207E-3</v>
      </c>
    </row>
    <row r="280" spans="2:127" x14ac:dyDescent="0.45">
      <c r="B280" s="1">
        <v>24</v>
      </c>
      <c r="C280" s="1">
        <v>4065</v>
      </c>
      <c r="D280" s="7">
        <f t="shared" si="304"/>
        <v>23.824175824175825</v>
      </c>
      <c r="E280" s="1">
        <v>23.719000000000001</v>
      </c>
      <c r="F280" s="1">
        <v>23.78</v>
      </c>
      <c r="G280" s="1">
        <v>23.832000000000001</v>
      </c>
      <c r="H280" s="1">
        <v>23.664999999999999</v>
      </c>
      <c r="I280" s="1">
        <v>23.803000000000001</v>
      </c>
      <c r="J280" s="1">
        <v>23.776</v>
      </c>
      <c r="K280" s="1">
        <v>23.928999999999998</v>
      </c>
      <c r="L280" s="1">
        <v>23.64</v>
      </c>
      <c r="M280" s="1">
        <v>23.875</v>
      </c>
      <c r="N280" s="1">
        <v>23.867999999999999</v>
      </c>
      <c r="O280" s="1">
        <v>23.783000000000001</v>
      </c>
      <c r="P280" s="1">
        <v>23.733000000000001</v>
      </c>
      <c r="Q280" s="1">
        <v>23.811</v>
      </c>
      <c r="R280" s="1">
        <v>23.773</v>
      </c>
      <c r="S280" s="1">
        <v>23.797999999999998</v>
      </c>
      <c r="T280" s="1">
        <v>23.853000000000002</v>
      </c>
      <c r="U280" s="1">
        <v>23.806999999999999</v>
      </c>
      <c r="V280" s="1">
        <v>23.748999999999999</v>
      </c>
      <c r="W280" s="1">
        <v>23.817</v>
      </c>
      <c r="X280" s="1">
        <v>23.625</v>
      </c>
      <c r="Y280" s="1">
        <v>23.798999999999999</v>
      </c>
      <c r="Z280" s="1">
        <v>23.702999999999999</v>
      </c>
      <c r="AA280" s="1">
        <v>23.829000000000001</v>
      </c>
      <c r="AB280" s="1">
        <v>23.704000000000001</v>
      </c>
      <c r="AC280" s="1">
        <v>23.803999999999998</v>
      </c>
      <c r="AD280" s="1">
        <v>23.837</v>
      </c>
      <c r="AE280" s="1">
        <v>23.754000000000001</v>
      </c>
      <c r="AF280" s="1">
        <v>23.841999999999999</v>
      </c>
      <c r="AG280" s="1">
        <v>23.768999999999998</v>
      </c>
      <c r="AH280" s="1">
        <v>23.870999999999999</v>
      </c>
      <c r="AI280" s="1">
        <v>23.83</v>
      </c>
      <c r="AJ280" s="1">
        <v>23.547000000000001</v>
      </c>
      <c r="AK280" s="1">
        <v>23.669</v>
      </c>
      <c r="AL280" s="1">
        <v>23.745000000000001</v>
      </c>
      <c r="AM280" s="1">
        <v>23.802</v>
      </c>
      <c r="AN280" s="1">
        <v>23.859000000000002</v>
      </c>
      <c r="AO280" s="1">
        <v>23.824999999999999</v>
      </c>
      <c r="AP280" s="1">
        <v>23.795000000000002</v>
      </c>
      <c r="AQ280" s="1">
        <v>23.678000000000001</v>
      </c>
      <c r="AR280" s="1">
        <v>23.803000000000001</v>
      </c>
      <c r="AS280" s="1">
        <v>23.707000000000001</v>
      </c>
      <c r="AT280" s="1">
        <v>23.811</v>
      </c>
      <c r="AU280" s="1">
        <v>23.855</v>
      </c>
      <c r="AV280" s="1">
        <v>23.571999999999999</v>
      </c>
      <c r="AW280" s="1">
        <v>23.806999999999999</v>
      </c>
      <c r="AX280" s="1">
        <v>23.756</v>
      </c>
      <c r="AY280" s="1">
        <v>23.834</v>
      </c>
      <c r="AZ280" s="1">
        <v>23.798999999999999</v>
      </c>
      <c r="BA280" s="1">
        <v>23.733000000000001</v>
      </c>
      <c r="BB280" s="1">
        <v>23.64</v>
      </c>
      <c r="BC280" s="1">
        <v>23.791</v>
      </c>
      <c r="BD280" s="1">
        <v>23.742999999999999</v>
      </c>
      <c r="BE280" s="1">
        <v>23.835999999999999</v>
      </c>
      <c r="BF280" s="1">
        <v>23.731000000000002</v>
      </c>
      <c r="BG280" s="1">
        <v>23.791</v>
      </c>
      <c r="BH280" s="1">
        <v>23.518000000000001</v>
      </c>
      <c r="BI280" s="1">
        <v>23.727</v>
      </c>
      <c r="BJ280" s="1">
        <v>23.803999999999998</v>
      </c>
      <c r="BK280" s="1">
        <v>23.677</v>
      </c>
      <c r="BL280" s="1">
        <v>23.712</v>
      </c>
      <c r="BN280" s="1">
        <v>24</v>
      </c>
      <c r="BO280" s="1">
        <v>4065</v>
      </c>
      <c r="BP280" s="3">
        <f t="shared" si="244"/>
        <v>-4.4146678966789426E-3</v>
      </c>
      <c r="BQ280" s="3">
        <f t="shared" si="245"/>
        <v>-1.8542435424354028E-3</v>
      </c>
      <c r="BR280" s="3">
        <f t="shared" si="246"/>
        <v>3.284132841328461E-4</v>
      </c>
      <c r="BS280" s="3">
        <f t="shared" si="247"/>
        <v>-6.6812730627306893E-3</v>
      </c>
      <c r="BT280" s="3">
        <f t="shared" si="248"/>
        <v>-8.8883763837637538E-4</v>
      </c>
      <c r="BU280" s="3">
        <f t="shared" si="249"/>
        <v>-2.0221402214022485E-3</v>
      </c>
      <c r="BV280" s="3">
        <f t="shared" si="250"/>
        <v>4.3999077490774014E-3</v>
      </c>
      <c r="BW280" s="3">
        <f t="shared" si="251"/>
        <v>-7.7306273062730645E-3</v>
      </c>
      <c r="BX280" s="3">
        <f t="shared" si="252"/>
        <v>2.133302583025804E-3</v>
      </c>
      <c r="BY280" s="3">
        <f t="shared" si="253"/>
        <v>1.8394833948338612E-3</v>
      </c>
      <c r="BZ280" s="3">
        <f t="shared" si="254"/>
        <v>-1.7283210332103057E-3</v>
      </c>
      <c r="CA280" s="3">
        <f t="shared" si="255"/>
        <v>-3.8270295202952062E-3</v>
      </c>
      <c r="CB280" s="3">
        <f t="shared" si="256"/>
        <v>-5.5304428044283306E-4</v>
      </c>
      <c r="CC280" s="3">
        <f t="shared" si="257"/>
        <v>-2.1480627306273456E-3</v>
      </c>
      <c r="CD280" s="3">
        <f t="shared" si="258"/>
        <v>-1.0987084870849699E-3</v>
      </c>
      <c r="CE280" s="3">
        <f t="shared" si="259"/>
        <v>1.2098708487085252E-3</v>
      </c>
      <c r="CF280" s="3">
        <f t="shared" si="260"/>
        <v>-7.2094095940967876E-4</v>
      </c>
      <c r="CG280" s="3">
        <f t="shared" si="261"/>
        <v>-3.1554428044281218E-3</v>
      </c>
      <c r="CH280" s="3">
        <f t="shared" si="262"/>
        <v>-3.01199261992639E-4</v>
      </c>
      <c r="CI280" s="3">
        <f t="shared" si="263"/>
        <v>-8.3602398523985495E-3</v>
      </c>
      <c r="CJ280" s="3">
        <f t="shared" si="264"/>
        <v>-1.0567343173432211E-3</v>
      </c>
      <c r="CK280" s="3">
        <f t="shared" si="265"/>
        <v>-5.0862546125461762E-3</v>
      </c>
      <c r="CL280" s="3">
        <f t="shared" si="266"/>
        <v>2.024907749077491E-4</v>
      </c>
      <c r="CM280" s="3">
        <f t="shared" si="267"/>
        <v>-5.0442804428044276E-3</v>
      </c>
      <c r="CN280" s="3">
        <f t="shared" si="268"/>
        <v>-8.4686346863477573E-4</v>
      </c>
      <c r="CO280" s="3">
        <f t="shared" si="269"/>
        <v>5.3828413284129145E-4</v>
      </c>
      <c r="CP280" s="3">
        <f t="shared" si="270"/>
        <v>-2.9455719557195271E-3</v>
      </c>
      <c r="CQ280" s="3">
        <f t="shared" si="271"/>
        <v>7.4815498154973679E-4</v>
      </c>
      <c r="CR280" s="3">
        <f t="shared" si="272"/>
        <v>-2.3159594095941913E-3</v>
      </c>
      <c r="CS280" s="3">
        <f t="shared" si="273"/>
        <v>1.9654059040589583E-3</v>
      </c>
      <c r="CT280" s="3">
        <f t="shared" si="274"/>
        <v>2.4446494464934872E-4</v>
      </c>
      <c r="CU280" s="3">
        <f t="shared" si="275"/>
        <v>-1.1634225092250924E-2</v>
      </c>
      <c r="CV280" s="3">
        <f t="shared" si="276"/>
        <v>-6.5133763837638432E-3</v>
      </c>
      <c r="CW280" s="3">
        <f t="shared" si="277"/>
        <v>-3.3233394833948183E-3</v>
      </c>
      <c r="CX280" s="3">
        <f t="shared" si="278"/>
        <v>-9.308118081181241E-4</v>
      </c>
      <c r="CY280" s="3">
        <f t="shared" si="279"/>
        <v>1.4617158671587193E-3</v>
      </c>
      <c r="CZ280" s="3">
        <f t="shared" si="280"/>
        <v>3.4594095940903362E-5</v>
      </c>
      <c r="DA280" s="3">
        <f t="shared" si="281"/>
        <v>-1.2246309963099178E-3</v>
      </c>
      <c r="DB280" s="3">
        <f t="shared" si="282"/>
        <v>-6.1356088560885523E-3</v>
      </c>
      <c r="DC280" s="3">
        <f t="shared" si="283"/>
        <v>-8.8883763837637538E-4</v>
      </c>
      <c r="DD280" s="3">
        <f t="shared" si="284"/>
        <v>-4.918357933579331E-3</v>
      </c>
      <c r="DE280" s="3">
        <f t="shared" si="285"/>
        <v>-5.5304428044283306E-4</v>
      </c>
      <c r="DF280" s="3">
        <f t="shared" si="286"/>
        <v>1.2938191881918736E-3</v>
      </c>
      <c r="DG280" s="3">
        <f t="shared" si="287"/>
        <v>-1.0584870848708548E-2</v>
      </c>
      <c r="DH280" s="3">
        <f t="shared" si="288"/>
        <v>-7.2094095940967876E-4</v>
      </c>
      <c r="DI280" s="3">
        <f t="shared" si="289"/>
        <v>-2.861623616236179E-3</v>
      </c>
      <c r="DJ280" s="3">
        <f t="shared" si="290"/>
        <v>4.1236162361619441E-4</v>
      </c>
      <c r="DK280" s="3">
        <f t="shared" si="291"/>
        <v>-1.0567343173432211E-3</v>
      </c>
      <c r="DL280" s="3">
        <f t="shared" si="292"/>
        <v>-3.8270295202952062E-3</v>
      </c>
      <c r="DM280" s="3">
        <f t="shared" si="293"/>
        <v>-7.7306273062730645E-3</v>
      </c>
      <c r="DN280" s="3">
        <f t="shared" si="294"/>
        <v>-1.3925276752767635E-3</v>
      </c>
      <c r="DO280" s="3">
        <f t="shared" si="295"/>
        <v>-3.4072878228783156E-3</v>
      </c>
      <c r="DP280" s="3">
        <f t="shared" si="296"/>
        <v>4.9630996309954272E-4</v>
      </c>
      <c r="DQ280" s="3">
        <f t="shared" si="297"/>
        <v>-3.9109778597785543E-3</v>
      </c>
      <c r="DR280" s="3">
        <f t="shared" si="298"/>
        <v>-1.3925276752767635E-3</v>
      </c>
      <c r="DS280" s="3">
        <f t="shared" si="299"/>
        <v>-1.2851476014760145E-2</v>
      </c>
      <c r="DT280" s="3">
        <f t="shared" si="300"/>
        <v>-4.0788745387454004E-3</v>
      </c>
      <c r="DU280" s="3">
        <f t="shared" si="301"/>
        <v>-8.4686346863477573E-4</v>
      </c>
      <c r="DV280" s="3">
        <f t="shared" si="302"/>
        <v>-6.177583025830301E-3</v>
      </c>
      <c r="DW280" s="3">
        <f t="shared" si="303"/>
        <v>-4.7084870848708854E-3</v>
      </c>
    </row>
    <row r="281" spans="2:127" x14ac:dyDescent="0.45">
      <c r="B281" s="1">
        <v>24</v>
      </c>
      <c r="C281" s="1">
        <v>4080</v>
      </c>
      <c r="D281" s="7">
        <f t="shared" si="304"/>
        <v>23.912087912087912</v>
      </c>
      <c r="E281" s="1">
        <v>23.803999999999998</v>
      </c>
      <c r="F281" s="1">
        <v>23.87</v>
      </c>
      <c r="G281" s="1">
        <v>23.92</v>
      </c>
      <c r="H281" s="1">
        <v>23.751999999999999</v>
      </c>
      <c r="I281" s="1">
        <v>23.859000000000002</v>
      </c>
      <c r="J281" s="1">
        <v>23.863</v>
      </c>
      <c r="K281" s="1">
        <v>24.016999999999999</v>
      </c>
      <c r="L281" s="1">
        <v>23.681999999999999</v>
      </c>
      <c r="M281" s="1">
        <v>23.963999999999999</v>
      </c>
      <c r="N281" s="1">
        <v>23.957999999999998</v>
      </c>
      <c r="O281" s="1">
        <v>23.867999999999999</v>
      </c>
      <c r="P281" s="1">
        <v>23.821999999999999</v>
      </c>
      <c r="Q281" s="1">
        <v>23.899000000000001</v>
      </c>
      <c r="R281" s="1">
        <v>23.859000000000002</v>
      </c>
      <c r="S281" s="1">
        <v>23.885999999999999</v>
      </c>
      <c r="T281" s="1">
        <v>23.939</v>
      </c>
      <c r="U281" s="1">
        <v>23.895</v>
      </c>
      <c r="V281" s="1">
        <v>23.835999999999999</v>
      </c>
      <c r="W281" s="1">
        <v>23.905000000000001</v>
      </c>
      <c r="X281" s="1">
        <v>23.718</v>
      </c>
      <c r="Y281" s="1">
        <v>23.887</v>
      </c>
      <c r="Z281" s="1">
        <v>23.79</v>
      </c>
      <c r="AA281" s="1">
        <v>23.917000000000002</v>
      </c>
      <c r="AB281" s="1">
        <v>23.791</v>
      </c>
      <c r="AC281" s="1">
        <v>23.890999999999998</v>
      </c>
      <c r="AD281" s="1">
        <v>23.925000000000001</v>
      </c>
      <c r="AE281" s="1">
        <v>23.841999999999999</v>
      </c>
      <c r="AF281" s="1">
        <v>23.931000000000001</v>
      </c>
      <c r="AG281" s="1">
        <v>23.856000000000002</v>
      </c>
      <c r="AH281" s="1">
        <v>23.959</v>
      </c>
      <c r="AI281" s="1">
        <v>23.917000000000002</v>
      </c>
      <c r="AJ281" s="1">
        <v>23.620999999999999</v>
      </c>
      <c r="AK281" s="1">
        <v>23.756</v>
      </c>
      <c r="AL281" s="1">
        <v>23.832000000000001</v>
      </c>
      <c r="AM281" s="1">
        <v>23.890999999999998</v>
      </c>
      <c r="AN281" s="1">
        <v>23.948</v>
      </c>
      <c r="AO281" s="1">
        <v>23.91</v>
      </c>
      <c r="AP281" s="1">
        <v>23.882000000000001</v>
      </c>
      <c r="AQ281" s="1">
        <v>23.765000000000001</v>
      </c>
      <c r="AR281" s="1">
        <v>23.890999999999998</v>
      </c>
      <c r="AS281" s="1">
        <v>23.795000000000002</v>
      </c>
      <c r="AT281" s="1">
        <v>23.901</v>
      </c>
      <c r="AU281" s="1">
        <v>23.940999999999999</v>
      </c>
      <c r="AV281" s="1">
        <v>23.661000000000001</v>
      </c>
      <c r="AW281" s="1">
        <v>23.893999999999998</v>
      </c>
      <c r="AX281" s="1">
        <v>23.841999999999999</v>
      </c>
      <c r="AY281" s="1">
        <v>23.920999999999999</v>
      </c>
      <c r="AZ281" s="1">
        <v>23.885999999999999</v>
      </c>
      <c r="BA281" s="1">
        <v>23.824999999999999</v>
      </c>
      <c r="BB281" s="1">
        <v>23.727</v>
      </c>
      <c r="BC281" s="1">
        <v>23.878</v>
      </c>
      <c r="BD281" s="1">
        <v>23.832000000000001</v>
      </c>
      <c r="BE281" s="1">
        <v>23.923999999999999</v>
      </c>
      <c r="BF281" s="1">
        <v>23.818999999999999</v>
      </c>
      <c r="BG281" s="1">
        <v>23.88</v>
      </c>
      <c r="BH281" s="1">
        <v>23.518000000000001</v>
      </c>
      <c r="BI281" s="1">
        <v>23.812999999999999</v>
      </c>
      <c r="BJ281" s="1">
        <v>23.893999999999998</v>
      </c>
      <c r="BK281" s="1">
        <v>23.757999999999999</v>
      </c>
      <c r="BL281" s="1">
        <v>23.802</v>
      </c>
      <c r="BN281" s="1">
        <v>24</v>
      </c>
      <c r="BO281" s="1">
        <v>4080</v>
      </c>
      <c r="BP281" s="3">
        <f t="shared" si="244"/>
        <v>-4.5202205882353703E-3</v>
      </c>
      <c r="BQ281" s="3">
        <f t="shared" si="245"/>
        <v>-1.7601102941176186E-3</v>
      </c>
      <c r="BR281" s="3">
        <f t="shared" si="246"/>
        <v>3.3088235294123473E-4</v>
      </c>
      <c r="BS281" s="3">
        <f t="shared" si="247"/>
        <v>-6.6948529411765302E-3</v>
      </c>
      <c r="BT281" s="3">
        <f t="shared" si="248"/>
        <v>-2.2201286764705276E-3</v>
      </c>
      <c r="BU281" s="3">
        <f t="shared" si="249"/>
        <v>-2.0528492647059146E-3</v>
      </c>
      <c r="BV281" s="3">
        <f t="shared" si="250"/>
        <v>4.3874080882352583E-3</v>
      </c>
      <c r="BW281" s="3">
        <f t="shared" si="251"/>
        <v>-9.6222426470588939E-3</v>
      </c>
      <c r="BX281" s="3">
        <f t="shared" si="252"/>
        <v>2.1709558823528709E-3</v>
      </c>
      <c r="BY281" s="3">
        <f t="shared" si="253"/>
        <v>1.9200367647058028E-3</v>
      </c>
      <c r="BZ281" s="3">
        <f t="shared" si="254"/>
        <v>-1.8437500000000736E-3</v>
      </c>
      <c r="CA281" s="3">
        <f t="shared" si="255"/>
        <v>-3.7674632352941652E-3</v>
      </c>
      <c r="CB281" s="3">
        <f t="shared" si="256"/>
        <v>-5.4733455882350441E-4</v>
      </c>
      <c r="CC281" s="3">
        <f t="shared" si="257"/>
        <v>-2.2201286764705276E-3</v>
      </c>
      <c r="CD281" s="3">
        <f t="shared" si="258"/>
        <v>-1.0909926470588688E-3</v>
      </c>
      <c r="CE281" s="3">
        <f t="shared" si="259"/>
        <v>1.1254595588235188E-3</v>
      </c>
      <c r="CF281" s="3">
        <f t="shared" si="260"/>
        <v>-7.1461397058826613E-4</v>
      </c>
      <c r="CG281" s="3">
        <f t="shared" si="261"/>
        <v>-3.181985294117722E-3</v>
      </c>
      <c r="CH281" s="3">
        <f t="shared" si="262"/>
        <v>-2.9641544117643611E-4</v>
      </c>
      <c r="CI281" s="3">
        <f t="shared" si="263"/>
        <v>-8.1167279411764846E-3</v>
      </c>
      <c r="CJ281" s="3">
        <f t="shared" si="264"/>
        <v>-1.0491727941176411E-3</v>
      </c>
      <c r="CK281" s="3">
        <f t="shared" si="265"/>
        <v>-5.1056985294118135E-3</v>
      </c>
      <c r="CL281" s="3">
        <f t="shared" si="266"/>
        <v>2.0542279411770055E-4</v>
      </c>
      <c r="CM281" s="3">
        <f t="shared" si="267"/>
        <v>-5.0638786764705861E-3</v>
      </c>
      <c r="CN281" s="3">
        <f t="shared" si="268"/>
        <v>-8.8189338235302795E-4</v>
      </c>
      <c r="CO281" s="3">
        <f t="shared" si="269"/>
        <v>5.3998161764707544E-4</v>
      </c>
      <c r="CP281" s="3">
        <f t="shared" si="270"/>
        <v>-2.9310661764706536E-3</v>
      </c>
      <c r="CQ281" s="3">
        <f t="shared" si="271"/>
        <v>7.909007352941438E-4</v>
      </c>
      <c r="CR281" s="3">
        <f t="shared" si="272"/>
        <v>-2.3455882352940616E-3</v>
      </c>
      <c r="CS281" s="3">
        <f t="shared" si="273"/>
        <v>1.9618566176470304E-3</v>
      </c>
      <c r="CT281" s="3">
        <f t="shared" si="274"/>
        <v>2.0542279411770055E-4</v>
      </c>
      <c r="CU281" s="3">
        <f t="shared" si="275"/>
        <v>-1.2173253676470657E-2</v>
      </c>
      <c r="CV281" s="3">
        <f t="shared" si="276"/>
        <v>-6.527573529411768E-3</v>
      </c>
      <c r="CW281" s="3">
        <f t="shared" si="277"/>
        <v>-3.349264705882335E-3</v>
      </c>
      <c r="CX281" s="3">
        <f t="shared" si="278"/>
        <v>-8.8189338235302795E-4</v>
      </c>
      <c r="CY281" s="3">
        <f t="shared" si="279"/>
        <v>1.5018382352941211E-3</v>
      </c>
      <c r="CZ281" s="3">
        <f t="shared" si="280"/>
        <v>-8.7316176470595355E-5</v>
      </c>
      <c r="DA281" s="3">
        <f t="shared" si="281"/>
        <v>-1.2582720588234818E-3</v>
      </c>
      <c r="DB281" s="3">
        <f t="shared" si="282"/>
        <v>-6.1511948529411661E-3</v>
      </c>
      <c r="DC281" s="3">
        <f t="shared" si="283"/>
        <v>-8.8189338235302795E-4</v>
      </c>
      <c r="DD281" s="3">
        <f t="shared" si="284"/>
        <v>-4.8965992647058238E-3</v>
      </c>
      <c r="DE281" s="3">
        <f t="shared" si="285"/>
        <v>-4.6369485294119782E-4</v>
      </c>
      <c r="DF281" s="3">
        <f t="shared" si="286"/>
        <v>1.2090992647058253E-3</v>
      </c>
      <c r="DG281" s="3">
        <f t="shared" si="287"/>
        <v>-1.0500459558823486E-2</v>
      </c>
      <c r="DH281" s="3">
        <f t="shared" si="288"/>
        <v>-7.5643382352949377E-4</v>
      </c>
      <c r="DI281" s="3">
        <f t="shared" si="289"/>
        <v>-2.9310661764706536E-3</v>
      </c>
      <c r="DJ281" s="3">
        <f t="shared" si="290"/>
        <v>3.7270220588231373E-4</v>
      </c>
      <c r="DK281" s="3">
        <f t="shared" si="291"/>
        <v>-1.0909926470588688E-3</v>
      </c>
      <c r="DL281" s="3">
        <f t="shared" si="292"/>
        <v>-3.6420036764706308E-3</v>
      </c>
      <c r="DM281" s="3">
        <f t="shared" si="293"/>
        <v>-7.7403492647058819E-3</v>
      </c>
      <c r="DN281" s="3">
        <f t="shared" si="294"/>
        <v>-1.4255514705882437E-3</v>
      </c>
      <c r="DO281" s="3">
        <f t="shared" si="295"/>
        <v>-3.349264705882335E-3</v>
      </c>
      <c r="DP281" s="3">
        <f t="shared" si="296"/>
        <v>4.9816176470584791E-4</v>
      </c>
      <c r="DQ281" s="3">
        <f t="shared" si="297"/>
        <v>-3.8929227941176992E-3</v>
      </c>
      <c r="DR281" s="3">
        <f t="shared" si="298"/>
        <v>-1.3419117647059369E-3</v>
      </c>
      <c r="DS281" s="3">
        <f t="shared" si="299"/>
        <v>-1.6480698529411749E-2</v>
      </c>
      <c r="DT281" s="3">
        <f t="shared" si="300"/>
        <v>-4.1438419117647675E-3</v>
      </c>
      <c r="DU281" s="3">
        <f t="shared" si="301"/>
        <v>-7.5643382352949377E-4</v>
      </c>
      <c r="DV281" s="3">
        <f t="shared" si="302"/>
        <v>-6.4439338235294614E-3</v>
      </c>
      <c r="DW281" s="3">
        <f t="shared" si="303"/>
        <v>-4.6038602941176768E-3</v>
      </c>
    </row>
    <row r="282" spans="2:127" x14ac:dyDescent="0.45">
      <c r="B282" s="1">
        <v>24</v>
      </c>
      <c r="C282" s="1">
        <v>4095</v>
      </c>
      <c r="D282" s="7">
        <f t="shared" si="304"/>
        <v>24</v>
      </c>
      <c r="E282" s="1">
        <v>23.878</v>
      </c>
      <c r="F282" s="1">
        <v>23.957999999999998</v>
      </c>
      <c r="G282" s="1">
        <v>24.007999999999999</v>
      </c>
      <c r="H282" s="1">
        <v>23.84</v>
      </c>
      <c r="I282" s="1">
        <v>23.856999999999999</v>
      </c>
      <c r="J282" s="1">
        <v>23.951000000000001</v>
      </c>
      <c r="K282" s="1">
        <v>24.077999999999999</v>
      </c>
      <c r="L282" s="1">
        <v>23.681999999999999</v>
      </c>
      <c r="M282" s="1">
        <v>23.997</v>
      </c>
      <c r="N282" s="1">
        <v>24.045999999999999</v>
      </c>
      <c r="O282" s="1">
        <v>23.954000000000001</v>
      </c>
      <c r="P282" s="1">
        <v>23.826000000000001</v>
      </c>
      <c r="Q282" s="1">
        <v>23.988</v>
      </c>
      <c r="R282" s="1">
        <v>23.946999999999999</v>
      </c>
      <c r="S282" s="1">
        <v>23.972999999999999</v>
      </c>
      <c r="T282" s="1">
        <v>24.03</v>
      </c>
      <c r="U282" s="1">
        <v>23.981999999999999</v>
      </c>
      <c r="V282" s="1">
        <v>23.922000000000001</v>
      </c>
      <c r="W282" s="1">
        <v>23.95</v>
      </c>
      <c r="X282" s="1">
        <v>23.803000000000001</v>
      </c>
      <c r="Y282" s="1">
        <v>23.887</v>
      </c>
      <c r="Z282" s="1">
        <v>23.821000000000002</v>
      </c>
      <c r="AA282" s="1">
        <v>23.954000000000001</v>
      </c>
      <c r="AB282" s="1">
        <v>23.838000000000001</v>
      </c>
      <c r="AC282" s="1">
        <v>23.978999999999999</v>
      </c>
      <c r="AD282" s="1">
        <v>24.013000000000002</v>
      </c>
      <c r="AE282" s="1">
        <v>23.841999999999999</v>
      </c>
      <c r="AF282" s="1">
        <v>23.983000000000001</v>
      </c>
      <c r="AG282" s="1">
        <v>23.908999999999999</v>
      </c>
      <c r="AH282" s="1">
        <v>23.974</v>
      </c>
      <c r="AI282" s="1">
        <v>24.001000000000001</v>
      </c>
      <c r="AJ282" s="1">
        <v>23.620999999999999</v>
      </c>
      <c r="AK282" s="1">
        <v>23.797999999999998</v>
      </c>
      <c r="AL282" s="1">
        <v>23.885999999999999</v>
      </c>
      <c r="AM282" s="1">
        <v>23.895</v>
      </c>
      <c r="AN282" s="1">
        <v>24.036000000000001</v>
      </c>
      <c r="AO282" s="1">
        <v>24</v>
      </c>
      <c r="AP282" s="1">
        <v>23.943000000000001</v>
      </c>
      <c r="AQ282" s="1">
        <v>23.83</v>
      </c>
      <c r="AR282" s="1">
        <v>23.911999999999999</v>
      </c>
      <c r="AS282" s="1">
        <v>23.802</v>
      </c>
      <c r="AT282" s="1">
        <v>23.966000000000001</v>
      </c>
      <c r="AU282" s="1">
        <v>24.015000000000001</v>
      </c>
      <c r="AV282" s="1">
        <v>23.681000000000001</v>
      </c>
      <c r="AW282" s="1">
        <v>23.920999999999999</v>
      </c>
      <c r="AX282" s="1">
        <v>23.928999999999998</v>
      </c>
      <c r="AY282" s="1">
        <v>23.959</v>
      </c>
      <c r="AZ282" s="1">
        <v>23.975000000000001</v>
      </c>
      <c r="BA282" s="1">
        <v>23.834</v>
      </c>
      <c r="BB282" s="1">
        <v>23.76</v>
      </c>
      <c r="BC282" s="1">
        <v>23.954999999999998</v>
      </c>
      <c r="BD282" s="1">
        <v>23.867999999999999</v>
      </c>
      <c r="BE282" s="1">
        <v>23.983000000000001</v>
      </c>
      <c r="BF282" s="1">
        <v>23.88</v>
      </c>
      <c r="BG282" s="1">
        <v>23.916</v>
      </c>
      <c r="BH282" s="1">
        <v>23.521000000000001</v>
      </c>
      <c r="BI282" s="1">
        <v>23.902000000000001</v>
      </c>
      <c r="BJ282" s="1">
        <v>23.936</v>
      </c>
      <c r="BK282" s="1">
        <v>23.852</v>
      </c>
      <c r="BL282" s="1">
        <v>23.861000000000001</v>
      </c>
      <c r="BN282" s="1">
        <v>24</v>
      </c>
      <c r="BO282" s="1">
        <v>4095</v>
      </c>
      <c r="BP282" s="3">
        <f t="shared" si="244"/>
        <v>-5.0833333333333286E-3</v>
      </c>
      <c r="BQ282" s="3">
        <f t="shared" si="245"/>
        <v>-1.7500000000000664E-3</v>
      </c>
      <c r="BR282" s="3">
        <f t="shared" si="246"/>
        <v>3.3333333333329662E-4</v>
      </c>
      <c r="BS282" s="3">
        <f t="shared" si="247"/>
        <v>-6.6666666666666723E-3</v>
      </c>
      <c r="BT282" s="3">
        <f t="shared" si="248"/>
        <v>-5.9583333333333615E-3</v>
      </c>
      <c r="BU282" s="3">
        <f t="shared" si="249"/>
        <v>-2.0416666666666452E-3</v>
      </c>
      <c r="BV282" s="3">
        <f t="shared" si="250"/>
        <v>3.2499999999999751E-3</v>
      </c>
      <c r="BW282" s="3">
        <f t="shared" si="251"/>
        <v>-1.3250000000000059E-2</v>
      </c>
      <c r="BX282" s="3">
        <f t="shared" si="252"/>
        <v>-1.2500000000000475E-4</v>
      </c>
      <c r="BY282" s="3">
        <f t="shared" si="253"/>
        <v>1.9166666666666405E-3</v>
      </c>
      <c r="BZ282" s="3">
        <f t="shared" si="254"/>
        <v>-1.9166666666666405E-3</v>
      </c>
      <c r="CA282" s="3">
        <f t="shared" si="255"/>
        <v>-7.2499999999999787E-3</v>
      </c>
      <c r="CB282" s="3">
        <f t="shared" si="256"/>
        <v>-5.0000000000001898E-4</v>
      </c>
      <c r="CC282" s="3">
        <f t="shared" si="257"/>
        <v>-2.2083333333333677E-3</v>
      </c>
      <c r="CD282" s="3">
        <f t="shared" si="258"/>
        <v>-1.1250000000000426E-3</v>
      </c>
      <c r="CE282" s="3">
        <f t="shared" si="259"/>
        <v>1.2500000000000473E-3</v>
      </c>
      <c r="CF282" s="3">
        <f t="shared" si="260"/>
        <v>-7.5000000000002842E-4</v>
      </c>
      <c r="CG282" s="3">
        <f t="shared" si="261"/>
        <v>-3.2499999999999751E-3</v>
      </c>
      <c r="CH282" s="3">
        <f t="shared" si="262"/>
        <v>-2.0833333333333628E-3</v>
      </c>
      <c r="CI282" s="3">
        <f t="shared" si="263"/>
        <v>-8.2083333333332984E-3</v>
      </c>
      <c r="CJ282" s="3">
        <f t="shared" si="264"/>
        <v>-4.7083333333333144E-3</v>
      </c>
      <c r="CK282" s="3">
        <f t="shared" si="265"/>
        <v>-7.4583333333332709E-3</v>
      </c>
      <c r="CL282" s="3">
        <f t="shared" si="266"/>
        <v>-1.9166666666666405E-3</v>
      </c>
      <c r="CM282" s="3">
        <f t="shared" si="267"/>
        <v>-6.74999999999996E-3</v>
      </c>
      <c r="CN282" s="3">
        <f t="shared" si="268"/>
        <v>-8.7500000000003319E-4</v>
      </c>
      <c r="CO282" s="3">
        <f t="shared" si="269"/>
        <v>5.4166666666673657E-4</v>
      </c>
      <c r="CP282" s="3">
        <f t="shared" si="270"/>
        <v>-6.5833333333333854E-3</v>
      </c>
      <c r="CQ282" s="3">
        <f t="shared" si="271"/>
        <v>-7.0833333333331083E-4</v>
      </c>
      <c r="CR282" s="3">
        <f t="shared" si="272"/>
        <v>-3.7916666666667118E-3</v>
      </c>
      <c r="CS282" s="3">
        <f t="shared" si="273"/>
        <v>-1.083333333333325E-3</v>
      </c>
      <c r="CT282" s="3">
        <f t="shared" si="274"/>
        <v>4.1666666666717589E-5</v>
      </c>
      <c r="CU282" s="3">
        <f t="shared" si="275"/>
        <v>-1.5791666666666721E-2</v>
      </c>
      <c r="CV282" s="3">
        <f t="shared" si="276"/>
        <v>-8.4166666666667389E-3</v>
      </c>
      <c r="CW282" s="3">
        <f t="shared" si="277"/>
        <v>-4.750000000000032E-3</v>
      </c>
      <c r="CX282" s="3">
        <f t="shared" si="278"/>
        <v>-4.3750000000000178E-3</v>
      </c>
      <c r="CY282" s="3">
        <f t="shared" si="279"/>
        <v>1.5000000000000568E-3</v>
      </c>
      <c r="CZ282" s="3">
        <f t="shared" si="280"/>
        <v>0</v>
      </c>
      <c r="DA282" s="3">
        <f t="shared" si="281"/>
        <v>-2.3749999999999418E-3</v>
      </c>
      <c r="DB282" s="3">
        <f t="shared" si="282"/>
        <v>-7.0833333333334041E-3</v>
      </c>
      <c r="DC282" s="3">
        <f t="shared" si="283"/>
        <v>-3.6666666666667069E-3</v>
      </c>
      <c r="DD282" s="3">
        <f t="shared" si="284"/>
        <v>-8.250000000000016E-3</v>
      </c>
      <c r="DE282" s="3">
        <f t="shared" si="285"/>
        <v>-1.4166666666666217E-3</v>
      </c>
      <c r="DF282" s="3">
        <f t="shared" si="286"/>
        <v>6.2500000000002365E-4</v>
      </c>
      <c r="DG282" s="3">
        <f t="shared" si="287"/>
        <v>-1.3291666666666627E-2</v>
      </c>
      <c r="DH282" s="3">
        <f t="shared" si="288"/>
        <v>-3.2916666666666927E-3</v>
      </c>
      <c r="DI282" s="3">
        <f t="shared" si="289"/>
        <v>-2.9583333333333961E-3</v>
      </c>
      <c r="DJ282" s="3">
        <f t="shared" si="290"/>
        <v>-1.7083333333333488E-3</v>
      </c>
      <c r="DK282" s="3">
        <f t="shared" si="291"/>
        <v>-1.0416666666666075E-3</v>
      </c>
      <c r="DL282" s="3">
        <f t="shared" si="292"/>
        <v>-6.9166666666666821E-3</v>
      </c>
      <c r="DM282" s="3">
        <f t="shared" si="293"/>
        <v>-9.9999999999999343E-3</v>
      </c>
      <c r="DN282" s="3">
        <f t="shared" si="294"/>
        <v>-1.8750000000000711E-3</v>
      </c>
      <c r="DO282" s="3">
        <f t="shared" si="295"/>
        <v>-5.5000000000000604E-3</v>
      </c>
      <c r="DP282" s="3">
        <f t="shared" si="296"/>
        <v>-7.0833333333331083E-4</v>
      </c>
      <c r="DQ282" s="3">
        <f t="shared" si="297"/>
        <v>-5.0000000000000417E-3</v>
      </c>
      <c r="DR282" s="3">
        <f t="shared" si="298"/>
        <v>-3.4999999999999845E-3</v>
      </c>
      <c r="DS282" s="3">
        <f t="shared" si="299"/>
        <v>-1.99583333333333E-2</v>
      </c>
      <c r="DT282" s="3">
        <f t="shared" si="300"/>
        <v>-4.0833333333332904E-3</v>
      </c>
      <c r="DU282" s="3">
        <f t="shared" si="301"/>
        <v>-2.6666666666666692E-3</v>
      </c>
      <c r="DV282" s="3">
        <f t="shared" si="302"/>
        <v>-6.1666666666666536E-3</v>
      </c>
      <c r="DW282" s="3">
        <f t="shared" si="303"/>
        <v>-5.7916666666666394E-3</v>
      </c>
    </row>
    <row r="283" spans="2:127" x14ac:dyDescent="0.45"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2"/>
      <c r="CL283" s="2"/>
      <c r="CM283" s="4" t="e">
        <f t="shared" ref="CM283" si="305">24*CN283/4095</f>
        <v>#DIV/0!</v>
      </c>
      <c r="CN283" s="3" t="e">
        <f t="shared" ref="CN283:DW283" si="306">(AC283-$D283)/$D283</f>
        <v>#DIV/0!</v>
      </c>
      <c r="CO283" s="3" t="e">
        <f t="shared" si="306"/>
        <v>#DIV/0!</v>
      </c>
      <c r="CP283" s="3" t="e">
        <f t="shared" si="306"/>
        <v>#DIV/0!</v>
      </c>
      <c r="CQ283" s="3" t="e">
        <f t="shared" si="306"/>
        <v>#DIV/0!</v>
      </c>
      <c r="CR283" s="3" t="e">
        <f t="shared" si="306"/>
        <v>#DIV/0!</v>
      </c>
      <c r="CS283" s="3" t="e">
        <f t="shared" si="306"/>
        <v>#DIV/0!</v>
      </c>
      <c r="CT283" s="3" t="e">
        <f t="shared" si="306"/>
        <v>#DIV/0!</v>
      </c>
      <c r="CU283" s="3" t="e">
        <f t="shared" si="306"/>
        <v>#DIV/0!</v>
      </c>
      <c r="CV283" s="3" t="e">
        <f t="shared" si="306"/>
        <v>#DIV/0!</v>
      </c>
      <c r="CW283" s="3" t="e">
        <f t="shared" si="306"/>
        <v>#DIV/0!</v>
      </c>
      <c r="CX283" s="3" t="e">
        <f t="shared" si="306"/>
        <v>#DIV/0!</v>
      </c>
      <c r="CY283" s="3" t="e">
        <f t="shared" si="306"/>
        <v>#DIV/0!</v>
      </c>
      <c r="CZ283" s="3" t="e">
        <f t="shared" si="306"/>
        <v>#DIV/0!</v>
      </c>
      <c r="DA283" s="3" t="e">
        <f t="shared" si="306"/>
        <v>#DIV/0!</v>
      </c>
      <c r="DB283" s="3" t="e">
        <f t="shared" si="306"/>
        <v>#DIV/0!</v>
      </c>
      <c r="DC283" s="3" t="e">
        <f t="shared" si="306"/>
        <v>#DIV/0!</v>
      </c>
      <c r="DD283" s="3" t="e">
        <f t="shared" si="306"/>
        <v>#DIV/0!</v>
      </c>
      <c r="DE283" s="3" t="e">
        <f t="shared" si="306"/>
        <v>#DIV/0!</v>
      </c>
      <c r="DF283" s="3" t="e">
        <f t="shared" si="306"/>
        <v>#DIV/0!</v>
      </c>
      <c r="DG283" s="3" t="e">
        <f t="shared" si="306"/>
        <v>#DIV/0!</v>
      </c>
      <c r="DH283" s="3" t="e">
        <f t="shared" si="306"/>
        <v>#DIV/0!</v>
      </c>
      <c r="DI283" s="3" t="e">
        <f t="shared" si="306"/>
        <v>#DIV/0!</v>
      </c>
      <c r="DJ283" s="3" t="e">
        <f t="shared" si="306"/>
        <v>#DIV/0!</v>
      </c>
      <c r="DK283" s="3" t="e">
        <f t="shared" si="306"/>
        <v>#DIV/0!</v>
      </c>
      <c r="DL283" s="3" t="e">
        <f t="shared" si="306"/>
        <v>#DIV/0!</v>
      </c>
      <c r="DM283" s="3" t="e">
        <f t="shared" si="306"/>
        <v>#DIV/0!</v>
      </c>
      <c r="DN283" s="3" t="e">
        <f t="shared" si="306"/>
        <v>#DIV/0!</v>
      </c>
      <c r="DO283" s="3" t="e">
        <f t="shared" si="306"/>
        <v>#DIV/0!</v>
      </c>
      <c r="DP283" s="3" t="e">
        <f t="shared" si="306"/>
        <v>#DIV/0!</v>
      </c>
      <c r="DQ283" s="3" t="e">
        <f t="shared" si="306"/>
        <v>#DIV/0!</v>
      </c>
      <c r="DR283" s="3" t="e">
        <f t="shared" si="306"/>
        <v>#DIV/0!</v>
      </c>
      <c r="DS283" s="3" t="e">
        <f t="shared" si="306"/>
        <v>#DIV/0!</v>
      </c>
      <c r="DT283" s="3" t="e">
        <f t="shared" si="306"/>
        <v>#DIV/0!</v>
      </c>
      <c r="DU283" s="3" t="e">
        <f t="shared" si="306"/>
        <v>#DIV/0!</v>
      </c>
      <c r="DV283" s="3" t="e">
        <f t="shared" si="306"/>
        <v>#DIV/0!</v>
      </c>
      <c r="DW283" s="3" t="e">
        <f t="shared" si="306"/>
        <v>#DIV/0!</v>
      </c>
    </row>
    <row r="284" spans="2:127" x14ac:dyDescent="0.45"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</row>
  </sheetData>
  <mergeCells count="10">
    <mergeCell ref="CN7:CY7"/>
    <mergeCell ref="CZ7:DK7"/>
    <mergeCell ref="DL7:DW7"/>
    <mergeCell ref="E7:P7"/>
    <mergeCell ref="Q7:AB7"/>
    <mergeCell ref="BP7:CA7"/>
    <mergeCell ref="CB7:CM7"/>
    <mergeCell ref="AC7:AN7"/>
    <mergeCell ref="AO7:AZ7"/>
    <mergeCell ref="BA7:BL7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B079-C45C-4D63-9175-AF6F920797CB}">
  <dimension ref="B1:W277"/>
  <sheetViews>
    <sheetView zoomScale="55" zoomScaleNormal="55" workbookViewId="0">
      <selection activeCell="BB60" sqref="BB60"/>
    </sheetView>
  </sheetViews>
  <sheetFormatPr defaultRowHeight="16" x14ac:dyDescent="0.45"/>
  <cols>
    <col min="1" max="1" width="2.6328125" customWidth="1"/>
    <col min="13" max="13" width="2.6328125" customWidth="1"/>
  </cols>
  <sheetData>
    <row r="1" spans="2:23" ht="16.5" thickBot="1" x14ac:dyDescent="0.5"/>
    <row r="2" spans="2:23" x14ac:dyDescent="0.45">
      <c r="B2" s="142"/>
      <c r="C2" s="143"/>
      <c r="D2" s="265" t="s">
        <v>0</v>
      </c>
      <c r="E2" s="268"/>
      <c r="F2" s="264"/>
      <c r="G2" s="265" t="s">
        <v>1</v>
      </c>
      <c r="H2" s="268"/>
      <c r="I2" s="266"/>
      <c r="J2" s="263" t="s">
        <v>2</v>
      </c>
      <c r="K2" s="268"/>
      <c r="L2" s="266"/>
      <c r="N2" s="74"/>
      <c r="O2" s="268" t="s">
        <v>0</v>
      </c>
      <c r="P2" s="268"/>
      <c r="Q2" s="264"/>
      <c r="R2" s="265" t="s">
        <v>1</v>
      </c>
      <c r="S2" s="268"/>
      <c r="T2" s="266"/>
      <c r="U2" s="263" t="s">
        <v>2</v>
      </c>
      <c r="V2" s="268"/>
      <c r="W2" s="266"/>
    </row>
    <row r="3" spans="2:23" ht="16.5" thickBot="1" x14ac:dyDescent="0.5">
      <c r="B3" s="15" t="s">
        <v>328</v>
      </c>
      <c r="C3" s="16" t="s">
        <v>27</v>
      </c>
      <c r="D3" s="15" t="s">
        <v>329</v>
      </c>
      <c r="E3" s="39" t="s">
        <v>330</v>
      </c>
      <c r="F3" s="14" t="s">
        <v>331</v>
      </c>
      <c r="G3" s="15" t="s">
        <v>329</v>
      </c>
      <c r="H3" s="39" t="s">
        <v>330</v>
      </c>
      <c r="I3" s="16" t="s">
        <v>331</v>
      </c>
      <c r="J3" s="13" t="s">
        <v>329</v>
      </c>
      <c r="K3" s="39" t="s">
        <v>330</v>
      </c>
      <c r="L3" s="16" t="s">
        <v>331</v>
      </c>
      <c r="N3" s="15" t="s">
        <v>328</v>
      </c>
      <c r="O3" s="39" t="s">
        <v>3</v>
      </c>
      <c r="P3" s="39" t="s">
        <v>4</v>
      </c>
      <c r="Q3" s="14" t="s">
        <v>5</v>
      </c>
      <c r="R3" s="15" t="s">
        <v>3</v>
      </c>
      <c r="S3" s="39" t="s">
        <v>4</v>
      </c>
      <c r="T3" s="16" t="s">
        <v>5</v>
      </c>
      <c r="U3" s="13" t="s">
        <v>3</v>
      </c>
      <c r="V3" s="39" t="s">
        <v>4</v>
      </c>
      <c r="W3" s="16" t="s">
        <v>5</v>
      </c>
    </row>
    <row r="4" spans="2:23" x14ac:dyDescent="0.45">
      <c r="B4" s="144">
        <v>0</v>
      </c>
      <c r="C4" s="145">
        <f>3*B4/4095</f>
        <v>0</v>
      </c>
      <c r="D4" s="18">
        <v>6.0000000000000001E-3</v>
      </c>
      <c r="E4" s="41">
        <v>6.0000000000000001E-3</v>
      </c>
      <c r="F4" s="19">
        <v>3.0000000000000001E-3</v>
      </c>
      <c r="G4" s="20">
        <v>8.9999999999999993E-3</v>
      </c>
      <c r="H4" s="41">
        <v>8.0000000000000002E-3</v>
      </c>
      <c r="I4" s="21">
        <v>3.0000000000000001E-3</v>
      </c>
      <c r="J4" s="18">
        <v>7.0000000000000001E-3</v>
      </c>
      <c r="K4" s="41">
        <v>5.0000000000000001E-3</v>
      </c>
      <c r="L4" s="21">
        <v>3.0000000000000001E-3</v>
      </c>
      <c r="N4" s="17">
        <v>0</v>
      </c>
      <c r="O4" s="146" t="e">
        <f>(D4-$C4)/$C4</f>
        <v>#DIV/0!</v>
      </c>
      <c r="P4" s="146" t="e">
        <f t="shared" ref="P4:W19" si="0">(E4-$C4)/$C4</f>
        <v>#DIV/0!</v>
      </c>
      <c r="Q4" s="147" t="e">
        <f t="shared" si="0"/>
        <v>#DIV/0!</v>
      </c>
      <c r="R4" s="146" t="e">
        <f t="shared" si="0"/>
        <v>#DIV/0!</v>
      </c>
      <c r="S4" s="146" t="e">
        <f t="shared" si="0"/>
        <v>#DIV/0!</v>
      </c>
      <c r="T4" s="148" t="e">
        <f t="shared" si="0"/>
        <v>#DIV/0!</v>
      </c>
      <c r="U4" s="149" t="e">
        <f t="shared" si="0"/>
        <v>#DIV/0!</v>
      </c>
      <c r="V4" s="146" t="e">
        <f t="shared" si="0"/>
        <v>#DIV/0!</v>
      </c>
      <c r="W4" s="146" t="e">
        <f t="shared" si="0"/>
        <v>#DIV/0!</v>
      </c>
    </row>
    <row r="5" spans="2:23" x14ac:dyDescent="0.45">
      <c r="B5" s="50">
        <v>15</v>
      </c>
      <c r="C5" s="150">
        <f t="shared" ref="C5:C68" si="1">3*B5/4095</f>
        <v>1.098901098901099E-2</v>
      </c>
      <c r="D5" s="23">
        <v>1.0999999999999999E-2</v>
      </c>
      <c r="E5" s="1">
        <v>1.0999999999999999E-2</v>
      </c>
      <c r="F5" s="24">
        <v>1.0999999999999999E-2</v>
      </c>
      <c r="G5" s="4">
        <v>0.01</v>
      </c>
      <c r="H5" s="1">
        <v>0.01</v>
      </c>
      <c r="I5" s="25">
        <v>0.01</v>
      </c>
      <c r="J5" s="23">
        <v>0.01</v>
      </c>
      <c r="K5" s="1">
        <v>0.01</v>
      </c>
      <c r="L5" s="25">
        <v>0.01</v>
      </c>
      <c r="N5" s="22">
        <v>15</v>
      </c>
      <c r="O5" s="146">
        <f t="shared" ref="O5:W46" si="2">(D5-$C5)/$C5</f>
        <v>9.9999999999986385E-4</v>
      </c>
      <c r="P5" s="146">
        <f t="shared" si="0"/>
        <v>9.9999999999986385E-4</v>
      </c>
      <c r="Q5" s="147">
        <f t="shared" si="0"/>
        <v>9.9999999999986385E-4</v>
      </c>
      <c r="R5" s="146">
        <f t="shared" si="0"/>
        <v>-9.0000000000000052E-2</v>
      </c>
      <c r="S5" s="146">
        <f t="shared" si="0"/>
        <v>-9.0000000000000052E-2</v>
      </c>
      <c r="T5" s="148">
        <f t="shared" si="0"/>
        <v>-9.0000000000000052E-2</v>
      </c>
      <c r="U5" s="149">
        <f t="shared" si="0"/>
        <v>-9.0000000000000052E-2</v>
      </c>
      <c r="V5" s="146">
        <f t="shared" si="0"/>
        <v>-9.0000000000000052E-2</v>
      </c>
      <c r="W5" s="146">
        <f t="shared" si="0"/>
        <v>-9.0000000000000052E-2</v>
      </c>
    </row>
    <row r="6" spans="2:23" x14ac:dyDescent="0.45">
      <c r="B6" s="50">
        <v>30</v>
      </c>
      <c r="C6" s="150">
        <f t="shared" si="1"/>
        <v>2.197802197802198E-2</v>
      </c>
      <c r="D6" s="23">
        <v>2.1999999999999999E-2</v>
      </c>
      <c r="E6" s="1">
        <v>2.1999999999999999E-2</v>
      </c>
      <c r="F6" s="24">
        <v>2.1999999999999999E-2</v>
      </c>
      <c r="G6" s="4">
        <v>2.1000000000000001E-2</v>
      </c>
      <c r="H6" s="1">
        <v>2.1000000000000001E-2</v>
      </c>
      <c r="I6" s="25">
        <v>2.1000000000000001E-2</v>
      </c>
      <c r="J6" s="23">
        <v>2.1999999999999999E-2</v>
      </c>
      <c r="K6" s="1">
        <v>2.1000000000000001E-2</v>
      </c>
      <c r="L6" s="25">
        <v>2.1000000000000001E-2</v>
      </c>
      <c r="N6" s="22">
        <v>30</v>
      </c>
      <c r="O6" s="146">
        <f t="shared" si="2"/>
        <v>9.9999999999986385E-4</v>
      </c>
      <c r="P6" s="146">
        <f t="shared" si="0"/>
        <v>9.9999999999986385E-4</v>
      </c>
      <c r="Q6" s="147">
        <f t="shared" si="0"/>
        <v>9.9999999999986385E-4</v>
      </c>
      <c r="R6" s="146">
        <f t="shared" si="0"/>
        <v>-4.4500000000000012E-2</v>
      </c>
      <c r="S6" s="146">
        <f t="shared" si="0"/>
        <v>-4.4500000000000012E-2</v>
      </c>
      <c r="T6" s="148">
        <f t="shared" si="0"/>
        <v>-4.4500000000000012E-2</v>
      </c>
      <c r="U6" s="149">
        <f t="shared" si="0"/>
        <v>9.9999999999986385E-4</v>
      </c>
      <c r="V6" s="146">
        <f t="shared" si="0"/>
        <v>-4.4500000000000012E-2</v>
      </c>
      <c r="W6" s="146">
        <f t="shared" si="0"/>
        <v>-4.4500000000000012E-2</v>
      </c>
    </row>
    <row r="7" spans="2:23" x14ac:dyDescent="0.45">
      <c r="B7" s="50">
        <v>45</v>
      </c>
      <c r="C7" s="150">
        <f t="shared" si="1"/>
        <v>3.2967032967032968E-2</v>
      </c>
      <c r="D7" s="23">
        <v>3.3000000000000002E-2</v>
      </c>
      <c r="E7" s="1">
        <v>3.3000000000000002E-2</v>
      </c>
      <c r="F7" s="24">
        <v>3.3000000000000002E-2</v>
      </c>
      <c r="G7" s="4">
        <v>3.2000000000000001E-2</v>
      </c>
      <c r="H7" s="1">
        <v>3.2000000000000001E-2</v>
      </c>
      <c r="I7" s="25">
        <v>3.2000000000000001E-2</v>
      </c>
      <c r="J7" s="23">
        <v>3.3000000000000002E-2</v>
      </c>
      <c r="K7" s="1">
        <v>3.2000000000000001E-2</v>
      </c>
      <c r="L7" s="25">
        <v>3.2000000000000001E-2</v>
      </c>
      <c r="N7" s="22">
        <v>45</v>
      </c>
      <c r="O7" s="146">
        <f t="shared" si="2"/>
        <v>1.0000000000000217E-3</v>
      </c>
      <c r="P7" s="146">
        <f t="shared" si="0"/>
        <v>1.0000000000000217E-3</v>
      </c>
      <c r="Q7" s="147">
        <f t="shared" si="0"/>
        <v>1.0000000000000217E-3</v>
      </c>
      <c r="R7" s="146">
        <f t="shared" si="0"/>
        <v>-2.9333333333333336E-2</v>
      </c>
      <c r="S7" s="146">
        <f t="shared" si="0"/>
        <v>-2.9333333333333336E-2</v>
      </c>
      <c r="T7" s="148">
        <f t="shared" si="0"/>
        <v>-2.9333333333333336E-2</v>
      </c>
      <c r="U7" s="149">
        <f t="shared" si="0"/>
        <v>1.0000000000000217E-3</v>
      </c>
      <c r="V7" s="146">
        <f t="shared" si="0"/>
        <v>-2.9333333333333336E-2</v>
      </c>
      <c r="W7" s="146">
        <f t="shared" si="0"/>
        <v>-2.9333333333333336E-2</v>
      </c>
    </row>
    <row r="8" spans="2:23" x14ac:dyDescent="0.45">
      <c r="B8" s="50">
        <v>60</v>
      </c>
      <c r="C8" s="150">
        <f t="shared" si="1"/>
        <v>4.3956043956043959E-2</v>
      </c>
      <c r="D8" s="23">
        <v>4.3999999999999997E-2</v>
      </c>
      <c r="E8" s="1">
        <v>4.3999999999999997E-2</v>
      </c>
      <c r="F8" s="24">
        <v>4.2999999999999997E-2</v>
      </c>
      <c r="G8" s="4">
        <v>4.2999999999999997E-2</v>
      </c>
      <c r="H8" s="1">
        <v>4.2999999999999997E-2</v>
      </c>
      <c r="I8" s="25">
        <v>4.2999999999999997E-2</v>
      </c>
      <c r="J8" s="23">
        <v>4.3999999999999997E-2</v>
      </c>
      <c r="K8" s="1">
        <v>4.2999999999999997E-2</v>
      </c>
      <c r="L8" s="25">
        <v>4.2999999999999997E-2</v>
      </c>
      <c r="N8" s="22">
        <v>60</v>
      </c>
      <c r="O8" s="146">
        <f t="shared" si="2"/>
        <v>9.9999999999986385E-4</v>
      </c>
      <c r="P8" s="146">
        <f t="shared" si="0"/>
        <v>9.9999999999986385E-4</v>
      </c>
      <c r="Q8" s="147">
        <f t="shared" si="0"/>
        <v>-2.1750000000000155E-2</v>
      </c>
      <c r="R8" s="146">
        <f t="shared" si="0"/>
        <v>-2.1750000000000155E-2</v>
      </c>
      <c r="S8" s="146">
        <f t="shared" si="0"/>
        <v>-2.1750000000000155E-2</v>
      </c>
      <c r="T8" s="148">
        <f t="shared" si="0"/>
        <v>-2.1750000000000155E-2</v>
      </c>
      <c r="U8" s="149">
        <f t="shared" si="0"/>
        <v>9.9999999999986385E-4</v>
      </c>
      <c r="V8" s="146">
        <f t="shared" si="0"/>
        <v>-2.1750000000000155E-2</v>
      </c>
      <c r="W8" s="146">
        <f t="shared" si="0"/>
        <v>-2.1750000000000155E-2</v>
      </c>
    </row>
    <row r="9" spans="2:23" x14ac:dyDescent="0.45">
      <c r="B9" s="50">
        <v>75</v>
      </c>
      <c r="C9" s="150">
        <f t="shared" si="1"/>
        <v>5.4945054945054944E-2</v>
      </c>
      <c r="D9" s="23">
        <v>5.5E-2</v>
      </c>
      <c r="E9" s="1">
        <v>5.5E-2</v>
      </c>
      <c r="F9" s="24">
        <v>5.5E-2</v>
      </c>
      <c r="G9" s="4">
        <v>5.5E-2</v>
      </c>
      <c r="H9" s="1">
        <v>5.3999999999999999E-2</v>
      </c>
      <c r="I9" s="25">
        <v>5.3999999999999999E-2</v>
      </c>
      <c r="J9" s="23">
        <v>5.5E-2</v>
      </c>
      <c r="K9" s="1">
        <v>5.5E-2</v>
      </c>
      <c r="L9" s="25">
        <v>5.3999999999999999E-2</v>
      </c>
      <c r="N9" s="22">
        <v>75</v>
      </c>
      <c r="O9" s="146">
        <f t="shared" si="2"/>
        <v>1.0000000000000217E-3</v>
      </c>
      <c r="P9" s="146">
        <f t="shared" si="0"/>
        <v>1.0000000000000217E-3</v>
      </c>
      <c r="Q9" s="147">
        <f t="shared" si="0"/>
        <v>1.0000000000000217E-3</v>
      </c>
      <c r="R9" s="146">
        <f t="shared" si="0"/>
        <v>1.0000000000000217E-3</v>
      </c>
      <c r="S9" s="146">
        <f t="shared" si="0"/>
        <v>-1.7199999999999993E-2</v>
      </c>
      <c r="T9" s="148">
        <f t="shared" si="0"/>
        <v>-1.7199999999999993E-2</v>
      </c>
      <c r="U9" s="149">
        <f t="shared" si="0"/>
        <v>1.0000000000000217E-3</v>
      </c>
      <c r="V9" s="146">
        <f t="shared" si="0"/>
        <v>1.0000000000000217E-3</v>
      </c>
      <c r="W9" s="146">
        <f t="shared" si="0"/>
        <v>-1.7199999999999993E-2</v>
      </c>
    </row>
    <row r="10" spans="2:23" x14ac:dyDescent="0.45">
      <c r="B10" s="50">
        <v>90</v>
      </c>
      <c r="C10" s="150">
        <f t="shared" si="1"/>
        <v>6.5934065934065936E-2</v>
      </c>
      <c r="D10" s="23">
        <v>6.6000000000000003E-2</v>
      </c>
      <c r="E10" s="1">
        <v>6.6000000000000003E-2</v>
      </c>
      <c r="F10" s="24">
        <v>6.6000000000000003E-2</v>
      </c>
      <c r="G10" s="4">
        <v>6.6000000000000003E-2</v>
      </c>
      <c r="H10" s="1">
        <v>6.5000000000000002E-2</v>
      </c>
      <c r="I10" s="25">
        <v>6.5000000000000002E-2</v>
      </c>
      <c r="J10" s="23">
        <v>6.6000000000000003E-2</v>
      </c>
      <c r="K10" s="1">
        <v>6.6000000000000003E-2</v>
      </c>
      <c r="L10" s="25">
        <v>6.5000000000000002E-2</v>
      </c>
      <c r="N10" s="22">
        <v>90</v>
      </c>
      <c r="O10" s="146">
        <f t="shared" si="2"/>
        <v>1.0000000000000217E-3</v>
      </c>
      <c r="P10" s="146">
        <f t="shared" si="0"/>
        <v>1.0000000000000217E-3</v>
      </c>
      <c r="Q10" s="147">
        <f t="shared" si="0"/>
        <v>1.0000000000000217E-3</v>
      </c>
      <c r="R10" s="146">
        <f t="shared" si="0"/>
        <v>1.0000000000000217E-3</v>
      </c>
      <c r="S10" s="146">
        <f t="shared" si="0"/>
        <v>-1.4166666666666657E-2</v>
      </c>
      <c r="T10" s="148">
        <f t="shared" si="0"/>
        <v>-1.4166666666666657E-2</v>
      </c>
      <c r="U10" s="149">
        <f t="shared" si="0"/>
        <v>1.0000000000000217E-3</v>
      </c>
      <c r="V10" s="146">
        <f t="shared" si="0"/>
        <v>1.0000000000000217E-3</v>
      </c>
      <c r="W10" s="146">
        <f t="shared" si="0"/>
        <v>-1.4166666666666657E-2</v>
      </c>
    </row>
    <row r="11" spans="2:23" x14ac:dyDescent="0.45">
      <c r="B11" s="50">
        <v>105</v>
      </c>
      <c r="C11" s="150">
        <f t="shared" si="1"/>
        <v>7.6923076923076927E-2</v>
      </c>
      <c r="D11" s="23">
        <v>7.6999999999999999E-2</v>
      </c>
      <c r="E11" s="1">
        <v>7.6999999999999999E-2</v>
      </c>
      <c r="F11" s="24">
        <v>7.6999999999999999E-2</v>
      </c>
      <c r="G11" s="4">
        <v>7.6999999999999999E-2</v>
      </c>
      <c r="H11" s="1">
        <v>7.5999999999999998E-2</v>
      </c>
      <c r="I11" s="25">
        <v>7.5999999999999998E-2</v>
      </c>
      <c r="J11" s="23">
        <v>7.6999999999999999E-2</v>
      </c>
      <c r="K11" s="1">
        <v>7.6999999999999999E-2</v>
      </c>
      <c r="L11" s="25">
        <v>7.5999999999999998E-2</v>
      </c>
      <c r="N11" s="22">
        <v>105</v>
      </c>
      <c r="O11" s="146">
        <f t="shared" si="2"/>
        <v>9.999999999999315E-4</v>
      </c>
      <c r="P11" s="146">
        <f t="shared" si="0"/>
        <v>9.999999999999315E-4</v>
      </c>
      <c r="Q11" s="147">
        <f t="shared" si="0"/>
        <v>9.999999999999315E-4</v>
      </c>
      <c r="R11" s="146">
        <f t="shared" si="0"/>
        <v>9.999999999999315E-4</v>
      </c>
      <c r="S11" s="146">
        <f t="shared" si="0"/>
        <v>-1.200000000000008E-2</v>
      </c>
      <c r="T11" s="148">
        <f t="shared" si="0"/>
        <v>-1.200000000000008E-2</v>
      </c>
      <c r="U11" s="149">
        <f t="shared" si="0"/>
        <v>9.999999999999315E-4</v>
      </c>
      <c r="V11" s="146">
        <f t="shared" si="0"/>
        <v>9.999999999999315E-4</v>
      </c>
      <c r="W11" s="146">
        <f t="shared" si="0"/>
        <v>-1.200000000000008E-2</v>
      </c>
    </row>
    <row r="12" spans="2:23" x14ac:dyDescent="0.45">
      <c r="B12" s="50">
        <v>120</v>
      </c>
      <c r="C12" s="150">
        <f t="shared" si="1"/>
        <v>8.7912087912087919E-2</v>
      </c>
      <c r="D12" s="23">
        <v>8.7999999999999995E-2</v>
      </c>
      <c r="E12" s="1">
        <v>8.7999999999999995E-2</v>
      </c>
      <c r="F12" s="24">
        <v>8.6999999999999994E-2</v>
      </c>
      <c r="G12" s="4">
        <v>8.7999999999999995E-2</v>
      </c>
      <c r="H12" s="1">
        <v>8.6999999999999994E-2</v>
      </c>
      <c r="I12" s="25">
        <v>8.7999999999999995E-2</v>
      </c>
      <c r="J12" s="23">
        <v>8.7999999999999995E-2</v>
      </c>
      <c r="K12" s="1">
        <v>8.7999999999999995E-2</v>
      </c>
      <c r="L12" s="25">
        <v>8.6999999999999994E-2</v>
      </c>
      <c r="N12" s="22">
        <v>120</v>
      </c>
      <c r="O12" s="146">
        <f t="shared" si="2"/>
        <v>9.9999999999986385E-4</v>
      </c>
      <c r="P12" s="146">
        <f t="shared" si="0"/>
        <v>9.9999999999986385E-4</v>
      </c>
      <c r="Q12" s="147">
        <f t="shared" si="0"/>
        <v>-1.0375000000000146E-2</v>
      </c>
      <c r="R12" s="146">
        <f t="shared" si="0"/>
        <v>9.9999999999986385E-4</v>
      </c>
      <c r="S12" s="146">
        <f t="shared" si="0"/>
        <v>-1.0375000000000146E-2</v>
      </c>
      <c r="T12" s="148">
        <f t="shared" si="0"/>
        <v>9.9999999999986385E-4</v>
      </c>
      <c r="U12" s="149">
        <f t="shared" si="0"/>
        <v>9.9999999999986385E-4</v>
      </c>
      <c r="V12" s="146">
        <f t="shared" si="0"/>
        <v>9.9999999999986385E-4</v>
      </c>
      <c r="W12" s="146">
        <f t="shared" si="0"/>
        <v>-1.0375000000000146E-2</v>
      </c>
    </row>
    <row r="13" spans="2:23" x14ac:dyDescent="0.45">
      <c r="B13" s="50">
        <v>135</v>
      </c>
      <c r="C13" s="150">
        <f t="shared" si="1"/>
        <v>9.8901098901098897E-2</v>
      </c>
      <c r="D13" s="23">
        <v>9.9000000000000005E-2</v>
      </c>
      <c r="E13" s="1">
        <v>9.9000000000000005E-2</v>
      </c>
      <c r="F13" s="24">
        <v>9.9000000000000005E-2</v>
      </c>
      <c r="G13" s="4">
        <v>9.9000000000000005E-2</v>
      </c>
      <c r="H13" s="1">
        <v>9.9000000000000005E-2</v>
      </c>
      <c r="I13" s="25">
        <v>9.9000000000000005E-2</v>
      </c>
      <c r="J13" s="23">
        <v>9.9000000000000005E-2</v>
      </c>
      <c r="K13" s="1">
        <v>9.9000000000000005E-2</v>
      </c>
      <c r="L13" s="25">
        <v>9.9000000000000005E-2</v>
      </c>
      <c r="N13" s="22">
        <v>135</v>
      </c>
      <c r="O13" s="146">
        <f t="shared" si="2"/>
        <v>1.000000000000092E-3</v>
      </c>
      <c r="P13" s="146">
        <f t="shared" si="0"/>
        <v>1.000000000000092E-3</v>
      </c>
      <c r="Q13" s="147">
        <f t="shared" si="0"/>
        <v>1.000000000000092E-3</v>
      </c>
      <c r="R13" s="146">
        <f t="shared" si="0"/>
        <v>1.000000000000092E-3</v>
      </c>
      <c r="S13" s="146">
        <f t="shared" si="0"/>
        <v>1.000000000000092E-3</v>
      </c>
      <c r="T13" s="148">
        <f t="shared" si="0"/>
        <v>1.000000000000092E-3</v>
      </c>
      <c r="U13" s="149">
        <f t="shared" si="0"/>
        <v>1.000000000000092E-3</v>
      </c>
      <c r="V13" s="146">
        <f t="shared" si="0"/>
        <v>1.000000000000092E-3</v>
      </c>
      <c r="W13" s="146">
        <f t="shared" si="0"/>
        <v>1.000000000000092E-3</v>
      </c>
    </row>
    <row r="14" spans="2:23" x14ac:dyDescent="0.45">
      <c r="B14" s="50">
        <v>150</v>
      </c>
      <c r="C14" s="150">
        <f t="shared" si="1"/>
        <v>0.10989010989010989</v>
      </c>
      <c r="D14" s="23">
        <v>0.11</v>
      </c>
      <c r="E14" s="1">
        <v>0.11</v>
      </c>
      <c r="F14" s="24">
        <v>0.11</v>
      </c>
      <c r="G14" s="4">
        <v>0.11</v>
      </c>
      <c r="H14" s="1">
        <v>0.11</v>
      </c>
      <c r="I14" s="25">
        <v>0.11</v>
      </c>
      <c r="J14" s="23">
        <v>0.11</v>
      </c>
      <c r="K14" s="1">
        <v>0.11</v>
      </c>
      <c r="L14" s="25">
        <v>0.11</v>
      </c>
      <c r="N14" s="22">
        <v>150</v>
      </c>
      <c r="O14" s="146">
        <f t="shared" si="2"/>
        <v>1.0000000000000217E-3</v>
      </c>
      <c r="P14" s="146">
        <f t="shared" si="0"/>
        <v>1.0000000000000217E-3</v>
      </c>
      <c r="Q14" s="147">
        <f t="shared" si="0"/>
        <v>1.0000000000000217E-3</v>
      </c>
      <c r="R14" s="146">
        <f t="shared" si="0"/>
        <v>1.0000000000000217E-3</v>
      </c>
      <c r="S14" s="146">
        <f t="shared" si="0"/>
        <v>1.0000000000000217E-3</v>
      </c>
      <c r="T14" s="148">
        <f t="shared" si="0"/>
        <v>1.0000000000000217E-3</v>
      </c>
      <c r="U14" s="149">
        <f t="shared" si="0"/>
        <v>1.0000000000000217E-3</v>
      </c>
      <c r="V14" s="146">
        <f t="shared" si="0"/>
        <v>1.0000000000000217E-3</v>
      </c>
      <c r="W14" s="146">
        <f t="shared" si="0"/>
        <v>1.0000000000000217E-3</v>
      </c>
    </row>
    <row r="15" spans="2:23" x14ac:dyDescent="0.45">
      <c r="B15" s="50">
        <v>165</v>
      </c>
      <c r="C15" s="150">
        <f t="shared" si="1"/>
        <v>0.12087912087912088</v>
      </c>
      <c r="D15" s="23">
        <v>0.121</v>
      </c>
      <c r="E15" s="1">
        <v>0.121</v>
      </c>
      <c r="F15" s="24">
        <v>0.121</v>
      </c>
      <c r="G15" s="4">
        <v>0.121</v>
      </c>
      <c r="H15" s="1">
        <v>0.121</v>
      </c>
      <c r="I15" s="25">
        <v>0.121</v>
      </c>
      <c r="J15" s="23">
        <v>0.121</v>
      </c>
      <c r="K15" s="1">
        <v>0.121</v>
      </c>
      <c r="L15" s="25">
        <v>0.121</v>
      </c>
      <c r="N15" s="22">
        <v>165</v>
      </c>
      <c r="O15" s="146">
        <f t="shared" si="2"/>
        <v>9.9999999999996424E-4</v>
      </c>
      <c r="P15" s="146">
        <f t="shared" si="0"/>
        <v>9.9999999999996424E-4</v>
      </c>
      <c r="Q15" s="147">
        <f t="shared" si="0"/>
        <v>9.9999999999996424E-4</v>
      </c>
      <c r="R15" s="146">
        <f t="shared" si="0"/>
        <v>9.9999999999996424E-4</v>
      </c>
      <c r="S15" s="146">
        <f t="shared" si="0"/>
        <v>9.9999999999996424E-4</v>
      </c>
      <c r="T15" s="148">
        <f t="shared" si="0"/>
        <v>9.9999999999996424E-4</v>
      </c>
      <c r="U15" s="149">
        <f t="shared" si="0"/>
        <v>9.9999999999996424E-4</v>
      </c>
      <c r="V15" s="146">
        <f t="shared" si="0"/>
        <v>9.9999999999996424E-4</v>
      </c>
      <c r="W15" s="146">
        <f t="shared" si="0"/>
        <v>9.9999999999996424E-4</v>
      </c>
    </row>
    <row r="16" spans="2:23" x14ac:dyDescent="0.45">
      <c r="B16" s="50">
        <v>180</v>
      </c>
      <c r="C16" s="150">
        <f t="shared" si="1"/>
        <v>0.13186813186813187</v>
      </c>
      <c r="D16" s="23">
        <v>0.13200000000000001</v>
      </c>
      <c r="E16" s="1">
        <v>0.13200000000000001</v>
      </c>
      <c r="F16" s="24">
        <v>0.13200000000000001</v>
      </c>
      <c r="G16" s="4">
        <v>0.13200000000000001</v>
      </c>
      <c r="H16" s="1">
        <v>0.13200000000000001</v>
      </c>
      <c r="I16" s="25">
        <v>0.13200000000000001</v>
      </c>
      <c r="J16" s="23">
        <v>0.13200000000000001</v>
      </c>
      <c r="K16" s="1">
        <v>0.13200000000000001</v>
      </c>
      <c r="L16" s="25">
        <v>0.13200000000000001</v>
      </c>
      <c r="N16" s="22">
        <v>180</v>
      </c>
      <c r="O16" s="146">
        <f t="shared" si="2"/>
        <v>1.0000000000000217E-3</v>
      </c>
      <c r="P16" s="146">
        <f t="shared" si="0"/>
        <v>1.0000000000000217E-3</v>
      </c>
      <c r="Q16" s="147">
        <f t="shared" si="0"/>
        <v>1.0000000000000217E-3</v>
      </c>
      <c r="R16" s="146">
        <f t="shared" si="0"/>
        <v>1.0000000000000217E-3</v>
      </c>
      <c r="S16" s="146">
        <f t="shared" si="0"/>
        <v>1.0000000000000217E-3</v>
      </c>
      <c r="T16" s="148">
        <f t="shared" si="0"/>
        <v>1.0000000000000217E-3</v>
      </c>
      <c r="U16" s="149">
        <f t="shared" si="0"/>
        <v>1.0000000000000217E-3</v>
      </c>
      <c r="V16" s="146">
        <f t="shared" si="0"/>
        <v>1.0000000000000217E-3</v>
      </c>
      <c r="W16" s="146">
        <f t="shared" si="0"/>
        <v>1.0000000000000217E-3</v>
      </c>
    </row>
    <row r="17" spans="2:23" x14ac:dyDescent="0.45">
      <c r="B17" s="50">
        <v>195</v>
      </c>
      <c r="C17" s="150">
        <f t="shared" si="1"/>
        <v>0.14285714285714285</v>
      </c>
      <c r="D17" s="23">
        <v>0.14299999999999999</v>
      </c>
      <c r="E17" s="1">
        <v>0.14299999999999999</v>
      </c>
      <c r="F17" s="24">
        <v>0.14299999999999999</v>
      </c>
      <c r="G17" s="4">
        <v>0.14299999999999999</v>
      </c>
      <c r="H17" s="1">
        <v>0.14299999999999999</v>
      </c>
      <c r="I17" s="25">
        <v>0.14299999999999999</v>
      </c>
      <c r="J17" s="23">
        <v>0.14299999999999999</v>
      </c>
      <c r="K17" s="1">
        <v>0.14299999999999999</v>
      </c>
      <c r="L17" s="25">
        <v>0.14299999999999999</v>
      </c>
      <c r="N17" s="22">
        <v>195</v>
      </c>
      <c r="O17" s="152">
        <f t="shared" si="2"/>
        <v>9.9999999999997313E-4</v>
      </c>
      <c r="P17" s="152">
        <f t="shared" si="0"/>
        <v>9.9999999999997313E-4</v>
      </c>
      <c r="Q17" s="153">
        <f t="shared" si="0"/>
        <v>9.9999999999997313E-4</v>
      </c>
      <c r="R17" s="152">
        <f t="shared" si="0"/>
        <v>9.9999999999997313E-4</v>
      </c>
      <c r="S17" s="152">
        <f t="shared" si="0"/>
        <v>9.9999999999997313E-4</v>
      </c>
      <c r="T17" s="154">
        <f t="shared" si="0"/>
        <v>9.9999999999997313E-4</v>
      </c>
      <c r="U17" s="155">
        <f t="shared" si="0"/>
        <v>9.9999999999997313E-4</v>
      </c>
      <c r="V17" s="152">
        <f t="shared" si="0"/>
        <v>9.9999999999997313E-4</v>
      </c>
      <c r="W17" s="152">
        <f t="shared" si="0"/>
        <v>9.9999999999997313E-4</v>
      </c>
    </row>
    <row r="18" spans="2:23" x14ac:dyDescent="0.45">
      <c r="B18" s="50">
        <v>210</v>
      </c>
      <c r="C18" s="150">
        <f t="shared" si="1"/>
        <v>0.15384615384615385</v>
      </c>
      <c r="D18" s="23">
        <v>0.154</v>
      </c>
      <c r="E18" s="1">
        <v>0.154</v>
      </c>
      <c r="F18" s="24">
        <v>0.154</v>
      </c>
      <c r="G18" s="4">
        <v>0.154</v>
      </c>
      <c r="H18" s="1">
        <v>0.154</v>
      </c>
      <c r="I18" s="25">
        <v>0.154</v>
      </c>
      <c r="J18" s="23">
        <v>0.154</v>
      </c>
      <c r="K18" s="1">
        <v>0.154</v>
      </c>
      <c r="L18" s="25">
        <v>0.154</v>
      </c>
      <c r="N18" s="22">
        <v>210</v>
      </c>
      <c r="O18" s="152">
        <f t="shared" si="2"/>
        <v>9.999999999999315E-4</v>
      </c>
      <c r="P18" s="152">
        <f t="shared" si="0"/>
        <v>9.999999999999315E-4</v>
      </c>
      <c r="Q18" s="153">
        <f t="shared" si="0"/>
        <v>9.999999999999315E-4</v>
      </c>
      <c r="R18" s="152">
        <f t="shared" si="0"/>
        <v>9.999999999999315E-4</v>
      </c>
      <c r="S18" s="152">
        <f t="shared" si="0"/>
        <v>9.999999999999315E-4</v>
      </c>
      <c r="T18" s="154">
        <f t="shared" si="0"/>
        <v>9.999999999999315E-4</v>
      </c>
      <c r="U18" s="155">
        <f t="shared" si="0"/>
        <v>9.999999999999315E-4</v>
      </c>
      <c r="V18" s="152">
        <f t="shared" si="0"/>
        <v>9.999999999999315E-4</v>
      </c>
      <c r="W18" s="152">
        <f t="shared" si="0"/>
        <v>9.999999999999315E-4</v>
      </c>
    </row>
    <row r="19" spans="2:23" x14ac:dyDescent="0.45">
      <c r="B19" s="50">
        <v>225</v>
      </c>
      <c r="C19" s="150">
        <f t="shared" si="1"/>
        <v>0.16483516483516483</v>
      </c>
      <c r="D19" s="23">
        <v>0.16500000000000001</v>
      </c>
      <c r="E19" s="1">
        <v>0.16500000000000001</v>
      </c>
      <c r="F19" s="24">
        <v>0.16400000000000001</v>
      </c>
      <c r="G19" s="4">
        <v>0.16500000000000001</v>
      </c>
      <c r="H19" s="1">
        <v>0.16400000000000001</v>
      </c>
      <c r="I19" s="25">
        <v>0.16500000000000001</v>
      </c>
      <c r="J19" s="23">
        <v>0.16500000000000001</v>
      </c>
      <c r="K19" s="1">
        <v>0.16500000000000001</v>
      </c>
      <c r="L19" s="25">
        <v>0.16500000000000001</v>
      </c>
      <c r="N19" s="22">
        <v>225</v>
      </c>
      <c r="O19" s="152">
        <f t="shared" si="2"/>
        <v>1.0000000000000638E-3</v>
      </c>
      <c r="P19" s="152">
        <f t="shared" si="0"/>
        <v>1.0000000000000638E-3</v>
      </c>
      <c r="Q19" s="153">
        <f t="shared" si="0"/>
        <v>-5.0666666666666083E-3</v>
      </c>
      <c r="R19" s="152">
        <f t="shared" si="0"/>
        <v>1.0000000000000638E-3</v>
      </c>
      <c r="S19" s="152">
        <f t="shared" si="0"/>
        <v>-5.0666666666666083E-3</v>
      </c>
      <c r="T19" s="154">
        <f t="shared" si="0"/>
        <v>1.0000000000000638E-3</v>
      </c>
      <c r="U19" s="155">
        <f t="shared" si="0"/>
        <v>1.0000000000000638E-3</v>
      </c>
      <c r="V19" s="152">
        <f t="shared" si="0"/>
        <v>1.0000000000000638E-3</v>
      </c>
      <c r="W19" s="152">
        <f t="shared" si="0"/>
        <v>1.0000000000000638E-3</v>
      </c>
    </row>
    <row r="20" spans="2:23" x14ac:dyDescent="0.45">
      <c r="B20" s="50">
        <v>240</v>
      </c>
      <c r="C20" s="150">
        <f t="shared" si="1"/>
        <v>0.17582417582417584</v>
      </c>
      <c r="D20" s="23">
        <v>0.17599999999999999</v>
      </c>
      <c r="E20" s="1">
        <v>0.17599999999999999</v>
      </c>
      <c r="F20" s="24">
        <v>0.17499999999999999</v>
      </c>
      <c r="G20" s="4">
        <v>0.17599999999999999</v>
      </c>
      <c r="H20" s="1">
        <v>0.17499999999999999</v>
      </c>
      <c r="I20" s="25">
        <v>0.17599999999999999</v>
      </c>
      <c r="J20" s="23">
        <v>0.17599999999999999</v>
      </c>
      <c r="K20" s="1">
        <v>0.17599999999999999</v>
      </c>
      <c r="L20" s="25">
        <v>0.17599999999999999</v>
      </c>
      <c r="N20" s="22">
        <v>240</v>
      </c>
      <c r="O20" s="152">
        <f t="shared" si="2"/>
        <v>9.9999999999986385E-4</v>
      </c>
      <c r="P20" s="152">
        <f t="shared" si="2"/>
        <v>9.9999999999986385E-4</v>
      </c>
      <c r="Q20" s="153">
        <f t="shared" si="2"/>
        <v>-4.6875000000001412E-3</v>
      </c>
      <c r="R20" s="152">
        <f t="shared" si="2"/>
        <v>9.9999999999986385E-4</v>
      </c>
      <c r="S20" s="152">
        <f t="shared" si="2"/>
        <v>-4.6875000000001412E-3</v>
      </c>
      <c r="T20" s="154">
        <f t="shared" si="2"/>
        <v>9.9999999999986385E-4</v>
      </c>
      <c r="U20" s="155">
        <f t="shared" si="2"/>
        <v>9.9999999999986385E-4</v>
      </c>
      <c r="V20" s="152">
        <f t="shared" si="2"/>
        <v>9.9999999999986385E-4</v>
      </c>
      <c r="W20" s="152">
        <f t="shared" si="2"/>
        <v>9.9999999999986385E-4</v>
      </c>
    </row>
    <row r="21" spans="2:23" x14ac:dyDescent="0.45">
      <c r="B21" s="50">
        <v>255</v>
      </c>
      <c r="C21" s="150">
        <f t="shared" si="1"/>
        <v>0.18681318681318682</v>
      </c>
      <c r="D21" s="23">
        <v>0.187</v>
      </c>
      <c r="E21" s="1">
        <v>0.187</v>
      </c>
      <c r="F21" s="24">
        <v>0.186</v>
      </c>
      <c r="G21" s="4">
        <v>0.187</v>
      </c>
      <c r="H21" s="1">
        <v>0.186</v>
      </c>
      <c r="I21" s="25">
        <v>0.187</v>
      </c>
      <c r="J21" s="23">
        <v>0.187</v>
      </c>
      <c r="K21" s="1">
        <v>0.187</v>
      </c>
      <c r="L21" s="25">
        <v>0.187</v>
      </c>
      <c r="N21" s="22">
        <v>255</v>
      </c>
      <c r="O21" s="152">
        <f t="shared" si="2"/>
        <v>9.9999999999998463E-4</v>
      </c>
      <c r="P21" s="152">
        <f t="shared" si="2"/>
        <v>9.9999999999998463E-4</v>
      </c>
      <c r="Q21" s="153">
        <f t="shared" si="2"/>
        <v>-4.352941176470608E-3</v>
      </c>
      <c r="R21" s="152">
        <f t="shared" si="2"/>
        <v>9.9999999999998463E-4</v>
      </c>
      <c r="S21" s="152">
        <f t="shared" si="2"/>
        <v>-4.352941176470608E-3</v>
      </c>
      <c r="T21" s="154">
        <f t="shared" si="2"/>
        <v>9.9999999999998463E-4</v>
      </c>
      <c r="U21" s="155">
        <f t="shared" si="2"/>
        <v>9.9999999999998463E-4</v>
      </c>
      <c r="V21" s="152">
        <f t="shared" si="2"/>
        <v>9.9999999999998463E-4</v>
      </c>
      <c r="W21" s="152">
        <f t="shared" si="2"/>
        <v>9.9999999999998463E-4</v>
      </c>
    </row>
    <row r="22" spans="2:23" x14ac:dyDescent="0.45">
      <c r="B22" s="50">
        <v>270</v>
      </c>
      <c r="C22" s="150">
        <f t="shared" si="1"/>
        <v>0.19780219780219779</v>
      </c>
      <c r="D22" s="23">
        <v>0.19800000000000001</v>
      </c>
      <c r="E22" s="1">
        <v>0.19800000000000001</v>
      </c>
      <c r="F22" s="24">
        <v>0.19700000000000001</v>
      </c>
      <c r="G22" s="4">
        <v>0.19800000000000001</v>
      </c>
      <c r="H22" s="1">
        <v>0.19700000000000001</v>
      </c>
      <c r="I22" s="25">
        <v>0.19800000000000001</v>
      </c>
      <c r="J22" s="23">
        <v>0.19800000000000001</v>
      </c>
      <c r="K22" s="1">
        <v>0.19800000000000001</v>
      </c>
      <c r="L22" s="25">
        <v>0.19800000000000001</v>
      </c>
      <c r="N22" s="22">
        <v>270</v>
      </c>
      <c r="O22" s="152">
        <f t="shared" si="2"/>
        <v>1.000000000000092E-3</v>
      </c>
      <c r="P22" s="152">
        <f t="shared" si="2"/>
        <v>1.000000000000092E-3</v>
      </c>
      <c r="Q22" s="153">
        <f t="shared" si="2"/>
        <v>-4.0555555555554686E-3</v>
      </c>
      <c r="R22" s="152">
        <f t="shared" si="2"/>
        <v>1.000000000000092E-3</v>
      </c>
      <c r="S22" s="152">
        <f t="shared" si="2"/>
        <v>-4.0555555555554686E-3</v>
      </c>
      <c r="T22" s="154">
        <f t="shared" si="2"/>
        <v>1.000000000000092E-3</v>
      </c>
      <c r="U22" s="155">
        <f t="shared" si="2"/>
        <v>1.000000000000092E-3</v>
      </c>
      <c r="V22" s="152">
        <f t="shared" si="2"/>
        <v>1.000000000000092E-3</v>
      </c>
      <c r="W22" s="152">
        <f t="shared" si="2"/>
        <v>1.000000000000092E-3</v>
      </c>
    </row>
    <row r="23" spans="2:23" x14ac:dyDescent="0.45">
      <c r="B23" s="50">
        <v>285</v>
      </c>
      <c r="C23" s="150">
        <f t="shared" si="1"/>
        <v>0.2087912087912088</v>
      </c>
      <c r="D23" s="23">
        <v>0.20899999999999999</v>
      </c>
      <c r="E23" s="1">
        <v>0.20899999999999999</v>
      </c>
      <c r="F23" s="24">
        <v>0.20799999999999999</v>
      </c>
      <c r="G23" s="4">
        <v>0.20899999999999999</v>
      </c>
      <c r="H23" s="1">
        <v>0.20799999999999999</v>
      </c>
      <c r="I23" s="25">
        <v>0.20899999999999999</v>
      </c>
      <c r="J23" s="23">
        <v>0.20899999999999999</v>
      </c>
      <c r="K23" s="1">
        <v>0.20899999999999999</v>
      </c>
      <c r="L23" s="25">
        <v>0.20899999999999999</v>
      </c>
      <c r="N23" s="22">
        <v>285</v>
      </c>
      <c r="O23" s="152">
        <f t="shared" si="2"/>
        <v>9.9999999999992196E-4</v>
      </c>
      <c r="P23" s="152">
        <f t="shared" si="2"/>
        <v>9.9999999999992196E-4</v>
      </c>
      <c r="Q23" s="153">
        <f t="shared" si="2"/>
        <v>-3.7894736842106085E-3</v>
      </c>
      <c r="R23" s="152">
        <f t="shared" si="2"/>
        <v>9.9999999999992196E-4</v>
      </c>
      <c r="S23" s="152">
        <f t="shared" si="2"/>
        <v>-3.7894736842106085E-3</v>
      </c>
      <c r="T23" s="154">
        <f t="shared" si="2"/>
        <v>9.9999999999992196E-4</v>
      </c>
      <c r="U23" s="155">
        <f t="shared" si="2"/>
        <v>9.9999999999992196E-4</v>
      </c>
      <c r="V23" s="152">
        <f t="shared" si="2"/>
        <v>9.9999999999992196E-4</v>
      </c>
      <c r="W23" s="152">
        <f t="shared" si="2"/>
        <v>9.9999999999992196E-4</v>
      </c>
    </row>
    <row r="24" spans="2:23" x14ac:dyDescent="0.45">
      <c r="B24" s="50">
        <v>300</v>
      </c>
      <c r="C24" s="150">
        <f t="shared" si="1"/>
        <v>0.21978021978021978</v>
      </c>
      <c r="D24" s="23">
        <v>0.22</v>
      </c>
      <c r="E24" s="1">
        <v>0.22</v>
      </c>
      <c r="F24" s="24">
        <v>0.219</v>
      </c>
      <c r="G24" s="4">
        <v>0.22</v>
      </c>
      <c r="H24" s="1">
        <v>0.219</v>
      </c>
      <c r="I24" s="25">
        <v>0.22</v>
      </c>
      <c r="J24" s="23">
        <v>0.22</v>
      </c>
      <c r="K24" s="1">
        <v>0.22</v>
      </c>
      <c r="L24" s="25">
        <v>0.22</v>
      </c>
      <c r="N24" s="22">
        <v>300</v>
      </c>
      <c r="O24" s="152">
        <f t="shared" si="2"/>
        <v>1.0000000000000217E-3</v>
      </c>
      <c r="P24" s="152">
        <f t="shared" si="2"/>
        <v>1.0000000000000217E-3</v>
      </c>
      <c r="Q24" s="153">
        <f t="shared" si="2"/>
        <v>-3.5499999999999824E-3</v>
      </c>
      <c r="R24" s="152">
        <f t="shared" si="2"/>
        <v>1.0000000000000217E-3</v>
      </c>
      <c r="S24" s="152">
        <f t="shared" si="2"/>
        <v>-3.5499999999999824E-3</v>
      </c>
      <c r="T24" s="154">
        <f t="shared" si="2"/>
        <v>1.0000000000000217E-3</v>
      </c>
      <c r="U24" s="155">
        <f t="shared" si="2"/>
        <v>1.0000000000000217E-3</v>
      </c>
      <c r="V24" s="152">
        <f t="shared" si="2"/>
        <v>1.0000000000000217E-3</v>
      </c>
      <c r="W24" s="152">
        <f t="shared" si="2"/>
        <v>1.0000000000000217E-3</v>
      </c>
    </row>
    <row r="25" spans="2:23" x14ac:dyDescent="0.45">
      <c r="B25" s="50">
        <v>315</v>
      </c>
      <c r="C25" s="150">
        <f t="shared" si="1"/>
        <v>0.23076923076923078</v>
      </c>
      <c r="D25" s="23">
        <v>0.23100000000000001</v>
      </c>
      <c r="E25" s="1">
        <v>0.23100000000000001</v>
      </c>
      <c r="F25" s="24">
        <v>0.23</v>
      </c>
      <c r="G25" s="4">
        <v>0.23100000000000001</v>
      </c>
      <c r="H25" s="1">
        <v>0.23</v>
      </c>
      <c r="I25" s="25">
        <v>0.23100000000000001</v>
      </c>
      <c r="J25" s="23">
        <v>0.23100000000000001</v>
      </c>
      <c r="K25" s="1">
        <v>0.23100000000000001</v>
      </c>
      <c r="L25" s="25">
        <v>0.23100000000000001</v>
      </c>
      <c r="N25" s="22">
        <v>315</v>
      </c>
      <c r="O25" s="152">
        <f t="shared" si="2"/>
        <v>9.9999999999999156E-4</v>
      </c>
      <c r="P25" s="152">
        <f t="shared" si="2"/>
        <v>9.9999999999999156E-4</v>
      </c>
      <c r="Q25" s="153">
        <f t="shared" si="2"/>
        <v>-3.3333333333333453E-3</v>
      </c>
      <c r="R25" s="152">
        <f t="shared" si="2"/>
        <v>9.9999999999999156E-4</v>
      </c>
      <c r="S25" s="152">
        <f t="shared" si="2"/>
        <v>-3.3333333333333453E-3</v>
      </c>
      <c r="T25" s="154">
        <f t="shared" si="2"/>
        <v>9.9999999999999156E-4</v>
      </c>
      <c r="U25" s="155">
        <f t="shared" si="2"/>
        <v>9.9999999999999156E-4</v>
      </c>
      <c r="V25" s="152">
        <f t="shared" si="2"/>
        <v>9.9999999999999156E-4</v>
      </c>
      <c r="W25" s="152">
        <f t="shared" si="2"/>
        <v>9.9999999999999156E-4</v>
      </c>
    </row>
    <row r="26" spans="2:23" x14ac:dyDescent="0.45">
      <c r="B26" s="50">
        <v>330</v>
      </c>
      <c r="C26" s="150">
        <f t="shared" si="1"/>
        <v>0.24175824175824176</v>
      </c>
      <c r="D26" s="23">
        <v>0.24199999999999999</v>
      </c>
      <c r="E26" s="1">
        <v>0.24199999999999999</v>
      </c>
      <c r="F26" s="24">
        <v>0.24099999999999999</v>
      </c>
      <c r="G26" s="4">
        <v>0.24199999999999999</v>
      </c>
      <c r="H26" s="1">
        <v>0.24099999999999999</v>
      </c>
      <c r="I26" s="25">
        <v>0.24199999999999999</v>
      </c>
      <c r="J26" s="23">
        <v>0.24199999999999999</v>
      </c>
      <c r="K26" s="1">
        <v>0.24199999999999999</v>
      </c>
      <c r="L26" s="25">
        <v>0.24199999999999999</v>
      </c>
      <c r="N26" s="22">
        <v>330</v>
      </c>
      <c r="O26" s="152">
        <f t="shared" si="2"/>
        <v>9.9999999999996424E-4</v>
      </c>
      <c r="P26" s="152">
        <f t="shared" si="2"/>
        <v>9.9999999999996424E-4</v>
      </c>
      <c r="Q26" s="153">
        <f t="shared" si="2"/>
        <v>-3.1363636363636758E-3</v>
      </c>
      <c r="R26" s="152">
        <f t="shared" si="2"/>
        <v>9.9999999999996424E-4</v>
      </c>
      <c r="S26" s="152">
        <f t="shared" si="2"/>
        <v>-3.1363636363636758E-3</v>
      </c>
      <c r="T26" s="154">
        <f t="shared" si="2"/>
        <v>9.9999999999996424E-4</v>
      </c>
      <c r="U26" s="155">
        <f t="shared" si="2"/>
        <v>9.9999999999996424E-4</v>
      </c>
      <c r="V26" s="152">
        <f t="shared" si="2"/>
        <v>9.9999999999996424E-4</v>
      </c>
      <c r="W26" s="152">
        <f t="shared" si="2"/>
        <v>9.9999999999996424E-4</v>
      </c>
    </row>
    <row r="27" spans="2:23" x14ac:dyDescent="0.45">
      <c r="B27" s="50">
        <v>345</v>
      </c>
      <c r="C27" s="150">
        <f t="shared" si="1"/>
        <v>0.25274725274725274</v>
      </c>
      <c r="D27" s="23">
        <v>0.253</v>
      </c>
      <c r="E27" s="1">
        <v>0.253</v>
      </c>
      <c r="F27" s="24">
        <v>0.252</v>
      </c>
      <c r="G27" s="4">
        <v>0.253</v>
      </c>
      <c r="H27" s="1">
        <v>0.252</v>
      </c>
      <c r="I27" s="25">
        <v>0.253</v>
      </c>
      <c r="J27" s="23">
        <v>0.253</v>
      </c>
      <c r="K27" s="1">
        <v>0.253</v>
      </c>
      <c r="L27" s="25">
        <v>0.253</v>
      </c>
      <c r="N27" s="22">
        <v>345</v>
      </c>
      <c r="O27" s="152">
        <f t="shared" si="2"/>
        <v>1.0000000000000492E-3</v>
      </c>
      <c r="P27" s="152">
        <f t="shared" si="2"/>
        <v>1.0000000000000492E-3</v>
      </c>
      <c r="Q27" s="153">
        <f t="shared" si="2"/>
        <v>-2.9565217391303894E-3</v>
      </c>
      <c r="R27" s="152">
        <f t="shared" si="2"/>
        <v>1.0000000000000492E-3</v>
      </c>
      <c r="S27" s="152">
        <f t="shared" si="2"/>
        <v>-2.9565217391303894E-3</v>
      </c>
      <c r="T27" s="154">
        <f t="shared" si="2"/>
        <v>1.0000000000000492E-3</v>
      </c>
      <c r="U27" s="155">
        <f t="shared" si="2"/>
        <v>1.0000000000000492E-3</v>
      </c>
      <c r="V27" s="152">
        <f t="shared" si="2"/>
        <v>1.0000000000000492E-3</v>
      </c>
      <c r="W27" s="152">
        <f t="shared" si="2"/>
        <v>1.0000000000000492E-3</v>
      </c>
    </row>
    <row r="28" spans="2:23" x14ac:dyDescent="0.45">
      <c r="B28" s="50">
        <v>360</v>
      </c>
      <c r="C28" s="150">
        <f t="shared" si="1"/>
        <v>0.26373626373626374</v>
      </c>
      <c r="D28" s="23">
        <v>0.26400000000000001</v>
      </c>
      <c r="E28" s="1">
        <v>0.26400000000000001</v>
      </c>
      <c r="F28" s="24">
        <v>0.26300000000000001</v>
      </c>
      <c r="G28" s="4">
        <v>0.26400000000000001</v>
      </c>
      <c r="H28" s="1">
        <v>0.26300000000000001</v>
      </c>
      <c r="I28" s="25">
        <v>0.26400000000000001</v>
      </c>
      <c r="J28" s="23">
        <v>0.26400000000000001</v>
      </c>
      <c r="K28" s="1">
        <v>0.26400000000000001</v>
      </c>
      <c r="L28" s="25">
        <v>0.26400000000000001</v>
      </c>
      <c r="N28" s="22">
        <v>360</v>
      </c>
      <c r="O28" s="152">
        <f t="shared" si="2"/>
        <v>1.0000000000000217E-3</v>
      </c>
      <c r="P28" s="152">
        <f t="shared" si="2"/>
        <v>1.0000000000000217E-3</v>
      </c>
      <c r="Q28" s="153">
        <f t="shared" si="2"/>
        <v>-2.7916666666666485E-3</v>
      </c>
      <c r="R28" s="152">
        <f t="shared" si="2"/>
        <v>1.0000000000000217E-3</v>
      </c>
      <c r="S28" s="152">
        <f t="shared" si="2"/>
        <v>-2.7916666666666485E-3</v>
      </c>
      <c r="T28" s="154">
        <f t="shared" si="2"/>
        <v>1.0000000000000217E-3</v>
      </c>
      <c r="U28" s="155">
        <f t="shared" si="2"/>
        <v>1.0000000000000217E-3</v>
      </c>
      <c r="V28" s="152">
        <f t="shared" si="2"/>
        <v>1.0000000000000217E-3</v>
      </c>
      <c r="W28" s="152">
        <f t="shared" si="2"/>
        <v>1.0000000000000217E-3</v>
      </c>
    </row>
    <row r="29" spans="2:23" x14ac:dyDescent="0.45">
      <c r="B29" s="50">
        <v>375</v>
      </c>
      <c r="C29" s="150">
        <f t="shared" si="1"/>
        <v>0.27472527472527475</v>
      </c>
      <c r="D29" s="23">
        <v>0.27400000000000002</v>
      </c>
      <c r="E29" s="1">
        <v>0.27500000000000002</v>
      </c>
      <c r="F29" s="24">
        <v>0.27400000000000002</v>
      </c>
      <c r="G29" s="4">
        <v>0.27400000000000002</v>
      </c>
      <c r="H29" s="1">
        <v>0.27400000000000002</v>
      </c>
      <c r="I29" s="25">
        <v>0.27500000000000002</v>
      </c>
      <c r="J29" s="23">
        <v>0.27500000000000002</v>
      </c>
      <c r="K29" s="1">
        <v>0.27500000000000002</v>
      </c>
      <c r="L29" s="25">
        <v>0.27500000000000002</v>
      </c>
      <c r="N29" s="22">
        <v>375</v>
      </c>
      <c r="O29" s="152">
        <f t="shared" si="2"/>
        <v>-2.6400000000000065E-3</v>
      </c>
      <c r="P29" s="152">
        <f t="shared" si="2"/>
        <v>9.9999999999999633E-4</v>
      </c>
      <c r="Q29" s="153">
        <f t="shared" si="2"/>
        <v>-2.6400000000000065E-3</v>
      </c>
      <c r="R29" s="152">
        <f t="shared" si="2"/>
        <v>-2.6400000000000065E-3</v>
      </c>
      <c r="S29" s="152">
        <f t="shared" si="2"/>
        <v>-2.6400000000000065E-3</v>
      </c>
      <c r="T29" s="154">
        <f t="shared" si="2"/>
        <v>9.9999999999999633E-4</v>
      </c>
      <c r="U29" s="155">
        <f t="shared" si="2"/>
        <v>9.9999999999999633E-4</v>
      </c>
      <c r="V29" s="152">
        <f t="shared" si="2"/>
        <v>9.9999999999999633E-4</v>
      </c>
      <c r="W29" s="152">
        <f t="shared" si="2"/>
        <v>9.9999999999999633E-4</v>
      </c>
    </row>
    <row r="30" spans="2:23" x14ac:dyDescent="0.45">
      <c r="B30" s="50">
        <v>390</v>
      </c>
      <c r="C30" s="150">
        <f t="shared" si="1"/>
        <v>0.2857142857142857</v>
      </c>
      <c r="D30" s="23">
        <v>0.28499999999999998</v>
      </c>
      <c r="E30" s="1">
        <v>0.28599999999999998</v>
      </c>
      <c r="F30" s="24">
        <v>0.28399999999999997</v>
      </c>
      <c r="G30" s="4">
        <v>0.28499999999999998</v>
      </c>
      <c r="H30" s="1">
        <v>0.28499999999999998</v>
      </c>
      <c r="I30" s="25">
        <v>0.28599999999999998</v>
      </c>
      <c r="J30" s="23">
        <v>0.28499999999999998</v>
      </c>
      <c r="K30" s="1">
        <v>0.28599999999999998</v>
      </c>
      <c r="L30" s="25">
        <v>0.28599999999999998</v>
      </c>
      <c r="N30" s="22">
        <v>390</v>
      </c>
      <c r="O30" s="152">
        <f t="shared" si="2"/>
        <v>-2.50000000000003E-3</v>
      </c>
      <c r="P30" s="152">
        <f t="shared" si="2"/>
        <v>9.9999999999997313E-4</v>
      </c>
      <c r="Q30" s="153">
        <f t="shared" si="2"/>
        <v>-6.0000000000000331E-3</v>
      </c>
      <c r="R30" s="152">
        <f t="shared" si="2"/>
        <v>-2.50000000000003E-3</v>
      </c>
      <c r="S30" s="152">
        <f t="shared" si="2"/>
        <v>-2.50000000000003E-3</v>
      </c>
      <c r="T30" s="154">
        <f t="shared" si="2"/>
        <v>9.9999999999997313E-4</v>
      </c>
      <c r="U30" s="155">
        <f t="shared" si="2"/>
        <v>-2.50000000000003E-3</v>
      </c>
      <c r="V30" s="152">
        <f t="shared" si="2"/>
        <v>9.9999999999997313E-4</v>
      </c>
      <c r="W30" s="152">
        <f t="shared" si="2"/>
        <v>9.9999999999997313E-4</v>
      </c>
    </row>
    <row r="31" spans="2:23" x14ac:dyDescent="0.45">
      <c r="B31" s="50">
        <v>405</v>
      </c>
      <c r="C31" s="150">
        <f t="shared" si="1"/>
        <v>0.2967032967032967</v>
      </c>
      <c r="D31" s="23">
        <v>0.29599999999999999</v>
      </c>
      <c r="E31" s="1">
        <v>0.29599999999999999</v>
      </c>
      <c r="F31" s="24">
        <v>0.29499999999999998</v>
      </c>
      <c r="G31" s="4">
        <v>0.29599999999999999</v>
      </c>
      <c r="H31" s="1">
        <v>0.29599999999999999</v>
      </c>
      <c r="I31" s="25">
        <v>0.29699999999999999</v>
      </c>
      <c r="J31" s="23">
        <v>0.29599999999999999</v>
      </c>
      <c r="K31" s="1">
        <v>0.29699999999999999</v>
      </c>
      <c r="L31" s="25">
        <v>0.29599999999999999</v>
      </c>
      <c r="N31" s="22">
        <v>405</v>
      </c>
      <c r="O31" s="152">
        <f t="shared" si="2"/>
        <v>-2.3703703703704219E-3</v>
      </c>
      <c r="P31" s="152">
        <f t="shared" si="2"/>
        <v>-2.3703703703704219E-3</v>
      </c>
      <c r="Q31" s="153">
        <f t="shared" si="2"/>
        <v>-5.7407407407407953E-3</v>
      </c>
      <c r="R31" s="152">
        <f t="shared" si="2"/>
        <v>-2.3703703703704219E-3</v>
      </c>
      <c r="S31" s="152">
        <f t="shared" si="2"/>
        <v>-2.3703703703704219E-3</v>
      </c>
      <c r="T31" s="154">
        <f t="shared" si="2"/>
        <v>9.9999999999995145E-4</v>
      </c>
      <c r="U31" s="155">
        <f t="shared" si="2"/>
        <v>-2.3703703703704219E-3</v>
      </c>
      <c r="V31" s="152">
        <f t="shared" si="2"/>
        <v>9.9999999999995145E-4</v>
      </c>
      <c r="W31" s="152">
        <f t="shared" si="2"/>
        <v>-2.3703703703704219E-3</v>
      </c>
    </row>
    <row r="32" spans="2:23" x14ac:dyDescent="0.45">
      <c r="B32" s="50">
        <v>420</v>
      </c>
      <c r="C32" s="150">
        <f t="shared" si="1"/>
        <v>0.30769230769230771</v>
      </c>
      <c r="D32" s="23">
        <v>0.307</v>
      </c>
      <c r="E32" s="1">
        <v>0.307</v>
      </c>
      <c r="F32" s="24">
        <v>0.30599999999999999</v>
      </c>
      <c r="G32" s="4">
        <v>0.307</v>
      </c>
      <c r="H32" s="1">
        <v>0.307</v>
      </c>
      <c r="I32" s="25">
        <v>0.308</v>
      </c>
      <c r="J32" s="23">
        <v>0.307</v>
      </c>
      <c r="K32" s="1">
        <v>0.308</v>
      </c>
      <c r="L32" s="25">
        <v>0.307</v>
      </c>
      <c r="N32" s="22">
        <v>420</v>
      </c>
      <c r="O32" s="152">
        <f t="shared" si="2"/>
        <v>-2.2500000000000714E-3</v>
      </c>
      <c r="P32" s="152">
        <f t="shared" si="2"/>
        <v>-2.2500000000000714E-3</v>
      </c>
      <c r="Q32" s="153">
        <f t="shared" si="2"/>
        <v>-5.5000000000000743E-3</v>
      </c>
      <c r="R32" s="152">
        <f t="shared" si="2"/>
        <v>-2.2500000000000714E-3</v>
      </c>
      <c r="S32" s="152">
        <f t="shared" si="2"/>
        <v>-2.2500000000000714E-3</v>
      </c>
      <c r="T32" s="154">
        <f t="shared" si="2"/>
        <v>9.999999999999315E-4</v>
      </c>
      <c r="U32" s="155">
        <f t="shared" si="2"/>
        <v>-2.2500000000000714E-3</v>
      </c>
      <c r="V32" s="152">
        <f t="shared" si="2"/>
        <v>9.999999999999315E-4</v>
      </c>
      <c r="W32" s="152">
        <f t="shared" si="2"/>
        <v>-2.2500000000000714E-3</v>
      </c>
    </row>
    <row r="33" spans="2:23" x14ac:dyDescent="0.45">
      <c r="B33" s="50">
        <v>435</v>
      </c>
      <c r="C33" s="150">
        <f t="shared" si="1"/>
        <v>0.31868131868131866</v>
      </c>
      <c r="D33" s="23">
        <v>0.318</v>
      </c>
      <c r="E33" s="1">
        <v>0.318</v>
      </c>
      <c r="F33" s="24">
        <v>0.317</v>
      </c>
      <c r="G33" s="4">
        <v>0.318</v>
      </c>
      <c r="H33" s="1">
        <v>0.318</v>
      </c>
      <c r="I33" s="25">
        <v>0.318</v>
      </c>
      <c r="J33" s="23">
        <v>0.318</v>
      </c>
      <c r="K33" s="1">
        <v>0.31900000000000001</v>
      </c>
      <c r="L33" s="25">
        <v>0.318</v>
      </c>
      <c r="N33" s="22">
        <v>435</v>
      </c>
      <c r="O33" s="152">
        <f t="shared" si="2"/>
        <v>-2.1379310344826746E-3</v>
      </c>
      <c r="P33" s="152">
        <f t="shared" si="2"/>
        <v>-2.1379310344826746E-3</v>
      </c>
      <c r="Q33" s="153">
        <f t="shared" si="2"/>
        <v>-5.2758620689654359E-3</v>
      </c>
      <c r="R33" s="152">
        <f t="shared" si="2"/>
        <v>-2.1379310344826746E-3</v>
      </c>
      <c r="S33" s="152">
        <f t="shared" si="2"/>
        <v>-2.1379310344826746E-3</v>
      </c>
      <c r="T33" s="154">
        <f t="shared" si="2"/>
        <v>-2.1379310344826746E-3</v>
      </c>
      <c r="U33" s="155">
        <f t="shared" si="2"/>
        <v>-2.1379310344826746E-3</v>
      </c>
      <c r="V33" s="152">
        <f t="shared" si="2"/>
        <v>1.0000000000000872E-3</v>
      </c>
      <c r="W33" s="152">
        <f t="shared" si="2"/>
        <v>-2.1379310344826746E-3</v>
      </c>
    </row>
    <row r="34" spans="2:23" x14ac:dyDescent="0.45">
      <c r="B34" s="50">
        <v>450</v>
      </c>
      <c r="C34" s="150">
        <f t="shared" si="1"/>
        <v>0.32967032967032966</v>
      </c>
      <c r="D34" s="23">
        <v>0.32900000000000001</v>
      </c>
      <c r="E34" s="1">
        <v>0.32900000000000001</v>
      </c>
      <c r="F34" s="24">
        <v>0.32800000000000001</v>
      </c>
      <c r="G34" s="4">
        <v>0.32900000000000001</v>
      </c>
      <c r="H34" s="1">
        <v>0.32900000000000001</v>
      </c>
      <c r="I34" s="25">
        <v>0.33</v>
      </c>
      <c r="J34" s="23">
        <v>0.32900000000000001</v>
      </c>
      <c r="K34" s="1">
        <v>0.32900000000000001</v>
      </c>
      <c r="L34" s="25">
        <v>0.32900000000000001</v>
      </c>
      <c r="N34" s="22">
        <v>450</v>
      </c>
      <c r="O34" s="152">
        <f t="shared" si="2"/>
        <v>-2.0333333333332725E-3</v>
      </c>
      <c r="P34" s="152">
        <f t="shared" si="2"/>
        <v>-2.0333333333332725E-3</v>
      </c>
      <c r="Q34" s="153">
        <f t="shared" si="2"/>
        <v>-5.0666666666666083E-3</v>
      </c>
      <c r="R34" s="152">
        <f t="shared" si="2"/>
        <v>-2.0333333333332725E-3</v>
      </c>
      <c r="S34" s="152">
        <f t="shared" si="2"/>
        <v>-2.0333333333332725E-3</v>
      </c>
      <c r="T34" s="154">
        <f t="shared" si="2"/>
        <v>1.0000000000000638E-3</v>
      </c>
      <c r="U34" s="155">
        <f t="shared" si="2"/>
        <v>-2.0333333333332725E-3</v>
      </c>
      <c r="V34" s="152">
        <f t="shared" si="2"/>
        <v>-2.0333333333332725E-3</v>
      </c>
      <c r="W34" s="152">
        <f t="shared" si="2"/>
        <v>-2.0333333333332725E-3</v>
      </c>
    </row>
    <row r="35" spans="2:23" x14ac:dyDescent="0.45">
      <c r="B35" s="50">
        <v>465</v>
      </c>
      <c r="C35" s="150">
        <f t="shared" si="1"/>
        <v>0.34065934065934067</v>
      </c>
      <c r="D35" s="23">
        <v>0.34</v>
      </c>
      <c r="E35" s="1">
        <v>0.34</v>
      </c>
      <c r="F35" s="24">
        <v>0.33900000000000002</v>
      </c>
      <c r="G35" s="4">
        <v>0.34</v>
      </c>
      <c r="H35" s="1">
        <v>0.34</v>
      </c>
      <c r="I35" s="25">
        <v>0.34100000000000003</v>
      </c>
      <c r="J35" s="23">
        <v>0.34</v>
      </c>
      <c r="K35" s="1">
        <v>0.34100000000000003</v>
      </c>
      <c r="L35" s="25">
        <v>0.34</v>
      </c>
      <c r="N35" s="22">
        <v>465</v>
      </c>
      <c r="O35" s="152">
        <f t="shared" si="2"/>
        <v>-1.9354838709677025E-3</v>
      </c>
      <c r="P35" s="152">
        <f t="shared" si="2"/>
        <v>-1.9354838709677025E-3</v>
      </c>
      <c r="Q35" s="153">
        <f t="shared" si="2"/>
        <v>-4.8709677419354466E-3</v>
      </c>
      <c r="R35" s="152">
        <f t="shared" si="2"/>
        <v>-1.9354838709677025E-3</v>
      </c>
      <c r="S35" s="152">
        <f t="shared" si="2"/>
        <v>-1.9354838709677025E-3</v>
      </c>
      <c r="T35" s="154">
        <f t="shared" si="2"/>
        <v>1.0000000000000421E-3</v>
      </c>
      <c r="U35" s="155">
        <f t="shared" si="2"/>
        <v>-1.9354838709677025E-3</v>
      </c>
      <c r="V35" s="152">
        <f t="shared" si="2"/>
        <v>1.0000000000000421E-3</v>
      </c>
      <c r="W35" s="152">
        <f t="shared" si="2"/>
        <v>-1.9354838709677025E-3</v>
      </c>
    </row>
    <row r="36" spans="2:23" x14ac:dyDescent="0.45">
      <c r="B36" s="50">
        <v>480</v>
      </c>
      <c r="C36" s="150">
        <f t="shared" si="1"/>
        <v>0.35164835164835168</v>
      </c>
      <c r="D36" s="23">
        <v>0.35099999999999998</v>
      </c>
      <c r="E36" s="1">
        <v>0.35099999999999998</v>
      </c>
      <c r="F36" s="24">
        <v>0.35</v>
      </c>
      <c r="G36" s="4">
        <v>0.35099999999999998</v>
      </c>
      <c r="H36" s="1">
        <v>0.35099999999999998</v>
      </c>
      <c r="I36" s="25">
        <v>0.35099999999999998</v>
      </c>
      <c r="J36" s="23">
        <v>0.35099999999999998</v>
      </c>
      <c r="K36" s="1">
        <v>0.35199999999999998</v>
      </c>
      <c r="L36" s="25">
        <v>0.35099999999999998</v>
      </c>
      <c r="N36" s="22">
        <v>480</v>
      </c>
      <c r="O36" s="152">
        <f t="shared" si="2"/>
        <v>-1.8437500000001385E-3</v>
      </c>
      <c r="P36" s="152">
        <f t="shared" si="2"/>
        <v>-1.8437500000001385E-3</v>
      </c>
      <c r="Q36" s="153">
        <f t="shared" si="2"/>
        <v>-4.6875000000001412E-3</v>
      </c>
      <c r="R36" s="152">
        <f t="shared" si="2"/>
        <v>-1.8437500000001385E-3</v>
      </c>
      <c r="S36" s="152">
        <f t="shared" si="2"/>
        <v>-1.8437500000001385E-3</v>
      </c>
      <c r="T36" s="154">
        <f t="shared" si="2"/>
        <v>-1.8437500000001385E-3</v>
      </c>
      <c r="U36" s="155">
        <f t="shared" si="2"/>
        <v>-1.8437500000001385E-3</v>
      </c>
      <c r="V36" s="152">
        <f t="shared" si="2"/>
        <v>9.9999999999986385E-4</v>
      </c>
      <c r="W36" s="152">
        <f t="shared" si="2"/>
        <v>-1.8437500000001385E-3</v>
      </c>
    </row>
    <row r="37" spans="2:23" x14ac:dyDescent="0.45">
      <c r="B37" s="50">
        <v>495</v>
      </c>
      <c r="C37" s="150">
        <f t="shared" si="1"/>
        <v>0.36263736263736263</v>
      </c>
      <c r="D37" s="23">
        <v>0.36199999999999999</v>
      </c>
      <c r="E37" s="1">
        <v>0.36199999999999999</v>
      </c>
      <c r="F37" s="24">
        <v>0.36099999999999999</v>
      </c>
      <c r="G37" s="4">
        <v>0.36199999999999999</v>
      </c>
      <c r="H37" s="1">
        <v>0.36099999999999999</v>
      </c>
      <c r="I37" s="25">
        <v>0.36199999999999999</v>
      </c>
      <c r="J37" s="23">
        <v>0.36199999999999999</v>
      </c>
      <c r="K37" s="1">
        <v>0.36199999999999999</v>
      </c>
      <c r="L37" s="25">
        <v>0.36199999999999999</v>
      </c>
      <c r="N37" s="22">
        <v>495</v>
      </c>
      <c r="O37" s="152">
        <f t="shared" si="2"/>
        <v>-1.7575757575757575E-3</v>
      </c>
      <c r="P37" s="152">
        <f t="shared" si="2"/>
        <v>-1.7575757575757575E-3</v>
      </c>
      <c r="Q37" s="153">
        <f t="shared" si="2"/>
        <v>-4.515151515151518E-3</v>
      </c>
      <c r="R37" s="152">
        <f t="shared" si="2"/>
        <v>-1.7575757575757575E-3</v>
      </c>
      <c r="S37" s="152">
        <f t="shared" si="2"/>
        <v>-4.515151515151518E-3</v>
      </c>
      <c r="T37" s="154">
        <f t="shared" si="2"/>
        <v>-1.7575757575757575E-3</v>
      </c>
      <c r="U37" s="155">
        <f t="shared" si="2"/>
        <v>-1.7575757575757575E-3</v>
      </c>
      <c r="V37" s="152">
        <f t="shared" si="2"/>
        <v>-1.7575757575757575E-3</v>
      </c>
      <c r="W37" s="152">
        <f t="shared" si="2"/>
        <v>-1.7575757575757575E-3</v>
      </c>
    </row>
    <row r="38" spans="2:23" x14ac:dyDescent="0.45">
      <c r="B38" s="50">
        <v>510</v>
      </c>
      <c r="C38" s="150">
        <f t="shared" si="1"/>
        <v>0.37362637362637363</v>
      </c>
      <c r="D38" s="23">
        <v>0.373</v>
      </c>
      <c r="E38" s="1">
        <v>0.373</v>
      </c>
      <c r="F38" s="24">
        <v>0.372</v>
      </c>
      <c r="G38" s="4">
        <v>0.373</v>
      </c>
      <c r="H38" s="1">
        <v>0.372</v>
      </c>
      <c r="I38" s="25">
        <v>0.373</v>
      </c>
      <c r="J38" s="23">
        <v>0.373</v>
      </c>
      <c r="K38" s="1">
        <v>0.373</v>
      </c>
      <c r="L38" s="25">
        <v>0.373</v>
      </c>
      <c r="N38" s="22">
        <v>510</v>
      </c>
      <c r="O38" s="152">
        <f t="shared" si="2"/>
        <v>-1.6764705882353118E-3</v>
      </c>
      <c r="P38" s="152">
        <f t="shared" si="2"/>
        <v>-1.6764705882353118E-3</v>
      </c>
      <c r="Q38" s="153">
        <f t="shared" si="2"/>
        <v>-4.352941176470608E-3</v>
      </c>
      <c r="R38" s="152">
        <f t="shared" si="2"/>
        <v>-1.6764705882353118E-3</v>
      </c>
      <c r="S38" s="152">
        <f t="shared" si="2"/>
        <v>-4.352941176470608E-3</v>
      </c>
      <c r="T38" s="154">
        <f t="shared" si="2"/>
        <v>-1.6764705882353118E-3</v>
      </c>
      <c r="U38" s="155">
        <f t="shared" si="2"/>
        <v>-1.6764705882353118E-3</v>
      </c>
      <c r="V38" s="152">
        <f t="shared" si="2"/>
        <v>-1.6764705882353118E-3</v>
      </c>
      <c r="W38" s="152">
        <f t="shared" si="2"/>
        <v>-1.6764705882353118E-3</v>
      </c>
    </row>
    <row r="39" spans="2:23" x14ac:dyDescent="0.45">
      <c r="B39" s="50">
        <v>525</v>
      </c>
      <c r="C39" s="150">
        <f t="shared" si="1"/>
        <v>0.38461538461538464</v>
      </c>
      <c r="D39" s="23">
        <v>0.38400000000000001</v>
      </c>
      <c r="E39" s="1">
        <v>0.38400000000000001</v>
      </c>
      <c r="F39" s="24">
        <v>0.38300000000000001</v>
      </c>
      <c r="G39" s="4">
        <v>0.38400000000000001</v>
      </c>
      <c r="H39" s="1">
        <v>0.38300000000000001</v>
      </c>
      <c r="I39" s="25">
        <v>0.38400000000000001</v>
      </c>
      <c r="J39" s="23">
        <v>0.38400000000000001</v>
      </c>
      <c r="K39" s="1">
        <v>0.38500000000000001</v>
      </c>
      <c r="L39" s="25">
        <v>0.38400000000000001</v>
      </c>
      <c r="N39" s="22">
        <v>525</v>
      </c>
      <c r="O39" s="152">
        <f t="shared" si="2"/>
        <v>-1.6000000000000346E-3</v>
      </c>
      <c r="P39" s="152">
        <f t="shared" si="2"/>
        <v>-1.6000000000000346E-3</v>
      </c>
      <c r="Q39" s="153">
        <f t="shared" si="2"/>
        <v>-4.200000000000037E-3</v>
      </c>
      <c r="R39" s="152">
        <f t="shared" si="2"/>
        <v>-1.6000000000000346E-3</v>
      </c>
      <c r="S39" s="152">
        <f t="shared" si="2"/>
        <v>-4.200000000000037E-3</v>
      </c>
      <c r="T39" s="154">
        <f t="shared" si="2"/>
        <v>-1.6000000000000346E-3</v>
      </c>
      <c r="U39" s="155">
        <f t="shared" si="2"/>
        <v>-1.6000000000000346E-3</v>
      </c>
      <c r="V39" s="152">
        <f t="shared" si="2"/>
        <v>9.9999999999996749E-4</v>
      </c>
      <c r="W39" s="152">
        <f t="shared" si="2"/>
        <v>-1.6000000000000346E-3</v>
      </c>
    </row>
    <row r="40" spans="2:23" x14ac:dyDescent="0.45">
      <c r="B40" s="50">
        <v>540</v>
      </c>
      <c r="C40" s="150">
        <f t="shared" si="1"/>
        <v>0.39560439560439559</v>
      </c>
      <c r="D40" s="23">
        <v>0.39500000000000002</v>
      </c>
      <c r="E40" s="1">
        <v>0.39500000000000002</v>
      </c>
      <c r="F40" s="24">
        <v>0.39400000000000002</v>
      </c>
      <c r="G40" s="4">
        <v>0.39500000000000002</v>
      </c>
      <c r="H40" s="1">
        <v>0.39400000000000002</v>
      </c>
      <c r="I40" s="25">
        <v>0.39500000000000002</v>
      </c>
      <c r="J40" s="23">
        <v>0.39500000000000002</v>
      </c>
      <c r="K40" s="1">
        <v>0.39600000000000002</v>
      </c>
      <c r="L40" s="25">
        <v>0.39500000000000002</v>
      </c>
      <c r="N40" s="22">
        <v>540</v>
      </c>
      <c r="O40" s="152">
        <f t="shared" si="2"/>
        <v>-1.5277777777776883E-3</v>
      </c>
      <c r="P40" s="152">
        <f t="shared" si="2"/>
        <v>-1.5277777777776883E-3</v>
      </c>
      <c r="Q40" s="153">
        <f t="shared" si="2"/>
        <v>-4.0555555555554686E-3</v>
      </c>
      <c r="R40" s="152">
        <f t="shared" si="2"/>
        <v>-1.5277777777776883E-3</v>
      </c>
      <c r="S40" s="152">
        <f t="shared" si="2"/>
        <v>-4.0555555555554686E-3</v>
      </c>
      <c r="T40" s="154">
        <f t="shared" si="2"/>
        <v>-1.5277777777776883E-3</v>
      </c>
      <c r="U40" s="155">
        <f t="shared" si="2"/>
        <v>-1.5277777777776883E-3</v>
      </c>
      <c r="V40" s="152">
        <f t="shared" si="2"/>
        <v>1.000000000000092E-3</v>
      </c>
      <c r="W40" s="152">
        <f t="shared" si="2"/>
        <v>-1.5277777777776883E-3</v>
      </c>
    </row>
    <row r="41" spans="2:23" x14ac:dyDescent="0.45">
      <c r="B41" s="50">
        <v>555</v>
      </c>
      <c r="C41" s="150">
        <f t="shared" si="1"/>
        <v>0.40659340659340659</v>
      </c>
      <c r="D41" s="23">
        <v>0.40600000000000003</v>
      </c>
      <c r="E41" s="1">
        <v>0.40600000000000003</v>
      </c>
      <c r="F41" s="24">
        <v>0.40500000000000003</v>
      </c>
      <c r="G41" s="4">
        <v>0.40600000000000003</v>
      </c>
      <c r="H41" s="1">
        <v>0.40500000000000003</v>
      </c>
      <c r="I41" s="25">
        <v>0.40600000000000003</v>
      </c>
      <c r="J41" s="23">
        <v>0.40600000000000003</v>
      </c>
      <c r="K41" s="1">
        <v>0.40699999999999997</v>
      </c>
      <c r="L41" s="25">
        <v>0.40600000000000003</v>
      </c>
      <c r="N41" s="22">
        <v>555</v>
      </c>
      <c r="O41" s="152">
        <f t="shared" si="2"/>
        <v>-1.4594594594593887E-3</v>
      </c>
      <c r="P41" s="152">
        <f t="shared" si="2"/>
        <v>-1.4594594594593887E-3</v>
      </c>
      <c r="Q41" s="153">
        <f t="shared" si="2"/>
        <v>-3.9189189189188503E-3</v>
      </c>
      <c r="R41" s="152">
        <f t="shared" si="2"/>
        <v>-1.4594594594593887E-3</v>
      </c>
      <c r="S41" s="152">
        <f t="shared" si="2"/>
        <v>-3.9189189189188503E-3</v>
      </c>
      <c r="T41" s="154">
        <f t="shared" si="2"/>
        <v>-1.4594594594593887E-3</v>
      </c>
      <c r="U41" s="155">
        <f t="shared" si="2"/>
        <v>-1.4594594594593887E-3</v>
      </c>
      <c r="V41" s="152">
        <f t="shared" si="2"/>
        <v>9.9999999999993649E-4</v>
      </c>
      <c r="W41" s="152">
        <f t="shared" si="2"/>
        <v>-1.4594594594593887E-3</v>
      </c>
    </row>
    <row r="42" spans="2:23" x14ac:dyDescent="0.45">
      <c r="B42" s="50">
        <v>570</v>
      </c>
      <c r="C42" s="150">
        <f t="shared" si="1"/>
        <v>0.4175824175824176</v>
      </c>
      <c r="D42" s="23">
        <v>0.41699999999999998</v>
      </c>
      <c r="E42" s="1">
        <v>0.41699999999999998</v>
      </c>
      <c r="F42" s="24">
        <v>0.41499999999999998</v>
      </c>
      <c r="G42" s="4">
        <v>0.41699999999999998</v>
      </c>
      <c r="H42" s="1">
        <v>0.41599999999999998</v>
      </c>
      <c r="I42" s="25">
        <v>0.41699999999999998</v>
      </c>
      <c r="J42" s="23">
        <v>0.41699999999999998</v>
      </c>
      <c r="K42" s="1">
        <v>0.41699999999999998</v>
      </c>
      <c r="L42" s="25">
        <v>0.41699999999999998</v>
      </c>
      <c r="N42" s="22">
        <v>570</v>
      </c>
      <c r="O42" s="152">
        <f t="shared" si="2"/>
        <v>-1.3947368421053433E-3</v>
      </c>
      <c r="P42" s="152">
        <f t="shared" si="2"/>
        <v>-1.3947368421053433E-3</v>
      </c>
      <c r="Q42" s="153">
        <f t="shared" si="2"/>
        <v>-6.1842105263158736E-3</v>
      </c>
      <c r="R42" s="152">
        <f t="shared" si="2"/>
        <v>-1.3947368421053433E-3</v>
      </c>
      <c r="S42" s="152">
        <f t="shared" si="2"/>
        <v>-3.7894736842106085E-3</v>
      </c>
      <c r="T42" s="154">
        <f t="shared" si="2"/>
        <v>-1.3947368421053433E-3</v>
      </c>
      <c r="U42" s="155">
        <f t="shared" si="2"/>
        <v>-1.3947368421053433E-3</v>
      </c>
      <c r="V42" s="152">
        <f t="shared" si="2"/>
        <v>-1.3947368421053433E-3</v>
      </c>
      <c r="W42" s="152">
        <f t="shared" si="2"/>
        <v>-1.3947368421053433E-3</v>
      </c>
    </row>
    <row r="43" spans="2:23" x14ac:dyDescent="0.45">
      <c r="B43" s="50">
        <v>585</v>
      </c>
      <c r="C43" s="150">
        <f t="shared" si="1"/>
        <v>0.42857142857142855</v>
      </c>
      <c r="D43" s="23">
        <v>0.42799999999999999</v>
      </c>
      <c r="E43" s="1">
        <v>0.42799999999999999</v>
      </c>
      <c r="F43" s="24">
        <v>0.42599999999999999</v>
      </c>
      <c r="G43" s="4">
        <v>0.42799999999999999</v>
      </c>
      <c r="H43" s="1">
        <v>0.42699999999999999</v>
      </c>
      <c r="I43" s="25">
        <v>0.42799999999999999</v>
      </c>
      <c r="J43" s="23">
        <v>0.42799999999999999</v>
      </c>
      <c r="K43" s="1">
        <v>0.42799999999999999</v>
      </c>
      <c r="L43" s="25">
        <v>0.42799999999999999</v>
      </c>
      <c r="N43" s="22">
        <v>585</v>
      </c>
      <c r="O43" s="152">
        <f t="shared" si="2"/>
        <v>-1.3333333333332975E-3</v>
      </c>
      <c r="P43" s="152">
        <f t="shared" si="2"/>
        <v>-1.3333333333332975E-3</v>
      </c>
      <c r="Q43" s="153">
        <f t="shared" si="2"/>
        <v>-5.9999999999999689E-3</v>
      </c>
      <c r="R43" s="152">
        <f t="shared" si="2"/>
        <v>-1.3333333333332975E-3</v>
      </c>
      <c r="S43" s="152">
        <f t="shared" si="2"/>
        <v>-3.6666666666666332E-3</v>
      </c>
      <c r="T43" s="154">
        <f t="shared" si="2"/>
        <v>-1.3333333333332975E-3</v>
      </c>
      <c r="U43" s="155">
        <f t="shared" si="2"/>
        <v>-1.3333333333332975E-3</v>
      </c>
      <c r="V43" s="152">
        <f t="shared" si="2"/>
        <v>-1.3333333333332975E-3</v>
      </c>
      <c r="W43" s="152">
        <f t="shared" si="2"/>
        <v>-1.3333333333332975E-3</v>
      </c>
    </row>
    <row r="44" spans="2:23" x14ac:dyDescent="0.45">
      <c r="B44" s="50">
        <v>600</v>
      </c>
      <c r="C44" s="150">
        <f t="shared" si="1"/>
        <v>0.43956043956043955</v>
      </c>
      <c r="D44" s="23">
        <v>0.439</v>
      </c>
      <c r="E44" s="1">
        <v>0.439</v>
      </c>
      <c r="F44" s="24">
        <v>0.437</v>
      </c>
      <c r="G44" s="4">
        <v>0.439</v>
      </c>
      <c r="H44" s="1">
        <v>0.438</v>
      </c>
      <c r="I44" s="25">
        <v>0.439</v>
      </c>
      <c r="J44" s="23">
        <v>0.439</v>
      </c>
      <c r="K44" s="1">
        <v>0.439</v>
      </c>
      <c r="L44" s="25">
        <v>0.439</v>
      </c>
      <c r="N44" s="22">
        <v>600</v>
      </c>
      <c r="O44" s="152">
        <f t="shared" si="2"/>
        <v>-1.2749999999999804E-3</v>
      </c>
      <c r="P44" s="152">
        <f t="shared" si="2"/>
        <v>-1.2749999999999804E-3</v>
      </c>
      <c r="Q44" s="153">
        <f t="shared" si="2"/>
        <v>-5.8249999999999847E-3</v>
      </c>
      <c r="R44" s="152">
        <f t="shared" si="2"/>
        <v>-1.2749999999999804E-3</v>
      </c>
      <c r="S44" s="152">
        <f t="shared" si="2"/>
        <v>-3.5499999999999824E-3</v>
      </c>
      <c r="T44" s="154">
        <f t="shared" si="2"/>
        <v>-1.2749999999999804E-3</v>
      </c>
      <c r="U44" s="155">
        <f t="shared" si="2"/>
        <v>-1.2749999999999804E-3</v>
      </c>
      <c r="V44" s="152">
        <f t="shared" si="2"/>
        <v>-1.2749999999999804E-3</v>
      </c>
      <c r="W44" s="152">
        <f t="shared" si="2"/>
        <v>-1.2749999999999804E-3</v>
      </c>
    </row>
    <row r="45" spans="2:23" x14ac:dyDescent="0.45">
      <c r="B45" s="50">
        <v>615</v>
      </c>
      <c r="C45" s="150">
        <f t="shared" si="1"/>
        <v>0.45054945054945056</v>
      </c>
      <c r="D45" s="23">
        <v>0.45</v>
      </c>
      <c r="E45" s="1">
        <v>0.45</v>
      </c>
      <c r="F45" s="24">
        <v>0.44800000000000001</v>
      </c>
      <c r="G45" s="4">
        <v>0.45</v>
      </c>
      <c r="H45" s="1">
        <v>0.44900000000000001</v>
      </c>
      <c r="I45" s="25">
        <v>0.45</v>
      </c>
      <c r="J45" s="23">
        <v>0.45</v>
      </c>
      <c r="K45" s="1">
        <v>0.45</v>
      </c>
      <c r="L45" s="25">
        <v>0.45</v>
      </c>
      <c r="N45" s="22">
        <v>615</v>
      </c>
      <c r="O45" s="152">
        <f t="shared" si="2"/>
        <v>-1.2195121951219469E-3</v>
      </c>
      <c r="P45" s="152">
        <f t="shared" si="2"/>
        <v>-1.2195121951219469E-3</v>
      </c>
      <c r="Q45" s="153">
        <f t="shared" si="2"/>
        <v>-5.6585365853658535E-3</v>
      </c>
      <c r="R45" s="152">
        <f t="shared" si="2"/>
        <v>-1.2195121951219469E-3</v>
      </c>
      <c r="S45" s="152">
        <f t="shared" si="2"/>
        <v>-3.4390243902438999E-3</v>
      </c>
      <c r="T45" s="154">
        <f t="shared" si="2"/>
        <v>-1.2195121951219469E-3</v>
      </c>
      <c r="U45" s="155">
        <f t="shared" si="2"/>
        <v>-1.2195121951219469E-3</v>
      </c>
      <c r="V45" s="152">
        <f t="shared" si="2"/>
        <v>-1.2195121951219469E-3</v>
      </c>
      <c r="W45" s="152">
        <f t="shared" si="2"/>
        <v>-1.2195121951219469E-3</v>
      </c>
    </row>
    <row r="46" spans="2:23" x14ac:dyDescent="0.45">
      <c r="B46" s="50">
        <v>630</v>
      </c>
      <c r="C46" s="150">
        <f t="shared" si="1"/>
        <v>0.46153846153846156</v>
      </c>
      <c r="D46" s="23">
        <v>0.46</v>
      </c>
      <c r="E46" s="1">
        <v>0.46</v>
      </c>
      <c r="F46" s="24">
        <v>0.45900000000000002</v>
      </c>
      <c r="G46" s="4">
        <v>0.46100000000000002</v>
      </c>
      <c r="H46" s="1">
        <v>0.46</v>
      </c>
      <c r="I46" s="25">
        <v>0.46100000000000002</v>
      </c>
      <c r="J46" s="23">
        <v>0.46100000000000002</v>
      </c>
      <c r="K46" s="1">
        <v>0.46100000000000002</v>
      </c>
      <c r="L46" s="25">
        <v>0.46100000000000002</v>
      </c>
      <c r="N46" s="22">
        <v>630</v>
      </c>
      <c r="O46" s="152">
        <f t="shared" si="2"/>
        <v>-3.3333333333333453E-3</v>
      </c>
      <c r="P46" s="152">
        <f t="shared" si="2"/>
        <v>-3.3333333333333453E-3</v>
      </c>
      <c r="Q46" s="153">
        <f t="shared" si="2"/>
        <v>-5.5000000000000136E-3</v>
      </c>
      <c r="R46" s="152">
        <f t="shared" si="2"/>
        <v>-1.166666666666677E-3</v>
      </c>
      <c r="S46" s="152">
        <f t="shared" si="2"/>
        <v>-3.3333333333333453E-3</v>
      </c>
      <c r="T46" s="154">
        <f t="shared" si="2"/>
        <v>-1.166666666666677E-3</v>
      </c>
      <c r="U46" s="155">
        <f t="shared" ref="U46:W109" si="3">(J46-$C46)/$C46</f>
        <v>-1.166666666666677E-3</v>
      </c>
      <c r="V46" s="152">
        <f t="shared" si="3"/>
        <v>-1.166666666666677E-3</v>
      </c>
      <c r="W46" s="152">
        <f t="shared" si="3"/>
        <v>-1.166666666666677E-3</v>
      </c>
    </row>
    <row r="47" spans="2:23" x14ac:dyDescent="0.45">
      <c r="B47" s="50">
        <v>645</v>
      </c>
      <c r="C47" s="150">
        <f t="shared" si="1"/>
        <v>0.47252747252747251</v>
      </c>
      <c r="D47" s="23">
        <v>0.47099999999999997</v>
      </c>
      <c r="E47" s="1">
        <v>0.47099999999999997</v>
      </c>
      <c r="F47" s="24">
        <v>0.47</v>
      </c>
      <c r="G47" s="4">
        <v>0.47199999999999998</v>
      </c>
      <c r="H47" s="1">
        <v>0.47099999999999997</v>
      </c>
      <c r="I47" s="25">
        <v>0.47199999999999998</v>
      </c>
      <c r="J47" s="23">
        <v>0.47199999999999998</v>
      </c>
      <c r="K47" s="1">
        <v>0.47199999999999998</v>
      </c>
      <c r="L47" s="25">
        <v>0.47199999999999998</v>
      </c>
      <c r="N47" s="22">
        <v>645</v>
      </c>
      <c r="O47" s="152">
        <f t="shared" ref="O47:T89" si="4">(D47-$C47)/$C47</f>
        <v>-3.2325581395349101E-3</v>
      </c>
      <c r="P47" s="152">
        <f t="shared" si="4"/>
        <v>-3.2325581395349101E-3</v>
      </c>
      <c r="Q47" s="153">
        <f t="shared" si="4"/>
        <v>-5.3488372093023536E-3</v>
      </c>
      <c r="R47" s="152">
        <f t="shared" si="4"/>
        <v>-1.1162790697674661E-3</v>
      </c>
      <c r="S47" s="152">
        <f t="shared" si="4"/>
        <v>-3.2325581395349101E-3</v>
      </c>
      <c r="T47" s="154">
        <f t="shared" si="4"/>
        <v>-1.1162790697674661E-3</v>
      </c>
      <c r="U47" s="155">
        <f t="shared" si="3"/>
        <v>-1.1162790697674661E-3</v>
      </c>
      <c r="V47" s="152">
        <f t="shared" si="3"/>
        <v>-1.1162790697674661E-3</v>
      </c>
      <c r="W47" s="152">
        <f t="shared" si="3"/>
        <v>-1.1162790697674661E-3</v>
      </c>
    </row>
    <row r="48" spans="2:23" x14ac:dyDescent="0.45">
      <c r="B48" s="50">
        <v>660</v>
      </c>
      <c r="C48" s="150">
        <f t="shared" si="1"/>
        <v>0.48351648351648352</v>
      </c>
      <c r="D48" s="23">
        <v>0.48199999999999998</v>
      </c>
      <c r="E48" s="1">
        <v>0.48199999999999998</v>
      </c>
      <c r="F48" s="24">
        <v>0.48099999999999998</v>
      </c>
      <c r="G48" s="4">
        <v>0.48299999999999998</v>
      </c>
      <c r="H48" s="1">
        <v>0.48199999999999998</v>
      </c>
      <c r="I48" s="25">
        <v>0.48299999999999998</v>
      </c>
      <c r="J48" s="23">
        <v>0.48299999999999998</v>
      </c>
      <c r="K48" s="1">
        <v>0.48299999999999998</v>
      </c>
      <c r="L48" s="25">
        <v>0.48299999999999998</v>
      </c>
      <c r="N48" s="22">
        <v>660</v>
      </c>
      <c r="O48" s="152">
        <f t="shared" si="4"/>
        <v>-3.1363636363636758E-3</v>
      </c>
      <c r="P48" s="152">
        <f t="shared" si="4"/>
        <v>-3.1363636363636758E-3</v>
      </c>
      <c r="Q48" s="153">
        <f t="shared" si="4"/>
        <v>-5.2045454545454955E-3</v>
      </c>
      <c r="R48" s="152">
        <f t="shared" si="4"/>
        <v>-1.0681818181818557E-3</v>
      </c>
      <c r="S48" s="152">
        <f t="shared" si="4"/>
        <v>-3.1363636363636758E-3</v>
      </c>
      <c r="T48" s="154">
        <f t="shared" si="4"/>
        <v>-1.0681818181818557E-3</v>
      </c>
      <c r="U48" s="155">
        <f t="shared" si="3"/>
        <v>-1.0681818181818557E-3</v>
      </c>
      <c r="V48" s="152">
        <f t="shared" si="3"/>
        <v>-1.0681818181818557E-3</v>
      </c>
      <c r="W48" s="152">
        <f t="shared" si="3"/>
        <v>-1.0681818181818557E-3</v>
      </c>
    </row>
    <row r="49" spans="2:23" x14ac:dyDescent="0.45">
      <c r="B49" s="50">
        <v>675</v>
      </c>
      <c r="C49" s="150">
        <f t="shared" si="1"/>
        <v>0.49450549450549453</v>
      </c>
      <c r="D49" s="23">
        <v>0.49299999999999999</v>
      </c>
      <c r="E49" s="1">
        <v>0.49299999999999999</v>
      </c>
      <c r="F49" s="24">
        <v>0.49199999999999999</v>
      </c>
      <c r="G49" s="4">
        <v>0.49399999999999999</v>
      </c>
      <c r="H49" s="1">
        <v>0.49299999999999999</v>
      </c>
      <c r="I49" s="25">
        <v>0.49399999999999999</v>
      </c>
      <c r="J49" s="23">
        <v>0.49399999999999999</v>
      </c>
      <c r="K49" s="1">
        <v>0.49399999999999999</v>
      </c>
      <c r="L49" s="25">
        <v>0.49399999999999999</v>
      </c>
      <c r="N49" s="22">
        <v>675</v>
      </c>
      <c r="O49" s="152">
        <f t="shared" si="4"/>
        <v>-3.0444444444444963E-3</v>
      </c>
      <c r="P49" s="152">
        <f t="shared" si="4"/>
        <v>-3.0444444444444963E-3</v>
      </c>
      <c r="Q49" s="153">
        <f t="shared" si="4"/>
        <v>-5.0666666666667201E-3</v>
      </c>
      <c r="R49" s="152">
        <f t="shared" si="4"/>
        <v>-1.0222222222222724E-3</v>
      </c>
      <c r="S49" s="152">
        <f t="shared" si="4"/>
        <v>-3.0444444444444963E-3</v>
      </c>
      <c r="T49" s="154">
        <f t="shared" si="4"/>
        <v>-1.0222222222222724E-3</v>
      </c>
      <c r="U49" s="155">
        <f t="shared" si="3"/>
        <v>-1.0222222222222724E-3</v>
      </c>
      <c r="V49" s="152">
        <f t="shared" si="3"/>
        <v>-1.0222222222222724E-3</v>
      </c>
      <c r="W49" s="152">
        <f t="shared" si="3"/>
        <v>-1.0222222222222724E-3</v>
      </c>
    </row>
    <row r="50" spans="2:23" x14ac:dyDescent="0.45">
      <c r="B50" s="50">
        <v>690</v>
      </c>
      <c r="C50" s="150">
        <f t="shared" si="1"/>
        <v>0.50549450549450547</v>
      </c>
      <c r="D50" s="23">
        <v>0.504</v>
      </c>
      <c r="E50" s="1">
        <v>0.504</v>
      </c>
      <c r="F50" s="24">
        <v>0.503</v>
      </c>
      <c r="G50" s="4">
        <v>0.505</v>
      </c>
      <c r="H50" s="1">
        <v>0.504</v>
      </c>
      <c r="I50" s="25">
        <v>0.505</v>
      </c>
      <c r="J50" s="23">
        <v>0.505</v>
      </c>
      <c r="K50" s="1">
        <v>0.505</v>
      </c>
      <c r="L50" s="25">
        <v>0.505</v>
      </c>
      <c r="N50" s="22">
        <v>690</v>
      </c>
      <c r="O50" s="152">
        <f t="shared" si="4"/>
        <v>-2.9565217391303894E-3</v>
      </c>
      <c r="P50" s="152">
        <f t="shared" si="4"/>
        <v>-2.9565217391303894E-3</v>
      </c>
      <c r="Q50" s="153">
        <f t="shared" si="4"/>
        <v>-4.9347826086956082E-3</v>
      </c>
      <c r="R50" s="152">
        <f t="shared" si="4"/>
        <v>-9.7826086956516998E-4</v>
      </c>
      <c r="S50" s="152">
        <f t="shared" si="4"/>
        <v>-2.9565217391303894E-3</v>
      </c>
      <c r="T50" s="154">
        <f t="shared" si="4"/>
        <v>-9.7826086956516998E-4</v>
      </c>
      <c r="U50" s="155">
        <f t="shared" si="3"/>
        <v>-9.7826086956516998E-4</v>
      </c>
      <c r="V50" s="152">
        <f t="shared" si="3"/>
        <v>-9.7826086956516998E-4</v>
      </c>
      <c r="W50" s="152">
        <f t="shared" si="3"/>
        <v>-9.7826086956516998E-4</v>
      </c>
    </row>
    <row r="51" spans="2:23" x14ac:dyDescent="0.45">
      <c r="B51" s="50">
        <v>705</v>
      </c>
      <c r="C51" s="150">
        <f t="shared" si="1"/>
        <v>0.51648351648351654</v>
      </c>
      <c r="D51" s="23">
        <v>0.51500000000000001</v>
      </c>
      <c r="E51" s="1">
        <v>0.51500000000000001</v>
      </c>
      <c r="F51" s="24">
        <v>0.51400000000000001</v>
      </c>
      <c r="G51" s="4">
        <v>0.51500000000000001</v>
      </c>
      <c r="H51" s="1">
        <v>0.51500000000000001</v>
      </c>
      <c r="I51" s="25">
        <v>0.51600000000000001</v>
      </c>
      <c r="J51" s="23">
        <v>0.51600000000000001</v>
      </c>
      <c r="K51" s="1">
        <v>0.51600000000000001</v>
      </c>
      <c r="L51" s="25">
        <v>0.51600000000000001</v>
      </c>
      <c r="N51" s="22">
        <v>705</v>
      </c>
      <c r="O51" s="152">
        <f t="shared" si="4"/>
        <v>-2.8723404255319904E-3</v>
      </c>
      <c r="P51" s="152">
        <f t="shared" si="4"/>
        <v>-2.8723404255319904E-3</v>
      </c>
      <c r="Q51" s="153">
        <f t="shared" si="4"/>
        <v>-4.8085106382979494E-3</v>
      </c>
      <c r="R51" s="152">
        <f t="shared" si="4"/>
        <v>-2.8723404255319904E-3</v>
      </c>
      <c r="S51" s="152">
        <f t="shared" si="4"/>
        <v>-2.8723404255319904E-3</v>
      </c>
      <c r="T51" s="154">
        <f t="shared" si="4"/>
        <v>-9.3617021276603141E-4</v>
      </c>
      <c r="U51" s="155">
        <f t="shared" si="3"/>
        <v>-9.3617021276603141E-4</v>
      </c>
      <c r="V51" s="152">
        <f t="shared" si="3"/>
        <v>-9.3617021276603141E-4</v>
      </c>
      <c r="W51" s="152">
        <f t="shared" si="3"/>
        <v>-9.3617021276603141E-4</v>
      </c>
    </row>
    <row r="52" spans="2:23" x14ac:dyDescent="0.45">
      <c r="B52" s="50">
        <v>720</v>
      </c>
      <c r="C52" s="150">
        <f t="shared" si="1"/>
        <v>0.52747252747252749</v>
      </c>
      <c r="D52" s="23">
        <v>0.52600000000000002</v>
      </c>
      <c r="E52" s="1">
        <v>0.52600000000000002</v>
      </c>
      <c r="F52" s="24">
        <v>0.52500000000000002</v>
      </c>
      <c r="G52" s="4">
        <v>0.52600000000000002</v>
      </c>
      <c r="H52" s="1">
        <v>0.52600000000000002</v>
      </c>
      <c r="I52" s="25">
        <v>0.52700000000000002</v>
      </c>
      <c r="J52" s="23">
        <v>0.52700000000000002</v>
      </c>
      <c r="K52" s="1">
        <v>0.52700000000000002</v>
      </c>
      <c r="L52" s="25">
        <v>0.52700000000000002</v>
      </c>
      <c r="N52" s="22">
        <v>720</v>
      </c>
      <c r="O52" s="152">
        <f t="shared" si="4"/>
        <v>-2.7916666666666485E-3</v>
      </c>
      <c r="P52" s="152">
        <f t="shared" si="4"/>
        <v>-2.7916666666666485E-3</v>
      </c>
      <c r="Q52" s="153">
        <f t="shared" si="4"/>
        <v>-4.6874999999999833E-3</v>
      </c>
      <c r="R52" s="152">
        <f t="shared" si="4"/>
        <v>-2.7916666666666485E-3</v>
      </c>
      <c r="S52" s="152">
        <f t="shared" si="4"/>
        <v>-2.7916666666666485E-3</v>
      </c>
      <c r="T52" s="154">
        <f t="shared" si="4"/>
        <v>-8.9583333333331328E-4</v>
      </c>
      <c r="U52" s="155">
        <f t="shared" si="3"/>
        <v>-8.9583333333331328E-4</v>
      </c>
      <c r="V52" s="152">
        <f t="shared" si="3"/>
        <v>-8.9583333333331328E-4</v>
      </c>
      <c r="W52" s="152">
        <f t="shared" si="3"/>
        <v>-8.9583333333331328E-4</v>
      </c>
    </row>
    <row r="53" spans="2:23" x14ac:dyDescent="0.45">
      <c r="B53" s="50">
        <v>735</v>
      </c>
      <c r="C53" s="150">
        <f t="shared" si="1"/>
        <v>0.53846153846153844</v>
      </c>
      <c r="D53" s="23">
        <v>0.53700000000000003</v>
      </c>
      <c r="E53" s="1">
        <v>0.53700000000000003</v>
      </c>
      <c r="F53" s="24">
        <v>0.53600000000000003</v>
      </c>
      <c r="G53" s="4">
        <v>0.53700000000000003</v>
      </c>
      <c r="H53" s="1">
        <v>0.53700000000000003</v>
      </c>
      <c r="I53" s="25">
        <v>0.53800000000000003</v>
      </c>
      <c r="J53" s="23">
        <v>0.53800000000000003</v>
      </c>
      <c r="K53" s="1">
        <v>0.53800000000000003</v>
      </c>
      <c r="L53" s="25">
        <v>0.53800000000000003</v>
      </c>
      <c r="N53" s="22">
        <v>735</v>
      </c>
      <c r="O53" s="152">
        <f t="shared" si="4"/>
        <v>-2.7142857142856058E-3</v>
      </c>
      <c r="P53" s="152">
        <f t="shared" si="4"/>
        <v>-2.7142857142856058E-3</v>
      </c>
      <c r="Q53" s="153">
        <f t="shared" si="4"/>
        <v>-4.5714285714284651E-3</v>
      </c>
      <c r="R53" s="152">
        <f t="shared" si="4"/>
        <v>-2.7142857142856058E-3</v>
      </c>
      <c r="S53" s="152">
        <f t="shared" si="4"/>
        <v>-2.7142857142856058E-3</v>
      </c>
      <c r="T53" s="154">
        <f t="shared" si="4"/>
        <v>-8.5714285714274694E-4</v>
      </c>
      <c r="U53" s="155">
        <f t="shared" si="3"/>
        <v>-8.5714285714274694E-4</v>
      </c>
      <c r="V53" s="152">
        <f t="shared" si="3"/>
        <v>-8.5714285714274694E-4</v>
      </c>
      <c r="W53" s="152">
        <f t="shared" si="3"/>
        <v>-8.5714285714274694E-4</v>
      </c>
    </row>
    <row r="54" spans="2:23" x14ac:dyDescent="0.45">
      <c r="B54" s="50">
        <v>750</v>
      </c>
      <c r="C54" s="150">
        <f t="shared" si="1"/>
        <v>0.5494505494505495</v>
      </c>
      <c r="D54" s="23">
        <v>0.54800000000000004</v>
      </c>
      <c r="E54" s="1">
        <v>0.54800000000000004</v>
      </c>
      <c r="F54" s="24">
        <v>0.54700000000000004</v>
      </c>
      <c r="G54" s="4">
        <v>0.54800000000000004</v>
      </c>
      <c r="H54" s="1">
        <v>0.54800000000000004</v>
      </c>
      <c r="I54" s="25">
        <v>0.54900000000000004</v>
      </c>
      <c r="J54" s="23">
        <v>0.54900000000000004</v>
      </c>
      <c r="K54" s="1">
        <v>0.54900000000000004</v>
      </c>
      <c r="L54" s="25">
        <v>0.54800000000000004</v>
      </c>
      <c r="N54" s="22">
        <v>750</v>
      </c>
      <c r="O54" s="152">
        <f t="shared" si="4"/>
        <v>-2.6400000000000065E-3</v>
      </c>
      <c r="P54" s="152">
        <f t="shared" si="4"/>
        <v>-2.6400000000000065E-3</v>
      </c>
      <c r="Q54" s="153">
        <f t="shared" si="4"/>
        <v>-4.4600000000000082E-3</v>
      </c>
      <c r="R54" s="152">
        <f t="shared" si="4"/>
        <v>-2.6400000000000065E-3</v>
      </c>
      <c r="S54" s="152">
        <f t="shared" si="4"/>
        <v>-2.6400000000000065E-3</v>
      </c>
      <c r="T54" s="154">
        <f t="shared" si="4"/>
        <v>-8.2000000000000508E-4</v>
      </c>
      <c r="U54" s="155">
        <f t="shared" si="3"/>
        <v>-8.2000000000000508E-4</v>
      </c>
      <c r="V54" s="152">
        <f t="shared" si="3"/>
        <v>-8.2000000000000508E-4</v>
      </c>
      <c r="W54" s="152">
        <f t="shared" si="3"/>
        <v>-2.6400000000000065E-3</v>
      </c>
    </row>
    <row r="55" spans="2:23" x14ac:dyDescent="0.45">
      <c r="B55" s="50">
        <v>765</v>
      </c>
      <c r="C55" s="150">
        <f t="shared" si="1"/>
        <v>0.56043956043956045</v>
      </c>
      <c r="D55" s="23">
        <v>0.55800000000000005</v>
      </c>
      <c r="E55" s="1">
        <v>0.55800000000000005</v>
      </c>
      <c r="F55" s="24">
        <v>0.55800000000000005</v>
      </c>
      <c r="G55" s="4">
        <v>0.55900000000000005</v>
      </c>
      <c r="H55" s="1">
        <v>0.55800000000000005</v>
      </c>
      <c r="I55" s="25">
        <v>0.56000000000000005</v>
      </c>
      <c r="J55" s="23">
        <v>0.56000000000000005</v>
      </c>
      <c r="K55" s="1">
        <v>0.56000000000000005</v>
      </c>
      <c r="L55" s="25">
        <v>0.55900000000000005</v>
      </c>
      <c r="N55" s="22">
        <v>765</v>
      </c>
      <c r="O55" s="152">
        <f t="shared" si="4"/>
        <v>-4.3529411764705091E-3</v>
      </c>
      <c r="P55" s="152">
        <f t="shared" si="4"/>
        <v>-4.3529411764705091E-3</v>
      </c>
      <c r="Q55" s="153">
        <f t="shared" si="4"/>
        <v>-4.3529411764705091E-3</v>
      </c>
      <c r="R55" s="152">
        <f t="shared" si="4"/>
        <v>-2.5686274509803117E-3</v>
      </c>
      <c r="S55" s="152">
        <f t="shared" si="4"/>
        <v>-4.3529411764705091E-3</v>
      </c>
      <c r="T55" s="154">
        <f t="shared" si="4"/>
        <v>-7.8431372549011408E-4</v>
      </c>
      <c r="U55" s="155">
        <f t="shared" si="3"/>
        <v>-7.8431372549011408E-4</v>
      </c>
      <c r="V55" s="152">
        <f t="shared" si="3"/>
        <v>-7.8431372549011408E-4</v>
      </c>
      <c r="W55" s="152">
        <f t="shared" si="3"/>
        <v>-2.5686274509803117E-3</v>
      </c>
    </row>
    <row r="56" spans="2:23" x14ac:dyDescent="0.45">
      <c r="B56" s="50">
        <v>780</v>
      </c>
      <c r="C56" s="150">
        <f t="shared" si="1"/>
        <v>0.5714285714285714</v>
      </c>
      <c r="D56" s="23">
        <v>0.56999999999999995</v>
      </c>
      <c r="E56" s="1">
        <v>0.56999999999999995</v>
      </c>
      <c r="F56" s="24">
        <v>0.56899999999999995</v>
      </c>
      <c r="G56" s="4">
        <v>0.56999999999999995</v>
      </c>
      <c r="H56" s="1">
        <v>0.56899999999999995</v>
      </c>
      <c r="I56" s="25">
        <v>0.57199999999999995</v>
      </c>
      <c r="J56" s="23">
        <v>0.57099999999999995</v>
      </c>
      <c r="K56" s="1">
        <v>0.57099999999999995</v>
      </c>
      <c r="L56" s="25">
        <v>0.56999999999999995</v>
      </c>
      <c r="N56" s="22">
        <v>780</v>
      </c>
      <c r="O56" s="152">
        <f t="shared" si="4"/>
        <v>-2.50000000000003E-3</v>
      </c>
      <c r="P56" s="152">
        <f t="shared" si="4"/>
        <v>-2.50000000000003E-3</v>
      </c>
      <c r="Q56" s="153">
        <f t="shared" si="4"/>
        <v>-4.2500000000000315E-3</v>
      </c>
      <c r="R56" s="152">
        <f t="shared" si="4"/>
        <v>-2.50000000000003E-3</v>
      </c>
      <c r="S56" s="152">
        <f t="shared" si="4"/>
        <v>-4.2500000000000315E-3</v>
      </c>
      <c r="T56" s="154">
        <f t="shared" si="4"/>
        <v>9.9999999999997313E-4</v>
      </c>
      <c r="U56" s="155">
        <f t="shared" si="3"/>
        <v>-7.5000000000002842E-4</v>
      </c>
      <c r="V56" s="152">
        <f t="shared" si="3"/>
        <v>-7.5000000000002842E-4</v>
      </c>
      <c r="W56" s="152">
        <f t="shared" si="3"/>
        <v>-2.50000000000003E-3</v>
      </c>
    </row>
    <row r="57" spans="2:23" x14ac:dyDescent="0.45">
      <c r="B57" s="50">
        <v>795</v>
      </c>
      <c r="C57" s="150">
        <f t="shared" si="1"/>
        <v>0.58241758241758246</v>
      </c>
      <c r="D57" s="23">
        <v>0.57999999999999996</v>
      </c>
      <c r="E57" s="1">
        <v>0.57999999999999996</v>
      </c>
      <c r="F57" s="24">
        <v>0.57999999999999996</v>
      </c>
      <c r="G57" s="4">
        <v>0.58099999999999996</v>
      </c>
      <c r="H57" s="1">
        <v>0.57999999999999996</v>
      </c>
      <c r="I57" s="25">
        <v>0.58299999999999996</v>
      </c>
      <c r="J57" s="23">
        <v>0.58099999999999996</v>
      </c>
      <c r="K57" s="1">
        <v>0.58199999999999996</v>
      </c>
      <c r="L57" s="25">
        <v>0.58099999999999996</v>
      </c>
      <c r="N57" s="22">
        <v>795</v>
      </c>
      <c r="O57" s="152">
        <f t="shared" si="4"/>
        <v>-4.1509433962265523E-3</v>
      </c>
      <c r="P57" s="152">
        <f t="shared" si="4"/>
        <v>-4.1509433962265523E-3</v>
      </c>
      <c r="Q57" s="153">
        <f t="shared" si="4"/>
        <v>-4.1509433962265523E-3</v>
      </c>
      <c r="R57" s="152">
        <f t="shared" si="4"/>
        <v>-2.4339622641510795E-3</v>
      </c>
      <c r="S57" s="152">
        <f t="shared" si="4"/>
        <v>-4.1509433962265523E-3</v>
      </c>
      <c r="T57" s="154">
        <f t="shared" si="4"/>
        <v>9.9999999999986666E-4</v>
      </c>
      <c r="U57" s="155">
        <f t="shared" si="3"/>
        <v>-2.4339622641510795E-3</v>
      </c>
      <c r="V57" s="152">
        <f t="shared" si="3"/>
        <v>-7.1698113207560631E-4</v>
      </c>
      <c r="W57" s="152">
        <f t="shared" si="3"/>
        <v>-2.4339622641510795E-3</v>
      </c>
    </row>
    <row r="58" spans="2:23" x14ac:dyDescent="0.45">
      <c r="B58" s="50">
        <v>810</v>
      </c>
      <c r="C58" s="150">
        <f t="shared" si="1"/>
        <v>0.59340659340659341</v>
      </c>
      <c r="D58" s="23">
        <v>0.59099999999999997</v>
      </c>
      <c r="E58" s="1">
        <v>0.59099999999999997</v>
      </c>
      <c r="F58" s="24">
        <v>0.59099999999999997</v>
      </c>
      <c r="G58" s="4">
        <v>0.59199999999999997</v>
      </c>
      <c r="H58" s="1">
        <v>0.59099999999999997</v>
      </c>
      <c r="I58" s="25">
        <v>0.59399999999999997</v>
      </c>
      <c r="J58" s="23">
        <v>0.59199999999999997</v>
      </c>
      <c r="K58" s="1">
        <v>0.59299999999999997</v>
      </c>
      <c r="L58" s="25">
        <v>0.59199999999999997</v>
      </c>
      <c r="N58" s="22">
        <v>810</v>
      </c>
      <c r="O58" s="152">
        <f t="shared" si="4"/>
        <v>-4.0555555555556082E-3</v>
      </c>
      <c r="P58" s="152">
        <f t="shared" si="4"/>
        <v>-4.0555555555556082E-3</v>
      </c>
      <c r="Q58" s="153">
        <f t="shared" si="4"/>
        <v>-4.0555555555556082E-3</v>
      </c>
      <c r="R58" s="152">
        <f t="shared" si="4"/>
        <v>-2.3703703703704219E-3</v>
      </c>
      <c r="S58" s="152">
        <f t="shared" si="4"/>
        <v>-4.0555555555556082E-3</v>
      </c>
      <c r="T58" s="154">
        <f t="shared" si="4"/>
        <v>9.9999999999995145E-4</v>
      </c>
      <c r="U58" s="155">
        <f t="shared" si="3"/>
        <v>-2.3703703703704219E-3</v>
      </c>
      <c r="V58" s="152">
        <f t="shared" si="3"/>
        <v>-6.8518518518523514E-4</v>
      </c>
      <c r="W58" s="152">
        <f t="shared" si="3"/>
        <v>-2.3703703703704219E-3</v>
      </c>
    </row>
    <row r="59" spans="2:23" x14ac:dyDescent="0.45">
      <c r="B59" s="50">
        <v>825</v>
      </c>
      <c r="C59" s="150">
        <f t="shared" si="1"/>
        <v>0.60439560439560436</v>
      </c>
      <c r="D59" s="23">
        <v>0.60199999999999998</v>
      </c>
      <c r="E59" s="1">
        <v>0.60199999999999998</v>
      </c>
      <c r="F59" s="24">
        <v>0.60199999999999998</v>
      </c>
      <c r="G59" s="4">
        <v>0.60299999999999998</v>
      </c>
      <c r="H59" s="1">
        <v>0.60199999999999998</v>
      </c>
      <c r="I59" s="25">
        <v>0.60499999999999998</v>
      </c>
      <c r="J59" s="23">
        <v>0.60299999999999998</v>
      </c>
      <c r="K59" s="1">
        <v>0.60399999999999998</v>
      </c>
      <c r="L59" s="25">
        <v>0.60299999999999998</v>
      </c>
      <c r="N59" s="22">
        <v>825</v>
      </c>
      <c r="O59" s="152">
        <f t="shared" si="4"/>
        <v>-3.963636363636335E-3</v>
      </c>
      <c r="P59" s="152">
        <f t="shared" si="4"/>
        <v>-3.963636363636335E-3</v>
      </c>
      <c r="Q59" s="153">
        <f t="shared" si="4"/>
        <v>-3.963636363636335E-3</v>
      </c>
      <c r="R59" s="152">
        <f t="shared" si="4"/>
        <v>-2.3090909090908792E-3</v>
      </c>
      <c r="S59" s="152">
        <f t="shared" si="4"/>
        <v>-3.963636363636335E-3</v>
      </c>
      <c r="T59" s="154">
        <f t="shared" si="4"/>
        <v>1.0000000000000332E-3</v>
      </c>
      <c r="U59" s="155">
        <f t="shared" si="3"/>
        <v>-2.3090909090908792E-3</v>
      </c>
      <c r="V59" s="152">
        <f t="shared" si="3"/>
        <v>-6.5454545454542287E-4</v>
      </c>
      <c r="W59" s="152">
        <f t="shared" si="3"/>
        <v>-2.3090909090908792E-3</v>
      </c>
    </row>
    <row r="60" spans="2:23" x14ac:dyDescent="0.45">
      <c r="B60" s="50">
        <v>840</v>
      </c>
      <c r="C60" s="150">
        <f t="shared" si="1"/>
        <v>0.61538461538461542</v>
      </c>
      <c r="D60" s="23">
        <v>0.61299999999999999</v>
      </c>
      <c r="E60" s="1">
        <v>0.61299999999999999</v>
      </c>
      <c r="F60" s="24">
        <v>0.61299999999999999</v>
      </c>
      <c r="G60" s="4">
        <v>0.61399999999999999</v>
      </c>
      <c r="H60" s="1">
        <v>0.61199999999999999</v>
      </c>
      <c r="I60" s="25">
        <v>0.61599999999999999</v>
      </c>
      <c r="J60" s="23">
        <v>0.61399999999999999</v>
      </c>
      <c r="K60" s="1">
        <v>0.61499999999999999</v>
      </c>
      <c r="L60" s="25">
        <v>0.61399999999999999</v>
      </c>
      <c r="N60" s="22">
        <v>840</v>
      </c>
      <c r="O60" s="152">
        <f t="shared" si="4"/>
        <v>-3.8750000000000728E-3</v>
      </c>
      <c r="P60" s="152">
        <f t="shared" si="4"/>
        <v>-3.8750000000000728E-3</v>
      </c>
      <c r="Q60" s="153">
        <f t="shared" si="4"/>
        <v>-3.8750000000000728E-3</v>
      </c>
      <c r="R60" s="152">
        <f t="shared" si="4"/>
        <v>-2.2500000000000714E-3</v>
      </c>
      <c r="S60" s="152">
        <f t="shared" si="4"/>
        <v>-5.5000000000000743E-3</v>
      </c>
      <c r="T60" s="154">
        <f t="shared" si="4"/>
        <v>9.999999999999315E-4</v>
      </c>
      <c r="U60" s="155">
        <f t="shared" si="3"/>
        <v>-2.2500000000000714E-3</v>
      </c>
      <c r="V60" s="152">
        <f t="shared" si="3"/>
        <v>-6.2500000000006994E-4</v>
      </c>
      <c r="W60" s="152">
        <f t="shared" si="3"/>
        <v>-2.2500000000000714E-3</v>
      </c>
    </row>
    <row r="61" spans="2:23" x14ac:dyDescent="0.45">
      <c r="B61" s="50">
        <v>855</v>
      </c>
      <c r="C61" s="150">
        <f t="shared" si="1"/>
        <v>0.62637362637362637</v>
      </c>
      <c r="D61" s="23">
        <v>0.624</v>
      </c>
      <c r="E61" s="1">
        <v>0.624</v>
      </c>
      <c r="F61" s="24">
        <v>0.623</v>
      </c>
      <c r="G61" s="4">
        <v>0.625</v>
      </c>
      <c r="H61" s="1">
        <v>0.623</v>
      </c>
      <c r="I61" s="25">
        <v>0.627</v>
      </c>
      <c r="J61" s="23">
        <v>0.625</v>
      </c>
      <c r="K61" s="1">
        <v>0.626</v>
      </c>
      <c r="L61" s="25">
        <v>0.625</v>
      </c>
      <c r="N61" s="22">
        <v>855</v>
      </c>
      <c r="O61" s="152">
        <f t="shared" si="4"/>
        <v>-3.7894736842105201E-3</v>
      </c>
      <c r="P61" s="152">
        <f t="shared" si="4"/>
        <v>-3.7894736842105201E-3</v>
      </c>
      <c r="Q61" s="153">
        <f t="shared" si="4"/>
        <v>-5.3859649122806972E-3</v>
      </c>
      <c r="R61" s="152">
        <f t="shared" si="4"/>
        <v>-2.1929824561403429E-3</v>
      </c>
      <c r="S61" s="152">
        <f t="shared" si="4"/>
        <v>-5.3859649122806972E-3</v>
      </c>
      <c r="T61" s="154">
        <f t="shared" si="4"/>
        <v>1.0000000000000106E-3</v>
      </c>
      <c r="U61" s="155">
        <f t="shared" si="3"/>
        <v>-2.1929824561403429E-3</v>
      </c>
      <c r="V61" s="152">
        <f t="shared" si="3"/>
        <v>-5.9649122807016626E-4</v>
      </c>
      <c r="W61" s="152">
        <f t="shared" si="3"/>
        <v>-2.1929824561403429E-3</v>
      </c>
    </row>
    <row r="62" spans="2:23" x14ac:dyDescent="0.45">
      <c r="B62" s="50">
        <v>870</v>
      </c>
      <c r="C62" s="150">
        <f t="shared" si="1"/>
        <v>0.63736263736263732</v>
      </c>
      <c r="D62" s="23">
        <v>0.63500000000000001</v>
      </c>
      <c r="E62" s="1">
        <v>0.63500000000000001</v>
      </c>
      <c r="F62" s="24">
        <v>0.63400000000000001</v>
      </c>
      <c r="G62" s="4">
        <v>0.63600000000000001</v>
      </c>
      <c r="H62" s="1">
        <v>0.63400000000000001</v>
      </c>
      <c r="I62" s="25">
        <v>0.63800000000000001</v>
      </c>
      <c r="J62" s="23">
        <v>0.63600000000000001</v>
      </c>
      <c r="K62" s="1">
        <v>0.63700000000000001</v>
      </c>
      <c r="L62" s="25">
        <v>0.63600000000000001</v>
      </c>
      <c r="N62" s="22">
        <v>870</v>
      </c>
      <c r="O62" s="152">
        <f t="shared" si="4"/>
        <v>-3.7068965517240552E-3</v>
      </c>
      <c r="P62" s="152">
        <f t="shared" si="4"/>
        <v>-3.7068965517240552E-3</v>
      </c>
      <c r="Q62" s="153">
        <f t="shared" si="4"/>
        <v>-5.2758620689654359E-3</v>
      </c>
      <c r="R62" s="152">
        <f t="shared" si="4"/>
        <v>-2.1379310344826746E-3</v>
      </c>
      <c r="S62" s="152">
        <f t="shared" si="4"/>
        <v>-5.2758620689654359E-3</v>
      </c>
      <c r="T62" s="154">
        <f t="shared" si="4"/>
        <v>1.0000000000000872E-3</v>
      </c>
      <c r="U62" s="155">
        <f t="shared" si="3"/>
        <v>-2.1379310344826746E-3</v>
      </c>
      <c r="V62" s="152">
        <f t="shared" si="3"/>
        <v>-5.6896551724129369E-4</v>
      </c>
      <c r="W62" s="152">
        <f t="shared" si="3"/>
        <v>-2.1379310344826746E-3</v>
      </c>
    </row>
    <row r="63" spans="2:23" x14ac:dyDescent="0.45">
      <c r="B63" s="50">
        <v>885</v>
      </c>
      <c r="C63" s="150">
        <f t="shared" si="1"/>
        <v>0.64835164835164838</v>
      </c>
      <c r="D63" s="23">
        <v>0.64600000000000002</v>
      </c>
      <c r="E63" s="1">
        <v>0.64600000000000002</v>
      </c>
      <c r="F63" s="24">
        <v>0.64500000000000002</v>
      </c>
      <c r="G63" s="4">
        <v>0.64700000000000002</v>
      </c>
      <c r="H63" s="1">
        <v>0.64500000000000002</v>
      </c>
      <c r="I63" s="25">
        <v>0.64900000000000002</v>
      </c>
      <c r="J63" s="23">
        <v>0.64700000000000002</v>
      </c>
      <c r="K63" s="1">
        <v>0.64800000000000002</v>
      </c>
      <c r="L63" s="25">
        <v>0.64700000000000002</v>
      </c>
      <c r="N63" s="22">
        <v>885</v>
      </c>
      <c r="O63" s="152">
        <f t="shared" si="4"/>
        <v>-3.6271186440678112E-3</v>
      </c>
      <c r="P63" s="152">
        <f t="shared" si="4"/>
        <v>-3.6271186440678112E-3</v>
      </c>
      <c r="Q63" s="153">
        <f t="shared" si="4"/>
        <v>-5.1694915254237445E-3</v>
      </c>
      <c r="R63" s="152">
        <f t="shared" si="4"/>
        <v>-2.0847457627118774E-3</v>
      </c>
      <c r="S63" s="152">
        <f t="shared" si="4"/>
        <v>-5.1694915254237445E-3</v>
      </c>
      <c r="T63" s="154">
        <f t="shared" si="4"/>
        <v>9.9999999999998961E-4</v>
      </c>
      <c r="U63" s="155">
        <f t="shared" si="3"/>
        <v>-2.0847457627118774E-3</v>
      </c>
      <c r="V63" s="152">
        <f t="shared" si="3"/>
        <v>-5.4237288135594391E-4</v>
      </c>
      <c r="W63" s="152">
        <f t="shared" si="3"/>
        <v>-2.0847457627118774E-3</v>
      </c>
    </row>
    <row r="64" spans="2:23" x14ac:dyDescent="0.45">
      <c r="B64" s="50">
        <v>900</v>
      </c>
      <c r="C64" s="150">
        <f t="shared" si="1"/>
        <v>0.65934065934065933</v>
      </c>
      <c r="D64" s="23">
        <v>0.65700000000000003</v>
      </c>
      <c r="E64" s="1">
        <v>0.65700000000000003</v>
      </c>
      <c r="F64" s="24">
        <v>0.65600000000000003</v>
      </c>
      <c r="G64" s="4">
        <v>0.65800000000000003</v>
      </c>
      <c r="H64" s="1">
        <v>0.65500000000000003</v>
      </c>
      <c r="I64" s="25">
        <v>0.66</v>
      </c>
      <c r="J64" s="23">
        <v>0.65800000000000003</v>
      </c>
      <c r="K64" s="1">
        <v>0.65900000000000003</v>
      </c>
      <c r="L64" s="25">
        <v>0.65800000000000003</v>
      </c>
      <c r="N64" s="22">
        <v>900</v>
      </c>
      <c r="O64" s="152">
        <f t="shared" si="4"/>
        <v>-3.5499999999999404E-3</v>
      </c>
      <c r="P64" s="152">
        <f t="shared" si="4"/>
        <v>-3.5499999999999404E-3</v>
      </c>
      <c r="Q64" s="153">
        <f t="shared" si="4"/>
        <v>-5.0666666666666083E-3</v>
      </c>
      <c r="R64" s="152">
        <f t="shared" si="4"/>
        <v>-2.0333333333332725E-3</v>
      </c>
      <c r="S64" s="152">
        <f t="shared" si="4"/>
        <v>-6.5833333333332762E-3</v>
      </c>
      <c r="T64" s="154">
        <f t="shared" si="4"/>
        <v>1.0000000000000638E-3</v>
      </c>
      <c r="U64" s="155">
        <f t="shared" si="3"/>
        <v>-2.0333333333332725E-3</v>
      </c>
      <c r="V64" s="152">
        <f t="shared" si="3"/>
        <v>-5.1666666666660423E-4</v>
      </c>
      <c r="W64" s="152">
        <f t="shared" si="3"/>
        <v>-2.0333333333332725E-3</v>
      </c>
    </row>
    <row r="65" spans="2:23" x14ac:dyDescent="0.45">
      <c r="B65" s="50">
        <v>915</v>
      </c>
      <c r="C65" s="150">
        <f t="shared" si="1"/>
        <v>0.67032967032967028</v>
      </c>
      <c r="D65" s="23">
        <v>0.66800000000000004</v>
      </c>
      <c r="E65" s="1">
        <v>0.66800000000000004</v>
      </c>
      <c r="F65" s="24">
        <v>0.66700000000000004</v>
      </c>
      <c r="G65" s="4">
        <v>0.66900000000000004</v>
      </c>
      <c r="H65" s="1">
        <v>0.66600000000000004</v>
      </c>
      <c r="I65" s="25">
        <v>0.67200000000000004</v>
      </c>
      <c r="J65" s="23">
        <v>0.66900000000000004</v>
      </c>
      <c r="K65" s="1">
        <v>0.67</v>
      </c>
      <c r="L65" s="25">
        <v>0.66900000000000004</v>
      </c>
      <c r="N65" s="22">
        <v>915</v>
      </c>
      <c r="O65" s="152">
        <f t="shared" si="4"/>
        <v>-3.4754098360654426E-3</v>
      </c>
      <c r="P65" s="152">
        <f t="shared" si="4"/>
        <v>-3.4754098360654426E-3</v>
      </c>
      <c r="Q65" s="153">
        <f t="shared" si="4"/>
        <v>-4.9672131147539683E-3</v>
      </c>
      <c r="R65" s="152">
        <f t="shared" si="4"/>
        <v>-1.9836065573769165E-3</v>
      </c>
      <c r="S65" s="152">
        <f t="shared" si="4"/>
        <v>-6.4590163934424944E-3</v>
      </c>
      <c r="T65" s="154">
        <f t="shared" si="4"/>
        <v>2.4918032786886615E-3</v>
      </c>
      <c r="U65" s="155">
        <f t="shared" si="3"/>
        <v>-1.9836065573769165E-3</v>
      </c>
      <c r="V65" s="152">
        <f t="shared" si="3"/>
        <v>-4.9180327868839037E-4</v>
      </c>
      <c r="W65" s="152">
        <f t="shared" si="3"/>
        <v>-1.9836065573769165E-3</v>
      </c>
    </row>
    <row r="66" spans="2:23" x14ac:dyDescent="0.45">
      <c r="B66" s="50">
        <v>930</v>
      </c>
      <c r="C66" s="150">
        <f t="shared" si="1"/>
        <v>0.68131868131868134</v>
      </c>
      <c r="D66" s="23">
        <v>0.67900000000000005</v>
      </c>
      <c r="E66" s="1">
        <v>0.67800000000000005</v>
      </c>
      <c r="F66" s="24">
        <v>0.67800000000000005</v>
      </c>
      <c r="G66" s="4">
        <v>0.67900000000000005</v>
      </c>
      <c r="H66" s="1">
        <v>0.67700000000000005</v>
      </c>
      <c r="I66" s="25">
        <v>0.68300000000000005</v>
      </c>
      <c r="J66" s="23">
        <v>0.68</v>
      </c>
      <c r="K66" s="1">
        <v>0.68100000000000005</v>
      </c>
      <c r="L66" s="25">
        <v>0.67900000000000005</v>
      </c>
      <c r="N66" s="22">
        <v>930</v>
      </c>
      <c r="O66" s="152">
        <f t="shared" si="4"/>
        <v>-3.4032258064515745E-3</v>
      </c>
      <c r="P66" s="152">
        <f t="shared" si="4"/>
        <v>-4.8709677419354466E-3</v>
      </c>
      <c r="Q66" s="153">
        <f t="shared" si="4"/>
        <v>-4.8709677419354466E-3</v>
      </c>
      <c r="R66" s="152">
        <f t="shared" si="4"/>
        <v>-3.4032258064515745E-3</v>
      </c>
      <c r="S66" s="152">
        <f t="shared" si="4"/>
        <v>-6.3387096774193191E-3</v>
      </c>
      <c r="T66" s="154">
        <f t="shared" si="4"/>
        <v>2.4677419354839141E-3</v>
      </c>
      <c r="U66" s="155">
        <f t="shared" si="3"/>
        <v>-1.9354838709677025E-3</v>
      </c>
      <c r="V66" s="152">
        <f t="shared" si="3"/>
        <v>-4.6774193548383019E-4</v>
      </c>
      <c r="W66" s="152">
        <f t="shared" si="3"/>
        <v>-3.4032258064515745E-3</v>
      </c>
    </row>
    <row r="67" spans="2:23" x14ac:dyDescent="0.45">
      <c r="B67" s="50">
        <v>945</v>
      </c>
      <c r="C67" s="150">
        <f t="shared" si="1"/>
        <v>0.69230769230769229</v>
      </c>
      <c r="D67" s="23">
        <v>0.69</v>
      </c>
      <c r="E67" s="1">
        <v>0.68899999999999995</v>
      </c>
      <c r="F67" s="24">
        <v>0.68899999999999995</v>
      </c>
      <c r="G67" s="4">
        <v>0.69099999999999995</v>
      </c>
      <c r="H67" s="1">
        <v>0.68799999999999994</v>
      </c>
      <c r="I67" s="25">
        <v>0.69399999999999995</v>
      </c>
      <c r="J67" s="23">
        <v>0.69099999999999995</v>
      </c>
      <c r="K67" s="1">
        <v>0.69199999999999995</v>
      </c>
      <c r="L67" s="25">
        <v>0.69</v>
      </c>
      <c r="N67" s="22">
        <v>945</v>
      </c>
      <c r="O67" s="152">
        <f t="shared" si="4"/>
        <v>-3.3333333333333856E-3</v>
      </c>
      <c r="P67" s="152">
        <f t="shared" si="4"/>
        <v>-4.7777777777778313E-3</v>
      </c>
      <c r="Q67" s="153">
        <f t="shared" si="4"/>
        <v>-4.7777777777778313E-3</v>
      </c>
      <c r="R67" s="152">
        <f t="shared" si="4"/>
        <v>-1.8888888888889399E-3</v>
      </c>
      <c r="S67" s="152">
        <f t="shared" si="4"/>
        <v>-6.2222222222222774E-3</v>
      </c>
      <c r="T67" s="154">
        <f t="shared" si="4"/>
        <v>2.4444444444443971E-3</v>
      </c>
      <c r="U67" s="155">
        <f t="shared" si="3"/>
        <v>-1.8888888888889399E-3</v>
      </c>
      <c r="V67" s="152">
        <f t="shared" si="3"/>
        <v>-4.4444444444449418E-4</v>
      </c>
      <c r="W67" s="152">
        <f t="shared" si="3"/>
        <v>-3.3333333333333856E-3</v>
      </c>
    </row>
    <row r="68" spans="2:23" x14ac:dyDescent="0.45">
      <c r="B68" s="50">
        <v>960</v>
      </c>
      <c r="C68" s="150">
        <f t="shared" si="1"/>
        <v>0.70329670329670335</v>
      </c>
      <c r="D68" s="23">
        <v>0.70099999999999996</v>
      </c>
      <c r="E68" s="1">
        <v>0.7</v>
      </c>
      <c r="F68" s="24">
        <v>0.7</v>
      </c>
      <c r="G68" s="4">
        <v>0.70099999999999996</v>
      </c>
      <c r="H68" s="1">
        <v>0.69799999999999995</v>
      </c>
      <c r="I68" s="25">
        <v>0.70499999999999996</v>
      </c>
      <c r="J68" s="23">
        <v>0.70199999999999996</v>
      </c>
      <c r="K68" s="1">
        <v>0.70299999999999996</v>
      </c>
      <c r="L68" s="25">
        <v>0.70099999999999996</v>
      </c>
      <c r="N68" s="22">
        <v>960</v>
      </c>
      <c r="O68" s="152">
        <f t="shared" si="4"/>
        <v>-3.2656250000001395E-3</v>
      </c>
      <c r="P68" s="152">
        <f t="shared" si="4"/>
        <v>-4.6875000000001412E-3</v>
      </c>
      <c r="Q68" s="153">
        <f t="shared" si="4"/>
        <v>-4.6875000000001412E-3</v>
      </c>
      <c r="R68" s="152">
        <f t="shared" si="4"/>
        <v>-3.2656250000001395E-3</v>
      </c>
      <c r="S68" s="152">
        <f t="shared" si="4"/>
        <v>-7.5312500000001429E-3</v>
      </c>
      <c r="T68" s="154">
        <f t="shared" si="4"/>
        <v>2.4218749999998651E-3</v>
      </c>
      <c r="U68" s="155">
        <f t="shared" si="3"/>
        <v>-1.8437500000001385E-3</v>
      </c>
      <c r="V68" s="152">
        <f t="shared" si="3"/>
        <v>-4.2187500000013736E-4</v>
      </c>
      <c r="W68" s="152">
        <f t="shared" si="3"/>
        <v>-3.2656250000001395E-3</v>
      </c>
    </row>
    <row r="69" spans="2:23" x14ac:dyDescent="0.45">
      <c r="B69" s="50">
        <v>975</v>
      </c>
      <c r="C69" s="150">
        <f t="shared" ref="C69:C132" si="5">3*B69/4095</f>
        <v>0.7142857142857143</v>
      </c>
      <c r="D69" s="23">
        <v>0.71199999999999997</v>
      </c>
      <c r="E69" s="1">
        <v>0.71099999999999997</v>
      </c>
      <c r="F69" s="24">
        <v>0.71199999999999997</v>
      </c>
      <c r="G69" s="4">
        <v>0.71199999999999997</v>
      </c>
      <c r="H69" s="1">
        <v>0.70899999999999996</v>
      </c>
      <c r="I69" s="25">
        <v>0.71599999999999997</v>
      </c>
      <c r="J69" s="23">
        <v>0.71299999999999997</v>
      </c>
      <c r="K69" s="1">
        <v>0.71399999999999997</v>
      </c>
      <c r="L69" s="25">
        <v>0.71199999999999997</v>
      </c>
      <c r="N69" s="22">
        <v>975</v>
      </c>
      <c r="O69" s="152">
        <f t="shared" si="4"/>
        <v>-3.2000000000000695E-3</v>
      </c>
      <c r="P69" s="152">
        <f t="shared" si="4"/>
        <v>-4.6000000000000702E-3</v>
      </c>
      <c r="Q69" s="153">
        <f t="shared" si="4"/>
        <v>-3.2000000000000695E-3</v>
      </c>
      <c r="R69" s="152">
        <f t="shared" si="4"/>
        <v>-3.2000000000000695E-3</v>
      </c>
      <c r="S69" s="152">
        <f t="shared" si="4"/>
        <v>-7.4000000000000732E-3</v>
      </c>
      <c r="T69" s="154">
        <f t="shared" si="4"/>
        <v>2.3999999999999356E-3</v>
      </c>
      <c r="U69" s="155">
        <f t="shared" si="3"/>
        <v>-1.8000000000000683E-3</v>
      </c>
      <c r="V69" s="152">
        <f t="shared" si="3"/>
        <v>-4.0000000000006697E-4</v>
      </c>
      <c r="W69" s="152">
        <f t="shared" si="3"/>
        <v>-3.2000000000000695E-3</v>
      </c>
    </row>
    <row r="70" spans="2:23" x14ac:dyDescent="0.45">
      <c r="B70" s="50">
        <v>990</v>
      </c>
      <c r="C70" s="150">
        <f t="shared" si="5"/>
        <v>0.72527472527472525</v>
      </c>
      <c r="D70" s="23">
        <v>0.72299999999999998</v>
      </c>
      <c r="E70" s="1">
        <v>0.72199999999999998</v>
      </c>
      <c r="F70" s="24">
        <v>0.72299999999999998</v>
      </c>
      <c r="G70" s="4">
        <v>0.72299999999999998</v>
      </c>
      <c r="H70" s="1">
        <v>0.72</v>
      </c>
      <c r="I70" s="25">
        <v>0.72699999999999998</v>
      </c>
      <c r="J70" s="23">
        <v>0.72399999999999998</v>
      </c>
      <c r="K70" s="1">
        <v>0.72499999999999998</v>
      </c>
      <c r="L70" s="25">
        <v>0.72299999999999998</v>
      </c>
      <c r="N70" s="22">
        <v>990</v>
      </c>
      <c r="O70" s="152">
        <f t="shared" si="4"/>
        <v>-3.1363636363636377E-3</v>
      </c>
      <c r="P70" s="152">
        <f t="shared" si="4"/>
        <v>-4.515151515151518E-3</v>
      </c>
      <c r="Q70" s="153">
        <f t="shared" si="4"/>
        <v>-3.1363636363636377E-3</v>
      </c>
      <c r="R70" s="152">
        <f t="shared" si="4"/>
        <v>-3.1363636363636377E-3</v>
      </c>
      <c r="S70" s="152">
        <f t="shared" si="4"/>
        <v>-7.2727272727272779E-3</v>
      </c>
      <c r="T70" s="154">
        <f t="shared" si="4"/>
        <v>2.3787878787878826E-3</v>
      </c>
      <c r="U70" s="155">
        <f t="shared" si="3"/>
        <v>-1.7575757575757575E-3</v>
      </c>
      <c r="V70" s="152">
        <f t="shared" si="3"/>
        <v>-3.7878787878787743E-4</v>
      </c>
      <c r="W70" s="152">
        <f t="shared" si="3"/>
        <v>-3.1363636363636377E-3</v>
      </c>
    </row>
    <row r="71" spans="2:23" x14ac:dyDescent="0.45">
      <c r="B71" s="50">
        <v>1005</v>
      </c>
      <c r="C71" s="150">
        <f t="shared" si="5"/>
        <v>0.73626373626373631</v>
      </c>
      <c r="D71" s="23">
        <v>0.73399999999999999</v>
      </c>
      <c r="E71" s="1">
        <v>0.73299999999999998</v>
      </c>
      <c r="F71" s="24">
        <v>0.73399999999999999</v>
      </c>
      <c r="G71" s="4">
        <v>0.73399999999999999</v>
      </c>
      <c r="H71" s="1">
        <v>0.73099999999999998</v>
      </c>
      <c r="I71" s="25">
        <v>0.73799999999999999</v>
      </c>
      <c r="J71" s="23">
        <v>0.73499999999999999</v>
      </c>
      <c r="K71" s="1">
        <v>0.73599999999999999</v>
      </c>
      <c r="L71" s="25">
        <v>0.73399999999999999</v>
      </c>
      <c r="N71" s="22">
        <v>1005</v>
      </c>
      <c r="O71" s="152">
        <f t="shared" si="4"/>
        <v>-3.074626865671727E-3</v>
      </c>
      <c r="P71" s="152">
        <f t="shared" si="4"/>
        <v>-4.4328358208956089E-3</v>
      </c>
      <c r="Q71" s="153">
        <f t="shared" si="4"/>
        <v>-3.074626865671727E-3</v>
      </c>
      <c r="R71" s="152">
        <f t="shared" si="4"/>
        <v>-3.074626865671727E-3</v>
      </c>
      <c r="S71" s="152">
        <f t="shared" si="4"/>
        <v>-7.1492537313433725E-3</v>
      </c>
      <c r="T71" s="154">
        <f t="shared" si="4"/>
        <v>2.3582089552237999E-3</v>
      </c>
      <c r="U71" s="155">
        <f t="shared" si="3"/>
        <v>-1.7164179104478454E-3</v>
      </c>
      <c r="V71" s="152">
        <f t="shared" si="3"/>
        <v>-3.5820895522396373E-4</v>
      </c>
      <c r="W71" s="152">
        <f t="shared" si="3"/>
        <v>-3.074626865671727E-3</v>
      </c>
    </row>
    <row r="72" spans="2:23" x14ac:dyDescent="0.45">
      <c r="B72" s="50">
        <v>1020</v>
      </c>
      <c r="C72" s="150">
        <f t="shared" si="5"/>
        <v>0.74725274725274726</v>
      </c>
      <c r="D72" s="23">
        <v>0.74399999999999999</v>
      </c>
      <c r="E72" s="1">
        <v>0.74399999999999999</v>
      </c>
      <c r="F72" s="24">
        <v>0.74399999999999999</v>
      </c>
      <c r="G72" s="4">
        <v>0.745</v>
      </c>
      <c r="H72" s="1">
        <v>0.74099999999999999</v>
      </c>
      <c r="I72" s="25">
        <v>0.749</v>
      </c>
      <c r="J72" s="23">
        <v>0.746</v>
      </c>
      <c r="K72" s="1">
        <v>0.747</v>
      </c>
      <c r="L72" s="25">
        <v>0.745</v>
      </c>
      <c r="N72" s="22">
        <v>1020</v>
      </c>
      <c r="O72" s="152">
        <f t="shared" si="4"/>
        <v>-4.352941176470608E-3</v>
      </c>
      <c r="P72" s="152">
        <f t="shared" si="4"/>
        <v>-4.352941176470608E-3</v>
      </c>
      <c r="Q72" s="153">
        <f t="shared" si="4"/>
        <v>-4.352941176470608E-3</v>
      </c>
      <c r="R72" s="152">
        <f t="shared" si="4"/>
        <v>-3.0147058823529601E-3</v>
      </c>
      <c r="S72" s="152">
        <f t="shared" si="4"/>
        <v>-8.3676470588235526E-3</v>
      </c>
      <c r="T72" s="154">
        <f t="shared" si="4"/>
        <v>2.3382352941176327E-3</v>
      </c>
      <c r="U72" s="155">
        <f t="shared" si="3"/>
        <v>-1.6764705882353118E-3</v>
      </c>
      <c r="V72" s="152">
        <f t="shared" si="3"/>
        <v>-3.382352941176637E-4</v>
      </c>
      <c r="W72" s="152">
        <f t="shared" si="3"/>
        <v>-3.0147058823529601E-3</v>
      </c>
    </row>
    <row r="73" spans="2:23" x14ac:dyDescent="0.45">
      <c r="B73" s="50">
        <v>1035</v>
      </c>
      <c r="C73" s="150">
        <f t="shared" si="5"/>
        <v>0.75824175824175821</v>
      </c>
      <c r="D73" s="23">
        <v>0.755</v>
      </c>
      <c r="E73" s="1">
        <v>0.755</v>
      </c>
      <c r="F73" s="24">
        <v>0.75600000000000001</v>
      </c>
      <c r="G73" s="4">
        <v>0.75600000000000001</v>
      </c>
      <c r="H73" s="1">
        <v>0.752</v>
      </c>
      <c r="I73" s="25">
        <v>0.76</v>
      </c>
      <c r="J73" s="23">
        <v>0.75700000000000001</v>
      </c>
      <c r="K73" s="1">
        <v>0.75900000000000001</v>
      </c>
      <c r="L73" s="25">
        <v>0.75600000000000001</v>
      </c>
      <c r="N73" s="22">
        <v>1035</v>
      </c>
      <c r="O73" s="152">
        <f t="shared" si="4"/>
        <v>-4.2753623188405351E-3</v>
      </c>
      <c r="P73" s="152">
        <f t="shared" si="4"/>
        <v>-4.2753623188405351E-3</v>
      </c>
      <c r="Q73" s="153">
        <f t="shared" si="4"/>
        <v>-2.9565217391303894E-3</v>
      </c>
      <c r="R73" s="152">
        <f t="shared" si="4"/>
        <v>-2.9565217391303894E-3</v>
      </c>
      <c r="S73" s="152">
        <f t="shared" si="4"/>
        <v>-8.2318840579709736E-3</v>
      </c>
      <c r="T73" s="154">
        <f t="shared" si="4"/>
        <v>2.3188405797101952E-3</v>
      </c>
      <c r="U73" s="155">
        <f t="shared" si="3"/>
        <v>-1.6376811594202431E-3</v>
      </c>
      <c r="V73" s="152">
        <f t="shared" si="3"/>
        <v>1.0000000000000492E-3</v>
      </c>
      <c r="W73" s="152">
        <f t="shared" si="3"/>
        <v>-2.9565217391303894E-3</v>
      </c>
    </row>
    <row r="74" spans="2:23" x14ac:dyDescent="0.45">
      <c r="B74" s="50">
        <v>1050</v>
      </c>
      <c r="C74" s="150">
        <f t="shared" si="5"/>
        <v>0.76923076923076927</v>
      </c>
      <c r="D74" s="23">
        <v>0.76600000000000001</v>
      </c>
      <c r="E74" s="1">
        <v>0.76600000000000001</v>
      </c>
      <c r="F74" s="24">
        <v>0.76700000000000002</v>
      </c>
      <c r="G74" s="4">
        <v>0.76700000000000002</v>
      </c>
      <c r="H74" s="1">
        <v>0.76300000000000001</v>
      </c>
      <c r="I74" s="25">
        <v>0.77100000000000002</v>
      </c>
      <c r="J74" s="23">
        <v>0.76800000000000002</v>
      </c>
      <c r="K74" s="1">
        <v>0.77</v>
      </c>
      <c r="L74" s="25">
        <v>0.76700000000000002</v>
      </c>
      <c r="N74" s="22">
        <v>1050</v>
      </c>
      <c r="O74" s="152">
        <f t="shared" si="4"/>
        <v>-4.200000000000037E-3</v>
      </c>
      <c r="P74" s="152">
        <f t="shared" si="4"/>
        <v>-4.200000000000037E-3</v>
      </c>
      <c r="Q74" s="153">
        <f t="shared" si="4"/>
        <v>-2.9000000000000358E-3</v>
      </c>
      <c r="R74" s="152">
        <f t="shared" si="4"/>
        <v>-2.9000000000000358E-3</v>
      </c>
      <c r="S74" s="152">
        <f t="shared" si="4"/>
        <v>-8.1000000000000395E-3</v>
      </c>
      <c r="T74" s="154">
        <f t="shared" si="4"/>
        <v>2.2999999999999687E-3</v>
      </c>
      <c r="U74" s="155">
        <f t="shared" si="3"/>
        <v>-1.6000000000000346E-3</v>
      </c>
      <c r="V74" s="152">
        <f t="shared" si="3"/>
        <v>9.9999999999996749E-4</v>
      </c>
      <c r="W74" s="152">
        <f t="shared" si="3"/>
        <v>-2.9000000000000358E-3</v>
      </c>
    </row>
    <row r="75" spans="2:23" x14ac:dyDescent="0.45">
      <c r="B75" s="50">
        <v>1065</v>
      </c>
      <c r="C75" s="150">
        <f t="shared" si="5"/>
        <v>0.78021978021978022</v>
      </c>
      <c r="D75" s="23">
        <v>0.77700000000000002</v>
      </c>
      <c r="E75" s="1">
        <v>0.77700000000000002</v>
      </c>
      <c r="F75" s="24">
        <v>0.77800000000000002</v>
      </c>
      <c r="G75" s="4">
        <v>0.77800000000000002</v>
      </c>
      <c r="H75" s="1">
        <v>0.77400000000000002</v>
      </c>
      <c r="I75" s="25">
        <v>0.78200000000000003</v>
      </c>
      <c r="J75" s="23">
        <v>0.77900000000000003</v>
      </c>
      <c r="K75" s="1">
        <v>0.78100000000000003</v>
      </c>
      <c r="L75" s="25">
        <v>0.77800000000000002</v>
      </c>
      <c r="N75" s="22">
        <v>1065</v>
      </c>
      <c r="O75" s="152">
        <f t="shared" si="4"/>
        <v>-4.1267605633802558E-3</v>
      </c>
      <c r="P75" s="152">
        <f t="shared" si="4"/>
        <v>-4.1267605633802558E-3</v>
      </c>
      <c r="Q75" s="153">
        <f t="shared" si="4"/>
        <v>-2.8450704225351842E-3</v>
      </c>
      <c r="R75" s="152">
        <f t="shared" si="4"/>
        <v>-2.8450704225351842E-3</v>
      </c>
      <c r="S75" s="152">
        <f t="shared" si="4"/>
        <v>-7.97183098591547E-3</v>
      </c>
      <c r="T75" s="154">
        <f t="shared" si="4"/>
        <v>2.2816901408451024E-3</v>
      </c>
      <c r="U75" s="155">
        <f t="shared" si="3"/>
        <v>-1.5633802816901125E-3</v>
      </c>
      <c r="V75" s="152">
        <f t="shared" si="3"/>
        <v>1.0000000000000306E-3</v>
      </c>
      <c r="W75" s="152">
        <f t="shared" si="3"/>
        <v>-2.8450704225351842E-3</v>
      </c>
    </row>
    <row r="76" spans="2:23" x14ac:dyDescent="0.45">
      <c r="B76" s="50">
        <v>1080</v>
      </c>
      <c r="C76" s="150">
        <f t="shared" si="5"/>
        <v>0.79120879120879117</v>
      </c>
      <c r="D76" s="23">
        <v>0.78800000000000003</v>
      </c>
      <c r="E76" s="1">
        <v>0.78800000000000003</v>
      </c>
      <c r="F76" s="24">
        <v>0.78900000000000003</v>
      </c>
      <c r="G76" s="4">
        <v>0.78900000000000003</v>
      </c>
      <c r="H76" s="1">
        <v>0.78500000000000003</v>
      </c>
      <c r="I76" s="25">
        <v>0.79300000000000004</v>
      </c>
      <c r="J76" s="23">
        <v>0.79</v>
      </c>
      <c r="K76" s="1">
        <v>0.79100000000000004</v>
      </c>
      <c r="L76" s="25">
        <v>0.78900000000000003</v>
      </c>
      <c r="N76" s="22">
        <v>1080</v>
      </c>
      <c r="O76" s="152">
        <f t="shared" si="4"/>
        <v>-4.0555555555554686E-3</v>
      </c>
      <c r="P76" s="152">
        <f t="shared" si="4"/>
        <v>-4.0555555555554686E-3</v>
      </c>
      <c r="Q76" s="153">
        <f t="shared" si="4"/>
        <v>-2.7916666666665782E-3</v>
      </c>
      <c r="R76" s="152">
        <f t="shared" si="4"/>
        <v>-2.7916666666665782E-3</v>
      </c>
      <c r="S76" s="152">
        <f t="shared" si="4"/>
        <v>-7.8472222222221392E-3</v>
      </c>
      <c r="T76" s="154">
        <f t="shared" si="4"/>
        <v>2.2638888888889819E-3</v>
      </c>
      <c r="U76" s="155">
        <f t="shared" si="3"/>
        <v>-1.5277777777776883E-3</v>
      </c>
      <c r="V76" s="152">
        <f t="shared" si="3"/>
        <v>-2.6388888888879817E-4</v>
      </c>
      <c r="W76" s="152">
        <f t="shared" si="3"/>
        <v>-2.7916666666665782E-3</v>
      </c>
    </row>
    <row r="77" spans="2:23" x14ac:dyDescent="0.45">
      <c r="B77" s="50">
        <v>1095</v>
      </c>
      <c r="C77" s="150">
        <f t="shared" si="5"/>
        <v>0.80219780219780223</v>
      </c>
      <c r="D77" s="23">
        <v>0.79900000000000004</v>
      </c>
      <c r="E77" s="1">
        <v>0.79900000000000004</v>
      </c>
      <c r="F77" s="24">
        <v>0.8</v>
      </c>
      <c r="G77" s="4">
        <v>0.8</v>
      </c>
      <c r="H77" s="1">
        <v>0.79500000000000004</v>
      </c>
      <c r="I77" s="25">
        <v>0.80400000000000005</v>
      </c>
      <c r="J77" s="23">
        <v>0.80100000000000005</v>
      </c>
      <c r="K77" s="1">
        <v>0.80200000000000005</v>
      </c>
      <c r="L77" s="25">
        <v>0.8</v>
      </c>
      <c r="N77" s="22">
        <v>1095</v>
      </c>
      <c r="O77" s="152">
        <f t="shared" si="4"/>
        <v>-3.9863013698630051E-3</v>
      </c>
      <c r="P77" s="152">
        <f t="shared" si="4"/>
        <v>-3.9863013698630051E-3</v>
      </c>
      <c r="Q77" s="153">
        <f t="shared" si="4"/>
        <v>-2.7397260273972503E-3</v>
      </c>
      <c r="R77" s="152">
        <f t="shared" si="4"/>
        <v>-2.7397260273972503E-3</v>
      </c>
      <c r="S77" s="152">
        <f t="shared" si="4"/>
        <v>-8.9726027397260232E-3</v>
      </c>
      <c r="T77" s="154">
        <f t="shared" si="4"/>
        <v>2.2465753424657673E-3</v>
      </c>
      <c r="U77" s="155">
        <f t="shared" si="3"/>
        <v>-1.493150684931496E-3</v>
      </c>
      <c r="V77" s="152">
        <f t="shared" si="3"/>
        <v>-2.4657534246574149E-4</v>
      </c>
      <c r="W77" s="152">
        <f t="shared" si="3"/>
        <v>-2.7397260273972503E-3</v>
      </c>
    </row>
    <row r="78" spans="2:23" x14ac:dyDescent="0.45">
      <c r="B78" s="50">
        <v>1110</v>
      </c>
      <c r="C78" s="150">
        <f t="shared" si="5"/>
        <v>0.81318681318681318</v>
      </c>
      <c r="D78" s="23">
        <v>0.81</v>
      </c>
      <c r="E78" s="1">
        <v>0.81</v>
      </c>
      <c r="F78" s="24">
        <v>0.81100000000000005</v>
      </c>
      <c r="G78" s="4">
        <v>0.81100000000000005</v>
      </c>
      <c r="H78" s="1">
        <v>0.80700000000000005</v>
      </c>
      <c r="I78" s="25">
        <v>0.81499999999999995</v>
      </c>
      <c r="J78" s="23">
        <v>0.81200000000000006</v>
      </c>
      <c r="K78" s="1">
        <v>0.81399999999999995</v>
      </c>
      <c r="L78" s="25">
        <v>0.81100000000000005</v>
      </c>
      <c r="N78" s="22">
        <v>1110</v>
      </c>
      <c r="O78" s="152">
        <f t="shared" si="4"/>
        <v>-3.9189189189188503E-3</v>
      </c>
      <c r="P78" s="152">
        <f t="shared" si="4"/>
        <v>-3.9189189189188503E-3</v>
      </c>
      <c r="Q78" s="153">
        <f t="shared" si="4"/>
        <v>-2.6891891891891195E-3</v>
      </c>
      <c r="R78" s="152">
        <f t="shared" si="4"/>
        <v>-2.6891891891891195E-3</v>
      </c>
      <c r="S78" s="152">
        <f t="shared" si="4"/>
        <v>-7.6081081081080431E-3</v>
      </c>
      <c r="T78" s="154">
        <f t="shared" si="4"/>
        <v>2.2297297297296671E-3</v>
      </c>
      <c r="U78" s="155">
        <f t="shared" si="3"/>
        <v>-1.4594594594593887E-3</v>
      </c>
      <c r="V78" s="152">
        <f t="shared" si="3"/>
        <v>9.9999999999993649E-4</v>
      </c>
      <c r="W78" s="152">
        <f t="shared" si="3"/>
        <v>-2.6891891891891195E-3</v>
      </c>
    </row>
    <row r="79" spans="2:23" x14ac:dyDescent="0.45">
      <c r="B79" s="50">
        <v>1125</v>
      </c>
      <c r="C79" s="150">
        <f t="shared" si="5"/>
        <v>0.82417582417582413</v>
      </c>
      <c r="D79" s="23">
        <v>0.82099999999999995</v>
      </c>
      <c r="E79" s="1">
        <v>0.82</v>
      </c>
      <c r="F79" s="24">
        <v>0.82199999999999995</v>
      </c>
      <c r="G79" s="4">
        <v>0.82199999999999995</v>
      </c>
      <c r="H79" s="1">
        <v>0.81699999999999995</v>
      </c>
      <c r="I79" s="25">
        <v>0.82599999999999996</v>
      </c>
      <c r="J79" s="23">
        <v>0.82299999999999995</v>
      </c>
      <c r="K79" s="1">
        <v>0.82499999999999996</v>
      </c>
      <c r="L79" s="25">
        <v>0.82199999999999995</v>
      </c>
      <c r="N79" s="22">
        <v>1125</v>
      </c>
      <c r="O79" s="152">
        <f t="shared" si="4"/>
        <v>-3.8533333333333414E-3</v>
      </c>
      <c r="P79" s="152">
        <f t="shared" si="4"/>
        <v>-5.0666666666666759E-3</v>
      </c>
      <c r="Q79" s="153">
        <f t="shared" si="4"/>
        <v>-2.6400000000000069E-3</v>
      </c>
      <c r="R79" s="152">
        <f t="shared" si="4"/>
        <v>-2.6400000000000069E-3</v>
      </c>
      <c r="S79" s="152">
        <f t="shared" si="4"/>
        <v>-8.7066666666666785E-3</v>
      </c>
      <c r="T79" s="154">
        <f t="shared" si="4"/>
        <v>2.213333333333331E-3</v>
      </c>
      <c r="U79" s="155">
        <f t="shared" si="3"/>
        <v>-1.4266666666666724E-3</v>
      </c>
      <c r="V79" s="152">
        <f t="shared" si="3"/>
        <v>9.9999999999999655E-4</v>
      </c>
      <c r="W79" s="152">
        <f t="shared" si="3"/>
        <v>-2.6400000000000069E-3</v>
      </c>
    </row>
    <row r="80" spans="2:23" x14ac:dyDescent="0.45">
      <c r="B80" s="50">
        <v>1140</v>
      </c>
      <c r="C80" s="150">
        <f t="shared" si="5"/>
        <v>0.8351648351648352</v>
      </c>
      <c r="D80" s="23">
        <v>0.83199999999999996</v>
      </c>
      <c r="E80" s="1">
        <v>0.83099999999999996</v>
      </c>
      <c r="F80" s="24">
        <v>0.83299999999999996</v>
      </c>
      <c r="G80" s="4">
        <v>0.83299999999999996</v>
      </c>
      <c r="H80" s="1">
        <v>0.82799999999999996</v>
      </c>
      <c r="I80" s="25">
        <v>0.83699999999999997</v>
      </c>
      <c r="J80" s="23">
        <v>0.83399999999999996</v>
      </c>
      <c r="K80" s="1">
        <v>0.83599999999999997</v>
      </c>
      <c r="L80" s="25">
        <v>0.83299999999999996</v>
      </c>
      <c r="N80" s="22">
        <v>1140</v>
      </c>
      <c r="O80" s="152">
        <f t="shared" si="4"/>
        <v>-3.7894736842106085E-3</v>
      </c>
      <c r="P80" s="152">
        <f t="shared" si="4"/>
        <v>-4.9868421052632408E-3</v>
      </c>
      <c r="Q80" s="153">
        <f t="shared" si="4"/>
        <v>-2.5921052631579758E-3</v>
      </c>
      <c r="R80" s="152">
        <f t="shared" si="4"/>
        <v>-2.5921052631579758E-3</v>
      </c>
      <c r="S80" s="152">
        <f t="shared" si="4"/>
        <v>-8.578947368421139E-3</v>
      </c>
      <c r="T80" s="154">
        <f t="shared" si="4"/>
        <v>2.1973684210525547E-3</v>
      </c>
      <c r="U80" s="155">
        <f t="shared" si="3"/>
        <v>-1.3947368421053433E-3</v>
      </c>
      <c r="V80" s="152">
        <f t="shared" si="3"/>
        <v>9.9999999999992196E-4</v>
      </c>
      <c r="W80" s="152">
        <f t="shared" si="3"/>
        <v>-2.5921052631579758E-3</v>
      </c>
    </row>
    <row r="81" spans="2:23" x14ac:dyDescent="0.45">
      <c r="B81" s="50">
        <v>1155</v>
      </c>
      <c r="C81" s="150">
        <f t="shared" si="5"/>
        <v>0.84615384615384615</v>
      </c>
      <c r="D81" s="23">
        <v>0.84299999999999997</v>
      </c>
      <c r="E81" s="1">
        <v>0.84199999999999997</v>
      </c>
      <c r="F81" s="24">
        <v>0.84399999999999997</v>
      </c>
      <c r="G81" s="4">
        <v>0.84299999999999997</v>
      </c>
      <c r="H81" s="1">
        <v>0.83899999999999997</v>
      </c>
      <c r="I81" s="25">
        <v>0.84899999999999998</v>
      </c>
      <c r="J81" s="23">
        <v>0.84499999999999997</v>
      </c>
      <c r="K81" s="1">
        <v>0.84599999999999997</v>
      </c>
      <c r="L81" s="25">
        <v>0.84399999999999997</v>
      </c>
      <c r="N81" s="22">
        <v>1155</v>
      </c>
      <c r="O81" s="152">
        <f t="shared" si="4"/>
        <v>-3.7272727272727509E-3</v>
      </c>
      <c r="P81" s="152">
        <f t="shared" si="4"/>
        <v>-4.9090909090909341E-3</v>
      </c>
      <c r="Q81" s="153">
        <f t="shared" si="4"/>
        <v>-2.5454545454545677E-3</v>
      </c>
      <c r="R81" s="152">
        <f t="shared" si="4"/>
        <v>-3.7272727272727509E-3</v>
      </c>
      <c r="S81" s="152">
        <f t="shared" si="4"/>
        <v>-8.4545454545454819E-3</v>
      </c>
      <c r="T81" s="154">
        <f t="shared" si="4"/>
        <v>3.3636363636363464E-3</v>
      </c>
      <c r="U81" s="155">
        <f t="shared" si="3"/>
        <v>-1.363636363636385E-3</v>
      </c>
      <c r="V81" s="152">
        <f t="shared" si="3"/>
        <v>-1.8181818181820216E-4</v>
      </c>
      <c r="W81" s="152">
        <f t="shared" si="3"/>
        <v>-2.5454545454545677E-3</v>
      </c>
    </row>
    <row r="82" spans="2:23" x14ac:dyDescent="0.45">
      <c r="B82" s="50">
        <v>1170</v>
      </c>
      <c r="C82" s="150">
        <f t="shared" si="5"/>
        <v>0.8571428571428571</v>
      </c>
      <c r="D82" s="23">
        <v>0.85399999999999998</v>
      </c>
      <c r="E82" s="1">
        <v>0.85299999999999998</v>
      </c>
      <c r="F82" s="24">
        <v>0.85499999999999998</v>
      </c>
      <c r="G82" s="4">
        <v>0.85499999999999998</v>
      </c>
      <c r="H82" s="1">
        <v>0.85</v>
      </c>
      <c r="I82" s="25">
        <v>0.86</v>
      </c>
      <c r="J82" s="23">
        <v>0.85599999999999998</v>
      </c>
      <c r="K82" s="1">
        <v>0.85699999999999998</v>
      </c>
      <c r="L82" s="25">
        <v>0.85499999999999998</v>
      </c>
      <c r="N82" s="22">
        <v>1170</v>
      </c>
      <c r="O82" s="152">
        <f t="shared" si="4"/>
        <v>-3.6666666666666332E-3</v>
      </c>
      <c r="P82" s="152">
        <f t="shared" si="4"/>
        <v>-4.8333333333333006E-3</v>
      </c>
      <c r="Q82" s="153">
        <f t="shared" si="4"/>
        <v>-2.4999999999999654E-3</v>
      </c>
      <c r="R82" s="152">
        <f t="shared" si="4"/>
        <v>-2.4999999999999654E-3</v>
      </c>
      <c r="S82" s="152">
        <f t="shared" si="4"/>
        <v>-8.3333333333333037E-3</v>
      </c>
      <c r="T82" s="154">
        <f t="shared" si="4"/>
        <v>3.3333333333333734E-3</v>
      </c>
      <c r="U82" s="155">
        <f t="shared" si="3"/>
        <v>-1.3333333333332975E-3</v>
      </c>
      <c r="V82" s="152">
        <f t="shared" si="3"/>
        <v>-1.6666666666662983E-4</v>
      </c>
      <c r="W82" s="152">
        <f t="shared" si="3"/>
        <v>-2.4999999999999654E-3</v>
      </c>
    </row>
    <row r="83" spans="2:23" x14ac:dyDescent="0.45">
      <c r="B83" s="50">
        <v>1185</v>
      </c>
      <c r="C83" s="150">
        <f t="shared" si="5"/>
        <v>0.86813186813186816</v>
      </c>
      <c r="D83" s="23">
        <v>0.86499999999999999</v>
      </c>
      <c r="E83" s="1">
        <v>0.86399999999999999</v>
      </c>
      <c r="F83" s="24">
        <v>0.86599999999999999</v>
      </c>
      <c r="G83" s="4">
        <v>0.86499999999999999</v>
      </c>
      <c r="H83" s="1">
        <v>0.86099999999999999</v>
      </c>
      <c r="I83" s="25">
        <v>0.871</v>
      </c>
      <c r="J83" s="23">
        <v>0.86699999999999999</v>
      </c>
      <c r="K83" s="1">
        <v>0.86899999999999999</v>
      </c>
      <c r="L83" s="25">
        <v>0.86599999999999999</v>
      </c>
      <c r="N83" s="22">
        <v>1185</v>
      </c>
      <c r="O83" s="152">
        <f t="shared" si="4"/>
        <v>-3.6075949367088988E-3</v>
      </c>
      <c r="P83" s="152">
        <f t="shared" si="4"/>
        <v>-4.7594936708861149E-3</v>
      </c>
      <c r="Q83" s="153">
        <f t="shared" si="4"/>
        <v>-2.4556962025316827E-3</v>
      </c>
      <c r="R83" s="152">
        <f t="shared" si="4"/>
        <v>-3.6075949367088988E-3</v>
      </c>
      <c r="S83" s="152">
        <f t="shared" si="4"/>
        <v>-8.2151898734177629E-3</v>
      </c>
      <c r="T83" s="154">
        <f t="shared" si="4"/>
        <v>3.303797468354398E-3</v>
      </c>
      <c r="U83" s="155">
        <f t="shared" si="3"/>
        <v>-1.3037974683544667E-3</v>
      </c>
      <c r="V83" s="152">
        <f t="shared" si="3"/>
        <v>9.9999999999996576E-4</v>
      </c>
      <c r="W83" s="152">
        <f t="shared" si="3"/>
        <v>-2.4556962025316827E-3</v>
      </c>
    </row>
    <row r="84" spans="2:23" x14ac:dyDescent="0.45">
      <c r="B84" s="50">
        <v>1200</v>
      </c>
      <c r="C84" s="150">
        <f t="shared" si="5"/>
        <v>0.87912087912087911</v>
      </c>
      <c r="D84" s="23">
        <v>0.876</v>
      </c>
      <c r="E84" s="1">
        <v>0.875</v>
      </c>
      <c r="F84" s="24">
        <v>0.877</v>
      </c>
      <c r="G84" s="4">
        <v>0.876</v>
      </c>
      <c r="H84" s="1">
        <v>0.872</v>
      </c>
      <c r="I84" s="25">
        <v>0.88100000000000001</v>
      </c>
      <c r="J84" s="23">
        <v>0.878</v>
      </c>
      <c r="K84" s="1">
        <v>0.879</v>
      </c>
      <c r="L84" s="25">
        <v>0.876</v>
      </c>
      <c r="N84" s="22">
        <v>1200</v>
      </c>
      <c r="O84" s="152">
        <f t="shared" si="4"/>
        <v>-3.5499999999999824E-3</v>
      </c>
      <c r="P84" s="152">
        <f t="shared" si="4"/>
        <v>-4.6874999999999833E-3</v>
      </c>
      <c r="Q84" s="153">
        <f t="shared" si="4"/>
        <v>-2.4124999999999815E-3</v>
      </c>
      <c r="R84" s="152">
        <f t="shared" si="4"/>
        <v>-3.5499999999999824E-3</v>
      </c>
      <c r="S84" s="152">
        <f t="shared" si="4"/>
        <v>-8.0999999999999857E-3</v>
      </c>
      <c r="T84" s="154">
        <f t="shared" si="4"/>
        <v>2.1375000000000226E-3</v>
      </c>
      <c r="U84" s="155">
        <f t="shared" si="3"/>
        <v>-1.2749999999999804E-3</v>
      </c>
      <c r="V84" s="152">
        <f t="shared" si="3"/>
        <v>-1.374999999999793E-4</v>
      </c>
      <c r="W84" s="152">
        <f t="shared" si="3"/>
        <v>-3.5499999999999824E-3</v>
      </c>
    </row>
    <row r="85" spans="2:23" x14ac:dyDescent="0.45">
      <c r="B85" s="50">
        <v>1215</v>
      </c>
      <c r="C85" s="150">
        <f t="shared" si="5"/>
        <v>0.89010989010989006</v>
      </c>
      <c r="D85" s="23">
        <v>0.88700000000000001</v>
      </c>
      <c r="E85" s="1">
        <v>0.88600000000000001</v>
      </c>
      <c r="F85" s="24">
        <v>0.88800000000000001</v>
      </c>
      <c r="G85" s="4">
        <v>0.88700000000000001</v>
      </c>
      <c r="H85" s="1">
        <v>0.88300000000000001</v>
      </c>
      <c r="I85" s="25">
        <v>0.89200000000000002</v>
      </c>
      <c r="J85" s="23">
        <v>0.88800000000000001</v>
      </c>
      <c r="K85" s="1">
        <v>0.89</v>
      </c>
      <c r="L85" s="25">
        <v>0.88700000000000001</v>
      </c>
      <c r="N85" s="22">
        <v>1215</v>
      </c>
      <c r="O85" s="152">
        <f t="shared" si="4"/>
        <v>-3.4938271604937551E-3</v>
      </c>
      <c r="P85" s="152">
        <f t="shared" si="4"/>
        <v>-4.6172839506172132E-3</v>
      </c>
      <c r="Q85" s="153">
        <f t="shared" si="4"/>
        <v>-2.370370370370297E-3</v>
      </c>
      <c r="R85" s="152">
        <f t="shared" si="4"/>
        <v>-3.4938271604937551E-3</v>
      </c>
      <c r="S85" s="152">
        <f t="shared" si="4"/>
        <v>-7.9876543209875858E-3</v>
      </c>
      <c r="T85" s="154">
        <f t="shared" si="4"/>
        <v>2.123456790123534E-3</v>
      </c>
      <c r="U85" s="155">
        <f t="shared" si="3"/>
        <v>-2.370370370370297E-3</v>
      </c>
      <c r="V85" s="152">
        <f t="shared" si="3"/>
        <v>-1.2345679012338152E-4</v>
      </c>
      <c r="W85" s="152">
        <f t="shared" si="3"/>
        <v>-3.4938271604937551E-3</v>
      </c>
    </row>
    <row r="86" spans="2:23" x14ac:dyDescent="0.45">
      <c r="B86" s="50">
        <v>1230</v>
      </c>
      <c r="C86" s="150">
        <f t="shared" si="5"/>
        <v>0.90109890109890112</v>
      </c>
      <c r="D86" s="23">
        <v>0.89800000000000002</v>
      </c>
      <c r="E86" s="1">
        <v>0.89700000000000002</v>
      </c>
      <c r="F86" s="24">
        <v>0.89900000000000002</v>
      </c>
      <c r="G86" s="4">
        <v>0.89800000000000002</v>
      </c>
      <c r="H86" s="1">
        <v>0.89400000000000002</v>
      </c>
      <c r="I86" s="25">
        <v>0.90300000000000002</v>
      </c>
      <c r="J86" s="23">
        <v>0.9</v>
      </c>
      <c r="K86" s="1">
        <v>0.90100000000000002</v>
      </c>
      <c r="L86" s="25">
        <v>0.89800000000000002</v>
      </c>
      <c r="N86" s="22">
        <v>1230</v>
      </c>
      <c r="O86" s="152">
        <f t="shared" si="4"/>
        <v>-3.4390243902438999E-3</v>
      </c>
      <c r="P86" s="152">
        <f t="shared" si="4"/>
        <v>-4.5487804878048769E-3</v>
      </c>
      <c r="Q86" s="153">
        <f t="shared" si="4"/>
        <v>-2.3292682926829233E-3</v>
      </c>
      <c r="R86" s="152">
        <f t="shared" si="4"/>
        <v>-3.4390243902438999E-3</v>
      </c>
      <c r="S86" s="152">
        <f t="shared" si="4"/>
        <v>-7.8780487804878067E-3</v>
      </c>
      <c r="T86" s="154">
        <f t="shared" si="4"/>
        <v>2.1097560975609827E-3</v>
      </c>
      <c r="U86" s="155">
        <f t="shared" si="3"/>
        <v>-1.2195121951219469E-3</v>
      </c>
      <c r="V86" s="152">
        <f t="shared" si="3"/>
        <v>-1.0975609756097029E-4</v>
      </c>
      <c r="W86" s="152">
        <f t="shared" si="3"/>
        <v>-3.4390243902438999E-3</v>
      </c>
    </row>
    <row r="87" spans="2:23" x14ac:dyDescent="0.45">
      <c r="B87" s="50">
        <v>1245</v>
      </c>
      <c r="C87" s="150">
        <f t="shared" si="5"/>
        <v>0.91208791208791207</v>
      </c>
      <c r="D87" s="23">
        <v>0.90900000000000003</v>
      </c>
      <c r="E87" s="1">
        <v>0.90800000000000003</v>
      </c>
      <c r="F87" s="24">
        <v>0.91</v>
      </c>
      <c r="G87" s="4">
        <v>0.90900000000000003</v>
      </c>
      <c r="H87" s="1">
        <v>0.90500000000000003</v>
      </c>
      <c r="I87" s="25">
        <v>0.91400000000000003</v>
      </c>
      <c r="J87" s="23">
        <v>0.91100000000000003</v>
      </c>
      <c r="K87" s="1">
        <v>0.91200000000000003</v>
      </c>
      <c r="L87" s="25">
        <v>0.90900000000000003</v>
      </c>
      <c r="N87" s="22">
        <v>1245</v>
      </c>
      <c r="O87" s="152">
        <f t="shared" si="4"/>
        <v>-3.3855421686746429E-3</v>
      </c>
      <c r="P87" s="152">
        <f t="shared" si="4"/>
        <v>-4.4819277108433184E-3</v>
      </c>
      <c r="Q87" s="153">
        <f t="shared" si="4"/>
        <v>-2.2891566265059674E-3</v>
      </c>
      <c r="R87" s="152">
        <f t="shared" si="4"/>
        <v>-3.3855421686746429E-3</v>
      </c>
      <c r="S87" s="152">
        <f t="shared" si="4"/>
        <v>-7.7710843373493457E-3</v>
      </c>
      <c r="T87" s="154">
        <f t="shared" si="4"/>
        <v>2.0963855421687353E-3</v>
      </c>
      <c r="U87" s="155">
        <f t="shared" si="3"/>
        <v>-1.1927710843372917E-3</v>
      </c>
      <c r="V87" s="152">
        <f t="shared" si="3"/>
        <v>-9.6385542168615931E-5</v>
      </c>
      <c r="W87" s="152">
        <f t="shared" si="3"/>
        <v>-3.3855421686746429E-3</v>
      </c>
    </row>
    <row r="88" spans="2:23" x14ac:dyDescent="0.45">
      <c r="B88" s="50">
        <v>1260</v>
      </c>
      <c r="C88" s="150">
        <f t="shared" si="5"/>
        <v>0.92307692307692313</v>
      </c>
      <c r="D88" s="23">
        <v>0.92</v>
      </c>
      <c r="E88" s="1">
        <v>0.91900000000000004</v>
      </c>
      <c r="F88" s="24">
        <v>0.92100000000000004</v>
      </c>
      <c r="G88" s="4">
        <v>0.92</v>
      </c>
      <c r="H88" s="1">
        <v>0.91600000000000004</v>
      </c>
      <c r="I88" s="25">
        <v>0.92500000000000004</v>
      </c>
      <c r="J88" s="23">
        <v>0.92100000000000004</v>
      </c>
      <c r="K88" s="1">
        <v>0.92300000000000004</v>
      </c>
      <c r="L88" s="25">
        <v>0.92</v>
      </c>
      <c r="N88" s="22">
        <v>1260</v>
      </c>
      <c r="O88" s="152">
        <f t="shared" si="4"/>
        <v>-3.3333333333333453E-3</v>
      </c>
      <c r="P88" s="152">
        <f t="shared" si="4"/>
        <v>-4.4166666666666798E-3</v>
      </c>
      <c r="Q88" s="153">
        <f t="shared" si="4"/>
        <v>-2.2500000000000111E-3</v>
      </c>
      <c r="R88" s="152">
        <f t="shared" si="4"/>
        <v>-3.3333333333333453E-3</v>
      </c>
      <c r="S88" s="152">
        <f t="shared" si="4"/>
        <v>-7.6666666666666827E-3</v>
      </c>
      <c r="T88" s="154">
        <f t="shared" si="4"/>
        <v>2.0833333333333259E-3</v>
      </c>
      <c r="U88" s="155">
        <f t="shared" si="3"/>
        <v>-2.2500000000000111E-3</v>
      </c>
      <c r="V88" s="152">
        <f t="shared" si="3"/>
        <v>-8.3333333333342655E-5</v>
      </c>
      <c r="W88" s="152">
        <f t="shared" si="3"/>
        <v>-3.3333333333333453E-3</v>
      </c>
    </row>
    <row r="89" spans="2:23" x14ac:dyDescent="0.45">
      <c r="B89" s="50">
        <v>1275</v>
      </c>
      <c r="C89" s="150">
        <f t="shared" si="5"/>
        <v>0.93406593406593408</v>
      </c>
      <c r="D89" s="23">
        <v>0.93100000000000005</v>
      </c>
      <c r="E89" s="1">
        <v>0.93</v>
      </c>
      <c r="F89" s="24">
        <v>0.93200000000000005</v>
      </c>
      <c r="G89" s="4">
        <v>0.93100000000000005</v>
      </c>
      <c r="H89" s="1">
        <v>0.92600000000000005</v>
      </c>
      <c r="I89" s="25">
        <v>0.93600000000000005</v>
      </c>
      <c r="J89" s="23">
        <v>0.93200000000000005</v>
      </c>
      <c r="K89" s="1">
        <v>0.93400000000000005</v>
      </c>
      <c r="L89" s="25">
        <v>0.93100000000000005</v>
      </c>
      <c r="N89" s="22">
        <v>1275</v>
      </c>
      <c r="O89" s="152">
        <f t="shared" si="4"/>
        <v>-3.2823529411764303E-3</v>
      </c>
      <c r="P89" s="152">
        <f t="shared" si="4"/>
        <v>-4.352941176470549E-3</v>
      </c>
      <c r="Q89" s="153">
        <f t="shared" si="4"/>
        <v>-2.211764705882312E-3</v>
      </c>
      <c r="R89" s="152">
        <f t="shared" ref="R89:W141" si="6">(G89-$C89)/$C89</f>
        <v>-3.2823529411764303E-3</v>
      </c>
      <c r="S89" s="152">
        <f t="shared" si="6"/>
        <v>-8.635294117647024E-3</v>
      </c>
      <c r="T89" s="154">
        <f t="shared" si="6"/>
        <v>2.0705882352941626E-3</v>
      </c>
      <c r="U89" s="155">
        <f t="shared" si="3"/>
        <v>-2.211764705882312E-3</v>
      </c>
      <c r="V89" s="152">
        <f t="shared" si="3"/>
        <v>-7.0588235294074612E-5</v>
      </c>
      <c r="W89" s="152">
        <f t="shared" si="3"/>
        <v>-3.2823529411764303E-3</v>
      </c>
    </row>
    <row r="90" spans="2:23" x14ac:dyDescent="0.45">
      <c r="B90" s="50">
        <v>1290</v>
      </c>
      <c r="C90" s="150">
        <f t="shared" si="5"/>
        <v>0.94505494505494503</v>
      </c>
      <c r="D90" s="23">
        <v>0.94199999999999995</v>
      </c>
      <c r="E90" s="1">
        <v>0.94099999999999995</v>
      </c>
      <c r="F90" s="24">
        <v>0.94299999999999995</v>
      </c>
      <c r="G90" s="4">
        <v>0.94199999999999995</v>
      </c>
      <c r="H90" s="1">
        <v>0.93700000000000006</v>
      </c>
      <c r="I90" s="25">
        <v>0.94699999999999995</v>
      </c>
      <c r="J90" s="23">
        <v>0.94299999999999995</v>
      </c>
      <c r="K90" s="1">
        <v>0.94499999999999995</v>
      </c>
      <c r="L90" s="25">
        <v>0.94199999999999995</v>
      </c>
      <c r="N90" s="22">
        <v>1290</v>
      </c>
      <c r="O90" s="152">
        <f t="shared" ref="O90:W152" si="7">(D90-$C90)/$C90</f>
        <v>-3.2325581395349101E-3</v>
      </c>
      <c r="P90" s="152">
        <f t="shared" si="7"/>
        <v>-4.2906976744186316E-3</v>
      </c>
      <c r="Q90" s="153">
        <f t="shared" si="7"/>
        <v>-2.1744186046511881E-3</v>
      </c>
      <c r="R90" s="152">
        <f t="shared" si="6"/>
        <v>-3.2325581395349101E-3</v>
      </c>
      <c r="S90" s="152">
        <f t="shared" si="6"/>
        <v>-8.5232558139534016E-3</v>
      </c>
      <c r="T90" s="154">
        <f t="shared" si="6"/>
        <v>2.0581395348836995E-3</v>
      </c>
      <c r="U90" s="155">
        <f t="shared" si="3"/>
        <v>-2.1744186046511881E-3</v>
      </c>
      <c r="V90" s="152">
        <f t="shared" si="3"/>
        <v>-5.8139534883744224E-5</v>
      </c>
      <c r="W90" s="152">
        <f t="shared" si="3"/>
        <v>-3.2325581395349101E-3</v>
      </c>
    </row>
    <row r="91" spans="2:23" x14ac:dyDescent="0.45">
      <c r="B91" s="50">
        <v>1305</v>
      </c>
      <c r="C91" s="150">
        <f t="shared" si="5"/>
        <v>0.95604395604395609</v>
      </c>
      <c r="D91" s="23">
        <v>0.95299999999999996</v>
      </c>
      <c r="E91" s="1">
        <v>0.95199999999999996</v>
      </c>
      <c r="F91" s="24">
        <v>0.95399999999999996</v>
      </c>
      <c r="G91" s="4">
        <v>0.95299999999999996</v>
      </c>
      <c r="H91" s="1">
        <v>0.94899999999999995</v>
      </c>
      <c r="I91" s="25">
        <v>0.95799999999999996</v>
      </c>
      <c r="J91" s="23">
        <v>0.95399999999999996</v>
      </c>
      <c r="K91" s="1">
        <v>0.95599999999999996</v>
      </c>
      <c r="L91" s="25">
        <v>0.95299999999999996</v>
      </c>
      <c r="N91" s="22">
        <v>1305</v>
      </c>
      <c r="O91" s="152">
        <f t="shared" si="7"/>
        <v>-3.1839080459771024E-3</v>
      </c>
      <c r="P91" s="152">
        <f t="shared" si="7"/>
        <v>-4.2298850574713559E-3</v>
      </c>
      <c r="Q91" s="153">
        <f t="shared" si="7"/>
        <v>-2.1379310344828485E-3</v>
      </c>
      <c r="R91" s="152">
        <f t="shared" si="6"/>
        <v>-3.1839080459771024E-3</v>
      </c>
      <c r="S91" s="152">
        <f t="shared" si="6"/>
        <v>-7.3678160919541172E-3</v>
      </c>
      <c r="T91" s="154">
        <f t="shared" si="6"/>
        <v>2.0459770114941663E-3</v>
      </c>
      <c r="U91" s="155">
        <f t="shared" si="3"/>
        <v>-2.1379310344828485E-3</v>
      </c>
      <c r="V91" s="152">
        <f t="shared" si="3"/>
        <v>-4.5977011494340965E-5</v>
      </c>
      <c r="W91" s="152">
        <f t="shared" si="3"/>
        <v>-3.1839080459771024E-3</v>
      </c>
    </row>
    <row r="92" spans="2:23" x14ac:dyDescent="0.45">
      <c r="B92" s="50">
        <v>1320</v>
      </c>
      <c r="C92" s="150">
        <f t="shared" si="5"/>
        <v>0.96703296703296704</v>
      </c>
      <c r="D92" s="23">
        <v>0.96299999999999997</v>
      </c>
      <c r="E92" s="1">
        <v>0.96199999999999997</v>
      </c>
      <c r="F92" s="24">
        <v>0.96499999999999997</v>
      </c>
      <c r="G92" s="4">
        <v>0.96399999999999997</v>
      </c>
      <c r="H92" s="1">
        <v>0.96</v>
      </c>
      <c r="I92" s="25">
        <v>0.96899999999999997</v>
      </c>
      <c r="J92" s="23">
        <v>0.96499999999999997</v>
      </c>
      <c r="K92" s="1">
        <v>0.96699999999999997</v>
      </c>
      <c r="L92" s="25">
        <v>0.96399999999999997</v>
      </c>
      <c r="N92" s="22">
        <v>1320</v>
      </c>
      <c r="O92" s="152">
        <f t="shared" si="7"/>
        <v>-4.1704545454545857E-3</v>
      </c>
      <c r="P92" s="152">
        <f t="shared" si="7"/>
        <v>-5.2045454545454955E-3</v>
      </c>
      <c r="Q92" s="153">
        <f t="shared" si="7"/>
        <v>-2.1022727272727655E-3</v>
      </c>
      <c r="R92" s="152">
        <f t="shared" si="6"/>
        <v>-3.1363636363636758E-3</v>
      </c>
      <c r="S92" s="152">
        <f t="shared" si="6"/>
        <v>-7.2727272727273161E-3</v>
      </c>
      <c r="T92" s="154">
        <f t="shared" si="6"/>
        <v>2.0340909090908743E-3</v>
      </c>
      <c r="U92" s="155">
        <f t="shared" si="3"/>
        <v>-2.1022727272727655E-3</v>
      </c>
      <c r="V92" s="152">
        <f t="shared" si="3"/>
        <v>-3.4090909090945711E-5</v>
      </c>
      <c r="W92" s="152">
        <f t="shared" si="3"/>
        <v>-3.1363636363636758E-3</v>
      </c>
    </row>
    <row r="93" spans="2:23" x14ac:dyDescent="0.45">
      <c r="B93" s="50">
        <v>1335</v>
      </c>
      <c r="C93" s="150">
        <f t="shared" si="5"/>
        <v>0.97802197802197799</v>
      </c>
      <c r="D93" s="23">
        <v>0.97399999999999998</v>
      </c>
      <c r="E93" s="1">
        <v>0.97299999999999998</v>
      </c>
      <c r="F93" s="24">
        <v>0.97599999999999998</v>
      </c>
      <c r="G93" s="4">
        <v>0.97499999999999998</v>
      </c>
      <c r="H93" s="1">
        <v>0.97</v>
      </c>
      <c r="I93" s="25">
        <v>0.98</v>
      </c>
      <c r="J93" s="23">
        <v>0.97599999999999998</v>
      </c>
      <c r="K93" s="1">
        <v>0.97799999999999998</v>
      </c>
      <c r="L93" s="25">
        <v>0.97499999999999998</v>
      </c>
      <c r="N93" s="22">
        <v>1335</v>
      </c>
      <c r="O93" s="152">
        <f t="shared" si="7"/>
        <v>-4.1123595505617875E-3</v>
      </c>
      <c r="P93" s="152">
        <f t="shared" si="7"/>
        <v>-5.1348314606741484E-3</v>
      </c>
      <c r="Q93" s="153">
        <f t="shared" si="7"/>
        <v>-2.0674157303370668E-3</v>
      </c>
      <c r="R93" s="152">
        <f t="shared" si="6"/>
        <v>-3.0898876404494274E-3</v>
      </c>
      <c r="S93" s="152">
        <f t="shared" si="6"/>
        <v>-8.2022471910112305E-3</v>
      </c>
      <c r="T93" s="154">
        <f t="shared" si="6"/>
        <v>2.0224719101123753E-3</v>
      </c>
      <c r="U93" s="155">
        <f t="shared" si="3"/>
        <v>-2.0674157303370668E-3</v>
      </c>
      <c r="V93" s="152">
        <f t="shared" si="3"/>
        <v>-2.2471910112345851E-5</v>
      </c>
      <c r="W93" s="152">
        <f t="shared" si="3"/>
        <v>-3.0898876404494274E-3</v>
      </c>
    </row>
    <row r="94" spans="2:23" x14ac:dyDescent="0.45">
      <c r="B94" s="50">
        <v>1350</v>
      </c>
      <c r="C94" s="150">
        <f t="shared" si="5"/>
        <v>0.98901098901098905</v>
      </c>
      <c r="D94" s="23">
        <v>0.98499999999999999</v>
      </c>
      <c r="E94" s="1">
        <v>0.98399999999999999</v>
      </c>
      <c r="F94" s="24">
        <v>0.98699999999999999</v>
      </c>
      <c r="G94" s="4">
        <v>0.98599999999999999</v>
      </c>
      <c r="H94" s="1">
        <v>0.98099999999999998</v>
      </c>
      <c r="I94" s="25">
        <v>0.99099999999999999</v>
      </c>
      <c r="J94" s="23">
        <v>0.98699999999999999</v>
      </c>
      <c r="K94" s="1">
        <v>0.98899999999999999</v>
      </c>
      <c r="L94" s="25">
        <v>0.98599999999999999</v>
      </c>
      <c r="N94" s="22">
        <v>1350</v>
      </c>
      <c r="O94" s="152">
        <f t="shared" si="7"/>
        <v>-4.0555555555556082E-3</v>
      </c>
      <c r="P94" s="152">
        <f t="shared" si="7"/>
        <v>-5.0666666666667201E-3</v>
      </c>
      <c r="Q94" s="153">
        <f t="shared" si="7"/>
        <v>-2.0333333333333843E-3</v>
      </c>
      <c r="R94" s="152">
        <f t="shared" si="6"/>
        <v>-3.0444444444444963E-3</v>
      </c>
      <c r="S94" s="152">
        <f t="shared" si="6"/>
        <v>-8.1000000000000568E-3</v>
      </c>
      <c r="T94" s="154">
        <f t="shared" si="6"/>
        <v>2.0111111111110634E-3</v>
      </c>
      <c r="U94" s="155">
        <f t="shared" si="3"/>
        <v>-2.0333333333333843E-3</v>
      </c>
      <c r="V94" s="152">
        <f t="shared" si="3"/>
        <v>-1.1111111111160463E-5</v>
      </c>
      <c r="W94" s="152">
        <f t="shared" si="3"/>
        <v>-3.0444444444444963E-3</v>
      </c>
    </row>
    <row r="95" spans="2:23" x14ac:dyDescent="0.45">
      <c r="B95" s="50">
        <v>1365</v>
      </c>
      <c r="C95" s="150">
        <f t="shared" si="5"/>
        <v>1</v>
      </c>
      <c r="D95" s="23">
        <v>0.996</v>
      </c>
      <c r="E95" s="1">
        <v>0.995</v>
      </c>
      <c r="F95" s="24">
        <v>0.998</v>
      </c>
      <c r="G95" s="4">
        <v>0.997</v>
      </c>
      <c r="H95" s="1">
        <v>0.99299999999999999</v>
      </c>
      <c r="I95" s="25">
        <v>1.002</v>
      </c>
      <c r="J95" s="23">
        <v>0.998</v>
      </c>
      <c r="K95" s="1">
        <v>1</v>
      </c>
      <c r="L95" s="25">
        <v>0.997</v>
      </c>
      <c r="N95" s="22">
        <v>1365</v>
      </c>
      <c r="O95" s="152">
        <f t="shared" si="7"/>
        <v>-4.0000000000000036E-3</v>
      </c>
      <c r="P95" s="152">
        <f t="shared" si="7"/>
        <v>-5.0000000000000044E-3</v>
      </c>
      <c r="Q95" s="153">
        <f t="shared" si="7"/>
        <v>-2.0000000000000018E-3</v>
      </c>
      <c r="R95" s="152">
        <f t="shared" si="6"/>
        <v>-3.0000000000000027E-3</v>
      </c>
      <c r="S95" s="152">
        <f t="shared" si="6"/>
        <v>-7.0000000000000062E-3</v>
      </c>
      <c r="T95" s="154">
        <f t="shared" si="6"/>
        <v>2.0000000000000018E-3</v>
      </c>
      <c r="U95" s="155">
        <f t="shared" si="3"/>
        <v>-2.0000000000000018E-3</v>
      </c>
      <c r="V95" s="152">
        <f t="shared" si="3"/>
        <v>0</v>
      </c>
      <c r="W95" s="152">
        <f t="shared" si="3"/>
        <v>-3.0000000000000027E-3</v>
      </c>
    </row>
    <row r="96" spans="2:23" x14ac:dyDescent="0.45">
      <c r="B96" s="50">
        <v>1380</v>
      </c>
      <c r="C96" s="150">
        <f t="shared" si="5"/>
        <v>1.0109890109890109</v>
      </c>
      <c r="D96" s="23">
        <v>1.0069999999999999</v>
      </c>
      <c r="E96" s="1">
        <v>1.006</v>
      </c>
      <c r="F96" s="24">
        <v>1.0089999999999999</v>
      </c>
      <c r="G96" s="4">
        <v>1.008</v>
      </c>
      <c r="H96" s="1">
        <v>1.0029999999999999</v>
      </c>
      <c r="I96" s="25">
        <v>1.0129999999999999</v>
      </c>
      <c r="J96" s="23">
        <v>1.0089999999999999</v>
      </c>
      <c r="K96" s="1">
        <v>1.0109999999999999</v>
      </c>
      <c r="L96" s="25">
        <v>1.008</v>
      </c>
      <c r="N96" s="22">
        <v>1380</v>
      </c>
      <c r="O96" s="152">
        <f t="shared" si="7"/>
        <v>-3.9456521739131088E-3</v>
      </c>
      <c r="P96" s="152">
        <f t="shared" si="7"/>
        <v>-4.9347826086956082E-3</v>
      </c>
      <c r="Q96" s="153">
        <f t="shared" si="7"/>
        <v>-1.9673913043478895E-3</v>
      </c>
      <c r="R96" s="152">
        <f t="shared" si="6"/>
        <v>-2.9565217391303894E-3</v>
      </c>
      <c r="S96" s="152">
        <f t="shared" si="6"/>
        <v>-7.9021739130435472E-3</v>
      </c>
      <c r="T96" s="154">
        <f t="shared" si="6"/>
        <v>1.9891304347825489E-3</v>
      </c>
      <c r="U96" s="155">
        <f t="shared" si="3"/>
        <v>-1.9673913043478895E-3</v>
      </c>
      <c r="V96" s="152">
        <f t="shared" si="3"/>
        <v>1.086956521732977E-5</v>
      </c>
      <c r="W96" s="152">
        <f t="shared" si="3"/>
        <v>-2.9565217391303894E-3</v>
      </c>
    </row>
    <row r="97" spans="2:23" x14ac:dyDescent="0.45">
      <c r="B97" s="50">
        <v>1395</v>
      </c>
      <c r="C97" s="150">
        <f t="shared" si="5"/>
        <v>1.0219780219780219</v>
      </c>
      <c r="D97" s="23">
        <v>1.018</v>
      </c>
      <c r="E97" s="1">
        <v>1.0169999999999999</v>
      </c>
      <c r="F97" s="24">
        <v>1.02</v>
      </c>
      <c r="G97" s="4">
        <v>1.0189999999999999</v>
      </c>
      <c r="H97" s="1">
        <v>1.014</v>
      </c>
      <c r="I97" s="25">
        <v>1.024</v>
      </c>
      <c r="J97" s="23">
        <v>1.0189999999999999</v>
      </c>
      <c r="K97" s="1">
        <v>1.022</v>
      </c>
      <c r="L97" s="25">
        <v>1.0189999999999999</v>
      </c>
      <c r="N97" s="22">
        <v>1395</v>
      </c>
      <c r="O97" s="152">
        <f t="shared" si="7"/>
        <v>-3.8924731182794783E-3</v>
      </c>
      <c r="P97" s="152">
        <f t="shared" si="7"/>
        <v>-4.8709677419355021E-3</v>
      </c>
      <c r="Q97" s="153">
        <f t="shared" si="7"/>
        <v>-1.9354838709676483E-3</v>
      </c>
      <c r="R97" s="152">
        <f t="shared" si="6"/>
        <v>-2.9139784946236717E-3</v>
      </c>
      <c r="S97" s="152">
        <f t="shared" si="6"/>
        <v>-7.8064516129031378E-3</v>
      </c>
      <c r="T97" s="154">
        <f t="shared" si="6"/>
        <v>1.9784946236560113E-3</v>
      </c>
      <c r="U97" s="155">
        <f t="shared" si="3"/>
        <v>-2.9139784946236717E-3</v>
      </c>
      <c r="V97" s="152">
        <f t="shared" si="3"/>
        <v>2.1505376344181545E-5</v>
      </c>
      <c r="W97" s="152">
        <f t="shared" si="3"/>
        <v>-2.9139784946236717E-3</v>
      </c>
    </row>
    <row r="98" spans="2:23" x14ac:dyDescent="0.45">
      <c r="B98" s="50">
        <v>1410</v>
      </c>
      <c r="C98" s="150">
        <f t="shared" si="5"/>
        <v>1.0329670329670331</v>
      </c>
      <c r="D98" s="23">
        <v>1.0289999999999999</v>
      </c>
      <c r="E98" s="1">
        <v>1.028</v>
      </c>
      <c r="F98" s="24">
        <v>1.0309999999999999</v>
      </c>
      <c r="G98" s="4">
        <v>1.03</v>
      </c>
      <c r="H98" s="1">
        <v>1.0249999999999999</v>
      </c>
      <c r="I98" s="25">
        <v>1.0349999999999999</v>
      </c>
      <c r="J98" s="23">
        <v>1.0309999999999999</v>
      </c>
      <c r="K98" s="1">
        <v>1.0329999999999999</v>
      </c>
      <c r="L98" s="25">
        <v>1.03</v>
      </c>
      <c r="N98" s="22">
        <v>1410</v>
      </c>
      <c r="O98" s="152">
        <f t="shared" si="7"/>
        <v>-3.8404255319150773E-3</v>
      </c>
      <c r="P98" s="152">
        <f t="shared" si="7"/>
        <v>-4.8085106382979494E-3</v>
      </c>
      <c r="Q98" s="153">
        <f t="shared" si="7"/>
        <v>-1.9042553191491185E-3</v>
      </c>
      <c r="R98" s="152">
        <f t="shared" si="6"/>
        <v>-2.8723404255319904E-3</v>
      </c>
      <c r="S98" s="152">
        <f t="shared" si="6"/>
        <v>-7.7127659574469957E-3</v>
      </c>
      <c r="T98" s="154">
        <f t="shared" si="6"/>
        <v>1.9680851063827998E-3</v>
      </c>
      <c r="U98" s="155">
        <f t="shared" si="3"/>
        <v>-1.9042553191491185E-3</v>
      </c>
      <c r="V98" s="152">
        <f t="shared" si="3"/>
        <v>3.1914893616840593E-5</v>
      </c>
      <c r="W98" s="152">
        <f t="shared" si="3"/>
        <v>-2.8723404255319904E-3</v>
      </c>
    </row>
    <row r="99" spans="2:23" x14ac:dyDescent="0.45">
      <c r="B99" s="50">
        <v>1425</v>
      </c>
      <c r="C99" s="150">
        <f t="shared" si="5"/>
        <v>1.043956043956044</v>
      </c>
      <c r="D99" s="23">
        <v>1.04</v>
      </c>
      <c r="E99" s="1">
        <v>1.0389999999999999</v>
      </c>
      <c r="F99" s="24">
        <v>1.042</v>
      </c>
      <c r="G99" s="4">
        <v>1.0409999999999999</v>
      </c>
      <c r="H99" s="1">
        <v>1.036</v>
      </c>
      <c r="I99" s="25">
        <v>1.046</v>
      </c>
      <c r="J99" s="23">
        <v>1.042</v>
      </c>
      <c r="K99" s="1">
        <v>1.044</v>
      </c>
      <c r="L99" s="25">
        <v>1.0409999999999999</v>
      </c>
      <c r="N99" s="22">
        <v>1425</v>
      </c>
      <c r="O99" s="152">
        <f t="shared" si="7"/>
        <v>-3.7894736842105552E-3</v>
      </c>
      <c r="P99" s="152">
        <f t="shared" si="7"/>
        <v>-4.7473684210527674E-3</v>
      </c>
      <c r="Q99" s="153">
        <f t="shared" si="7"/>
        <v>-1.8736842105263431E-3</v>
      </c>
      <c r="R99" s="152">
        <f t="shared" si="6"/>
        <v>-2.8315789473685555E-3</v>
      </c>
      <c r="S99" s="152">
        <f t="shared" si="6"/>
        <v>-7.6210526315789798E-3</v>
      </c>
      <c r="T99" s="154">
        <f t="shared" si="6"/>
        <v>1.9578947368420812E-3</v>
      </c>
      <c r="U99" s="155">
        <f t="shared" si="3"/>
        <v>-1.8736842105263431E-3</v>
      </c>
      <c r="V99" s="152">
        <f t="shared" si="3"/>
        <v>4.2105263157869063E-5</v>
      </c>
      <c r="W99" s="152">
        <f t="shared" si="3"/>
        <v>-2.8315789473685555E-3</v>
      </c>
    </row>
    <row r="100" spans="2:23" x14ac:dyDescent="0.45">
      <c r="B100" s="50">
        <v>1440</v>
      </c>
      <c r="C100" s="150">
        <f t="shared" si="5"/>
        <v>1.054945054945055</v>
      </c>
      <c r="D100" s="23">
        <v>1.0509999999999999</v>
      </c>
      <c r="E100" s="1">
        <v>1.05</v>
      </c>
      <c r="F100" s="24">
        <v>1.0529999999999999</v>
      </c>
      <c r="G100" s="4">
        <v>1.052</v>
      </c>
      <c r="H100" s="1">
        <v>1.0469999999999999</v>
      </c>
      <c r="I100" s="25">
        <v>1.0569999999999999</v>
      </c>
      <c r="J100" s="23">
        <v>1.052</v>
      </c>
      <c r="K100" s="1">
        <v>1.0549999999999999</v>
      </c>
      <c r="L100" s="25">
        <v>1.052</v>
      </c>
      <c r="N100" s="22">
        <v>1440</v>
      </c>
      <c r="O100" s="152">
        <f t="shared" si="7"/>
        <v>-3.7395833333334211E-3</v>
      </c>
      <c r="P100" s="152">
        <f t="shared" si="7"/>
        <v>-4.6874999999999833E-3</v>
      </c>
      <c r="Q100" s="153">
        <f t="shared" si="7"/>
        <v>-1.843750000000086E-3</v>
      </c>
      <c r="R100" s="152">
        <f t="shared" si="6"/>
        <v>-2.7916666666666485E-3</v>
      </c>
      <c r="S100" s="152">
        <f t="shared" si="6"/>
        <v>-7.5312500000000908E-3</v>
      </c>
      <c r="T100" s="154">
        <f t="shared" si="6"/>
        <v>1.947916666666584E-3</v>
      </c>
      <c r="U100" s="155">
        <f t="shared" si="3"/>
        <v>-2.7916666666666485E-3</v>
      </c>
      <c r="V100" s="152">
        <f t="shared" si="3"/>
        <v>5.2083333333248952E-5</v>
      </c>
      <c r="W100" s="152">
        <f t="shared" si="3"/>
        <v>-2.7916666666666485E-3</v>
      </c>
    </row>
    <row r="101" spans="2:23" x14ac:dyDescent="0.45">
      <c r="B101" s="50">
        <v>1455</v>
      </c>
      <c r="C101" s="150">
        <f t="shared" si="5"/>
        <v>1.0659340659340659</v>
      </c>
      <c r="D101" s="23">
        <v>1.0620000000000001</v>
      </c>
      <c r="E101" s="1">
        <v>1.0609999999999999</v>
      </c>
      <c r="F101" s="24">
        <v>1.0629999999999999</v>
      </c>
      <c r="G101" s="4">
        <v>1.0629999999999999</v>
      </c>
      <c r="H101" s="1">
        <v>1.0580000000000001</v>
      </c>
      <c r="I101" s="25">
        <v>1.0680000000000001</v>
      </c>
      <c r="J101" s="23">
        <v>1.0629999999999999</v>
      </c>
      <c r="K101" s="1">
        <v>1.0660000000000001</v>
      </c>
      <c r="L101" s="25">
        <v>1.0629999999999999</v>
      </c>
      <c r="N101" s="22">
        <v>1455</v>
      </c>
      <c r="O101" s="152">
        <f t="shared" si="7"/>
        <v>-3.6907216494844728E-3</v>
      </c>
      <c r="P101" s="152">
        <f t="shared" si="7"/>
        <v>-4.628865979381485E-3</v>
      </c>
      <c r="Q101" s="153">
        <f t="shared" si="7"/>
        <v>-2.7525773195876692E-3</v>
      </c>
      <c r="R101" s="152">
        <f t="shared" si="6"/>
        <v>-2.7525773195876692E-3</v>
      </c>
      <c r="S101" s="152">
        <f t="shared" si="6"/>
        <v>-7.4432989690721056E-3</v>
      </c>
      <c r="T101" s="154">
        <f t="shared" si="6"/>
        <v>1.9381443298969753E-3</v>
      </c>
      <c r="U101" s="155">
        <f t="shared" si="3"/>
        <v>-2.7525773195876692E-3</v>
      </c>
      <c r="V101" s="152">
        <f t="shared" si="3"/>
        <v>6.1855670103159224E-5</v>
      </c>
      <c r="W101" s="152">
        <f t="shared" si="3"/>
        <v>-2.7525773195876692E-3</v>
      </c>
    </row>
    <row r="102" spans="2:23" x14ac:dyDescent="0.45">
      <c r="B102" s="50">
        <v>1470</v>
      </c>
      <c r="C102" s="150">
        <f t="shared" si="5"/>
        <v>1.0769230769230769</v>
      </c>
      <c r="D102" s="23">
        <v>1.0720000000000001</v>
      </c>
      <c r="E102" s="1">
        <v>1.0720000000000001</v>
      </c>
      <c r="F102" s="24">
        <v>1.0740000000000001</v>
      </c>
      <c r="G102" s="4">
        <v>1.0740000000000001</v>
      </c>
      <c r="H102" s="1">
        <v>1.069</v>
      </c>
      <c r="I102" s="25">
        <v>1.079</v>
      </c>
      <c r="J102" s="23">
        <v>1.0740000000000001</v>
      </c>
      <c r="K102" s="1">
        <v>1.077</v>
      </c>
      <c r="L102" s="25">
        <v>1.0740000000000001</v>
      </c>
      <c r="N102" s="22">
        <v>1470</v>
      </c>
      <c r="O102" s="152">
        <f t="shared" si="7"/>
        <v>-4.5714285714284651E-3</v>
      </c>
      <c r="P102" s="152">
        <f t="shared" si="7"/>
        <v>-4.5714285714284651E-3</v>
      </c>
      <c r="Q102" s="153">
        <f t="shared" si="7"/>
        <v>-2.7142857142856058E-3</v>
      </c>
      <c r="R102" s="152">
        <f t="shared" si="6"/>
        <v>-2.7142857142856058E-3</v>
      </c>
      <c r="S102" s="152">
        <f t="shared" si="6"/>
        <v>-7.3571428571428564E-3</v>
      </c>
      <c r="T102" s="154">
        <f t="shared" si="6"/>
        <v>1.9285714285714383E-3</v>
      </c>
      <c r="U102" s="155">
        <f t="shared" si="3"/>
        <v>-2.7142857142856058E-3</v>
      </c>
      <c r="V102" s="152">
        <f t="shared" si="3"/>
        <v>7.142857142857943E-5</v>
      </c>
      <c r="W102" s="152">
        <f t="shared" si="3"/>
        <v>-2.7142857142856058E-3</v>
      </c>
    </row>
    <row r="103" spans="2:23" x14ac:dyDescent="0.45">
      <c r="B103" s="50">
        <v>1485</v>
      </c>
      <c r="C103" s="150">
        <f t="shared" si="5"/>
        <v>1.0879120879120878</v>
      </c>
      <c r="D103" s="23">
        <v>1.0840000000000001</v>
      </c>
      <c r="E103" s="1">
        <v>1.083</v>
      </c>
      <c r="F103" s="24">
        <v>1.085</v>
      </c>
      <c r="G103" s="4">
        <v>1.085</v>
      </c>
      <c r="H103" s="1">
        <v>1.08</v>
      </c>
      <c r="I103" s="25">
        <v>1.0900000000000001</v>
      </c>
      <c r="J103" s="23">
        <v>1.0860000000000001</v>
      </c>
      <c r="K103" s="1">
        <v>1.0880000000000001</v>
      </c>
      <c r="L103" s="25">
        <v>1.085</v>
      </c>
      <c r="N103" s="22">
        <v>1485</v>
      </c>
      <c r="O103" s="152">
        <f t="shared" si="7"/>
        <v>-3.5959595959594447E-3</v>
      </c>
      <c r="P103" s="152">
        <f t="shared" si="7"/>
        <v>-4.5151515151514669E-3</v>
      </c>
      <c r="Q103" s="153">
        <f t="shared" si="7"/>
        <v>-2.6767676767676268E-3</v>
      </c>
      <c r="R103" s="152">
        <f t="shared" si="6"/>
        <v>-2.6767676767676268E-3</v>
      </c>
      <c r="S103" s="152">
        <f t="shared" si="6"/>
        <v>-7.2727272727271253E-3</v>
      </c>
      <c r="T103" s="154">
        <f t="shared" si="6"/>
        <v>1.9191919191920757E-3</v>
      </c>
      <c r="U103" s="155">
        <f t="shared" si="3"/>
        <v>-1.7575757575756046E-3</v>
      </c>
      <c r="V103" s="152">
        <f t="shared" si="3"/>
        <v>8.0808080808235648E-5</v>
      </c>
      <c r="W103" s="152">
        <f t="shared" si="3"/>
        <v>-2.6767676767676268E-3</v>
      </c>
    </row>
    <row r="104" spans="2:23" x14ac:dyDescent="0.45">
      <c r="B104" s="50">
        <v>1500</v>
      </c>
      <c r="C104" s="150">
        <f t="shared" si="5"/>
        <v>1.098901098901099</v>
      </c>
      <c r="D104" s="23">
        <v>1.0940000000000001</v>
      </c>
      <c r="E104" s="1">
        <v>1.0940000000000001</v>
      </c>
      <c r="F104" s="24">
        <v>1.0960000000000001</v>
      </c>
      <c r="G104" s="4">
        <v>1.0960000000000001</v>
      </c>
      <c r="H104" s="1">
        <v>1.091</v>
      </c>
      <c r="I104" s="25">
        <v>1.101</v>
      </c>
      <c r="J104" s="23">
        <v>1.0960000000000001</v>
      </c>
      <c r="K104" s="1">
        <v>1.099</v>
      </c>
      <c r="L104" s="25">
        <v>1.0960000000000001</v>
      </c>
      <c r="N104" s="22">
        <v>1500</v>
      </c>
      <c r="O104" s="152">
        <f t="shared" si="7"/>
        <v>-4.4600000000000082E-3</v>
      </c>
      <c r="P104" s="152">
        <f t="shared" si="7"/>
        <v>-4.4600000000000082E-3</v>
      </c>
      <c r="Q104" s="153">
        <f t="shared" si="7"/>
        <v>-2.6400000000000065E-3</v>
      </c>
      <c r="R104" s="152">
        <f t="shared" si="6"/>
        <v>-2.6400000000000065E-3</v>
      </c>
      <c r="S104" s="152">
        <f t="shared" si="6"/>
        <v>-7.1900000000001112E-3</v>
      </c>
      <c r="T104" s="154">
        <f t="shared" si="6"/>
        <v>1.9099999999998962E-3</v>
      </c>
      <c r="U104" s="155">
        <f t="shared" si="3"/>
        <v>-2.6400000000000065E-3</v>
      </c>
      <c r="V104" s="152">
        <f t="shared" si="3"/>
        <v>8.9999999999894608E-5</v>
      </c>
      <c r="W104" s="152">
        <f t="shared" si="3"/>
        <v>-2.6400000000000065E-3</v>
      </c>
    </row>
    <row r="105" spans="2:23" x14ac:dyDescent="0.45">
      <c r="B105" s="50">
        <v>1515</v>
      </c>
      <c r="C105" s="150">
        <f t="shared" si="5"/>
        <v>1.1098901098901099</v>
      </c>
      <c r="D105" s="23">
        <v>1.105</v>
      </c>
      <c r="E105" s="1">
        <v>1.105</v>
      </c>
      <c r="F105" s="24">
        <v>1.107</v>
      </c>
      <c r="G105" s="4">
        <v>1.107</v>
      </c>
      <c r="H105" s="1">
        <v>1.1020000000000001</v>
      </c>
      <c r="I105" s="25">
        <v>1.1120000000000001</v>
      </c>
      <c r="J105" s="23">
        <v>1.1080000000000001</v>
      </c>
      <c r="K105" s="1">
        <v>1.1100000000000001</v>
      </c>
      <c r="L105" s="25">
        <v>1.107</v>
      </c>
      <c r="N105" s="22">
        <v>1515</v>
      </c>
      <c r="O105" s="152">
        <f t="shared" si="7"/>
        <v>-4.4059405940594697E-3</v>
      </c>
      <c r="P105" s="152">
        <f t="shared" si="7"/>
        <v>-4.4059405940594697E-3</v>
      </c>
      <c r="Q105" s="153">
        <f t="shared" si="7"/>
        <v>-2.6039603960396666E-3</v>
      </c>
      <c r="R105" s="152">
        <f t="shared" si="6"/>
        <v>-2.6039603960396666E-3</v>
      </c>
      <c r="S105" s="152">
        <f t="shared" si="6"/>
        <v>-7.1089108910890753E-3</v>
      </c>
      <c r="T105" s="154">
        <f t="shared" si="6"/>
        <v>1.9009900990099421E-3</v>
      </c>
      <c r="U105" s="155">
        <f t="shared" si="3"/>
        <v>-1.7029702970296648E-3</v>
      </c>
      <c r="V105" s="152">
        <f t="shared" si="3"/>
        <v>9.9009900990138671E-5</v>
      </c>
      <c r="W105" s="152">
        <f t="shared" si="3"/>
        <v>-2.6039603960396666E-3</v>
      </c>
    </row>
    <row r="106" spans="2:23" x14ac:dyDescent="0.45">
      <c r="B106" s="50">
        <v>1530</v>
      </c>
      <c r="C106" s="150">
        <f t="shared" si="5"/>
        <v>1.1208791208791209</v>
      </c>
      <c r="D106" s="23">
        <v>1.1160000000000001</v>
      </c>
      <c r="E106" s="1">
        <v>1.115</v>
      </c>
      <c r="F106" s="24">
        <v>1.1180000000000001</v>
      </c>
      <c r="G106" s="4">
        <v>1.117</v>
      </c>
      <c r="H106" s="1">
        <v>1.113</v>
      </c>
      <c r="I106" s="25">
        <v>1.1220000000000001</v>
      </c>
      <c r="J106" s="23">
        <v>1.1180000000000001</v>
      </c>
      <c r="K106" s="1">
        <v>1.121</v>
      </c>
      <c r="L106" s="25">
        <v>1.117</v>
      </c>
      <c r="N106" s="22">
        <v>1530</v>
      </c>
      <c r="O106" s="152">
        <f t="shared" si="7"/>
        <v>-4.3529411764705091E-3</v>
      </c>
      <c r="P106" s="152">
        <f t="shared" si="7"/>
        <v>-5.2450980392157072E-3</v>
      </c>
      <c r="Q106" s="153">
        <f t="shared" si="7"/>
        <v>-2.5686274509803117E-3</v>
      </c>
      <c r="R106" s="152">
        <f t="shared" si="6"/>
        <v>-3.4607843137255097E-3</v>
      </c>
      <c r="S106" s="152">
        <f t="shared" si="6"/>
        <v>-7.0294117647059047E-3</v>
      </c>
      <c r="T106" s="154">
        <f t="shared" si="6"/>
        <v>1.0000000000000835E-3</v>
      </c>
      <c r="U106" s="155">
        <f t="shared" si="3"/>
        <v>-2.5686274509803117E-3</v>
      </c>
      <c r="V106" s="152">
        <f t="shared" si="3"/>
        <v>1.0784313725488572E-4</v>
      </c>
      <c r="W106" s="152">
        <f t="shared" si="3"/>
        <v>-3.4607843137255097E-3</v>
      </c>
    </row>
    <row r="107" spans="2:23" x14ac:dyDescent="0.45">
      <c r="B107" s="50">
        <v>1545</v>
      </c>
      <c r="C107" s="150">
        <f t="shared" si="5"/>
        <v>1.1318681318681318</v>
      </c>
      <c r="D107" s="23">
        <v>1.127</v>
      </c>
      <c r="E107" s="1">
        <v>1.127</v>
      </c>
      <c r="F107" s="24">
        <v>1.129</v>
      </c>
      <c r="G107" s="4">
        <v>1.1279999999999999</v>
      </c>
      <c r="H107" s="1">
        <v>1.1240000000000001</v>
      </c>
      <c r="I107" s="25">
        <v>1.133</v>
      </c>
      <c r="J107" s="23">
        <v>1.129</v>
      </c>
      <c r="K107" s="1">
        <v>1.1319999999999999</v>
      </c>
      <c r="L107" s="25">
        <v>1.129</v>
      </c>
      <c r="N107" s="22">
        <v>1545</v>
      </c>
      <c r="O107" s="152">
        <f t="shared" si="7"/>
        <v>-4.3009708737863847E-3</v>
      </c>
      <c r="P107" s="152">
        <f t="shared" si="7"/>
        <v>-4.3009708737863847E-3</v>
      </c>
      <c r="Q107" s="153">
        <f t="shared" si="7"/>
        <v>-2.5339805825242471E-3</v>
      </c>
      <c r="R107" s="152">
        <f t="shared" si="6"/>
        <v>-3.4174757281554141E-3</v>
      </c>
      <c r="S107" s="152">
        <f t="shared" si="6"/>
        <v>-6.9514563106794934E-3</v>
      </c>
      <c r="T107" s="154">
        <f t="shared" si="6"/>
        <v>1.0000000000000278E-3</v>
      </c>
      <c r="U107" s="155">
        <f t="shared" si="3"/>
        <v>-2.5339805825242471E-3</v>
      </c>
      <c r="V107" s="152">
        <f t="shared" si="3"/>
        <v>1.16504854368861E-4</v>
      </c>
      <c r="W107" s="152">
        <f t="shared" si="3"/>
        <v>-2.5339805825242471E-3</v>
      </c>
    </row>
    <row r="108" spans="2:23" x14ac:dyDescent="0.45">
      <c r="B108" s="50">
        <v>1560</v>
      </c>
      <c r="C108" s="150">
        <f t="shared" si="5"/>
        <v>1.1428571428571428</v>
      </c>
      <c r="D108" s="23">
        <v>1.1379999999999999</v>
      </c>
      <c r="E108" s="1">
        <v>1.1379999999999999</v>
      </c>
      <c r="F108" s="24">
        <v>1.1399999999999999</v>
      </c>
      <c r="G108" s="4">
        <v>1.1399999999999999</v>
      </c>
      <c r="H108" s="1">
        <v>1.135</v>
      </c>
      <c r="I108" s="25">
        <v>1.1439999999999999</v>
      </c>
      <c r="J108" s="23">
        <v>1.1399999999999999</v>
      </c>
      <c r="K108" s="1">
        <v>1.143</v>
      </c>
      <c r="L108" s="25">
        <v>1.1399999999999999</v>
      </c>
      <c r="N108" s="22">
        <v>1560</v>
      </c>
      <c r="O108" s="152">
        <f t="shared" si="7"/>
        <v>-4.2500000000000315E-3</v>
      </c>
      <c r="P108" s="152">
        <f t="shared" si="7"/>
        <v>-4.2500000000000315E-3</v>
      </c>
      <c r="Q108" s="153">
        <f t="shared" si="7"/>
        <v>-2.50000000000003E-3</v>
      </c>
      <c r="R108" s="152">
        <f t="shared" si="6"/>
        <v>-2.50000000000003E-3</v>
      </c>
      <c r="S108" s="152">
        <f t="shared" si="6"/>
        <v>-6.8749999999999367E-3</v>
      </c>
      <c r="T108" s="154">
        <f t="shared" si="6"/>
        <v>9.9999999999997313E-4</v>
      </c>
      <c r="U108" s="155">
        <f t="shared" si="3"/>
        <v>-2.50000000000003E-3</v>
      </c>
      <c r="V108" s="152">
        <f t="shared" si="3"/>
        <v>1.250000000000695E-4</v>
      </c>
      <c r="W108" s="152">
        <f t="shared" si="3"/>
        <v>-2.50000000000003E-3</v>
      </c>
    </row>
    <row r="109" spans="2:23" x14ac:dyDescent="0.45">
      <c r="B109" s="50">
        <v>1575</v>
      </c>
      <c r="C109" s="150">
        <f t="shared" si="5"/>
        <v>1.1538461538461537</v>
      </c>
      <c r="D109" s="23">
        <v>1.149</v>
      </c>
      <c r="E109" s="1">
        <v>1.1479999999999999</v>
      </c>
      <c r="F109" s="24">
        <v>1.151</v>
      </c>
      <c r="G109" s="4">
        <v>1.151</v>
      </c>
      <c r="H109" s="1">
        <v>1.1459999999999999</v>
      </c>
      <c r="I109" s="25">
        <v>1.155</v>
      </c>
      <c r="J109" s="23">
        <v>1.151</v>
      </c>
      <c r="K109" s="1">
        <v>1.1539999999999999</v>
      </c>
      <c r="L109" s="25">
        <v>1.1499999999999999</v>
      </c>
      <c r="N109" s="22">
        <v>1575</v>
      </c>
      <c r="O109" s="152">
        <f t="shared" si="7"/>
        <v>-4.1999999999998931E-3</v>
      </c>
      <c r="P109" s="152">
        <f t="shared" si="7"/>
        <v>-5.0666666666666568E-3</v>
      </c>
      <c r="Q109" s="153">
        <f t="shared" si="7"/>
        <v>-2.4666666666665581E-3</v>
      </c>
      <c r="R109" s="152">
        <f t="shared" si="6"/>
        <v>-2.4666666666665581E-3</v>
      </c>
      <c r="S109" s="152">
        <f t="shared" si="6"/>
        <v>-6.7999999999999918E-3</v>
      </c>
      <c r="T109" s="154">
        <f t="shared" si="6"/>
        <v>1.0000000000001119E-3</v>
      </c>
      <c r="U109" s="155">
        <f t="shared" si="3"/>
        <v>-2.4666666666665581E-3</v>
      </c>
      <c r="V109" s="152">
        <f t="shared" si="3"/>
        <v>1.3333333333334827E-4</v>
      </c>
      <c r="W109" s="152">
        <f t="shared" si="3"/>
        <v>-3.3333333333333218E-3</v>
      </c>
    </row>
    <row r="110" spans="2:23" x14ac:dyDescent="0.45">
      <c r="B110" s="50">
        <v>1590</v>
      </c>
      <c r="C110" s="150">
        <f t="shared" si="5"/>
        <v>1.1648351648351649</v>
      </c>
      <c r="D110" s="23">
        <v>1.1599999999999999</v>
      </c>
      <c r="E110" s="1">
        <v>1.159</v>
      </c>
      <c r="F110" s="24">
        <v>1.1619999999999999</v>
      </c>
      <c r="G110" s="4">
        <v>1.1619999999999999</v>
      </c>
      <c r="H110" s="1">
        <v>1.157</v>
      </c>
      <c r="I110" s="25">
        <v>1.167</v>
      </c>
      <c r="J110" s="23">
        <v>1.1619999999999999</v>
      </c>
      <c r="K110" s="1">
        <v>1.165</v>
      </c>
      <c r="L110" s="25">
        <v>1.161</v>
      </c>
      <c r="N110" s="22">
        <v>1590</v>
      </c>
      <c r="O110" s="152">
        <f t="shared" si="7"/>
        <v>-4.1509433962265523E-3</v>
      </c>
      <c r="P110" s="152">
        <f t="shared" si="7"/>
        <v>-5.0094339622641934E-3</v>
      </c>
      <c r="Q110" s="153">
        <f t="shared" si="7"/>
        <v>-2.4339622641510795E-3</v>
      </c>
      <c r="R110" s="152">
        <f t="shared" si="6"/>
        <v>-2.4339622641510795E-3</v>
      </c>
      <c r="S110" s="152">
        <f t="shared" si="6"/>
        <v>-6.7264150943396666E-3</v>
      </c>
      <c r="T110" s="154">
        <f t="shared" si="6"/>
        <v>1.8584905660376987E-3</v>
      </c>
      <c r="U110" s="155">
        <f t="shared" si="6"/>
        <v>-2.4339622641510795E-3</v>
      </c>
      <c r="V110" s="152">
        <f t="shared" si="6"/>
        <v>1.4150943396222551E-4</v>
      </c>
      <c r="W110" s="152">
        <f t="shared" si="6"/>
        <v>-3.2924528301887207E-3</v>
      </c>
    </row>
    <row r="111" spans="2:23" x14ac:dyDescent="0.45">
      <c r="B111" s="50">
        <v>1605</v>
      </c>
      <c r="C111" s="150">
        <f t="shared" si="5"/>
        <v>1.1758241758241759</v>
      </c>
      <c r="D111" s="23">
        <v>1.171</v>
      </c>
      <c r="E111" s="1">
        <v>1.17</v>
      </c>
      <c r="F111" s="24">
        <v>1.173</v>
      </c>
      <c r="G111" s="4">
        <v>1.1719999999999999</v>
      </c>
      <c r="H111" s="1">
        <v>1.167</v>
      </c>
      <c r="I111" s="25">
        <v>1.177</v>
      </c>
      <c r="J111" s="23">
        <v>1.173</v>
      </c>
      <c r="K111" s="1">
        <v>1.1759999999999999</v>
      </c>
      <c r="L111" s="25">
        <v>1.1719999999999999</v>
      </c>
      <c r="N111" s="22">
        <v>1605</v>
      </c>
      <c r="O111" s="152">
        <f t="shared" si="7"/>
        <v>-4.1028037383177571E-3</v>
      </c>
      <c r="P111" s="152">
        <f t="shared" si="7"/>
        <v>-4.953271028037479E-3</v>
      </c>
      <c r="Q111" s="153">
        <f t="shared" si="7"/>
        <v>-2.4018691588785037E-3</v>
      </c>
      <c r="R111" s="152">
        <f t="shared" si="6"/>
        <v>-3.2523364485982247E-3</v>
      </c>
      <c r="S111" s="152">
        <f t="shared" si="6"/>
        <v>-7.5046728971962648E-3</v>
      </c>
      <c r="T111" s="154">
        <f t="shared" si="6"/>
        <v>1.0000000000000039E-3</v>
      </c>
      <c r="U111" s="155">
        <f t="shared" si="6"/>
        <v>-2.4018691588785037E-3</v>
      </c>
      <c r="V111" s="152">
        <f t="shared" si="6"/>
        <v>1.4953271028028266E-4</v>
      </c>
      <c r="W111" s="152">
        <f t="shared" si="6"/>
        <v>-3.2523364485982247E-3</v>
      </c>
    </row>
    <row r="112" spans="2:23" x14ac:dyDescent="0.45">
      <c r="B112" s="50">
        <v>1620</v>
      </c>
      <c r="C112" s="150">
        <f t="shared" si="5"/>
        <v>1.1868131868131868</v>
      </c>
      <c r="D112" s="23">
        <v>1.1819999999999999</v>
      </c>
      <c r="E112" s="1">
        <v>1.181</v>
      </c>
      <c r="F112" s="24">
        <v>1.1839999999999999</v>
      </c>
      <c r="G112" s="4">
        <v>1.1830000000000001</v>
      </c>
      <c r="H112" s="1">
        <v>1.179</v>
      </c>
      <c r="I112" s="25">
        <v>1.1879999999999999</v>
      </c>
      <c r="J112" s="23">
        <v>1.1839999999999999</v>
      </c>
      <c r="K112" s="1">
        <v>1.1870000000000001</v>
      </c>
      <c r="L112" s="25">
        <v>1.1830000000000001</v>
      </c>
      <c r="N112" s="22">
        <v>1620</v>
      </c>
      <c r="O112" s="152">
        <f t="shared" si="7"/>
        <v>-4.0555555555556082E-3</v>
      </c>
      <c r="P112" s="152">
        <f t="shared" si="7"/>
        <v>-4.8981481481481081E-3</v>
      </c>
      <c r="Q112" s="153">
        <f t="shared" si="7"/>
        <v>-2.3703703703704219E-3</v>
      </c>
      <c r="R112" s="152">
        <f t="shared" si="6"/>
        <v>-3.2129629629629214E-3</v>
      </c>
      <c r="S112" s="152">
        <f t="shared" si="6"/>
        <v>-6.5833333333332952E-3</v>
      </c>
      <c r="T112" s="154">
        <f t="shared" si="6"/>
        <v>9.9999999999995145E-4</v>
      </c>
      <c r="U112" s="155">
        <f t="shared" si="6"/>
        <v>-2.3703703703704219E-3</v>
      </c>
      <c r="V112" s="152">
        <f t="shared" si="6"/>
        <v>1.5740740740745175E-4</v>
      </c>
      <c r="W112" s="152">
        <f t="shared" si="6"/>
        <v>-3.2129629629629214E-3</v>
      </c>
    </row>
    <row r="113" spans="2:23" x14ac:dyDescent="0.45">
      <c r="B113" s="50">
        <v>1635</v>
      </c>
      <c r="C113" s="150">
        <f t="shared" si="5"/>
        <v>1.1978021978021978</v>
      </c>
      <c r="D113" s="23">
        <v>1.1930000000000001</v>
      </c>
      <c r="E113" s="1">
        <v>1.1919999999999999</v>
      </c>
      <c r="F113" s="24">
        <v>1.1950000000000001</v>
      </c>
      <c r="G113" s="4">
        <v>1.1950000000000001</v>
      </c>
      <c r="H113" s="1">
        <v>1.19</v>
      </c>
      <c r="I113" s="25">
        <v>1.1990000000000001</v>
      </c>
      <c r="J113" s="23">
        <v>1.1950000000000001</v>
      </c>
      <c r="K113" s="1">
        <v>1.198</v>
      </c>
      <c r="L113" s="25">
        <v>1.194</v>
      </c>
      <c r="N113" s="22">
        <v>1635</v>
      </c>
      <c r="O113" s="152">
        <f t="shared" si="7"/>
        <v>-4.0091743119265244E-3</v>
      </c>
      <c r="P113" s="152">
        <f t="shared" si="7"/>
        <v>-4.8440366972477191E-3</v>
      </c>
      <c r="Q113" s="153">
        <f t="shared" si="7"/>
        <v>-2.3394495412843211E-3</v>
      </c>
      <c r="R113" s="152">
        <f t="shared" si="6"/>
        <v>-2.3394495412843211E-3</v>
      </c>
      <c r="S113" s="152">
        <f t="shared" si="6"/>
        <v>-6.513761467889922E-3</v>
      </c>
      <c r="T113" s="154">
        <f t="shared" si="6"/>
        <v>1.0000000000000855E-3</v>
      </c>
      <c r="U113" s="155">
        <f t="shared" si="6"/>
        <v>-2.3394495412843211E-3</v>
      </c>
      <c r="V113" s="152">
        <f t="shared" si="6"/>
        <v>1.6513761467889108E-4</v>
      </c>
      <c r="W113" s="152">
        <f t="shared" si="6"/>
        <v>-3.1743119266055158E-3</v>
      </c>
    </row>
    <row r="114" spans="2:23" x14ac:dyDescent="0.45">
      <c r="B114" s="50">
        <v>1650</v>
      </c>
      <c r="C114" s="150">
        <f t="shared" si="5"/>
        <v>1.2087912087912087</v>
      </c>
      <c r="D114" s="23">
        <v>1.2030000000000001</v>
      </c>
      <c r="E114" s="1">
        <v>1.2030000000000001</v>
      </c>
      <c r="F114" s="24">
        <v>1.2050000000000001</v>
      </c>
      <c r="G114" s="4">
        <v>1.2050000000000001</v>
      </c>
      <c r="H114" s="1">
        <v>1.2010000000000001</v>
      </c>
      <c r="I114" s="25">
        <v>1.21</v>
      </c>
      <c r="J114" s="23">
        <v>1.206</v>
      </c>
      <c r="K114" s="1">
        <v>1.2090000000000001</v>
      </c>
      <c r="L114" s="25">
        <v>1.2050000000000001</v>
      </c>
      <c r="N114" s="22">
        <v>1650</v>
      </c>
      <c r="O114" s="152">
        <f t="shared" si="7"/>
        <v>-4.7909090909089716E-3</v>
      </c>
      <c r="P114" s="152">
        <f t="shared" si="7"/>
        <v>-4.7909090909089716E-3</v>
      </c>
      <c r="Q114" s="153">
        <f t="shared" si="7"/>
        <v>-3.1363636363635154E-3</v>
      </c>
      <c r="R114" s="152">
        <f t="shared" si="6"/>
        <v>-3.1363636363635154E-3</v>
      </c>
      <c r="S114" s="152">
        <f t="shared" si="6"/>
        <v>-6.4454545454544271E-3</v>
      </c>
      <c r="T114" s="154">
        <f t="shared" si="6"/>
        <v>1.0000000000000332E-3</v>
      </c>
      <c r="U114" s="155">
        <f t="shared" si="6"/>
        <v>-2.3090909090908792E-3</v>
      </c>
      <c r="V114" s="152">
        <f t="shared" si="6"/>
        <v>1.7272727272739702E-4</v>
      </c>
      <c r="W114" s="152">
        <f t="shared" si="6"/>
        <v>-3.1363636363635154E-3</v>
      </c>
    </row>
    <row r="115" spans="2:23" x14ac:dyDescent="0.45">
      <c r="B115" s="50">
        <v>1665</v>
      </c>
      <c r="C115" s="150">
        <f t="shared" si="5"/>
        <v>1.2197802197802199</v>
      </c>
      <c r="D115" s="23">
        <v>1.214</v>
      </c>
      <c r="E115" s="1">
        <v>1.214</v>
      </c>
      <c r="F115" s="24">
        <v>1.216</v>
      </c>
      <c r="G115" s="4">
        <v>1.216</v>
      </c>
      <c r="H115" s="1">
        <v>1.212</v>
      </c>
      <c r="I115" s="25">
        <v>1.2210000000000001</v>
      </c>
      <c r="J115" s="23">
        <v>1.2170000000000001</v>
      </c>
      <c r="K115" s="1">
        <v>1.22</v>
      </c>
      <c r="L115" s="25">
        <v>1.216</v>
      </c>
      <c r="N115" s="22">
        <v>1665</v>
      </c>
      <c r="O115" s="152">
        <f t="shared" si="7"/>
        <v>-4.7387387387388524E-3</v>
      </c>
      <c r="P115" s="152">
        <f t="shared" si="7"/>
        <v>-4.7387387387388524E-3</v>
      </c>
      <c r="Q115" s="153">
        <f t="shared" si="7"/>
        <v>-3.0990990990992116E-3</v>
      </c>
      <c r="R115" s="152">
        <f t="shared" si="6"/>
        <v>-3.0990990990992116E-3</v>
      </c>
      <c r="S115" s="152">
        <f t="shared" si="6"/>
        <v>-6.3783783783784931E-3</v>
      </c>
      <c r="T115" s="154">
        <f t="shared" si="6"/>
        <v>9.9999999999998181E-4</v>
      </c>
      <c r="U115" s="155">
        <f t="shared" si="6"/>
        <v>-2.2792792792793001E-3</v>
      </c>
      <c r="V115" s="152">
        <f t="shared" si="6"/>
        <v>1.801801801800703E-4</v>
      </c>
      <c r="W115" s="152">
        <f t="shared" si="6"/>
        <v>-3.0990990990992116E-3</v>
      </c>
    </row>
    <row r="116" spans="2:23" x14ac:dyDescent="0.45">
      <c r="B116" s="50">
        <v>1680</v>
      </c>
      <c r="C116" s="150">
        <f t="shared" si="5"/>
        <v>1.2307692307692308</v>
      </c>
      <c r="D116" s="23">
        <v>1.2250000000000001</v>
      </c>
      <c r="E116" s="1">
        <v>1.2250000000000001</v>
      </c>
      <c r="F116" s="24">
        <v>1.2270000000000001</v>
      </c>
      <c r="G116" s="4">
        <v>1.2270000000000001</v>
      </c>
      <c r="H116" s="1">
        <v>1.2230000000000001</v>
      </c>
      <c r="I116" s="25">
        <v>1.232</v>
      </c>
      <c r="J116" s="23">
        <v>1.2290000000000001</v>
      </c>
      <c r="K116" s="1">
        <v>1.2310000000000001</v>
      </c>
      <c r="L116" s="25">
        <v>1.2270000000000001</v>
      </c>
      <c r="N116" s="22">
        <v>1680</v>
      </c>
      <c r="O116" s="152">
        <f t="shared" si="7"/>
        <v>-4.6874999999999833E-3</v>
      </c>
      <c r="P116" s="152">
        <f t="shared" si="7"/>
        <v>-4.6874999999999833E-3</v>
      </c>
      <c r="Q116" s="153">
        <f t="shared" si="7"/>
        <v>-3.0624999999999819E-3</v>
      </c>
      <c r="R116" s="152">
        <f t="shared" si="6"/>
        <v>-3.0624999999999819E-3</v>
      </c>
      <c r="S116" s="152">
        <f t="shared" si="6"/>
        <v>-6.3124999999999848E-3</v>
      </c>
      <c r="T116" s="154">
        <f t="shared" si="6"/>
        <v>9.999999999999315E-4</v>
      </c>
      <c r="U116" s="155">
        <f t="shared" si="6"/>
        <v>-1.4374999999999805E-3</v>
      </c>
      <c r="V116" s="152">
        <f t="shared" si="6"/>
        <v>1.8750000000002098E-4</v>
      </c>
      <c r="W116" s="152">
        <f t="shared" si="6"/>
        <v>-3.0624999999999819E-3</v>
      </c>
    </row>
    <row r="117" spans="2:23" x14ac:dyDescent="0.45">
      <c r="B117" s="50">
        <v>1695</v>
      </c>
      <c r="C117" s="150">
        <f t="shared" si="5"/>
        <v>1.2417582417582418</v>
      </c>
      <c r="D117" s="23">
        <v>1.236</v>
      </c>
      <c r="E117" s="1">
        <v>1.236</v>
      </c>
      <c r="F117" s="24">
        <v>1.238</v>
      </c>
      <c r="G117" s="4">
        <v>1.2390000000000001</v>
      </c>
      <c r="H117" s="1">
        <v>1.234</v>
      </c>
      <c r="I117" s="25">
        <v>1.2430000000000001</v>
      </c>
      <c r="J117" s="23">
        <v>1.2390000000000001</v>
      </c>
      <c r="K117" s="1">
        <v>1.2410000000000001</v>
      </c>
      <c r="L117" s="25">
        <v>1.238</v>
      </c>
      <c r="N117" s="22">
        <v>1695</v>
      </c>
      <c r="O117" s="152">
        <f t="shared" si="7"/>
        <v>-4.637168141592954E-3</v>
      </c>
      <c r="P117" s="152">
        <f t="shared" si="7"/>
        <v>-4.637168141592954E-3</v>
      </c>
      <c r="Q117" s="153">
        <f t="shared" si="7"/>
        <v>-3.0265486725664036E-3</v>
      </c>
      <c r="R117" s="152">
        <f t="shared" si="6"/>
        <v>-2.2212389380530393E-3</v>
      </c>
      <c r="S117" s="152">
        <f t="shared" si="6"/>
        <v>-6.2477876106195041E-3</v>
      </c>
      <c r="T117" s="154">
        <f t="shared" si="6"/>
        <v>1.0000000000000607E-3</v>
      </c>
      <c r="U117" s="155">
        <f t="shared" si="6"/>
        <v>-2.2212389380530393E-3</v>
      </c>
      <c r="V117" s="152">
        <f t="shared" si="6"/>
        <v>-6.1061946902648927E-4</v>
      </c>
      <c r="W117" s="152">
        <f t="shared" si="6"/>
        <v>-3.0265486725664036E-3</v>
      </c>
    </row>
    <row r="118" spans="2:23" x14ac:dyDescent="0.45">
      <c r="B118" s="50">
        <v>1710</v>
      </c>
      <c r="C118" s="150">
        <f t="shared" si="5"/>
        <v>1.2527472527472527</v>
      </c>
      <c r="D118" s="23">
        <v>1.2470000000000001</v>
      </c>
      <c r="E118" s="1">
        <v>1.2470000000000001</v>
      </c>
      <c r="F118" s="24">
        <v>1.2490000000000001</v>
      </c>
      <c r="G118" s="4">
        <v>1.2490000000000001</v>
      </c>
      <c r="H118" s="1">
        <v>1.2450000000000001</v>
      </c>
      <c r="I118" s="25">
        <v>1.254</v>
      </c>
      <c r="J118" s="23">
        <v>1.25</v>
      </c>
      <c r="K118" s="1">
        <v>1.2529999999999999</v>
      </c>
      <c r="L118" s="25">
        <v>1.2490000000000001</v>
      </c>
      <c r="N118" s="22">
        <v>1710</v>
      </c>
      <c r="O118" s="152">
        <f t="shared" si="7"/>
        <v>-4.5877192982455199E-3</v>
      </c>
      <c r="P118" s="152">
        <f t="shared" si="7"/>
        <v>-4.5877192982455199E-3</v>
      </c>
      <c r="Q118" s="153">
        <f t="shared" si="7"/>
        <v>-2.9912280701753428E-3</v>
      </c>
      <c r="R118" s="152">
        <f t="shared" si="6"/>
        <v>-2.9912280701753428E-3</v>
      </c>
      <c r="S118" s="152">
        <f t="shared" si="6"/>
        <v>-6.1842105263156966E-3</v>
      </c>
      <c r="T118" s="154">
        <f t="shared" si="6"/>
        <v>1.0000000000000106E-3</v>
      </c>
      <c r="U118" s="155">
        <f t="shared" si="6"/>
        <v>-2.1929824561403429E-3</v>
      </c>
      <c r="V118" s="152">
        <f t="shared" si="6"/>
        <v>2.0175438596483359E-4</v>
      </c>
      <c r="W118" s="152">
        <f t="shared" si="6"/>
        <v>-2.9912280701753428E-3</v>
      </c>
    </row>
    <row r="119" spans="2:23" x14ac:dyDescent="0.45">
      <c r="B119" s="50">
        <v>1725</v>
      </c>
      <c r="C119" s="150">
        <f t="shared" si="5"/>
        <v>1.2637362637362637</v>
      </c>
      <c r="D119" s="23">
        <v>1.258</v>
      </c>
      <c r="E119" s="1">
        <v>1.2569999999999999</v>
      </c>
      <c r="F119" s="24">
        <v>1.26</v>
      </c>
      <c r="G119" s="4">
        <v>1.26</v>
      </c>
      <c r="H119" s="1">
        <v>1.256</v>
      </c>
      <c r="I119" s="25">
        <v>1.2649999999999999</v>
      </c>
      <c r="J119" s="23">
        <v>1.2609999999999999</v>
      </c>
      <c r="K119" s="1">
        <v>1.2629999999999999</v>
      </c>
      <c r="L119" s="25">
        <v>1.2589999999999999</v>
      </c>
      <c r="N119" s="22">
        <v>1725</v>
      </c>
      <c r="O119" s="152">
        <f t="shared" si="7"/>
        <v>-4.5391304347825647E-3</v>
      </c>
      <c r="P119" s="152">
        <f t="shared" si="7"/>
        <v>-5.3304347826087402E-3</v>
      </c>
      <c r="Q119" s="153">
        <f t="shared" si="7"/>
        <v>-2.9565217391303894E-3</v>
      </c>
      <c r="R119" s="152">
        <f t="shared" si="6"/>
        <v>-2.9565217391303894E-3</v>
      </c>
      <c r="S119" s="152">
        <f t="shared" si="6"/>
        <v>-6.1217391304347404E-3</v>
      </c>
      <c r="T119" s="154">
        <f t="shared" si="6"/>
        <v>9.9999999999996142E-4</v>
      </c>
      <c r="U119" s="155">
        <f t="shared" si="6"/>
        <v>-2.1652173913043896E-3</v>
      </c>
      <c r="V119" s="152">
        <f t="shared" si="6"/>
        <v>-5.8260869565221409E-4</v>
      </c>
      <c r="W119" s="152">
        <f t="shared" si="6"/>
        <v>-3.7478260869565649E-3</v>
      </c>
    </row>
    <row r="120" spans="2:23" x14ac:dyDescent="0.45">
      <c r="B120" s="50">
        <v>1740</v>
      </c>
      <c r="C120" s="150">
        <f t="shared" si="5"/>
        <v>1.2747252747252746</v>
      </c>
      <c r="D120" s="23">
        <v>1.2689999999999999</v>
      </c>
      <c r="E120" s="1">
        <v>1.2689999999999999</v>
      </c>
      <c r="F120" s="24">
        <v>1.2709999999999999</v>
      </c>
      <c r="G120" s="4">
        <v>1.2709999999999999</v>
      </c>
      <c r="H120" s="1">
        <v>1.2669999999999999</v>
      </c>
      <c r="I120" s="25">
        <v>1.276</v>
      </c>
      <c r="J120" s="23">
        <v>1.272</v>
      </c>
      <c r="K120" s="1">
        <v>1.2749999999999999</v>
      </c>
      <c r="L120" s="25">
        <v>1.27</v>
      </c>
      <c r="N120" s="22">
        <v>1740</v>
      </c>
      <c r="O120" s="152">
        <f t="shared" si="7"/>
        <v>-4.4913793103448325E-3</v>
      </c>
      <c r="P120" s="152">
        <f t="shared" si="7"/>
        <v>-4.4913793103448325E-3</v>
      </c>
      <c r="Q120" s="153">
        <f t="shared" si="7"/>
        <v>-2.9224137931034518E-3</v>
      </c>
      <c r="R120" s="152">
        <f t="shared" si="6"/>
        <v>-2.9224137931034518E-3</v>
      </c>
      <c r="S120" s="152">
        <f t="shared" si="6"/>
        <v>-6.0603448275862136E-3</v>
      </c>
      <c r="T120" s="154">
        <f t="shared" si="6"/>
        <v>1.0000000000000872E-3</v>
      </c>
      <c r="U120" s="155">
        <f t="shared" si="6"/>
        <v>-2.1379310344826746E-3</v>
      </c>
      <c r="V120" s="152">
        <f t="shared" si="6"/>
        <v>2.1551724137930958E-4</v>
      </c>
      <c r="W120" s="152">
        <f t="shared" si="6"/>
        <v>-3.7068965517240552E-3</v>
      </c>
    </row>
    <row r="121" spans="2:23" x14ac:dyDescent="0.45">
      <c r="B121" s="50">
        <v>1755</v>
      </c>
      <c r="C121" s="150">
        <f t="shared" si="5"/>
        <v>1.2857142857142858</v>
      </c>
      <c r="D121" s="23">
        <v>1.28</v>
      </c>
      <c r="E121" s="1">
        <v>1.2789999999999999</v>
      </c>
      <c r="F121" s="24">
        <v>1.282</v>
      </c>
      <c r="G121" s="4">
        <v>1.282</v>
      </c>
      <c r="H121" s="1">
        <v>1.278</v>
      </c>
      <c r="I121" s="25">
        <v>1.2869999999999999</v>
      </c>
      <c r="J121" s="23">
        <v>1.2829999999999999</v>
      </c>
      <c r="K121" s="1">
        <v>1.286</v>
      </c>
      <c r="L121" s="25">
        <v>1.282</v>
      </c>
      <c r="N121" s="22">
        <v>1755</v>
      </c>
      <c r="O121" s="152">
        <f t="shared" si="7"/>
        <v>-4.4444444444444973E-3</v>
      </c>
      <c r="P121" s="152">
        <f t="shared" si="7"/>
        <v>-5.2222222222223624E-3</v>
      </c>
      <c r="Q121" s="153">
        <f t="shared" si="7"/>
        <v>-2.8888888888889408E-3</v>
      </c>
      <c r="R121" s="152">
        <f t="shared" si="6"/>
        <v>-2.8888888888889408E-3</v>
      </c>
      <c r="S121" s="152">
        <f t="shared" si="6"/>
        <v>-6.0000000000000539E-3</v>
      </c>
      <c r="T121" s="154">
        <f t="shared" si="6"/>
        <v>9.9999999999986515E-4</v>
      </c>
      <c r="U121" s="155">
        <f t="shared" si="6"/>
        <v>-2.1111111111112484E-3</v>
      </c>
      <c r="V121" s="152">
        <f t="shared" si="6"/>
        <v>2.2222222222217306E-4</v>
      </c>
      <c r="W121" s="152">
        <f t="shared" si="6"/>
        <v>-2.8888888888889408E-3</v>
      </c>
    </row>
    <row r="122" spans="2:23" x14ac:dyDescent="0.45">
      <c r="B122" s="50">
        <v>1770</v>
      </c>
      <c r="C122" s="150">
        <f t="shared" si="5"/>
        <v>1.2967032967032968</v>
      </c>
      <c r="D122" s="23">
        <v>1.2909999999999999</v>
      </c>
      <c r="E122" s="1">
        <v>1.29</v>
      </c>
      <c r="F122" s="24">
        <v>1.2929999999999999</v>
      </c>
      <c r="G122" s="4">
        <v>1.2929999999999999</v>
      </c>
      <c r="H122" s="1">
        <v>1.2889999999999999</v>
      </c>
      <c r="I122" s="25">
        <v>1.298</v>
      </c>
      <c r="J122" s="23">
        <v>1.294</v>
      </c>
      <c r="K122" s="1">
        <v>1.296</v>
      </c>
      <c r="L122" s="25">
        <v>1.2929999999999999</v>
      </c>
      <c r="N122" s="22">
        <v>1770</v>
      </c>
      <c r="O122" s="152">
        <f t="shared" si="7"/>
        <v>-4.398305084745863E-3</v>
      </c>
      <c r="P122" s="152">
        <f t="shared" si="7"/>
        <v>-5.1694915254237445E-3</v>
      </c>
      <c r="Q122" s="153">
        <f t="shared" si="7"/>
        <v>-2.8559322033899297E-3</v>
      </c>
      <c r="R122" s="152">
        <f t="shared" si="6"/>
        <v>-2.8559322033899297E-3</v>
      </c>
      <c r="S122" s="152">
        <f t="shared" si="6"/>
        <v>-5.9406779661017968E-3</v>
      </c>
      <c r="T122" s="154">
        <f t="shared" si="6"/>
        <v>9.9999999999998961E-4</v>
      </c>
      <c r="U122" s="155">
        <f t="shared" si="6"/>
        <v>-2.0847457627118774E-3</v>
      </c>
      <c r="V122" s="152">
        <f t="shared" si="6"/>
        <v>-5.4237288135594391E-4</v>
      </c>
      <c r="W122" s="152">
        <f t="shared" si="6"/>
        <v>-2.8559322033899297E-3</v>
      </c>
    </row>
    <row r="123" spans="2:23" x14ac:dyDescent="0.45">
      <c r="B123" s="50">
        <v>1785</v>
      </c>
      <c r="C123" s="150">
        <f t="shared" si="5"/>
        <v>1.3076923076923077</v>
      </c>
      <c r="D123" s="23">
        <v>1.302</v>
      </c>
      <c r="E123" s="1">
        <v>1.3009999999999999</v>
      </c>
      <c r="F123" s="24">
        <v>1.3029999999999999</v>
      </c>
      <c r="G123" s="4">
        <v>1.304</v>
      </c>
      <c r="H123" s="1">
        <v>1.3</v>
      </c>
      <c r="I123" s="25">
        <v>1.3089999999999999</v>
      </c>
      <c r="J123" s="23">
        <v>1.3049999999999999</v>
      </c>
      <c r="K123" s="1">
        <v>1.3069999999999999</v>
      </c>
      <c r="L123" s="25">
        <v>1.3029999999999999</v>
      </c>
      <c r="N123" s="22">
        <v>1785</v>
      </c>
      <c r="O123" s="152">
        <f t="shared" si="7"/>
        <v>-4.3529411764705655E-3</v>
      </c>
      <c r="P123" s="152">
        <f t="shared" si="7"/>
        <v>-5.117647058823593E-3</v>
      </c>
      <c r="Q123" s="153">
        <f t="shared" si="7"/>
        <v>-3.5882352941177089E-3</v>
      </c>
      <c r="R123" s="152">
        <f t="shared" si="6"/>
        <v>-2.8235294117646822E-3</v>
      </c>
      <c r="S123" s="152">
        <f t="shared" si="6"/>
        <v>-5.8823529411764497E-3</v>
      </c>
      <c r="T123" s="154">
        <f t="shared" si="6"/>
        <v>9.9999999999994212E-4</v>
      </c>
      <c r="U123" s="155">
        <f t="shared" si="6"/>
        <v>-2.0588235294118251E-3</v>
      </c>
      <c r="V123" s="152">
        <f t="shared" si="6"/>
        <v>-5.2941176470594161E-4</v>
      </c>
      <c r="W123" s="152">
        <f t="shared" si="6"/>
        <v>-3.5882352941177089E-3</v>
      </c>
    </row>
    <row r="124" spans="2:23" x14ac:dyDescent="0.45">
      <c r="B124" s="50">
        <v>1800</v>
      </c>
      <c r="C124" s="150">
        <f t="shared" si="5"/>
        <v>1.3186813186813187</v>
      </c>
      <c r="D124" s="23">
        <v>1.3129999999999999</v>
      </c>
      <c r="E124" s="1">
        <v>1.3120000000000001</v>
      </c>
      <c r="F124" s="24">
        <v>1.3149999999999999</v>
      </c>
      <c r="G124" s="4">
        <v>1.3149999999999999</v>
      </c>
      <c r="H124" s="1">
        <v>1.31</v>
      </c>
      <c r="I124" s="25">
        <v>1.32</v>
      </c>
      <c r="J124" s="23">
        <v>1.3160000000000001</v>
      </c>
      <c r="K124" s="1">
        <v>1.319</v>
      </c>
      <c r="L124" s="25">
        <v>1.3140000000000001</v>
      </c>
      <c r="N124" s="22">
        <v>1800</v>
      </c>
      <c r="O124" s="152">
        <f t="shared" si="7"/>
        <v>-4.3083333333333584E-3</v>
      </c>
      <c r="P124" s="152">
        <f t="shared" si="7"/>
        <v>-5.0666666666666083E-3</v>
      </c>
      <c r="Q124" s="153">
        <f t="shared" si="7"/>
        <v>-2.7916666666666905E-3</v>
      </c>
      <c r="R124" s="152">
        <f t="shared" si="6"/>
        <v>-2.7916666666666905E-3</v>
      </c>
      <c r="S124" s="152">
        <f t="shared" si="6"/>
        <v>-6.5833333333332762E-3</v>
      </c>
      <c r="T124" s="154">
        <f t="shared" si="6"/>
        <v>1.0000000000000638E-3</v>
      </c>
      <c r="U124" s="155">
        <f t="shared" si="6"/>
        <v>-2.0333333333332725E-3</v>
      </c>
      <c r="V124" s="152">
        <f t="shared" si="6"/>
        <v>2.4166666666664561E-4</v>
      </c>
      <c r="W124" s="152">
        <f t="shared" si="6"/>
        <v>-3.5499999999999404E-3</v>
      </c>
    </row>
    <row r="125" spans="2:23" x14ac:dyDescent="0.45">
      <c r="B125" s="50">
        <v>1815</v>
      </c>
      <c r="C125" s="150">
        <f t="shared" si="5"/>
        <v>1.3296703296703296</v>
      </c>
      <c r="D125" s="23">
        <v>1.3240000000000001</v>
      </c>
      <c r="E125" s="1">
        <v>1.323</v>
      </c>
      <c r="F125" s="24">
        <v>1.3260000000000001</v>
      </c>
      <c r="G125" s="4">
        <v>1.3260000000000001</v>
      </c>
      <c r="H125" s="1">
        <v>1.3220000000000001</v>
      </c>
      <c r="I125" s="25">
        <v>1.331</v>
      </c>
      <c r="J125" s="23">
        <v>1.327</v>
      </c>
      <c r="K125" s="1">
        <v>1.329</v>
      </c>
      <c r="L125" s="25">
        <v>1.325</v>
      </c>
      <c r="N125" s="22">
        <v>1815</v>
      </c>
      <c r="O125" s="152">
        <f t="shared" si="7"/>
        <v>-4.2644628099172601E-3</v>
      </c>
      <c r="P125" s="152">
        <f t="shared" si="7"/>
        <v>-5.016528925619824E-3</v>
      </c>
      <c r="Q125" s="153">
        <f t="shared" si="7"/>
        <v>-2.7603305785123002E-3</v>
      </c>
      <c r="R125" s="152">
        <f t="shared" si="6"/>
        <v>-2.7603305785123002E-3</v>
      </c>
      <c r="S125" s="152">
        <f t="shared" si="6"/>
        <v>-5.7685950413222204E-3</v>
      </c>
      <c r="T125" s="154">
        <f t="shared" si="6"/>
        <v>1.0000000000000165E-3</v>
      </c>
      <c r="U125" s="155">
        <f t="shared" si="6"/>
        <v>-2.0082644628099037E-3</v>
      </c>
      <c r="V125" s="152">
        <f t="shared" si="6"/>
        <v>-5.0413223140494351E-4</v>
      </c>
      <c r="W125" s="152">
        <f t="shared" si="6"/>
        <v>-3.5123966942148636E-3</v>
      </c>
    </row>
    <row r="126" spans="2:23" x14ac:dyDescent="0.45">
      <c r="B126" s="50">
        <v>1830</v>
      </c>
      <c r="C126" s="150">
        <f t="shared" si="5"/>
        <v>1.3406593406593406</v>
      </c>
      <c r="D126" s="23">
        <v>1.335</v>
      </c>
      <c r="E126" s="1">
        <v>1.3340000000000001</v>
      </c>
      <c r="F126" s="24">
        <v>1.337</v>
      </c>
      <c r="G126" s="4">
        <v>1.337</v>
      </c>
      <c r="H126" s="1">
        <v>1.333</v>
      </c>
      <c r="I126" s="25">
        <v>1.3420000000000001</v>
      </c>
      <c r="J126" s="23">
        <v>1.3380000000000001</v>
      </c>
      <c r="K126" s="1">
        <v>1.34</v>
      </c>
      <c r="L126" s="25">
        <v>1.3360000000000001</v>
      </c>
      <c r="N126" s="22">
        <v>1830</v>
      </c>
      <c r="O126" s="152">
        <f t="shared" si="7"/>
        <v>-4.2213114754097881E-3</v>
      </c>
      <c r="P126" s="152">
        <f t="shared" si="7"/>
        <v>-4.9672131147539683E-3</v>
      </c>
      <c r="Q126" s="153">
        <f t="shared" si="7"/>
        <v>-2.7295081967212624E-3</v>
      </c>
      <c r="R126" s="152">
        <f t="shared" si="6"/>
        <v>-2.7295081967212624E-3</v>
      </c>
      <c r="S126" s="152">
        <f t="shared" si="6"/>
        <v>-5.7131147540983142E-3</v>
      </c>
      <c r="T126" s="154">
        <f t="shared" si="6"/>
        <v>1.0000000000001355E-3</v>
      </c>
      <c r="U126" s="155">
        <f t="shared" si="6"/>
        <v>-1.9836065573769165E-3</v>
      </c>
      <c r="V126" s="152">
        <f t="shared" si="6"/>
        <v>-4.9180327868839037E-4</v>
      </c>
      <c r="W126" s="152">
        <f t="shared" si="6"/>
        <v>-3.4754098360654426E-3</v>
      </c>
    </row>
    <row r="127" spans="2:23" x14ac:dyDescent="0.45">
      <c r="B127" s="50">
        <v>1845</v>
      </c>
      <c r="C127" s="150">
        <f t="shared" si="5"/>
        <v>1.3516483516483517</v>
      </c>
      <c r="D127" s="23">
        <v>1.345</v>
      </c>
      <c r="E127" s="1">
        <v>1.345</v>
      </c>
      <c r="F127" s="24">
        <v>1.3480000000000001</v>
      </c>
      <c r="G127" s="4">
        <v>1.3480000000000001</v>
      </c>
      <c r="H127" s="1">
        <v>1.343</v>
      </c>
      <c r="I127" s="25">
        <v>1.353</v>
      </c>
      <c r="J127" s="23">
        <v>1.349</v>
      </c>
      <c r="K127" s="1">
        <v>1.351</v>
      </c>
      <c r="L127" s="25">
        <v>1.347</v>
      </c>
      <c r="N127" s="22">
        <v>1845</v>
      </c>
      <c r="O127" s="152">
        <f t="shared" si="7"/>
        <v>-4.9186991869919509E-3</v>
      </c>
      <c r="P127" s="152">
        <f t="shared" si="7"/>
        <v>-4.9186991869919509E-3</v>
      </c>
      <c r="Q127" s="153">
        <f t="shared" si="7"/>
        <v>-2.6991869918699153E-3</v>
      </c>
      <c r="R127" s="152">
        <f t="shared" si="6"/>
        <v>-2.6991869918699153E-3</v>
      </c>
      <c r="S127" s="152">
        <f t="shared" si="6"/>
        <v>-6.3983739837399191E-3</v>
      </c>
      <c r="T127" s="154">
        <f t="shared" si="6"/>
        <v>9.9999999999992413E-4</v>
      </c>
      <c r="U127" s="155">
        <f t="shared" si="6"/>
        <v>-1.9593495934960132E-3</v>
      </c>
      <c r="V127" s="152">
        <f t="shared" si="6"/>
        <v>-4.7967479674804458E-4</v>
      </c>
      <c r="W127" s="152">
        <f t="shared" si="6"/>
        <v>-3.4390243902439818E-3</v>
      </c>
    </row>
    <row r="128" spans="2:23" x14ac:dyDescent="0.45">
      <c r="B128" s="50">
        <v>1860</v>
      </c>
      <c r="C128" s="150">
        <f t="shared" si="5"/>
        <v>1.3626373626373627</v>
      </c>
      <c r="D128" s="23">
        <v>1.357</v>
      </c>
      <c r="E128" s="1">
        <v>1.3560000000000001</v>
      </c>
      <c r="F128" s="24">
        <v>1.359</v>
      </c>
      <c r="G128" s="4">
        <v>1.359</v>
      </c>
      <c r="H128" s="1">
        <v>1.355</v>
      </c>
      <c r="I128" s="25">
        <v>1.3640000000000001</v>
      </c>
      <c r="J128" s="23">
        <v>1.359</v>
      </c>
      <c r="K128" s="1">
        <v>1.3620000000000001</v>
      </c>
      <c r="L128" s="25">
        <v>1.3580000000000001</v>
      </c>
      <c r="N128" s="22">
        <v>1860</v>
      </c>
      <c r="O128" s="152">
        <f t="shared" si="7"/>
        <v>-4.1370967741935919E-3</v>
      </c>
      <c r="P128" s="152">
        <f t="shared" si="7"/>
        <v>-4.8709677419354466E-3</v>
      </c>
      <c r="Q128" s="153">
        <f t="shared" si="7"/>
        <v>-2.6693548387097198E-3</v>
      </c>
      <c r="R128" s="152">
        <f t="shared" si="6"/>
        <v>-2.6693548387097198E-3</v>
      </c>
      <c r="S128" s="152">
        <f t="shared" si="6"/>
        <v>-5.6048387096774644E-3</v>
      </c>
      <c r="T128" s="154">
        <f t="shared" si="6"/>
        <v>1.0000000000000421E-3</v>
      </c>
      <c r="U128" s="155">
        <f t="shared" si="6"/>
        <v>-2.6693548387097198E-3</v>
      </c>
      <c r="V128" s="152">
        <f t="shared" si="6"/>
        <v>-4.6774193548383019E-4</v>
      </c>
      <c r="W128" s="152">
        <f t="shared" si="6"/>
        <v>-3.4032258064515745E-3</v>
      </c>
    </row>
    <row r="129" spans="2:23" x14ac:dyDescent="0.45">
      <c r="B129" s="50">
        <v>1875</v>
      </c>
      <c r="C129" s="150">
        <f t="shared" si="5"/>
        <v>1.3736263736263736</v>
      </c>
      <c r="D129" s="23">
        <v>1.3680000000000001</v>
      </c>
      <c r="E129" s="1">
        <v>1.367</v>
      </c>
      <c r="F129" s="24">
        <v>1.37</v>
      </c>
      <c r="G129" s="4">
        <v>1.37</v>
      </c>
      <c r="H129" s="1">
        <v>1.3660000000000001</v>
      </c>
      <c r="I129" s="25">
        <v>1.375</v>
      </c>
      <c r="J129" s="23">
        <v>1.371</v>
      </c>
      <c r="K129" s="1">
        <v>1.373</v>
      </c>
      <c r="L129" s="25">
        <v>1.369</v>
      </c>
      <c r="N129" s="22">
        <v>1875</v>
      </c>
      <c r="O129" s="152">
        <f t="shared" si="7"/>
        <v>-4.095999999999927E-3</v>
      </c>
      <c r="P129" s="152">
        <f t="shared" si="7"/>
        <v>-4.8240000000000088E-3</v>
      </c>
      <c r="Q129" s="153">
        <f t="shared" si="7"/>
        <v>-2.6399999999999258E-3</v>
      </c>
      <c r="R129" s="152">
        <f t="shared" si="6"/>
        <v>-2.6399999999999258E-3</v>
      </c>
      <c r="S129" s="152">
        <f t="shared" si="6"/>
        <v>-5.5519999999999285E-3</v>
      </c>
      <c r="T129" s="154">
        <f t="shared" si="6"/>
        <v>9.9999999999999655E-4</v>
      </c>
      <c r="U129" s="155">
        <f t="shared" si="6"/>
        <v>-1.9120000000000061E-3</v>
      </c>
      <c r="V129" s="152">
        <f t="shared" si="6"/>
        <v>-4.5600000000000485E-4</v>
      </c>
      <c r="W129" s="152">
        <f t="shared" si="6"/>
        <v>-3.3680000000000073E-3</v>
      </c>
    </row>
    <row r="130" spans="2:23" x14ac:dyDescent="0.45">
      <c r="B130" s="50">
        <v>1890</v>
      </c>
      <c r="C130" s="150">
        <f t="shared" si="5"/>
        <v>1.3846153846153846</v>
      </c>
      <c r="D130" s="23">
        <v>1.379</v>
      </c>
      <c r="E130" s="1">
        <v>1.3779999999999999</v>
      </c>
      <c r="F130" s="24">
        <v>1.38</v>
      </c>
      <c r="G130" s="4">
        <v>1.381</v>
      </c>
      <c r="H130" s="1">
        <v>1.377</v>
      </c>
      <c r="I130" s="25">
        <v>1.385</v>
      </c>
      <c r="J130" s="23">
        <v>1.381</v>
      </c>
      <c r="K130" s="1">
        <v>1.3839999999999999</v>
      </c>
      <c r="L130" s="25">
        <v>1.38</v>
      </c>
      <c r="N130" s="22">
        <v>1890</v>
      </c>
      <c r="O130" s="152">
        <f t="shared" si="7"/>
        <v>-4.0555555555555284E-3</v>
      </c>
      <c r="P130" s="152">
        <f t="shared" si="7"/>
        <v>-4.7777777777778313E-3</v>
      </c>
      <c r="Q130" s="153">
        <f t="shared" si="7"/>
        <v>-3.3333333333333856E-3</v>
      </c>
      <c r="R130" s="152">
        <f t="shared" si="6"/>
        <v>-2.6111111111110827E-3</v>
      </c>
      <c r="S130" s="152">
        <f t="shared" si="6"/>
        <v>-5.4999999999999745E-3</v>
      </c>
      <c r="T130" s="154">
        <f t="shared" si="6"/>
        <v>2.7777777777780889E-4</v>
      </c>
      <c r="U130" s="155">
        <f t="shared" si="6"/>
        <v>-2.6111111111110827E-3</v>
      </c>
      <c r="V130" s="152">
        <f t="shared" si="6"/>
        <v>-4.4444444444449418E-4</v>
      </c>
      <c r="W130" s="152">
        <f t="shared" si="6"/>
        <v>-3.3333333333333856E-3</v>
      </c>
    </row>
    <row r="131" spans="2:23" x14ac:dyDescent="0.45">
      <c r="B131" s="50">
        <v>1905</v>
      </c>
      <c r="C131" s="150">
        <f t="shared" si="5"/>
        <v>1.3956043956043955</v>
      </c>
      <c r="D131" s="23">
        <v>1.39</v>
      </c>
      <c r="E131" s="1">
        <v>1.389</v>
      </c>
      <c r="F131" s="24">
        <v>1.391</v>
      </c>
      <c r="G131" s="4">
        <v>1.3919999999999999</v>
      </c>
      <c r="H131" s="1">
        <v>1.387</v>
      </c>
      <c r="I131" s="25">
        <v>1.397</v>
      </c>
      <c r="J131" s="23">
        <v>1.393</v>
      </c>
      <c r="K131" s="1">
        <v>1.395</v>
      </c>
      <c r="L131" s="25">
        <v>1.391</v>
      </c>
      <c r="N131" s="22">
        <v>1905</v>
      </c>
      <c r="O131" s="152">
        <f t="shared" si="7"/>
        <v>-4.0157480314960805E-3</v>
      </c>
      <c r="P131" s="152">
        <f t="shared" si="7"/>
        <v>-4.7322834645668679E-3</v>
      </c>
      <c r="Q131" s="153">
        <f t="shared" si="7"/>
        <v>-3.2992125984251343E-3</v>
      </c>
      <c r="R131" s="152">
        <f t="shared" si="6"/>
        <v>-2.5826771653543472E-3</v>
      </c>
      <c r="S131" s="152">
        <f t="shared" si="6"/>
        <v>-6.1653543307086016E-3</v>
      </c>
      <c r="T131" s="154">
        <f t="shared" si="6"/>
        <v>1.0000000000000666E-3</v>
      </c>
      <c r="U131" s="155">
        <f t="shared" si="6"/>
        <v>-1.8661417322834008E-3</v>
      </c>
      <c r="V131" s="152">
        <f t="shared" si="6"/>
        <v>-4.3307086614166715E-4</v>
      </c>
      <c r="W131" s="152">
        <f t="shared" si="6"/>
        <v>-3.2992125984251343E-3</v>
      </c>
    </row>
    <row r="132" spans="2:23" x14ac:dyDescent="0.45">
      <c r="B132" s="50">
        <v>1920</v>
      </c>
      <c r="C132" s="150">
        <f t="shared" si="5"/>
        <v>1.4065934065934067</v>
      </c>
      <c r="D132" s="23">
        <v>1.4</v>
      </c>
      <c r="E132" s="1">
        <v>1.399</v>
      </c>
      <c r="F132" s="24">
        <v>1.4019999999999999</v>
      </c>
      <c r="G132" s="4">
        <v>1.403</v>
      </c>
      <c r="H132" s="1">
        <v>1.3979999999999999</v>
      </c>
      <c r="I132" s="25">
        <v>1.407</v>
      </c>
      <c r="J132" s="23">
        <v>1.4039999999999999</v>
      </c>
      <c r="K132" s="1">
        <v>1.4059999999999999</v>
      </c>
      <c r="L132" s="25">
        <v>1.4019999999999999</v>
      </c>
      <c r="N132" s="22">
        <v>1920</v>
      </c>
      <c r="O132" s="152">
        <f t="shared" si="7"/>
        <v>-4.6875000000001412E-3</v>
      </c>
      <c r="P132" s="152">
        <f t="shared" si="7"/>
        <v>-5.3984375000000629E-3</v>
      </c>
      <c r="Q132" s="153">
        <f t="shared" si="7"/>
        <v>-3.2656250000001395E-3</v>
      </c>
      <c r="R132" s="152">
        <f t="shared" si="6"/>
        <v>-2.5546875000000604E-3</v>
      </c>
      <c r="S132" s="152">
        <f t="shared" si="6"/>
        <v>-6.1093750000001416E-3</v>
      </c>
      <c r="T132" s="154">
        <f t="shared" si="6"/>
        <v>2.8906249999994214E-4</v>
      </c>
      <c r="U132" s="155">
        <f t="shared" si="6"/>
        <v>-1.8437500000001385E-3</v>
      </c>
      <c r="V132" s="152">
        <f t="shared" si="6"/>
        <v>-4.2187500000013736E-4</v>
      </c>
      <c r="W132" s="152">
        <f t="shared" si="6"/>
        <v>-3.2656250000001395E-3</v>
      </c>
    </row>
    <row r="133" spans="2:23" x14ac:dyDescent="0.45">
      <c r="B133" s="50">
        <v>1935</v>
      </c>
      <c r="C133" s="150">
        <f t="shared" ref="C133:C196" si="8">3*B133/4095</f>
        <v>1.4175824175824177</v>
      </c>
      <c r="D133" s="23">
        <v>1.411</v>
      </c>
      <c r="E133" s="1">
        <v>1.41</v>
      </c>
      <c r="F133" s="24">
        <v>1.413</v>
      </c>
      <c r="G133" s="4">
        <v>1.4139999999999999</v>
      </c>
      <c r="H133" s="1">
        <v>1.409</v>
      </c>
      <c r="I133" s="25">
        <v>1.4179999999999999</v>
      </c>
      <c r="J133" s="23">
        <v>1.415</v>
      </c>
      <c r="K133" s="1">
        <v>1.417</v>
      </c>
      <c r="L133" s="25">
        <v>1.413</v>
      </c>
      <c r="N133" s="22">
        <v>1935</v>
      </c>
      <c r="O133" s="152">
        <f t="shared" si="7"/>
        <v>-4.6434108527132053E-3</v>
      </c>
      <c r="P133" s="152">
        <f t="shared" si="7"/>
        <v>-5.3488372093024317E-3</v>
      </c>
      <c r="Q133" s="153">
        <f t="shared" si="7"/>
        <v>-3.2325581395349096E-3</v>
      </c>
      <c r="R133" s="152">
        <f t="shared" si="6"/>
        <v>-2.5271317829458403E-3</v>
      </c>
      <c r="S133" s="152">
        <f t="shared" si="6"/>
        <v>-6.054263565891501E-3</v>
      </c>
      <c r="T133" s="154">
        <f t="shared" si="6"/>
        <v>2.9457364341075139E-4</v>
      </c>
      <c r="U133" s="155">
        <f t="shared" si="6"/>
        <v>-1.8217054263566139E-3</v>
      </c>
      <c r="V133" s="152">
        <f t="shared" si="6"/>
        <v>-4.1085271317831818E-4</v>
      </c>
      <c r="W133" s="152">
        <f t="shared" si="6"/>
        <v>-3.2325581395349096E-3</v>
      </c>
    </row>
    <row r="134" spans="2:23" x14ac:dyDescent="0.45">
      <c r="B134" s="50">
        <v>1950</v>
      </c>
      <c r="C134" s="150">
        <f t="shared" si="8"/>
        <v>1.4285714285714286</v>
      </c>
      <c r="D134" s="23">
        <v>1.4219999999999999</v>
      </c>
      <c r="E134" s="1">
        <v>1.421</v>
      </c>
      <c r="F134" s="24">
        <v>1.4239999999999999</v>
      </c>
      <c r="G134" s="4">
        <v>1.425</v>
      </c>
      <c r="H134" s="1">
        <v>1.42</v>
      </c>
      <c r="I134" s="25">
        <v>1.429</v>
      </c>
      <c r="J134" s="23">
        <v>1.4259999999999999</v>
      </c>
      <c r="K134" s="1">
        <v>1.4279999999999999</v>
      </c>
      <c r="L134" s="25">
        <v>1.4239999999999999</v>
      </c>
      <c r="N134" s="22">
        <v>1950</v>
      </c>
      <c r="O134" s="152">
        <f t="shared" si="7"/>
        <v>-4.6000000000000702E-3</v>
      </c>
      <c r="P134" s="152">
        <f t="shared" si="7"/>
        <v>-5.2999999999999931E-3</v>
      </c>
      <c r="Q134" s="153">
        <f t="shared" si="7"/>
        <v>-3.2000000000000695E-3</v>
      </c>
      <c r="R134" s="152">
        <f t="shared" si="6"/>
        <v>-2.4999999999999909E-3</v>
      </c>
      <c r="S134" s="152">
        <f t="shared" si="6"/>
        <v>-6.0000000000000721E-3</v>
      </c>
      <c r="T134" s="154">
        <f t="shared" si="6"/>
        <v>3.0000000000001136E-4</v>
      </c>
      <c r="U134" s="155">
        <f t="shared" si="6"/>
        <v>-1.8000000000000683E-3</v>
      </c>
      <c r="V134" s="152">
        <f t="shared" si="6"/>
        <v>-4.0000000000006697E-4</v>
      </c>
      <c r="W134" s="152">
        <f t="shared" si="6"/>
        <v>-3.2000000000000695E-3</v>
      </c>
    </row>
    <row r="135" spans="2:23" x14ac:dyDescent="0.45">
      <c r="B135" s="50">
        <v>1965</v>
      </c>
      <c r="C135" s="150">
        <f t="shared" si="8"/>
        <v>1.4395604395604396</v>
      </c>
      <c r="D135" s="23">
        <v>1.4330000000000001</v>
      </c>
      <c r="E135" s="1">
        <v>1.4319999999999999</v>
      </c>
      <c r="F135" s="24">
        <v>1.4350000000000001</v>
      </c>
      <c r="G135" s="4">
        <v>1.4350000000000001</v>
      </c>
      <c r="H135" s="1">
        <v>1.431</v>
      </c>
      <c r="I135" s="25">
        <v>1.44</v>
      </c>
      <c r="J135" s="23">
        <v>1.4359999999999999</v>
      </c>
      <c r="K135" s="1">
        <v>1.4390000000000001</v>
      </c>
      <c r="L135" s="25">
        <v>1.4350000000000001</v>
      </c>
      <c r="N135" s="22">
        <v>1965</v>
      </c>
      <c r="O135" s="152">
        <f t="shared" si="7"/>
        <v>-4.5572519083969055E-3</v>
      </c>
      <c r="P135" s="152">
        <f t="shared" si="7"/>
        <v>-5.2519083969466019E-3</v>
      </c>
      <c r="Q135" s="153">
        <f t="shared" si="7"/>
        <v>-3.1679389312976678E-3</v>
      </c>
      <c r="R135" s="152">
        <f t="shared" si="6"/>
        <v>-3.1679389312976678E-3</v>
      </c>
      <c r="S135" s="152">
        <f t="shared" si="6"/>
        <v>-5.946564885496144E-3</v>
      </c>
      <c r="T135" s="154">
        <f t="shared" si="6"/>
        <v>3.0534351145034976E-4</v>
      </c>
      <c r="U135" s="155">
        <f t="shared" si="6"/>
        <v>-2.4732824427481262E-3</v>
      </c>
      <c r="V135" s="152">
        <f t="shared" si="6"/>
        <v>-3.8931297709919209E-4</v>
      </c>
      <c r="W135" s="152">
        <f t="shared" si="6"/>
        <v>-3.1679389312976678E-3</v>
      </c>
    </row>
    <row r="136" spans="2:23" x14ac:dyDescent="0.45">
      <c r="B136" s="50">
        <v>1980</v>
      </c>
      <c r="C136" s="150">
        <f t="shared" si="8"/>
        <v>1.4505494505494505</v>
      </c>
      <c r="D136" s="23">
        <v>1.444</v>
      </c>
      <c r="E136" s="1">
        <v>1.4430000000000001</v>
      </c>
      <c r="F136" s="24">
        <v>1.446</v>
      </c>
      <c r="G136" s="4">
        <v>1.446</v>
      </c>
      <c r="H136" s="1">
        <v>1.4419999999999999</v>
      </c>
      <c r="I136" s="25">
        <v>1.4510000000000001</v>
      </c>
      <c r="J136" s="23">
        <v>1.4470000000000001</v>
      </c>
      <c r="K136" s="1">
        <v>1.45</v>
      </c>
      <c r="L136" s="25">
        <v>1.446</v>
      </c>
      <c r="N136" s="22">
        <v>1980</v>
      </c>
      <c r="O136" s="152">
        <f t="shared" si="7"/>
        <v>-4.515151515151518E-3</v>
      </c>
      <c r="P136" s="152">
        <f t="shared" si="7"/>
        <v>-5.204545454545381E-3</v>
      </c>
      <c r="Q136" s="153">
        <f t="shared" si="7"/>
        <v>-3.1363636363636377E-3</v>
      </c>
      <c r="R136" s="152">
        <f t="shared" si="6"/>
        <v>-3.1363636363636377E-3</v>
      </c>
      <c r="S136" s="152">
        <f t="shared" si="6"/>
        <v>-5.8939393939393975E-3</v>
      </c>
      <c r="T136" s="154">
        <f t="shared" si="6"/>
        <v>3.1060606060613909E-4</v>
      </c>
      <c r="U136" s="155">
        <f t="shared" si="6"/>
        <v>-2.4469696969696211E-3</v>
      </c>
      <c r="V136" s="152">
        <f t="shared" si="6"/>
        <v>-3.7878787878787743E-4</v>
      </c>
      <c r="W136" s="152">
        <f t="shared" si="6"/>
        <v>-3.1363636363636377E-3</v>
      </c>
    </row>
    <row r="137" spans="2:23" x14ac:dyDescent="0.45">
      <c r="B137" s="50">
        <v>1995</v>
      </c>
      <c r="C137" s="150">
        <f t="shared" si="8"/>
        <v>1.4615384615384615</v>
      </c>
      <c r="D137" s="23">
        <v>1.4550000000000001</v>
      </c>
      <c r="E137" s="1">
        <v>1.454</v>
      </c>
      <c r="F137" s="24">
        <v>1.4570000000000001</v>
      </c>
      <c r="G137" s="4">
        <v>1.4570000000000001</v>
      </c>
      <c r="H137" s="1">
        <v>1.4530000000000001</v>
      </c>
      <c r="I137" s="25">
        <v>1.4630000000000001</v>
      </c>
      <c r="J137" s="23">
        <v>1.458</v>
      </c>
      <c r="K137" s="1">
        <v>1.4610000000000001</v>
      </c>
      <c r="L137" s="25">
        <v>1.4570000000000001</v>
      </c>
      <c r="N137" s="22">
        <v>1995</v>
      </c>
      <c r="O137" s="152">
        <f t="shared" si="7"/>
        <v>-4.4736842105262088E-3</v>
      </c>
      <c r="P137" s="152">
        <f t="shared" si="7"/>
        <v>-5.1578947368420749E-3</v>
      </c>
      <c r="Q137" s="153">
        <f t="shared" si="7"/>
        <v>-3.1052631578946288E-3</v>
      </c>
      <c r="R137" s="152">
        <f t="shared" si="6"/>
        <v>-3.1052631578946288E-3</v>
      </c>
      <c r="S137" s="152">
        <f t="shared" si="6"/>
        <v>-5.8421052631577892E-3</v>
      </c>
      <c r="T137" s="154">
        <f t="shared" si="6"/>
        <v>1.0000000000001119E-3</v>
      </c>
      <c r="U137" s="155">
        <f t="shared" si="6"/>
        <v>-2.4210526315789145E-3</v>
      </c>
      <c r="V137" s="152">
        <f t="shared" si="6"/>
        <v>-3.6842105263146826E-4</v>
      </c>
      <c r="W137" s="152">
        <f t="shared" si="6"/>
        <v>-3.1052631578946288E-3</v>
      </c>
    </row>
    <row r="138" spans="2:23" x14ac:dyDescent="0.45">
      <c r="B138" s="50">
        <v>2010</v>
      </c>
      <c r="C138" s="150">
        <f t="shared" si="8"/>
        <v>1.4725274725274726</v>
      </c>
      <c r="D138" s="23">
        <v>1.466</v>
      </c>
      <c r="E138" s="1">
        <v>1.4650000000000001</v>
      </c>
      <c r="F138" s="24">
        <v>1.468</v>
      </c>
      <c r="G138" s="4">
        <v>1.468</v>
      </c>
      <c r="H138" s="1">
        <v>1.464</v>
      </c>
      <c r="I138" s="25">
        <v>1.4730000000000001</v>
      </c>
      <c r="J138" s="23">
        <v>1.47</v>
      </c>
      <c r="K138" s="1">
        <v>1.472</v>
      </c>
      <c r="L138" s="25">
        <v>1.468</v>
      </c>
      <c r="N138" s="22">
        <v>2010</v>
      </c>
      <c r="O138" s="152">
        <f t="shared" si="7"/>
        <v>-4.4328358208956089E-3</v>
      </c>
      <c r="P138" s="152">
        <f t="shared" si="7"/>
        <v>-5.1119402985074745E-3</v>
      </c>
      <c r="Q138" s="153">
        <f t="shared" si="7"/>
        <v>-3.074626865671727E-3</v>
      </c>
      <c r="R138" s="152">
        <f t="shared" si="6"/>
        <v>-3.074626865671727E-3</v>
      </c>
      <c r="S138" s="152">
        <f t="shared" si="6"/>
        <v>-5.7910447761194903E-3</v>
      </c>
      <c r="T138" s="154">
        <f t="shared" si="6"/>
        <v>3.2089552238805249E-4</v>
      </c>
      <c r="U138" s="155">
        <f t="shared" si="6"/>
        <v>-1.7164179104478454E-3</v>
      </c>
      <c r="V138" s="152">
        <f t="shared" si="6"/>
        <v>-3.5820895522396373E-4</v>
      </c>
      <c r="W138" s="152">
        <f t="shared" si="6"/>
        <v>-3.074626865671727E-3</v>
      </c>
    </row>
    <row r="139" spans="2:23" x14ac:dyDescent="0.45">
      <c r="B139" s="50">
        <v>2025</v>
      </c>
      <c r="C139" s="150">
        <f t="shared" si="8"/>
        <v>1.4835164835164836</v>
      </c>
      <c r="D139" s="23">
        <v>1.4770000000000001</v>
      </c>
      <c r="E139" s="1">
        <v>1.476</v>
      </c>
      <c r="F139" s="24">
        <v>1.4790000000000001</v>
      </c>
      <c r="G139" s="4">
        <v>1.48</v>
      </c>
      <c r="H139" s="1">
        <v>1.4750000000000001</v>
      </c>
      <c r="I139" s="25">
        <v>1.484</v>
      </c>
      <c r="J139" s="23">
        <v>1.48</v>
      </c>
      <c r="K139" s="1">
        <v>1.4830000000000001</v>
      </c>
      <c r="L139" s="25">
        <v>1.4790000000000001</v>
      </c>
      <c r="N139" s="22">
        <v>2025</v>
      </c>
      <c r="O139" s="152">
        <f t="shared" si="7"/>
        <v>-4.3925925925925712E-3</v>
      </c>
      <c r="P139" s="152">
        <f t="shared" si="7"/>
        <v>-5.0666666666667201E-3</v>
      </c>
      <c r="Q139" s="153">
        <f t="shared" si="7"/>
        <v>-3.0444444444444217E-3</v>
      </c>
      <c r="R139" s="152">
        <f t="shared" si="6"/>
        <v>-2.3703703703704215E-3</v>
      </c>
      <c r="S139" s="152">
        <f t="shared" si="6"/>
        <v>-5.7407407407407199E-3</v>
      </c>
      <c r="T139" s="154">
        <f t="shared" si="6"/>
        <v>3.2592592592587685E-4</v>
      </c>
      <c r="U139" s="155">
        <f t="shared" si="6"/>
        <v>-2.3703703703704215E-3</v>
      </c>
      <c r="V139" s="152">
        <f t="shared" si="6"/>
        <v>-3.4814814814812295E-4</v>
      </c>
      <c r="W139" s="152">
        <f t="shared" si="6"/>
        <v>-3.0444444444444217E-3</v>
      </c>
    </row>
    <row r="140" spans="2:23" x14ac:dyDescent="0.45">
      <c r="B140" s="50">
        <v>2040</v>
      </c>
      <c r="C140" s="150">
        <f t="shared" si="8"/>
        <v>1.4945054945054945</v>
      </c>
      <c r="D140" s="23">
        <v>1.4870000000000001</v>
      </c>
      <c r="E140" s="1">
        <v>1.4870000000000001</v>
      </c>
      <c r="F140" s="24">
        <v>1.4890000000000001</v>
      </c>
      <c r="G140" s="4">
        <v>1.49</v>
      </c>
      <c r="H140" s="1">
        <v>1.486</v>
      </c>
      <c r="I140" s="25">
        <v>1.4950000000000001</v>
      </c>
      <c r="J140" s="23">
        <v>1.4910000000000001</v>
      </c>
      <c r="K140" s="1">
        <v>1.494</v>
      </c>
      <c r="L140" s="25">
        <v>1.49</v>
      </c>
      <c r="N140" s="22">
        <v>2040</v>
      </c>
      <c r="O140" s="152">
        <f t="shared" si="7"/>
        <v>-5.0220588235293578E-3</v>
      </c>
      <c r="P140" s="152">
        <f t="shared" si="7"/>
        <v>-5.0220588235293578E-3</v>
      </c>
      <c r="Q140" s="153">
        <f t="shared" si="7"/>
        <v>-3.6838235294117099E-3</v>
      </c>
      <c r="R140" s="152">
        <f t="shared" si="6"/>
        <v>-3.0147058823529601E-3</v>
      </c>
      <c r="S140" s="152">
        <f t="shared" si="6"/>
        <v>-5.6911764705882568E-3</v>
      </c>
      <c r="T140" s="154">
        <f t="shared" si="6"/>
        <v>3.3088235294123473E-4</v>
      </c>
      <c r="U140" s="155">
        <f t="shared" si="6"/>
        <v>-2.3455882352940616E-3</v>
      </c>
      <c r="V140" s="152">
        <f t="shared" si="6"/>
        <v>-3.382352941176637E-4</v>
      </c>
      <c r="W140" s="152">
        <f t="shared" si="6"/>
        <v>-3.0147058823529601E-3</v>
      </c>
    </row>
    <row r="141" spans="2:23" x14ac:dyDescent="0.45">
      <c r="B141" s="50">
        <v>2055</v>
      </c>
      <c r="C141" s="150">
        <f t="shared" si="8"/>
        <v>1.5054945054945055</v>
      </c>
      <c r="D141" s="23">
        <v>1.498</v>
      </c>
      <c r="E141" s="1">
        <v>1.498</v>
      </c>
      <c r="F141" s="24">
        <v>1.5009999999999999</v>
      </c>
      <c r="G141" s="4">
        <v>1.5009999999999999</v>
      </c>
      <c r="H141" s="1">
        <v>1.4970000000000001</v>
      </c>
      <c r="I141" s="25">
        <v>1.506</v>
      </c>
      <c r="J141" s="23">
        <v>1.502</v>
      </c>
      <c r="K141" s="1">
        <v>1.5049999999999999</v>
      </c>
      <c r="L141" s="25">
        <v>1.5009999999999999</v>
      </c>
      <c r="N141" s="22">
        <v>2055</v>
      </c>
      <c r="O141" s="152">
        <f t="shared" si="7"/>
        <v>-4.9781021897810102E-3</v>
      </c>
      <c r="P141" s="152">
        <f t="shared" si="7"/>
        <v>-4.9781021897810102E-3</v>
      </c>
      <c r="Q141" s="153">
        <f t="shared" si="7"/>
        <v>-2.9854014598540749E-3</v>
      </c>
      <c r="R141" s="152">
        <f t="shared" si="6"/>
        <v>-2.9854014598540749E-3</v>
      </c>
      <c r="S141" s="152">
        <f t="shared" si="6"/>
        <v>-5.642335766423273E-3</v>
      </c>
      <c r="T141" s="154">
        <f t="shared" si="6"/>
        <v>3.3576642335768076E-4</v>
      </c>
      <c r="U141" s="155">
        <f t="shared" si="6"/>
        <v>-2.3211678832116647E-3</v>
      </c>
      <c r="V141" s="152">
        <f t="shared" si="6"/>
        <v>-3.2846715328472935E-4</v>
      </c>
      <c r="W141" s="152">
        <f t="shared" si="6"/>
        <v>-2.9854014598540749E-3</v>
      </c>
    </row>
    <row r="142" spans="2:23" x14ac:dyDescent="0.45">
      <c r="B142" s="50">
        <v>2070</v>
      </c>
      <c r="C142" s="150">
        <f t="shared" si="8"/>
        <v>1.5164835164835164</v>
      </c>
      <c r="D142" s="23">
        <v>1.51</v>
      </c>
      <c r="E142" s="1">
        <v>1.5089999999999999</v>
      </c>
      <c r="F142" s="24">
        <v>1.512</v>
      </c>
      <c r="G142" s="4">
        <v>1.5129999999999999</v>
      </c>
      <c r="H142" s="1">
        <v>1.5089999999999999</v>
      </c>
      <c r="I142" s="25">
        <v>1.5169999999999999</v>
      </c>
      <c r="J142" s="23">
        <v>1.514</v>
      </c>
      <c r="K142" s="1">
        <v>1.516</v>
      </c>
      <c r="L142" s="25">
        <v>1.512</v>
      </c>
      <c r="N142" s="22">
        <v>2070</v>
      </c>
      <c r="O142" s="152">
        <f t="shared" si="7"/>
        <v>-4.2753623188405351E-3</v>
      </c>
      <c r="P142" s="152">
        <f t="shared" si="7"/>
        <v>-4.9347826086956819E-3</v>
      </c>
      <c r="Q142" s="153">
        <f t="shared" si="7"/>
        <v>-2.9565217391303894E-3</v>
      </c>
      <c r="R142" s="152">
        <f t="shared" si="7"/>
        <v>-2.2971014492753892E-3</v>
      </c>
      <c r="S142" s="152">
        <f t="shared" si="7"/>
        <v>-4.9347826086956819E-3</v>
      </c>
      <c r="T142" s="154">
        <f t="shared" si="7"/>
        <v>3.4057971014490293E-4</v>
      </c>
      <c r="U142" s="155">
        <f t="shared" si="7"/>
        <v>-1.6376811594202431E-3</v>
      </c>
      <c r="V142" s="152">
        <f t="shared" si="7"/>
        <v>-3.1884057971009696E-4</v>
      </c>
      <c r="W142" s="152">
        <f t="shared" si="7"/>
        <v>-2.9565217391303894E-3</v>
      </c>
    </row>
    <row r="143" spans="2:23" x14ac:dyDescent="0.45">
      <c r="B143" s="50">
        <v>2085</v>
      </c>
      <c r="C143" s="150">
        <f t="shared" si="8"/>
        <v>1.5274725274725274</v>
      </c>
      <c r="D143" s="23">
        <v>1.5209999999999999</v>
      </c>
      <c r="E143" s="1">
        <v>1.52</v>
      </c>
      <c r="F143" s="24">
        <v>1.5229999999999999</v>
      </c>
      <c r="G143" s="4">
        <v>1.524</v>
      </c>
      <c r="H143" s="1">
        <v>1.5189999999999999</v>
      </c>
      <c r="I143" s="25">
        <v>1.528</v>
      </c>
      <c r="J143" s="23">
        <v>1.5249999999999999</v>
      </c>
      <c r="K143" s="1">
        <v>1.5269999999999999</v>
      </c>
      <c r="L143" s="25">
        <v>1.5229999999999999</v>
      </c>
      <c r="N143" s="22">
        <v>2085</v>
      </c>
      <c r="O143" s="152">
        <f t="shared" si="7"/>
        <v>-4.2374100719424429E-3</v>
      </c>
      <c r="P143" s="152">
        <f t="shared" si="7"/>
        <v>-4.8920863309351763E-3</v>
      </c>
      <c r="Q143" s="153">
        <f t="shared" si="7"/>
        <v>-2.92805755395683E-3</v>
      </c>
      <c r="R143" s="152">
        <f t="shared" si="7"/>
        <v>-2.2733812949639509E-3</v>
      </c>
      <c r="S143" s="152">
        <f t="shared" si="7"/>
        <v>-5.5467625899280554E-3</v>
      </c>
      <c r="T143" s="154">
        <f t="shared" si="7"/>
        <v>3.4532374100727445E-4</v>
      </c>
      <c r="U143" s="155">
        <f t="shared" si="7"/>
        <v>-1.6187050359712173E-3</v>
      </c>
      <c r="V143" s="152">
        <f t="shared" si="7"/>
        <v>-3.0935251798560459E-4</v>
      </c>
      <c r="W143" s="152">
        <f t="shared" si="7"/>
        <v>-2.92805755395683E-3</v>
      </c>
    </row>
    <row r="144" spans="2:23" x14ac:dyDescent="0.45">
      <c r="B144" s="50">
        <v>2100</v>
      </c>
      <c r="C144" s="150">
        <f t="shared" si="8"/>
        <v>1.5384615384615385</v>
      </c>
      <c r="D144" s="23">
        <v>1.532</v>
      </c>
      <c r="E144" s="1">
        <v>1.5309999999999999</v>
      </c>
      <c r="F144" s="24">
        <v>1.534</v>
      </c>
      <c r="G144" s="4">
        <v>1.534</v>
      </c>
      <c r="H144" s="1">
        <v>1.53</v>
      </c>
      <c r="I144" s="25">
        <v>1.5389999999999999</v>
      </c>
      <c r="J144" s="23">
        <v>1.5349999999999999</v>
      </c>
      <c r="K144" s="1">
        <v>1.538</v>
      </c>
      <c r="L144" s="25">
        <v>1.534</v>
      </c>
      <c r="N144" s="22">
        <v>2100</v>
      </c>
      <c r="O144" s="152">
        <f t="shared" si="7"/>
        <v>-4.200000000000037E-3</v>
      </c>
      <c r="P144" s="152">
        <f t="shared" si="7"/>
        <v>-4.8500000000001094E-3</v>
      </c>
      <c r="Q144" s="153">
        <f t="shared" si="7"/>
        <v>-2.9000000000000358E-3</v>
      </c>
      <c r="R144" s="152">
        <f t="shared" si="7"/>
        <v>-2.9000000000000358E-3</v>
      </c>
      <c r="S144" s="152">
        <f t="shared" si="7"/>
        <v>-5.5000000000000378E-3</v>
      </c>
      <c r="T144" s="154">
        <f t="shared" si="7"/>
        <v>3.4999999999989483E-4</v>
      </c>
      <c r="U144" s="155">
        <f t="shared" si="7"/>
        <v>-2.2500000000001074E-3</v>
      </c>
      <c r="V144" s="152">
        <f t="shared" si="7"/>
        <v>-3.0000000000003353E-4</v>
      </c>
      <c r="W144" s="152">
        <f t="shared" si="7"/>
        <v>-2.9000000000000358E-3</v>
      </c>
    </row>
    <row r="145" spans="2:23" x14ac:dyDescent="0.45">
      <c r="B145" s="50">
        <v>2115</v>
      </c>
      <c r="C145" s="150">
        <f t="shared" si="8"/>
        <v>1.5494505494505495</v>
      </c>
      <c r="D145" s="23">
        <v>1.5429999999999999</v>
      </c>
      <c r="E145" s="1">
        <v>1.542</v>
      </c>
      <c r="F145" s="24">
        <v>1.5449999999999999</v>
      </c>
      <c r="G145" s="4">
        <v>1.546</v>
      </c>
      <c r="H145" s="1">
        <v>1.5409999999999999</v>
      </c>
      <c r="I145" s="25">
        <v>1.5509999999999999</v>
      </c>
      <c r="J145" s="23">
        <v>1.5469999999999999</v>
      </c>
      <c r="K145" s="1">
        <v>1.5489999999999999</v>
      </c>
      <c r="L145" s="25">
        <v>1.5449999999999999</v>
      </c>
      <c r="N145" s="22">
        <v>2115</v>
      </c>
      <c r="O145" s="152">
        <f t="shared" si="7"/>
        <v>-4.1631205673759632E-3</v>
      </c>
      <c r="P145" s="152">
        <f t="shared" si="7"/>
        <v>-4.8085106382978783E-3</v>
      </c>
      <c r="Q145" s="153">
        <f t="shared" si="7"/>
        <v>-2.8723404255319904E-3</v>
      </c>
      <c r="R145" s="152">
        <f t="shared" si="7"/>
        <v>-2.2269503546099327E-3</v>
      </c>
      <c r="S145" s="152">
        <f t="shared" si="7"/>
        <v>-5.4539007092199365E-3</v>
      </c>
      <c r="T145" s="154">
        <f t="shared" si="7"/>
        <v>9.999999999999276E-4</v>
      </c>
      <c r="U145" s="155">
        <f t="shared" si="7"/>
        <v>-1.5815602836880178E-3</v>
      </c>
      <c r="V145" s="152">
        <f t="shared" si="7"/>
        <v>-2.9078014184404511E-4</v>
      </c>
      <c r="W145" s="152">
        <f t="shared" si="7"/>
        <v>-2.8723404255319904E-3</v>
      </c>
    </row>
    <row r="146" spans="2:23" x14ac:dyDescent="0.45">
      <c r="B146" s="50">
        <v>2130</v>
      </c>
      <c r="C146" s="150">
        <f t="shared" si="8"/>
        <v>1.5604395604395604</v>
      </c>
      <c r="D146" s="23">
        <v>1.554</v>
      </c>
      <c r="E146" s="1">
        <v>1.5529999999999999</v>
      </c>
      <c r="F146" s="24">
        <v>1.556</v>
      </c>
      <c r="G146" s="4">
        <v>1.5569999999999999</v>
      </c>
      <c r="H146" s="1">
        <v>1.5529999999999999</v>
      </c>
      <c r="I146" s="25">
        <v>1.5609999999999999</v>
      </c>
      <c r="J146" s="23">
        <v>1.5569999999999999</v>
      </c>
      <c r="K146" s="1">
        <v>1.56</v>
      </c>
      <c r="L146" s="25">
        <v>1.556</v>
      </c>
      <c r="N146" s="22">
        <v>2130</v>
      </c>
      <c r="O146" s="152">
        <f t="shared" si="7"/>
        <v>-4.1267605633802558E-3</v>
      </c>
      <c r="P146" s="152">
        <f t="shared" si="7"/>
        <v>-4.7676056338028629E-3</v>
      </c>
      <c r="Q146" s="153">
        <f t="shared" si="7"/>
        <v>-2.8450704225351842E-3</v>
      </c>
      <c r="R146" s="152">
        <f t="shared" si="7"/>
        <v>-2.2042253521127194E-3</v>
      </c>
      <c r="S146" s="152">
        <f t="shared" si="7"/>
        <v>-4.7676056338028629E-3</v>
      </c>
      <c r="T146" s="154">
        <f t="shared" si="7"/>
        <v>3.5915492957742365E-4</v>
      </c>
      <c r="U146" s="155">
        <f t="shared" si="7"/>
        <v>-2.2042253521127194E-3</v>
      </c>
      <c r="V146" s="152">
        <f t="shared" si="7"/>
        <v>-2.8169014084504095E-4</v>
      </c>
      <c r="W146" s="152">
        <f t="shared" si="7"/>
        <v>-2.8450704225351842E-3</v>
      </c>
    </row>
    <row r="147" spans="2:23" x14ac:dyDescent="0.45">
      <c r="B147" s="50">
        <v>2145</v>
      </c>
      <c r="C147" s="150">
        <f t="shared" si="8"/>
        <v>1.5714285714285714</v>
      </c>
      <c r="D147" s="23">
        <v>1.5649999999999999</v>
      </c>
      <c r="E147" s="1">
        <v>1.5640000000000001</v>
      </c>
      <c r="F147" s="24">
        <v>1.5669999999999999</v>
      </c>
      <c r="G147" s="4">
        <v>1.5680000000000001</v>
      </c>
      <c r="H147" s="1">
        <v>1.5629999999999999</v>
      </c>
      <c r="I147" s="25">
        <v>1.5720000000000001</v>
      </c>
      <c r="J147" s="23">
        <v>1.5680000000000001</v>
      </c>
      <c r="K147" s="1">
        <v>1.571</v>
      </c>
      <c r="L147" s="25">
        <v>1.5669999999999999</v>
      </c>
      <c r="N147" s="22">
        <v>2145</v>
      </c>
      <c r="O147" s="152">
        <f t="shared" si="7"/>
        <v>-4.0909090909091051E-3</v>
      </c>
      <c r="P147" s="152">
        <f t="shared" si="7"/>
        <v>-4.7272727272726712E-3</v>
      </c>
      <c r="Q147" s="153">
        <f t="shared" si="7"/>
        <v>-2.8181818181818308E-3</v>
      </c>
      <c r="R147" s="152">
        <f t="shared" si="7"/>
        <v>-2.1818181818181234E-3</v>
      </c>
      <c r="S147" s="152">
        <f t="shared" si="7"/>
        <v>-5.3636363636363786E-3</v>
      </c>
      <c r="T147" s="154">
        <f t="shared" si="7"/>
        <v>3.6363636363642455E-4</v>
      </c>
      <c r="U147" s="155">
        <f t="shared" si="7"/>
        <v>-2.1818181818181234E-3</v>
      </c>
      <c r="V147" s="152">
        <f t="shared" si="7"/>
        <v>-2.7272727272728309E-4</v>
      </c>
      <c r="W147" s="152">
        <f t="shared" si="7"/>
        <v>-2.8181818181818308E-3</v>
      </c>
    </row>
    <row r="148" spans="2:23" x14ac:dyDescent="0.45">
      <c r="B148" s="50">
        <v>2160</v>
      </c>
      <c r="C148" s="150">
        <f t="shared" si="8"/>
        <v>1.5824175824175823</v>
      </c>
      <c r="D148" s="23">
        <v>1.5760000000000001</v>
      </c>
      <c r="E148" s="1">
        <v>1.5740000000000001</v>
      </c>
      <c r="F148" s="24">
        <v>1.577</v>
      </c>
      <c r="G148" s="4">
        <v>1.579</v>
      </c>
      <c r="H148" s="1">
        <v>1.5740000000000001</v>
      </c>
      <c r="I148" s="25">
        <v>1.583</v>
      </c>
      <c r="J148" s="23">
        <v>1.58</v>
      </c>
      <c r="K148" s="1">
        <v>1.5820000000000001</v>
      </c>
      <c r="L148" s="25">
        <v>1.5780000000000001</v>
      </c>
      <c r="N148" s="22">
        <v>2160</v>
      </c>
      <c r="O148" s="152">
        <f t="shared" si="7"/>
        <v>-4.0555555555554686E-3</v>
      </c>
      <c r="P148" s="152">
        <f t="shared" si="7"/>
        <v>-5.3194444444443585E-3</v>
      </c>
      <c r="Q148" s="153">
        <f t="shared" si="7"/>
        <v>-3.4236111111110934E-3</v>
      </c>
      <c r="R148" s="152">
        <f t="shared" si="7"/>
        <v>-2.1597222222222035E-3</v>
      </c>
      <c r="S148" s="152">
        <f t="shared" si="7"/>
        <v>-5.3194444444443585E-3</v>
      </c>
      <c r="T148" s="154">
        <f t="shared" si="7"/>
        <v>3.6805555555557669E-4</v>
      </c>
      <c r="U148" s="155">
        <f t="shared" si="7"/>
        <v>-1.5277777777776883E-3</v>
      </c>
      <c r="V148" s="152">
        <f t="shared" si="7"/>
        <v>-2.6388888888879817E-4</v>
      </c>
      <c r="W148" s="152">
        <f t="shared" si="7"/>
        <v>-2.7916666666665782E-3</v>
      </c>
    </row>
    <row r="149" spans="2:23" x14ac:dyDescent="0.45">
      <c r="B149" s="50">
        <v>2175</v>
      </c>
      <c r="C149" s="150">
        <f t="shared" si="8"/>
        <v>1.5934065934065933</v>
      </c>
      <c r="D149" s="23">
        <v>1.5860000000000001</v>
      </c>
      <c r="E149" s="1">
        <v>1.585</v>
      </c>
      <c r="F149" s="24">
        <v>1.5880000000000001</v>
      </c>
      <c r="G149" s="4">
        <v>1.589</v>
      </c>
      <c r="H149" s="1">
        <v>1.585</v>
      </c>
      <c r="I149" s="25">
        <v>1.5940000000000001</v>
      </c>
      <c r="J149" s="23">
        <v>1.59</v>
      </c>
      <c r="K149" s="1">
        <v>1.5920000000000001</v>
      </c>
      <c r="L149" s="25">
        <v>1.589</v>
      </c>
      <c r="N149" s="22">
        <v>2175</v>
      </c>
      <c r="O149" s="152">
        <f t="shared" si="7"/>
        <v>-4.6482758620688489E-3</v>
      </c>
      <c r="P149" s="152">
        <f t="shared" si="7"/>
        <v>-5.2758620689654706E-3</v>
      </c>
      <c r="Q149" s="153">
        <f t="shared" si="7"/>
        <v>-3.3931034482757444E-3</v>
      </c>
      <c r="R149" s="152">
        <f t="shared" si="7"/>
        <v>-2.7655172413792615E-3</v>
      </c>
      <c r="S149" s="152">
        <f t="shared" si="7"/>
        <v>-5.2758620689654706E-3</v>
      </c>
      <c r="T149" s="154">
        <f t="shared" si="7"/>
        <v>3.7241379310356962E-4</v>
      </c>
      <c r="U149" s="155">
        <f t="shared" si="7"/>
        <v>-2.1379310344826399E-3</v>
      </c>
      <c r="V149" s="152">
        <f t="shared" si="7"/>
        <v>-8.8275862068953501E-4</v>
      </c>
      <c r="W149" s="152">
        <f t="shared" si="7"/>
        <v>-2.7655172413792615E-3</v>
      </c>
    </row>
    <row r="150" spans="2:23" x14ac:dyDescent="0.45">
      <c r="B150" s="50">
        <v>2190</v>
      </c>
      <c r="C150" s="150">
        <f t="shared" si="8"/>
        <v>1.6043956043956045</v>
      </c>
      <c r="D150" s="23">
        <v>1.5980000000000001</v>
      </c>
      <c r="E150" s="1">
        <v>1.597</v>
      </c>
      <c r="F150" s="24">
        <v>1.599</v>
      </c>
      <c r="G150" s="4">
        <v>1.601</v>
      </c>
      <c r="H150" s="1">
        <v>1.5960000000000001</v>
      </c>
      <c r="I150" s="25">
        <v>1.605</v>
      </c>
      <c r="J150" s="23">
        <v>1.6020000000000001</v>
      </c>
      <c r="K150" s="1">
        <v>1.6040000000000001</v>
      </c>
      <c r="L150" s="25">
        <v>1.6</v>
      </c>
      <c r="N150" s="22">
        <v>2190</v>
      </c>
      <c r="O150" s="152">
        <f t="shared" si="7"/>
        <v>-3.9863013698630051E-3</v>
      </c>
      <c r="P150" s="152">
        <f t="shared" si="7"/>
        <v>-4.6095890410959512E-3</v>
      </c>
      <c r="Q150" s="153">
        <f t="shared" si="7"/>
        <v>-3.3630136986301969E-3</v>
      </c>
      <c r="R150" s="152">
        <f t="shared" si="7"/>
        <v>-2.1164383561644426E-3</v>
      </c>
      <c r="S150" s="152">
        <f t="shared" si="7"/>
        <v>-5.2328767123287594E-3</v>
      </c>
      <c r="T150" s="154">
        <f t="shared" si="7"/>
        <v>3.767123287670666E-4</v>
      </c>
      <c r="U150" s="155">
        <f t="shared" si="7"/>
        <v>-1.493150684931496E-3</v>
      </c>
      <c r="V150" s="152">
        <f t="shared" si="7"/>
        <v>-2.4657534246574149E-4</v>
      </c>
      <c r="W150" s="152">
        <f t="shared" si="7"/>
        <v>-2.7397260273972503E-3</v>
      </c>
    </row>
    <row r="151" spans="2:23" x14ac:dyDescent="0.45">
      <c r="B151" s="50">
        <v>2205</v>
      </c>
      <c r="C151" s="150">
        <f t="shared" si="8"/>
        <v>1.6153846153846154</v>
      </c>
      <c r="D151" s="23">
        <v>1.6080000000000001</v>
      </c>
      <c r="E151" s="1">
        <v>1.607</v>
      </c>
      <c r="F151" s="24">
        <v>1.61</v>
      </c>
      <c r="G151" s="4">
        <v>1.611</v>
      </c>
      <c r="H151" s="1">
        <v>1.607</v>
      </c>
      <c r="I151" s="25">
        <v>1.6160000000000001</v>
      </c>
      <c r="J151" s="23">
        <v>1.613</v>
      </c>
      <c r="K151" s="1">
        <v>1.615</v>
      </c>
      <c r="L151" s="25">
        <v>1.611</v>
      </c>
      <c r="N151" s="22">
        <v>2205</v>
      </c>
      <c r="O151" s="152">
        <f t="shared" si="7"/>
        <v>-4.5714285714285327E-3</v>
      </c>
      <c r="P151" s="152">
        <f t="shared" si="7"/>
        <v>-5.190476190476221E-3</v>
      </c>
      <c r="Q151" s="153">
        <f t="shared" si="7"/>
        <v>-3.3333333333332941E-3</v>
      </c>
      <c r="R151" s="152">
        <f t="shared" si="7"/>
        <v>-2.7142857142857433E-3</v>
      </c>
      <c r="S151" s="152">
        <f t="shared" si="7"/>
        <v>-5.190476190476221E-3</v>
      </c>
      <c r="T151" s="154">
        <f t="shared" si="7"/>
        <v>3.8095238095242357E-4</v>
      </c>
      <c r="U151" s="155">
        <f t="shared" si="7"/>
        <v>-1.476190476190504E-3</v>
      </c>
      <c r="V151" s="152">
        <f t="shared" si="7"/>
        <v>-2.3809523809526474E-4</v>
      </c>
      <c r="W151" s="152">
        <f t="shared" si="7"/>
        <v>-2.7142857142857433E-3</v>
      </c>
    </row>
    <row r="152" spans="2:23" x14ac:dyDescent="0.45">
      <c r="B152" s="50">
        <v>2220</v>
      </c>
      <c r="C152" s="150">
        <f t="shared" si="8"/>
        <v>1.6263736263736264</v>
      </c>
      <c r="D152" s="23">
        <v>1.619</v>
      </c>
      <c r="E152" s="1">
        <v>1.6180000000000001</v>
      </c>
      <c r="F152" s="24">
        <v>1.621</v>
      </c>
      <c r="G152" s="4">
        <v>1.6220000000000001</v>
      </c>
      <c r="H152" s="1">
        <v>1.6180000000000001</v>
      </c>
      <c r="I152" s="25">
        <v>1.627</v>
      </c>
      <c r="J152" s="23">
        <v>1.6240000000000001</v>
      </c>
      <c r="K152" s="1">
        <v>1.625</v>
      </c>
      <c r="L152" s="25">
        <v>1.6220000000000001</v>
      </c>
      <c r="N152" s="22">
        <v>2220</v>
      </c>
      <c r="O152" s="152">
        <f t="shared" si="7"/>
        <v>-4.533783783783784E-3</v>
      </c>
      <c r="P152" s="152">
        <f t="shared" si="7"/>
        <v>-5.1486486486485815E-3</v>
      </c>
      <c r="Q152" s="153">
        <f t="shared" si="7"/>
        <v>-3.3040540540540532E-3</v>
      </c>
      <c r="R152" s="152">
        <f t="shared" si="7"/>
        <v>-2.6891891891891195E-3</v>
      </c>
      <c r="S152" s="152">
        <f t="shared" si="7"/>
        <v>-5.1486486486485815E-3</v>
      </c>
      <c r="T152" s="154">
        <f t="shared" si="7"/>
        <v>3.8513513513513924E-4</v>
      </c>
      <c r="U152" s="155">
        <f t="shared" si="7"/>
        <v>-1.4594594594593887E-3</v>
      </c>
      <c r="V152" s="152">
        <f t="shared" si="7"/>
        <v>-8.4459459459459161E-4</v>
      </c>
      <c r="W152" s="152">
        <f t="shared" si="7"/>
        <v>-2.6891891891891195E-3</v>
      </c>
    </row>
    <row r="153" spans="2:23" x14ac:dyDescent="0.45">
      <c r="B153" s="50">
        <v>2235</v>
      </c>
      <c r="C153" s="150">
        <f t="shared" si="8"/>
        <v>1.6373626373626373</v>
      </c>
      <c r="D153" s="23">
        <v>1.63</v>
      </c>
      <c r="E153" s="1">
        <v>1.629</v>
      </c>
      <c r="F153" s="24">
        <v>1.6319999999999999</v>
      </c>
      <c r="G153" s="4">
        <v>1.633</v>
      </c>
      <c r="H153" s="1">
        <v>1.6279999999999999</v>
      </c>
      <c r="I153" s="25">
        <v>1.6379999999999999</v>
      </c>
      <c r="J153" s="23">
        <v>1.6339999999999999</v>
      </c>
      <c r="K153" s="1">
        <v>1.637</v>
      </c>
      <c r="L153" s="25">
        <v>1.633</v>
      </c>
      <c r="N153" s="22">
        <v>2235</v>
      </c>
      <c r="O153" s="152">
        <f t="shared" ref="O153:W181" si="9">(D153-$C153)/$C153</f>
        <v>-4.4966442953020521E-3</v>
      </c>
      <c r="P153" s="152">
        <f t="shared" si="9"/>
        <v>-5.1073825503355416E-3</v>
      </c>
      <c r="Q153" s="153">
        <f t="shared" si="9"/>
        <v>-3.2751677852349368E-3</v>
      </c>
      <c r="R153" s="152">
        <f t="shared" si="9"/>
        <v>-2.6644295302013111E-3</v>
      </c>
      <c r="S153" s="152">
        <f t="shared" si="9"/>
        <v>-5.7181208053691673E-3</v>
      </c>
      <c r="T153" s="154">
        <f t="shared" si="9"/>
        <v>3.8926174496640905E-4</v>
      </c>
      <c r="U153" s="155">
        <f t="shared" si="9"/>
        <v>-2.0536912751678215E-3</v>
      </c>
      <c r="V153" s="152">
        <f t="shared" si="9"/>
        <v>-2.2147651006708077E-4</v>
      </c>
      <c r="W153" s="152">
        <f t="shared" si="9"/>
        <v>-2.6644295302013111E-3</v>
      </c>
    </row>
    <row r="154" spans="2:23" x14ac:dyDescent="0.45">
      <c r="B154" s="50">
        <v>2250</v>
      </c>
      <c r="C154" s="150">
        <f t="shared" si="8"/>
        <v>1.6483516483516483</v>
      </c>
      <c r="D154" s="23">
        <v>1.641</v>
      </c>
      <c r="E154" s="1">
        <v>1.64</v>
      </c>
      <c r="F154" s="24">
        <v>1.643</v>
      </c>
      <c r="G154" s="4">
        <v>1.6439999999999999</v>
      </c>
      <c r="H154" s="1">
        <v>1.639</v>
      </c>
      <c r="I154" s="25">
        <v>1.65</v>
      </c>
      <c r="J154" s="23">
        <v>1.645</v>
      </c>
      <c r="K154" s="1">
        <v>1.6479999999999999</v>
      </c>
      <c r="L154" s="25">
        <v>1.6439999999999999</v>
      </c>
      <c r="N154" s="22">
        <v>2250</v>
      </c>
      <c r="O154" s="152">
        <f t="shared" si="9"/>
        <v>-4.4599999999999414E-3</v>
      </c>
      <c r="P154" s="152">
        <f t="shared" si="9"/>
        <v>-5.0666666666666759E-3</v>
      </c>
      <c r="Q154" s="153">
        <f t="shared" si="9"/>
        <v>-3.2466666666666069E-3</v>
      </c>
      <c r="R154" s="152">
        <f t="shared" si="9"/>
        <v>-2.6400000000000069E-3</v>
      </c>
      <c r="S154" s="152">
        <f t="shared" si="9"/>
        <v>-5.6733333333332759E-3</v>
      </c>
      <c r="T154" s="154">
        <f t="shared" si="9"/>
        <v>9.9999999999999655E-4</v>
      </c>
      <c r="U154" s="155">
        <f t="shared" si="9"/>
        <v>-2.0333333333332725E-3</v>
      </c>
      <c r="V154" s="152">
        <f t="shared" si="9"/>
        <v>-2.1333333333333797E-4</v>
      </c>
      <c r="W154" s="152">
        <f t="shared" si="9"/>
        <v>-2.6400000000000069E-3</v>
      </c>
    </row>
    <row r="155" spans="2:23" x14ac:dyDescent="0.45">
      <c r="B155" s="50">
        <v>2265</v>
      </c>
      <c r="C155" s="150">
        <f t="shared" si="8"/>
        <v>1.6593406593406594</v>
      </c>
      <c r="D155" s="23">
        <v>1.6519999999999999</v>
      </c>
      <c r="E155" s="1">
        <v>1.651</v>
      </c>
      <c r="F155" s="24">
        <v>1.6539999999999999</v>
      </c>
      <c r="G155" s="4">
        <v>1.6559999999999999</v>
      </c>
      <c r="H155" s="1">
        <v>1.651</v>
      </c>
      <c r="I155" s="25">
        <v>1.66</v>
      </c>
      <c r="J155" s="23">
        <v>1.657</v>
      </c>
      <c r="K155" s="1">
        <v>1.659</v>
      </c>
      <c r="L155" s="25">
        <v>1.655</v>
      </c>
      <c r="N155" s="22">
        <v>2265</v>
      </c>
      <c r="O155" s="152">
        <f t="shared" si="9"/>
        <v>-4.4238410596027615E-3</v>
      </c>
      <c r="P155" s="152">
        <f t="shared" si="9"/>
        <v>-5.0264900662252117E-3</v>
      </c>
      <c r="Q155" s="153">
        <f t="shared" si="9"/>
        <v>-3.2185430463577275E-3</v>
      </c>
      <c r="R155" s="152">
        <f t="shared" si="9"/>
        <v>-2.0132450331126935E-3</v>
      </c>
      <c r="S155" s="152">
        <f t="shared" si="9"/>
        <v>-5.0264900662252117E-3</v>
      </c>
      <c r="T155" s="154">
        <f t="shared" si="9"/>
        <v>3.9735099337737497E-4</v>
      </c>
      <c r="U155" s="155">
        <f t="shared" si="9"/>
        <v>-1.4105960264901092E-3</v>
      </c>
      <c r="V155" s="152">
        <f t="shared" si="9"/>
        <v>-2.052980132450752E-4</v>
      </c>
      <c r="W155" s="152">
        <f t="shared" si="9"/>
        <v>-2.6158940397351432E-3</v>
      </c>
    </row>
    <row r="156" spans="2:23" x14ac:dyDescent="0.45">
      <c r="B156" s="50">
        <v>2280</v>
      </c>
      <c r="C156" s="150">
        <f t="shared" si="8"/>
        <v>1.6703296703296704</v>
      </c>
      <c r="D156" s="23">
        <v>1.663</v>
      </c>
      <c r="E156" s="1">
        <v>1.6619999999999999</v>
      </c>
      <c r="F156" s="24">
        <v>1.665</v>
      </c>
      <c r="G156" s="4">
        <v>1.6659999999999999</v>
      </c>
      <c r="H156" s="1">
        <v>1.6619999999999999</v>
      </c>
      <c r="I156" s="25">
        <v>1.671</v>
      </c>
      <c r="J156" s="23">
        <v>1.6679999999999999</v>
      </c>
      <c r="K156" s="1">
        <v>1.67</v>
      </c>
      <c r="L156" s="25">
        <v>1.6659999999999999</v>
      </c>
      <c r="N156" s="22">
        <v>2280</v>
      </c>
      <c r="O156" s="152">
        <f t="shared" si="9"/>
        <v>-4.3881578947368586E-3</v>
      </c>
      <c r="P156" s="152">
        <f t="shared" si="9"/>
        <v>-4.9868421052632408E-3</v>
      </c>
      <c r="Q156" s="153">
        <f t="shared" si="9"/>
        <v>-3.1907894736842258E-3</v>
      </c>
      <c r="R156" s="152">
        <f t="shared" si="9"/>
        <v>-2.5921052631579758E-3</v>
      </c>
      <c r="S156" s="152">
        <f t="shared" si="9"/>
        <v>-4.9868421052632408E-3</v>
      </c>
      <c r="T156" s="154">
        <f t="shared" si="9"/>
        <v>4.0131578947367216E-4</v>
      </c>
      <c r="U156" s="155">
        <f t="shared" si="9"/>
        <v>-1.3947368421053433E-3</v>
      </c>
      <c r="V156" s="152">
        <f t="shared" si="9"/>
        <v>-1.9736842105271064E-4</v>
      </c>
      <c r="W156" s="152">
        <f t="shared" si="9"/>
        <v>-2.5921052631579758E-3</v>
      </c>
    </row>
    <row r="157" spans="2:23" x14ac:dyDescent="0.45">
      <c r="B157" s="50">
        <v>2295</v>
      </c>
      <c r="C157" s="150">
        <f t="shared" si="8"/>
        <v>1.6813186813186813</v>
      </c>
      <c r="D157" s="23">
        <v>1.673</v>
      </c>
      <c r="E157" s="1">
        <v>1.673</v>
      </c>
      <c r="F157" s="24">
        <v>1.6759999999999999</v>
      </c>
      <c r="G157" s="4">
        <v>1.677</v>
      </c>
      <c r="H157" s="1">
        <v>1.673</v>
      </c>
      <c r="I157" s="25">
        <v>1.681</v>
      </c>
      <c r="J157" s="23">
        <v>1.6779999999999999</v>
      </c>
      <c r="K157" s="1">
        <v>1.681</v>
      </c>
      <c r="L157" s="25">
        <v>1.677</v>
      </c>
      <c r="N157" s="22">
        <v>2295</v>
      </c>
      <c r="O157" s="152">
        <f t="shared" si="9"/>
        <v>-4.9477124183006415E-3</v>
      </c>
      <c r="P157" s="152">
        <f t="shared" si="9"/>
        <v>-4.9477124183006415E-3</v>
      </c>
      <c r="Q157" s="153">
        <f t="shared" si="9"/>
        <v>-3.1633986928105095E-3</v>
      </c>
      <c r="R157" s="152">
        <f t="shared" si="9"/>
        <v>-2.5686274509803776E-3</v>
      </c>
      <c r="S157" s="152">
        <f t="shared" si="9"/>
        <v>-4.9477124183006415E-3</v>
      </c>
      <c r="T157" s="154">
        <f t="shared" si="9"/>
        <v>-1.8954248366011419E-4</v>
      </c>
      <c r="U157" s="155">
        <f t="shared" si="9"/>
        <v>-1.973856209150378E-3</v>
      </c>
      <c r="V157" s="152">
        <f t="shared" si="9"/>
        <v>-1.8954248366011419E-4</v>
      </c>
      <c r="W157" s="152">
        <f t="shared" si="9"/>
        <v>-2.5686274509803776E-3</v>
      </c>
    </row>
    <row r="158" spans="2:23" x14ac:dyDescent="0.45">
      <c r="B158" s="50">
        <v>2310</v>
      </c>
      <c r="C158" s="150">
        <f t="shared" si="8"/>
        <v>1.6923076923076923</v>
      </c>
      <c r="D158" s="23">
        <v>1.6839999999999999</v>
      </c>
      <c r="E158" s="1">
        <v>1.6839999999999999</v>
      </c>
      <c r="F158" s="24">
        <v>1.6870000000000001</v>
      </c>
      <c r="G158" s="4">
        <v>1.6879999999999999</v>
      </c>
      <c r="H158" s="1">
        <v>1.6839999999999999</v>
      </c>
      <c r="I158" s="25">
        <v>1.6930000000000001</v>
      </c>
      <c r="J158" s="23">
        <v>1.6890000000000001</v>
      </c>
      <c r="K158" s="1">
        <v>1.6910000000000001</v>
      </c>
      <c r="L158" s="25">
        <v>1.6879999999999999</v>
      </c>
      <c r="N158" s="22">
        <v>2310</v>
      </c>
      <c r="O158" s="152">
        <f t="shared" si="9"/>
        <v>-4.9090909090909341E-3</v>
      </c>
      <c r="P158" s="152">
        <f t="shared" si="9"/>
        <v>-4.9090909090909341E-3</v>
      </c>
      <c r="Q158" s="153">
        <f t="shared" si="9"/>
        <v>-3.1363636363635938E-3</v>
      </c>
      <c r="R158" s="152">
        <f t="shared" si="9"/>
        <v>-2.5454545454545677E-3</v>
      </c>
      <c r="S158" s="152">
        <f t="shared" si="9"/>
        <v>-4.9090909090909341E-3</v>
      </c>
      <c r="T158" s="154">
        <f t="shared" si="9"/>
        <v>4.0909090909095489E-4</v>
      </c>
      <c r="U158" s="155">
        <f t="shared" si="9"/>
        <v>-1.9545454545454111E-3</v>
      </c>
      <c r="V158" s="152">
        <f t="shared" si="9"/>
        <v>-7.7272727272722802E-4</v>
      </c>
      <c r="W158" s="152">
        <f t="shared" si="9"/>
        <v>-2.5454545454545677E-3</v>
      </c>
    </row>
    <row r="159" spans="2:23" x14ac:dyDescent="0.45">
      <c r="B159" s="50">
        <v>2325</v>
      </c>
      <c r="C159" s="150">
        <f t="shared" si="8"/>
        <v>1.7032967032967032</v>
      </c>
      <c r="D159" s="23">
        <v>1.696</v>
      </c>
      <c r="E159" s="1">
        <v>1.6950000000000001</v>
      </c>
      <c r="F159" s="24">
        <v>1.698</v>
      </c>
      <c r="G159" s="4">
        <v>1.6990000000000001</v>
      </c>
      <c r="H159" s="1">
        <v>1.6950000000000001</v>
      </c>
      <c r="I159" s="25">
        <v>1.704</v>
      </c>
      <c r="J159" s="23">
        <v>1.7</v>
      </c>
      <c r="K159" s="1">
        <v>1.7030000000000001</v>
      </c>
      <c r="L159" s="25">
        <v>1.6990000000000001</v>
      </c>
      <c r="N159" s="22">
        <v>2325</v>
      </c>
      <c r="O159" s="152">
        <f t="shared" si="9"/>
        <v>-4.2838709677419312E-3</v>
      </c>
      <c r="P159" s="152">
        <f t="shared" si="9"/>
        <v>-4.8709677419354145E-3</v>
      </c>
      <c r="Q159" s="153">
        <f t="shared" si="9"/>
        <v>-3.1096774193548329E-3</v>
      </c>
      <c r="R159" s="152">
        <f t="shared" si="9"/>
        <v>-2.5225806451612187E-3</v>
      </c>
      <c r="S159" s="152">
        <f t="shared" si="9"/>
        <v>-4.8709677419354145E-3</v>
      </c>
      <c r="T159" s="154">
        <f t="shared" si="9"/>
        <v>4.1290322580646061E-4</v>
      </c>
      <c r="U159" s="155">
        <f t="shared" si="9"/>
        <v>-1.9354838709677352E-3</v>
      </c>
      <c r="V159" s="152">
        <f t="shared" si="9"/>
        <v>-1.7419354838702316E-4</v>
      </c>
      <c r="W159" s="152">
        <f t="shared" si="9"/>
        <v>-2.5225806451612187E-3</v>
      </c>
    </row>
    <row r="160" spans="2:23" x14ac:dyDescent="0.45">
      <c r="B160" s="50">
        <v>2340</v>
      </c>
      <c r="C160" s="150">
        <f t="shared" si="8"/>
        <v>1.7142857142857142</v>
      </c>
      <c r="D160" s="23">
        <v>1.7070000000000001</v>
      </c>
      <c r="E160" s="1">
        <v>1.706</v>
      </c>
      <c r="F160" s="24">
        <v>1.7090000000000001</v>
      </c>
      <c r="G160" s="4">
        <v>1.71</v>
      </c>
      <c r="H160" s="1">
        <v>1.706</v>
      </c>
      <c r="I160" s="25">
        <v>1.7150000000000001</v>
      </c>
      <c r="J160" s="23">
        <v>1.7110000000000001</v>
      </c>
      <c r="K160" s="1">
        <v>1.7130000000000001</v>
      </c>
      <c r="L160" s="25">
        <v>1.71</v>
      </c>
      <c r="N160" s="22">
        <v>2340</v>
      </c>
      <c r="O160" s="152">
        <f t="shared" si="9"/>
        <v>-4.2499999999999023E-3</v>
      </c>
      <c r="P160" s="152">
        <f t="shared" si="9"/>
        <v>-4.8333333333333006E-3</v>
      </c>
      <c r="Q160" s="153">
        <f t="shared" si="9"/>
        <v>-3.0833333333332344E-3</v>
      </c>
      <c r="R160" s="152">
        <f t="shared" si="9"/>
        <v>-2.4999999999999654E-3</v>
      </c>
      <c r="S160" s="152">
        <f t="shared" si="9"/>
        <v>-4.8333333333333006E-3</v>
      </c>
      <c r="T160" s="154">
        <f t="shared" si="9"/>
        <v>4.1666666666676883E-4</v>
      </c>
      <c r="U160" s="155">
        <f t="shared" si="9"/>
        <v>-1.9166666666665666E-3</v>
      </c>
      <c r="V160" s="152">
        <f t="shared" si="9"/>
        <v>-7.4999999999989897E-4</v>
      </c>
      <c r="W160" s="152">
        <f t="shared" si="9"/>
        <v>-2.4999999999999654E-3</v>
      </c>
    </row>
    <row r="161" spans="2:23" x14ac:dyDescent="0.45">
      <c r="B161" s="50">
        <v>2355</v>
      </c>
      <c r="C161" s="150">
        <f t="shared" si="8"/>
        <v>1.7252747252747254</v>
      </c>
      <c r="D161" s="23">
        <v>1.7170000000000001</v>
      </c>
      <c r="E161" s="1">
        <v>1.716</v>
      </c>
      <c r="F161" s="24">
        <v>1.7190000000000001</v>
      </c>
      <c r="G161" s="4">
        <v>1.7210000000000001</v>
      </c>
      <c r="H161" s="1">
        <v>1.7170000000000001</v>
      </c>
      <c r="I161" s="25">
        <v>1.726</v>
      </c>
      <c r="J161" s="23">
        <v>1.722</v>
      </c>
      <c r="K161" s="1">
        <v>1.724</v>
      </c>
      <c r="L161" s="25">
        <v>1.7210000000000001</v>
      </c>
      <c r="N161" s="22">
        <v>2355</v>
      </c>
      <c r="O161" s="152">
        <f t="shared" si="9"/>
        <v>-4.796178343949048E-3</v>
      </c>
      <c r="P161" s="152">
        <f t="shared" si="9"/>
        <v>-5.375796178344017E-3</v>
      </c>
      <c r="Q161" s="153">
        <f t="shared" si="9"/>
        <v>-3.6369426751592382E-3</v>
      </c>
      <c r="R161" s="152">
        <f t="shared" si="9"/>
        <v>-2.477707006369428E-3</v>
      </c>
      <c r="S161" s="152">
        <f t="shared" si="9"/>
        <v>-4.796178343949048E-3</v>
      </c>
      <c r="T161" s="154">
        <f t="shared" si="9"/>
        <v>4.2038216560503225E-4</v>
      </c>
      <c r="U161" s="155">
        <f t="shared" si="9"/>
        <v>-1.8980891719745875E-3</v>
      </c>
      <c r="V161" s="152">
        <f t="shared" si="9"/>
        <v>-7.3885350318477763E-4</v>
      </c>
      <c r="W161" s="152">
        <f t="shared" si="9"/>
        <v>-2.477707006369428E-3</v>
      </c>
    </row>
    <row r="162" spans="2:23" x14ac:dyDescent="0.45">
      <c r="B162" s="50">
        <v>2370</v>
      </c>
      <c r="C162" s="150">
        <f t="shared" si="8"/>
        <v>1.7362637362637363</v>
      </c>
      <c r="D162" s="23">
        <v>1.728</v>
      </c>
      <c r="E162" s="1">
        <v>1.7270000000000001</v>
      </c>
      <c r="F162" s="24">
        <v>1.7310000000000001</v>
      </c>
      <c r="G162" s="4">
        <v>1.732</v>
      </c>
      <c r="H162" s="1">
        <v>1.728</v>
      </c>
      <c r="I162" s="25">
        <v>1.7370000000000001</v>
      </c>
      <c r="J162" s="23">
        <v>1.7330000000000001</v>
      </c>
      <c r="K162" s="1">
        <v>1.7350000000000001</v>
      </c>
      <c r="L162" s="25">
        <v>1.732</v>
      </c>
      <c r="N162" s="22">
        <v>2370</v>
      </c>
      <c r="O162" s="152">
        <f t="shared" si="9"/>
        <v>-4.7594936708861149E-3</v>
      </c>
      <c r="P162" s="152">
        <f t="shared" si="9"/>
        <v>-5.3354430379746595E-3</v>
      </c>
      <c r="Q162" s="153">
        <f t="shared" si="9"/>
        <v>-3.0316455696202268E-3</v>
      </c>
      <c r="R162" s="152">
        <f t="shared" si="9"/>
        <v>-2.4556962025316827E-3</v>
      </c>
      <c r="S162" s="152">
        <f t="shared" si="9"/>
        <v>-4.7594936708861149E-3</v>
      </c>
      <c r="T162" s="154">
        <f t="shared" si="9"/>
        <v>4.240506329114216E-4</v>
      </c>
      <c r="U162" s="155">
        <f t="shared" si="9"/>
        <v>-1.8797468354430108E-3</v>
      </c>
      <c r="V162" s="152">
        <f t="shared" si="9"/>
        <v>-7.2784810126579459E-4</v>
      </c>
      <c r="W162" s="152">
        <f t="shared" si="9"/>
        <v>-2.4556962025316827E-3</v>
      </c>
    </row>
    <row r="163" spans="2:23" x14ac:dyDescent="0.45">
      <c r="B163" s="50">
        <v>2385</v>
      </c>
      <c r="C163" s="150">
        <f t="shared" si="8"/>
        <v>1.7472527472527473</v>
      </c>
      <c r="D163" s="23">
        <v>1.74</v>
      </c>
      <c r="E163" s="1">
        <v>1.7390000000000001</v>
      </c>
      <c r="F163" s="24">
        <v>1.742</v>
      </c>
      <c r="G163" s="4">
        <v>1.7430000000000001</v>
      </c>
      <c r="H163" s="1">
        <v>1.7390000000000001</v>
      </c>
      <c r="I163" s="25">
        <v>1.748</v>
      </c>
      <c r="J163" s="23">
        <v>1.7450000000000001</v>
      </c>
      <c r="K163" s="1">
        <v>1.7470000000000001</v>
      </c>
      <c r="L163" s="25">
        <v>1.7430000000000001</v>
      </c>
      <c r="N163" s="22">
        <v>2385</v>
      </c>
      <c r="O163" s="152">
        <f t="shared" si="9"/>
        <v>-4.1509433962264256E-3</v>
      </c>
      <c r="P163" s="152">
        <f t="shared" si="9"/>
        <v>-4.72327044025152E-3</v>
      </c>
      <c r="Q163" s="153">
        <f t="shared" si="9"/>
        <v>-3.0062893081761102E-3</v>
      </c>
      <c r="R163" s="152">
        <f t="shared" si="9"/>
        <v>-2.4339622641508891E-3</v>
      </c>
      <c r="S163" s="152">
        <f t="shared" si="9"/>
        <v>-4.72327044025152E-3</v>
      </c>
      <c r="T163" s="154">
        <f t="shared" si="9"/>
        <v>4.2767295597483616E-4</v>
      </c>
      <c r="U163" s="155">
        <f t="shared" si="9"/>
        <v>-1.2893081761005734E-3</v>
      </c>
      <c r="V163" s="152">
        <f t="shared" si="9"/>
        <v>-1.4465408805025803E-4</v>
      </c>
      <c r="W163" s="152">
        <f t="shared" si="9"/>
        <v>-2.4339622641508891E-3</v>
      </c>
    </row>
    <row r="164" spans="2:23" x14ac:dyDescent="0.45">
      <c r="B164" s="50">
        <v>2400</v>
      </c>
      <c r="C164" s="150">
        <f t="shared" si="8"/>
        <v>1.7582417582417582</v>
      </c>
      <c r="D164" s="23">
        <v>1.7509999999999999</v>
      </c>
      <c r="E164" s="1">
        <v>1.75</v>
      </c>
      <c r="F164" s="24">
        <v>1.7529999999999999</v>
      </c>
      <c r="G164" s="4">
        <v>1.754</v>
      </c>
      <c r="H164" s="1">
        <v>1.75</v>
      </c>
      <c r="I164" s="25">
        <v>1.7589999999999999</v>
      </c>
      <c r="J164" s="23">
        <v>1.7549999999999999</v>
      </c>
      <c r="K164" s="1">
        <v>1.758</v>
      </c>
      <c r="L164" s="25">
        <v>1.754</v>
      </c>
      <c r="N164" s="22">
        <v>2400</v>
      </c>
      <c r="O164" s="152">
        <f t="shared" si="9"/>
        <v>-4.118750000000046E-3</v>
      </c>
      <c r="P164" s="152">
        <f t="shared" si="9"/>
        <v>-4.6874999999999833E-3</v>
      </c>
      <c r="Q164" s="153">
        <f t="shared" si="9"/>
        <v>-2.9812500000000451E-3</v>
      </c>
      <c r="R164" s="152">
        <f t="shared" si="9"/>
        <v>-2.4124999999999815E-3</v>
      </c>
      <c r="S164" s="152">
        <f t="shared" si="9"/>
        <v>-4.6874999999999833E-3</v>
      </c>
      <c r="T164" s="154">
        <f t="shared" si="9"/>
        <v>4.3124999999995809E-4</v>
      </c>
      <c r="U164" s="155">
        <f t="shared" si="9"/>
        <v>-1.8437500000000439E-3</v>
      </c>
      <c r="V164" s="152">
        <f t="shared" si="9"/>
        <v>-1.374999999999793E-4</v>
      </c>
      <c r="W164" s="152">
        <f t="shared" si="9"/>
        <v>-2.4124999999999815E-3</v>
      </c>
    </row>
    <row r="165" spans="2:23" x14ac:dyDescent="0.45">
      <c r="B165" s="50">
        <v>2415</v>
      </c>
      <c r="C165" s="150">
        <f t="shared" si="8"/>
        <v>1.7692307692307692</v>
      </c>
      <c r="D165" s="23">
        <v>1.7609999999999999</v>
      </c>
      <c r="E165" s="1">
        <v>1.76</v>
      </c>
      <c r="F165" s="24">
        <v>1.7629999999999999</v>
      </c>
      <c r="G165" s="4">
        <v>1.7649999999999999</v>
      </c>
      <c r="H165" s="1">
        <v>1.7609999999999999</v>
      </c>
      <c r="I165" s="25">
        <v>1.77</v>
      </c>
      <c r="J165" s="23">
        <v>1.766</v>
      </c>
      <c r="K165" s="1">
        <v>1.768</v>
      </c>
      <c r="L165" s="25">
        <v>1.7649999999999999</v>
      </c>
      <c r="N165" s="22">
        <v>2415</v>
      </c>
      <c r="O165" s="152">
        <f t="shared" si="9"/>
        <v>-4.6521739130434975E-3</v>
      </c>
      <c r="P165" s="152">
        <f t="shared" si="9"/>
        <v>-5.2173913043477823E-3</v>
      </c>
      <c r="Q165" s="153">
        <f t="shared" si="9"/>
        <v>-3.5217391304348004E-3</v>
      </c>
      <c r="R165" s="152">
        <f t="shared" si="9"/>
        <v>-2.3913043478261038E-3</v>
      </c>
      <c r="S165" s="152">
        <f t="shared" si="9"/>
        <v>-4.6521739130434975E-3</v>
      </c>
      <c r="T165" s="154">
        <f t="shared" si="9"/>
        <v>4.3478260869570087E-4</v>
      </c>
      <c r="U165" s="155">
        <f t="shared" si="9"/>
        <v>-1.8260869565216926E-3</v>
      </c>
      <c r="V165" s="152">
        <f t="shared" si="9"/>
        <v>-6.9565217391299582E-4</v>
      </c>
      <c r="W165" s="152">
        <f t="shared" si="9"/>
        <v>-2.3913043478261038E-3</v>
      </c>
    </row>
    <row r="166" spans="2:23" x14ac:dyDescent="0.45">
      <c r="B166" s="50">
        <v>2430</v>
      </c>
      <c r="C166" s="150">
        <f t="shared" si="8"/>
        <v>1.7802197802197801</v>
      </c>
      <c r="D166" s="23">
        <v>1.772</v>
      </c>
      <c r="E166" s="1">
        <v>1.7709999999999999</v>
      </c>
      <c r="F166" s="24">
        <v>1.774</v>
      </c>
      <c r="G166" s="4">
        <v>1.776</v>
      </c>
      <c r="H166" s="1">
        <v>1.772</v>
      </c>
      <c r="I166" s="25">
        <v>1.7809999999999999</v>
      </c>
      <c r="J166" s="23">
        <v>1.7769999999999999</v>
      </c>
      <c r="K166" s="1">
        <v>1.7789999999999999</v>
      </c>
      <c r="L166" s="25">
        <v>1.7749999999999999</v>
      </c>
      <c r="N166" s="22">
        <v>2430</v>
      </c>
      <c r="O166" s="152">
        <f t="shared" si="9"/>
        <v>-4.6172839506172132E-3</v>
      </c>
      <c r="P166" s="152">
        <f t="shared" si="9"/>
        <v>-5.1790123456790038E-3</v>
      </c>
      <c r="Q166" s="153">
        <f t="shared" si="9"/>
        <v>-3.4938271604937551E-3</v>
      </c>
      <c r="R166" s="152">
        <f t="shared" si="9"/>
        <v>-2.370370370370297E-3</v>
      </c>
      <c r="S166" s="152">
        <f t="shared" si="9"/>
        <v>-4.6172839506172132E-3</v>
      </c>
      <c r="T166" s="154">
        <f t="shared" si="9"/>
        <v>4.3827160493828502E-4</v>
      </c>
      <c r="U166" s="155">
        <f t="shared" si="9"/>
        <v>-1.8086419753086307E-3</v>
      </c>
      <c r="V166" s="152">
        <f t="shared" si="9"/>
        <v>-6.851851851851728E-4</v>
      </c>
      <c r="W166" s="152">
        <f t="shared" si="9"/>
        <v>-2.9320987654320885E-3</v>
      </c>
    </row>
    <row r="167" spans="2:23" x14ac:dyDescent="0.45">
      <c r="B167" s="50">
        <v>2445</v>
      </c>
      <c r="C167" s="150">
        <f t="shared" si="8"/>
        <v>1.7912087912087913</v>
      </c>
      <c r="D167" s="23">
        <v>1.784</v>
      </c>
      <c r="E167" s="1">
        <v>1.7829999999999999</v>
      </c>
      <c r="F167" s="24">
        <v>1.786</v>
      </c>
      <c r="G167" s="4">
        <v>1.786</v>
      </c>
      <c r="H167" s="1">
        <v>1.7829999999999999</v>
      </c>
      <c r="I167" s="25">
        <v>1.792</v>
      </c>
      <c r="J167" s="23">
        <v>1.788</v>
      </c>
      <c r="K167" s="1">
        <v>1.7909999999999999</v>
      </c>
      <c r="L167" s="25">
        <v>1.7869999999999999</v>
      </c>
      <c r="N167" s="22">
        <v>2445</v>
      </c>
      <c r="O167" s="152">
        <f t="shared" si="9"/>
        <v>-4.024539877300639E-3</v>
      </c>
      <c r="P167" s="152">
        <f t="shared" si="9"/>
        <v>-4.5828220858896585E-3</v>
      </c>
      <c r="Q167" s="153">
        <f t="shared" si="9"/>
        <v>-2.9079754601227235E-3</v>
      </c>
      <c r="R167" s="152">
        <f t="shared" si="9"/>
        <v>-2.9079754601227235E-3</v>
      </c>
      <c r="S167" s="152">
        <f t="shared" si="9"/>
        <v>-4.5828220858896585E-3</v>
      </c>
      <c r="T167" s="154">
        <f t="shared" si="9"/>
        <v>4.4171779141102151E-4</v>
      </c>
      <c r="U167" s="155">
        <f t="shared" si="9"/>
        <v>-1.7914110429448086E-3</v>
      </c>
      <c r="V167" s="152">
        <f t="shared" si="9"/>
        <v>-1.1656441717799799E-4</v>
      </c>
      <c r="W167" s="152">
        <f t="shared" si="9"/>
        <v>-2.349693251533828E-3</v>
      </c>
    </row>
    <row r="168" spans="2:23" x14ac:dyDescent="0.45">
      <c r="B168" s="50">
        <v>2460</v>
      </c>
      <c r="C168" s="150">
        <f t="shared" si="8"/>
        <v>1.8021978021978022</v>
      </c>
      <c r="D168" s="23">
        <v>1.794</v>
      </c>
      <c r="E168" s="1">
        <v>1.7929999999999999</v>
      </c>
      <c r="F168" s="24">
        <v>1.796</v>
      </c>
      <c r="G168" s="4">
        <v>1.798</v>
      </c>
      <c r="H168" s="1">
        <v>1.794</v>
      </c>
      <c r="I168" s="25">
        <v>1.8029999999999999</v>
      </c>
      <c r="J168" s="23">
        <v>1.7989999999999999</v>
      </c>
      <c r="K168" s="1">
        <v>1.8009999999999999</v>
      </c>
      <c r="L168" s="25">
        <v>1.798</v>
      </c>
      <c r="N168" s="22">
        <v>2460</v>
      </c>
      <c r="O168" s="152">
        <f t="shared" si="9"/>
        <v>-4.5487804878048769E-3</v>
      </c>
      <c r="P168" s="152">
        <f t="shared" si="9"/>
        <v>-5.1036585365854268E-3</v>
      </c>
      <c r="Q168" s="153">
        <f t="shared" si="9"/>
        <v>-3.4390243902438999E-3</v>
      </c>
      <c r="R168" s="152">
        <f t="shared" si="9"/>
        <v>-2.3292682926829233E-3</v>
      </c>
      <c r="S168" s="152">
        <f t="shared" si="9"/>
        <v>-4.5487804878048769E-3</v>
      </c>
      <c r="T168" s="154">
        <f t="shared" si="9"/>
        <v>4.4512195121945637E-4</v>
      </c>
      <c r="U168" s="155">
        <f t="shared" si="9"/>
        <v>-1.7743902439024968E-3</v>
      </c>
      <c r="V168" s="152">
        <f t="shared" si="9"/>
        <v>-6.6463414634152017E-4</v>
      </c>
      <c r="W168" s="152">
        <f t="shared" si="9"/>
        <v>-2.3292682926829233E-3</v>
      </c>
    </row>
    <row r="169" spans="2:23" x14ac:dyDescent="0.45">
      <c r="B169" s="50">
        <v>2475</v>
      </c>
      <c r="C169" s="150">
        <f t="shared" si="8"/>
        <v>1.8131868131868132</v>
      </c>
      <c r="D169" s="23">
        <v>1.8049999999999999</v>
      </c>
      <c r="E169" s="1">
        <v>1.804</v>
      </c>
      <c r="F169" s="24">
        <v>1.8069999999999999</v>
      </c>
      <c r="G169" s="4">
        <v>1.8089999999999999</v>
      </c>
      <c r="H169" s="1">
        <v>1.804</v>
      </c>
      <c r="I169" s="25">
        <v>1.8140000000000001</v>
      </c>
      <c r="J169" s="23">
        <v>1.81</v>
      </c>
      <c r="K169" s="1">
        <v>1.8120000000000001</v>
      </c>
      <c r="L169" s="25">
        <v>1.8089999999999999</v>
      </c>
      <c r="N169" s="22">
        <v>2475</v>
      </c>
      <c r="O169" s="152">
        <f t="shared" si="9"/>
        <v>-4.5151515151515484E-3</v>
      </c>
      <c r="P169" s="152">
        <f t="shared" si="9"/>
        <v>-5.0666666666666386E-3</v>
      </c>
      <c r="Q169" s="153">
        <f t="shared" si="9"/>
        <v>-3.4121212121212439E-3</v>
      </c>
      <c r="R169" s="152">
        <f t="shared" si="9"/>
        <v>-2.3090909090909399E-3</v>
      </c>
      <c r="S169" s="152">
        <f t="shared" si="9"/>
        <v>-5.0666666666666386E-3</v>
      </c>
      <c r="T169" s="154">
        <f t="shared" si="9"/>
        <v>4.4848484848488118E-4</v>
      </c>
      <c r="U169" s="155">
        <f t="shared" si="9"/>
        <v>-1.7575757575757269E-3</v>
      </c>
      <c r="V169" s="152">
        <f t="shared" si="9"/>
        <v>-6.5454545454542287E-4</v>
      </c>
      <c r="W169" s="152">
        <f t="shared" si="9"/>
        <v>-2.3090909090909399E-3</v>
      </c>
    </row>
    <row r="170" spans="2:23" x14ac:dyDescent="0.45">
      <c r="B170" s="50">
        <v>2490</v>
      </c>
      <c r="C170" s="150">
        <f t="shared" si="8"/>
        <v>1.8241758241758241</v>
      </c>
      <c r="D170" s="23">
        <v>1.8160000000000001</v>
      </c>
      <c r="E170" s="1">
        <v>1.8149999999999999</v>
      </c>
      <c r="F170" s="24">
        <v>1.8180000000000001</v>
      </c>
      <c r="G170" s="4">
        <v>1.82</v>
      </c>
      <c r="H170" s="1">
        <v>1.8160000000000001</v>
      </c>
      <c r="I170" s="25">
        <v>1.8240000000000001</v>
      </c>
      <c r="J170" s="23">
        <v>1.821</v>
      </c>
      <c r="K170" s="1">
        <v>1.8220000000000001</v>
      </c>
      <c r="L170" s="25">
        <v>1.819</v>
      </c>
      <c r="N170" s="22">
        <v>2490</v>
      </c>
      <c r="O170" s="152">
        <f t="shared" si="9"/>
        <v>-4.4819277108433184E-3</v>
      </c>
      <c r="P170" s="152">
        <f t="shared" si="9"/>
        <v>-5.0301204819277173E-3</v>
      </c>
      <c r="Q170" s="153">
        <f t="shared" si="9"/>
        <v>-3.3855421686746429E-3</v>
      </c>
      <c r="R170" s="152">
        <f t="shared" si="9"/>
        <v>-2.2891566265059674E-3</v>
      </c>
      <c r="S170" s="152">
        <f t="shared" si="9"/>
        <v>-4.4819277108433184E-3</v>
      </c>
      <c r="T170" s="154">
        <f t="shared" si="9"/>
        <v>-9.6385542168615931E-5</v>
      </c>
      <c r="U170" s="155">
        <f t="shared" si="9"/>
        <v>-1.7409638554216904E-3</v>
      </c>
      <c r="V170" s="152">
        <f t="shared" si="9"/>
        <v>-1.1927710843372917E-3</v>
      </c>
      <c r="W170" s="152">
        <f t="shared" si="9"/>
        <v>-2.8373493975903659E-3</v>
      </c>
    </row>
    <row r="171" spans="2:23" x14ac:dyDescent="0.45">
      <c r="B171" s="50">
        <v>2505</v>
      </c>
      <c r="C171" s="150">
        <f t="shared" si="8"/>
        <v>1.8351648351648351</v>
      </c>
      <c r="D171" s="23">
        <v>1.827</v>
      </c>
      <c r="E171" s="1">
        <v>1.8260000000000001</v>
      </c>
      <c r="F171" s="24">
        <v>1.829</v>
      </c>
      <c r="G171" s="4">
        <v>1.83</v>
      </c>
      <c r="H171" s="1">
        <v>1.8260000000000001</v>
      </c>
      <c r="I171" s="25">
        <v>1.8360000000000001</v>
      </c>
      <c r="J171" s="23">
        <v>1.8320000000000001</v>
      </c>
      <c r="K171" s="1">
        <v>1.8340000000000001</v>
      </c>
      <c r="L171" s="25">
        <v>1.831</v>
      </c>
      <c r="N171" s="22">
        <v>2505</v>
      </c>
      <c r="O171" s="152">
        <f t="shared" si="9"/>
        <v>-4.4491017964071655E-3</v>
      </c>
      <c r="P171" s="152">
        <f t="shared" si="9"/>
        <v>-4.9940119760478238E-3</v>
      </c>
      <c r="Q171" s="153">
        <f t="shared" si="9"/>
        <v>-3.3592814371257271E-3</v>
      </c>
      <c r="R171" s="152">
        <f t="shared" si="9"/>
        <v>-2.8143712574849474E-3</v>
      </c>
      <c r="S171" s="152">
        <f t="shared" si="9"/>
        <v>-4.9940119760478238E-3</v>
      </c>
      <c r="T171" s="154">
        <f t="shared" si="9"/>
        <v>4.5508982035936696E-4</v>
      </c>
      <c r="U171" s="155">
        <f t="shared" si="9"/>
        <v>-1.7245508982035092E-3</v>
      </c>
      <c r="V171" s="152">
        <f t="shared" si="9"/>
        <v>-6.3473053892207116E-4</v>
      </c>
      <c r="W171" s="152">
        <f t="shared" si="9"/>
        <v>-2.2694610778442887E-3</v>
      </c>
    </row>
    <row r="172" spans="2:23" x14ac:dyDescent="0.45">
      <c r="B172" s="50">
        <v>2520</v>
      </c>
      <c r="C172" s="150">
        <f t="shared" si="8"/>
        <v>1.8461538461538463</v>
      </c>
      <c r="D172" s="23">
        <v>1.8380000000000001</v>
      </c>
      <c r="E172" s="1">
        <v>1.837</v>
      </c>
      <c r="F172" s="24">
        <v>1.84</v>
      </c>
      <c r="G172" s="4">
        <v>1.8420000000000001</v>
      </c>
      <c r="H172" s="1">
        <v>1.8380000000000001</v>
      </c>
      <c r="I172" s="25">
        <v>1.847</v>
      </c>
      <c r="J172" s="23">
        <v>1.843</v>
      </c>
      <c r="K172" s="1">
        <v>1.845</v>
      </c>
      <c r="L172" s="25">
        <v>1.8420000000000001</v>
      </c>
      <c r="N172" s="22">
        <v>2520</v>
      </c>
      <c r="O172" s="152">
        <f t="shared" si="9"/>
        <v>-4.4166666666666798E-3</v>
      </c>
      <c r="P172" s="152">
        <f t="shared" si="9"/>
        <v>-4.9583333333334065E-3</v>
      </c>
      <c r="Q172" s="153">
        <f t="shared" si="9"/>
        <v>-3.3333333333333453E-3</v>
      </c>
      <c r="R172" s="152">
        <f t="shared" si="9"/>
        <v>-2.2500000000000111E-3</v>
      </c>
      <c r="S172" s="152">
        <f t="shared" si="9"/>
        <v>-4.4166666666666798E-3</v>
      </c>
      <c r="T172" s="154">
        <f t="shared" si="9"/>
        <v>4.5833333333326432E-4</v>
      </c>
      <c r="U172" s="155">
        <f t="shared" si="9"/>
        <v>-1.7083333333334041E-3</v>
      </c>
      <c r="V172" s="152">
        <f t="shared" si="9"/>
        <v>-6.2500000000006994E-4</v>
      </c>
      <c r="W172" s="152">
        <f t="shared" si="9"/>
        <v>-2.2500000000000111E-3</v>
      </c>
    </row>
    <row r="173" spans="2:23" x14ac:dyDescent="0.45">
      <c r="B173" s="50">
        <v>2535</v>
      </c>
      <c r="C173" s="150">
        <f t="shared" si="8"/>
        <v>1.8571428571428572</v>
      </c>
      <c r="D173" s="23">
        <v>1.849</v>
      </c>
      <c r="E173" s="1">
        <v>1.8480000000000001</v>
      </c>
      <c r="F173" s="24">
        <v>1.851</v>
      </c>
      <c r="G173" s="4">
        <v>1.853</v>
      </c>
      <c r="H173" s="1">
        <v>1.849</v>
      </c>
      <c r="I173" s="25">
        <v>1.8580000000000001</v>
      </c>
      <c r="J173" s="23">
        <v>1.8540000000000001</v>
      </c>
      <c r="K173" s="1">
        <v>1.8560000000000001</v>
      </c>
      <c r="L173" s="25">
        <v>1.853</v>
      </c>
      <c r="N173" s="22">
        <v>2535</v>
      </c>
      <c r="O173" s="152">
        <f t="shared" si="9"/>
        <v>-4.3846153846154312E-3</v>
      </c>
      <c r="P173" s="152">
        <f t="shared" si="9"/>
        <v>-4.9230769230769102E-3</v>
      </c>
      <c r="Q173" s="153">
        <f t="shared" si="9"/>
        <v>-3.307692307692353E-3</v>
      </c>
      <c r="R173" s="152">
        <f t="shared" si="9"/>
        <v>-2.2307692307692753E-3</v>
      </c>
      <c r="S173" s="152">
        <f t="shared" si="9"/>
        <v>-4.3846153846154312E-3</v>
      </c>
      <c r="T173" s="154">
        <f t="shared" si="9"/>
        <v>4.6153846153847904E-4</v>
      </c>
      <c r="U173" s="155">
        <f t="shared" si="9"/>
        <v>-1.6923076923076768E-3</v>
      </c>
      <c r="V173" s="152">
        <f t="shared" si="9"/>
        <v>-6.1538461538459882E-4</v>
      </c>
      <c r="W173" s="152">
        <f t="shared" si="9"/>
        <v>-2.2307692307692753E-3</v>
      </c>
    </row>
    <row r="174" spans="2:23" x14ac:dyDescent="0.45">
      <c r="B174" s="50">
        <v>2550</v>
      </c>
      <c r="C174" s="150">
        <f t="shared" si="8"/>
        <v>1.8681318681318682</v>
      </c>
      <c r="D174" s="23">
        <v>1.86</v>
      </c>
      <c r="E174" s="1">
        <v>1.859</v>
      </c>
      <c r="F174" s="24">
        <v>1.8620000000000001</v>
      </c>
      <c r="G174" s="4">
        <v>1.863</v>
      </c>
      <c r="H174" s="1">
        <v>1.859</v>
      </c>
      <c r="I174" s="25">
        <v>1.8680000000000001</v>
      </c>
      <c r="J174" s="23">
        <v>1.865</v>
      </c>
      <c r="K174" s="1">
        <v>1.867</v>
      </c>
      <c r="L174" s="25">
        <v>1.863</v>
      </c>
      <c r="N174" s="22">
        <v>2550</v>
      </c>
      <c r="O174" s="152">
        <f t="shared" si="9"/>
        <v>-4.352941176470549E-3</v>
      </c>
      <c r="P174" s="152">
        <f t="shared" si="9"/>
        <v>-4.888235294117668E-3</v>
      </c>
      <c r="Q174" s="153">
        <f t="shared" si="9"/>
        <v>-3.2823529411764303E-3</v>
      </c>
      <c r="R174" s="152">
        <f t="shared" si="9"/>
        <v>-2.7470588235294306E-3</v>
      </c>
      <c r="S174" s="152">
        <f t="shared" si="9"/>
        <v>-4.888235294117668E-3</v>
      </c>
      <c r="T174" s="154">
        <f t="shared" si="9"/>
        <v>-7.0588235294074612E-5</v>
      </c>
      <c r="U174" s="155">
        <f t="shared" si="9"/>
        <v>-1.6764705882353118E-3</v>
      </c>
      <c r="V174" s="152">
        <f t="shared" si="9"/>
        <v>-6.0588235294119328E-4</v>
      </c>
      <c r="W174" s="152">
        <f t="shared" si="9"/>
        <v>-2.7470588235294306E-3</v>
      </c>
    </row>
    <row r="175" spans="2:23" x14ac:dyDescent="0.45">
      <c r="B175" s="50">
        <v>2565</v>
      </c>
      <c r="C175" s="150">
        <f t="shared" si="8"/>
        <v>1.8791208791208791</v>
      </c>
      <c r="D175" s="23">
        <v>1.871</v>
      </c>
      <c r="E175" s="1">
        <v>1.869</v>
      </c>
      <c r="F175" s="24">
        <v>1.873</v>
      </c>
      <c r="G175" s="4">
        <v>1.8740000000000001</v>
      </c>
      <c r="H175" s="1">
        <v>1.87</v>
      </c>
      <c r="I175" s="25">
        <v>1.88</v>
      </c>
      <c r="J175" s="23">
        <v>1.8759999999999999</v>
      </c>
      <c r="K175" s="1">
        <v>1.877</v>
      </c>
      <c r="L175" s="25">
        <v>1.875</v>
      </c>
      <c r="N175" s="22">
        <v>2565</v>
      </c>
      <c r="O175" s="152">
        <f t="shared" si="9"/>
        <v>-4.3216374269005788E-3</v>
      </c>
      <c r="P175" s="152">
        <f t="shared" si="9"/>
        <v>-5.3859649122806972E-3</v>
      </c>
      <c r="Q175" s="153">
        <f t="shared" si="9"/>
        <v>-3.2573099415204609E-3</v>
      </c>
      <c r="R175" s="152">
        <f t="shared" si="9"/>
        <v>-2.7251461988303432E-3</v>
      </c>
      <c r="S175" s="152">
        <f t="shared" si="9"/>
        <v>-4.853801169590579E-3</v>
      </c>
      <c r="T175" s="154">
        <f t="shared" si="9"/>
        <v>4.6783625730989259E-4</v>
      </c>
      <c r="U175" s="155">
        <f t="shared" si="9"/>
        <v>-1.6608187134503432E-3</v>
      </c>
      <c r="V175" s="152">
        <f t="shared" si="9"/>
        <v>-1.1286549707602252E-3</v>
      </c>
      <c r="W175" s="152">
        <f t="shared" si="9"/>
        <v>-2.1929824561403429E-3</v>
      </c>
    </row>
    <row r="176" spans="2:23" x14ac:dyDescent="0.45">
      <c r="B176" s="50">
        <v>2580</v>
      </c>
      <c r="C176" s="150">
        <f t="shared" si="8"/>
        <v>1.8901098901098901</v>
      </c>
      <c r="D176" s="23">
        <v>1.8819999999999999</v>
      </c>
      <c r="E176" s="1">
        <v>1.881</v>
      </c>
      <c r="F176" s="24">
        <v>1.8839999999999999</v>
      </c>
      <c r="G176" s="4">
        <v>1.8859999999999999</v>
      </c>
      <c r="H176" s="1">
        <v>1.881</v>
      </c>
      <c r="I176" s="25">
        <v>1.891</v>
      </c>
      <c r="J176" s="23">
        <v>1.887</v>
      </c>
      <c r="K176" s="1">
        <v>1.889</v>
      </c>
      <c r="L176" s="25">
        <v>1.8859999999999999</v>
      </c>
      <c r="N176" s="22">
        <v>2580</v>
      </c>
      <c r="O176" s="152">
        <f t="shared" si="9"/>
        <v>-4.2906976744186316E-3</v>
      </c>
      <c r="P176" s="152">
        <f t="shared" si="9"/>
        <v>-4.8197674418604336E-3</v>
      </c>
      <c r="Q176" s="153">
        <f t="shared" si="9"/>
        <v>-3.2325581395349101E-3</v>
      </c>
      <c r="R176" s="152">
        <f t="shared" si="9"/>
        <v>-2.1744186046511881E-3</v>
      </c>
      <c r="S176" s="152">
        <f t="shared" si="9"/>
        <v>-4.8197674418604336E-3</v>
      </c>
      <c r="T176" s="154">
        <f t="shared" si="9"/>
        <v>4.7093023255817545E-4</v>
      </c>
      <c r="U176" s="155">
        <f t="shared" si="9"/>
        <v>-1.6453488372092683E-3</v>
      </c>
      <c r="V176" s="152">
        <f t="shared" si="9"/>
        <v>-5.8720930232554643E-4</v>
      </c>
      <c r="W176" s="152">
        <f t="shared" si="9"/>
        <v>-2.1744186046511881E-3</v>
      </c>
    </row>
    <row r="177" spans="2:23" x14ac:dyDescent="0.45">
      <c r="B177" s="50">
        <v>2595</v>
      </c>
      <c r="C177" s="150">
        <f t="shared" si="8"/>
        <v>1.901098901098901</v>
      </c>
      <c r="D177" s="23">
        <v>1.893</v>
      </c>
      <c r="E177" s="1">
        <v>1.8919999999999999</v>
      </c>
      <c r="F177" s="24">
        <v>1.895</v>
      </c>
      <c r="G177" s="4">
        <v>1.897</v>
      </c>
      <c r="H177" s="1">
        <v>1.8919999999999999</v>
      </c>
      <c r="I177" s="25">
        <v>1.9019999999999999</v>
      </c>
      <c r="J177" s="23">
        <v>1.8979999999999999</v>
      </c>
      <c r="K177" s="1">
        <v>1.9</v>
      </c>
      <c r="L177" s="25">
        <v>1.897</v>
      </c>
      <c r="N177" s="22">
        <v>2595</v>
      </c>
      <c r="O177" s="152">
        <f t="shared" si="9"/>
        <v>-4.2601156069363589E-3</v>
      </c>
      <c r="P177" s="152">
        <f t="shared" si="9"/>
        <v>-4.7861271676300594E-3</v>
      </c>
      <c r="Q177" s="153">
        <f t="shared" si="9"/>
        <v>-3.208092485549075E-3</v>
      </c>
      <c r="R177" s="152">
        <f t="shared" si="9"/>
        <v>-2.1560693641617906E-3</v>
      </c>
      <c r="S177" s="152">
        <f t="shared" si="9"/>
        <v>-4.7861271676300594E-3</v>
      </c>
      <c r="T177" s="154">
        <f t="shared" si="9"/>
        <v>4.7398843930636142E-4</v>
      </c>
      <c r="U177" s="155">
        <f t="shared" si="9"/>
        <v>-1.630057803468207E-3</v>
      </c>
      <c r="V177" s="152">
        <f t="shared" si="9"/>
        <v>-5.7803468208092283E-4</v>
      </c>
      <c r="W177" s="152">
        <f t="shared" si="9"/>
        <v>-2.1560693641617906E-3</v>
      </c>
    </row>
    <row r="178" spans="2:23" x14ac:dyDescent="0.45">
      <c r="B178" s="50">
        <v>2610</v>
      </c>
      <c r="C178" s="150">
        <f t="shared" si="8"/>
        <v>1.9120879120879122</v>
      </c>
      <c r="D178" s="23">
        <v>1.9039999999999999</v>
      </c>
      <c r="E178" s="1">
        <v>1.903</v>
      </c>
      <c r="F178" s="24">
        <v>1.905</v>
      </c>
      <c r="G178" s="4">
        <v>1.907</v>
      </c>
      <c r="H178" s="1">
        <v>1.903</v>
      </c>
      <c r="I178" s="25">
        <v>1.9119999999999999</v>
      </c>
      <c r="J178" s="23">
        <v>1.909</v>
      </c>
      <c r="K178" s="1">
        <v>1.911</v>
      </c>
      <c r="L178" s="25">
        <v>1.9079999999999999</v>
      </c>
      <c r="N178" s="22">
        <v>2610</v>
      </c>
      <c r="O178" s="152">
        <f t="shared" si="9"/>
        <v>-4.2298850574713559E-3</v>
      </c>
      <c r="P178" s="152">
        <f t="shared" si="9"/>
        <v>-4.7528735632184245E-3</v>
      </c>
      <c r="Q178" s="153">
        <f t="shared" si="9"/>
        <v>-3.706896551724171E-3</v>
      </c>
      <c r="R178" s="152">
        <f t="shared" si="9"/>
        <v>-2.6609195402299171E-3</v>
      </c>
      <c r="S178" s="152">
        <f t="shared" si="9"/>
        <v>-4.7528735632184245E-3</v>
      </c>
      <c r="T178" s="154">
        <f t="shared" si="9"/>
        <v>-4.5977011494340965E-5</v>
      </c>
      <c r="U178" s="155">
        <f t="shared" si="9"/>
        <v>-1.6149425287356636E-3</v>
      </c>
      <c r="V178" s="152">
        <f t="shared" si="9"/>
        <v>-5.689655172414098E-4</v>
      </c>
      <c r="W178" s="152">
        <f t="shared" si="9"/>
        <v>-2.1379310344828485E-3</v>
      </c>
    </row>
    <row r="179" spans="2:23" x14ac:dyDescent="0.45">
      <c r="B179" s="50">
        <v>2625</v>
      </c>
      <c r="C179" s="150">
        <f t="shared" si="8"/>
        <v>1.9230769230769231</v>
      </c>
      <c r="D179" s="23">
        <v>1.9139999999999999</v>
      </c>
      <c r="E179" s="1">
        <v>1.913</v>
      </c>
      <c r="F179" s="24">
        <v>1.917</v>
      </c>
      <c r="G179" s="4">
        <v>1.9179999999999999</v>
      </c>
      <c r="H179" s="1">
        <v>1.9139999999999999</v>
      </c>
      <c r="I179" s="25">
        <v>1.9239999999999999</v>
      </c>
      <c r="J179" s="23">
        <v>1.92</v>
      </c>
      <c r="K179" s="1">
        <v>1.921</v>
      </c>
      <c r="L179" s="25">
        <v>1.919</v>
      </c>
      <c r="N179" s="22">
        <v>2625</v>
      </c>
      <c r="O179" s="152">
        <f t="shared" si="9"/>
        <v>-4.7200000000000662E-3</v>
      </c>
      <c r="P179" s="152">
        <f t="shared" si="9"/>
        <v>-5.2400000000000085E-3</v>
      </c>
      <c r="Q179" s="153">
        <f t="shared" si="9"/>
        <v>-3.160000000000007E-3</v>
      </c>
      <c r="R179" s="152">
        <f t="shared" si="9"/>
        <v>-2.6400000000000646E-3</v>
      </c>
      <c r="S179" s="152">
        <f t="shared" si="9"/>
        <v>-4.7200000000000662E-3</v>
      </c>
      <c r="T179" s="154">
        <f t="shared" si="9"/>
        <v>4.7999999999993827E-4</v>
      </c>
      <c r="U179" s="155">
        <f t="shared" si="9"/>
        <v>-1.6000000000000636E-3</v>
      </c>
      <c r="V179" s="152">
        <f t="shared" si="9"/>
        <v>-1.0800000000000054E-3</v>
      </c>
      <c r="W179" s="152">
        <f t="shared" si="9"/>
        <v>-2.1200000000000064E-3</v>
      </c>
    </row>
    <row r="180" spans="2:23" x14ac:dyDescent="0.45">
      <c r="B180" s="50">
        <v>2640</v>
      </c>
      <c r="C180" s="150">
        <f t="shared" si="8"/>
        <v>1.9340659340659341</v>
      </c>
      <c r="D180" s="23">
        <v>1.9259999999999999</v>
      </c>
      <c r="E180" s="1">
        <v>1.9239999999999999</v>
      </c>
      <c r="F180" s="24">
        <v>1.927</v>
      </c>
      <c r="G180" s="4">
        <v>1.93</v>
      </c>
      <c r="H180" s="1">
        <v>1.9259999999999999</v>
      </c>
      <c r="I180" s="25">
        <v>1.9350000000000001</v>
      </c>
      <c r="J180" s="23">
        <v>1.931</v>
      </c>
      <c r="K180" s="1">
        <v>1.9330000000000001</v>
      </c>
      <c r="L180" s="25">
        <v>1.93</v>
      </c>
      <c r="N180" s="22">
        <v>2640</v>
      </c>
      <c r="O180" s="152">
        <f t="shared" si="9"/>
        <v>-4.1704545454545857E-3</v>
      </c>
      <c r="P180" s="152">
        <f t="shared" si="9"/>
        <v>-5.2045454545454955E-3</v>
      </c>
      <c r="Q180" s="153">
        <f t="shared" si="9"/>
        <v>-3.6534090909090735E-3</v>
      </c>
      <c r="R180" s="152">
        <f t="shared" si="9"/>
        <v>-2.1022727272727655E-3</v>
      </c>
      <c r="S180" s="152">
        <f t="shared" si="9"/>
        <v>-4.1704545454545857E-3</v>
      </c>
      <c r="T180" s="154">
        <f t="shared" si="9"/>
        <v>4.8295454545456667E-4</v>
      </c>
      <c r="U180" s="155">
        <f t="shared" si="9"/>
        <v>-1.5852272727272534E-3</v>
      </c>
      <c r="V180" s="152">
        <f t="shared" si="9"/>
        <v>-5.5113636363634329E-4</v>
      </c>
      <c r="W180" s="152">
        <f t="shared" si="9"/>
        <v>-2.1022727272727655E-3</v>
      </c>
    </row>
    <row r="181" spans="2:23" x14ac:dyDescent="0.45">
      <c r="B181" s="50">
        <v>2655</v>
      </c>
      <c r="C181" s="150">
        <f t="shared" si="8"/>
        <v>1.945054945054945</v>
      </c>
      <c r="D181" s="23">
        <v>1.9359999999999999</v>
      </c>
      <c r="E181" s="1">
        <v>1.9350000000000001</v>
      </c>
      <c r="F181" s="24">
        <v>1.9379999999999999</v>
      </c>
      <c r="G181" s="4">
        <v>1.9410000000000001</v>
      </c>
      <c r="H181" s="1">
        <v>1.9359999999999999</v>
      </c>
      <c r="I181" s="25">
        <v>1.946</v>
      </c>
      <c r="J181" s="23">
        <v>1.9419999999999999</v>
      </c>
      <c r="K181" s="1">
        <v>1.944</v>
      </c>
      <c r="L181" s="25">
        <v>1.9410000000000001</v>
      </c>
      <c r="N181" s="22">
        <v>2655</v>
      </c>
      <c r="O181" s="152">
        <f t="shared" si="9"/>
        <v>-4.6553672316384338E-3</v>
      </c>
      <c r="P181" s="152">
        <f t="shared" si="9"/>
        <v>-5.1694915254236881E-3</v>
      </c>
      <c r="Q181" s="153">
        <f t="shared" si="9"/>
        <v>-3.6271186440678112E-3</v>
      </c>
      <c r="R181" s="152">
        <f t="shared" ref="R181:W223" si="10">(G181-$C181)/$C181</f>
        <v>-2.0847457627118206E-3</v>
      </c>
      <c r="S181" s="152">
        <f t="shared" si="10"/>
        <v>-4.6553672316384338E-3</v>
      </c>
      <c r="T181" s="154">
        <f t="shared" si="10"/>
        <v>4.858757062146784E-4</v>
      </c>
      <c r="U181" s="155">
        <f t="shared" si="10"/>
        <v>-1.5706214689265663E-3</v>
      </c>
      <c r="V181" s="152">
        <f t="shared" si="10"/>
        <v>-5.4237288135594401E-4</v>
      </c>
      <c r="W181" s="152">
        <f t="shared" si="10"/>
        <v>-2.0847457627118206E-3</v>
      </c>
    </row>
    <row r="182" spans="2:23" x14ac:dyDescent="0.45">
      <c r="B182" s="50">
        <v>2670</v>
      </c>
      <c r="C182" s="150">
        <f t="shared" si="8"/>
        <v>1.956043956043956</v>
      </c>
      <c r="D182" s="23">
        <v>1.9470000000000001</v>
      </c>
      <c r="E182" s="1">
        <v>1.946</v>
      </c>
      <c r="F182" s="24">
        <v>1.9490000000000001</v>
      </c>
      <c r="G182" s="4">
        <v>1.952</v>
      </c>
      <c r="H182" s="1">
        <v>1.948</v>
      </c>
      <c r="I182" s="25">
        <v>1.9570000000000001</v>
      </c>
      <c r="J182" s="23">
        <v>1.9530000000000001</v>
      </c>
      <c r="K182" s="1">
        <v>1.9550000000000001</v>
      </c>
      <c r="L182" s="25">
        <v>1.952</v>
      </c>
      <c r="N182" s="22">
        <v>2670</v>
      </c>
      <c r="O182" s="152">
        <f t="shared" ref="O182:T245" si="11">(D182-$C182)/$C182</f>
        <v>-4.6235955056179116E-3</v>
      </c>
      <c r="P182" s="152">
        <f t="shared" si="11"/>
        <v>-5.1348314606741484E-3</v>
      </c>
      <c r="Q182" s="153">
        <f t="shared" si="11"/>
        <v>-3.601123595505551E-3</v>
      </c>
      <c r="R182" s="152">
        <f t="shared" si="10"/>
        <v>-2.0674157303370668E-3</v>
      </c>
      <c r="S182" s="152">
        <f t="shared" si="10"/>
        <v>-4.1123595505617875E-3</v>
      </c>
      <c r="T182" s="154">
        <f t="shared" si="10"/>
        <v>4.887640449438912E-4</v>
      </c>
      <c r="U182" s="155">
        <f t="shared" si="10"/>
        <v>-1.5561797752808298E-3</v>
      </c>
      <c r="V182" s="152">
        <f t="shared" si="10"/>
        <v>-5.3370786516846933E-4</v>
      </c>
      <c r="W182" s="152">
        <f t="shared" si="10"/>
        <v>-2.0674157303370668E-3</v>
      </c>
    </row>
    <row r="183" spans="2:23" x14ac:dyDescent="0.45">
      <c r="B183" s="50">
        <v>2685</v>
      </c>
      <c r="C183" s="150">
        <f t="shared" si="8"/>
        <v>1.9670329670329669</v>
      </c>
      <c r="D183" s="23">
        <v>1.958</v>
      </c>
      <c r="E183" s="1">
        <v>1.9570000000000001</v>
      </c>
      <c r="F183" s="24">
        <v>1.96</v>
      </c>
      <c r="G183" s="4">
        <v>1.962</v>
      </c>
      <c r="H183" s="1">
        <v>1.958</v>
      </c>
      <c r="I183" s="25">
        <v>1.968</v>
      </c>
      <c r="J183" s="23">
        <v>1.964</v>
      </c>
      <c r="K183" s="1">
        <v>1.966</v>
      </c>
      <c r="L183" s="25">
        <v>1.9630000000000001</v>
      </c>
      <c r="N183" s="22">
        <v>2685</v>
      </c>
      <c r="O183" s="152">
        <f t="shared" si="11"/>
        <v>-4.5921787709496866E-3</v>
      </c>
      <c r="P183" s="152">
        <f t="shared" si="11"/>
        <v>-5.100558659217787E-3</v>
      </c>
      <c r="Q183" s="153">
        <f t="shared" si="11"/>
        <v>-3.5754189944133727E-3</v>
      </c>
      <c r="R183" s="152">
        <f t="shared" si="10"/>
        <v>-2.5586592178770589E-3</v>
      </c>
      <c r="S183" s="152">
        <f t="shared" si="10"/>
        <v>-4.5921787709496866E-3</v>
      </c>
      <c r="T183" s="154">
        <f t="shared" si="10"/>
        <v>4.9162011173188244E-4</v>
      </c>
      <c r="U183" s="155">
        <f t="shared" si="10"/>
        <v>-1.5418994413407452E-3</v>
      </c>
      <c r="V183" s="152">
        <f t="shared" si="10"/>
        <v>-5.2513966480443133E-4</v>
      </c>
      <c r="W183" s="152">
        <f t="shared" si="10"/>
        <v>-2.0502793296088458E-3</v>
      </c>
    </row>
    <row r="184" spans="2:23" x14ac:dyDescent="0.45">
      <c r="B184" s="50">
        <v>2700</v>
      </c>
      <c r="C184" s="150">
        <f t="shared" si="8"/>
        <v>1.9780219780219781</v>
      </c>
      <c r="D184" s="23">
        <v>1.97</v>
      </c>
      <c r="E184" s="1">
        <v>1.9690000000000001</v>
      </c>
      <c r="F184" s="24">
        <v>1.9710000000000001</v>
      </c>
      <c r="G184" s="4">
        <v>1.9730000000000001</v>
      </c>
      <c r="H184" s="1">
        <v>1.97</v>
      </c>
      <c r="I184" s="25">
        <v>1.9790000000000001</v>
      </c>
      <c r="J184" s="23">
        <v>1.9750000000000001</v>
      </c>
      <c r="K184" s="1">
        <v>1.9770000000000001</v>
      </c>
      <c r="L184" s="25">
        <v>1.974</v>
      </c>
      <c r="N184" s="22">
        <v>2700</v>
      </c>
      <c r="O184" s="152">
        <f t="shared" si="11"/>
        <v>-4.0555555555556082E-3</v>
      </c>
      <c r="P184" s="152">
        <f t="shared" si="11"/>
        <v>-4.5611111111111078E-3</v>
      </c>
      <c r="Q184" s="153">
        <f t="shared" si="11"/>
        <v>-3.5499999999999963E-3</v>
      </c>
      <c r="R184" s="152">
        <f t="shared" si="10"/>
        <v>-2.5388888888888844E-3</v>
      </c>
      <c r="S184" s="152">
        <f t="shared" si="10"/>
        <v>-4.0555555555556082E-3</v>
      </c>
      <c r="T184" s="154">
        <f t="shared" si="10"/>
        <v>4.9444444444445164E-4</v>
      </c>
      <c r="U184" s="155">
        <f t="shared" si="10"/>
        <v>-1.5277777777777722E-3</v>
      </c>
      <c r="V184" s="152">
        <f t="shared" si="10"/>
        <v>-5.1666666666666029E-4</v>
      </c>
      <c r="W184" s="152">
        <f t="shared" si="10"/>
        <v>-2.0333333333333843E-3</v>
      </c>
    </row>
    <row r="185" spans="2:23" x14ac:dyDescent="0.45">
      <c r="B185" s="50">
        <v>2715</v>
      </c>
      <c r="C185" s="150">
        <f t="shared" si="8"/>
        <v>1.9890109890109891</v>
      </c>
      <c r="D185" s="23">
        <v>1.98</v>
      </c>
      <c r="E185" s="1">
        <v>1.9790000000000001</v>
      </c>
      <c r="F185" s="24">
        <v>1.9830000000000001</v>
      </c>
      <c r="G185" s="4">
        <v>1.984</v>
      </c>
      <c r="H185" s="1">
        <v>1.98</v>
      </c>
      <c r="I185" s="25">
        <v>1.99</v>
      </c>
      <c r="J185" s="23">
        <v>1.986</v>
      </c>
      <c r="K185" s="1">
        <v>1.988</v>
      </c>
      <c r="L185" s="25">
        <v>1.9850000000000001</v>
      </c>
      <c r="N185" s="22">
        <v>2715</v>
      </c>
      <c r="O185" s="152">
        <f t="shared" si="11"/>
        <v>-4.53038674033152E-3</v>
      </c>
      <c r="P185" s="152">
        <f t="shared" si="11"/>
        <v>-5.033149171270691E-3</v>
      </c>
      <c r="Q185" s="153">
        <f t="shared" si="11"/>
        <v>-3.0220994475137833E-3</v>
      </c>
      <c r="R185" s="152">
        <f t="shared" si="10"/>
        <v>-2.5193370165746123E-3</v>
      </c>
      <c r="S185" s="152">
        <f t="shared" si="10"/>
        <v>-4.53038674033152E-3</v>
      </c>
      <c r="T185" s="154">
        <f t="shared" si="10"/>
        <v>4.9723756906074935E-4</v>
      </c>
      <c r="U185" s="155">
        <f t="shared" si="10"/>
        <v>-1.5138121546961585E-3</v>
      </c>
      <c r="V185" s="152">
        <f t="shared" si="10"/>
        <v>-5.082872928177045E-4</v>
      </c>
      <c r="W185" s="152">
        <f t="shared" si="10"/>
        <v>-2.0165745856353294E-3</v>
      </c>
    </row>
    <row r="186" spans="2:23" x14ac:dyDescent="0.45">
      <c r="B186" s="50">
        <v>2730</v>
      </c>
      <c r="C186" s="150">
        <f t="shared" si="8"/>
        <v>2</v>
      </c>
      <c r="D186" s="23">
        <v>1.9910000000000001</v>
      </c>
      <c r="E186" s="1">
        <v>1.99</v>
      </c>
      <c r="F186" s="24">
        <v>1.9930000000000001</v>
      </c>
      <c r="G186" s="4">
        <v>1.996</v>
      </c>
      <c r="H186" s="1">
        <v>1.992</v>
      </c>
      <c r="I186" s="25">
        <v>2.0009999999999999</v>
      </c>
      <c r="J186" s="23">
        <v>1.996</v>
      </c>
      <c r="K186" s="1">
        <v>1.998</v>
      </c>
      <c r="L186" s="25">
        <v>1.9950000000000001</v>
      </c>
      <c r="N186" s="22">
        <v>2730</v>
      </c>
      <c r="O186" s="152">
        <f t="shared" si="11"/>
        <v>-4.4999999999999485E-3</v>
      </c>
      <c r="P186" s="152">
        <f t="shared" si="11"/>
        <v>-5.0000000000000044E-3</v>
      </c>
      <c r="Q186" s="153">
        <f t="shared" si="11"/>
        <v>-3.4999999999999476E-3</v>
      </c>
      <c r="R186" s="152">
        <f t="shared" si="10"/>
        <v>-2.0000000000000018E-3</v>
      </c>
      <c r="S186" s="152">
        <f t="shared" si="10"/>
        <v>-4.0000000000000036E-3</v>
      </c>
      <c r="T186" s="154">
        <f t="shared" si="10"/>
        <v>4.9999999999994493E-4</v>
      </c>
      <c r="U186" s="155">
        <f t="shared" si="10"/>
        <v>-2.0000000000000018E-3</v>
      </c>
      <c r="V186" s="152">
        <f t="shared" si="10"/>
        <v>-1.0000000000000009E-3</v>
      </c>
      <c r="W186" s="152">
        <f t="shared" si="10"/>
        <v>-2.4999999999999467E-3</v>
      </c>
    </row>
    <row r="187" spans="2:23" x14ac:dyDescent="0.45">
      <c r="B187" s="50">
        <v>2745</v>
      </c>
      <c r="C187" s="150">
        <f t="shared" si="8"/>
        <v>2.0109890109890109</v>
      </c>
      <c r="D187" s="23">
        <v>2.0019999999999998</v>
      </c>
      <c r="E187" s="1">
        <v>2.0009999999999999</v>
      </c>
      <c r="F187" s="24">
        <v>2.004</v>
      </c>
      <c r="G187" s="4">
        <v>2.0070000000000001</v>
      </c>
      <c r="H187" s="1">
        <v>2.0030000000000001</v>
      </c>
      <c r="I187" s="25">
        <v>2.0110000000000001</v>
      </c>
      <c r="J187" s="23">
        <v>2.0070000000000001</v>
      </c>
      <c r="K187" s="1">
        <v>2.0089999999999999</v>
      </c>
      <c r="L187" s="25">
        <v>2.0059999999999998</v>
      </c>
      <c r="N187" s="22">
        <v>2745</v>
      </c>
      <c r="O187" s="152">
        <f t="shared" si="11"/>
        <v>-4.4699453551913472E-3</v>
      </c>
      <c r="P187" s="152">
        <f t="shared" si="11"/>
        <v>-4.967213114754134E-3</v>
      </c>
      <c r="Q187" s="153">
        <f t="shared" si="11"/>
        <v>-3.4754098360655528E-3</v>
      </c>
      <c r="R187" s="152">
        <f t="shared" si="10"/>
        <v>-1.9836065573769716E-3</v>
      </c>
      <c r="S187" s="152">
        <f t="shared" si="10"/>
        <v>-3.9726775956283392E-3</v>
      </c>
      <c r="T187" s="154">
        <f t="shared" si="10"/>
        <v>5.4644808743964197E-6</v>
      </c>
      <c r="U187" s="155">
        <f t="shared" si="10"/>
        <v>-1.9836065573769716E-3</v>
      </c>
      <c r="V187" s="152">
        <f t="shared" si="10"/>
        <v>-9.8907103825139793E-4</v>
      </c>
      <c r="W187" s="152">
        <f t="shared" si="10"/>
        <v>-2.4808743169399791E-3</v>
      </c>
    </row>
    <row r="188" spans="2:23" x14ac:dyDescent="0.45">
      <c r="B188" s="50">
        <v>2760</v>
      </c>
      <c r="C188" s="150">
        <f t="shared" si="8"/>
        <v>2.0219780219780219</v>
      </c>
      <c r="D188" s="23">
        <v>2.0129999999999999</v>
      </c>
      <c r="E188" s="1">
        <v>2.012</v>
      </c>
      <c r="F188" s="24">
        <v>2.016</v>
      </c>
      <c r="G188" s="4">
        <v>2.0169999999999999</v>
      </c>
      <c r="H188" s="1">
        <v>2.0129999999999999</v>
      </c>
      <c r="I188" s="25">
        <v>2.0230000000000001</v>
      </c>
      <c r="J188" s="23">
        <v>2.0179999999999998</v>
      </c>
      <c r="K188" s="1">
        <v>2.02</v>
      </c>
      <c r="L188" s="25">
        <v>2.0169999999999999</v>
      </c>
      <c r="N188" s="22">
        <v>2760</v>
      </c>
      <c r="O188" s="152">
        <f t="shared" si="11"/>
        <v>-4.4402173913043585E-3</v>
      </c>
      <c r="P188" s="152">
        <f t="shared" si="11"/>
        <v>-4.9347826086956082E-3</v>
      </c>
      <c r="Q188" s="153">
        <f t="shared" si="11"/>
        <v>-2.9565217391303894E-3</v>
      </c>
      <c r="R188" s="152">
        <f t="shared" si="10"/>
        <v>-2.4619565217391393E-3</v>
      </c>
      <c r="S188" s="152">
        <f t="shared" si="10"/>
        <v>-4.4402173913043585E-3</v>
      </c>
      <c r="T188" s="154">
        <f t="shared" si="10"/>
        <v>5.054347826087993E-4</v>
      </c>
      <c r="U188" s="155">
        <f t="shared" si="10"/>
        <v>-1.9673913043478895E-3</v>
      </c>
      <c r="V188" s="152">
        <f t="shared" si="10"/>
        <v>-9.7826086956516998E-4</v>
      </c>
      <c r="W188" s="152">
        <f t="shared" si="10"/>
        <v>-2.4619565217391393E-3</v>
      </c>
    </row>
    <row r="189" spans="2:23" x14ac:dyDescent="0.45">
      <c r="B189" s="50">
        <v>2775</v>
      </c>
      <c r="C189" s="150">
        <f t="shared" si="8"/>
        <v>2.0329670329670328</v>
      </c>
      <c r="D189" s="23">
        <v>2.0249999999999999</v>
      </c>
      <c r="E189" s="1">
        <v>2.0230000000000001</v>
      </c>
      <c r="F189" s="24">
        <v>2.0270000000000001</v>
      </c>
      <c r="G189" s="4">
        <v>2.028</v>
      </c>
      <c r="H189" s="1">
        <v>2.024</v>
      </c>
      <c r="I189" s="25">
        <v>2.0339999999999998</v>
      </c>
      <c r="J189" s="23">
        <v>2.0289999999999999</v>
      </c>
      <c r="K189" s="1">
        <v>2.0310000000000001</v>
      </c>
      <c r="L189" s="25">
        <v>2.028</v>
      </c>
      <c r="N189" s="22">
        <v>2775</v>
      </c>
      <c r="O189" s="152">
        <f t="shared" si="11"/>
        <v>-3.9189189189189049E-3</v>
      </c>
      <c r="P189" s="152">
        <f t="shared" si="11"/>
        <v>-4.9027027027025811E-3</v>
      </c>
      <c r="Q189" s="153">
        <f t="shared" si="11"/>
        <v>-2.9351351351350114E-3</v>
      </c>
      <c r="R189" s="152">
        <f t="shared" si="10"/>
        <v>-2.4432432432431733E-3</v>
      </c>
      <c r="S189" s="152">
        <f t="shared" si="10"/>
        <v>-4.4108108108107426E-3</v>
      </c>
      <c r="T189" s="154">
        <f t="shared" si="10"/>
        <v>5.0810810810807139E-4</v>
      </c>
      <c r="U189" s="155">
        <f t="shared" si="10"/>
        <v>-1.9513513513513359E-3</v>
      </c>
      <c r="V189" s="152">
        <f t="shared" si="10"/>
        <v>-9.6756756756744184E-4</v>
      </c>
      <c r="W189" s="152">
        <f t="shared" si="10"/>
        <v>-2.4432432432431733E-3</v>
      </c>
    </row>
    <row r="190" spans="2:23" x14ac:dyDescent="0.45">
      <c r="B190" s="50">
        <v>2790</v>
      </c>
      <c r="C190" s="150">
        <f t="shared" si="8"/>
        <v>2.0439560439560438</v>
      </c>
      <c r="D190" s="23">
        <v>2.0350000000000001</v>
      </c>
      <c r="E190" s="1">
        <v>2.0339999999999998</v>
      </c>
      <c r="F190" s="24">
        <v>2.0369999999999999</v>
      </c>
      <c r="G190" s="4">
        <v>2.0390000000000001</v>
      </c>
      <c r="H190" s="1">
        <v>2.0350000000000001</v>
      </c>
      <c r="I190" s="25">
        <v>2.0459999999999998</v>
      </c>
      <c r="J190" s="23">
        <v>2.04</v>
      </c>
      <c r="K190" s="1">
        <v>2.0419999999999998</v>
      </c>
      <c r="L190" s="25">
        <v>2.0390000000000001</v>
      </c>
      <c r="N190" s="22">
        <v>2790</v>
      </c>
      <c r="O190" s="152">
        <f t="shared" si="11"/>
        <v>-4.3817204301073815E-3</v>
      </c>
      <c r="P190" s="152">
        <f t="shared" si="11"/>
        <v>-4.8709677419355021E-3</v>
      </c>
      <c r="Q190" s="153">
        <f t="shared" si="11"/>
        <v>-3.403225806451575E-3</v>
      </c>
      <c r="R190" s="152">
        <f t="shared" si="10"/>
        <v>-2.4247311827955515E-3</v>
      </c>
      <c r="S190" s="152">
        <f t="shared" si="10"/>
        <v>-4.3817204301073815E-3</v>
      </c>
      <c r="T190" s="154">
        <f t="shared" si="10"/>
        <v>9.9999999999998788E-4</v>
      </c>
      <c r="U190" s="155">
        <f t="shared" si="10"/>
        <v>-1.9354838709676483E-3</v>
      </c>
      <c r="V190" s="152">
        <f t="shared" si="10"/>
        <v>-9.5698924731184201E-4</v>
      </c>
      <c r="W190" s="152">
        <f t="shared" si="10"/>
        <v>-2.4247311827955515E-3</v>
      </c>
    </row>
    <row r="191" spans="2:23" x14ac:dyDescent="0.45">
      <c r="B191" s="50">
        <v>2805</v>
      </c>
      <c r="C191" s="150">
        <f t="shared" si="8"/>
        <v>2.0549450549450547</v>
      </c>
      <c r="D191" s="23">
        <v>2.0459999999999998</v>
      </c>
      <c r="E191" s="1">
        <v>2.0449999999999999</v>
      </c>
      <c r="F191" s="24">
        <v>2.048</v>
      </c>
      <c r="G191" s="4">
        <v>2.0499999999999998</v>
      </c>
      <c r="H191" s="1">
        <v>2.0459999999999998</v>
      </c>
      <c r="I191" s="25">
        <v>2.056</v>
      </c>
      <c r="J191" s="23">
        <v>2.0510000000000002</v>
      </c>
      <c r="K191" s="1">
        <v>2.0529999999999999</v>
      </c>
      <c r="L191" s="25">
        <v>2.0499999999999998</v>
      </c>
      <c r="N191" s="22">
        <v>2805</v>
      </c>
      <c r="O191" s="152">
        <f t="shared" si="11"/>
        <v>-4.352941176470582E-3</v>
      </c>
      <c r="P191" s="152">
        <f t="shared" si="11"/>
        <v>-4.8395721925133094E-3</v>
      </c>
      <c r="Q191" s="153">
        <f t="shared" si="11"/>
        <v>-3.3796791443849112E-3</v>
      </c>
      <c r="R191" s="152">
        <f t="shared" si="10"/>
        <v>-2.4064171122994567E-3</v>
      </c>
      <c r="S191" s="152">
        <f t="shared" si="10"/>
        <v>-4.352941176470582E-3</v>
      </c>
      <c r="T191" s="154">
        <f t="shared" si="10"/>
        <v>5.1336898395733851E-4</v>
      </c>
      <c r="U191" s="155">
        <f t="shared" si="10"/>
        <v>-1.9197860962565135E-3</v>
      </c>
      <c r="V191" s="152">
        <f t="shared" si="10"/>
        <v>-9.4652406417105922E-4</v>
      </c>
      <c r="W191" s="152">
        <f t="shared" si="10"/>
        <v>-2.4064171122994567E-3</v>
      </c>
    </row>
    <row r="192" spans="2:23" x14ac:dyDescent="0.45">
      <c r="B192" s="50">
        <v>2820</v>
      </c>
      <c r="C192" s="150">
        <f t="shared" si="8"/>
        <v>2.0659340659340661</v>
      </c>
      <c r="D192" s="23">
        <v>2.0569999999999999</v>
      </c>
      <c r="E192" s="1">
        <v>2.0550000000000002</v>
      </c>
      <c r="F192" s="24">
        <v>2.0590000000000002</v>
      </c>
      <c r="G192" s="4">
        <v>2.0609999999999999</v>
      </c>
      <c r="H192" s="1">
        <v>2.0569999999999999</v>
      </c>
      <c r="I192" s="25">
        <v>2.0670000000000002</v>
      </c>
      <c r="J192" s="23">
        <v>2.0619999999999998</v>
      </c>
      <c r="K192" s="1">
        <v>2.0640000000000001</v>
      </c>
      <c r="L192" s="25">
        <v>2.0619999999999998</v>
      </c>
      <c r="N192" s="22">
        <v>2820</v>
      </c>
      <c r="O192" s="152">
        <f t="shared" si="11"/>
        <v>-4.3244680851065136E-3</v>
      </c>
      <c r="P192" s="152">
        <f t="shared" si="11"/>
        <v>-5.2925531914893853E-3</v>
      </c>
      <c r="Q192" s="153">
        <f t="shared" si="11"/>
        <v>-3.3563829787234263E-3</v>
      </c>
      <c r="R192" s="152">
        <f t="shared" si="10"/>
        <v>-2.3882978723405546E-3</v>
      </c>
      <c r="S192" s="152">
        <f t="shared" si="10"/>
        <v>-4.3244680851065136E-3</v>
      </c>
      <c r="T192" s="154">
        <f t="shared" si="10"/>
        <v>5.1595744680849151E-4</v>
      </c>
      <c r="U192" s="155">
        <f t="shared" si="10"/>
        <v>-1.9042553191491185E-3</v>
      </c>
      <c r="V192" s="152">
        <f t="shared" si="10"/>
        <v>-9.3617021276603141E-4</v>
      </c>
      <c r="W192" s="152">
        <f t="shared" si="10"/>
        <v>-1.9042553191491185E-3</v>
      </c>
    </row>
    <row r="193" spans="2:23" x14ac:dyDescent="0.45">
      <c r="B193" s="50">
        <v>2835</v>
      </c>
      <c r="C193" s="150">
        <f t="shared" si="8"/>
        <v>2.0769230769230771</v>
      </c>
      <c r="D193" s="23">
        <v>2.0680000000000001</v>
      </c>
      <c r="E193" s="1">
        <v>2.0670000000000002</v>
      </c>
      <c r="F193" s="24">
        <v>2.0710000000000002</v>
      </c>
      <c r="G193" s="4">
        <v>2.0720000000000001</v>
      </c>
      <c r="H193" s="1">
        <v>2.0680000000000001</v>
      </c>
      <c r="I193" s="25">
        <v>2.0779999999999998</v>
      </c>
      <c r="J193" s="23">
        <v>2.073</v>
      </c>
      <c r="K193" s="1">
        <v>2.0750000000000002</v>
      </c>
      <c r="L193" s="25">
        <v>2.0720000000000001</v>
      </c>
      <c r="N193" s="22">
        <v>2835</v>
      </c>
      <c r="O193" s="152">
        <f t="shared" si="11"/>
        <v>-4.2962962962963492E-3</v>
      </c>
      <c r="P193" s="152">
        <f t="shared" si="11"/>
        <v>-4.7777777777777775E-3</v>
      </c>
      <c r="Q193" s="153">
        <f t="shared" si="11"/>
        <v>-2.8518518518518502E-3</v>
      </c>
      <c r="R193" s="152">
        <f t="shared" si="10"/>
        <v>-2.3703703703704215E-3</v>
      </c>
      <c r="S193" s="152">
        <f t="shared" si="10"/>
        <v>-4.2962962962963492E-3</v>
      </c>
      <c r="T193" s="154">
        <f t="shared" si="10"/>
        <v>5.1851851851836273E-4</v>
      </c>
      <c r="U193" s="155">
        <f t="shared" si="10"/>
        <v>-1.8888888888889933E-3</v>
      </c>
      <c r="V193" s="152">
        <f t="shared" si="10"/>
        <v>-9.259259259259226E-4</v>
      </c>
      <c r="W193" s="152">
        <f t="shared" si="10"/>
        <v>-2.3703703703704215E-3</v>
      </c>
    </row>
    <row r="194" spans="2:23" x14ac:dyDescent="0.45">
      <c r="B194" s="50">
        <v>2850</v>
      </c>
      <c r="C194" s="150">
        <f t="shared" si="8"/>
        <v>2.087912087912088</v>
      </c>
      <c r="D194" s="23">
        <v>2.08</v>
      </c>
      <c r="E194" s="1">
        <v>2.077</v>
      </c>
      <c r="F194" s="24">
        <v>2.0819999999999999</v>
      </c>
      <c r="G194" s="4">
        <v>2.0830000000000002</v>
      </c>
      <c r="H194" s="1">
        <v>2.0790000000000002</v>
      </c>
      <c r="I194" s="25">
        <v>2.089</v>
      </c>
      <c r="J194" s="23">
        <v>2.0840000000000001</v>
      </c>
      <c r="K194" s="1">
        <v>2.0859999999999999</v>
      </c>
      <c r="L194" s="25">
        <v>2.0830000000000002</v>
      </c>
      <c r="N194" s="22">
        <v>2850</v>
      </c>
      <c r="O194" s="152">
        <f t="shared" si="11"/>
        <v>-3.7894736842105552E-3</v>
      </c>
      <c r="P194" s="152">
        <f t="shared" si="11"/>
        <v>-5.2263157894737672E-3</v>
      </c>
      <c r="Q194" s="153">
        <f t="shared" si="11"/>
        <v>-2.8315789473685555E-3</v>
      </c>
      <c r="R194" s="152">
        <f t="shared" si="10"/>
        <v>-2.3526315789473428E-3</v>
      </c>
      <c r="S194" s="152">
        <f t="shared" si="10"/>
        <v>-4.268421052631555E-3</v>
      </c>
      <c r="T194" s="154">
        <f t="shared" si="10"/>
        <v>5.2105263157886889E-4</v>
      </c>
      <c r="U194" s="155">
        <f t="shared" si="10"/>
        <v>-1.8736842105263431E-3</v>
      </c>
      <c r="V194" s="152">
        <f t="shared" si="10"/>
        <v>-9.1578947368434335E-4</v>
      </c>
      <c r="W194" s="152">
        <f t="shared" si="10"/>
        <v>-2.3526315789473428E-3</v>
      </c>
    </row>
    <row r="195" spans="2:23" x14ac:dyDescent="0.45">
      <c r="B195" s="50">
        <v>2865</v>
      </c>
      <c r="C195" s="150">
        <f t="shared" si="8"/>
        <v>2.098901098901099</v>
      </c>
      <c r="D195" s="23">
        <v>2.09</v>
      </c>
      <c r="E195" s="1">
        <v>2.0880000000000001</v>
      </c>
      <c r="F195" s="24">
        <v>2.0920000000000001</v>
      </c>
      <c r="G195" s="4">
        <v>2.0939999999999999</v>
      </c>
      <c r="H195" s="1">
        <v>2.09</v>
      </c>
      <c r="I195" s="25">
        <v>2.1</v>
      </c>
      <c r="J195" s="23">
        <v>2.0950000000000002</v>
      </c>
      <c r="K195" s="1">
        <v>2.097</v>
      </c>
      <c r="L195" s="25">
        <v>2.0939999999999999</v>
      </c>
      <c r="N195" s="22">
        <v>2865</v>
      </c>
      <c r="O195" s="152">
        <f t="shared" si="11"/>
        <v>-4.2408376963351899E-3</v>
      </c>
      <c r="P195" s="152">
        <f t="shared" si="11"/>
        <v>-5.1937172774869176E-3</v>
      </c>
      <c r="Q195" s="153">
        <f t="shared" si="11"/>
        <v>-3.2879581151832511E-3</v>
      </c>
      <c r="R195" s="152">
        <f t="shared" si="10"/>
        <v>-2.3350785340315238E-3</v>
      </c>
      <c r="S195" s="152">
        <f t="shared" si="10"/>
        <v>-4.2408376963351899E-3</v>
      </c>
      <c r="T195" s="154">
        <f t="shared" si="10"/>
        <v>5.2356020942408187E-4</v>
      </c>
      <c r="U195" s="155">
        <f t="shared" si="10"/>
        <v>-1.8586387434554484E-3</v>
      </c>
      <c r="V195" s="152">
        <f t="shared" si="10"/>
        <v>-9.0575916230372093E-4</v>
      </c>
      <c r="W195" s="152">
        <f t="shared" si="10"/>
        <v>-2.3350785340315238E-3</v>
      </c>
    </row>
    <row r="196" spans="2:23" x14ac:dyDescent="0.45">
      <c r="B196" s="50">
        <v>2880</v>
      </c>
      <c r="C196" s="150">
        <f t="shared" si="8"/>
        <v>2.1098901098901099</v>
      </c>
      <c r="D196" s="23">
        <v>2.101</v>
      </c>
      <c r="E196" s="1">
        <v>2.0990000000000002</v>
      </c>
      <c r="F196" s="24">
        <v>2.1030000000000002</v>
      </c>
      <c r="G196" s="4">
        <v>2.105</v>
      </c>
      <c r="H196" s="1">
        <v>2.1</v>
      </c>
      <c r="I196" s="25">
        <v>2.1110000000000002</v>
      </c>
      <c r="J196" s="23">
        <v>2.105</v>
      </c>
      <c r="K196" s="1">
        <v>2.1080000000000001</v>
      </c>
      <c r="L196" s="25">
        <v>2.1040000000000001</v>
      </c>
      <c r="N196" s="22">
        <v>2880</v>
      </c>
      <c r="O196" s="152">
        <f t="shared" si="11"/>
        <v>-4.2135416666667022E-3</v>
      </c>
      <c r="P196" s="152">
        <f t="shared" si="11"/>
        <v>-5.1614583333332645E-3</v>
      </c>
      <c r="Q196" s="153">
        <f t="shared" si="11"/>
        <v>-3.2656249999999292E-3</v>
      </c>
      <c r="R196" s="152">
        <f t="shared" si="10"/>
        <v>-2.3177083333333673E-3</v>
      </c>
      <c r="S196" s="152">
        <f t="shared" si="10"/>
        <v>-4.6874999999999833E-3</v>
      </c>
      <c r="T196" s="154">
        <f t="shared" si="10"/>
        <v>5.2604166666674057E-4</v>
      </c>
      <c r="U196" s="155">
        <f t="shared" si="10"/>
        <v>-2.3177083333333673E-3</v>
      </c>
      <c r="V196" s="152">
        <f t="shared" si="10"/>
        <v>-8.9583333333331328E-4</v>
      </c>
      <c r="W196" s="152">
        <f t="shared" si="10"/>
        <v>-2.7916666666666485E-3</v>
      </c>
    </row>
    <row r="197" spans="2:23" x14ac:dyDescent="0.45">
      <c r="B197" s="50">
        <v>2895</v>
      </c>
      <c r="C197" s="150">
        <f t="shared" ref="C197:C260" si="12">3*B197/4095</f>
        <v>2.1208791208791209</v>
      </c>
      <c r="D197" s="23">
        <v>2.1120000000000001</v>
      </c>
      <c r="E197" s="1">
        <v>2.11</v>
      </c>
      <c r="F197" s="24">
        <v>2.1150000000000002</v>
      </c>
      <c r="G197" s="4">
        <v>2.1160000000000001</v>
      </c>
      <c r="H197" s="1">
        <v>2.1120000000000001</v>
      </c>
      <c r="I197" s="25">
        <v>2.1230000000000002</v>
      </c>
      <c r="J197" s="23">
        <v>2.117</v>
      </c>
      <c r="K197" s="1">
        <v>2.1190000000000002</v>
      </c>
      <c r="L197" s="25">
        <v>2.1160000000000001</v>
      </c>
      <c r="N197" s="22">
        <v>2895</v>
      </c>
      <c r="O197" s="152">
        <f t="shared" si="11"/>
        <v>-4.1865284974092866E-3</v>
      </c>
      <c r="P197" s="152">
        <f t="shared" si="11"/>
        <v>-5.1295336787565418E-3</v>
      </c>
      <c r="Q197" s="153">
        <f t="shared" si="11"/>
        <v>-2.7720207253885075E-3</v>
      </c>
      <c r="R197" s="152">
        <f t="shared" si="10"/>
        <v>-2.3005181347149841E-3</v>
      </c>
      <c r="S197" s="152">
        <f t="shared" si="10"/>
        <v>-4.1865284974092866E-3</v>
      </c>
      <c r="T197" s="154">
        <f t="shared" si="10"/>
        <v>1.0000000000000969E-3</v>
      </c>
      <c r="U197" s="155">
        <f t="shared" si="10"/>
        <v>-1.829015544041461E-3</v>
      </c>
      <c r="V197" s="152">
        <f t="shared" si="10"/>
        <v>-8.8601036269420519E-4</v>
      </c>
      <c r="W197" s="152">
        <f t="shared" si="10"/>
        <v>-2.3005181347149841E-3</v>
      </c>
    </row>
    <row r="198" spans="2:23" x14ac:dyDescent="0.45">
      <c r="B198" s="50">
        <v>2910</v>
      </c>
      <c r="C198" s="150">
        <f t="shared" si="12"/>
        <v>2.1318681318681318</v>
      </c>
      <c r="D198" s="23">
        <v>2.1230000000000002</v>
      </c>
      <c r="E198" s="1">
        <v>2.12</v>
      </c>
      <c r="F198" s="24">
        <v>2.125</v>
      </c>
      <c r="G198" s="4">
        <v>2.1269999999999998</v>
      </c>
      <c r="H198" s="1">
        <v>2.1219999999999999</v>
      </c>
      <c r="I198" s="25">
        <v>2.133</v>
      </c>
      <c r="J198" s="23">
        <v>2.1280000000000001</v>
      </c>
      <c r="K198" s="1">
        <v>2.13</v>
      </c>
      <c r="L198" s="25">
        <v>2.1269999999999998</v>
      </c>
      <c r="N198" s="22">
        <v>2910</v>
      </c>
      <c r="O198" s="152">
        <f t="shared" si="11"/>
        <v>-4.1597938144328746E-3</v>
      </c>
      <c r="P198" s="152">
        <f t="shared" si="11"/>
        <v>-5.5670103092782895E-3</v>
      </c>
      <c r="Q198" s="153">
        <f t="shared" si="11"/>
        <v>-3.221649484536071E-3</v>
      </c>
      <c r="R198" s="152">
        <f t="shared" si="10"/>
        <v>-2.283505154639267E-3</v>
      </c>
      <c r="S198" s="152">
        <f t="shared" si="10"/>
        <v>-4.628865979381485E-3</v>
      </c>
      <c r="T198" s="154">
        <f t="shared" si="10"/>
        <v>5.3092783505156115E-4</v>
      </c>
      <c r="U198" s="155">
        <f t="shared" si="10"/>
        <v>-1.8144329896906568E-3</v>
      </c>
      <c r="V198" s="152">
        <f t="shared" si="10"/>
        <v>-8.7628865979385304E-4</v>
      </c>
      <c r="W198" s="152">
        <f t="shared" si="10"/>
        <v>-2.283505154639267E-3</v>
      </c>
    </row>
    <row r="199" spans="2:23" x14ac:dyDescent="0.45">
      <c r="B199" s="50">
        <v>2925</v>
      </c>
      <c r="C199" s="150">
        <f t="shared" si="12"/>
        <v>2.1428571428571428</v>
      </c>
      <c r="D199" s="23">
        <v>2.1339999999999999</v>
      </c>
      <c r="E199" s="1">
        <v>2.1309999999999998</v>
      </c>
      <c r="F199" s="24">
        <v>2.1360000000000001</v>
      </c>
      <c r="G199" s="4">
        <v>2.1379999999999999</v>
      </c>
      <c r="H199" s="1">
        <v>2.133</v>
      </c>
      <c r="I199" s="25">
        <v>2.1440000000000001</v>
      </c>
      <c r="J199" s="23">
        <v>2.1379999999999999</v>
      </c>
      <c r="K199" s="1">
        <v>2.141</v>
      </c>
      <c r="L199" s="25">
        <v>2.1379999999999999</v>
      </c>
      <c r="N199" s="22">
        <v>2925</v>
      </c>
      <c r="O199" s="152">
        <f t="shared" si="11"/>
        <v>-4.1333333333333517E-3</v>
      </c>
      <c r="P199" s="152">
        <f t="shared" si="11"/>
        <v>-5.5333333333334048E-3</v>
      </c>
      <c r="Q199" s="153">
        <f t="shared" si="11"/>
        <v>-3.1999999999999143E-3</v>
      </c>
      <c r="R199" s="152">
        <f t="shared" si="10"/>
        <v>-2.2666666666666837E-3</v>
      </c>
      <c r="S199" s="152">
        <f t="shared" si="10"/>
        <v>-4.599999999999967E-3</v>
      </c>
      <c r="T199" s="154">
        <f t="shared" si="10"/>
        <v>5.3333333333342259E-4</v>
      </c>
      <c r="U199" s="155">
        <f t="shared" si="10"/>
        <v>-2.2666666666666837E-3</v>
      </c>
      <c r="V199" s="152">
        <f t="shared" si="10"/>
        <v>-8.6666666666663041E-4</v>
      </c>
      <c r="W199" s="152">
        <f t="shared" si="10"/>
        <v>-2.2666666666666837E-3</v>
      </c>
    </row>
    <row r="200" spans="2:23" x14ac:dyDescent="0.45">
      <c r="B200" s="50">
        <v>2940</v>
      </c>
      <c r="C200" s="150">
        <f t="shared" si="12"/>
        <v>2.1538461538461537</v>
      </c>
      <c r="D200" s="23">
        <v>2.145</v>
      </c>
      <c r="E200" s="1">
        <v>2.1429999999999998</v>
      </c>
      <c r="F200" s="24">
        <v>2.1469999999999998</v>
      </c>
      <c r="G200" s="4">
        <v>2.1480000000000001</v>
      </c>
      <c r="H200" s="1">
        <v>2.1440000000000001</v>
      </c>
      <c r="I200" s="25">
        <v>2.1549999999999998</v>
      </c>
      <c r="J200" s="23">
        <v>2.15</v>
      </c>
      <c r="K200" s="1">
        <v>2.1520000000000001</v>
      </c>
      <c r="L200" s="25">
        <v>2.1480000000000001</v>
      </c>
      <c r="N200" s="22">
        <v>2940</v>
      </c>
      <c r="O200" s="152">
        <f t="shared" si="11"/>
        <v>-4.1071428571428014E-3</v>
      </c>
      <c r="P200" s="152">
        <f t="shared" si="11"/>
        <v>-5.0357142857143343E-3</v>
      </c>
      <c r="Q200" s="153">
        <f t="shared" si="11"/>
        <v>-3.178571428571475E-3</v>
      </c>
      <c r="R200" s="152">
        <f t="shared" si="10"/>
        <v>-2.7142857142856058E-3</v>
      </c>
      <c r="S200" s="152">
        <f t="shared" si="10"/>
        <v>-4.5714285714284651E-3</v>
      </c>
      <c r="T200" s="154">
        <f t="shared" si="10"/>
        <v>5.3571428571424259E-4</v>
      </c>
      <c r="U200" s="155">
        <f t="shared" si="10"/>
        <v>-1.7857142857142794E-3</v>
      </c>
      <c r="V200" s="152">
        <f t="shared" si="10"/>
        <v>-8.5714285714274694E-4</v>
      </c>
      <c r="W200" s="152">
        <f t="shared" si="10"/>
        <v>-2.7142857142856058E-3</v>
      </c>
    </row>
    <row r="201" spans="2:23" x14ac:dyDescent="0.45">
      <c r="B201" s="50">
        <v>2955</v>
      </c>
      <c r="C201" s="150">
        <f t="shared" si="12"/>
        <v>2.1648351648351647</v>
      </c>
      <c r="D201" s="23">
        <v>2.1560000000000001</v>
      </c>
      <c r="E201" s="1">
        <v>2.153</v>
      </c>
      <c r="F201" s="24">
        <v>2.1579999999999999</v>
      </c>
      <c r="G201" s="4">
        <v>2.1589999999999998</v>
      </c>
      <c r="H201" s="1">
        <v>2.1539999999999999</v>
      </c>
      <c r="I201" s="25">
        <v>2.1659999999999999</v>
      </c>
      <c r="J201" s="23">
        <v>2.161</v>
      </c>
      <c r="K201" s="1">
        <v>2.1629999999999998</v>
      </c>
      <c r="L201" s="25">
        <v>2.1589999999999998</v>
      </c>
      <c r="N201" s="22">
        <v>2955</v>
      </c>
      <c r="O201" s="152">
        <f t="shared" si="11"/>
        <v>-4.0812182741115461E-3</v>
      </c>
      <c r="P201" s="152">
        <f t="shared" si="11"/>
        <v>-5.4670050761420558E-3</v>
      </c>
      <c r="Q201" s="153">
        <f t="shared" si="11"/>
        <v>-3.157360406091343E-3</v>
      </c>
      <c r="R201" s="152">
        <f t="shared" si="10"/>
        <v>-2.6954314720812416E-3</v>
      </c>
      <c r="S201" s="152">
        <f t="shared" si="10"/>
        <v>-5.0050761421319544E-3</v>
      </c>
      <c r="T201" s="154">
        <f t="shared" si="10"/>
        <v>5.380710659898787E-4</v>
      </c>
      <c r="U201" s="155">
        <f t="shared" si="10"/>
        <v>-1.7715736040608337E-3</v>
      </c>
      <c r="V201" s="152">
        <f t="shared" si="10"/>
        <v>-8.4771573604063076E-4</v>
      </c>
      <c r="W201" s="152">
        <f t="shared" si="10"/>
        <v>-2.6954314720812416E-3</v>
      </c>
    </row>
    <row r="202" spans="2:23" x14ac:dyDescent="0.45">
      <c r="B202" s="50">
        <v>2970</v>
      </c>
      <c r="C202" s="150">
        <f t="shared" si="12"/>
        <v>2.1758241758241756</v>
      </c>
      <c r="D202" s="23">
        <v>2.1669999999999998</v>
      </c>
      <c r="E202" s="1">
        <v>2.1640000000000001</v>
      </c>
      <c r="F202" s="24">
        <v>2.169</v>
      </c>
      <c r="G202" s="4">
        <v>2.1709999999999998</v>
      </c>
      <c r="H202" s="1">
        <v>2.1659999999999999</v>
      </c>
      <c r="I202" s="25">
        <v>2.177</v>
      </c>
      <c r="J202" s="23">
        <v>2.1720000000000002</v>
      </c>
      <c r="K202" s="1">
        <v>2.1739999999999999</v>
      </c>
      <c r="L202" s="25">
        <v>2.17</v>
      </c>
      <c r="N202" s="22">
        <v>2970</v>
      </c>
      <c r="O202" s="152">
        <f t="shared" si="11"/>
        <v>-4.0555555555555579E-3</v>
      </c>
      <c r="P202" s="152">
        <f t="shared" si="11"/>
        <v>-5.4343434343432848E-3</v>
      </c>
      <c r="Q202" s="153">
        <f t="shared" si="11"/>
        <v>-3.1363636363635357E-3</v>
      </c>
      <c r="R202" s="152">
        <f t="shared" si="10"/>
        <v>-2.2171717171717178E-3</v>
      </c>
      <c r="S202" s="152">
        <f t="shared" si="10"/>
        <v>-4.5151515151514669E-3</v>
      </c>
      <c r="T202" s="154">
        <f t="shared" si="10"/>
        <v>5.4040404040414463E-4</v>
      </c>
      <c r="U202" s="155">
        <f t="shared" si="10"/>
        <v>-1.7575757575756046E-3</v>
      </c>
      <c r="V202" s="152">
        <f t="shared" si="10"/>
        <v>-8.3838383838378649E-4</v>
      </c>
      <c r="W202" s="152">
        <f t="shared" si="10"/>
        <v>-2.6767676767676268E-3</v>
      </c>
    </row>
    <row r="203" spans="2:23" x14ac:dyDescent="0.45">
      <c r="B203" s="50">
        <v>2985</v>
      </c>
      <c r="C203" s="150">
        <f t="shared" si="12"/>
        <v>2.1868131868131866</v>
      </c>
      <c r="D203" s="23">
        <v>2.1779999999999999</v>
      </c>
      <c r="E203" s="1">
        <v>2.1749999999999998</v>
      </c>
      <c r="F203" s="24">
        <v>2.1800000000000002</v>
      </c>
      <c r="G203" s="4">
        <v>2.181</v>
      </c>
      <c r="H203" s="1">
        <v>2.1760000000000002</v>
      </c>
      <c r="I203" s="25">
        <v>2.1880000000000002</v>
      </c>
      <c r="J203" s="23">
        <v>2.1829999999999998</v>
      </c>
      <c r="K203" s="1">
        <v>2.1850000000000001</v>
      </c>
      <c r="L203" s="25">
        <v>2.181</v>
      </c>
      <c r="N203" s="22">
        <v>2985</v>
      </c>
      <c r="O203" s="152">
        <f t="shared" si="11"/>
        <v>-4.0301507537687737E-3</v>
      </c>
      <c r="P203" s="152">
        <f t="shared" si="11"/>
        <v>-5.4020100502512377E-3</v>
      </c>
      <c r="Q203" s="153">
        <f t="shared" si="11"/>
        <v>-3.1155778894470629E-3</v>
      </c>
      <c r="R203" s="152">
        <f t="shared" si="10"/>
        <v>-2.6582914572863092E-3</v>
      </c>
      <c r="S203" s="152">
        <f t="shared" si="10"/>
        <v>-4.944723618090281E-3</v>
      </c>
      <c r="T203" s="154">
        <f t="shared" si="10"/>
        <v>5.4271356783937286E-4</v>
      </c>
      <c r="U203" s="155">
        <f t="shared" si="10"/>
        <v>-1.7437185929648018E-3</v>
      </c>
      <c r="V203" s="152">
        <f t="shared" si="10"/>
        <v>-8.2914572864309138E-4</v>
      </c>
      <c r="W203" s="152">
        <f t="shared" si="10"/>
        <v>-2.6582914572863092E-3</v>
      </c>
    </row>
    <row r="204" spans="2:23" x14ac:dyDescent="0.45">
      <c r="B204" s="50">
        <v>3000</v>
      </c>
      <c r="C204" s="150">
        <f t="shared" si="12"/>
        <v>2.197802197802198</v>
      </c>
      <c r="D204" s="23">
        <v>2.1880000000000002</v>
      </c>
      <c r="E204" s="1">
        <v>2.1859999999999999</v>
      </c>
      <c r="F204" s="24">
        <v>2.1909999999999998</v>
      </c>
      <c r="G204" s="4">
        <v>2.1920000000000002</v>
      </c>
      <c r="H204" s="1">
        <v>2.1880000000000002</v>
      </c>
      <c r="I204" s="25">
        <v>2.1989999999999998</v>
      </c>
      <c r="J204" s="23">
        <v>2.1930000000000001</v>
      </c>
      <c r="K204" s="1">
        <v>2.1960000000000002</v>
      </c>
      <c r="L204" s="25">
        <v>2.1909999999999998</v>
      </c>
      <c r="N204" s="22">
        <v>3000</v>
      </c>
      <c r="O204" s="152">
        <f t="shared" si="11"/>
        <v>-4.4600000000000082E-3</v>
      </c>
      <c r="P204" s="152">
        <f t="shared" si="11"/>
        <v>-5.3700000000001099E-3</v>
      </c>
      <c r="Q204" s="153">
        <f t="shared" si="11"/>
        <v>-3.0950000000001584E-3</v>
      </c>
      <c r="R204" s="152">
        <f t="shared" si="10"/>
        <v>-2.6400000000000065E-3</v>
      </c>
      <c r="S204" s="152">
        <f t="shared" si="10"/>
        <v>-4.4600000000000082E-3</v>
      </c>
      <c r="T204" s="154">
        <f t="shared" si="10"/>
        <v>5.4499999999984444E-4</v>
      </c>
      <c r="U204" s="155">
        <f t="shared" si="10"/>
        <v>-2.1850000000000567E-3</v>
      </c>
      <c r="V204" s="152">
        <f t="shared" si="10"/>
        <v>-8.2000000000000508E-4</v>
      </c>
      <c r="W204" s="152">
        <f t="shared" si="10"/>
        <v>-3.0950000000001584E-3</v>
      </c>
    </row>
    <row r="205" spans="2:23" x14ac:dyDescent="0.45">
      <c r="B205" s="50">
        <v>3015</v>
      </c>
      <c r="C205" s="150">
        <f t="shared" si="12"/>
        <v>2.2087912087912089</v>
      </c>
      <c r="D205" s="23">
        <v>2.1989999999999998</v>
      </c>
      <c r="E205" s="1">
        <v>2.1970000000000001</v>
      </c>
      <c r="F205" s="24">
        <v>2.2029999999999998</v>
      </c>
      <c r="G205" s="4">
        <v>2.2029999999999998</v>
      </c>
      <c r="H205" s="1">
        <v>2.1989999999999998</v>
      </c>
      <c r="I205" s="25">
        <v>2.21</v>
      </c>
      <c r="J205" s="23">
        <v>2.2040000000000002</v>
      </c>
      <c r="K205" s="1">
        <v>2.2069999999999999</v>
      </c>
      <c r="L205" s="25">
        <v>2.202</v>
      </c>
      <c r="N205" s="22">
        <v>3015</v>
      </c>
      <c r="O205" s="152">
        <f t="shared" si="11"/>
        <v>-4.4328358208956592E-3</v>
      </c>
      <c r="P205" s="152">
        <f t="shared" si="11"/>
        <v>-5.3383084577114798E-3</v>
      </c>
      <c r="Q205" s="153">
        <f t="shared" si="11"/>
        <v>-2.6218905472638167E-3</v>
      </c>
      <c r="R205" s="152">
        <f t="shared" si="10"/>
        <v>-2.6218905472638167E-3</v>
      </c>
      <c r="S205" s="152">
        <f t="shared" si="10"/>
        <v>-4.4328358208956592E-3</v>
      </c>
      <c r="T205" s="154">
        <f t="shared" si="10"/>
        <v>5.4726368159195744E-4</v>
      </c>
      <c r="U205" s="155">
        <f t="shared" si="10"/>
        <v>-2.1691542288557056E-3</v>
      </c>
      <c r="V205" s="152">
        <f t="shared" si="10"/>
        <v>-8.1094527363197459E-4</v>
      </c>
      <c r="W205" s="152">
        <f t="shared" si="10"/>
        <v>-3.074626865671727E-3</v>
      </c>
    </row>
    <row r="206" spans="2:23" x14ac:dyDescent="0.45">
      <c r="B206" s="50">
        <v>3030</v>
      </c>
      <c r="C206" s="150">
        <f t="shared" si="12"/>
        <v>2.2197802197802199</v>
      </c>
      <c r="D206" s="23">
        <v>2.2109999999999999</v>
      </c>
      <c r="E206" s="1">
        <v>2.2080000000000002</v>
      </c>
      <c r="F206" s="24">
        <v>2.214</v>
      </c>
      <c r="G206" s="4">
        <v>2.2149999999999999</v>
      </c>
      <c r="H206" s="1">
        <v>2.2090000000000001</v>
      </c>
      <c r="I206" s="25">
        <v>2.222</v>
      </c>
      <c r="J206" s="23">
        <v>2.2149999999999999</v>
      </c>
      <c r="K206" s="1">
        <v>2.2170000000000001</v>
      </c>
      <c r="L206" s="25">
        <v>2.214</v>
      </c>
      <c r="N206" s="22">
        <v>3030</v>
      </c>
      <c r="O206" s="152">
        <f t="shared" si="11"/>
        <v>-3.9554455445545691E-3</v>
      </c>
      <c r="P206" s="152">
        <f t="shared" si="11"/>
        <v>-5.3069306930692717E-3</v>
      </c>
      <c r="Q206" s="153">
        <f t="shared" si="11"/>
        <v>-2.6039603960396666E-3</v>
      </c>
      <c r="R206" s="152">
        <f t="shared" si="10"/>
        <v>-2.1534653465347655E-3</v>
      </c>
      <c r="S206" s="152">
        <f t="shared" si="10"/>
        <v>-4.8564356435643712E-3</v>
      </c>
      <c r="T206" s="154">
        <f t="shared" si="10"/>
        <v>9.9999999999994039E-4</v>
      </c>
      <c r="U206" s="155">
        <f t="shared" si="10"/>
        <v>-2.1534653465347655E-3</v>
      </c>
      <c r="V206" s="152">
        <f t="shared" si="10"/>
        <v>-1.252475247524764E-3</v>
      </c>
      <c r="W206" s="152">
        <f t="shared" si="10"/>
        <v>-2.6039603960396666E-3</v>
      </c>
    </row>
    <row r="207" spans="2:23" x14ac:dyDescent="0.45">
      <c r="B207" s="50">
        <v>3045</v>
      </c>
      <c r="C207" s="150">
        <f t="shared" si="12"/>
        <v>2.2307692307692308</v>
      </c>
      <c r="D207" s="23">
        <v>2.222</v>
      </c>
      <c r="E207" s="1">
        <v>2.2189999999999999</v>
      </c>
      <c r="F207" s="24">
        <v>2.2250000000000001</v>
      </c>
      <c r="G207" s="4">
        <v>2.226</v>
      </c>
      <c r="H207" s="1">
        <v>2.2200000000000002</v>
      </c>
      <c r="I207" s="25">
        <v>2.2330000000000001</v>
      </c>
      <c r="J207" s="23">
        <v>2.226</v>
      </c>
      <c r="K207" s="1">
        <v>2.2290000000000001</v>
      </c>
      <c r="L207" s="25">
        <v>2.2240000000000002</v>
      </c>
      <c r="N207" s="22">
        <v>3045</v>
      </c>
      <c r="O207" s="152">
        <f t="shared" si="11"/>
        <v>-3.931034482758662E-3</v>
      </c>
      <c r="P207" s="152">
        <f t="shared" si="11"/>
        <v>-5.2758620689656102E-3</v>
      </c>
      <c r="Q207" s="153">
        <f t="shared" si="11"/>
        <v>-2.586206896551715E-3</v>
      </c>
      <c r="R207" s="152">
        <f t="shared" si="10"/>
        <v>-2.1379310344827986E-3</v>
      </c>
      <c r="S207" s="152">
        <f t="shared" si="10"/>
        <v>-4.8275862068964948E-3</v>
      </c>
      <c r="T207" s="154">
        <f t="shared" si="10"/>
        <v>1.0000000000000124E-3</v>
      </c>
      <c r="U207" s="155">
        <f t="shared" si="10"/>
        <v>-2.1379310344827986E-3</v>
      </c>
      <c r="V207" s="152">
        <f t="shared" si="10"/>
        <v>-7.9310344827585131E-4</v>
      </c>
      <c r="W207" s="152">
        <f t="shared" si="10"/>
        <v>-3.034482758620631E-3</v>
      </c>
    </row>
    <row r="208" spans="2:23" x14ac:dyDescent="0.45">
      <c r="B208" s="50">
        <v>3060</v>
      </c>
      <c r="C208" s="150">
        <f t="shared" si="12"/>
        <v>2.2417582417582418</v>
      </c>
      <c r="D208" s="23">
        <v>2.2330000000000001</v>
      </c>
      <c r="E208" s="1">
        <v>2.23</v>
      </c>
      <c r="F208" s="24">
        <v>2.2360000000000002</v>
      </c>
      <c r="G208" s="4">
        <v>2.2370000000000001</v>
      </c>
      <c r="H208" s="1">
        <v>2.2309999999999999</v>
      </c>
      <c r="I208" s="25">
        <v>2.2440000000000002</v>
      </c>
      <c r="J208" s="23">
        <v>2.2370000000000001</v>
      </c>
      <c r="K208" s="1">
        <v>2.2400000000000002</v>
      </c>
      <c r="L208" s="25">
        <v>2.2349999999999999</v>
      </c>
      <c r="N208" s="22">
        <v>3060</v>
      </c>
      <c r="O208" s="152">
        <f t="shared" si="11"/>
        <v>-3.9068627450980099E-3</v>
      </c>
      <c r="P208" s="152">
        <f t="shared" si="11"/>
        <v>-5.2450980392157072E-3</v>
      </c>
      <c r="Q208" s="153">
        <f t="shared" si="11"/>
        <v>-2.5686274509803117E-3</v>
      </c>
      <c r="R208" s="152">
        <f t="shared" si="10"/>
        <v>-2.122549019607812E-3</v>
      </c>
      <c r="S208" s="152">
        <f t="shared" si="10"/>
        <v>-4.799019607843207E-3</v>
      </c>
      <c r="T208" s="154">
        <f t="shared" si="10"/>
        <v>1.0000000000000835E-3</v>
      </c>
      <c r="U208" s="155">
        <f t="shared" si="10"/>
        <v>-2.122549019607812E-3</v>
      </c>
      <c r="V208" s="152">
        <f t="shared" si="10"/>
        <v>-7.8431372549011408E-4</v>
      </c>
      <c r="W208" s="152">
        <f t="shared" si="10"/>
        <v>-3.0147058823530096E-3</v>
      </c>
    </row>
    <row r="209" spans="2:23" x14ac:dyDescent="0.45">
      <c r="B209" s="50">
        <v>3075</v>
      </c>
      <c r="C209" s="150">
        <f t="shared" si="12"/>
        <v>2.2527472527472527</v>
      </c>
      <c r="D209" s="23">
        <v>2.2440000000000002</v>
      </c>
      <c r="E209" s="1">
        <v>2.2410000000000001</v>
      </c>
      <c r="F209" s="24">
        <v>2.2480000000000002</v>
      </c>
      <c r="G209" s="4">
        <v>2.2469999999999999</v>
      </c>
      <c r="H209" s="1">
        <v>2.2410000000000001</v>
      </c>
      <c r="I209" s="25">
        <v>2.2559999999999998</v>
      </c>
      <c r="J209" s="23">
        <v>2.2480000000000002</v>
      </c>
      <c r="K209" s="1">
        <v>2.25</v>
      </c>
      <c r="L209" s="25">
        <v>2.246</v>
      </c>
      <c r="N209" s="22">
        <v>3075</v>
      </c>
      <c r="O209" s="152">
        <f t="shared" si="11"/>
        <v>-3.882926829268192E-3</v>
      </c>
      <c r="P209" s="152">
        <f t="shared" si="11"/>
        <v>-5.2146341463414131E-3</v>
      </c>
      <c r="Q209" s="153">
        <f t="shared" si="11"/>
        <v>-2.1073170731706298E-3</v>
      </c>
      <c r="R209" s="152">
        <f t="shared" si="10"/>
        <v>-2.5512195121951682E-3</v>
      </c>
      <c r="S209" s="152">
        <f t="shared" si="10"/>
        <v>-5.2146341463414131E-3</v>
      </c>
      <c r="T209" s="154">
        <f t="shared" si="10"/>
        <v>1.4439024390242984E-3</v>
      </c>
      <c r="U209" s="155">
        <f t="shared" si="10"/>
        <v>-2.1073170731706298E-3</v>
      </c>
      <c r="V209" s="152">
        <f t="shared" si="10"/>
        <v>-1.2195121951219469E-3</v>
      </c>
      <c r="W209" s="152">
        <f t="shared" si="10"/>
        <v>-2.9951219512195093E-3</v>
      </c>
    </row>
    <row r="210" spans="2:23" x14ac:dyDescent="0.45">
      <c r="B210" s="50">
        <v>3090</v>
      </c>
      <c r="C210" s="150">
        <f t="shared" si="12"/>
        <v>2.2637362637362637</v>
      </c>
      <c r="D210" s="23">
        <v>2.2549999999999999</v>
      </c>
      <c r="E210" s="1">
        <v>2.2519999999999998</v>
      </c>
      <c r="F210" s="24">
        <v>2.258</v>
      </c>
      <c r="G210" s="4">
        <v>2.2589999999999999</v>
      </c>
      <c r="H210" s="1">
        <v>2.2530000000000001</v>
      </c>
      <c r="I210" s="25">
        <v>2.2669999999999999</v>
      </c>
      <c r="J210" s="23">
        <v>2.2589999999999999</v>
      </c>
      <c r="K210" s="1">
        <v>2.262</v>
      </c>
      <c r="L210" s="25">
        <v>2.2570000000000001</v>
      </c>
      <c r="N210" s="22">
        <v>3090</v>
      </c>
      <c r="O210" s="152">
        <f t="shared" si="11"/>
        <v>-3.8592233009708994E-3</v>
      </c>
      <c r="P210" s="152">
        <f t="shared" si="11"/>
        <v>-5.1844660194175513E-3</v>
      </c>
      <c r="Q210" s="153">
        <f t="shared" si="11"/>
        <v>-2.5339805825242471E-3</v>
      </c>
      <c r="R210" s="152">
        <f t="shared" si="10"/>
        <v>-2.0922330097087618E-3</v>
      </c>
      <c r="S210" s="152">
        <f t="shared" si="10"/>
        <v>-4.74271844660187E-3</v>
      </c>
      <c r="T210" s="154">
        <f t="shared" si="10"/>
        <v>1.4417475728155133E-3</v>
      </c>
      <c r="U210" s="155">
        <f t="shared" si="10"/>
        <v>-2.0922330097087618E-3</v>
      </c>
      <c r="V210" s="152">
        <f t="shared" si="10"/>
        <v>-7.6699029126210965E-4</v>
      </c>
      <c r="W210" s="152">
        <f t="shared" si="10"/>
        <v>-2.9757281553397324E-3</v>
      </c>
    </row>
    <row r="211" spans="2:23" x14ac:dyDescent="0.45">
      <c r="B211" s="50">
        <v>3105</v>
      </c>
      <c r="C211" s="150">
        <f t="shared" si="12"/>
        <v>2.2747252747252746</v>
      </c>
      <c r="D211" s="23">
        <v>2.266</v>
      </c>
      <c r="E211" s="1">
        <v>2.262</v>
      </c>
      <c r="F211" s="24">
        <v>2.2690000000000001</v>
      </c>
      <c r="G211" s="4">
        <v>2.27</v>
      </c>
      <c r="H211" s="1">
        <v>2.2629999999999999</v>
      </c>
      <c r="I211" s="25">
        <v>2.278</v>
      </c>
      <c r="J211" s="23">
        <v>2.27</v>
      </c>
      <c r="K211" s="1">
        <v>2.2730000000000001</v>
      </c>
      <c r="L211" s="25">
        <v>2.2669999999999999</v>
      </c>
      <c r="N211" s="22">
        <v>3105</v>
      </c>
      <c r="O211" s="152">
        <f t="shared" si="11"/>
        <v>-3.8357487922704866E-3</v>
      </c>
      <c r="P211" s="152">
        <f t="shared" si="11"/>
        <v>-5.5942028985506813E-3</v>
      </c>
      <c r="Q211" s="153">
        <f t="shared" si="11"/>
        <v>-2.5169082125602918E-3</v>
      </c>
      <c r="R211" s="152">
        <f t="shared" si="10"/>
        <v>-2.0772946859902918E-3</v>
      </c>
      <c r="S211" s="152">
        <f t="shared" si="10"/>
        <v>-5.1545893719806817E-3</v>
      </c>
      <c r="T211" s="154">
        <f t="shared" si="10"/>
        <v>1.4396135265700978E-3</v>
      </c>
      <c r="U211" s="155">
        <f t="shared" si="10"/>
        <v>-2.0772946859902918E-3</v>
      </c>
      <c r="V211" s="152">
        <f t="shared" si="10"/>
        <v>-7.5845410628009691E-4</v>
      </c>
      <c r="W211" s="152">
        <f t="shared" si="10"/>
        <v>-3.3961352657004866E-3</v>
      </c>
    </row>
    <row r="212" spans="2:23" x14ac:dyDescent="0.45">
      <c r="B212" s="50">
        <v>3120</v>
      </c>
      <c r="C212" s="150">
        <f t="shared" si="12"/>
        <v>2.2857142857142856</v>
      </c>
      <c r="D212" s="23">
        <v>2.2770000000000001</v>
      </c>
      <c r="E212" s="1">
        <v>2.2730000000000001</v>
      </c>
      <c r="F212" s="24">
        <v>2.2799999999999998</v>
      </c>
      <c r="G212" s="4">
        <v>2.2799999999999998</v>
      </c>
      <c r="H212" s="1">
        <v>2.274</v>
      </c>
      <c r="I212" s="25">
        <v>2.2890000000000001</v>
      </c>
      <c r="J212" s="23">
        <v>2.2810000000000001</v>
      </c>
      <c r="K212" s="1">
        <v>2.2839999999999998</v>
      </c>
      <c r="L212" s="25">
        <v>2.278</v>
      </c>
      <c r="N212" s="22">
        <v>3120</v>
      </c>
      <c r="O212" s="152">
        <f t="shared" si="11"/>
        <v>-3.8124999999998854E-3</v>
      </c>
      <c r="P212" s="152">
        <f t="shared" si="11"/>
        <v>-5.562499999999887E-3</v>
      </c>
      <c r="Q212" s="153">
        <f t="shared" si="11"/>
        <v>-2.50000000000003E-3</v>
      </c>
      <c r="R212" s="152">
        <f t="shared" si="10"/>
        <v>-2.50000000000003E-3</v>
      </c>
      <c r="S212" s="152">
        <f t="shared" si="10"/>
        <v>-5.1249999999999352E-3</v>
      </c>
      <c r="T212" s="154">
        <f t="shared" si="10"/>
        <v>1.4375000000001192E-3</v>
      </c>
      <c r="U212" s="155">
        <f t="shared" si="10"/>
        <v>-2.0624999999998839E-3</v>
      </c>
      <c r="V212" s="152">
        <f t="shared" si="10"/>
        <v>-7.5000000000002842E-4</v>
      </c>
      <c r="W212" s="152">
        <f t="shared" si="10"/>
        <v>-3.3749999999999336E-3</v>
      </c>
    </row>
    <row r="213" spans="2:23" x14ac:dyDescent="0.45">
      <c r="B213" s="50">
        <v>3135</v>
      </c>
      <c r="C213" s="150">
        <f t="shared" si="12"/>
        <v>2.2967032967032965</v>
      </c>
      <c r="D213" s="23">
        <v>2.2869999999999999</v>
      </c>
      <c r="E213" s="1">
        <v>2.2839999999999998</v>
      </c>
      <c r="F213" s="24">
        <v>2.2909999999999999</v>
      </c>
      <c r="G213" s="4">
        <v>2.2909999999999999</v>
      </c>
      <c r="H213" s="1">
        <v>2.2850000000000001</v>
      </c>
      <c r="I213" s="25">
        <v>2.2999999999999998</v>
      </c>
      <c r="J213" s="23">
        <v>2.2930000000000001</v>
      </c>
      <c r="K213" s="1">
        <v>2.2949999999999999</v>
      </c>
      <c r="L213" s="25">
        <v>2.2890000000000001</v>
      </c>
      <c r="N213" s="22">
        <v>3135</v>
      </c>
      <c r="O213" s="152">
        <f t="shared" si="11"/>
        <v>-4.2248803827750819E-3</v>
      </c>
      <c r="P213" s="152">
        <f t="shared" si="11"/>
        <v>-5.5311004784689109E-3</v>
      </c>
      <c r="Q213" s="153">
        <f t="shared" si="11"/>
        <v>-2.4832535885167067E-3</v>
      </c>
      <c r="R213" s="152">
        <f t="shared" si="10"/>
        <v>-2.4832535885167067E-3</v>
      </c>
      <c r="S213" s="152">
        <f t="shared" si="10"/>
        <v>-5.0956937799041726E-3</v>
      </c>
      <c r="T213" s="154">
        <f t="shared" si="10"/>
        <v>1.4354066985645883E-3</v>
      </c>
      <c r="U213" s="155">
        <f t="shared" si="10"/>
        <v>-1.6124401913874228E-3</v>
      </c>
      <c r="V213" s="152">
        <f t="shared" si="10"/>
        <v>-7.4162679425833196E-4</v>
      </c>
      <c r="W213" s="152">
        <f t="shared" si="10"/>
        <v>-3.3540669856457978E-3</v>
      </c>
    </row>
    <row r="214" spans="2:23" x14ac:dyDescent="0.45">
      <c r="B214" s="50">
        <v>3150</v>
      </c>
      <c r="C214" s="150">
        <f t="shared" si="12"/>
        <v>2.3076923076923075</v>
      </c>
      <c r="D214" s="23">
        <v>2.2989999999999999</v>
      </c>
      <c r="E214" s="1">
        <v>2.2949999999999999</v>
      </c>
      <c r="F214" s="24">
        <v>2.302</v>
      </c>
      <c r="G214" s="4">
        <v>2.302</v>
      </c>
      <c r="H214" s="1">
        <v>2.2959999999999998</v>
      </c>
      <c r="I214" s="25">
        <v>2.3119999999999998</v>
      </c>
      <c r="J214" s="23">
        <v>2.3029999999999999</v>
      </c>
      <c r="K214" s="1">
        <v>2.306</v>
      </c>
      <c r="L214" s="25">
        <v>2.2999999999999998</v>
      </c>
      <c r="N214" s="22">
        <v>3150</v>
      </c>
      <c r="O214" s="152">
        <f t="shared" si="11"/>
        <v>-3.7666666666666074E-3</v>
      </c>
      <c r="P214" s="152">
        <f t="shared" si="11"/>
        <v>-5.4999999999999424E-3</v>
      </c>
      <c r="Q214" s="153">
        <f t="shared" si="11"/>
        <v>-2.4666666666665581E-3</v>
      </c>
      <c r="R214" s="152">
        <f t="shared" si="10"/>
        <v>-2.4666666666665581E-3</v>
      </c>
      <c r="S214" s="152">
        <f t="shared" si="10"/>
        <v>-5.0666666666666568E-3</v>
      </c>
      <c r="T214" s="154">
        <f t="shared" si="10"/>
        <v>1.8666666666666833E-3</v>
      </c>
      <c r="U214" s="155">
        <f t="shared" si="10"/>
        <v>-2.0333333333332725E-3</v>
      </c>
      <c r="V214" s="152">
        <f t="shared" si="10"/>
        <v>-7.3333333333322308E-4</v>
      </c>
      <c r="W214" s="152">
        <f t="shared" si="10"/>
        <v>-3.3333333333333218E-3</v>
      </c>
    </row>
    <row r="215" spans="2:23" x14ac:dyDescent="0.45">
      <c r="B215" s="50">
        <v>3165</v>
      </c>
      <c r="C215" s="150">
        <f t="shared" si="12"/>
        <v>2.3186813186813189</v>
      </c>
      <c r="D215" s="23">
        <v>2.31</v>
      </c>
      <c r="E215" s="1">
        <v>2.306</v>
      </c>
      <c r="F215" s="24">
        <v>2.3140000000000001</v>
      </c>
      <c r="G215" s="4">
        <v>2.3130000000000002</v>
      </c>
      <c r="H215" s="1">
        <v>2.3069999999999999</v>
      </c>
      <c r="I215" s="25">
        <v>2.3220000000000001</v>
      </c>
      <c r="J215" s="23">
        <v>2.3140000000000001</v>
      </c>
      <c r="K215" s="1">
        <v>2.3170000000000002</v>
      </c>
      <c r="L215" s="25">
        <v>2.3109999999999999</v>
      </c>
      <c r="N215" s="22">
        <v>3165</v>
      </c>
      <c r="O215" s="152">
        <f t="shared" si="11"/>
        <v>-3.744075829383949E-3</v>
      </c>
      <c r="P215" s="152">
        <f t="shared" si="11"/>
        <v>-5.4691943127962725E-3</v>
      </c>
      <c r="Q215" s="153">
        <f t="shared" si="11"/>
        <v>-2.0189573459716255E-3</v>
      </c>
      <c r="R215" s="152">
        <f t="shared" si="10"/>
        <v>-2.4502369668246587E-3</v>
      </c>
      <c r="S215" s="152">
        <f t="shared" si="10"/>
        <v>-5.0379146919432398E-3</v>
      </c>
      <c r="T215" s="154">
        <f t="shared" si="10"/>
        <v>1.4312796208530217E-3</v>
      </c>
      <c r="U215" s="155">
        <f t="shared" si="10"/>
        <v>-2.0189573459716255E-3</v>
      </c>
      <c r="V215" s="152">
        <f t="shared" si="10"/>
        <v>-7.2511848341233497E-4</v>
      </c>
      <c r="W215" s="152">
        <f t="shared" si="10"/>
        <v>-3.3127962085309163E-3</v>
      </c>
    </row>
    <row r="216" spans="2:23" x14ac:dyDescent="0.45">
      <c r="B216" s="50">
        <v>3180</v>
      </c>
      <c r="C216" s="150">
        <f t="shared" si="12"/>
        <v>2.3296703296703298</v>
      </c>
      <c r="D216" s="23">
        <v>2.3220000000000001</v>
      </c>
      <c r="E216" s="1">
        <v>2.3170000000000002</v>
      </c>
      <c r="F216" s="24">
        <v>2.3250000000000002</v>
      </c>
      <c r="G216" s="4">
        <v>2.3250000000000002</v>
      </c>
      <c r="H216" s="1">
        <v>2.3170000000000002</v>
      </c>
      <c r="I216" s="25">
        <v>2.3330000000000002</v>
      </c>
      <c r="J216" s="23">
        <v>2.3250000000000002</v>
      </c>
      <c r="K216" s="1">
        <v>2.3279999999999998</v>
      </c>
      <c r="L216" s="25">
        <v>2.3210000000000002</v>
      </c>
      <c r="N216" s="22">
        <v>3180</v>
      </c>
      <c r="O216" s="152">
        <f t="shared" si="11"/>
        <v>-3.2924528301887207E-3</v>
      </c>
      <c r="P216" s="152">
        <f t="shared" si="11"/>
        <v>-5.4386792452830145E-3</v>
      </c>
      <c r="Q216" s="153">
        <f t="shared" si="11"/>
        <v>-2.0047169811320681E-3</v>
      </c>
      <c r="R216" s="152">
        <f t="shared" si="10"/>
        <v>-2.0047169811320681E-3</v>
      </c>
      <c r="S216" s="152">
        <f t="shared" si="10"/>
        <v>-5.4386792452830145E-3</v>
      </c>
      <c r="T216" s="154">
        <f t="shared" si="10"/>
        <v>1.4292452830188781E-3</v>
      </c>
      <c r="U216" s="155">
        <f t="shared" si="10"/>
        <v>-2.0047169811320681E-3</v>
      </c>
      <c r="V216" s="152">
        <f t="shared" si="10"/>
        <v>-7.1698113207560631E-4</v>
      </c>
      <c r="W216" s="152">
        <f t="shared" si="10"/>
        <v>-3.7216981132075413E-3</v>
      </c>
    </row>
    <row r="217" spans="2:23" x14ac:dyDescent="0.45">
      <c r="B217" s="50">
        <v>3195</v>
      </c>
      <c r="C217" s="150">
        <f t="shared" si="12"/>
        <v>2.3406593406593408</v>
      </c>
      <c r="D217" s="23">
        <v>2.3319999999999999</v>
      </c>
      <c r="E217" s="1">
        <v>2.3279999999999998</v>
      </c>
      <c r="F217" s="24">
        <v>2.3359999999999999</v>
      </c>
      <c r="G217" s="4">
        <v>2.335</v>
      </c>
      <c r="H217" s="1">
        <v>2.3279999999999998</v>
      </c>
      <c r="I217" s="25">
        <v>2.3439999999999999</v>
      </c>
      <c r="J217" s="23">
        <v>2.3359999999999999</v>
      </c>
      <c r="K217" s="1">
        <v>2.339</v>
      </c>
      <c r="L217" s="25">
        <v>2.3319999999999999</v>
      </c>
      <c r="N217" s="22">
        <v>3195</v>
      </c>
      <c r="O217" s="152">
        <f t="shared" si="11"/>
        <v>-3.6995305164320407E-3</v>
      </c>
      <c r="P217" s="152">
        <f t="shared" si="11"/>
        <v>-5.4084507042254691E-3</v>
      </c>
      <c r="Q217" s="153">
        <f t="shared" si="11"/>
        <v>-1.9906103286386118E-3</v>
      </c>
      <c r="R217" s="152">
        <f t="shared" si="10"/>
        <v>-2.4178403755869215E-3</v>
      </c>
      <c r="S217" s="152">
        <f t="shared" si="10"/>
        <v>-5.4084507042254691E-3</v>
      </c>
      <c r="T217" s="154">
        <f t="shared" si="10"/>
        <v>1.4272300469482455E-3</v>
      </c>
      <c r="U217" s="155">
        <f t="shared" si="10"/>
        <v>-1.9906103286386118E-3</v>
      </c>
      <c r="V217" s="152">
        <f t="shared" si="10"/>
        <v>-7.0892018779349292E-4</v>
      </c>
      <c r="W217" s="152">
        <f t="shared" si="10"/>
        <v>-3.6995305164320407E-3</v>
      </c>
    </row>
    <row r="218" spans="2:23" x14ac:dyDescent="0.45">
      <c r="B218" s="50">
        <v>3210</v>
      </c>
      <c r="C218" s="150">
        <f t="shared" si="12"/>
        <v>2.3516483516483517</v>
      </c>
      <c r="D218" s="23">
        <v>2.343</v>
      </c>
      <c r="E218" s="1">
        <v>2.339</v>
      </c>
      <c r="F218" s="24">
        <v>2.347</v>
      </c>
      <c r="G218" s="4">
        <v>2.3460000000000001</v>
      </c>
      <c r="H218" s="1">
        <v>2.3380000000000001</v>
      </c>
      <c r="I218" s="25">
        <v>2.355</v>
      </c>
      <c r="J218" s="23">
        <v>2.347</v>
      </c>
      <c r="K218" s="1">
        <v>2.351</v>
      </c>
      <c r="L218" s="25">
        <v>2.343</v>
      </c>
      <c r="N218" s="22">
        <v>3210</v>
      </c>
      <c r="O218" s="152">
        <f t="shared" si="11"/>
        <v>-3.6775700934579911E-3</v>
      </c>
      <c r="P218" s="152">
        <f t="shared" si="11"/>
        <v>-5.378504672897245E-3</v>
      </c>
      <c r="Q218" s="153">
        <f t="shared" si="11"/>
        <v>-1.9766355140187373E-3</v>
      </c>
      <c r="R218" s="152">
        <f t="shared" si="10"/>
        <v>-2.4018691588785037E-3</v>
      </c>
      <c r="S218" s="152">
        <f t="shared" si="10"/>
        <v>-5.8037383177570109E-3</v>
      </c>
      <c r="T218" s="154">
        <f t="shared" si="10"/>
        <v>1.4252336448597701E-3</v>
      </c>
      <c r="U218" s="155">
        <f t="shared" si="10"/>
        <v>-1.9766355140187373E-3</v>
      </c>
      <c r="V218" s="152">
        <f t="shared" si="10"/>
        <v>-2.7570093457948361E-4</v>
      </c>
      <c r="W218" s="152">
        <f t="shared" si="10"/>
        <v>-3.6775700934579911E-3</v>
      </c>
    </row>
    <row r="219" spans="2:23" x14ac:dyDescent="0.45">
      <c r="B219" s="50">
        <v>3225</v>
      </c>
      <c r="C219" s="150">
        <f t="shared" si="12"/>
        <v>2.3626373626373627</v>
      </c>
      <c r="D219" s="23">
        <v>2.355</v>
      </c>
      <c r="E219" s="1">
        <v>2.35</v>
      </c>
      <c r="F219" s="24">
        <v>2.3580000000000001</v>
      </c>
      <c r="G219" s="4">
        <v>2.3580000000000001</v>
      </c>
      <c r="H219" s="1">
        <v>2.3490000000000002</v>
      </c>
      <c r="I219" s="25">
        <v>2.367</v>
      </c>
      <c r="J219" s="23">
        <v>2.3580000000000001</v>
      </c>
      <c r="K219" s="1">
        <v>2.3620000000000001</v>
      </c>
      <c r="L219" s="25">
        <v>2.3540000000000001</v>
      </c>
      <c r="N219" s="22">
        <v>3225</v>
      </c>
      <c r="O219" s="152">
        <f t="shared" si="11"/>
        <v>-3.2325581395349096E-3</v>
      </c>
      <c r="P219" s="152">
        <f t="shared" si="11"/>
        <v>-5.3488372093023068E-3</v>
      </c>
      <c r="Q219" s="153">
        <f t="shared" si="11"/>
        <v>-1.9627906976743964E-3</v>
      </c>
      <c r="R219" s="152">
        <f t="shared" si="10"/>
        <v>-1.9627906976743964E-3</v>
      </c>
      <c r="S219" s="152">
        <f t="shared" si="10"/>
        <v>-5.7720930232557479E-3</v>
      </c>
      <c r="T219" s="154">
        <f t="shared" si="10"/>
        <v>1.8465116279069551E-3</v>
      </c>
      <c r="U219" s="155">
        <f t="shared" si="10"/>
        <v>-1.9627906976743964E-3</v>
      </c>
      <c r="V219" s="152">
        <f t="shared" si="10"/>
        <v>-2.6976744186044159E-4</v>
      </c>
      <c r="W219" s="152">
        <f t="shared" si="10"/>
        <v>-3.6558139534883516E-3</v>
      </c>
    </row>
    <row r="220" spans="2:23" x14ac:dyDescent="0.45">
      <c r="B220" s="50">
        <v>3240</v>
      </c>
      <c r="C220" s="150">
        <f t="shared" si="12"/>
        <v>2.3736263736263736</v>
      </c>
      <c r="D220" s="23">
        <v>2.3660000000000001</v>
      </c>
      <c r="E220" s="1">
        <v>2.36</v>
      </c>
      <c r="F220" s="24">
        <v>2.3690000000000002</v>
      </c>
      <c r="G220" s="4">
        <v>2.3679999999999999</v>
      </c>
      <c r="H220" s="1">
        <v>2.36</v>
      </c>
      <c r="I220" s="25">
        <v>2.3780000000000001</v>
      </c>
      <c r="J220" s="23">
        <v>2.3690000000000002</v>
      </c>
      <c r="K220" s="1">
        <v>2.3719999999999999</v>
      </c>
      <c r="L220" s="25">
        <v>2.3639999999999999</v>
      </c>
      <c r="N220" s="22">
        <v>3240</v>
      </c>
      <c r="O220" s="152">
        <f t="shared" si="11"/>
        <v>-3.2129629629629214E-3</v>
      </c>
      <c r="P220" s="152">
        <f t="shared" si="11"/>
        <v>-5.7407407407407953E-3</v>
      </c>
      <c r="Q220" s="153">
        <f t="shared" si="11"/>
        <v>-1.9490740740739849E-3</v>
      </c>
      <c r="R220" s="152">
        <f t="shared" si="10"/>
        <v>-2.3703703703704219E-3</v>
      </c>
      <c r="S220" s="152">
        <f t="shared" si="10"/>
        <v>-5.7407407407407953E-3</v>
      </c>
      <c r="T220" s="154">
        <f t="shared" si="10"/>
        <v>1.8425925925926385E-3</v>
      </c>
      <c r="U220" s="155">
        <f t="shared" si="10"/>
        <v>-1.9490740740739849E-3</v>
      </c>
      <c r="V220" s="152">
        <f t="shared" si="10"/>
        <v>-6.8518518518523514E-4</v>
      </c>
      <c r="W220" s="152">
        <f t="shared" si="10"/>
        <v>-4.0555555555556082E-3</v>
      </c>
    </row>
    <row r="221" spans="2:23" x14ac:dyDescent="0.45">
      <c r="B221" s="50">
        <v>3255</v>
      </c>
      <c r="C221" s="150">
        <f t="shared" si="12"/>
        <v>2.3846153846153846</v>
      </c>
      <c r="D221" s="23">
        <v>2.3759999999999999</v>
      </c>
      <c r="E221" s="1">
        <v>2.371</v>
      </c>
      <c r="F221" s="24">
        <v>2.38</v>
      </c>
      <c r="G221" s="4">
        <v>2.38</v>
      </c>
      <c r="H221" s="1">
        <v>2.37</v>
      </c>
      <c r="I221" s="25">
        <v>2.3889999999999998</v>
      </c>
      <c r="J221" s="23">
        <v>2.38</v>
      </c>
      <c r="K221" s="1">
        <v>2.383</v>
      </c>
      <c r="L221" s="25">
        <v>2.375</v>
      </c>
      <c r="N221" s="22">
        <v>3255</v>
      </c>
      <c r="O221" s="152">
        <f t="shared" si="11"/>
        <v>-3.6129032258064835E-3</v>
      </c>
      <c r="P221" s="152">
        <f t="shared" si="11"/>
        <v>-5.7096774193548258E-3</v>
      </c>
      <c r="Q221" s="153">
        <f t="shared" si="11"/>
        <v>-1.9354838709677723E-3</v>
      </c>
      <c r="R221" s="152">
        <f t="shared" si="10"/>
        <v>-1.9354838709677723E-3</v>
      </c>
      <c r="S221" s="152">
        <f t="shared" si="10"/>
        <v>-6.1290322580644574E-3</v>
      </c>
      <c r="T221" s="154">
        <f t="shared" si="10"/>
        <v>1.8387096774192813E-3</v>
      </c>
      <c r="U221" s="155">
        <f t="shared" si="10"/>
        <v>-1.9354838709677723E-3</v>
      </c>
      <c r="V221" s="152">
        <f t="shared" si="10"/>
        <v>-6.7741935483869235E-4</v>
      </c>
      <c r="W221" s="152">
        <f t="shared" si="10"/>
        <v>-4.032258064516115E-3</v>
      </c>
    </row>
    <row r="222" spans="2:23" x14ac:dyDescent="0.45">
      <c r="B222" s="50">
        <v>3270</v>
      </c>
      <c r="C222" s="150">
        <f t="shared" si="12"/>
        <v>2.3956043956043955</v>
      </c>
      <c r="D222" s="23">
        <v>2.387</v>
      </c>
      <c r="E222" s="1">
        <v>2.3820000000000001</v>
      </c>
      <c r="F222" s="24">
        <v>2.391</v>
      </c>
      <c r="G222" s="4">
        <v>2.39</v>
      </c>
      <c r="H222" s="1">
        <v>2.3809999999999998</v>
      </c>
      <c r="I222" s="25">
        <v>2.4009999999999998</v>
      </c>
      <c r="J222" s="23">
        <v>2.391</v>
      </c>
      <c r="K222" s="1">
        <v>2.3940000000000001</v>
      </c>
      <c r="L222" s="25">
        <v>2.3860000000000001</v>
      </c>
      <c r="N222" s="22">
        <v>3270</v>
      </c>
      <c r="O222" s="152">
        <f t="shared" si="11"/>
        <v>-3.5917431192660203E-3</v>
      </c>
      <c r="P222" s="152">
        <f t="shared" si="11"/>
        <v>-5.6788990825687282E-3</v>
      </c>
      <c r="Q222" s="153">
        <f t="shared" si="11"/>
        <v>-1.9220183486238168E-3</v>
      </c>
      <c r="R222" s="152">
        <f t="shared" si="10"/>
        <v>-2.3394495412843211E-3</v>
      </c>
      <c r="S222" s="152">
        <f t="shared" si="10"/>
        <v>-6.0963302752294179E-3</v>
      </c>
      <c r="T222" s="154">
        <f t="shared" si="10"/>
        <v>2.252293577981599E-3</v>
      </c>
      <c r="U222" s="155">
        <f t="shared" si="10"/>
        <v>-1.9220183486238168E-3</v>
      </c>
      <c r="V222" s="152">
        <f t="shared" si="10"/>
        <v>-6.6972477064211795E-4</v>
      </c>
      <c r="W222" s="152">
        <f t="shared" si="10"/>
        <v>-4.0091743119265244E-3</v>
      </c>
    </row>
    <row r="223" spans="2:23" x14ac:dyDescent="0.45">
      <c r="B223" s="50">
        <v>3285</v>
      </c>
      <c r="C223" s="150">
        <f t="shared" si="12"/>
        <v>2.4065934065934065</v>
      </c>
      <c r="D223" s="23">
        <v>2.399</v>
      </c>
      <c r="E223" s="1">
        <v>2.3929999999999998</v>
      </c>
      <c r="F223" s="24">
        <v>2.403</v>
      </c>
      <c r="G223" s="4">
        <v>2.4020000000000001</v>
      </c>
      <c r="H223" s="1">
        <v>2.3919999999999999</v>
      </c>
      <c r="I223" s="25">
        <v>2.4119999999999999</v>
      </c>
      <c r="J223" s="23">
        <v>2.4020000000000001</v>
      </c>
      <c r="K223" s="1">
        <v>2.4060000000000001</v>
      </c>
      <c r="L223" s="25">
        <v>2.3969999999999998</v>
      </c>
      <c r="N223" s="22">
        <v>3285</v>
      </c>
      <c r="O223" s="152">
        <f t="shared" si="11"/>
        <v>-3.1552511415524559E-3</v>
      </c>
      <c r="P223" s="152">
        <f t="shared" si="11"/>
        <v>-5.6484018264840574E-3</v>
      </c>
      <c r="Q223" s="153">
        <f t="shared" si="11"/>
        <v>-1.49315068493145E-3</v>
      </c>
      <c r="R223" s="152">
        <f t="shared" si="10"/>
        <v>-1.9086757990866554E-3</v>
      </c>
      <c r="S223" s="152">
        <f t="shared" si="10"/>
        <v>-6.0639269406392625E-3</v>
      </c>
      <c r="T223" s="154">
        <f t="shared" si="10"/>
        <v>2.2465753424657678E-3</v>
      </c>
      <c r="U223" s="155">
        <f t="shared" ref="U223:W277" si="13">(J223-$C223)/$C223</f>
        <v>-1.9086757990866554E-3</v>
      </c>
      <c r="V223" s="152">
        <f t="shared" si="13"/>
        <v>-2.4657534246564923E-4</v>
      </c>
      <c r="W223" s="152">
        <f t="shared" si="13"/>
        <v>-3.986301369863051E-3</v>
      </c>
    </row>
    <row r="224" spans="2:23" x14ac:dyDescent="0.45">
      <c r="B224" s="50">
        <v>3300</v>
      </c>
      <c r="C224" s="150">
        <f t="shared" si="12"/>
        <v>2.4175824175824174</v>
      </c>
      <c r="D224" s="23">
        <v>2.4089999999999998</v>
      </c>
      <c r="E224" s="1">
        <v>2.4039999999999999</v>
      </c>
      <c r="F224" s="24">
        <v>2.4129999999999998</v>
      </c>
      <c r="G224" s="4">
        <v>2.411</v>
      </c>
      <c r="H224" s="1">
        <v>2.4020000000000001</v>
      </c>
      <c r="I224" s="25">
        <v>2.423</v>
      </c>
      <c r="J224" s="23">
        <v>2.4129999999999998</v>
      </c>
      <c r="K224" s="1">
        <v>2.4169999999999998</v>
      </c>
      <c r="L224" s="25">
        <v>2.4079999999999999</v>
      </c>
      <c r="N224" s="22">
        <v>3300</v>
      </c>
      <c r="O224" s="152">
        <f t="shared" si="11"/>
        <v>-3.5500000000000171E-3</v>
      </c>
      <c r="P224" s="152">
        <f t="shared" si="11"/>
        <v>-5.6181818181817913E-3</v>
      </c>
      <c r="Q224" s="153">
        <f t="shared" si="11"/>
        <v>-1.8954545454545608E-3</v>
      </c>
      <c r="R224" s="152">
        <f t="shared" si="11"/>
        <v>-2.722727272727197E-3</v>
      </c>
      <c r="S224" s="152">
        <f t="shared" si="11"/>
        <v>-6.4454545454544271E-3</v>
      </c>
      <c r="T224" s="154">
        <f t="shared" si="11"/>
        <v>2.2409090909091714E-3</v>
      </c>
      <c r="U224" s="155">
        <f t="shared" si="13"/>
        <v>-1.8954545454545608E-3</v>
      </c>
      <c r="V224" s="152">
        <f t="shared" si="13"/>
        <v>-2.4090909090910477E-4</v>
      </c>
      <c r="W224" s="152">
        <f t="shared" si="13"/>
        <v>-3.963636363636335E-3</v>
      </c>
    </row>
    <row r="225" spans="2:23" x14ac:dyDescent="0.45">
      <c r="B225" s="50">
        <v>3315</v>
      </c>
      <c r="C225" s="150">
        <f t="shared" si="12"/>
        <v>2.4285714285714284</v>
      </c>
      <c r="D225" s="23">
        <v>2.42</v>
      </c>
      <c r="E225" s="1">
        <v>2.4159999999999999</v>
      </c>
      <c r="F225" s="24">
        <v>2.4239999999999999</v>
      </c>
      <c r="G225" s="4">
        <v>2.423</v>
      </c>
      <c r="H225" s="1">
        <v>2.4140000000000001</v>
      </c>
      <c r="I225" s="25">
        <v>2.4329999999999998</v>
      </c>
      <c r="J225" s="23">
        <v>2.423</v>
      </c>
      <c r="K225" s="1">
        <v>2.4279999999999999</v>
      </c>
      <c r="L225" s="25">
        <v>2.4180000000000001</v>
      </c>
      <c r="N225" s="22">
        <v>3315</v>
      </c>
      <c r="O225" s="152">
        <f t="shared" si="11"/>
        <v>-3.5294117647058335E-3</v>
      </c>
      <c r="P225" s="152">
        <f t="shared" si="11"/>
        <v>-5.1764705882352468E-3</v>
      </c>
      <c r="Q225" s="153">
        <f t="shared" si="11"/>
        <v>-1.8823529411764201E-3</v>
      </c>
      <c r="R225" s="152">
        <f t="shared" si="11"/>
        <v>-2.2941176470587278E-3</v>
      </c>
      <c r="S225" s="152">
        <f t="shared" si="11"/>
        <v>-5.9999999999998622E-3</v>
      </c>
      <c r="T225" s="154">
        <f t="shared" si="11"/>
        <v>1.8235294117647141E-3</v>
      </c>
      <c r="U225" s="155">
        <f t="shared" si="13"/>
        <v>-2.2941176470587278E-3</v>
      </c>
      <c r="V225" s="152">
        <f t="shared" si="13"/>
        <v>-2.3529411764700682E-4</v>
      </c>
      <c r="W225" s="152">
        <f t="shared" si="13"/>
        <v>-4.3529411764704484E-3</v>
      </c>
    </row>
    <row r="226" spans="2:23" x14ac:dyDescent="0.45">
      <c r="B226" s="50">
        <v>3330</v>
      </c>
      <c r="C226" s="150">
        <f t="shared" si="12"/>
        <v>2.4395604395604398</v>
      </c>
      <c r="D226" s="23">
        <v>2.4319999999999999</v>
      </c>
      <c r="E226" s="1">
        <v>2.4260000000000002</v>
      </c>
      <c r="F226" s="24">
        <v>2.4359999999999999</v>
      </c>
      <c r="G226" s="4">
        <v>2.4340000000000002</v>
      </c>
      <c r="H226" s="1">
        <v>2.4239999999999999</v>
      </c>
      <c r="I226" s="25">
        <v>2.4449999999999998</v>
      </c>
      <c r="J226" s="23">
        <v>2.4340000000000002</v>
      </c>
      <c r="K226" s="1">
        <v>2.4380000000000002</v>
      </c>
      <c r="L226" s="25">
        <v>2.4289999999999998</v>
      </c>
      <c r="N226" s="22">
        <v>3330</v>
      </c>
      <c r="O226" s="152">
        <f t="shared" si="11"/>
        <v>-3.0990990990992116E-3</v>
      </c>
      <c r="P226" s="152">
        <f t="shared" si="11"/>
        <v>-5.5585585585585821E-3</v>
      </c>
      <c r="Q226" s="153">
        <f t="shared" si="11"/>
        <v>-1.4594594594595706E-3</v>
      </c>
      <c r="R226" s="152">
        <f t="shared" si="11"/>
        <v>-2.2792792792793001E-3</v>
      </c>
      <c r="S226" s="152">
        <f t="shared" si="11"/>
        <v>-6.3783783783784931E-3</v>
      </c>
      <c r="T226" s="154">
        <f t="shared" si="11"/>
        <v>2.229729729729576E-3</v>
      </c>
      <c r="U226" s="155">
        <f t="shared" si="13"/>
        <v>-2.2792792792793001E-3</v>
      </c>
      <c r="V226" s="152">
        <f t="shared" si="13"/>
        <v>-6.3963963963965917E-4</v>
      </c>
      <c r="W226" s="152">
        <f t="shared" si="13"/>
        <v>-4.3288288288289879E-3</v>
      </c>
    </row>
    <row r="227" spans="2:23" x14ac:dyDescent="0.45">
      <c r="B227" s="50">
        <v>3345</v>
      </c>
      <c r="C227" s="150">
        <f t="shared" si="12"/>
        <v>2.4505494505494507</v>
      </c>
      <c r="D227" s="23">
        <v>2.4430000000000001</v>
      </c>
      <c r="E227" s="1">
        <v>2.4369999999999998</v>
      </c>
      <c r="F227" s="24">
        <v>2.4470000000000001</v>
      </c>
      <c r="G227" s="4">
        <v>2.4449999999999998</v>
      </c>
      <c r="H227" s="1">
        <v>2.4350000000000001</v>
      </c>
      <c r="I227" s="25">
        <v>2.456</v>
      </c>
      <c r="J227" s="23">
        <v>2.4460000000000002</v>
      </c>
      <c r="K227" s="1">
        <v>2.4489999999999998</v>
      </c>
      <c r="L227" s="25">
        <v>2.44</v>
      </c>
      <c r="N227" s="22">
        <v>3345</v>
      </c>
      <c r="O227" s="152">
        <f t="shared" si="11"/>
        <v>-3.0807174887892844E-3</v>
      </c>
      <c r="P227" s="152">
        <f t="shared" si="11"/>
        <v>-5.5291479820629196E-3</v>
      </c>
      <c r="Q227" s="153">
        <f t="shared" si="11"/>
        <v>-1.4484304932735881E-3</v>
      </c>
      <c r="R227" s="152">
        <f t="shared" si="11"/>
        <v>-2.264573991031527E-3</v>
      </c>
      <c r="S227" s="152">
        <f t="shared" si="11"/>
        <v>-6.3452914798206774E-3</v>
      </c>
      <c r="T227" s="154">
        <f t="shared" si="11"/>
        <v>2.2242152466366836E-3</v>
      </c>
      <c r="U227" s="155">
        <f t="shared" si="13"/>
        <v>-1.8565022421524668E-3</v>
      </c>
      <c r="V227" s="152">
        <f t="shared" si="13"/>
        <v>-6.3228699551583049E-4</v>
      </c>
      <c r="W227" s="152">
        <f t="shared" si="13"/>
        <v>-4.304932735426102E-3</v>
      </c>
    </row>
    <row r="228" spans="2:23" x14ac:dyDescent="0.45">
      <c r="B228" s="50">
        <v>3360</v>
      </c>
      <c r="C228" s="150">
        <f t="shared" si="12"/>
        <v>2.4615384615384617</v>
      </c>
      <c r="D228" s="23">
        <v>2.4540000000000002</v>
      </c>
      <c r="E228" s="1">
        <v>2.448</v>
      </c>
      <c r="F228" s="24">
        <v>2.4580000000000002</v>
      </c>
      <c r="G228" s="4">
        <v>2.456</v>
      </c>
      <c r="H228" s="1">
        <v>2.4460000000000002</v>
      </c>
      <c r="I228" s="25">
        <v>2.4660000000000002</v>
      </c>
      <c r="J228" s="23">
        <v>2.4569999999999999</v>
      </c>
      <c r="K228" s="1">
        <v>2.4609999999999999</v>
      </c>
      <c r="L228" s="25">
        <v>2.4510000000000001</v>
      </c>
      <c r="N228" s="22">
        <v>3360</v>
      </c>
      <c r="O228" s="152">
        <f t="shared" si="11"/>
        <v>-3.0624999999999819E-3</v>
      </c>
      <c r="P228" s="152">
        <f t="shared" si="11"/>
        <v>-5.5000000000000743E-3</v>
      </c>
      <c r="Q228" s="153">
        <f t="shared" si="11"/>
        <v>-1.4374999999999805E-3</v>
      </c>
      <c r="R228" s="152">
        <f t="shared" si="11"/>
        <v>-2.2500000000000714E-3</v>
      </c>
      <c r="S228" s="152">
        <f t="shared" si="11"/>
        <v>-6.3124999999999848E-3</v>
      </c>
      <c r="T228" s="154">
        <f t="shared" si="11"/>
        <v>1.8125000000000224E-3</v>
      </c>
      <c r="U228" s="155">
        <f t="shared" si="13"/>
        <v>-1.8437500000001161E-3</v>
      </c>
      <c r="V228" s="152">
        <f t="shared" si="13"/>
        <v>-2.1875000000011469E-4</v>
      </c>
      <c r="W228" s="152">
        <f t="shared" si="13"/>
        <v>-4.2812500000000281E-3</v>
      </c>
    </row>
    <row r="229" spans="2:23" x14ac:dyDescent="0.45">
      <c r="B229" s="50">
        <v>3375</v>
      </c>
      <c r="C229" s="150">
        <f t="shared" si="12"/>
        <v>2.4725274725274726</v>
      </c>
      <c r="D229" s="23">
        <v>2.464</v>
      </c>
      <c r="E229" s="1">
        <v>2.4590000000000001</v>
      </c>
      <c r="F229" s="24">
        <v>2.468</v>
      </c>
      <c r="G229" s="4">
        <v>2.4660000000000002</v>
      </c>
      <c r="H229" s="1">
        <v>2.4569999999999999</v>
      </c>
      <c r="I229" s="25">
        <v>2.4769999999999999</v>
      </c>
      <c r="J229" s="23">
        <v>2.468</v>
      </c>
      <c r="K229" s="1">
        <v>2.472</v>
      </c>
      <c r="L229" s="25">
        <v>2.4630000000000001</v>
      </c>
      <c r="N229" s="22">
        <v>3375</v>
      </c>
      <c r="O229" s="152">
        <f t="shared" si="11"/>
        <v>-3.448888888888941E-3</v>
      </c>
      <c r="P229" s="152">
        <f t="shared" si="11"/>
        <v>-5.4711111111111202E-3</v>
      </c>
      <c r="Q229" s="153">
        <f t="shared" si="11"/>
        <v>-1.831111111111162E-3</v>
      </c>
      <c r="R229" s="152">
        <f t="shared" si="11"/>
        <v>-2.6399999999999618E-3</v>
      </c>
      <c r="S229" s="152">
        <f t="shared" si="11"/>
        <v>-6.2800000000000997E-3</v>
      </c>
      <c r="T229" s="154">
        <f t="shared" si="11"/>
        <v>1.8088888888887962E-3</v>
      </c>
      <c r="U229" s="155">
        <f t="shared" si="13"/>
        <v>-1.831111111111162E-3</v>
      </c>
      <c r="V229" s="152">
        <f t="shared" si="13"/>
        <v>-2.1333333333338285E-4</v>
      </c>
      <c r="W229" s="152">
        <f t="shared" si="13"/>
        <v>-3.853333333333341E-3</v>
      </c>
    </row>
    <row r="230" spans="2:23" x14ac:dyDescent="0.45">
      <c r="B230" s="50">
        <v>3390</v>
      </c>
      <c r="C230" s="150">
        <f t="shared" si="12"/>
        <v>2.4835164835164836</v>
      </c>
      <c r="D230" s="23">
        <v>2.4750000000000001</v>
      </c>
      <c r="E230" s="1">
        <v>2.4700000000000002</v>
      </c>
      <c r="F230" s="24">
        <v>2.48</v>
      </c>
      <c r="G230" s="4">
        <v>2.4769999999999999</v>
      </c>
      <c r="H230" s="1">
        <v>2.4670000000000001</v>
      </c>
      <c r="I230" s="25">
        <v>2.4889999999999999</v>
      </c>
      <c r="J230" s="23">
        <v>2.4780000000000002</v>
      </c>
      <c r="K230" s="1">
        <v>2.4820000000000002</v>
      </c>
      <c r="L230" s="25">
        <v>2.4740000000000002</v>
      </c>
      <c r="N230" s="22">
        <v>3390</v>
      </c>
      <c r="O230" s="152">
        <f t="shared" si="11"/>
        <v>-3.4292035398229967E-3</v>
      </c>
      <c r="P230" s="152">
        <f t="shared" si="11"/>
        <v>-5.4424778761061393E-3</v>
      </c>
      <c r="Q230" s="153">
        <f t="shared" si="11"/>
        <v>-1.4159292035398536E-3</v>
      </c>
      <c r="R230" s="152">
        <f t="shared" si="11"/>
        <v>-2.623893805309811E-3</v>
      </c>
      <c r="S230" s="152">
        <f t="shared" si="11"/>
        <v>-6.6504424778760967E-3</v>
      </c>
      <c r="T230" s="154">
        <f t="shared" si="11"/>
        <v>2.2079646017698394E-3</v>
      </c>
      <c r="U230" s="155">
        <f t="shared" si="13"/>
        <v>-2.2212389380530393E-3</v>
      </c>
      <c r="V230" s="152">
        <f t="shared" si="13"/>
        <v>-6.1061946902648927E-4</v>
      </c>
      <c r="W230" s="152">
        <f t="shared" si="13"/>
        <v>-3.8318584070795893E-3</v>
      </c>
    </row>
    <row r="231" spans="2:23" x14ac:dyDescent="0.45">
      <c r="B231" s="50">
        <v>3405</v>
      </c>
      <c r="C231" s="150">
        <f t="shared" si="12"/>
        <v>2.4945054945054945</v>
      </c>
      <c r="D231" s="23">
        <v>2.4870000000000001</v>
      </c>
      <c r="E231" s="1">
        <v>2.4809999999999999</v>
      </c>
      <c r="F231" s="24">
        <v>2.4910000000000001</v>
      </c>
      <c r="G231" s="4">
        <v>2.488</v>
      </c>
      <c r="H231" s="1">
        <v>2.4790000000000001</v>
      </c>
      <c r="I231" s="25">
        <v>2.5</v>
      </c>
      <c r="J231" s="23">
        <v>2.4900000000000002</v>
      </c>
      <c r="K231" s="1">
        <v>2.4940000000000002</v>
      </c>
      <c r="L231" s="25">
        <v>2.4849999999999999</v>
      </c>
      <c r="N231" s="22">
        <v>3405</v>
      </c>
      <c r="O231" s="152">
        <f t="shared" si="11"/>
        <v>-3.0088105726871926E-3</v>
      </c>
      <c r="P231" s="152">
        <f t="shared" si="11"/>
        <v>-5.4140969162996188E-3</v>
      </c>
      <c r="Q231" s="153">
        <f t="shared" si="11"/>
        <v>-1.4052863436123013E-3</v>
      </c>
      <c r="R231" s="152">
        <f t="shared" si="11"/>
        <v>-2.6079295154185144E-3</v>
      </c>
      <c r="S231" s="152">
        <f t="shared" si="11"/>
        <v>-6.2158590308369751E-3</v>
      </c>
      <c r="T231" s="154">
        <f t="shared" si="11"/>
        <v>2.2026431718061594E-3</v>
      </c>
      <c r="U231" s="155">
        <f t="shared" si="13"/>
        <v>-1.8061674008809797E-3</v>
      </c>
      <c r="V231" s="152">
        <f t="shared" si="13"/>
        <v>-2.0264317180608834E-4</v>
      </c>
      <c r="W231" s="152">
        <f t="shared" si="13"/>
        <v>-3.8105726872247271E-3</v>
      </c>
    </row>
    <row r="232" spans="2:23" x14ac:dyDescent="0.45">
      <c r="B232" s="50">
        <v>3420</v>
      </c>
      <c r="C232" s="150">
        <f t="shared" si="12"/>
        <v>2.5054945054945055</v>
      </c>
      <c r="D232" s="23">
        <v>2.4980000000000002</v>
      </c>
      <c r="E232" s="1">
        <v>2.492</v>
      </c>
      <c r="F232" s="24">
        <v>2.5019999999999998</v>
      </c>
      <c r="G232" s="4">
        <v>2.4990000000000001</v>
      </c>
      <c r="H232" s="1">
        <v>2.4900000000000002</v>
      </c>
      <c r="I232" s="25">
        <v>2.5110000000000001</v>
      </c>
      <c r="J232" s="23">
        <v>2.5009999999999999</v>
      </c>
      <c r="K232" s="1">
        <v>2.5049999999999999</v>
      </c>
      <c r="L232" s="25">
        <v>2.4950000000000001</v>
      </c>
      <c r="N232" s="22">
        <v>3420</v>
      </c>
      <c r="O232" s="152">
        <f t="shared" si="11"/>
        <v>-2.9912280701753428E-3</v>
      </c>
      <c r="P232" s="152">
        <f t="shared" si="11"/>
        <v>-5.3859649122806972E-3</v>
      </c>
      <c r="Q232" s="153">
        <f t="shared" si="11"/>
        <v>-1.3947368421053433E-3</v>
      </c>
      <c r="R232" s="152">
        <f t="shared" si="11"/>
        <v>-2.5921052631578431E-3</v>
      </c>
      <c r="S232" s="152">
        <f t="shared" si="11"/>
        <v>-6.1842105263156966E-3</v>
      </c>
      <c r="T232" s="154">
        <f t="shared" si="11"/>
        <v>2.1973684210526874E-3</v>
      </c>
      <c r="U232" s="155">
        <f t="shared" si="13"/>
        <v>-1.7938596491228432E-3</v>
      </c>
      <c r="V232" s="152">
        <f t="shared" si="13"/>
        <v>-1.9736842105266632E-4</v>
      </c>
      <c r="W232" s="152">
        <f t="shared" si="13"/>
        <v>-4.1885964912280202E-3</v>
      </c>
    </row>
    <row r="233" spans="2:23" x14ac:dyDescent="0.45">
      <c r="B233" s="50">
        <v>3435</v>
      </c>
      <c r="C233" s="150">
        <f t="shared" si="12"/>
        <v>2.5164835164835164</v>
      </c>
      <c r="D233" s="23">
        <v>2.5089999999999999</v>
      </c>
      <c r="E233" s="1">
        <v>2.5019999999999998</v>
      </c>
      <c r="F233" s="24">
        <v>2.5129999999999999</v>
      </c>
      <c r="G233" s="4">
        <v>2.5099999999999998</v>
      </c>
      <c r="H233" s="1">
        <v>2.5009999999999999</v>
      </c>
      <c r="I233" s="25">
        <v>2.5219999999999998</v>
      </c>
      <c r="J233" s="23">
        <v>2.5110000000000001</v>
      </c>
      <c r="K233" s="1">
        <v>2.516</v>
      </c>
      <c r="L233" s="25">
        <v>2.5070000000000001</v>
      </c>
      <c r="N233" s="22">
        <v>3435</v>
      </c>
      <c r="O233" s="152">
        <f t="shared" si="11"/>
        <v>-2.9737991266375725E-3</v>
      </c>
      <c r="P233" s="152">
        <f t="shared" si="11"/>
        <v>-5.7554585152839073E-3</v>
      </c>
      <c r="Q233" s="153">
        <f t="shared" si="11"/>
        <v>-1.3842794759825491E-3</v>
      </c>
      <c r="R233" s="152">
        <f t="shared" si="11"/>
        <v>-2.5764192139738607E-3</v>
      </c>
      <c r="S233" s="152">
        <f t="shared" si="11"/>
        <v>-6.1528384279476191E-3</v>
      </c>
      <c r="T233" s="154">
        <f t="shared" si="11"/>
        <v>2.1921397379912094E-3</v>
      </c>
      <c r="U233" s="155">
        <f t="shared" si="13"/>
        <v>-2.1790393013099724E-3</v>
      </c>
      <c r="V233" s="152">
        <f t="shared" si="13"/>
        <v>-1.9213973799123745E-4</v>
      </c>
      <c r="W233" s="152">
        <f t="shared" si="13"/>
        <v>-3.7685589519649955E-3</v>
      </c>
    </row>
    <row r="234" spans="2:23" x14ac:dyDescent="0.45">
      <c r="B234" s="50">
        <v>3450</v>
      </c>
      <c r="C234" s="150">
        <f t="shared" si="12"/>
        <v>2.5274725274725274</v>
      </c>
      <c r="D234" s="23">
        <v>2.5190000000000001</v>
      </c>
      <c r="E234" s="1">
        <v>2.5129999999999999</v>
      </c>
      <c r="F234" s="24">
        <v>2.5230000000000001</v>
      </c>
      <c r="G234" s="4">
        <v>2.5209999999999999</v>
      </c>
      <c r="H234" s="1">
        <v>2.512</v>
      </c>
      <c r="I234" s="25">
        <v>2.5329999999999999</v>
      </c>
      <c r="J234" s="23">
        <v>2.5219999999999998</v>
      </c>
      <c r="K234" s="1">
        <v>2.5270000000000001</v>
      </c>
      <c r="L234" s="25">
        <v>2.5169999999999999</v>
      </c>
      <c r="N234" s="22">
        <v>3450</v>
      </c>
      <c r="O234" s="152">
        <f t="shared" si="11"/>
        <v>-3.3521739130433891E-3</v>
      </c>
      <c r="P234" s="152">
        <f t="shared" si="11"/>
        <v>-5.7260869565217403E-3</v>
      </c>
      <c r="Q234" s="153">
        <f t="shared" si="11"/>
        <v>-1.7695652173912138E-3</v>
      </c>
      <c r="R234" s="152">
        <f t="shared" si="11"/>
        <v>-2.5608695652173893E-3</v>
      </c>
      <c r="S234" s="152">
        <f t="shared" si="11"/>
        <v>-6.1217391304347404E-3</v>
      </c>
      <c r="T234" s="154">
        <f t="shared" si="11"/>
        <v>2.186956521739137E-3</v>
      </c>
      <c r="U234" s="155">
        <f t="shared" si="13"/>
        <v>-2.1652173913043896E-3</v>
      </c>
      <c r="V234" s="152">
        <f t="shared" si="13"/>
        <v>-1.8695652173903842E-4</v>
      </c>
      <c r="W234" s="152">
        <f t="shared" si="13"/>
        <v>-4.1434782608695646E-3</v>
      </c>
    </row>
    <row r="235" spans="2:23" x14ac:dyDescent="0.45">
      <c r="B235" s="50">
        <v>3465</v>
      </c>
      <c r="C235" s="150">
        <f t="shared" si="12"/>
        <v>2.5384615384615383</v>
      </c>
      <c r="D235" s="23">
        <v>2.5299999999999998</v>
      </c>
      <c r="E235" s="1">
        <v>2.524</v>
      </c>
      <c r="F235" s="24">
        <v>2.5339999999999998</v>
      </c>
      <c r="G235" s="4">
        <v>2.5329999999999999</v>
      </c>
      <c r="H235" s="1">
        <v>2.5219999999999998</v>
      </c>
      <c r="I235" s="25">
        <v>2.544</v>
      </c>
      <c r="J235" s="23">
        <v>2.5329999999999999</v>
      </c>
      <c r="K235" s="1">
        <v>2.5390000000000001</v>
      </c>
      <c r="L235" s="25">
        <v>2.528</v>
      </c>
      <c r="N235" s="22">
        <v>3465</v>
      </c>
      <c r="O235" s="152">
        <f t="shared" si="11"/>
        <v>-3.3333333333333565E-3</v>
      </c>
      <c r="P235" s="152">
        <f t="shared" si="11"/>
        <v>-5.6969696969696353E-3</v>
      </c>
      <c r="Q235" s="153">
        <f t="shared" si="11"/>
        <v>-1.7575757575757794E-3</v>
      </c>
      <c r="R235" s="152">
        <f t="shared" si="11"/>
        <v>-2.15151515151513E-3</v>
      </c>
      <c r="S235" s="152">
        <f t="shared" si="11"/>
        <v>-6.4848484848485108E-3</v>
      </c>
      <c r="T235" s="154">
        <f t="shared" si="11"/>
        <v>2.1818181818182513E-3</v>
      </c>
      <c r="U235" s="155">
        <f t="shared" si="13"/>
        <v>-2.15151515151513E-3</v>
      </c>
      <c r="V235" s="152">
        <f t="shared" si="13"/>
        <v>2.1212121212132334E-4</v>
      </c>
      <c r="W235" s="152">
        <f t="shared" si="13"/>
        <v>-4.1212121212120577E-3</v>
      </c>
    </row>
    <row r="236" spans="2:23" x14ac:dyDescent="0.45">
      <c r="B236" s="50">
        <v>3480</v>
      </c>
      <c r="C236" s="150">
        <f t="shared" si="12"/>
        <v>2.5494505494505493</v>
      </c>
      <c r="D236" s="23">
        <v>2.5419999999999998</v>
      </c>
      <c r="E236" s="1">
        <v>2.536</v>
      </c>
      <c r="F236" s="24">
        <v>2.5449999999999999</v>
      </c>
      <c r="G236" s="4">
        <v>2.5430000000000001</v>
      </c>
      <c r="H236" s="1">
        <v>2.5339999999999998</v>
      </c>
      <c r="I236" s="25">
        <v>2.5550000000000002</v>
      </c>
      <c r="J236" s="23">
        <v>2.5449999999999999</v>
      </c>
      <c r="K236" s="1">
        <v>2.5489999999999999</v>
      </c>
      <c r="L236" s="25">
        <v>2.5390000000000001</v>
      </c>
      <c r="N236" s="22">
        <v>3480</v>
      </c>
      <c r="O236" s="152">
        <f t="shared" si="11"/>
        <v>-2.9224137931034518E-3</v>
      </c>
      <c r="P236" s="152">
        <f t="shared" si="11"/>
        <v>-5.2758620689654359E-3</v>
      </c>
      <c r="Q236" s="153">
        <f t="shared" si="11"/>
        <v>-1.7456896551723729E-3</v>
      </c>
      <c r="R236" s="152">
        <f t="shared" si="11"/>
        <v>-2.5301724137929762E-3</v>
      </c>
      <c r="S236" s="152">
        <f t="shared" si="11"/>
        <v>-6.0603448275862136E-3</v>
      </c>
      <c r="T236" s="154">
        <f t="shared" si="11"/>
        <v>2.1767241379311662E-3</v>
      </c>
      <c r="U236" s="155">
        <f t="shared" si="13"/>
        <v>-1.7456896551723729E-3</v>
      </c>
      <c r="V236" s="152">
        <f t="shared" si="13"/>
        <v>-1.7672413793099205E-4</v>
      </c>
      <c r="W236" s="152">
        <f t="shared" si="13"/>
        <v>-4.0991379310343573E-3</v>
      </c>
    </row>
    <row r="237" spans="2:23" x14ac:dyDescent="0.45">
      <c r="B237" s="50">
        <v>3495</v>
      </c>
      <c r="C237" s="150">
        <f t="shared" si="12"/>
        <v>2.5604395604395602</v>
      </c>
      <c r="D237" s="23">
        <v>2.552</v>
      </c>
      <c r="E237" s="1">
        <v>2.5459999999999998</v>
      </c>
      <c r="F237" s="24">
        <v>2.5569999999999999</v>
      </c>
      <c r="G237" s="4">
        <v>2.5539999999999998</v>
      </c>
      <c r="H237" s="1">
        <v>2.544</v>
      </c>
      <c r="I237" s="25">
        <v>2.5659999999999998</v>
      </c>
      <c r="J237" s="23">
        <v>2.5550000000000002</v>
      </c>
      <c r="K237" s="1">
        <v>2.56</v>
      </c>
      <c r="L237" s="25">
        <v>2.5510000000000002</v>
      </c>
      <c r="N237" s="22">
        <v>3495</v>
      </c>
      <c r="O237" s="152">
        <f t="shared" si="11"/>
        <v>-3.2961373390556926E-3</v>
      </c>
      <c r="P237" s="152">
        <f t="shared" si="11"/>
        <v>-5.6394849785407599E-3</v>
      </c>
      <c r="Q237" s="153">
        <f t="shared" si="11"/>
        <v>-1.3433476394849183E-3</v>
      </c>
      <c r="R237" s="152">
        <f t="shared" si="11"/>
        <v>-2.5150214592274522E-3</v>
      </c>
      <c r="S237" s="152">
        <f t="shared" si="11"/>
        <v>-6.4206008583690003E-3</v>
      </c>
      <c r="T237" s="154">
        <f t="shared" si="11"/>
        <v>2.1716738197425094E-3</v>
      </c>
      <c r="U237" s="155">
        <f t="shared" si="13"/>
        <v>-2.1244635193131585E-3</v>
      </c>
      <c r="V237" s="152">
        <f t="shared" si="13"/>
        <v>-1.716738197423846E-4</v>
      </c>
      <c r="W237" s="152">
        <f t="shared" si="13"/>
        <v>-3.6866952789698123E-3</v>
      </c>
    </row>
    <row r="238" spans="2:23" x14ac:dyDescent="0.45">
      <c r="B238" s="50">
        <v>3510</v>
      </c>
      <c r="C238" s="150">
        <f t="shared" si="12"/>
        <v>2.5714285714285716</v>
      </c>
      <c r="D238" s="23">
        <v>2.5630000000000002</v>
      </c>
      <c r="E238" s="1">
        <v>2.5569999999999999</v>
      </c>
      <c r="F238" s="24">
        <v>2.5680000000000001</v>
      </c>
      <c r="G238" s="4">
        <v>2.5649999999999999</v>
      </c>
      <c r="H238" s="1">
        <v>2.5550000000000002</v>
      </c>
      <c r="I238" s="25">
        <v>2.5760000000000001</v>
      </c>
      <c r="J238" s="23">
        <v>2.5659999999999998</v>
      </c>
      <c r="K238" s="1">
        <v>2.5710000000000002</v>
      </c>
      <c r="L238" s="25">
        <v>2.5619999999999998</v>
      </c>
      <c r="N238" s="22">
        <v>3510</v>
      </c>
      <c r="O238" s="152">
        <f t="shared" si="11"/>
        <v>-3.2777777777777866E-3</v>
      </c>
      <c r="P238" s="152">
        <f t="shared" si="11"/>
        <v>-5.6111111111112081E-3</v>
      </c>
      <c r="Q238" s="153">
        <f t="shared" si="11"/>
        <v>-1.3333333333333838E-3</v>
      </c>
      <c r="R238" s="152">
        <f t="shared" si="11"/>
        <v>-2.5000000000000946E-3</v>
      </c>
      <c r="S238" s="152">
        <f t="shared" si="11"/>
        <v>-6.3888888888889005E-3</v>
      </c>
      <c r="T238" s="154">
        <f t="shared" si="11"/>
        <v>1.7777777777777299E-3</v>
      </c>
      <c r="U238" s="155">
        <f t="shared" si="13"/>
        <v>-2.1111111111112484E-3</v>
      </c>
      <c r="V238" s="152">
        <f t="shared" si="13"/>
        <v>-1.6666666666667298E-4</v>
      </c>
      <c r="W238" s="152">
        <f t="shared" si="13"/>
        <v>-3.6666666666668054E-3</v>
      </c>
    </row>
    <row r="239" spans="2:23" x14ac:dyDescent="0.45">
      <c r="B239" s="50">
        <v>3525</v>
      </c>
      <c r="C239" s="150">
        <f t="shared" si="12"/>
        <v>2.5824175824175826</v>
      </c>
      <c r="D239" s="23">
        <v>2.5739999999999998</v>
      </c>
      <c r="E239" s="1">
        <v>2.5680000000000001</v>
      </c>
      <c r="F239" s="24">
        <v>2.5790000000000002</v>
      </c>
      <c r="G239" s="4">
        <v>2.5760000000000001</v>
      </c>
      <c r="H239" s="1">
        <v>2.5659999999999998</v>
      </c>
      <c r="I239" s="25">
        <v>2.5880000000000001</v>
      </c>
      <c r="J239" s="23">
        <v>2.577</v>
      </c>
      <c r="K239" s="1">
        <v>2.5819999999999999</v>
      </c>
      <c r="L239" s="25">
        <v>2.5720000000000001</v>
      </c>
      <c r="N239" s="22">
        <v>3525</v>
      </c>
      <c r="O239" s="152">
        <f t="shared" si="11"/>
        <v>-3.2595744680852254E-3</v>
      </c>
      <c r="P239" s="152">
        <f t="shared" si="11"/>
        <v>-5.5829787234042902E-3</v>
      </c>
      <c r="Q239" s="153">
        <f t="shared" si="11"/>
        <v>-1.3234042553191372E-3</v>
      </c>
      <c r="R239" s="152">
        <f t="shared" si="11"/>
        <v>-2.4851063829787559E-3</v>
      </c>
      <c r="S239" s="152">
        <f t="shared" si="11"/>
        <v>-6.3574468085107602E-3</v>
      </c>
      <c r="T239" s="154">
        <f t="shared" si="11"/>
        <v>2.1617021276595458E-3</v>
      </c>
      <c r="U239" s="155">
        <f t="shared" si="13"/>
        <v>-2.0978723404256067E-3</v>
      </c>
      <c r="V239" s="152">
        <f t="shared" si="13"/>
        <v>-1.6170212765969082E-4</v>
      </c>
      <c r="W239" s="152">
        <f t="shared" si="13"/>
        <v>-4.0340425531915228E-3</v>
      </c>
    </row>
    <row r="240" spans="2:23" x14ac:dyDescent="0.45">
      <c r="B240" s="50">
        <v>3540</v>
      </c>
      <c r="C240" s="150">
        <f t="shared" si="12"/>
        <v>2.5934065934065935</v>
      </c>
      <c r="D240" s="23">
        <v>2.585</v>
      </c>
      <c r="E240" s="1">
        <v>2.58</v>
      </c>
      <c r="F240" s="24">
        <v>2.59</v>
      </c>
      <c r="G240" s="4">
        <v>2.5870000000000002</v>
      </c>
      <c r="H240" s="1">
        <v>2.577</v>
      </c>
      <c r="I240" s="25">
        <v>2.5990000000000002</v>
      </c>
      <c r="J240" s="23">
        <v>2.5880000000000001</v>
      </c>
      <c r="K240" s="1">
        <v>2.593</v>
      </c>
      <c r="L240" s="25">
        <v>2.5830000000000002</v>
      </c>
      <c r="N240" s="22">
        <v>3540</v>
      </c>
      <c r="O240" s="152">
        <f t="shared" si="11"/>
        <v>-3.2415254237288704E-3</v>
      </c>
      <c r="P240" s="152">
        <f t="shared" si="11"/>
        <v>-5.1694915254237445E-3</v>
      </c>
      <c r="Q240" s="153">
        <f t="shared" si="11"/>
        <v>-1.3135593220339964E-3</v>
      </c>
      <c r="R240" s="152">
        <f t="shared" si="11"/>
        <v>-2.4703389830508181E-3</v>
      </c>
      <c r="S240" s="152">
        <f t="shared" si="11"/>
        <v>-6.3262711864407375E-3</v>
      </c>
      <c r="T240" s="154">
        <f t="shared" si="11"/>
        <v>2.1567796610169826E-3</v>
      </c>
      <c r="U240" s="155">
        <f t="shared" si="13"/>
        <v>-2.0847457627118774E-3</v>
      </c>
      <c r="V240" s="152">
        <f t="shared" si="13"/>
        <v>-1.5677966101700338E-4</v>
      </c>
      <c r="W240" s="152">
        <f t="shared" si="13"/>
        <v>-4.0127118644067514E-3</v>
      </c>
    </row>
    <row r="241" spans="2:23" x14ac:dyDescent="0.45">
      <c r="B241" s="50">
        <v>3555</v>
      </c>
      <c r="C241" s="150">
        <f t="shared" si="12"/>
        <v>2.6043956043956045</v>
      </c>
      <c r="D241" s="23">
        <v>2.5960000000000001</v>
      </c>
      <c r="E241" s="1">
        <v>2.5910000000000002</v>
      </c>
      <c r="F241" s="24">
        <v>2.601</v>
      </c>
      <c r="G241" s="4">
        <v>2.5979999999999999</v>
      </c>
      <c r="H241" s="1">
        <v>2.5880000000000001</v>
      </c>
      <c r="I241" s="25">
        <v>2.609</v>
      </c>
      <c r="J241" s="23">
        <v>2.5990000000000002</v>
      </c>
      <c r="K241" s="1">
        <v>2.6040000000000001</v>
      </c>
      <c r="L241" s="25">
        <v>2.5950000000000002</v>
      </c>
      <c r="N241" s="22">
        <v>3555</v>
      </c>
      <c r="O241" s="152">
        <f t="shared" si="11"/>
        <v>-3.2236286919831176E-3</v>
      </c>
      <c r="P241" s="152">
        <f t="shared" si="11"/>
        <v>-5.1434599156117682E-3</v>
      </c>
      <c r="Q241" s="153">
        <f t="shared" si="11"/>
        <v>-1.3037974683544667E-3</v>
      </c>
      <c r="R241" s="152">
        <f t="shared" si="11"/>
        <v>-2.4556962025317256E-3</v>
      </c>
      <c r="S241" s="152">
        <f t="shared" si="11"/>
        <v>-6.2953586497890273E-3</v>
      </c>
      <c r="T241" s="154">
        <f t="shared" si="11"/>
        <v>1.7679324894514432E-3</v>
      </c>
      <c r="U241" s="155">
        <f t="shared" si="13"/>
        <v>-2.0717299578058589E-3</v>
      </c>
      <c r="V241" s="152">
        <f t="shared" si="13"/>
        <v>-1.5189873417720783E-4</v>
      </c>
      <c r="W241" s="152">
        <f t="shared" si="13"/>
        <v>-3.6075949367088138E-3</v>
      </c>
    </row>
    <row r="242" spans="2:23" x14ac:dyDescent="0.45">
      <c r="B242" s="50">
        <v>3570</v>
      </c>
      <c r="C242" s="150">
        <f t="shared" si="12"/>
        <v>2.6153846153846154</v>
      </c>
      <c r="D242" s="23">
        <v>2.6070000000000002</v>
      </c>
      <c r="E242" s="1">
        <v>2.601</v>
      </c>
      <c r="F242" s="24">
        <v>2.6120000000000001</v>
      </c>
      <c r="G242" s="4">
        <v>2.609</v>
      </c>
      <c r="H242" s="1">
        <v>2.5990000000000002</v>
      </c>
      <c r="I242" s="25">
        <v>2.62</v>
      </c>
      <c r="J242" s="23">
        <v>2.61</v>
      </c>
      <c r="K242" s="1">
        <v>2.6150000000000002</v>
      </c>
      <c r="L242" s="25">
        <v>2.605</v>
      </c>
      <c r="N242" s="22">
        <v>3570</v>
      </c>
      <c r="O242" s="152">
        <f t="shared" si="11"/>
        <v>-3.2058823529411105E-3</v>
      </c>
      <c r="P242" s="152">
        <f t="shared" si="11"/>
        <v>-5.5000000000000214E-3</v>
      </c>
      <c r="Q242" s="153">
        <f t="shared" si="11"/>
        <v>-1.2941176470587985E-3</v>
      </c>
      <c r="R242" s="152">
        <f t="shared" si="11"/>
        <v>-2.4411764705882539E-3</v>
      </c>
      <c r="S242" s="152">
        <f t="shared" si="11"/>
        <v>-6.264705882352878E-3</v>
      </c>
      <c r="T242" s="154">
        <f t="shared" si="11"/>
        <v>1.7647058823529688E-3</v>
      </c>
      <c r="U242" s="155">
        <f t="shared" si="13"/>
        <v>-2.0588235294118251E-3</v>
      </c>
      <c r="V242" s="152">
        <f t="shared" si="13"/>
        <v>-1.4705882352934331E-4</v>
      </c>
      <c r="W242" s="152">
        <f t="shared" si="13"/>
        <v>-3.9705882352941372E-3</v>
      </c>
    </row>
    <row r="243" spans="2:23" x14ac:dyDescent="0.45">
      <c r="B243" s="50">
        <v>3585</v>
      </c>
      <c r="C243" s="150">
        <f t="shared" si="12"/>
        <v>2.6263736263736264</v>
      </c>
      <c r="D243" s="23">
        <v>2.6179999999999999</v>
      </c>
      <c r="E243" s="1">
        <v>2.6120000000000001</v>
      </c>
      <c r="F243" s="24">
        <v>2.6230000000000002</v>
      </c>
      <c r="G243" s="4">
        <v>2.621</v>
      </c>
      <c r="H243" s="1">
        <v>2.61</v>
      </c>
      <c r="I243" s="25">
        <v>2.6309999999999998</v>
      </c>
      <c r="J243" s="23">
        <v>2.621</v>
      </c>
      <c r="K243" s="1">
        <v>2.6259999999999999</v>
      </c>
      <c r="L243" s="25">
        <v>2.6160000000000001</v>
      </c>
      <c r="N243" s="22">
        <v>3585</v>
      </c>
      <c r="O243" s="152">
        <f t="shared" si="11"/>
        <v>-3.1882845188284945E-3</v>
      </c>
      <c r="P243" s="152">
        <f t="shared" si="11"/>
        <v>-5.4728033472802948E-3</v>
      </c>
      <c r="Q243" s="153">
        <f t="shared" si="11"/>
        <v>-1.2845188284517971E-3</v>
      </c>
      <c r="R243" s="152">
        <f t="shared" si="11"/>
        <v>-2.0460251046025102E-3</v>
      </c>
      <c r="S243" s="152">
        <f t="shared" si="11"/>
        <v>-6.2343096234310077E-3</v>
      </c>
      <c r="T243" s="154">
        <f t="shared" si="11"/>
        <v>1.761506276150547E-3</v>
      </c>
      <c r="U243" s="155">
        <f t="shared" si="13"/>
        <v>-2.0460251046025102E-3</v>
      </c>
      <c r="V243" s="152">
        <f t="shared" si="13"/>
        <v>-1.422594142259815E-4</v>
      </c>
      <c r="W243" s="152">
        <f t="shared" si="13"/>
        <v>-3.9497907949790382E-3</v>
      </c>
    </row>
    <row r="244" spans="2:23" x14ac:dyDescent="0.45">
      <c r="B244" s="50">
        <v>3600</v>
      </c>
      <c r="C244" s="150">
        <f t="shared" si="12"/>
        <v>2.6373626373626373</v>
      </c>
      <c r="D244" s="23">
        <v>2.629</v>
      </c>
      <c r="E244" s="1">
        <v>2.6230000000000002</v>
      </c>
      <c r="F244" s="24">
        <v>2.633</v>
      </c>
      <c r="G244" s="4">
        <v>2.6309999999999998</v>
      </c>
      <c r="H244" s="1">
        <v>2.621</v>
      </c>
      <c r="I244" s="25">
        <v>2.6429999999999998</v>
      </c>
      <c r="J244" s="23">
        <v>2.6320000000000001</v>
      </c>
      <c r="K244" s="1">
        <v>2.6379999999999999</v>
      </c>
      <c r="L244" s="25">
        <v>2.6280000000000001</v>
      </c>
      <c r="N244" s="22">
        <v>3600</v>
      </c>
      <c r="O244" s="152">
        <f t="shared" si="11"/>
        <v>-3.1708333333333154E-3</v>
      </c>
      <c r="P244" s="152">
        <f t="shared" si="11"/>
        <v>-5.4458333333332332E-3</v>
      </c>
      <c r="Q244" s="153">
        <f t="shared" si="11"/>
        <v>-1.6541666666666473E-3</v>
      </c>
      <c r="R244" s="152">
        <f t="shared" si="11"/>
        <v>-2.4125000000000656E-3</v>
      </c>
      <c r="S244" s="152">
        <f t="shared" si="11"/>
        <v>-6.2041666666666512E-3</v>
      </c>
      <c r="T244" s="154">
        <f t="shared" si="11"/>
        <v>2.1374999999999385E-3</v>
      </c>
      <c r="U244" s="155">
        <f t="shared" si="13"/>
        <v>-2.0333333333332725E-3</v>
      </c>
      <c r="V244" s="152">
        <f t="shared" si="13"/>
        <v>2.4166666666664561E-4</v>
      </c>
      <c r="W244" s="152">
        <f t="shared" si="13"/>
        <v>-3.5499999999999404E-3</v>
      </c>
    </row>
    <row r="245" spans="2:23" x14ac:dyDescent="0.45">
      <c r="B245" s="50">
        <v>3615</v>
      </c>
      <c r="C245" s="150">
        <f t="shared" si="12"/>
        <v>2.6483516483516483</v>
      </c>
      <c r="D245" s="23">
        <v>2.64</v>
      </c>
      <c r="E245" s="1">
        <v>2.6339999999999999</v>
      </c>
      <c r="F245" s="24">
        <v>2.6440000000000001</v>
      </c>
      <c r="G245" s="4">
        <v>2.6419999999999999</v>
      </c>
      <c r="H245" s="1">
        <v>2.6320000000000001</v>
      </c>
      <c r="I245" s="25">
        <v>2.653</v>
      </c>
      <c r="J245" s="23">
        <v>2.6429999999999998</v>
      </c>
      <c r="K245" s="1">
        <v>2.6480000000000001</v>
      </c>
      <c r="L245" s="25">
        <v>2.6379999999999999</v>
      </c>
      <c r="N245" s="22">
        <v>3615</v>
      </c>
      <c r="O245" s="152">
        <f t="shared" si="11"/>
        <v>-3.1535269709542786E-3</v>
      </c>
      <c r="P245" s="152">
        <f t="shared" si="11"/>
        <v>-5.4190871369294681E-3</v>
      </c>
      <c r="Q245" s="153">
        <f t="shared" si="11"/>
        <v>-1.6431535269708748E-3</v>
      </c>
      <c r="R245" s="152">
        <f t="shared" ref="R245:T277" si="14">(G245-$C245)/$C245</f>
        <v>-2.3983402489626605E-3</v>
      </c>
      <c r="S245" s="152">
        <f t="shared" si="14"/>
        <v>-6.1742738589210863E-3</v>
      </c>
      <c r="T245" s="154">
        <f t="shared" si="14"/>
        <v>1.7551867219917419E-3</v>
      </c>
      <c r="U245" s="155">
        <f t="shared" si="13"/>
        <v>-2.0207468879668514E-3</v>
      </c>
      <c r="V245" s="152">
        <f t="shared" si="13"/>
        <v>-1.3278008298747091E-4</v>
      </c>
      <c r="W245" s="152">
        <f t="shared" si="13"/>
        <v>-3.9087136929460645E-3</v>
      </c>
    </row>
    <row r="246" spans="2:23" x14ac:dyDescent="0.45">
      <c r="B246" s="50">
        <v>3630</v>
      </c>
      <c r="C246" s="150">
        <f t="shared" si="12"/>
        <v>2.6593406593406592</v>
      </c>
      <c r="D246" s="23">
        <v>2.6509999999999998</v>
      </c>
      <c r="E246" s="1">
        <v>2.645</v>
      </c>
      <c r="F246" s="24">
        <v>2.6560000000000001</v>
      </c>
      <c r="G246" s="4">
        <v>2.653</v>
      </c>
      <c r="H246" s="1">
        <v>2.6429999999999998</v>
      </c>
      <c r="I246" s="25">
        <v>2.6640000000000001</v>
      </c>
      <c r="J246" s="23">
        <v>2.6539999999999999</v>
      </c>
      <c r="K246" s="1">
        <v>2.6589999999999998</v>
      </c>
      <c r="L246" s="25">
        <v>2.649</v>
      </c>
      <c r="N246" s="22">
        <v>3630</v>
      </c>
      <c r="O246" s="152">
        <f t="shared" ref="O246:Q277" si="15">(D246-$C246)/$C246</f>
        <v>-3.1363636363636654E-3</v>
      </c>
      <c r="P246" s="152">
        <f t="shared" si="15"/>
        <v>-5.3925619834710222E-3</v>
      </c>
      <c r="Q246" s="153">
        <f t="shared" si="15"/>
        <v>-1.2561983471073401E-3</v>
      </c>
      <c r="R246" s="152">
        <f t="shared" si="14"/>
        <v>-2.384297520661102E-3</v>
      </c>
      <c r="S246" s="152">
        <f t="shared" si="14"/>
        <v>-6.1446280991735852E-3</v>
      </c>
      <c r="T246" s="154">
        <f t="shared" si="14"/>
        <v>1.7520661157025802E-3</v>
      </c>
      <c r="U246" s="155">
        <f t="shared" si="13"/>
        <v>-2.0082644628099037E-3</v>
      </c>
      <c r="V246" s="152">
        <f t="shared" si="13"/>
        <v>-1.2809917355374528E-4</v>
      </c>
      <c r="W246" s="152">
        <f t="shared" si="13"/>
        <v>-3.8884297520660619E-3</v>
      </c>
    </row>
    <row r="247" spans="2:23" x14ac:dyDescent="0.45">
      <c r="B247" s="50">
        <v>3645</v>
      </c>
      <c r="C247" s="150">
        <f t="shared" si="12"/>
        <v>2.6703296703296702</v>
      </c>
      <c r="D247" s="23">
        <v>2.6619999999999999</v>
      </c>
      <c r="E247" s="1">
        <v>2.6560000000000001</v>
      </c>
      <c r="F247" s="24">
        <v>2.6659999999999999</v>
      </c>
      <c r="G247" s="4">
        <v>2.6640000000000001</v>
      </c>
      <c r="H247" s="1">
        <v>2.6539999999999999</v>
      </c>
      <c r="I247" s="25">
        <v>2.6749999999999998</v>
      </c>
      <c r="J247" s="23">
        <v>2.665</v>
      </c>
      <c r="K247" s="1">
        <v>2.67</v>
      </c>
      <c r="L247" s="25">
        <v>2.66</v>
      </c>
      <c r="N247" s="22">
        <v>3645</v>
      </c>
      <c r="O247" s="152">
        <f t="shared" si="15"/>
        <v>-3.1193415637859774E-3</v>
      </c>
      <c r="P247" s="152">
        <f t="shared" si="15"/>
        <v>-5.3662551440328103E-3</v>
      </c>
      <c r="Q247" s="153">
        <f t="shared" si="15"/>
        <v>-1.6213991769547002E-3</v>
      </c>
      <c r="R247" s="152">
        <f t="shared" si="14"/>
        <v>-2.3703703703702558E-3</v>
      </c>
      <c r="S247" s="152">
        <f t="shared" si="14"/>
        <v>-6.1152263374485314E-3</v>
      </c>
      <c r="T247" s="154">
        <f t="shared" si="14"/>
        <v>1.7489711934156318E-3</v>
      </c>
      <c r="U247" s="155">
        <f t="shared" si="13"/>
        <v>-1.9958847736624781E-3</v>
      </c>
      <c r="V247" s="152">
        <f t="shared" si="13"/>
        <v>-1.234567901234231E-4</v>
      </c>
      <c r="W247" s="152">
        <f t="shared" si="13"/>
        <v>-3.8683127572015329E-3</v>
      </c>
    </row>
    <row r="248" spans="2:23" x14ac:dyDescent="0.45">
      <c r="B248" s="50">
        <v>3660</v>
      </c>
      <c r="C248" s="150">
        <f t="shared" si="12"/>
        <v>2.6813186813186811</v>
      </c>
      <c r="D248" s="23">
        <v>2.673</v>
      </c>
      <c r="E248" s="1">
        <v>2.6669999999999998</v>
      </c>
      <c r="F248" s="24">
        <v>2.6779999999999999</v>
      </c>
      <c r="G248" s="4">
        <v>2.6749999999999998</v>
      </c>
      <c r="H248" s="1">
        <v>2.6659999999999999</v>
      </c>
      <c r="I248" s="25">
        <v>2.6869999999999998</v>
      </c>
      <c r="J248" s="23">
        <v>2.6760000000000002</v>
      </c>
      <c r="K248" s="1">
        <v>2.681</v>
      </c>
      <c r="L248" s="25">
        <v>2.6720000000000002</v>
      </c>
      <c r="N248" s="22">
        <v>3660</v>
      </c>
      <c r="O248" s="152">
        <f t="shared" si="15"/>
        <v>-3.1024590163933525E-3</v>
      </c>
      <c r="P248" s="152">
        <f t="shared" si="15"/>
        <v>-5.3401639344262241E-3</v>
      </c>
      <c r="Q248" s="153">
        <f t="shared" si="15"/>
        <v>-1.2377049180327363E-3</v>
      </c>
      <c r="R248" s="152">
        <f t="shared" si="14"/>
        <v>-2.3565573770491723E-3</v>
      </c>
      <c r="S248" s="152">
        <f t="shared" si="14"/>
        <v>-5.7131147540983142E-3</v>
      </c>
      <c r="T248" s="154">
        <f t="shared" si="14"/>
        <v>2.1188524590164061E-3</v>
      </c>
      <c r="U248" s="155">
        <f t="shared" si="13"/>
        <v>-1.9836065573769165E-3</v>
      </c>
      <c r="V248" s="152">
        <f t="shared" si="13"/>
        <v>-1.1885245901630028E-4</v>
      </c>
      <c r="W248" s="152">
        <f t="shared" si="13"/>
        <v>-3.4754098360654426E-3</v>
      </c>
    </row>
    <row r="249" spans="2:23" x14ac:dyDescent="0.45">
      <c r="B249" s="50">
        <v>3675</v>
      </c>
      <c r="C249" s="150">
        <f t="shared" si="12"/>
        <v>2.6923076923076925</v>
      </c>
      <c r="D249" s="23">
        <v>2.6840000000000002</v>
      </c>
      <c r="E249" s="1">
        <v>2.6779999999999999</v>
      </c>
      <c r="F249" s="24">
        <v>2.6880000000000002</v>
      </c>
      <c r="G249" s="4">
        <v>2.6859999999999999</v>
      </c>
      <c r="H249" s="1">
        <v>2.6760000000000002</v>
      </c>
      <c r="I249" s="25">
        <v>2.6970000000000001</v>
      </c>
      <c r="J249" s="23">
        <v>2.6869999999999998</v>
      </c>
      <c r="K249" s="1">
        <v>2.6920000000000002</v>
      </c>
      <c r="L249" s="25">
        <v>2.6819999999999999</v>
      </c>
      <c r="N249" s="22">
        <v>3675</v>
      </c>
      <c r="O249" s="152">
        <f t="shared" si="15"/>
        <v>-3.085714285714301E-3</v>
      </c>
      <c r="P249" s="152">
        <f t="shared" si="15"/>
        <v>-5.3142857142858138E-3</v>
      </c>
      <c r="Q249" s="153">
        <f t="shared" si="15"/>
        <v>-1.600000000000014E-3</v>
      </c>
      <c r="R249" s="152">
        <f t="shared" si="14"/>
        <v>-2.3428571428572398E-3</v>
      </c>
      <c r="S249" s="152">
        <f t="shared" si="14"/>
        <v>-6.0571428571428746E-3</v>
      </c>
      <c r="T249" s="154">
        <f t="shared" si="14"/>
        <v>1.7428571428570903E-3</v>
      </c>
      <c r="U249" s="155">
        <f t="shared" si="13"/>
        <v>-1.9714285714287094E-3</v>
      </c>
      <c r="V249" s="152">
        <f t="shared" si="13"/>
        <v>-1.1428571428572706E-4</v>
      </c>
      <c r="W249" s="152">
        <f t="shared" si="13"/>
        <v>-3.828571428571527E-3</v>
      </c>
    </row>
    <row r="250" spans="2:23" x14ac:dyDescent="0.45">
      <c r="B250" s="50">
        <v>3690</v>
      </c>
      <c r="C250" s="150">
        <f t="shared" si="12"/>
        <v>2.7032967032967035</v>
      </c>
      <c r="D250" s="23">
        <v>2.6949999999999998</v>
      </c>
      <c r="E250" s="1">
        <v>2.6890000000000001</v>
      </c>
      <c r="F250" s="24">
        <v>2.6989999999999998</v>
      </c>
      <c r="G250" s="4">
        <v>2.6960000000000002</v>
      </c>
      <c r="H250" s="1">
        <v>2.6869999999999998</v>
      </c>
      <c r="I250" s="25">
        <v>2.7090000000000001</v>
      </c>
      <c r="J250" s="23">
        <v>2.698</v>
      </c>
      <c r="K250" s="1">
        <v>2.7029999999999998</v>
      </c>
      <c r="L250" s="25">
        <v>2.6930000000000001</v>
      </c>
      <c r="N250" s="22">
        <v>3690</v>
      </c>
      <c r="O250" s="152">
        <f t="shared" si="15"/>
        <v>-3.069105691057031E-3</v>
      </c>
      <c r="P250" s="152">
        <f t="shared" si="15"/>
        <v>-5.2886178861789018E-3</v>
      </c>
      <c r="Q250" s="153">
        <f t="shared" si="15"/>
        <v>-1.5894308943090621E-3</v>
      </c>
      <c r="R250" s="152">
        <f t="shared" si="14"/>
        <v>-2.6991869918699153E-3</v>
      </c>
      <c r="S250" s="152">
        <f t="shared" si="14"/>
        <v>-6.0284552845529683E-3</v>
      </c>
      <c r="T250" s="154">
        <f t="shared" si="14"/>
        <v>2.1097560975609415E-3</v>
      </c>
      <c r="U250" s="155">
        <f t="shared" si="13"/>
        <v>-1.9593495934960132E-3</v>
      </c>
      <c r="V250" s="152">
        <f t="shared" si="13"/>
        <v>-1.0975609756109349E-4</v>
      </c>
      <c r="W250" s="152">
        <f t="shared" si="13"/>
        <v>-3.8089430894309331E-3</v>
      </c>
    </row>
    <row r="251" spans="2:23" x14ac:dyDescent="0.45">
      <c r="B251" s="50">
        <v>3705</v>
      </c>
      <c r="C251" s="150">
        <f t="shared" si="12"/>
        <v>2.7142857142857144</v>
      </c>
      <c r="D251" s="23">
        <v>2.706</v>
      </c>
      <c r="E251" s="1">
        <v>2.7</v>
      </c>
      <c r="F251" s="24">
        <v>2.71</v>
      </c>
      <c r="G251" s="4">
        <v>2.7090000000000001</v>
      </c>
      <c r="H251" s="1">
        <v>2.698</v>
      </c>
      <c r="I251" s="25">
        <v>2.7189999999999999</v>
      </c>
      <c r="J251" s="23">
        <v>2.7090000000000001</v>
      </c>
      <c r="K251" s="1">
        <v>2.714</v>
      </c>
      <c r="L251" s="25">
        <v>2.7040000000000002</v>
      </c>
      <c r="N251" s="22">
        <v>3705</v>
      </c>
      <c r="O251" s="152">
        <f t="shared" si="15"/>
        <v>-3.0526315789474296E-3</v>
      </c>
      <c r="P251" s="152">
        <f t="shared" si="15"/>
        <v>-5.2631578947368229E-3</v>
      </c>
      <c r="Q251" s="153">
        <f t="shared" si="15"/>
        <v>-1.5789473684211124E-3</v>
      </c>
      <c r="R251" s="152">
        <f t="shared" si="14"/>
        <v>-1.9473684210526507E-3</v>
      </c>
      <c r="S251" s="152">
        <f t="shared" si="14"/>
        <v>-6.0000000000000634E-3</v>
      </c>
      <c r="T251" s="154">
        <f t="shared" si="14"/>
        <v>1.7368421052630599E-3</v>
      </c>
      <c r="U251" s="155">
        <f t="shared" si="13"/>
        <v>-1.9473684210526507E-3</v>
      </c>
      <c r="V251" s="152">
        <f t="shared" si="13"/>
        <v>-1.0526315789479537E-4</v>
      </c>
      <c r="W251" s="152">
        <f t="shared" si="13"/>
        <v>-3.7894736842105062E-3</v>
      </c>
    </row>
    <row r="252" spans="2:23" x14ac:dyDescent="0.45">
      <c r="B252" s="50">
        <v>3720</v>
      </c>
      <c r="C252" s="150">
        <f t="shared" si="12"/>
        <v>2.7252747252747254</v>
      </c>
      <c r="D252" s="23">
        <v>2.7160000000000002</v>
      </c>
      <c r="E252" s="1">
        <v>2.7109999999999999</v>
      </c>
      <c r="F252" s="24">
        <v>2.7210000000000001</v>
      </c>
      <c r="G252" s="4">
        <v>2.7189999999999999</v>
      </c>
      <c r="H252" s="1">
        <v>2.7090000000000001</v>
      </c>
      <c r="I252" s="25">
        <v>2.7309999999999999</v>
      </c>
      <c r="J252" s="23">
        <v>2.72</v>
      </c>
      <c r="K252" s="1">
        <v>2.7250000000000001</v>
      </c>
      <c r="L252" s="25">
        <v>2.7149999999999999</v>
      </c>
      <c r="N252" s="22">
        <v>3720</v>
      </c>
      <c r="O252" s="152">
        <f t="shared" si="15"/>
        <v>-3.4032258064515745E-3</v>
      </c>
      <c r="P252" s="152">
        <f t="shared" si="15"/>
        <v>-5.237903225806537E-3</v>
      </c>
      <c r="Q252" s="153">
        <f t="shared" si="15"/>
        <v>-1.5685483870967751E-3</v>
      </c>
      <c r="R252" s="152">
        <f t="shared" si="14"/>
        <v>-2.3024193548387929E-3</v>
      </c>
      <c r="S252" s="152">
        <f t="shared" si="14"/>
        <v>-5.9717741935483917E-3</v>
      </c>
      <c r="T252" s="154">
        <f t="shared" si="14"/>
        <v>2.1008064516128242E-3</v>
      </c>
      <c r="U252" s="155">
        <f t="shared" si="13"/>
        <v>-1.9354838709677025E-3</v>
      </c>
      <c r="V252" s="152">
        <f t="shared" si="13"/>
        <v>-1.0080645161290286E-4</v>
      </c>
      <c r="W252" s="152">
        <f t="shared" si="13"/>
        <v>-3.770161290322665E-3</v>
      </c>
    </row>
    <row r="253" spans="2:23" x14ac:dyDescent="0.45">
      <c r="B253" s="50">
        <v>3735</v>
      </c>
      <c r="C253" s="150">
        <f t="shared" si="12"/>
        <v>2.7362637362637363</v>
      </c>
      <c r="D253" s="23">
        <v>2.7280000000000002</v>
      </c>
      <c r="E253" s="1">
        <v>2.722</v>
      </c>
      <c r="F253" s="24">
        <v>2.7320000000000002</v>
      </c>
      <c r="G253" s="4">
        <v>2.73</v>
      </c>
      <c r="H253" s="1">
        <v>2.72</v>
      </c>
      <c r="I253" s="25">
        <v>2.742</v>
      </c>
      <c r="J253" s="23">
        <v>2.7309999999999999</v>
      </c>
      <c r="K253" s="1">
        <v>2.7360000000000002</v>
      </c>
      <c r="L253" s="25">
        <v>2.726</v>
      </c>
      <c r="N253" s="22">
        <v>3735</v>
      </c>
      <c r="O253" s="152">
        <f t="shared" si="15"/>
        <v>-3.0200803212850845E-3</v>
      </c>
      <c r="P253" s="152">
        <f t="shared" si="15"/>
        <v>-5.2128514056225166E-3</v>
      </c>
      <c r="Q253" s="153">
        <f t="shared" si="15"/>
        <v>-1.5582329317268501E-3</v>
      </c>
      <c r="R253" s="152">
        <f t="shared" si="14"/>
        <v>-2.2891566265060485E-3</v>
      </c>
      <c r="S253" s="152">
        <f t="shared" si="14"/>
        <v>-5.9437751004015526E-3</v>
      </c>
      <c r="T253" s="154">
        <f t="shared" si="14"/>
        <v>2.0963855421686542E-3</v>
      </c>
      <c r="U253" s="155">
        <f t="shared" si="13"/>
        <v>-1.9236947791165305E-3</v>
      </c>
      <c r="V253" s="152">
        <f t="shared" si="13"/>
        <v>-9.6385542168615931E-5</v>
      </c>
      <c r="W253" s="152">
        <f t="shared" si="13"/>
        <v>-3.7510040160642828E-3</v>
      </c>
    </row>
    <row r="254" spans="2:23" x14ac:dyDescent="0.45">
      <c r="B254" s="50">
        <v>3750</v>
      </c>
      <c r="C254" s="150">
        <f t="shared" si="12"/>
        <v>2.7472527472527473</v>
      </c>
      <c r="D254" s="23">
        <v>2.738</v>
      </c>
      <c r="E254" s="1">
        <v>2.7330000000000001</v>
      </c>
      <c r="F254" s="24">
        <v>2.7429999999999999</v>
      </c>
      <c r="G254" s="4">
        <v>2.74</v>
      </c>
      <c r="H254" s="1">
        <v>2.7309999999999999</v>
      </c>
      <c r="I254" s="25">
        <v>2.7519999999999998</v>
      </c>
      <c r="J254" s="23">
        <v>2.742</v>
      </c>
      <c r="K254" s="1">
        <v>2.7480000000000002</v>
      </c>
      <c r="L254" s="25">
        <v>2.738</v>
      </c>
      <c r="N254" s="22">
        <v>3750</v>
      </c>
      <c r="O254" s="152">
        <f t="shared" si="15"/>
        <v>-3.3680000000000073E-3</v>
      </c>
      <c r="P254" s="152">
        <f t="shared" si="15"/>
        <v>-5.1879999999999687E-3</v>
      </c>
      <c r="Q254" s="153">
        <f t="shared" si="15"/>
        <v>-1.5480000000000463E-3</v>
      </c>
      <c r="R254" s="152">
        <f t="shared" si="14"/>
        <v>-2.6399999999999258E-3</v>
      </c>
      <c r="S254" s="152">
        <f t="shared" si="14"/>
        <v>-5.9160000000000497E-3</v>
      </c>
      <c r="T254" s="154">
        <f t="shared" si="14"/>
        <v>1.7279999999999162E-3</v>
      </c>
      <c r="U254" s="155">
        <f t="shared" si="13"/>
        <v>-1.9120000000000061E-3</v>
      </c>
      <c r="V254" s="152">
        <f t="shared" si="13"/>
        <v>2.7200000000007665E-4</v>
      </c>
      <c r="W254" s="152">
        <f t="shared" si="13"/>
        <v>-3.3680000000000073E-3</v>
      </c>
    </row>
    <row r="255" spans="2:23" x14ac:dyDescent="0.45">
      <c r="B255" s="50">
        <v>3765</v>
      </c>
      <c r="C255" s="150">
        <f t="shared" si="12"/>
        <v>2.7582417582417582</v>
      </c>
      <c r="D255" s="23">
        <v>2.7490000000000001</v>
      </c>
      <c r="E255" s="1">
        <v>2.7429999999999999</v>
      </c>
      <c r="F255" s="24">
        <v>2.754</v>
      </c>
      <c r="G255" s="4">
        <v>2.7509999999999999</v>
      </c>
      <c r="H255" s="1">
        <v>2.742</v>
      </c>
      <c r="I255" s="25">
        <v>2.7629999999999999</v>
      </c>
      <c r="J255" s="23">
        <v>2.7530000000000001</v>
      </c>
      <c r="K255" s="1">
        <v>2.758</v>
      </c>
      <c r="L255" s="25">
        <v>2.7480000000000002</v>
      </c>
      <c r="N255" s="22">
        <v>3765</v>
      </c>
      <c r="O255" s="152">
        <f t="shared" si="15"/>
        <v>-3.3505976095617026E-3</v>
      </c>
      <c r="P255" s="152">
        <f t="shared" si="15"/>
        <v>-5.5258964143426615E-3</v>
      </c>
      <c r="Q255" s="153">
        <f t="shared" si="15"/>
        <v>-1.5378486055776773E-3</v>
      </c>
      <c r="R255" s="152">
        <f t="shared" si="14"/>
        <v>-2.6254980079681569E-3</v>
      </c>
      <c r="S255" s="152">
        <f t="shared" si="14"/>
        <v>-5.8884462151394344E-3</v>
      </c>
      <c r="T255" s="154">
        <f t="shared" si="14"/>
        <v>1.7250996015936001E-3</v>
      </c>
      <c r="U255" s="155">
        <f t="shared" si="13"/>
        <v>-1.9003984063744501E-3</v>
      </c>
      <c r="V255" s="152">
        <f t="shared" si="13"/>
        <v>-8.7649402390425058E-5</v>
      </c>
      <c r="W255" s="152">
        <f t="shared" si="13"/>
        <v>-3.7131474103584755E-3</v>
      </c>
    </row>
    <row r="256" spans="2:23" x14ac:dyDescent="0.45">
      <c r="B256" s="50">
        <v>3780</v>
      </c>
      <c r="C256" s="150">
        <f t="shared" si="12"/>
        <v>2.7692307692307692</v>
      </c>
      <c r="D256" s="23">
        <v>2.7589999999999999</v>
      </c>
      <c r="E256" s="1">
        <v>2.754</v>
      </c>
      <c r="F256" s="24">
        <v>2.7650000000000001</v>
      </c>
      <c r="G256" s="4">
        <v>2.762</v>
      </c>
      <c r="H256" s="1">
        <v>2.7530000000000001</v>
      </c>
      <c r="I256" s="25">
        <v>2.774</v>
      </c>
      <c r="J256" s="23">
        <v>2.7639999999999998</v>
      </c>
      <c r="K256" s="1">
        <v>2.7690000000000001</v>
      </c>
      <c r="L256" s="25">
        <v>2.7589999999999999</v>
      </c>
      <c r="N256" s="22">
        <v>3780</v>
      </c>
      <c r="O256" s="152">
        <f t="shared" si="15"/>
        <v>-3.6944444444444572E-3</v>
      </c>
      <c r="P256" s="152">
        <f t="shared" si="15"/>
        <v>-5.4999999999999745E-3</v>
      </c>
      <c r="Q256" s="153">
        <f t="shared" si="15"/>
        <v>-1.5277777777777083E-3</v>
      </c>
      <c r="R256" s="152">
        <f t="shared" si="14"/>
        <v>-2.6111111111110827E-3</v>
      </c>
      <c r="S256" s="152">
        <f t="shared" si="14"/>
        <v>-5.8611111111110453E-3</v>
      </c>
      <c r="T256" s="154">
        <f t="shared" si="14"/>
        <v>1.7222222222222547E-3</v>
      </c>
      <c r="U256" s="155">
        <f t="shared" si="13"/>
        <v>-1.8888888888889399E-3</v>
      </c>
      <c r="V256" s="152">
        <f t="shared" si="13"/>
        <v>-8.3333333333262478E-5</v>
      </c>
      <c r="W256" s="152">
        <f t="shared" si="13"/>
        <v>-3.6944444444444572E-3</v>
      </c>
    </row>
    <row r="257" spans="2:23" x14ac:dyDescent="0.45">
      <c r="B257" s="50">
        <v>3795</v>
      </c>
      <c r="C257" s="150">
        <f t="shared" si="12"/>
        <v>2.7802197802197801</v>
      </c>
      <c r="D257" s="23">
        <v>2.7709999999999999</v>
      </c>
      <c r="E257" s="1">
        <v>2.766</v>
      </c>
      <c r="F257" s="24">
        <v>2.7759999999999998</v>
      </c>
      <c r="G257" s="4">
        <v>2.7730000000000001</v>
      </c>
      <c r="H257" s="1">
        <v>2.7650000000000001</v>
      </c>
      <c r="I257" s="25">
        <v>2.786</v>
      </c>
      <c r="J257" s="23">
        <v>2.7749999999999999</v>
      </c>
      <c r="K257" s="1">
        <v>2.78</v>
      </c>
      <c r="L257" s="25">
        <v>2.77</v>
      </c>
      <c r="N257" s="22">
        <v>3795</v>
      </c>
      <c r="O257" s="152">
        <f t="shared" si="15"/>
        <v>-3.3162055335968325E-3</v>
      </c>
      <c r="P257" s="152">
        <f t="shared" si="15"/>
        <v>-5.11462450592881E-3</v>
      </c>
      <c r="Q257" s="153">
        <f t="shared" si="15"/>
        <v>-1.517786561264855E-3</v>
      </c>
      <c r="R257" s="152">
        <f t="shared" si="14"/>
        <v>-2.5968379446639459E-3</v>
      </c>
      <c r="S257" s="152">
        <f t="shared" si="14"/>
        <v>-5.4743083003951738E-3</v>
      </c>
      <c r="T257" s="154">
        <f t="shared" si="14"/>
        <v>2.0790513833992596E-3</v>
      </c>
      <c r="U257" s="155">
        <f t="shared" si="13"/>
        <v>-1.8774703557312188E-3</v>
      </c>
      <c r="V257" s="152">
        <f t="shared" si="13"/>
        <v>-7.905138339924116E-5</v>
      </c>
      <c r="W257" s="152">
        <f t="shared" si="13"/>
        <v>-3.6758893280631963E-3</v>
      </c>
    </row>
    <row r="258" spans="2:23" x14ac:dyDescent="0.45">
      <c r="B258" s="50">
        <v>3810</v>
      </c>
      <c r="C258" s="150">
        <f t="shared" si="12"/>
        <v>2.7912087912087911</v>
      </c>
      <c r="D258" s="23">
        <v>2.782</v>
      </c>
      <c r="E258" s="1">
        <v>2.7770000000000001</v>
      </c>
      <c r="F258" s="24">
        <v>2.7869999999999999</v>
      </c>
      <c r="G258" s="4">
        <v>2.7839999999999998</v>
      </c>
      <c r="H258" s="1">
        <v>2.7749999999999999</v>
      </c>
      <c r="I258" s="25">
        <v>2.7959999999999998</v>
      </c>
      <c r="J258" s="23">
        <v>2.786</v>
      </c>
      <c r="K258" s="1">
        <v>2.7919999999999998</v>
      </c>
      <c r="L258" s="25">
        <v>2.7810000000000001</v>
      </c>
      <c r="N258" s="22">
        <v>3810</v>
      </c>
      <c r="O258" s="152">
        <f t="shared" si="15"/>
        <v>-3.2992125984251343E-3</v>
      </c>
      <c r="P258" s="152">
        <f t="shared" si="15"/>
        <v>-5.0905511811022612E-3</v>
      </c>
      <c r="Q258" s="153">
        <f t="shared" si="15"/>
        <v>-1.507874015748007E-3</v>
      </c>
      <c r="R258" s="152">
        <f t="shared" si="14"/>
        <v>-2.5826771653543472E-3</v>
      </c>
      <c r="S258" s="152">
        <f t="shared" si="14"/>
        <v>-5.8070866141732083E-3</v>
      </c>
      <c r="T258" s="154">
        <f t="shared" si="14"/>
        <v>1.7165354330708539E-3</v>
      </c>
      <c r="U258" s="155">
        <f t="shared" si="13"/>
        <v>-1.8661417322834008E-3</v>
      </c>
      <c r="V258" s="152">
        <f t="shared" si="13"/>
        <v>2.8346456692912011E-4</v>
      </c>
      <c r="W258" s="152">
        <f t="shared" si="13"/>
        <v>-3.657480314960528E-3</v>
      </c>
    </row>
    <row r="259" spans="2:23" x14ac:dyDescent="0.45">
      <c r="B259" s="50">
        <v>3825</v>
      </c>
      <c r="C259" s="150">
        <f t="shared" si="12"/>
        <v>2.802197802197802</v>
      </c>
      <c r="D259" s="23">
        <v>2.794</v>
      </c>
      <c r="E259" s="1">
        <v>2.7869999999999999</v>
      </c>
      <c r="F259" s="24">
        <v>2.7970000000000002</v>
      </c>
      <c r="G259" s="4">
        <v>2.7949999999999999</v>
      </c>
      <c r="H259" s="1">
        <v>2.786</v>
      </c>
      <c r="I259" s="25">
        <v>2.8069999999999999</v>
      </c>
      <c r="J259" s="23">
        <v>2.7970000000000002</v>
      </c>
      <c r="K259" s="1">
        <v>2.802</v>
      </c>
      <c r="L259" s="25">
        <v>2.7919999999999998</v>
      </c>
      <c r="N259" s="22">
        <v>3825</v>
      </c>
      <c r="O259" s="152">
        <f t="shared" si="15"/>
        <v>-2.9254901960783512E-3</v>
      </c>
      <c r="P259" s="152">
        <f t="shared" si="15"/>
        <v>-5.4235294117646682E-3</v>
      </c>
      <c r="Q259" s="153">
        <f t="shared" si="15"/>
        <v>-1.8549019607841933E-3</v>
      </c>
      <c r="R259" s="152">
        <f t="shared" si="14"/>
        <v>-2.5686274509803516E-3</v>
      </c>
      <c r="S259" s="152">
        <f t="shared" si="14"/>
        <v>-5.7803921568626675E-3</v>
      </c>
      <c r="T259" s="154">
        <f t="shared" si="14"/>
        <v>1.7137254901961232E-3</v>
      </c>
      <c r="U259" s="155">
        <f t="shared" si="13"/>
        <v>-1.8549019607841933E-3</v>
      </c>
      <c r="V259" s="152">
        <f t="shared" si="13"/>
        <v>-7.0588235294034998E-5</v>
      </c>
      <c r="W259" s="152">
        <f t="shared" si="13"/>
        <v>-3.6392156862745098E-3</v>
      </c>
    </row>
    <row r="260" spans="2:23" x14ac:dyDescent="0.45">
      <c r="B260" s="50">
        <v>3840</v>
      </c>
      <c r="C260" s="150">
        <f t="shared" si="12"/>
        <v>2.8131868131868134</v>
      </c>
      <c r="D260" s="23">
        <v>2.8039999999999998</v>
      </c>
      <c r="E260" s="1">
        <v>2.7989999999999999</v>
      </c>
      <c r="F260" s="24">
        <v>2.8090000000000002</v>
      </c>
      <c r="G260" s="4">
        <v>2.806</v>
      </c>
      <c r="H260" s="1">
        <v>2.798</v>
      </c>
      <c r="I260" s="25">
        <v>2.8180000000000001</v>
      </c>
      <c r="J260" s="23">
        <v>2.8069999999999999</v>
      </c>
      <c r="K260" s="1">
        <v>2.8130000000000002</v>
      </c>
      <c r="L260" s="25">
        <v>2.8029999999999999</v>
      </c>
      <c r="N260" s="22">
        <v>3840</v>
      </c>
      <c r="O260" s="152">
        <f t="shared" si="15"/>
        <v>-3.2656250000001395E-3</v>
      </c>
      <c r="P260" s="152">
        <f t="shared" si="15"/>
        <v>-5.0429687500001021E-3</v>
      </c>
      <c r="Q260" s="153">
        <f t="shared" si="15"/>
        <v>-1.4882812500000198E-3</v>
      </c>
      <c r="R260" s="152">
        <f t="shared" si="14"/>
        <v>-2.5546875000000604E-3</v>
      </c>
      <c r="S260" s="152">
        <f t="shared" si="14"/>
        <v>-5.3984375000000629E-3</v>
      </c>
      <c r="T260" s="154">
        <f t="shared" si="14"/>
        <v>1.7109374999999432E-3</v>
      </c>
      <c r="U260" s="155">
        <f t="shared" si="13"/>
        <v>-2.1992187500000995E-3</v>
      </c>
      <c r="V260" s="152">
        <f t="shared" si="13"/>
        <v>-6.6406250000018707E-5</v>
      </c>
      <c r="W260" s="152">
        <f t="shared" si="13"/>
        <v>-3.6210937500001004E-3</v>
      </c>
    </row>
    <row r="261" spans="2:23" x14ac:dyDescent="0.45">
      <c r="B261" s="50">
        <v>3855</v>
      </c>
      <c r="C261" s="150">
        <f t="shared" ref="C261:C277" si="16">3*B261/4095</f>
        <v>2.8241758241758244</v>
      </c>
      <c r="D261" s="23">
        <v>2.8159999999999998</v>
      </c>
      <c r="E261" s="1">
        <v>2.81</v>
      </c>
      <c r="F261" s="24">
        <v>2.82</v>
      </c>
      <c r="G261" s="4">
        <v>2.8170000000000002</v>
      </c>
      <c r="H261" s="1">
        <v>2.8079999999999998</v>
      </c>
      <c r="I261" s="25">
        <v>2.8290000000000002</v>
      </c>
      <c r="J261" s="23">
        <v>2.819</v>
      </c>
      <c r="K261" s="1">
        <v>2.8239999999999998</v>
      </c>
      <c r="L261" s="25">
        <v>2.8140000000000001</v>
      </c>
      <c r="N261" s="22">
        <v>3855</v>
      </c>
      <c r="O261" s="152">
        <f t="shared" si="15"/>
        <v>-2.8949416342413667E-3</v>
      </c>
      <c r="P261" s="152">
        <f t="shared" si="15"/>
        <v>-5.0194552529183329E-3</v>
      </c>
      <c r="Q261" s="153">
        <f t="shared" si="15"/>
        <v>-1.4785992217900036E-3</v>
      </c>
      <c r="R261" s="152">
        <f t="shared" si="14"/>
        <v>-2.5408560311284082E-3</v>
      </c>
      <c r="S261" s="152">
        <f t="shared" si="14"/>
        <v>-5.727626459144093E-3</v>
      </c>
      <c r="T261" s="154">
        <f t="shared" si="14"/>
        <v>1.7081712062256811E-3</v>
      </c>
      <c r="U261" s="155">
        <f t="shared" si="13"/>
        <v>-1.8326848249028051E-3</v>
      </c>
      <c r="V261" s="152">
        <f t="shared" si="13"/>
        <v>-6.2256809338640684E-5</v>
      </c>
      <c r="W261" s="152">
        <f t="shared" si="13"/>
        <v>-3.6031128404669698E-3</v>
      </c>
    </row>
    <row r="262" spans="2:23" x14ac:dyDescent="0.45">
      <c r="B262" s="50">
        <v>3870</v>
      </c>
      <c r="C262" s="150">
        <f t="shared" si="16"/>
        <v>2.8351648351648353</v>
      </c>
      <c r="D262" s="23">
        <v>2.827</v>
      </c>
      <c r="E262" s="1">
        <v>2.8210000000000002</v>
      </c>
      <c r="F262" s="24">
        <v>2.83</v>
      </c>
      <c r="G262" s="4">
        <v>2.8279999999999998</v>
      </c>
      <c r="H262" s="1">
        <v>2.819</v>
      </c>
      <c r="I262" s="25">
        <v>2.84</v>
      </c>
      <c r="J262" s="23">
        <v>2.8290000000000002</v>
      </c>
      <c r="K262" s="1">
        <v>2.835</v>
      </c>
      <c r="L262" s="25">
        <v>2.8250000000000002</v>
      </c>
      <c r="N262" s="22">
        <v>3870</v>
      </c>
      <c r="O262" s="152">
        <f t="shared" si="15"/>
        <v>-2.879844961240375E-3</v>
      </c>
      <c r="P262" s="152">
        <f t="shared" si="15"/>
        <v>-4.99612403100774E-3</v>
      </c>
      <c r="Q262" s="153">
        <f t="shared" si="15"/>
        <v>-1.8217054263566139E-3</v>
      </c>
      <c r="R262" s="152">
        <f t="shared" si="14"/>
        <v>-2.5271317829458403E-3</v>
      </c>
      <c r="S262" s="152">
        <f t="shared" si="14"/>
        <v>-5.7015503875969663E-3</v>
      </c>
      <c r="T262" s="154">
        <f t="shared" si="14"/>
        <v>1.7054263565890473E-3</v>
      </c>
      <c r="U262" s="155">
        <f t="shared" si="13"/>
        <v>-2.1744186046511486E-3</v>
      </c>
      <c r="V262" s="152">
        <f t="shared" si="13"/>
        <v>-5.8139534883783377E-5</v>
      </c>
      <c r="W262" s="152">
        <f t="shared" si="13"/>
        <v>-3.5852713178294443E-3</v>
      </c>
    </row>
    <row r="263" spans="2:23" x14ac:dyDescent="0.45">
      <c r="B263" s="50">
        <v>3885</v>
      </c>
      <c r="C263" s="150">
        <f t="shared" si="16"/>
        <v>2.8461538461538463</v>
      </c>
      <c r="D263" s="23">
        <v>2.8370000000000002</v>
      </c>
      <c r="E263" s="1">
        <v>2.8319999999999999</v>
      </c>
      <c r="F263" s="24">
        <v>2.8410000000000002</v>
      </c>
      <c r="G263" s="4">
        <v>2.839</v>
      </c>
      <c r="H263" s="1">
        <v>2.8319999999999999</v>
      </c>
      <c r="I263" s="25">
        <v>2.851</v>
      </c>
      <c r="J263" s="23">
        <v>2.8410000000000002</v>
      </c>
      <c r="K263" s="1">
        <v>2.8460000000000001</v>
      </c>
      <c r="L263" s="25">
        <v>2.8359999999999999</v>
      </c>
      <c r="N263" s="22">
        <v>3885</v>
      </c>
      <c r="O263" s="152">
        <f t="shared" si="15"/>
        <v>-3.2162162162161861E-3</v>
      </c>
      <c r="P263" s="152">
        <f t="shared" si="15"/>
        <v>-4.9729729729730615E-3</v>
      </c>
      <c r="Q263" s="153">
        <f t="shared" si="15"/>
        <v>-1.8108108108107793E-3</v>
      </c>
      <c r="R263" s="152">
        <f t="shared" si="14"/>
        <v>-2.5135135135135609E-3</v>
      </c>
      <c r="S263" s="152">
        <f t="shared" si="14"/>
        <v>-4.9729729729730615E-3</v>
      </c>
      <c r="T263" s="154">
        <f t="shared" si="14"/>
        <v>1.7027027027026592E-3</v>
      </c>
      <c r="U263" s="155">
        <f t="shared" si="13"/>
        <v>-1.8108108108107793E-3</v>
      </c>
      <c r="V263" s="152">
        <f t="shared" si="13"/>
        <v>-5.4054054054060098E-5</v>
      </c>
      <c r="W263" s="152">
        <f t="shared" si="13"/>
        <v>-3.5675675675676546E-3</v>
      </c>
    </row>
    <row r="264" spans="2:23" x14ac:dyDescent="0.45">
      <c r="B264" s="50">
        <v>3900</v>
      </c>
      <c r="C264" s="150">
        <f t="shared" si="16"/>
        <v>2.8571428571428572</v>
      </c>
      <c r="D264" s="23">
        <v>2.8479999999999999</v>
      </c>
      <c r="E264" s="1">
        <v>2.843</v>
      </c>
      <c r="F264" s="24">
        <v>2.8519999999999999</v>
      </c>
      <c r="G264" s="4">
        <v>2.8490000000000002</v>
      </c>
      <c r="H264" s="1">
        <v>2.843</v>
      </c>
      <c r="I264" s="25">
        <v>2.8620000000000001</v>
      </c>
      <c r="J264" s="23">
        <v>2.851</v>
      </c>
      <c r="K264" s="1">
        <v>2.8570000000000002</v>
      </c>
      <c r="L264" s="25">
        <v>2.847</v>
      </c>
      <c r="N264" s="22">
        <v>3900</v>
      </c>
      <c r="O264" s="152">
        <f t="shared" si="15"/>
        <v>-3.2000000000000695E-3</v>
      </c>
      <c r="P264" s="152">
        <f t="shared" si="15"/>
        <v>-4.9500000000000316E-3</v>
      </c>
      <c r="Q264" s="153">
        <f t="shared" si="15"/>
        <v>-1.8000000000000683E-3</v>
      </c>
      <c r="R264" s="152">
        <f t="shared" si="14"/>
        <v>-2.8499999999999524E-3</v>
      </c>
      <c r="S264" s="152">
        <f t="shared" si="14"/>
        <v>-4.9500000000000316E-3</v>
      </c>
      <c r="T264" s="154">
        <f t="shared" si="14"/>
        <v>1.7000000000000125E-3</v>
      </c>
      <c r="U264" s="155">
        <f t="shared" si="13"/>
        <v>-2.1500000000000295E-3</v>
      </c>
      <c r="V264" s="152">
        <f t="shared" si="13"/>
        <v>-4.9999999999950082E-5</v>
      </c>
      <c r="W264" s="152">
        <f t="shared" si="13"/>
        <v>-3.550000000000031E-3</v>
      </c>
    </row>
    <row r="265" spans="2:23" x14ac:dyDescent="0.45">
      <c r="B265" s="50">
        <v>3915</v>
      </c>
      <c r="C265" s="150">
        <f t="shared" si="16"/>
        <v>2.8681318681318682</v>
      </c>
      <c r="D265" s="23">
        <v>2.859</v>
      </c>
      <c r="E265" s="1">
        <v>2.8530000000000002</v>
      </c>
      <c r="F265" s="24">
        <v>2.863</v>
      </c>
      <c r="G265" s="4">
        <v>2.8610000000000002</v>
      </c>
      <c r="H265" s="1">
        <v>2.8519999999999999</v>
      </c>
      <c r="I265" s="25">
        <v>2.8730000000000002</v>
      </c>
      <c r="J265" s="23">
        <v>2.863</v>
      </c>
      <c r="K265" s="1">
        <v>2.8679999999999999</v>
      </c>
      <c r="L265" s="25">
        <v>2.8580000000000001</v>
      </c>
      <c r="N265" s="22">
        <v>3915</v>
      </c>
      <c r="O265" s="152">
        <f t="shared" si="15"/>
        <v>-3.1839080459770248E-3</v>
      </c>
      <c r="P265" s="152">
        <f t="shared" si="15"/>
        <v>-5.275862068965455E-3</v>
      </c>
      <c r="Q265" s="153">
        <f t="shared" si="15"/>
        <v>-1.7892720306513532E-3</v>
      </c>
      <c r="R265" s="152">
        <f t="shared" si="14"/>
        <v>-2.4865900383141118E-3</v>
      </c>
      <c r="S265" s="152">
        <f t="shared" si="14"/>
        <v>-5.6245210727969893E-3</v>
      </c>
      <c r="T265" s="154">
        <f t="shared" si="14"/>
        <v>1.6973180076629035E-3</v>
      </c>
      <c r="U265" s="155">
        <f t="shared" si="13"/>
        <v>-1.7892720306513532E-3</v>
      </c>
      <c r="V265" s="152">
        <f t="shared" si="13"/>
        <v>-4.5977011494302259E-5</v>
      </c>
      <c r="W265" s="152">
        <f t="shared" si="13"/>
        <v>-3.5325670498084043E-3</v>
      </c>
    </row>
    <row r="266" spans="2:23" x14ac:dyDescent="0.45">
      <c r="B266" s="50">
        <v>3930</v>
      </c>
      <c r="C266" s="150">
        <f t="shared" si="16"/>
        <v>2.8791208791208791</v>
      </c>
      <c r="D266" s="23">
        <v>2.87</v>
      </c>
      <c r="E266" s="1">
        <v>2.8639999999999999</v>
      </c>
      <c r="F266" s="24">
        <v>2.875</v>
      </c>
      <c r="G266" s="4">
        <v>2.8719999999999999</v>
      </c>
      <c r="H266" s="1">
        <v>2.863</v>
      </c>
      <c r="I266" s="25">
        <v>2.8839999999999999</v>
      </c>
      <c r="J266" s="23">
        <v>2.8730000000000002</v>
      </c>
      <c r="K266" s="1">
        <v>2.879</v>
      </c>
      <c r="L266" s="25">
        <v>2.8679999999999999</v>
      </c>
      <c r="N266" s="22">
        <v>3930</v>
      </c>
      <c r="O266" s="152">
        <f t="shared" si="15"/>
        <v>-3.1679389312976678E-3</v>
      </c>
      <c r="P266" s="152">
        <f t="shared" si="15"/>
        <v>-5.2519083969466019E-3</v>
      </c>
      <c r="Q266" s="153">
        <f t="shared" si="15"/>
        <v>-1.4312977099236591E-3</v>
      </c>
      <c r="R266" s="152">
        <f t="shared" si="14"/>
        <v>-2.4732824427481262E-3</v>
      </c>
      <c r="S266" s="152">
        <f t="shared" si="14"/>
        <v>-5.5992366412213725E-3</v>
      </c>
      <c r="T266" s="154">
        <f t="shared" si="14"/>
        <v>1.6946564885495876E-3</v>
      </c>
      <c r="U266" s="155">
        <f t="shared" si="13"/>
        <v>-2.1259541984732008E-3</v>
      </c>
      <c r="V266" s="152">
        <f t="shared" si="13"/>
        <v>-4.1984732824421164E-5</v>
      </c>
      <c r="W266" s="152">
        <f t="shared" si="13"/>
        <v>-3.8625954198473638E-3</v>
      </c>
    </row>
    <row r="267" spans="2:23" x14ac:dyDescent="0.45">
      <c r="B267" s="50">
        <v>3945</v>
      </c>
      <c r="C267" s="150">
        <f t="shared" si="16"/>
        <v>2.8901098901098901</v>
      </c>
      <c r="D267" s="23">
        <v>2.8809999999999998</v>
      </c>
      <c r="E267" s="1">
        <v>2.8759999999999999</v>
      </c>
      <c r="F267" s="24">
        <v>2.8860000000000001</v>
      </c>
      <c r="G267" s="4">
        <v>2.8839999999999999</v>
      </c>
      <c r="H267" s="1">
        <v>2.8740000000000001</v>
      </c>
      <c r="I267" s="25">
        <v>2.895</v>
      </c>
      <c r="J267" s="23">
        <v>2.8839999999999999</v>
      </c>
      <c r="K267" s="1">
        <v>2.8889999999999998</v>
      </c>
      <c r="L267" s="25">
        <v>2.88</v>
      </c>
      <c r="N267" s="22">
        <v>3945</v>
      </c>
      <c r="O267" s="152">
        <f t="shared" si="15"/>
        <v>-3.1520912547529081E-3</v>
      </c>
      <c r="P267" s="152">
        <f t="shared" si="15"/>
        <v>-4.8821292775665598E-3</v>
      </c>
      <c r="Q267" s="153">
        <f t="shared" si="15"/>
        <v>-1.4220532319391031E-3</v>
      </c>
      <c r="R267" s="152">
        <f t="shared" si="14"/>
        <v>-2.1140684410646559E-3</v>
      </c>
      <c r="S267" s="152">
        <f t="shared" si="14"/>
        <v>-5.5741444866919589E-3</v>
      </c>
      <c r="T267" s="154">
        <f t="shared" si="14"/>
        <v>1.6920152091255E-3</v>
      </c>
      <c r="U267" s="155">
        <f t="shared" si="13"/>
        <v>-2.1140684410646559E-3</v>
      </c>
      <c r="V267" s="152">
        <f t="shared" si="13"/>
        <v>-3.8403041825100452E-4</v>
      </c>
      <c r="W267" s="152">
        <f t="shared" si="13"/>
        <v>-3.4980988593156077E-3</v>
      </c>
    </row>
    <row r="268" spans="2:23" x14ac:dyDescent="0.45">
      <c r="B268" s="50">
        <v>3960</v>
      </c>
      <c r="C268" s="150">
        <f t="shared" si="16"/>
        <v>2.901098901098901</v>
      </c>
      <c r="D268" s="23">
        <v>2.8919999999999999</v>
      </c>
      <c r="E268" s="1">
        <v>2.8860000000000001</v>
      </c>
      <c r="F268" s="24">
        <v>2.8959999999999999</v>
      </c>
      <c r="G268" s="4">
        <v>2.8940000000000001</v>
      </c>
      <c r="H268" s="1">
        <v>2.8849999999999998</v>
      </c>
      <c r="I268" s="25">
        <v>2.9060000000000001</v>
      </c>
      <c r="J268" s="23">
        <v>2.895</v>
      </c>
      <c r="K268" s="1">
        <v>2.9009999999999998</v>
      </c>
      <c r="L268" s="25">
        <v>2.891</v>
      </c>
      <c r="N268" s="22">
        <v>3960</v>
      </c>
      <c r="O268" s="152">
        <f t="shared" si="15"/>
        <v>-3.1363636363636377E-3</v>
      </c>
      <c r="P268" s="152">
        <f t="shared" si="15"/>
        <v>-5.204545454545381E-3</v>
      </c>
      <c r="Q268" s="153">
        <f t="shared" si="15"/>
        <v>-1.7575757575757575E-3</v>
      </c>
      <c r="R268" s="152">
        <f t="shared" si="14"/>
        <v>-2.4469696969696211E-3</v>
      </c>
      <c r="S268" s="152">
        <f t="shared" si="14"/>
        <v>-5.549242424242466E-3</v>
      </c>
      <c r="T268" s="154">
        <f t="shared" si="14"/>
        <v>1.6893939393940191E-3</v>
      </c>
      <c r="U268" s="155">
        <f t="shared" si="13"/>
        <v>-2.1022727272726892E-3</v>
      </c>
      <c r="V268" s="152">
        <f t="shared" si="13"/>
        <v>-3.4090909090945711E-5</v>
      </c>
      <c r="W268" s="152">
        <f t="shared" si="13"/>
        <v>-3.4810606060605691E-3</v>
      </c>
    </row>
    <row r="269" spans="2:23" x14ac:dyDescent="0.45">
      <c r="B269" s="50">
        <v>3975</v>
      </c>
      <c r="C269" s="150">
        <f t="shared" si="16"/>
        <v>2.912087912087912</v>
      </c>
      <c r="D269" s="23">
        <v>2.9020000000000001</v>
      </c>
      <c r="E269" s="1">
        <v>2.8969999999999998</v>
      </c>
      <c r="F269" s="24">
        <v>2.907</v>
      </c>
      <c r="G269" s="4">
        <v>2.9049999999999998</v>
      </c>
      <c r="H269" s="1">
        <v>2.8959999999999999</v>
      </c>
      <c r="I269" s="25">
        <v>2.9169999999999998</v>
      </c>
      <c r="J269" s="23">
        <v>2.9060000000000001</v>
      </c>
      <c r="K269" s="1">
        <v>2.9119999999999999</v>
      </c>
      <c r="L269" s="25">
        <v>2.9020000000000001</v>
      </c>
      <c r="N269" s="22">
        <v>3975</v>
      </c>
      <c r="O269" s="152">
        <f t="shared" si="15"/>
        <v>-3.4641509433961351E-3</v>
      </c>
      <c r="P269" s="152">
        <f t="shared" si="15"/>
        <v>-5.1811320754717224E-3</v>
      </c>
      <c r="Q269" s="153">
        <f t="shared" si="15"/>
        <v>-1.7471698113206999E-3</v>
      </c>
      <c r="R269" s="152">
        <f t="shared" si="14"/>
        <v>-2.4339622641509654E-3</v>
      </c>
      <c r="S269" s="152">
        <f t="shared" si="14"/>
        <v>-5.5245283018867794E-3</v>
      </c>
      <c r="T269" s="154">
        <f t="shared" si="14"/>
        <v>1.6867924528301706E-3</v>
      </c>
      <c r="U269" s="155">
        <f t="shared" si="13"/>
        <v>-2.0905660377357562E-3</v>
      </c>
      <c r="V269" s="152">
        <f t="shared" si="13"/>
        <v>-3.0188679245264614E-5</v>
      </c>
      <c r="W269" s="152">
        <f t="shared" si="13"/>
        <v>-3.4641509433961351E-3</v>
      </c>
    </row>
    <row r="270" spans="2:23" x14ac:dyDescent="0.45">
      <c r="B270" s="50">
        <v>3990</v>
      </c>
      <c r="C270" s="150">
        <f t="shared" si="16"/>
        <v>2.9230769230769229</v>
      </c>
      <c r="D270" s="23">
        <v>2.9129999999999998</v>
      </c>
      <c r="E270" s="1">
        <v>2.9089999999999998</v>
      </c>
      <c r="F270" s="24">
        <v>2.919</v>
      </c>
      <c r="G270" s="4">
        <v>2.915</v>
      </c>
      <c r="H270" s="1">
        <v>2.907</v>
      </c>
      <c r="I270" s="25">
        <v>2.9279999999999999</v>
      </c>
      <c r="J270" s="23">
        <v>2.9169999999999998</v>
      </c>
      <c r="K270" s="1">
        <v>2.923</v>
      </c>
      <c r="L270" s="25">
        <v>2.9129999999999998</v>
      </c>
      <c r="N270" s="22">
        <v>3990</v>
      </c>
      <c r="O270" s="152">
        <f t="shared" si="15"/>
        <v>-3.4473684210526378E-3</v>
      </c>
      <c r="P270" s="152">
        <f t="shared" si="15"/>
        <v>-4.8157894736842177E-3</v>
      </c>
      <c r="Q270" s="153">
        <f t="shared" si="15"/>
        <v>-1.3947368421051915E-3</v>
      </c>
      <c r="R270" s="152">
        <f t="shared" si="14"/>
        <v>-2.7631578947367717E-3</v>
      </c>
      <c r="S270" s="152">
        <f t="shared" si="14"/>
        <v>-5.499999999999932E-3</v>
      </c>
      <c r="T270" s="154">
        <f t="shared" si="14"/>
        <v>1.6842105263158262E-3</v>
      </c>
      <c r="U270" s="155">
        <f t="shared" si="13"/>
        <v>-2.0789473684210574E-3</v>
      </c>
      <c r="V270" s="152">
        <f t="shared" si="13"/>
        <v>-2.6315789473611194E-5</v>
      </c>
      <c r="W270" s="152">
        <f t="shared" si="13"/>
        <v>-3.4473684210526378E-3</v>
      </c>
    </row>
    <row r="271" spans="2:23" x14ac:dyDescent="0.45">
      <c r="B271" s="50">
        <v>4005</v>
      </c>
      <c r="C271" s="150">
        <f t="shared" si="16"/>
        <v>2.9340659340659339</v>
      </c>
      <c r="D271" s="23">
        <v>2.9249999999999998</v>
      </c>
      <c r="E271" s="1">
        <v>2.919</v>
      </c>
      <c r="F271" s="24">
        <v>2.9289999999999998</v>
      </c>
      <c r="G271" s="4">
        <v>2.927</v>
      </c>
      <c r="H271" s="1">
        <v>2.919</v>
      </c>
      <c r="I271" s="25">
        <v>2.9390000000000001</v>
      </c>
      <c r="J271" s="23">
        <v>2.9279999999999999</v>
      </c>
      <c r="K271" s="1">
        <v>2.9340000000000002</v>
      </c>
      <c r="L271" s="25">
        <v>2.9239999999999999</v>
      </c>
      <c r="N271" s="22">
        <v>4005</v>
      </c>
      <c r="O271" s="152">
        <f t="shared" si="15"/>
        <v>-3.0898876404494274E-3</v>
      </c>
      <c r="P271" s="152">
        <f t="shared" si="15"/>
        <v>-5.134831460674073E-3</v>
      </c>
      <c r="Q271" s="153">
        <f t="shared" si="15"/>
        <v>-1.7265917602996134E-3</v>
      </c>
      <c r="R271" s="152">
        <f t="shared" si="14"/>
        <v>-2.4082397003744446E-3</v>
      </c>
      <c r="S271" s="152">
        <f t="shared" si="14"/>
        <v>-5.134831460674073E-3</v>
      </c>
      <c r="T271" s="154">
        <f t="shared" si="14"/>
        <v>1.6816479400749973E-3</v>
      </c>
      <c r="U271" s="155">
        <f t="shared" si="13"/>
        <v>-2.0674157303370291E-3</v>
      </c>
      <c r="V271" s="152">
        <f t="shared" si="13"/>
        <v>-2.2471910112232335E-5</v>
      </c>
      <c r="W271" s="152">
        <f t="shared" si="13"/>
        <v>-3.4307116104868433E-3</v>
      </c>
    </row>
    <row r="272" spans="2:23" x14ac:dyDescent="0.45">
      <c r="B272" s="50">
        <v>4020</v>
      </c>
      <c r="C272" s="150">
        <f t="shared" si="16"/>
        <v>2.9450549450549453</v>
      </c>
      <c r="D272" s="23">
        <v>2.9359999999999999</v>
      </c>
      <c r="E272" s="1">
        <v>2.9289999999999998</v>
      </c>
      <c r="F272" s="24">
        <v>2.94</v>
      </c>
      <c r="G272" s="4">
        <v>2.9380000000000002</v>
      </c>
      <c r="H272" s="1">
        <v>2.9289999999999998</v>
      </c>
      <c r="I272" s="25">
        <v>2.95</v>
      </c>
      <c r="J272" s="23">
        <v>2.9390000000000001</v>
      </c>
      <c r="K272" s="1">
        <v>2.9449999999999998</v>
      </c>
      <c r="L272" s="25">
        <v>2.9350000000000001</v>
      </c>
      <c r="N272" s="22">
        <v>4020</v>
      </c>
      <c r="O272" s="152">
        <f t="shared" si="15"/>
        <v>-3.074626865671727E-3</v>
      </c>
      <c r="P272" s="152">
        <f t="shared" si="15"/>
        <v>-5.4514925373135579E-3</v>
      </c>
      <c r="Q272" s="153">
        <f t="shared" si="15"/>
        <v>-1.7164179104478454E-3</v>
      </c>
      <c r="R272" s="152">
        <f t="shared" si="14"/>
        <v>-2.3955223880597109E-3</v>
      </c>
      <c r="S272" s="152">
        <f t="shared" si="14"/>
        <v>-5.4514925373135579E-3</v>
      </c>
      <c r="T272" s="154">
        <f t="shared" si="14"/>
        <v>1.6791044776119342E-3</v>
      </c>
      <c r="U272" s="155">
        <f t="shared" si="13"/>
        <v>-2.055970149253778E-3</v>
      </c>
      <c r="V272" s="152">
        <f t="shared" si="13"/>
        <v>-1.8656716418031015E-5</v>
      </c>
      <c r="W272" s="152">
        <f t="shared" si="13"/>
        <v>-3.4141791044776599E-3</v>
      </c>
    </row>
    <row r="273" spans="2:23" x14ac:dyDescent="0.45">
      <c r="B273" s="50">
        <v>4035</v>
      </c>
      <c r="C273" s="150">
        <f t="shared" si="16"/>
        <v>2.9560439560439562</v>
      </c>
      <c r="D273" s="23">
        <v>2.9460000000000002</v>
      </c>
      <c r="E273" s="1">
        <v>2.94</v>
      </c>
      <c r="F273" s="24">
        <v>2.952</v>
      </c>
      <c r="G273" s="4">
        <v>2.9489999999999998</v>
      </c>
      <c r="H273" s="1">
        <v>2.94</v>
      </c>
      <c r="I273" s="25">
        <v>2.9609999999999999</v>
      </c>
      <c r="J273" s="23">
        <v>2.95</v>
      </c>
      <c r="K273" s="1">
        <v>2.956</v>
      </c>
      <c r="L273" s="25">
        <v>2.9449999999999998</v>
      </c>
      <c r="N273" s="22">
        <v>4035</v>
      </c>
      <c r="O273" s="152">
        <f t="shared" si="15"/>
        <v>-3.3977695167286184E-3</v>
      </c>
      <c r="P273" s="152">
        <f t="shared" si="15"/>
        <v>-5.4275092936803679E-3</v>
      </c>
      <c r="Q273" s="153">
        <f t="shared" si="15"/>
        <v>-1.3680297397770189E-3</v>
      </c>
      <c r="R273" s="152">
        <f t="shared" si="14"/>
        <v>-2.3828996282528937E-3</v>
      </c>
      <c r="S273" s="152">
        <f t="shared" si="14"/>
        <v>-5.4275092936803679E-3</v>
      </c>
      <c r="T273" s="154">
        <f t="shared" si="14"/>
        <v>1.6765799256504555E-3</v>
      </c>
      <c r="U273" s="155">
        <f t="shared" si="13"/>
        <v>-2.0446096654275019E-3</v>
      </c>
      <c r="V273" s="152">
        <f t="shared" si="13"/>
        <v>-1.4869888475902478E-5</v>
      </c>
      <c r="W273" s="152">
        <f t="shared" si="13"/>
        <v>-3.7360594795540101E-3</v>
      </c>
    </row>
    <row r="274" spans="2:23" x14ac:dyDescent="0.45">
      <c r="B274" s="50">
        <v>4050</v>
      </c>
      <c r="C274" s="150">
        <f t="shared" si="16"/>
        <v>2.9670329670329672</v>
      </c>
      <c r="D274" s="23">
        <v>2.9569999999999999</v>
      </c>
      <c r="E274" s="1">
        <v>2.952</v>
      </c>
      <c r="F274" s="24">
        <v>2.9620000000000002</v>
      </c>
      <c r="G274" s="4">
        <v>2.96</v>
      </c>
      <c r="H274" s="1">
        <v>2.952</v>
      </c>
      <c r="I274" s="25">
        <v>2.972</v>
      </c>
      <c r="J274" s="23">
        <v>2.9620000000000002</v>
      </c>
      <c r="K274" s="1">
        <v>2.9670000000000001</v>
      </c>
      <c r="L274" s="25">
        <v>2.9569999999999999</v>
      </c>
      <c r="N274" s="22">
        <v>4050</v>
      </c>
      <c r="O274" s="152">
        <f t="shared" si="15"/>
        <v>-3.3814814814815712E-3</v>
      </c>
      <c r="P274" s="152">
        <f t="shared" si="15"/>
        <v>-5.0666666666667201E-3</v>
      </c>
      <c r="Q274" s="153">
        <f t="shared" si="15"/>
        <v>-1.6962962962962722E-3</v>
      </c>
      <c r="R274" s="152">
        <f t="shared" si="14"/>
        <v>-2.3703703703704215E-3</v>
      </c>
      <c r="S274" s="152">
        <f t="shared" si="14"/>
        <v>-5.0666666666667201E-3</v>
      </c>
      <c r="T274" s="154">
        <f t="shared" si="14"/>
        <v>1.6740740740740262E-3</v>
      </c>
      <c r="U274" s="155">
        <f t="shared" si="13"/>
        <v>-1.6962962962962722E-3</v>
      </c>
      <c r="V274" s="152">
        <f t="shared" si="13"/>
        <v>-1.1111111111123045E-5</v>
      </c>
      <c r="W274" s="152">
        <f t="shared" si="13"/>
        <v>-3.3814814814815712E-3</v>
      </c>
    </row>
    <row r="275" spans="2:23" x14ac:dyDescent="0.45">
      <c r="B275" s="50">
        <v>4065</v>
      </c>
      <c r="C275" s="150">
        <f t="shared" si="16"/>
        <v>2.9780219780219781</v>
      </c>
      <c r="D275" s="23">
        <v>2.9689999999999999</v>
      </c>
      <c r="E275" s="1">
        <v>2.9630000000000001</v>
      </c>
      <c r="F275" s="24">
        <v>2.9740000000000002</v>
      </c>
      <c r="G275" s="4">
        <v>2.9710000000000001</v>
      </c>
      <c r="H275" s="1">
        <v>2.9630000000000001</v>
      </c>
      <c r="I275" s="25">
        <v>2.9830000000000001</v>
      </c>
      <c r="J275" s="23">
        <v>2.972</v>
      </c>
      <c r="K275" s="1">
        <v>2.9780000000000002</v>
      </c>
      <c r="L275" s="25">
        <v>2.968</v>
      </c>
      <c r="N275" s="22">
        <v>4065</v>
      </c>
      <c r="O275" s="152">
        <f t="shared" si="15"/>
        <v>-3.0295202952030247E-3</v>
      </c>
      <c r="P275" s="152">
        <f t="shared" si="15"/>
        <v>-5.0442804428044276E-3</v>
      </c>
      <c r="Q275" s="153">
        <f t="shared" si="15"/>
        <v>-1.3505535055350147E-3</v>
      </c>
      <c r="R275" s="152">
        <f t="shared" si="14"/>
        <v>-2.3579335793357907E-3</v>
      </c>
      <c r="S275" s="152">
        <f t="shared" si="14"/>
        <v>-5.0442804428044276E-3</v>
      </c>
      <c r="T275" s="154">
        <f t="shared" si="14"/>
        <v>1.6715867158671647E-3</v>
      </c>
      <c r="U275" s="155">
        <f t="shared" si="13"/>
        <v>-2.0221402214022485E-3</v>
      </c>
      <c r="V275" s="152">
        <f t="shared" si="13"/>
        <v>-7.3800738006962269E-6</v>
      </c>
      <c r="W275" s="152">
        <f t="shared" si="13"/>
        <v>-3.365313653136567E-3</v>
      </c>
    </row>
    <row r="276" spans="2:23" x14ac:dyDescent="0.45">
      <c r="B276" s="50">
        <v>4080</v>
      </c>
      <c r="C276" s="150">
        <f t="shared" si="16"/>
        <v>2.9890109890109891</v>
      </c>
      <c r="D276" s="23">
        <v>2.98</v>
      </c>
      <c r="E276" s="1">
        <v>2.9740000000000002</v>
      </c>
      <c r="F276" s="24">
        <v>2.9830000000000001</v>
      </c>
      <c r="G276" s="4">
        <v>2.9820000000000002</v>
      </c>
      <c r="H276" s="1">
        <v>2.9729999999999999</v>
      </c>
      <c r="I276" s="25">
        <v>2.9940000000000002</v>
      </c>
      <c r="J276" s="23">
        <v>2.9820000000000002</v>
      </c>
      <c r="K276" s="1">
        <v>2.9889999999999999</v>
      </c>
      <c r="L276" s="25">
        <v>2.9790000000000001</v>
      </c>
      <c r="N276" s="22">
        <v>4080</v>
      </c>
      <c r="O276" s="152">
        <f t="shared" si="15"/>
        <v>-3.0147058823529601E-3</v>
      </c>
      <c r="P276" s="152">
        <f t="shared" si="15"/>
        <v>-5.0220588235293578E-3</v>
      </c>
      <c r="Q276" s="153">
        <f t="shared" si="15"/>
        <v>-2.0110294117646867E-3</v>
      </c>
      <c r="R276" s="152">
        <f t="shared" si="14"/>
        <v>-2.3455882352940616E-3</v>
      </c>
      <c r="S276" s="152">
        <f t="shared" si="14"/>
        <v>-5.3566176470588815E-3</v>
      </c>
      <c r="T276" s="154">
        <f t="shared" si="14"/>
        <v>1.6691176470588829E-3</v>
      </c>
      <c r="U276" s="155">
        <f t="shared" si="13"/>
        <v>-2.3455882352940616E-3</v>
      </c>
      <c r="V276" s="152">
        <f t="shared" si="13"/>
        <v>-3.6764705882887678E-6</v>
      </c>
      <c r="W276" s="152">
        <f t="shared" si="13"/>
        <v>-3.349264705882335E-3</v>
      </c>
    </row>
    <row r="277" spans="2:23" ht="16.5" thickBot="1" x14ac:dyDescent="0.5">
      <c r="B277" s="15">
        <v>4095</v>
      </c>
      <c r="C277" s="151">
        <f t="shared" si="16"/>
        <v>3</v>
      </c>
      <c r="D277" s="35">
        <v>2.99</v>
      </c>
      <c r="E277" s="44">
        <v>2.984</v>
      </c>
      <c r="F277" s="36">
        <v>2.996</v>
      </c>
      <c r="G277" s="37">
        <v>2.992</v>
      </c>
      <c r="H277" s="44">
        <v>2.984</v>
      </c>
      <c r="I277" s="38">
        <v>3.0049999999999999</v>
      </c>
      <c r="J277" s="35">
        <v>2.9940000000000002</v>
      </c>
      <c r="K277" s="44">
        <v>3</v>
      </c>
      <c r="L277" s="38">
        <v>2.9889999999999999</v>
      </c>
      <c r="N277" s="12">
        <v>4095</v>
      </c>
      <c r="O277" s="152">
        <f t="shared" si="15"/>
        <v>-3.3333333333332624E-3</v>
      </c>
      <c r="P277" s="152">
        <f t="shared" si="15"/>
        <v>-5.3333333333333384E-3</v>
      </c>
      <c r="Q277" s="153">
        <f t="shared" si="15"/>
        <v>-1.3333333333333346E-3</v>
      </c>
      <c r="R277" s="156">
        <f t="shared" si="14"/>
        <v>-2.6666666666666692E-3</v>
      </c>
      <c r="S277" s="156">
        <f t="shared" si="14"/>
        <v>-5.3333333333333384E-3</v>
      </c>
      <c r="T277" s="157">
        <f t="shared" si="14"/>
        <v>1.6666666666666312E-3</v>
      </c>
      <c r="U277" s="155">
        <f t="shared" si="13"/>
        <v>-1.9999999999999276E-3</v>
      </c>
      <c r="V277" s="152">
        <f t="shared" si="13"/>
        <v>0</v>
      </c>
      <c r="W277" s="152">
        <f t="shared" si="13"/>
        <v>-3.6666666666667069E-3</v>
      </c>
    </row>
  </sheetData>
  <mergeCells count="6">
    <mergeCell ref="U2:W2"/>
    <mergeCell ref="D2:F2"/>
    <mergeCell ref="G2:I2"/>
    <mergeCell ref="J2:L2"/>
    <mergeCell ref="O2:Q2"/>
    <mergeCell ref="R2:T2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F8EE-12C3-4505-ADD3-1C9019EED0EB}">
  <dimension ref="B1:BK64"/>
  <sheetViews>
    <sheetView zoomScale="70" zoomScaleNormal="70" workbookViewId="0">
      <selection activeCell="N73" sqref="N73"/>
    </sheetView>
  </sheetViews>
  <sheetFormatPr defaultRowHeight="16" x14ac:dyDescent="0.45"/>
  <cols>
    <col min="1" max="1" width="2.6328125" customWidth="1"/>
    <col min="2" max="2" width="18.90625" bestFit="1" customWidth="1"/>
    <col min="3" max="3" width="7.453125" bestFit="1" customWidth="1"/>
    <col min="4" max="4" width="9" bestFit="1" customWidth="1"/>
    <col min="5" max="15" width="10.08984375" bestFit="1" customWidth="1"/>
    <col min="16" max="16" width="9" bestFit="1" customWidth="1"/>
    <col min="17" max="27" width="10.08984375" bestFit="1" customWidth="1"/>
    <col min="28" max="28" width="9" bestFit="1" customWidth="1"/>
    <col min="29" max="39" width="10.08984375" bestFit="1" customWidth="1"/>
    <col min="40" max="40" width="9" bestFit="1" customWidth="1"/>
    <col min="41" max="51" width="10.08984375" bestFit="1" customWidth="1"/>
    <col min="52" max="52" width="9" bestFit="1" customWidth="1"/>
    <col min="53" max="63" width="10.08984375" bestFit="1" customWidth="1"/>
  </cols>
  <sheetData>
    <row r="1" spans="2:63" ht="16.5" thickBot="1" x14ac:dyDescent="0.5"/>
    <row r="2" spans="2:63" x14ac:dyDescent="0.45">
      <c r="B2" s="11"/>
      <c r="C2" s="11"/>
      <c r="D2" s="263" t="s">
        <v>0</v>
      </c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 t="s">
        <v>1</v>
      </c>
      <c r="Q2" s="268"/>
      <c r="R2" s="268"/>
      <c r="S2" s="268"/>
      <c r="T2" s="268"/>
      <c r="U2" s="268"/>
      <c r="V2" s="268"/>
      <c r="W2" s="268"/>
      <c r="X2" s="268"/>
      <c r="Y2" s="268"/>
      <c r="Z2" s="268"/>
      <c r="AA2" s="268"/>
      <c r="AB2" s="268" t="s">
        <v>2</v>
      </c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 t="s">
        <v>35</v>
      </c>
      <c r="AO2" s="268"/>
      <c r="AP2" s="268"/>
      <c r="AQ2" s="268"/>
      <c r="AR2" s="268"/>
      <c r="AS2" s="268"/>
      <c r="AT2" s="268"/>
      <c r="AU2" s="268"/>
      <c r="AV2" s="268"/>
      <c r="AW2" s="268"/>
      <c r="AX2" s="268"/>
      <c r="AY2" s="268"/>
      <c r="AZ2" s="268" t="s">
        <v>36</v>
      </c>
      <c r="BA2" s="268"/>
      <c r="BB2" s="268"/>
      <c r="BC2" s="268"/>
      <c r="BD2" s="268"/>
      <c r="BE2" s="268"/>
      <c r="BF2" s="268"/>
      <c r="BG2" s="268"/>
      <c r="BH2" s="268"/>
      <c r="BI2" s="268"/>
      <c r="BJ2" s="268"/>
      <c r="BK2" s="266"/>
    </row>
    <row r="3" spans="2:63" ht="16.5" thickBot="1" x14ac:dyDescent="0.5">
      <c r="B3" s="12" t="s">
        <v>37</v>
      </c>
      <c r="C3" s="12" t="s">
        <v>69</v>
      </c>
      <c r="D3" s="13" t="s">
        <v>70</v>
      </c>
      <c r="E3" s="39" t="s">
        <v>71</v>
      </c>
      <c r="F3" s="39" t="s">
        <v>72</v>
      </c>
      <c r="G3" s="39" t="s">
        <v>73</v>
      </c>
      <c r="H3" s="39" t="s">
        <v>74</v>
      </c>
      <c r="I3" s="39" t="s">
        <v>75</v>
      </c>
      <c r="J3" s="39" t="s">
        <v>76</v>
      </c>
      <c r="K3" s="39" t="s">
        <v>77</v>
      </c>
      <c r="L3" s="39" t="s">
        <v>78</v>
      </c>
      <c r="M3" s="39" t="s">
        <v>79</v>
      </c>
      <c r="N3" s="39" t="s">
        <v>80</v>
      </c>
      <c r="O3" s="39" t="s">
        <v>81</v>
      </c>
      <c r="P3" s="39" t="s">
        <v>70</v>
      </c>
      <c r="Q3" s="39" t="s">
        <v>71</v>
      </c>
      <c r="R3" s="39" t="s">
        <v>72</v>
      </c>
      <c r="S3" s="39" t="s">
        <v>73</v>
      </c>
      <c r="T3" s="39" t="s">
        <v>74</v>
      </c>
      <c r="U3" s="39" t="s">
        <v>75</v>
      </c>
      <c r="V3" s="39" t="s">
        <v>76</v>
      </c>
      <c r="W3" s="39" t="s">
        <v>77</v>
      </c>
      <c r="X3" s="39" t="s">
        <v>78</v>
      </c>
      <c r="Y3" s="39" t="s">
        <v>79</v>
      </c>
      <c r="Z3" s="39" t="s">
        <v>80</v>
      </c>
      <c r="AA3" s="39" t="s">
        <v>81</v>
      </c>
      <c r="AB3" s="39" t="s">
        <v>70</v>
      </c>
      <c r="AC3" s="39" t="s">
        <v>71</v>
      </c>
      <c r="AD3" s="39" t="s">
        <v>72</v>
      </c>
      <c r="AE3" s="39" t="s">
        <v>73</v>
      </c>
      <c r="AF3" s="39" t="s">
        <v>74</v>
      </c>
      <c r="AG3" s="39" t="s">
        <v>75</v>
      </c>
      <c r="AH3" s="39" t="s">
        <v>76</v>
      </c>
      <c r="AI3" s="39" t="s">
        <v>77</v>
      </c>
      <c r="AJ3" s="39" t="s">
        <v>78</v>
      </c>
      <c r="AK3" s="39" t="s">
        <v>79</v>
      </c>
      <c r="AL3" s="39" t="s">
        <v>80</v>
      </c>
      <c r="AM3" s="39" t="s">
        <v>81</v>
      </c>
      <c r="AN3" s="39" t="s">
        <v>70</v>
      </c>
      <c r="AO3" s="39" t="s">
        <v>71</v>
      </c>
      <c r="AP3" s="39" t="s">
        <v>72</v>
      </c>
      <c r="AQ3" s="39" t="s">
        <v>73</v>
      </c>
      <c r="AR3" s="39" t="s">
        <v>74</v>
      </c>
      <c r="AS3" s="39" t="s">
        <v>75</v>
      </c>
      <c r="AT3" s="39" t="s">
        <v>76</v>
      </c>
      <c r="AU3" s="39" t="s">
        <v>77</v>
      </c>
      <c r="AV3" s="39" t="s">
        <v>78</v>
      </c>
      <c r="AW3" s="39" t="s">
        <v>79</v>
      </c>
      <c r="AX3" s="39" t="s">
        <v>80</v>
      </c>
      <c r="AY3" s="39" t="s">
        <v>81</v>
      </c>
      <c r="AZ3" s="39" t="s">
        <v>70</v>
      </c>
      <c r="BA3" s="39" t="s">
        <v>71</v>
      </c>
      <c r="BB3" s="39" t="s">
        <v>72</v>
      </c>
      <c r="BC3" s="39" t="s">
        <v>73</v>
      </c>
      <c r="BD3" s="39" t="s">
        <v>74</v>
      </c>
      <c r="BE3" s="39" t="s">
        <v>75</v>
      </c>
      <c r="BF3" s="39" t="s">
        <v>76</v>
      </c>
      <c r="BG3" s="39" t="s">
        <v>77</v>
      </c>
      <c r="BH3" s="39" t="s">
        <v>78</v>
      </c>
      <c r="BI3" s="39" t="s">
        <v>79</v>
      </c>
      <c r="BJ3" s="39" t="s">
        <v>80</v>
      </c>
      <c r="BK3" s="16" t="s">
        <v>81</v>
      </c>
    </row>
    <row r="4" spans="2:63" x14ac:dyDescent="0.45">
      <c r="B4" s="17" t="s">
        <v>82</v>
      </c>
      <c r="C4" s="40" t="s">
        <v>83</v>
      </c>
      <c r="D4" s="18">
        <v>1.7270000000000001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>
        <v>1.665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>
        <v>1.7689999999999999</v>
      </c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>
        <v>1.7889999999999999</v>
      </c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>
        <v>1.776</v>
      </c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21"/>
    </row>
    <row r="5" spans="2:63" x14ac:dyDescent="0.45">
      <c r="B5" s="22" t="s">
        <v>85</v>
      </c>
      <c r="C5" s="22">
        <v>1.4</v>
      </c>
      <c r="D5" s="23">
        <v>1.401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v>1.401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v>1.401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>
        <v>1.401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>
        <v>1.401</v>
      </c>
      <c r="BA5" s="1"/>
      <c r="BB5" s="1"/>
      <c r="BC5" s="1"/>
      <c r="BD5" s="1"/>
      <c r="BE5" s="1"/>
      <c r="BF5" s="1"/>
      <c r="BG5" s="1"/>
      <c r="BH5" s="1"/>
      <c r="BI5" s="1"/>
      <c r="BJ5" s="1"/>
      <c r="BK5" s="25"/>
    </row>
    <row r="6" spans="2:63" x14ac:dyDescent="0.45">
      <c r="B6" s="22" t="s">
        <v>86</v>
      </c>
      <c r="C6" s="22">
        <v>1.5</v>
      </c>
      <c r="D6" s="23">
        <v>1.5129999999999999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1.5069999999999999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v>1.514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>
        <v>1.488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>
        <v>1.5089999999999999</v>
      </c>
      <c r="BA6" s="1"/>
      <c r="BB6" s="1"/>
      <c r="BC6" s="1"/>
      <c r="BD6" s="1"/>
      <c r="BE6" s="1"/>
      <c r="BF6" s="1"/>
      <c r="BG6" s="1"/>
      <c r="BH6" s="1"/>
      <c r="BI6" s="1"/>
      <c r="BJ6" s="1"/>
      <c r="BK6" s="25"/>
    </row>
    <row r="7" spans="2:63" x14ac:dyDescent="0.45">
      <c r="B7" s="22" t="s">
        <v>87</v>
      </c>
      <c r="C7" s="22">
        <v>1.5</v>
      </c>
      <c r="D7" s="23">
        <v>1.5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v>1.504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>
        <v>1.508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>
        <v>1.5089999999999999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>
        <v>1.494</v>
      </c>
      <c r="BA7" s="1"/>
      <c r="BB7" s="1"/>
      <c r="BC7" s="1"/>
      <c r="BD7" s="1"/>
      <c r="BE7" s="1"/>
      <c r="BF7" s="1"/>
      <c r="BG7" s="1"/>
      <c r="BH7" s="1"/>
      <c r="BI7" s="1"/>
      <c r="BJ7" s="1"/>
      <c r="BK7" s="25"/>
    </row>
    <row r="8" spans="2:63" x14ac:dyDescent="0.45">
      <c r="B8" s="22" t="s">
        <v>88</v>
      </c>
      <c r="C8" s="22">
        <v>1.5</v>
      </c>
      <c r="D8" s="23">
        <v>1.5049999999999999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>
        <v>1.5049999999999999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>
        <v>1.5089999999999999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>
        <v>1.514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>
        <v>1.512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25"/>
    </row>
    <row r="9" spans="2:63" x14ac:dyDescent="0.45">
      <c r="B9" s="22" t="s">
        <v>89</v>
      </c>
      <c r="C9" s="22">
        <v>51</v>
      </c>
      <c r="D9" s="23">
        <v>50.433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50.890999999999998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>
        <v>51.448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>
        <v>52.075000000000003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>
        <v>52.259</v>
      </c>
      <c r="BA9" s="1"/>
      <c r="BB9" s="1"/>
      <c r="BC9" s="1"/>
      <c r="BD9" s="1"/>
      <c r="BE9" s="1"/>
      <c r="BF9" s="1"/>
      <c r="BG9" s="1"/>
      <c r="BH9" s="1"/>
      <c r="BI9" s="1"/>
      <c r="BJ9" s="1"/>
      <c r="BK9" s="25"/>
    </row>
    <row r="10" spans="2:63" x14ac:dyDescent="0.45">
      <c r="B10" s="22" t="s">
        <v>90</v>
      </c>
      <c r="C10" s="22">
        <v>40</v>
      </c>
      <c r="D10" s="23">
        <v>39.963000000000001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39.963999999999999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>
        <v>39.963999999999999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>
        <v>39.997999999999998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>
        <v>39.963999999999999</v>
      </c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25"/>
    </row>
    <row r="11" spans="2:63" x14ac:dyDescent="0.45">
      <c r="B11" s="22" t="s">
        <v>91</v>
      </c>
      <c r="C11" s="22">
        <v>50</v>
      </c>
      <c r="D11" s="23">
        <v>49.957999999999998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49.957999999999998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>
        <v>49.957000000000001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>
        <v>50.003999999999998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>
        <v>49.959000000000003</v>
      </c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25"/>
    </row>
    <row r="12" spans="2:63" x14ac:dyDescent="0.45">
      <c r="B12" s="22" t="s">
        <v>92</v>
      </c>
      <c r="C12" s="22">
        <v>60</v>
      </c>
      <c r="D12" s="23">
        <v>59.954999999999998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59.945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>
        <v>59.944000000000003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>
        <v>59.997999999999998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>
        <v>59.954000000000001</v>
      </c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25"/>
    </row>
    <row r="13" spans="2:63" x14ac:dyDescent="0.45">
      <c r="B13" s="22" t="s">
        <v>93</v>
      </c>
      <c r="C13" s="42">
        <f>24*300/4095</f>
        <v>1.7582417582417582</v>
      </c>
      <c r="D13" s="23">
        <v>1.75</v>
      </c>
      <c r="E13" s="1">
        <v>1.7689999999999999</v>
      </c>
      <c r="F13" s="1">
        <v>1.752</v>
      </c>
      <c r="G13" s="1">
        <v>1.7669999999999999</v>
      </c>
      <c r="H13" s="1">
        <v>1.7589999999999999</v>
      </c>
      <c r="I13" s="1">
        <v>1.7609999999999999</v>
      </c>
      <c r="J13" s="1">
        <v>1.7589999999999999</v>
      </c>
      <c r="K13" s="1">
        <v>1.7350000000000001</v>
      </c>
      <c r="L13" s="1">
        <v>1.7589999999999999</v>
      </c>
      <c r="M13" s="1">
        <v>1.754</v>
      </c>
      <c r="N13" s="1">
        <v>1.7609999999999999</v>
      </c>
      <c r="O13" s="1">
        <v>1.754</v>
      </c>
      <c r="P13" s="1">
        <v>1.7629999999999999</v>
      </c>
      <c r="Q13" s="1">
        <v>1.754</v>
      </c>
      <c r="R13" s="1">
        <v>1.7509999999999999</v>
      </c>
      <c r="S13" s="1">
        <v>1.7549999999999999</v>
      </c>
      <c r="T13" s="1">
        <v>1.7589999999999999</v>
      </c>
      <c r="U13" s="1">
        <v>1.7629999999999999</v>
      </c>
      <c r="V13" s="1">
        <v>1.744</v>
      </c>
      <c r="W13" s="1">
        <v>1.72</v>
      </c>
      <c r="X13" s="1">
        <v>1.7589999999999999</v>
      </c>
      <c r="Y13" s="1">
        <v>1.7549999999999999</v>
      </c>
      <c r="Z13" s="1">
        <v>1.7589999999999999</v>
      </c>
      <c r="AA13" s="1">
        <v>1.766</v>
      </c>
      <c r="AB13" s="1">
        <v>1.7569999999999999</v>
      </c>
      <c r="AC13" s="1">
        <v>1.7609999999999999</v>
      </c>
      <c r="AD13" s="1">
        <v>1.7689999999999999</v>
      </c>
      <c r="AE13" s="1">
        <v>1.774</v>
      </c>
      <c r="AF13" s="1">
        <v>1.766</v>
      </c>
      <c r="AG13" s="1">
        <v>1.758</v>
      </c>
      <c r="AH13" s="1">
        <v>1.7629999999999999</v>
      </c>
      <c r="AI13" s="1">
        <v>1.738</v>
      </c>
      <c r="AJ13" s="1">
        <v>1.7609999999999999</v>
      </c>
      <c r="AK13" s="1">
        <v>1.7509999999999999</v>
      </c>
      <c r="AL13" s="1">
        <v>1.77</v>
      </c>
      <c r="AM13" s="1">
        <v>1.7549999999999999</v>
      </c>
      <c r="AN13" s="1">
        <v>1.75</v>
      </c>
      <c r="AO13" s="1">
        <v>1.7569999999999999</v>
      </c>
      <c r="AP13" s="1">
        <v>1.7609999999999999</v>
      </c>
      <c r="AQ13" s="1">
        <v>1.766</v>
      </c>
      <c r="AR13" s="1">
        <v>1.7609999999999999</v>
      </c>
      <c r="AS13" s="1">
        <v>1.7609999999999999</v>
      </c>
      <c r="AT13" s="1">
        <v>1.7589999999999999</v>
      </c>
      <c r="AU13" s="1">
        <v>1.7090000000000001</v>
      </c>
      <c r="AV13" s="1">
        <v>1.7569999999999999</v>
      </c>
      <c r="AW13" s="1">
        <v>1.7549999999999999</v>
      </c>
      <c r="AX13" s="1">
        <v>1.7569999999999999</v>
      </c>
      <c r="AY13" s="1">
        <v>1.7609999999999999</v>
      </c>
      <c r="AZ13" s="1">
        <v>1.766</v>
      </c>
      <c r="BA13" s="1">
        <v>1.7649999999999999</v>
      </c>
      <c r="BB13" s="1">
        <v>1.7669999999999999</v>
      </c>
      <c r="BC13" s="1">
        <v>1.7350000000000001</v>
      </c>
      <c r="BD13" s="1">
        <v>1.7609999999999999</v>
      </c>
      <c r="BE13" s="1">
        <v>1.7629999999999999</v>
      </c>
      <c r="BF13" s="1">
        <v>1.7569999999999999</v>
      </c>
      <c r="BG13" s="1">
        <v>1.748</v>
      </c>
      <c r="BH13" s="1">
        <v>1.7609999999999999</v>
      </c>
      <c r="BI13" s="1">
        <v>1.758</v>
      </c>
      <c r="BJ13" s="1">
        <v>1.7609999999999999</v>
      </c>
      <c r="BK13" s="25">
        <v>1.752</v>
      </c>
    </row>
    <row r="14" spans="2:63" x14ac:dyDescent="0.45">
      <c r="B14" s="22" t="s">
        <v>94</v>
      </c>
      <c r="C14" s="42">
        <f>24*700/4095</f>
        <v>4.1025641025641022</v>
      </c>
      <c r="D14" s="23">
        <v>4.0990000000000002</v>
      </c>
      <c r="E14" s="1">
        <v>4.1189999999999998</v>
      </c>
      <c r="F14" s="1">
        <v>4.1020000000000003</v>
      </c>
      <c r="G14" s="1">
        <v>4.1319999999999997</v>
      </c>
      <c r="H14" s="1">
        <v>4.0990000000000002</v>
      </c>
      <c r="I14" s="1">
        <v>4.1100000000000003</v>
      </c>
      <c r="J14" s="1">
        <v>4.1100000000000003</v>
      </c>
      <c r="K14" s="1">
        <v>4.1059999999999999</v>
      </c>
      <c r="L14" s="1">
        <v>4.1079999999999997</v>
      </c>
      <c r="M14" s="1">
        <v>4.1029999999999998</v>
      </c>
      <c r="N14" s="1">
        <v>4.1079999999999997</v>
      </c>
      <c r="O14" s="1">
        <v>4.1109999999999998</v>
      </c>
      <c r="P14" s="1">
        <v>4.1070000000000002</v>
      </c>
      <c r="Q14" s="1">
        <v>4.0960000000000001</v>
      </c>
      <c r="R14" s="1">
        <v>4.0869999999999997</v>
      </c>
      <c r="S14" s="1">
        <v>4.1040000000000001</v>
      </c>
      <c r="T14" s="1">
        <v>4.1150000000000002</v>
      </c>
      <c r="U14" s="1">
        <v>4.1029999999999998</v>
      </c>
      <c r="V14" s="1">
        <v>4.085</v>
      </c>
      <c r="W14" s="1">
        <v>4.0640000000000001</v>
      </c>
      <c r="X14" s="1">
        <v>4.1040000000000001</v>
      </c>
      <c r="Y14" s="1">
        <v>4.1020000000000003</v>
      </c>
      <c r="Z14" s="1">
        <v>4.1079999999999997</v>
      </c>
      <c r="AA14" s="1">
        <v>4.1139999999999999</v>
      </c>
      <c r="AB14" s="1">
        <v>4.1020000000000003</v>
      </c>
      <c r="AC14" s="1">
        <v>4.1130000000000004</v>
      </c>
      <c r="AD14" s="1">
        <v>4.13</v>
      </c>
      <c r="AE14" s="1">
        <v>4.1340000000000003</v>
      </c>
      <c r="AF14" s="1">
        <v>4.1139999999999999</v>
      </c>
      <c r="AG14" s="1">
        <v>4.1059999999999999</v>
      </c>
      <c r="AH14" s="1">
        <v>4.1150000000000002</v>
      </c>
      <c r="AI14" s="1">
        <v>4.1070000000000002</v>
      </c>
      <c r="AJ14" s="1">
        <v>4.1139999999999999</v>
      </c>
      <c r="AK14" s="1">
        <v>4.0960000000000001</v>
      </c>
      <c r="AL14" s="1">
        <v>4.1269999999999998</v>
      </c>
      <c r="AM14" s="1">
        <v>4.1059999999999999</v>
      </c>
      <c r="AN14" s="1">
        <v>4.0979999999999999</v>
      </c>
      <c r="AO14" s="1">
        <v>4.0990000000000002</v>
      </c>
      <c r="AP14" s="1">
        <v>4.0949999999999998</v>
      </c>
      <c r="AQ14" s="1">
        <v>4.1059999999999999</v>
      </c>
      <c r="AR14" s="1">
        <v>4.1029999999999998</v>
      </c>
      <c r="AS14" s="1">
        <v>4.1059999999999999</v>
      </c>
      <c r="AT14" s="1">
        <v>4.1070000000000002</v>
      </c>
      <c r="AU14" s="1">
        <v>4.0579999999999998</v>
      </c>
      <c r="AV14" s="1">
        <v>4.1040000000000001</v>
      </c>
      <c r="AW14" s="1">
        <v>4.0979999999999999</v>
      </c>
      <c r="AX14" s="1">
        <v>4.1150000000000002</v>
      </c>
      <c r="AY14" s="1">
        <v>4.117</v>
      </c>
      <c r="AZ14" s="1">
        <v>4.117</v>
      </c>
      <c r="BA14" s="1">
        <v>4.1109999999999998</v>
      </c>
      <c r="BB14" s="1">
        <v>4.13</v>
      </c>
      <c r="BC14" s="1">
        <v>4.08</v>
      </c>
      <c r="BD14" s="1">
        <v>4.1130000000000004</v>
      </c>
      <c r="BE14" s="1">
        <v>4.1210000000000004</v>
      </c>
      <c r="BF14" s="1">
        <v>4.1100000000000003</v>
      </c>
      <c r="BG14" s="1">
        <v>4.1040000000000001</v>
      </c>
      <c r="BH14" s="1">
        <v>4.1130000000000004</v>
      </c>
      <c r="BI14" s="1">
        <v>4.1139999999999999</v>
      </c>
      <c r="BJ14" s="1">
        <v>4.1109999999999998</v>
      </c>
      <c r="BK14" s="25">
        <v>4.0940000000000003</v>
      </c>
    </row>
    <row r="15" spans="2:63" x14ac:dyDescent="0.45">
      <c r="B15" s="22" t="s">
        <v>95</v>
      </c>
      <c r="C15" s="42">
        <f>24*3000/4095</f>
        <v>17.582417582417584</v>
      </c>
      <c r="D15" s="23">
        <v>17.568999999999999</v>
      </c>
      <c r="E15" s="1">
        <v>17.574999999999999</v>
      </c>
      <c r="F15" s="1">
        <v>17.649000000000001</v>
      </c>
      <c r="G15" s="1">
        <v>17.597999999999999</v>
      </c>
      <c r="H15" s="1">
        <v>17.556000000000001</v>
      </c>
      <c r="I15" s="1">
        <v>17.523</v>
      </c>
      <c r="J15" s="1">
        <v>17.600000000000001</v>
      </c>
      <c r="K15" s="1">
        <v>17.454999999999998</v>
      </c>
      <c r="L15" s="1">
        <v>17.577000000000002</v>
      </c>
      <c r="M15" s="1">
        <v>17.588000000000001</v>
      </c>
      <c r="N15" s="1">
        <v>17.571000000000002</v>
      </c>
      <c r="O15" s="1">
        <v>17.584</v>
      </c>
      <c r="P15" s="1">
        <v>17.596</v>
      </c>
      <c r="Q15" s="1">
        <v>17.527000000000001</v>
      </c>
      <c r="R15" s="1">
        <v>17.542000000000002</v>
      </c>
      <c r="S15" s="1">
        <v>17.599</v>
      </c>
      <c r="T15" s="1">
        <v>17.629000000000001</v>
      </c>
      <c r="U15" s="1">
        <v>17.562000000000001</v>
      </c>
      <c r="V15" s="1">
        <v>17.477</v>
      </c>
      <c r="W15" s="1">
        <v>17.381</v>
      </c>
      <c r="X15" s="1">
        <v>17.507999999999999</v>
      </c>
      <c r="Y15" s="1">
        <v>17.603000000000002</v>
      </c>
      <c r="Z15" s="1">
        <v>17.576000000000001</v>
      </c>
      <c r="AA15" s="1">
        <v>17.568999999999999</v>
      </c>
      <c r="AB15" s="1">
        <v>17.611000000000001</v>
      </c>
      <c r="AC15" s="1">
        <v>17.571000000000002</v>
      </c>
      <c r="AD15" s="1">
        <v>17.649000000000001</v>
      </c>
      <c r="AE15" s="1">
        <v>17.664000000000001</v>
      </c>
      <c r="AF15" s="1">
        <v>17.591000000000001</v>
      </c>
      <c r="AG15" s="1">
        <v>17.581</v>
      </c>
      <c r="AH15" s="1">
        <v>17.562000000000001</v>
      </c>
      <c r="AI15" s="1">
        <v>17.481000000000002</v>
      </c>
      <c r="AJ15" s="1">
        <v>17.558</v>
      </c>
      <c r="AK15" s="1">
        <v>17.533999999999999</v>
      </c>
      <c r="AL15" s="1">
        <v>17.603000000000002</v>
      </c>
      <c r="AM15" s="1">
        <v>17.602</v>
      </c>
      <c r="AN15" s="1">
        <v>17.609000000000002</v>
      </c>
      <c r="AO15" s="1">
        <v>17.596</v>
      </c>
      <c r="AP15" s="1">
        <v>17.539000000000001</v>
      </c>
      <c r="AQ15" s="1">
        <v>17.591999999999999</v>
      </c>
      <c r="AR15" s="1">
        <v>17.515000000000001</v>
      </c>
      <c r="AS15" s="1">
        <v>17.535</v>
      </c>
      <c r="AT15" s="1">
        <v>17.533000000000001</v>
      </c>
      <c r="AU15" s="1">
        <v>17.414999999999999</v>
      </c>
      <c r="AV15" s="1">
        <v>17.564</v>
      </c>
      <c r="AW15" s="1">
        <v>17.507000000000001</v>
      </c>
      <c r="AX15" s="1">
        <v>17.609000000000002</v>
      </c>
      <c r="AY15" s="1">
        <v>17.652999999999999</v>
      </c>
      <c r="AZ15" s="1">
        <v>17.617999999999999</v>
      </c>
      <c r="BA15" s="1">
        <v>17.556999999999999</v>
      </c>
      <c r="BB15" s="1">
        <v>17.603000000000002</v>
      </c>
      <c r="BC15" s="1">
        <v>17.535</v>
      </c>
      <c r="BD15" s="1">
        <v>17.594999999999999</v>
      </c>
      <c r="BE15" s="1">
        <v>17.655000000000001</v>
      </c>
      <c r="BF15" s="1">
        <v>17.634</v>
      </c>
      <c r="BG15" s="1">
        <v>17.405999999999999</v>
      </c>
      <c r="BH15" s="1">
        <v>17.613</v>
      </c>
      <c r="BI15" s="1">
        <v>17.603000000000002</v>
      </c>
      <c r="BJ15" s="1">
        <v>17.571000000000002</v>
      </c>
      <c r="BK15" s="25">
        <v>17.489000000000001</v>
      </c>
    </row>
    <row r="16" spans="2:63" x14ac:dyDescent="0.45">
      <c r="B16" s="22" t="s">
        <v>96</v>
      </c>
      <c r="C16" s="42">
        <f>4*300/4095</f>
        <v>0.29304029304029305</v>
      </c>
      <c r="D16" s="23">
        <v>0.29299999999999998</v>
      </c>
      <c r="E16" s="1">
        <v>0.29599999999999999</v>
      </c>
      <c r="F16" s="1">
        <v>0.29399999999999998</v>
      </c>
      <c r="G16" s="1">
        <v>0.29699999999999999</v>
      </c>
      <c r="H16" s="1">
        <v>0.29599999999999999</v>
      </c>
      <c r="I16" s="1">
        <v>0.29599999999999999</v>
      </c>
      <c r="J16" s="1">
        <v>0.29599999999999999</v>
      </c>
      <c r="K16" s="1">
        <v>0.29299999999999998</v>
      </c>
      <c r="L16" s="1">
        <v>0.29399999999999998</v>
      </c>
      <c r="M16" s="1">
        <v>0.29399999999999998</v>
      </c>
      <c r="N16" s="1">
        <v>0.29599999999999999</v>
      </c>
      <c r="O16" s="1">
        <v>0.29299999999999998</v>
      </c>
      <c r="P16" s="1">
        <v>0.29599999999999999</v>
      </c>
      <c r="Q16" s="1">
        <v>0.29399999999999998</v>
      </c>
      <c r="R16" s="1">
        <v>0.29299999999999998</v>
      </c>
      <c r="S16" s="1">
        <v>0.29399999999999998</v>
      </c>
      <c r="T16" s="1">
        <v>0.29599999999999999</v>
      </c>
      <c r="U16" s="1">
        <v>0.29599999999999999</v>
      </c>
      <c r="V16" s="1">
        <v>0.29299999999999998</v>
      </c>
      <c r="W16" s="1">
        <v>0.28999999999999998</v>
      </c>
      <c r="X16" s="1">
        <v>0.29399999999999998</v>
      </c>
      <c r="Y16" s="1">
        <v>0.29399999999999998</v>
      </c>
      <c r="Z16" s="1">
        <v>0.29399999999999998</v>
      </c>
      <c r="AA16" s="1">
        <v>0.29699999999999999</v>
      </c>
      <c r="AB16" s="1">
        <v>0.29399999999999998</v>
      </c>
      <c r="AC16" s="1">
        <v>0.29599999999999999</v>
      </c>
      <c r="AD16" s="1">
        <v>0.29599999999999999</v>
      </c>
      <c r="AE16" s="1">
        <v>0.29599999999999999</v>
      </c>
      <c r="AF16" s="1">
        <v>0.29599999999999999</v>
      </c>
      <c r="AG16" s="1">
        <v>0.29399999999999998</v>
      </c>
      <c r="AH16" s="1">
        <v>0.29399999999999998</v>
      </c>
      <c r="AI16" s="1">
        <v>0.29299999999999998</v>
      </c>
      <c r="AJ16" s="1">
        <v>0.29399999999999998</v>
      </c>
      <c r="AK16" s="1">
        <v>0.29299999999999998</v>
      </c>
      <c r="AL16" s="1">
        <v>0.29699999999999999</v>
      </c>
      <c r="AM16" s="1">
        <v>0.29399999999999998</v>
      </c>
      <c r="AN16" s="1">
        <v>0.29299999999999998</v>
      </c>
      <c r="AO16" s="1">
        <v>0.29399999999999998</v>
      </c>
      <c r="AP16" s="1">
        <v>0.29599999999999999</v>
      </c>
      <c r="AQ16" s="1">
        <v>0.29599999999999999</v>
      </c>
      <c r="AR16" s="1">
        <v>0.29399999999999998</v>
      </c>
      <c r="AS16" s="1">
        <v>0.29399999999999998</v>
      </c>
      <c r="AT16" s="1">
        <v>0.29399999999999998</v>
      </c>
      <c r="AU16" s="1">
        <v>0.28799999999999998</v>
      </c>
      <c r="AV16" s="1">
        <v>0.29299999999999998</v>
      </c>
      <c r="AW16" s="1">
        <v>0.29399999999999998</v>
      </c>
      <c r="AX16" s="1">
        <v>0.29399999999999998</v>
      </c>
      <c r="AY16" s="1">
        <v>0.29399999999999998</v>
      </c>
      <c r="AZ16" s="1">
        <v>0.29599999999999999</v>
      </c>
      <c r="BA16" s="1">
        <v>0.29599999999999999</v>
      </c>
      <c r="BB16" s="1">
        <v>0.29599999999999999</v>
      </c>
      <c r="BC16" s="1">
        <v>0.28999999999999998</v>
      </c>
      <c r="BD16" s="1">
        <v>0.29599999999999999</v>
      </c>
      <c r="BE16" s="1">
        <v>0.29399999999999998</v>
      </c>
      <c r="BF16" s="1">
        <v>0.29399999999999998</v>
      </c>
      <c r="BG16" s="1">
        <v>0.29599999999999999</v>
      </c>
      <c r="BH16" s="1">
        <v>0.29599999999999999</v>
      </c>
      <c r="BI16" s="1">
        <v>0.29599999999999999</v>
      </c>
      <c r="BJ16" s="1">
        <v>0.29399999999999998</v>
      </c>
      <c r="BK16" s="25">
        <v>0.29399999999999998</v>
      </c>
    </row>
    <row r="17" spans="2:63" x14ac:dyDescent="0.45">
      <c r="B17" s="22" t="s">
        <v>97</v>
      </c>
      <c r="C17" s="42">
        <f>$C$16*2</f>
        <v>0.58608058608058611</v>
      </c>
      <c r="D17" s="23">
        <v>0.58499999999999996</v>
      </c>
      <c r="E17" s="1">
        <v>0.59</v>
      </c>
      <c r="F17" s="1">
        <v>0.58599999999999997</v>
      </c>
      <c r="G17" s="1">
        <v>0.59</v>
      </c>
      <c r="H17" s="1">
        <v>0.58899999999999997</v>
      </c>
      <c r="I17" s="1">
        <v>0.58899999999999997</v>
      </c>
      <c r="J17" s="1">
        <v>0.58899999999999997</v>
      </c>
      <c r="K17" s="1">
        <v>0.58299999999999996</v>
      </c>
      <c r="L17" s="1">
        <v>0.58899999999999997</v>
      </c>
      <c r="M17" s="1">
        <v>0.58599999999999997</v>
      </c>
      <c r="N17" s="1">
        <v>0.58899999999999997</v>
      </c>
      <c r="O17" s="1">
        <v>0.58599999999999997</v>
      </c>
      <c r="P17" s="1">
        <v>0.59</v>
      </c>
      <c r="Q17" s="1">
        <v>0.58699999999999997</v>
      </c>
      <c r="R17" s="1">
        <v>0.58499999999999996</v>
      </c>
      <c r="S17" s="1">
        <v>0.58599999999999997</v>
      </c>
      <c r="T17" s="1">
        <v>0.58699999999999997</v>
      </c>
      <c r="U17" s="1">
        <v>0.58899999999999997</v>
      </c>
      <c r="V17" s="1">
        <v>0.58299999999999996</v>
      </c>
      <c r="W17" s="1">
        <v>0.57799999999999996</v>
      </c>
      <c r="X17" s="1">
        <v>0.58699999999999997</v>
      </c>
      <c r="Y17" s="1">
        <v>0.58599999999999997</v>
      </c>
      <c r="Z17" s="1">
        <v>0.58899999999999997</v>
      </c>
      <c r="AA17" s="1">
        <v>0.59</v>
      </c>
      <c r="AB17" s="1">
        <v>0.58699999999999997</v>
      </c>
      <c r="AC17" s="1">
        <v>0.58899999999999997</v>
      </c>
      <c r="AD17" s="1">
        <v>0.59099999999999997</v>
      </c>
      <c r="AE17" s="1">
        <v>0.59299999999999997</v>
      </c>
      <c r="AF17" s="1">
        <v>0.59</v>
      </c>
      <c r="AG17" s="1">
        <v>0.58699999999999997</v>
      </c>
      <c r="AH17" s="1">
        <v>0.58699999999999997</v>
      </c>
      <c r="AI17" s="1">
        <v>0.58299999999999996</v>
      </c>
      <c r="AJ17" s="1">
        <v>0.58699999999999997</v>
      </c>
      <c r="AK17" s="1">
        <v>0.58599999999999997</v>
      </c>
      <c r="AL17" s="1">
        <v>0.59099999999999997</v>
      </c>
      <c r="AM17" s="1">
        <v>0.58599999999999997</v>
      </c>
      <c r="AN17" s="1">
        <v>0.58499999999999996</v>
      </c>
      <c r="AO17" s="1">
        <v>0.58899999999999997</v>
      </c>
      <c r="AP17" s="1">
        <v>0.58899999999999997</v>
      </c>
      <c r="AQ17" s="1">
        <v>0.59</v>
      </c>
      <c r="AR17" s="1">
        <v>0.58699999999999997</v>
      </c>
      <c r="AS17" s="1">
        <v>0.58699999999999997</v>
      </c>
      <c r="AT17" s="1">
        <v>0.58699999999999997</v>
      </c>
      <c r="AU17" s="1">
        <v>0.57399999999999995</v>
      </c>
      <c r="AV17" s="1">
        <v>0.58599999999999997</v>
      </c>
      <c r="AW17" s="1">
        <v>0.58699999999999997</v>
      </c>
      <c r="AX17" s="1">
        <v>0.58699999999999997</v>
      </c>
      <c r="AY17" s="1">
        <v>0.58699999999999997</v>
      </c>
      <c r="AZ17" s="1">
        <v>0.59099999999999997</v>
      </c>
      <c r="BA17" s="1">
        <v>0.59099999999999997</v>
      </c>
      <c r="BB17" s="1">
        <v>0.59099999999999997</v>
      </c>
      <c r="BC17" s="1">
        <v>0.57899999999999996</v>
      </c>
      <c r="BD17" s="1">
        <v>0.58699999999999997</v>
      </c>
      <c r="BE17" s="1">
        <v>0.58899999999999997</v>
      </c>
      <c r="BF17" s="1">
        <v>0.58699999999999997</v>
      </c>
      <c r="BG17" s="1">
        <v>0.58699999999999997</v>
      </c>
      <c r="BH17" s="1">
        <v>0.58899999999999997</v>
      </c>
      <c r="BI17" s="1">
        <v>0.58699999999999997</v>
      </c>
      <c r="BJ17" s="1">
        <v>0.58899999999999997</v>
      </c>
      <c r="BK17" s="25">
        <v>0.58599999999999997</v>
      </c>
    </row>
    <row r="18" spans="2:63" x14ac:dyDescent="0.45">
      <c r="B18" s="22" t="s">
        <v>98</v>
      </c>
      <c r="C18" s="42">
        <f>$C$16*3</f>
        <v>0.87912087912087911</v>
      </c>
      <c r="D18" s="23">
        <v>0.878</v>
      </c>
      <c r="E18" s="1">
        <v>0.88700000000000001</v>
      </c>
      <c r="F18" s="1">
        <v>0.88</v>
      </c>
      <c r="G18" s="1">
        <v>0.88800000000000001</v>
      </c>
      <c r="H18" s="1">
        <v>0.88300000000000001</v>
      </c>
      <c r="I18" s="1">
        <v>0.88400000000000001</v>
      </c>
      <c r="J18" s="1">
        <v>0.88300000000000001</v>
      </c>
      <c r="K18" s="1">
        <v>0.875</v>
      </c>
      <c r="L18" s="1">
        <v>0.88200000000000001</v>
      </c>
      <c r="M18" s="1">
        <v>0.88</v>
      </c>
      <c r="N18" s="1">
        <v>0.88400000000000001</v>
      </c>
      <c r="O18" s="1">
        <v>0.88</v>
      </c>
      <c r="P18" s="1">
        <v>0.88600000000000001</v>
      </c>
      <c r="Q18" s="1">
        <v>0.88200000000000001</v>
      </c>
      <c r="R18" s="1">
        <v>0.879</v>
      </c>
      <c r="S18" s="1">
        <v>0.88</v>
      </c>
      <c r="T18" s="1">
        <v>0.88300000000000001</v>
      </c>
      <c r="U18" s="1">
        <v>0.88600000000000001</v>
      </c>
      <c r="V18" s="1">
        <v>0.876</v>
      </c>
      <c r="W18" s="1">
        <v>0.86699999999999999</v>
      </c>
      <c r="X18" s="1">
        <v>0.88200000000000001</v>
      </c>
      <c r="Y18" s="1">
        <v>0.88200000000000001</v>
      </c>
      <c r="Z18" s="1">
        <v>0.88400000000000001</v>
      </c>
      <c r="AA18" s="1">
        <v>0.88700000000000001</v>
      </c>
      <c r="AB18" s="1">
        <v>0.88300000000000001</v>
      </c>
      <c r="AC18" s="1">
        <v>0.88400000000000001</v>
      </c>
      <c r="AD18" s="1">
        <v>0.88700000000000001</v>
      </c>
      <c r="AE18" s="1">
        <v>0.89</v>
      </c>
      <c r="AF18" s="1">
        <v>0.88700000000000001</v>
      </c>
      <c r="AG18" s="1">
        <v>0.88200000000000001</v>
      </c>
      <c r="AH18" s="1">
        <v>0.88400000000000001</v>
      </c>
      <c r="AI18" s="1">
        <v>0.876</v>
      </c>
      <c r="AJ18" s="1">
        <v>0.88300000000000001</v>
      </c>
      <c r="AK18" s="1">
        <v>0.88</v>
      </c>
      <c r="AL18" s="1">
        <v>0.88800000000000001</v>
      </c>
      <c r="AM18" s="1">
        <v>0.88200000000000001</v>
      </c>
      <c r="AN18" s="1">
        <v>0.878</v>
      </c>
      <c r="AO18" s="1">
        <v>0.88200000000000001</v>
      </c>
      <c r="AP18" s="1">
        <v>0.88400000000000001</v>
      </c>
      <c r="AQ18" s="1">
        <v>0.88700000000000001</v>
      </c>
      <c r="AR18" s="1">
        <v>0.88400000000000001</v>
      </c>
      <c r="AS18" s="1">
        <v>0.88300000000000001</v>
      </c>
      <c r="AT18" s="1">
        <v>0.88300000000000001</v>
      </c>
      <c r="AU18" s="1">
        <v>0.86099999999999999</v>
      </c>
      <c r="AV18" s="1">
        <v>0.88</v>
      </c>
      <c r="AW18" s="1">
        <v>0.88200000000000001</v>
      </c>
      <c r="AX18" s="1">
        <v>0.88300000000000001</v>
      </c>
      <c r="AY18" s="1">
        <v>0.88300000000000001</v>
      </c>
      <c r="AZ18" s="1">
        <v>0.88700000000000001</v>
      </c>
      <c r="BA18" s="1">
        <v>0.88600000000000001</v>
      </c>
      <c r="BB18" s="1">
        <v>0.88700000000000001</v>
      </c>
      <c r="BC18" s="1">
        <v>0.871</v>
      </c>
      <c r="BD18" s="1">
        <v>0.88400000000000001</v>
      </c>
      <c r="BE18" s="1">
        <v>0.88600000000000001</v>
      </c>
      <c r="BF18" s="1">
        <v>0.88200000000000001</v>
      </c>
      <c r="BG18" s="1">
        <v>0.88200000000000001</v>
      </c>
      <c r="BH18" s="1">
        <v>0.88400000000000001</v>
      </c>
      <c r="BI18" s="1">
        <v>0.88300000000000001</v>
      </c>
      <c r="BJ18" s="1">
        <v>0.88300000000000001</v>
      </c>
      <c r="BK18" s="25">
        <v>0.879</v>
      </c>
    </row>
    <row r="19" spans="2:63" x14ac:dyDescent="0.45">
      <c r="B19" s="22" t="s">
        <v>99</v>
      </c>
      <c r="C19" s="42">
        <f>$C$16*4</f>
        <v>1.1721611721611722</v>
      </c>
      <c r="D19" s="23">
        <v>1.1659999999999999</v>
      </c>
      <c r="E19" s="1">
        <v>1.18</v>
      </c>
      <c r="F19" s="1">
        <v>1.171</v>
      </c>
      <c r="G19" s="1">
        <v>1.181</v>
      </c>
      <c r="H19" s="1">
        <v>1.1759999999999999</v>
      </c>
      <c r="I19" s="1">
        <v>1.1759999999999999</v>
      </c>
      <c r="J19" s="1">
        <v>1.1759999999999999</v>
      </c>
      <c r="K19" s="1">
        <v>1.1619999999999999</v>
      </c>
      <c r="L19" s="1">
        <v>1.1759999999999999</v>
      </c>
      <c r="M19" s="1">
        <v>1.1719999999999999</v>
      </c>
      <c r="N19" s="1">
        <v>1.1759999999999999</v>
      </c>
      <c r="O19" s="1">
        <v>1.1719999999999999</v>
      </c>
      <c r="P19" s="1">
        <v>1.179</v>
      </c>
      <c r="Q19" s="1">
        <v>1.1719999999999999</v>
      </c>
      <c r="R19" s="1">
        <v>1.169</v>
      </c>
      <c r="S19" s="1">
        <v>1.1719999999999999</v>
      </c>
      <c r="T19" s="1">
        <v>1.175</v>
      </c>
      <c r="U19" s="1">
        <v>1.179</v>
      </c>
      <c r="V19" s="1">
        <v>1.165</v>
      </c>
      <c r="W19" s="1">
        <v>1.1499999999999999</v>
      </c>
      <c r="X19" s="1">
        <v>1.175</v>
      </c>
      <c r="Y19" s="1">
        <v>1.1719999999999999</v>
      </c>
      <c r="Z19" s="1">
        <v>1.1759999999999999</v>
      </c>
      <c r="AA19" s="1">
        <v>1.18</v>
      </c>
      <c r="AB19" s="1">
        <v>1.175</v>
      </c>
      <c r="AC19" s="1">
        <v>1.1759999999999999</v>
      </c>
      <c r="AD19" s="1">
        <v>1.181</v>
      </c>
      <c r="AE19" s="1">
        <v>1.1839999999999999</v>
      </c>
      <c r="AF19" s="1">
        <v>1.179</v>
      </c>
      <c r="AG19" s="1">
        <v>1.173</v>
      </c>
      <c r="AH19" s="1">
        <v>1.177</v>
      </c>
      <c r="AI19" s="1">
        <v>1.1659999999999999</v>
      </c>
      <c r="AJ19" s="1">
        <v>1.1759999999999999</v>
      </c>
      <c r="AK19" s="1">
        <v>1.171</v>
      </c>
      <c r="AL19" s="1">
        <v>1.1830000000000001</v>
      </c>
      <c r="AM19" s="1">
        <v>1.173</v>
      </c>
      <c r="AN19" s="1">
        <v>1.169</v>
      </c>
      <c r="AO19" s="1">
        <v>1.175</v>
      </c>
      <c r="AP19" s="1">
        <v>1.177</v>
      </c>
      <c r="AQ19" s="1">
        <v>1.18</v>
      </c>
      <c r="AR19" s="1">
        <v>1.1759999999999999</v>
      </c>
      <c r="AS19" s="1">
        <v>1.1759999999999999</v>
      </c>
      <c r="AT19" s="1">
        <v>1.175</v>
      </c>
      <c r="AU19" s="1">
        <v>1.145</v>
      </c>
      <c r="AV19" s="1">
        <v>1.173</v>
      </c>
      <c r="AW19" s="1">
        <v>1.1719999999999999</v>
      </c>
      <c r="AX19" s="1">
        <v>1.173</v>
      </c>
      <c r="AY19" s="1">
        <v>1.175</v>
      </c>
      <c r="AZ19" s="1">
        <v>1.18</v>
      </c>
      <c r="BA19" s="1">
        <v>1.179</v>
      </c>
      <c r="BB19" s="1">
        <v>1.181</v>
      </c>
      <c r="BC19" s="1">
        <v>1.1599999999999999</v>
      </c>
      <c r="BD19" s="1">
        <v>1.1759999999999999</v>
      </c>
      <c r="BE19" s="1">
        <v>1.179</v>
      </c>
      <c r="BF19" s="1">
        <v>1.173</v>
      </c>
      <c r="BG19" s="1">
        <v>1.171</v>
      </c>
      <c r="BH19" s="1">
        <v>1.1759999999999999</v>
      </c>
      <c r="BI19" s="1">
        <v>1.175</v>
      </c>
      <c r="BJ19" s="1">
        <v>1.175</v>
      </c>
      <c r="BK19" s="25">
        <v>1.171</v>
      </c>
    </row>
    <row r="20" spans="2:63" x14ac:dyDescent="0.45">
      <c r="B20" s="22" t="s">
        <v>100</v>
      </c>
      <c r="C20" s="42">
        <f>$C$16*5</f>
        <v>1.4652014652014653</v>
      </c>
      <c r="D20" s="23">
        <v>1.4590000000000001</v>
      </c>
      <c r="E20" s="1">
        <v>1.476</v>
      </c>
      <c r="F20" s="1">
        <v>1.462</v>
      </c>
      <c r="G20" s="1">
        <v>1.476</v>
      </c>
      <c r="H20" s="1">
        <v>1.4690000000000001</v>
      </c>
      <c r="I20" s="1">
        <v>1.4690000000000001</v>
      </c>
      <c r="J20" s="1">
        <v>1.47</v>
      </c>
      <c r="K20" s="1">
        <v>1.4510000000000001</v>
      </c>
      <c r="L20" s="1">
        <v>1.4690000000000001</v>
      </c>
      <c r="M20" s="1">
        <v>1.464</v>
      </c>
      <c r="N20" s="1">
        <v>1.4690000000000001</v>
      </c>
      <c r="O20" s="1">
        <v>1.462</v>
      </c>
      <c r="P20" s="1">
        <v>1.4730000000000001</v>
      </c>
      <c r="Q20" s="1">
        <v>1.4650000000000001</v>
      </c>
      <c r="R20" s="1">
        <v>1.462</v>
      </c>
      <c r="S20" s="1">
        <v>1.4650000000000001</v>
      </c>
      <c r="T20" s="1">
        <v>1.4690000000000001</v>
      </c>
      <c r="U20" s="1">
        <v>1.4730000000000001</v>
      </c>
      <c r="V20" s="1">
        <v>1.4570000000000001</v>
      </c>
      <c r="W20" s="1">
        <v>1.4359999999999999</v>
      </c>
      <c r="X20" s="1">
        <v>1.468</v>
      </c>
      <c r="Y20" s="1">
        <v>1.4650000000000001</v>
      </c>
      <c r="Z20" s="1">
        <v>1.4690000000000001</v>
      </c>
      <c r="AA20" s="1">
        <v>1.474</v>
      </c>
      <c r="AB20" s="1">
        <v>1.466</v>
      </c>
      <c r="AC20" s="1">
        <v>1.4690000000000001</v>
      </c>
      <c r="AD20" s="1">
        <v>1.474</v>
      </c>
      <c r="AE20" s="1">
        <v>1.48</v>
      </c>
      <c r="AF20" s="1">
        <v>1.4730000000000001</v>
      </c>
      <c r="AG20" s="1">
        <v>1.466</v>
      </c>
      <c r="AH20" s="1">
        <v>1.4730000000000001</v>
      </c>
      <c r="AI20" s="1">
        <v>1.454</v>
      </c>
      <c r="AJ20" s="1">
        <v>1.47</v>
      </c>
      <c r="AK20" s="1">
        <v>1.464</v>
      </c>
      <c r="AL20" s="1">
        <v>1.4770000000000001</v>
      </c>
      <c r="AM20" s="1">
        <v>1.4650000000000001</v>
      </c>
      <c r="AN20" s="1">
        <v>1.458</v>
      </c>
      <c r="AO20" s="1">
        <v>1.4690000000000001</v>
      </c>
      <c r="AP20" s="1">
        <v>1.47</v>
      </c>
      <c r="AQ20" s="1">
        <v>1.474</v>
      </c>
      <c r="AR20" s="1">
        <v>1.47</v>
      </c>
      <c r="AS20" s="1">
        <v>1.47</v>
      </c>
      <c r="AT20" s="1">
        <v>1.4690000000000001</v>
      </c>
      <c r="AU20" s="1">
        <v>1.431</v>
      </c>
      <c r="AV20" s="1">
        <v>1.466</v>
      </c>
      <c r="AW20" s="1">
        <v>1.4650000000000001</v>
      </c>
      <c r="AX20" s="1">
        <v>1.468</v>
      </c>
      <c r="AY20" s="1">
        <v>1.4690000000000001</v>
      </c>
      <c r="AZ20" s="1">
        <v>1.474</v>
      </c>
      <c r="BA20" s="1">
        <v>1.4730000000000001</v>
      </c>
      <c r="BB20" s="1">
        <v>1.474</v>
      </c>
      <c r="BC20" s="1">
        <v>1.4490000000000001</v>
      </c>
      <c r="BD20" s="1">
        <v>1.47</v>
      </c>
      <c r="BE20" s="1">
        <v>1.472</v>
      </c>
      <c r="BF20" s="1">
        <v>1.466</v>
      </c>
      <c r="BG20" s="1">
        <v>1.4610000000000001</v>
      </c>
      <c r="BH20" s="1">
        <v>1.47</v>
      </c>
      <c r="BI20" s="1">
        <v>1.468</v>
      </c>
      <c r="BJ20" s="1">
        <v>1.472</v>
      </c>
      <c r="BK20" s="25">
        <v>1.464</v>
      </c>
    </row>
    <row r="21" spans="2:63" x14ac:dyDescent="0.45">
      <c r="B21" s="22" t="s">
        <v>101</v>
      </c>
      <c r="C21" s="42">
        <f>$C$16*6</f>
        <v>1.7582417582417582</v>
      </c>
      <c r="D21" s="23">
        <v>1.748</v>
      </c>
      <c r="E21" s="1">
        <v>1.7689999999999999</v>
      </c>
      <c r="F21" s="1">
        <v>1.752</v>
      </c>
      <c r="G21" s="1">
        <v>1.7669999999999999</v>
      </c>
      <c r="H21" s="1">
        <v>1.7589999999999999</v>
      </c>
      <c r="I21" s="1">
        <v>1.7609999999999999</v>
      </c>
      <c r="J21" s="1">
        <v>1.7589999999999999</v>
      </c>
      <c r="K21" s="1">
        <v>1.7350000000000001</v>
      </c>
      <c r="L21" s="1">
        <v>1.7589999999999999</v>
      </c>
      <c r="M21" s="1">
        <v>1.754</v>
      </c>
      <c r="N21" s="1">
        <v>1.7609999999999999</v>
      </c>
      <c r="O21" s="1">
        <v>1.754</v>
      </c>
      <c r="P21" s="1">
        <v>1.7629999999999999</v>
      </c>
      <c r="Q21" s="1">
        <v>1.7549999999999999</v>
      </c>
      <c r="R21" s="1">
        <v>1.752</v>
      </c>
      <c r="S21" s="1">
        <v>1.7549999999999999</v>
      </c>
      <c r="T21" s="1">
        <v>1.758</v>
      </c>
      <c r="U21" s="1">
        <v>1.7629999999999999</v>
      </c>
      <c r="V21" s="1">
        <v>1.746</v>
      </c>
      <c r="W21" s="1">
        <v>1.7190000000000001</v>
      </c>
      <c r="X21" s="1">
        <v>1.7589999999999999</v>
      </c>
      <c r="Y21" s="1">
        <v>1.7549999999999999</v>
      </c>
      <c r="Z21" s="1">
        <v>1.7589999999999999</v>
      </c>
      <c r="AA21" s="1">
        <v>1.766</v>
      </c>
      <c r="AB21" s="1">
        <v>1.7569999999999999</v>
      </c>
      <c r="AC21" s="1">
        <v>1.7609999999999999</v>
      </c>
      <c r="AD21" s="1">
        <v>1.7669999999999999</v>
      </c>
      <c r="AE21" s="1">
        <v>1.774</v>
      </c>
      <c r="AF21" s="1">
        <v>1.766</v>
      </c>
      <c r="AG21" s="1">
        <v>1.758</v>
      </c>
      <c r="AH21" s="1">
        <v>1.7629999999999999</v>
      </c>
      <c r="AI21" s="1">
        <v>1.738</v>
      </c>
      <c r="AJ21" s="1">
        <v>1.7609999999999999</v>
      </c>
      <c r="AK21" s="1">
        <v>1.752</v>
      </c>
      <c r="AL21" s="1">
        <v>1.77</v>
      </c>
      <c r="AM21" s="1">
        <v>1.7549999999999999</v>
      </c>
      <c r="AN21" s="1">
        <v>1.748</v>
      </c>
      <c r="AO21" s="1">
        <v>1.7569999999999999</v>
      </c>
      <c r="AP21" s="1">
        <v>1.762</v>
      </c>
      <c r="AQ21" s="1">
        <v>1.7669999999999999</v>
      </c>
      <c r="AR21" s="1">
        <v>1.7609999999999999</v>
      </c>
      <c r="AS21" s="1">
        <v>1.7609999999999999</v>
      </c>
      <c r="AT21" s="1">
        <v>1.7589999999999999</v>
      </c>
      <c r="AU21" s="1">
        <v>1.708</v>
      </c>
      <c r="AV21" s="1">
        <v>1.7569999999999999</v>
      </c>
      <c r="AW21" s="1">
        <v>1.7549999999999999</v>
      </c>
      <c r="AX21" s="1">
        <v>1.7569999999999999</v>
      </c>
      <c r="AY21" s="1">
        <v>1.7589999999999999</v>
      </c>
      <c r="AZ21" s="1">
        <v>1.7669999999999999</v>
      </c>
      <c r="BA21" s="1">
        <v>1.7649999999999999</v>
      </c>
      <c r="BB21" s="1">
        <v>1.766</v>
      </c>
      <c r="BC21" s="1">
        <v>1.7350000000000001</v>
      </c>
      <c r="BD21" s="1">
        <v>1.7609999999999999</v>
      </c>
      <c r="BE21" s="1">
        <v>1.762</v>
      </c>
      <c r="BF21" s="1">
        <v>1.7549999999999999</v>
      </c>
      <c r="BG21" s="1">
        <v>1.746</v>
      </c>
      <c r="BH21" s="1">
        <v>1.7609999999999999</v>
      </c>
      <c r="BI21" s="1">
        <v>1.7569999999999999</v>
      </c>
      <c r="BJ21" s="1">
        <v>1.7609999999999999</v>
      </c>
      <c r="BK21" s="25">
        <v>1.752</v>
      </c>
    </row>
    <row r="22" spans="2:63" x14ac:dyDescent="0.45">
      <c r="B22" s="22" t="s">
        <v>102</v>
      </c>
      <c r="C22" s="42">
        <f>$C$16*7</f>
        <v>2.0512820512820515</v>
      </c>
      <c r="D22" s="23">
        <v>2.0390000000000001</v>
      </c>
      <c r="E22" s="1">
        <v>2.0619999999999998</v>
      </c>
      <c r="F22" s="1">
        <v>2.0430000000000001</v>
      </c>
      <c r="G22" s="1">
        <v>2.06</v>
      </c>
      <c r="H22" s="1">
        <v>2.0510000000000002</v>
      </c>
      <c r="I22" s="1">
        <v>2.052</v>
      </c>
      <c r="J22" s="1">
        <v>2.0510000000000002</v>
      </c>
      <c r="K22" s="1">
        <v>2.02</v>
      </c>
      <c r="L22" s="1">
        <v>2.0510000000000002</v>
      </c>
      <c r="M22" s="1">
        <v>2.044</v>
      </c>
      <c r="N22" s="1">
        <v>2.052</v>
      </c>
      <c r="O22" s="1">
        <v>2.044</v>
      </c>
      <c r="P22" s="1">
        <v>2.0550000000000002</v>
      </c>
      <c r="Q22" s="1">
        <v>2.0470000000000002</v>
      </c>
      <c r="R22" s="1">
        <v>2.04</v>
      </c>
      <c r="S22" s="1">
        <v>2.0449999999999999</v>
      </c>
      <c r="T22" s="1">
        <v>2.052</v>
      </c>
      <c r="U22" s="1">
        <v>2.0579999999999998</v>
      </c>
      <c r="V22" s="1">
        <v>2.0329999999999999</v>
      </c>
      <c r="W22" s="1">
        <v>1.9990000000000001</v>
      </c>
      <c r="X22" s="1">
        <v>2.0489999999999999</v>
      </c>
      <c r="Y22" s="1">
        <v>2.0470000000000002</v>
      </c>
      <c r="Z22" s="1">
        <v>2.0510000000000002</v>
      </c>
      <c r="AA22" s="1">
        <v>2.0579999999999998</v>
      </c>
      <c r="AB22" s="1">
        <v>2.0470000000000002</v>
      </c>
      <c r="AC22" s="1">
        <v>2.052</v>
      </c>
      <c r="AD22" s="1">
        <v>2.06</v>
      </c>
      <c r="AE22" s="1">
        <v>2.0670000000000002</v>
      </c>
      <c r="AF22" s="1">
        <v>2.0590000000000002</v>
      </c>
      <c r="AG22" s="1">
        <v>2.0489999999999999</v>
      </c>
      <c r="AH22" s="1">
        <v>2.056</v>
      </c>
      <c r="AI22" s="1">
        <v>2.024</v>
      </c>
      <c r="AJ22" s="1">
        <v>2.0539999999999998</v>
      </c>
      <c r="AK22" s="1">
        <v>2.0430000000000001</v>
      </c>
      <c r="AL22" s="1">
        <v>2.0630000000000002</v>
      </c>
      <c r="AM22" s="1">
        <v>2.0449999999999999</v>
      </c>
      <c r="AN22" s="1">
        <v>2.0390000000000001</v>
      </c>
      <c r="AO22" s="1">
        <v>2.048</v>
      </c>
      <c r="AP22" s="1">
        <v>2.0539999999999998</v>
      </c>
      <c r="AQ22" s="1">
        <v>2.0579999999999998</v>
      </c>
      <c r="AR22" s="1">
        <v>2.052</v>
      </c>
      <c r="AS22" s="1">
        <v>2.052</v>
      </c>
      <c r="AT22" s="1">
        <v>2.052</v>
      </c>
      <c r="AU22" s="1">
        <v>1.9910000000000001</v>
      </c>
      <c r="AV22" s="1">
        <v>2.0470000000000002</v>
      </c>
      <c r="AW22" s="1">
        <v>2.0470000000000002</v>
      </c>
      <c r="AX22" s="1">
        <v>2.048</v>
      </c>
      <c r="AY22" s="1">
        <v>2.052</v>
      </c>
      <c r="AZ22" s="1">
        <v>2.0590000000000002</v>
      </c>
      <c r="BA22" s="1">
        <v>2.056</v>
      </c>
      <c r="BB22" s="1">
        <v>2.0590000000000002</v>
      </c>
      <c r="BC22" s="1">
        <v>2.0219999999999998</v>
      </c>
      <c r="BD22" s="1">
        <v>2.0539999999999998</v>
      </c>
      <c r="BE22" s="1">
        <v>2.0550000000000002</v>
      </c>
      <c r="BF22" s="1">
        <v>2.0470000000000002</v>
      </c>
      <c r="BG22" s="1">
        <v>2.032</v>
      </c>
      <c r="BH22" s="1">
        <v>2.052</v>
      </c>
      <c r="BI22" s="1">
        <v>2.048</v>
      </c>
      <c r="BJ22" s="1">
        <v>2.052</v>
      </c>
      <c r="BK22" s="25">
        <v>2.0430000000000001</v>
      </c>
    </row>
    <row r="23" spans="2:63" x14ac:dyDescent="0.45">
      <c r="B23" s="22" t="s">
        <v>103</v>
      </c>
      <c r="C23" s="42">
        <f>$C$16*8</f>
        <v>2.3443223443223444</v>
      </c>
      <c r="D23" s="23">
        <v>2.3290000000000002</v>
      </c>
      <c r="E23" s="1">
        <v>2.3530000000000002</v>
      </c>
      <c r="F23" s="1">
        <v>2.3330000000000002</v>
      </c>
      <c r="G23" s="1">
        <v>2.3530000000000002</v>
      </c>
      <c r="H23" s="1">
        <v>2.3420000000000001</v>
      </c>
      <c r="I23" s="1">
        <v>2.3439999999999999</v>
      </c>
      <c r="J23" s="1">
        <v>2.34</v>
      </c>
      <c r="K23" s="1">
        <v>2.302</v>
      </c>
      <c r="L23" s="1">
        <v>2.34</v>
      </c>
      <c r="M23" s="1">
        <v>2.3330000000000002</v>
      </c>
      <c r="N23" s="1">
        <v>2.3450000000000002</v>
      </c>
      <c r="O23" s="1">
        <v>2.3340000000000001</v>
      </c>
      <c r="P23" s="1">
        <v>2.347</v>
      </c>
      <c r="Q23" s="1">
        <v>2.3359999999999999</v>
      </c>
      <c r="R23" s="1">
        <v>2.3319999999999999</v>
      </c>
      <c r="S23" s="1">
        <v>2.3359999999999999</v>
      </c>
      <c r="T23" s="1">
        <v>2.3420000000000001</v>
      </c>
      <c r="U23" s="1">
        <v>2.351</v>
      </c>
      <c r="V23" s="1">
        <v>2.3220000000000001</v>
      </c>
      <c r="W23" s="1">
        <v>2.2829999999999999</v>
      </c>
      <c r="X23" s="1">
        <v>2.3420000000000001</v>
      </c>
      <c r="Y23" s="1">
        <v>2.3370000000000002</v>
      </c>
      <c r="Z23" s="1">
        <v>2.3420000000000001</v>
      </c>
      <c r="AA23" s="1">
        <v>2.3519999999999999</v>
      </c>
      <c r="AB23" s="1">
        <v>2.34</v>
      </c>
      <c r="AC23" s="1">
        <v>2.3450000000000002</v>
      </c>
      <c r="AD23" s="1">
        <v>2.3530000000000002</v>
      </c>
      <c r="AE23" s="1">
        <v>2.3610000000000002</v>
      </c>
      <c r="AF23" s="1">
        <v>2.351</v>
      </c>
      <c r="AG23" s="1">
        <v>2.3410000000000002</v>
      </c>
      <c r="AH23" s="1">
        <v>2.351</v>
      </c>
      <c r="AI23" s="1">
        <v>2.3090000000000002</v>
      </c>
      <c r="AJ23" s="1">
        <v>2.347</v>
      </c>
      <c r="AK23" s="1">
        <v>2.3330000000000002</v>
      </c>
      <c r="AL23" s="1">
        <v>2.3570000000000002</v>
      </c>
      <c r="AM23" s="1">
        <v>2.3370000000000002</v>
      </c>
      <c r="AN23" s="1">
        <v>2.33</v>
      </c>
      <c r="AO23" s="1">
        <v>2.34</v>
      </c>
      <c r="AP23" s="1">
        <v>2.347</v>
      </c>
      <c r="AQ23" s="1">
        <v>2.351</v>
      </c>
      <c r="AR23" s="1">
        <v>2.3439999999999999</v>
      </c>
      <c r="AS23" s="1">
        <v>2.3450000000000002</v>
      </c>
      <c r="AT23" s="1">
        <v>2.3439999999999999</v>
      </c>
      <c r="AU23" s="1">
        <v>2.2709999999999999</v>
      </c>
      <c r="AV23" s="1">
        <v>2.3380000000000001</v>
      </c>
      <c r="AW23" s="1">
        <v>2.3370000000000002</v>
      </c>
      <c r="AX23" s="1">
        <v>2.3380000000000001</v>
      </c>
      <c r="AY23" s="1">
        <v>2.3420000000000001</v>
      </c>
      <c r="AZ23" s="1">
        <v>2.3519999999999999</v>
      </c>
      <c r="BA23" s="1">
        <v>2.3490000000000002</v>
      </c>
      <c r="BB23" s="1">
        <v>2.3519999999999999</v>
      </c>
      <c r="BC23" s="1">
        <v>2.3109999999999999</v>
      </c>
      <c r="BD23" s="1">
        <v>2.3450000000000002</v>
      </c>
      <c r="BE23" s="1">
        <v>2.3479999999999999</v>
      </c>
      <c r="BF23" s="1">
        <v>2.3359999999999999</v>
      </c>
      <c r="BG23" s="1">
        <v>2.3180000000000001</v>
      </c>
      <c r="BH23" s="1">
        <v>2.3450000000000002</v>
      </c>
      <c r="BI23" s="1">
        <v>2.3410000000000002</v>
      </c>
      <c r="BJ23" s="1">
        <v>2.3439999999999999</v>
      </c>
      <c r="BK23" s="25">
        <v>2.3359999999999999</v>
      </c>
    </row>
    <row r="24" spans="2:63" x14ac:dyDescent="0.45">
      <c r="B24" s="22" t="s">
        <v>104</v>
      </c>
      <c r="C24" s="42">
        <f>$C$16*9</f>
        <v>2.6373626373626373</v>
      </c>
      <c r="D24" s="23">
        <v>2.621</v>
      </c>
      <c r="E24" s="1">
        <v>2.65</v>
      </c>
      <c r="F24" s="1">
        <v>2.6259999999999999</v>
      </c>
      <c r="G24" s="1">
        <v>2.65</v>
      </c>
      <c r="H24" s="1">
        <v>2.637</v>
      </c>
      <c r="I24" s="1">
        <v>2.6379999999999999</v>
      </c>
      <c r="J24" s="1">
        <v>2.6339999999999999</v>
      </c>
      <c r="K24" s="1">
        <v>2.585</v>
      </c>
      <c r="L24" s="1">
        <v>2.637</v>
      </c>
      <c r="M24" s="1">
        <v>2.6269999999999998</v>
      </c>
      <c r="N24" s="1">
        <v>2.641</v>
      </c>
      <c r="O24" s="1">
        <v>2.6269999999999998</v>
      </c>
      <c r="P24" s="1">
        <v>2.641</v>
      </c>
      <c r="Q24" s="1">
        <v>2.6309999999999998</v>
      </c>
      <c r="R24" s="1">
        <v>2.625</v>
      </c>
      <c r="S24" s="1">
        <v>2.63</v>
      </c>
      <c r="T24" s="1">
        <v>2.6349999999999998</v>
      </c>
      <c r="U24" s="1">
        <v>2.6440000000000001</v>
      </c>
      <c r="V24" s="1">
        <v>2.6150000000000002</v>
      </c>
      <c r="W24" s="1">
        <v>2.5649999999999999</v>
      </c>
      <c r="X24" s="1">
        <v>2.6349999999999998</v>
      </c>
      <c r="Y24" s="1">
        <v>2.6309999999999998</v>
      </c>
      <c r="Z24" s="1">
        <v>2.637</v>
      </c>
      <c r="AA24" s="1">
        <v>2.6459999999999999</v>
      </c>
      <c r="AB24" s="1">
        <v>2.633</v>
      </c>
      <c r="AC24" s="1">
        <v>2.641</v>
      </c>
      <c r="AD24" s="1">
        <v>2.649</v>
      </c>
      <c r="AE24" s="1">
        <v>2.6560000000000001</v>
      </c>
      <c r="AF24" s="1">
        <v>2.6459999999999999</v>
      </c>
      <c r="AG24" s="1">
        <v>2.633</v>
      </c>
      <c r="AH24" s="1">
        <v>2.645</v>
      </c>
      <c r="AI24" s="1">
        <v>2.593</v>
      </c>
      <c r="AJ24" s="1">
        <v>2.641</v>
      </c>
      <c r="AK24" s="1">
        <v>2.6269999999999998</v>
      </c>
      <c r="AL24" s="1">
        <v>2.653</v>
      </c>
      <c r="AM24" s="1">
        <v>2.629</v>
      </c>
      <c r="AN24" s="1">
        <v>2.6230000000000002</v>
      </c>
      <c r="AO24" s="1">
        <v>2.633</v>
      </c>
      <c r="AP24" s="1">
        <v>2.641</v>
      </c>
      <c r="AQ24" s="1">
        <v>2.6480000000000001</v>
      </c>
      <c r="AR24" s="1">
        <v>2.64</v>
      </c>
      <c r="AS24" s="1">
        <v>2.64</v>
      </c>
      <c r="AT24" s="1">
        <v>2.64</v>
      </c>
      <c r="AU24" s="1">
        <v>2.5550000000000002</v>
      </c>
      <c r="AV24" s="1">
        <v>2.63</v>
      </c>
      <c r="AW24" s="1">
        <v>2.6309999999999998</v>
      </c>
      <c r="AX24" s="1">
        <v>2.6339999999999999</v>
      </c>
      <c r="AY24" s="1">
        <v>2.6379999999999999</v>
      </c>
      <c r="AZ24" s="1">
        <v>2.6480000000000001</v>
      </c>
      <c r="BA24" s="1">
        <v>2.645</v>
      </c>
      <c r="BB24" s="1">
        <v>2.645</v>
      </c>
      <c r="BC24" s="1">
        <v>2.6019999999999999</v>
      </c>
      <c r="BD24" s="1">
        <v>2.64</v>
      </c>
      <c r="BE24" s="1">
        <v>2.641</v>
      </c>
      <c r="BF24" s="1">
        <v>2.63</v>
      </c>
      <c r="BG24" s="1">
        <v>2.6070000000000002</v>
      </c>
      <c r="BH24" s="1">
        <v>2.6379999999999999</v>
      </c>
      <c r="BI24" s="1">
        <v>2.6349999999999998</v>
      </c>
      <c r="BJ24" s="1">
        <v>2.6419999999999999</v>
      </c>
      <c r="BK24" s="25">
        <v>2.6269999999999998</v>
      </c>
    </row>
    <row r="25" spans="2:63" x14ac:dyDescent="0.45">
      <c r="B25" s="22" t="s">
        <v>105</v>
      </c>
      <c r="C25" s="42">
        <f>$C$16*10</f>
        <v>2.9304029304029307</v>
      </c>
      <c r="D25" s="23">
        <v>2.9089999999999998</v>
      </c>
      <c r="E25" s="1">
        <v>2.9409999999999998</v>
      </c>
      <c r="F25" s="1">
        <v>2.9159999999999999</v>
      </c>
      <c r="G25" s="1">
        <v>2.9390000000000001</v>
      </c>
      <c r="H25" s="1">
        <v>2.9260000000000002</v>
      </c>
      <c r="I25" s="1">
        <v>2.923</v>
      </c>
      <c r="J25" s="1">
        <v>2.9239999999999999</v>
      </c>
      <c r="K25" s="1">
        <v>2.87</v>
      </c>
      <c r="L25" s="1">
        <v>2.9239999999999999</v>
      </c>
      <c r="M25" s="1">
        <v>2.9159999999999999</v>
      </c>
      <c r="N25" s="1">
        <v>2.93</v>
      </c>
      <c r="O25" s="1">
        <v>2.9159999999999999</v>
      </c>
      <c r="P25" s="1">
        <v>2.931</v>
      </c>
      <c r="Q25" s="1">
        <v>2.92</v>
      </c>
      <c r="R25" s="1">
        <v>2.9140000000000001</v>
      </c>
      <c r="S25" s="1">
        <v>2.9180000000000001</v>
      </c>
      <c r="T25" s="1">
        <v>2.9260000000000002</v>
      </c>
      <c r="U25" s="1">
        <v>2.931</v>
      </c>
      <c r="V25" s="1">
        <v>2.9</v>
      </c>
      <c r="W25" s="1">
        <v>2.8439999999999999</v>
      </c>
      <c r="X25" s="1">
        <v>2.9260000000000002</v>
      </c>
      <c r="Y25" s="1">
        <v>2.92</v>
      </c>
      <c r="Z25" s="1">
        <v>2.927</v>
      </c>
      <c r="AA25" s="1">
        <v>2.9369999999999998</v>
      </c>
      <c r="AB25" s="1">
        <v>2.9220000000000002</v>
      </c>
      <c r="AC25" s="1">
        <v>2.93</v>
      </c>
      <c r="AD25" s="1">
        <v>2.9390000000000001</v>
      </c>
      <c r="AE25" s="1">
        <v>2.9489999999999998</v>
      </c>
      <c r="AF25" s="1">
        <v>2.9369999999999998</v>
      </c>
      <c r="AG25" s="1">
        <v>2.9220000000000002</v>
      </c>
      <c r="AH25" s="1">
        <v>2.9350000000000001</v>
      </c>
      <c r="AI25" s="1">
        <v>2.8759999999999999</v>
      </c>
      <c r="AJ25" s="1">
        <v>2.931</v>
      </c>
      <c r="AK25" s="1">
        <v>2.9119999999999999</v>
      </c>
      <c r="AL25" s="1">
        <v>2.9430000000000001</v>
      </c>
      <c r="AM25" s="1">
        <v>2.919</v>
      </c>
      <c r="AN25" s="1">
        <v>2.9119999999999999</v>
      </c>
      <c r="AO25" s="1">
        <v>2.92</v>
      </c>
      <c r="AP25" s="1">
        <v>2.931</v>
      </c>
      <c r="AQ25" s="1">
        <v>2.9369999999999998</v>
      </c>
      <c r="AR25" s="1">
        <v>2.93</v>
      </c>
      <c r="AS25" s="1">
        <v>2.93</v>
      </c>
      <c r="AT25" s="1">
        <v>2.9279999999999999</v>
      </c>
      <c r="AU25" s="1">
        <v>2.831</v>
      </c>
      <c r="AV25" s="1">
        <v>2.92</v>
      </c>
      <c r="AW25" s="1">
        <v>2.92</v>
      </c>
      <c r="AX25" s="1">
        <v>2.9220000000000002</v>
      </c>
      <c r="AY25" s="1">
        <v>2.927</v>
      </c>
      <c r="AZ25" s="1">
        <v>2.9369999999999998</v>
      </c>
      <c r="BA25" s="1">
        <v>2.9340000000000002</v>
      </c>
      <c r="BB25" s="1">
        <v>2.9380000000000002</v>
      </c>
      <c r="BC25" s="1">
        <v>2.8860000000000001</v>
      </c>
      <c r="BD25" s="1">
        <v>2.9279999999999999</v>
      </c>
      <c r="BE25" s="1">
        <v>2.93</v>
      </c>
      <c r="BF25" s="1">
        <v>2.9180000000000001</v>
      </c>
      <c r="BG25" s="1">
        <v>2.8889999999999998</v>
      </c>
      <c r="BH25" s="1">
        <v>2.927</v>
      </c>
      <c r="BI25" s="1">
        <v>2.923</v>
      </c>
      <c r="BJ25" s="1">
        <v>2.931</v>
      </c>
      <c r="BK25" s="25">
        <v>2.915</v>
      </c>
    </row>
    <row r="26" spans="2:63" x14ac:dyDescent="0.45">
      <c r="B26" s="22" t="s">
        <v>106</v>
      </c>
      <c r="C26" s="42">
        <f>$C$16*11</f>
        <v>3.2234432234432235</v>
      </c>
      <c r="D26" s="23">
        <v>3.198</v>
      </c>
      <c r="E26" s="1">
        <v>3.2360000000000002</v>
      </c>
      <c r="F26" s="1">
        <v>3.206</v>
      </c>
      <c r="G26" s="1">
        <v>3.2309999999999999</v>
      </c>
      <c r="H26" s="1">
        <v>3.2189999999999999</v>
      </c>
      <c r="I26" s="1">
        <v>3.2170000000000001</v>
      </c>
      <c r="J26" s="1">
        <v>3.2160000000000002</v>
      </c>
      <c r="K26" s="1">
        <v>3.1539999999999999</v>
      </c>
      <c r="L26" s="1">
        <v>3.2149999999999999</v>
      </c>
      <c r="M26" s="1">
        <v>3.2080000000000002</v>
      </c>
      <c r="N26" s="1">
        <v>3.2229999999999999</v>
      </c>
      <c r="O26" s="1">
        <v>3.206</v>
      </c>
      <c r="P26" s="1">
        <v>3.2250000000000001</v>
      </c>
      <c r="Q26" s="1">
        <v>3.2109999999999999</v>
      </c>
      <c r="R26" s="1">
        <v>3.2050000000000001</v>
      </c>
      <c r="S26" s="1">
        <v>3.2090000000000001</v>
      </c>
      <c r="T26" s="1">
        <v>3.2149999999999999</v>
      </c>
      <c r="U26" s="1">
        <v>3.2250000000000001</v>
      </c>
      <c r="V26" s="1">
        <v>3.1920000000000002</v>
      </c>
      <c r="W26" s="1">
        <v>3.1219999999999999</v>
      </c>
      <c r="X26" s="1">
        <v>3.2170000000000001</v>
      </c>
      <c r="Y26" s="1">
        <v>3.2120000000000002</v>
      </c>
      <c r="Z26" s="1">
        <v>3.2210000000000001</v>
      </c>
      <c r="AA26" s="1">
        <v>3.23</v>
      </c>
      <c r="AB26" s="1">
        <v>3.2130000000000001</v>
      </c>
      <c r="AC26" s="1">
        <v>3.2229999999999999</v>
      </c>
      <c r="AD26" s="1">
        <v>3.234</v>
      </c>
      <c r="AE26" s="1">
        <v>3.24</v>
      </c>
      <c r="AF26" s="1">
        <v>3.23</v>
      </c>
      <c r="AG26" s="1">
        <v>3.2130000000000001</v>
      </c>
      <c r="AH26" s="1">
        <v>3.2269999999999999</v>
      </c>
      <c r="AI26" s="1">
        <v>3.1589999999999998</v>
      </c>
      <c r="AJ26" s="1">
        <v>3.2250000000000001</v>
      </c>
      <c r="AK26" s="1">
        <v>3.2040000000000002</v>
      </c>
      <c r="AL26" s="1">
        <v>3.238</v>
      </c>
      <c r="AM26" s="1">
        <v>3.2080000000000002</v>
      </c>
      <c r="AN26" s="1">
        <v>3.2010000000000001</v>
      </c>
      <c r="AO26" s="1">
        <v>3.2170000000000001</v>
      </c>
      <c r="AP26" s="1">
        <v>3.2240000000000002</v>
      </c>
      <c r="AQ26" s="1">
        <v>3.2309999999999999</v>
      </c>
      <c r="AR26" s="1">
        <v>3.2210000000000001</v>
      </c>
      <c r="AS26" s="1">
        <v>3.22</v>
      </c>
      <c r="AT26" s="1">
        <v>3.22</v>
      </c>
      <c r="AU26" s="1">
        <v>3.11</v>
      </c>
      <c r="AV26" s="1">
        <v>3.2130000000000001</v>
      </c>
      <c r="AW26" s="1">
        <v>3.2120000000000002</v>
      </c>
      <c r="AX26" s="1">
        <v>3.2160000000000002</v>
      </c>
      <c r="AY26" s="1">
        <v>3.2189999999999999</v>
      </c>
      <c r="AZ26" s="1">
        <v>3.2309999999999999</v>
      </c>
      <c r="BA26" s="1">
        <v>3.2280000000000002</v>
      </c>
      <c r="BB26" s="1">
        <v>3.2309999999999999</v>
      </c>
      <c r="BC26" s="1">
        <v>3.1749999999999998</v>
      </c>
      <c r="BD26" s="1">
        <v>3.22</v>
      </c>
      <c r="BE26" s="1">
        <v>3.22</v>
      </c>
      <c r="BF26" s="1">
        <v>3.2090000000000001</v>
      </c>
      <c r="BG26" s="1">
        <v>3.1749999999999998</v>
      </c>
      <c r="BH26" s="1">
        <v>3.22</v>
      </c>
      <c r="BI26" s="1">
        <v>3.2160000000000002</v>
      </c>
      <c r="BJ26" s="1">
        <v>3.2240000000000002</v>
      </c>
      <c r="BK26" s="25">
        <v>3.206</v>
      </c>
    </row>
    <row r="27" spans="2:63" x14ac:dyDescent="0.45">
      <c r="B27" s="22" t="s">
        <v>107</v>
      </c>
      <c r="C27" s="42">
        <f>$C$16*12</f>
        <v>3.5164835164835164</v>
      </c>
      <c r="D27" s="23">
        <v>3.4889999999999999</v>
      </c>
      <c r="E27" s="1">
        <v>3.5249999999999999</v>
      </c>
      <c r="F27" s="1">
        <v>3.4969999999999999</v>
      </c>
      <c r="G27" s="1">
        <v>3.524</v>
      </c>
      <c r="H27" s="1">
        <v>3.508</v>
      </c>
      <c r="I27" s="1">
        <v>3.5059999999999998</v>
      </c>
      <c r="J27" s="1">
        <v>3.5049999999999999</v>
      </c>
      <c r="K27" s="1">
        <v>3.4329999999999998</v>
      </c>
      <c r="L27" s="1">
        <v>3.5059999999999998</v>
      </c>
      <c r="M27" s="1">
        <v>3.4969999999999999</v>
      </c>
      <c r="N27" s="1">
        <v>3.512</v>
      </c>
      <c r="O27" s="1">
        <v>3.4980000000000002</v>
      </c>
      <c r="P27" s="1">
        <v>3.5169999999999999</v>
      </c>
      <c r="Q27" s="1">
        <v>3.5019999999999998</v>
      </c>
      <c r="R27" s="1">
        <v>3.4929999999999999</v>
      </c>
      <c r="S27" s="1">
        <v>3.4990000000000001</v>
      </c>
      <c r="T27" s="1">
        <v>3.508</v>
      </c>
      <c r="U27" s="1">
        <v>3.5169999999999999</v>
      </c>
      <c r="V27" s="1">
        <v>3.4820000000000002</v>
      </c>
      <c r="W27" s="1">
        <v>3.4020000000000001</v>
      </c>
      <c r="X27" s="1">
        <v>3.508</v>
      </c>
      <c r="Y27" s="1">
        <v>3.5019999999999998</v>
      </c>
      <c r="Z27" s="1">
        <v>3.51</v>
      </c>
      <c r="AA27" s="1">
        <v>3.5209999999999999</v>
      </c>
      <c r="AB27" s="1">
        <v>3.5019999999999998</v>
      </c>
      <c r="AC27" s="1">
        <v>3.512</v>
      </c>
      <c r="AD27" s="1">
        <v>3.5270000000000001</v>
      </c>
      <c r="AE27" s="1">
        <v>3.5350000000000001</v>
      </c>
      <c r="AF27" s="1">
        <v>3.52</v>
      </c>
      <c r="AG27" s="1">
        <v>3.504</v>
      </c>
      <c r="AH27" s="1">
        <v>3.5179999999999998</v>
      </c>
      <c r="AI27" s="1">
        <v>3.44</v>
      </c>
      <c r="AJ27" s="1">
        <v>3.5169999999999999</v>
      </c>
      <c r="AK27" s="1">
        <v>3.4929999999999999</v>
      </c>
      <c r="AL27" s="1">
        <v>3.5310000000000001</v>
      </c>
      <c r="AM27" s="1">
        <v>3.4990000000000001</v>
      </c>
      <c r="AN27" s="1">
        <v>3.4929999999999999</v>
      </c>
      <c r="AO27" s="1">
        <v>3.5089999999999999</v>
      </c>
      <c r="AP27" s="1">
        <v>3.516</v>
      </c>
      <c r="AQ27" s="1">
        <v>3.5209999999999999</v>
      </c>
      <c r="AR27" s="1">
        <v>3.5129999999999999</v>
      </c>
      <c r="AS27" s="1">
        <v>3.5129999999999999</v>
      </c>
      <c r="AT27" s="1">
        <v>3.5089999999999999</v>
      </c>
      <c r="AU27" s="1">
        <v>3.3919999999999999</v>
      </c>
      <c r="AV27" s="1">
        <v>3.504</v>
      </c>
      <c r="AW27" s="1">
        <v>3.5019999999999998</v>
      </c>
      <c r="AX27" s="1">
        <v>3.504</v>
      </c>
      <c r="AY27" s="1">
        <v>3.51</v>
      </c>
      <c r="AZ27" s="1">
        <v>3.52</v>
      </c>
      <c r="BA27" s="1">
        <v>3.52</v>
      </c>
      <c r="BB27" s="1">
        <v>3.524</v>
      </c>
      <c r="BC27" s="1">
        <v>3.4609999999999999</v>
      </c>
      <c r="BD27" s="1">
        <v>3.512</v>
      </c>
      <c r="BE27" s="1">
        <v>3.512</v>
      </c>
      <c r="BF27" s="1">
        <v>3.4990000000000001</v>
      </c>
      <c r="BG27" s="1">
        <v>3.4449999999999998</v>
      </c>
      <c r="BH27" s="1">
        <v>3.512</v>
      </c>
      <c r="BI27" s="1">
        <v>3.5049999999999999</v>
      </c>
      <c r="BJ27" s="1">
        <v>3.5129999999999999</v>
      </c>
      <c r="BK27" s="25">
        <v>3.4969999999999999</v>
      </c>
    </row>
    <row r="28" spans="2:63" x14ac:dyDescent="0.45">
      <c r="B28" s="22" t="s">
        <v>108</v>
      </c>
      <c r="C28" s="42">
        <f>$C$16*13</f>
        <v>3.8095238095238098</v>
      </c>
      <c r="D28" s="23">
        <v>3.7759999999999998</v>
      </c>
      <c r="E28" s="1">
        <v>3.8210000000000002</v>
      </c>
      <c r="F28" s="1">
        <v>3.786</v>
      </c>
      <c r="G28" s="1">
        <v>3.8180000000000001</v>
      </c>
      <c r="H28" s="1">
        <v>3.7989999999999999</v>
      </c>
      <c r="I28" s="1">
        <v>3.798</v>
      </c>
      <c r="J28" s="1">
        <v>3.7919999999999998</v>
      </c>
      <c r="K28" s="1">
        <v>3.7149999999999999</v>
      </c>
      <c r="L28" s="1">
        <v>3.7970000000000002</v>
      </c>
      <c r="M28" s="1">
        <v>3.7869999999999999</v>
      </c>
      <c r="N28" s="1">
        <v>3.8050000000000002</v>
      </c>
      <c r="O28" s="1">
        <v>3.786</v>
      </c>
      <c r="P28" s="1">
        <v>3.8069999999999999</v>
      </c>
      <c r="Q28" s="1">
        <v>3.7909999999999999</v>
      </c>
      <c r="R28" s="1">
        <v>3.7829999999999999</v>
      </c>
      <c r="S28" s="1">
        <v>3.7909999999999999</v>
      </c>
      <c r="T28" s="1">
        <v>3.7970000000000002</v>
      </c>
      <c r="U28" s="1">
        <v>3.8069999999999999</v>
      </c>
      <c r="V28" s="1">
        <v>3.7679999999999998</v>
      </c>
      <c r="W28" s="1">
        <v>3.6779999999999999</v>
      </c>
      <c r="X28" s="1">
        <v>3.798</v>
      </c>
      <c r="Y28" s="1">
        <v>3.7919999999999998</v>
      </c>
      <c r="Z28" s="1">
        <v>3.8050000000000002</v>
      </c>
      <c r="AA28" s="1">
        <v>3.8109999999999999</v>
      </c>
      <c r="AB28" s="1">
        <v>3.7919999999999998</v>
      </c>
      <c r="AC28" s="1">
        <v>3.806</v>
      </c>
      <c r="AD28" s="1">
        <v>3.8180000000000001</v>
      </c>
      <c r="AE28" s="1">
        <v>3.8260000000000001</v>
      </c>
      <c r="AF28" s="1">
        <v>3.8109999999999999</v>
      </c>
      <c r="AG28" s="1">
        <v>3.7919999999999998</v>
      </c>
      <c r="AH28" s="1">
        <v>3.8090000000000002</v>
      </c>
      <c r="AI28" s="1">
        <v>3.722</v>
      </c>
      <c r="AJ28" s="1">
        <v>3.81</v>
      </c>
      <c r="AK28" s="1">
        <v>3.7879999999999998</v>
      </c>
      <c r="AL28" s="1">
        <v>3.8279999999999998</v>
      </c>
      <c r="AM28" s="1">
        <v>3.7869999999999999</v>
      </c>
      <c r="AN28" s="1">
        <v>3.78</v>
      </c>
      <c r="AO28" s="1">
        <v>3.8010000000000002</v>
      </c>
      <c r="AP28" s="1">
        <v>3.8069999999999999</v>
      </c>
      <c r="AQ28" s="1">
        <v>3.8149999999999999</v>
      </c>
      <c r="AR28" s="1">
        <v>3.8050000000000002</v>
      </c>
      <c r="AS28" s="1">
        <v>3.8050000000000002</v>
      </c>
      <c r="AT28" s="1">
        <v>3.798</v>
      </c>
      <c r="AU28" s="1">
        <v>3.665</v>
      </c>
      <c r="AV28" s="1">
        <v>3.7949999999999999</v>
      </c>
      <c r="AW28" s="1">
        <v>3.794</v>
      </c>
      <c r="AX28" s="1">
        <v>3.7909999999999999</v>
      </c>
      <c r="AY28" s="1">
        <v>3.8010000000000002</v>
      </c>
      <c r="AZ28" s="1">
        <v>3.8130000000000002</v>
      </c>
      <c r="BA28" s="1">
        <v>3.8130000000000002</v>
      </c>
      <c r="BB28" s="1">
        <v>3.8180000000000001</v>
      </c>
      <c r="BC28" s="1">
        <v>3.7490000000000001</v>
      </c>
      <c r="BD28" s="1">
        <v>3.8050000000000002</v>
      </c>
      <c r="BE28" s="1">
        <v>3.8029999999999999</v>
      </c>
      <c r="BF28" s="1">
        <v>3.7879999999999998</v>
      </c>
      <c r="BG28" s="1">
        <v>3.7309999999999999</v>
      </c>
      <c r="BH28" s="1">
        <v>3.802</v>
      </c>
      <c r="BI28" s="1">
        <v>3.798</v>
      </c>
      <c r="BJ28" s="1">
        <v>3.8069999999999999</v>
      </c>
      <c r="BK28" s="25">
        <v>3.7839999999999998</v>
      </c>
    </row>
    <row r="29" spans="2:63" x14ac:dyDescent="0.45">
      <c r="B29" s="22" t="s">
        <v>109</v>
      </c>
      <c r="C29" s="42">
        <f>$C$16*14</f>
        <v>4.1025641025641031</v>
      </c>
      <c r="D29" s="23">
        <v>4.0620000000000003</v>
      </c>
      <c r="E29" s="1">
        <v>4.1100000000000003</v>
      </c>
      <c r="F29" s="1">
        <v>4.0750000000000002</v>
      </c>
      <c r="G29" s="1">
        <v>4.1059999999999999</v>
      </c>
      <c r="H29" s="1">
        <v>4.0880000000000001</v>
      </c>
      <c r="I29" s="1">
        <v>4.0880000000000001</v>
      </c>
      <c r="J29" s="1">
        <v>4.0830000000000002</v>
      </c>
      <c r="K29" s="1">
        <v>3.9929999999999999</v>
      </c>
      <c r="L29" s="1">
        <v>4.085</v>
      </c>
      <c r="M29" s="1">
        <v>4.0730000000000004</v>
      </c>
      <c r="N29" s="1">
        <v>4.0949999999999998</v>
      </c>
      <c r="O29" s="1">
        <v>4.0750000000000002</v>
      </c>
      <c r="P29" s="1">
        <v>4.0940000000000003</v>
      </c>
      <c r="Q29" s="1">
        <v>4.0830000000000002</v>
      </c>
      <c r="R29" s="1">
        <v>4.0750000000000002</v>
      </c>
      <c r="S29" s="1">
        <v>4.0789999999999997</v>
      </c>
      <c r="T29" s="1">
        <v>4.0910000000000002</v>
      </c>
      <c r="U29" s="1">
        <v>4.0960000000000001</v>
      </c>
      <c r="V29" s="1">
        <v>4.0570000000000004</v>
      </c>
      <c r="W29" s="1">
        <v>3.9540000000000002</v>
      </c>
      <c r="X29" s="1">
        <v>4.0869999999999997</v>
      </c>
      <c r="Y29" s="1">
        <v>4.0810000000000004</v>
      </c>
      <c r="Z29" s="1">
        <v>4.0940000000000003</v>
      </c>
      <c r="AA29" s="1">
        <v>4.1029999999999998</v>
      </c>
      <c r="AB29" s="1">
        <v>4.0810000000000004</v>
      </c>
      <c r="AC29" s="1">
        <v>4.0949999999999998</v>
      </c>
      <c r="AD29" s="1">
        <v>4.1070000000000002</v>
      </c>
      <c r="AE29" s="1">
        <v>4.1180000000000003</v>
      </c>
      <c r="AF29" s="1">
        <v>4.1029999999999998</v>
      </c>
      <c r="AG29" s="1">
        <v>4.0789999999999997</v>
      </c>
      <c r="AH29" s="1">
        <v>4.0990000000000002</v>
      </c>
      <c r="AI29" s="1">
        <v>4.0010000000000003</v>
      </c>
      <c r="AJ29" s="1">
        <v>4.0990000000000002</v>
      </c>
      <c r="AK29" s="1">
        <v>4.0720000000000001</v>
      </c>
      <c r="AL29" s="1">
        <v>4.117</v>
      </c>
      <c r="AM29" s="1">
        <v>4.077</v>
      </c>
      <c r="AN29" s="1">
        <v>4.0679999999999996</v>
      </c>
      <c r="AO29" s="1">
        <v>4.0880000000000001</v>
      </c>
      <c r="AP29" s="1">
        <v>4.0949999999999998</v>
      </c>
      <c r="AQ29" s="1">
        <v>4.1040000000000001</v>
      </c>
      <c r="AR29" s="1">
        <v>4.0960000000000001</v>
      </c>
      <c r="AS29" s="1">
        <v>4.0910000000000002</v>
      </c>
      <c r="AT29" s="1">
        <v>4.0910000000000002</v>
      </c>
      <c r="AU29" s="1">
        <v>3.9350000000000001</v>
      </c>
      <c r="AV29" s="1">
        <v>4.0810000000000004</v>
      </c>
      <c r="AW29" s="1">
        <v>4.0810000000000004</v>
      </c>
      <c r="AX29" s="1">
        <v>4.0810000000000004</v>
      </c>
      <c r="AY29" s="1">
        <v>4.0910000000000002</v>
      </c>
      <c r="AZ29" s="1">
        <v>4.1020000000000003</v>
      </c>
      <c r="BA29" s="1">
        <v>4.1020000000000003</v>
      </c>
      <c r="BB29" s="1">
        <v>4.1070000000000002</v>
      </c>
      <c r="BC29" s="1">
        <v>4.0330000000000004</v>
      </c>
      <c r="BD29" s="1">
        <v>4.0919999999999996</v>
      </c>
      <c r="BE29" s="1">
        <v>4.0919999999999996</v>
      </c>
      <c r="BF29" s="1">
        <v>4.0750000000000002</v>
      </c>
      <c r="BG29" s="1">
        <v>4.0199999999999996</v>
      </c>
      <c r="BH29" s="1">
        <v>4.0910000000000002</v>
      </c>
      <c r="BI29" s="1">
        <v>4.0839999999999996</v>
      </c>
      <c r="BJ29" s="1">
        <v>4.0960000000000001</v>
      </c>
      <c r="BK29" s="25">
        <v>4.0720000000000001</v>
      </c>
    </row>
    <row r="30" spans="2:63" x14ac:dyDescent="0.45">
      <c r="B30" s="22" t="s">
        <v>110</v>
      </c>
      <c r="C30" s="42">
        <f>$C$16*15</f>
        <v>4.395604395604396</v>
      </c>
      <c r="D30" s="23">
        <v>4.3470000000000004</v>
      </c>
      <c r="E30" s="1">
        <v>4.4009999999999998</v>
      </c>
      <c r="F30" s="1">
        <v>4.3609999999999998</v>
      </c>
      <c r="G30" s="1">
        <v>4.3970000000000002</v>
      </c>
      <c r="H30" s="1">
        <v>4.3769999999999998</v>
      </c>
      <c r="I30" s="1">
        <v>4.3739999999999997</v>
      </c>
      <c r="J30" s="1">
        <v>4.37</v>
      </c>
      <c r="K30" s="1">
        <v>4.2690000000000001</v>
      </c>
      <c r="L30" s="1">
        <v>4.3730000000000002</v>
      </c>
      <c r="M30" s="1">
        <v>4.3630000000000004</v>
      </c>
      <c r="N30" s="1">
        <v>4.3810000000000002</v>
      </c>
      <c r="O30" s="1">
        <v>4.3609999999999998</v>
      </c>
      <c r="P30" s="1">
        <v>4.3840000000000003</v>
      </c>
      <c r="Q30" s="1">
        <v>4.3680000000000003</v>
      </c>
      <c r="R30" s="1">
        <v>4.3609999999999998</v>
      </c>
      <c r="S30" s="1">
        <v>4.3650000000000002</v>
      </c>
      <c r="T30" s="1">
        <v>4.3760000000000003</v>
      </c>
      <c r="U30" s="1">
        <v>4.3819999999999997</v>
      </c>
      <c r="V30" s="1">
        <v>4.34</v>
      </c>
      <c r="W30" s="1">
        <v>4.2279999999999998</v>
      </c>
      <c r="X30" s="1">
        <v>4.3739999999999997</v>
      </c>
      <c r="Y30" s="1">
        <v>4.3689999999999998</v>
      </c>
      <c r="Z30" s="1">
        <v>4.3819999999999997</v>
      </c>
      <c r="AA30" s="1">
        <v>4.391</v>
      </c>
      <c r="AB30" s="1">
        <v>4.3680000000000003</v>
      </c>
      <c r="AC30" s="1">
        <v>4.3819999999999997</v>
      </c>
      <c r="AD30" s="1">
        <v>4.3970000000000002</v>
      </c>
      <c r="AE30" s="1">
        <v>4.4080000000000004</v>
      </c>
      <c r="AF30" s="1">
        <v>4.3920000000000003</v>
      </c>
      <c r="AG30" s="1">
        <v>4.3650000000000002</v>
      </c>
      <c r="AH30" s="1">
        <v>4.3869999999999996</v>
      </c>
      <c r="AI30" s="1">
        <v>4.2779999999999996</v>
      </c>
      <c r="AJ30" s="1">
        <v>4.3890000000000002</v>
      </c>
      <c r="AK30" s="1">
        <v>4.3630000000000004</v>
      </c>
      <c r="AL30" s="1">
        <v>4.4059999999999997</v>
      </c>
      <c r="AM30" s="1">
        <v>4.3650000000000002</v>
      </c>
      <c r="AN30" s="1">
        <v>4.3529999999999998</v>
      </c>
      <c r="AO30" s="1">
        <v>4.3739999999999997</v>
      </c>
      <c r="AP30" s="1">
        <v>4.3819999999999997</v>
      </c>
      <c r="AQ30" s="1">
        <v>4.3920000000000003</v>
      </c>
      <c r="AR30" s="1">
        <v>4.3840000000000003</v>
      </c>
      <c r="AS30" s="1">
        <v>4.3760000000000003</v>
      </c>
      <c r="AT30" s="1">
        <v>4.3769999999999998</v>
      </c>
      <c r="AU30" s="1">
        <v>4.2119999999999997</v>
      </c>
      <c r="AV30" s="1">
        <v>4.3680000000000003</v>
      </c>
      <c r="AW30" s="1">
        <v>4.3659999999999997</v>
      </c>
      <c r="AX30" s="1">
        <v>4.3680000000000003</v>
      </c>
      <c r="AY30" s="1">
        <v>4.3769999999999998</v>
      </c>
      <c r="AZ30" s="1">
        <v>4.391</v>
      </c>
      <c r="BA30" s="1">
        <v>4.3869999999999996</v>
      </c>
      <c r="BB30" s="1">
        <v>4.399</v>
      </c>
      <c r="BC30" s="1">
        <v>4.319</v>
      </c>
      <c r="BD30" s="1">
        <v>4.38</v>
      </c>
      <c r="BE30" s="1">
        <v>4.3780000000000001</v>
      </c>
      <c r="BF30" s="1">
        <v>4.3609999999999998</v>
      </c>
      <c r="BG30" s="1">
        <v>4.2889999999999997</v>
      </c>
      <c r="BH30" s="1">
        <v>4.3780000000000001</v>
      </c>
      <c r="BI30" s="1">
        <v>4.3719999999999999</v>
      </c>
      <c r="BJ30" s="1">
        <v>4.3689999999999998</v>
      </c>
      <c r="BK30" s="25">
        <v>4.3579999999999997</v>
      </c>
    </row>
    <row r="31" spans="2:63" ht="16.5" thickBot="1" x14ac:dyDescent="0.5">
      <c r="B31" s="12" t="s">
        <v>111</v>
      </c>
      <c r="C31" s="43">
        <f>$C$16*16</f>
        <v>4.6886446886446889</v>
      </c>
      <c r="D31" s="35">
        <v>4.633</v>
      </c>
      <c r="E31" s="44">
        <v>4.6879999999999997</v>
      </c>
      <c r="F31" s="44">
        <v>4.6459999999999999</v>
      </c>
      <c r="G31" s="44">
        <v>4.681</v>
      </c>
      <c r="H31" s="44">
        <v>4.6630000000000003</v>
      </c>
      <c r="I31" s="44">
        <v>4.6580000000000004</v>
      </c>
      <c r="J31" s="44">
        <v>4.6559999999999997</v>
      </c>
      <c r="K31" s="44">
        <v>4.5469999999999997</v>
      </c>
      <c r="L31" s="44">
        <v>4.6559999999999997</v>
      </c>
      <c r="M31" s="44">
        <v>4.6479999999999997</v>
      </c>
      <c r="N31" s="44">
        <v>4.6689999999999996</v>
      </c>
      <c r="O31" s="44">
        <v>4.6470000000000002</v>
      </c>
      <c r="P31" s="44">
        <v>4.6689999999999996</v>
      </c>
      <c r="Q31" s="44">
        <v>4.6520000000000001</v>
      </c>
      <c r="R31" s="44">
        <v>4.6440000000000001</v>
      </c>
      <c r="S31" s="44">
        <v>4.6509999999999998</v>
      </c>
      <c r="T31" s="44">
        <v>4.6559999999999997</v>
      </c>
      <c r="U31" s="44">
        <v>4.6749999999999998</v>
      </c>
      <c r="V31" s="44">
        <v>4.6239999999999997</v>
      </c>
      <c r="W31" s="44">
        <v>4.5</v>
      </c>
      <c r="X31" s="44">
        <v>4.6619999999999999</v>
      </c>
      <c r="Y31" s="44">
        <v>4.6550000000000002</v>
      </c>
      <c r="Z31" s="44">
        <v>4.6689999999999996</v>
      </c>
      <c r="AA31" s="44">
        <v>4.6769999999999996</v>
      </c>
      <c r="AB31" s="44">
        <v>4.6520000000000001</v>
      </c>
      <c r="AC31" s="44">
        <v>4.6689999999999996</v>
      </c>
      <c r="AD31" s="44">
        <v>4.6820000000000004</v>
      </c>
      <c r="AE31" s="44">
        <v>4.7</v>
      </c>
      <c r="AF31" s="44">
        <v>4.68</v>
      </c>
      <c r="AG31" s="44">
        <v>4.6500000000000004</v>
      </c>
      <c r="AH31" s="44">
        <v>4.673</v>
      </c>
      <c r="AI31" s="44">
        <v>4.556</v>
      </c>
      <c r="AJ31" s="44">
        <v>4.6749999999999998</v>
      </c>
      <c r="AK31" s="44">
        <v>4.6479999999999997</v>
      </c>
      <c r="AL31" s="44">
        <v>4.6929999999999996</v>
      </c>
      <c r="AM31" s="44">
        <v>4.6470000000000002</v>
      </c>
      <c r="AN31" s="44">
        <v>4.6360000000000001</v>
      </c>
      <c r="AO31" s="44">
        <v>4.6550000000000002</v>
      </c>
      <c r="AP31" s="44">
        <v>4.67</v>
      </c>
      <c r="AQ31" s="44">
        <v>4.6769999999999996</v>
      </c>
      <c r="AR31" s="44">
        <v>4.67</v>
      </c>
      <c r="AS31" s="44">
        <v>4.6630000000000003</v>
      </c>
      <c r="AT31" s="44">
        <v>4.6630000000000003</v>
      </c>
      <c r="AU31" s="44">
        <v>4.4880000000000004</v>
      </c>
      <c r="AV31" s="44">
        <v>4.6520000000000001</v>
      </c>
      <c r="AW31" s="44">
        <v>4.6520000000000001</v>
      </c>
      <c r="AX31" s="44">
        <v>4.6539999999999999</v>
      </c>
      <c r="AY31" s="44">
        <v>4.6609999999999996</v>
      </c>
      <c r="AZ31" s="44">
        <v>4.6769999999999996</v>
      </c>
      <c r="BA31" s="44">
        <v>4.6740000000000004</v>
      </c>
      <c r="BB31" s="44">
        <v>4.6849999999999996</v>
      </c>
      <c r="BC31" s="44">
        <v>4.5990000000000002</v>
      </c>
      <c r="BD31" s="44">
        <v>4.6669999999999998</v>
      </c>
      <c r="BE31" s="44">
        <v>4.665</v>
      </c>
      <c r="BF31" s="44">
        <v>4.6479999999999997</v>
      </c>
      <c r="BG31" s="44">
        <v>4.5599999999999996</v>
      </c>
      <c r="BH31" s="44">
        <v>4.6630000000000003</v>
      </c>
      <c r="BI31" s="44">
        <v>4.6589999999999998</v>
      </c>
      <c r="BJ31" s="44">
        <v>4.6669999999999998</v>
      </c>
      <c r="BK31" s="38">
        <v>4.6429999999999998</v>
      </c>
    </row>
    <row r="33" spans="2:63" ht="16.5" thickBot="1" x14ac:dyDescent="0.5"/>
    <row r="34" spans="2:63" x14ac:dyDescent="0.45">
      <c r="B34" s="11"/>
      <c r="C34" s="11"/>
      <c r="D34" s="263" t="s">
        <v>0</v>
      </c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68" t="s">
        <v>1</v>
      </c>
      <c r="Q34" s="268"/>
      <c r="R34" s="268"/>
      <c r="S34" s="268"/>
      <c r="T34" s="268"/>
      <c r="U34" s="268"/>
      <c r="V34" s="268"/>
      <c r="W34" s="268"/>
      <c r="X34" s="268"/>
      <c r="Y34" s="268"/>
      <c r="Z34" s="268"/>
      <c r="AA34" s="268"/>
      <c r="AB34" s="268" t="s">
        <v>2</v>
      </c>
      <c r="AC34" s="268"/>
      <c r="AD34" s="268"/>
      <c r="AE34" s="268"/>
      <c r="AF34" s="268"/>
      <c r="AG34" s="268"/>
      <c r="AH34" s="268"/>
      <c r="AI34" s="268"/>
      <c r="AJ34" s="268"/>
      <c r="AK34" s="268"/>
      <c r="AL34" s="268"/>
      <c r="AM34" s="268"/>
      <c r="AN34" s="268" t="s">
        <v>35</v>
      </c>
      <c r="AO34" s="268"/>
      <c r="AP34" s="268"/>
      <c r="AQ34" s="268"/>
      <c r="AR34" s="268"/>
      <c r="AS34" s="268"/>
      <c r="AT34" s="268"/>
      <c r="AU34" s="268"/>
      <c r="AV34" s="268"/>
      <c r="AW34" s="268"/>
      <c r="AX34" s="268"/>
      <c r="AY34" s="268"/>
      <c r="AZ34" s="268" t="s">
        <v>36</v>
      </c>
      <c r="BA34" s="268"/>
      <c r="BB34" s="268"/>
      <c r="BC34" s="268"/>
      <c r="BD34" s="268"/>
      <c r="BE34" s="268"/>
      <c r="BF34" s="268"/>
      <c r="BG34" s="268"/>
      <c r="BH34" s="268"/>
      <c r="BI34" s="268"/>
      <c r="BJ34" s="268"/>
      <c r="BK34" s="266"/>
    </row>
    <row r="35" spans="2:63" ht="16.5" thickBot="1" x14ac:dyDescent="0.5">
      <c r="B35" s="12" t="s">
        <v>37</v>
      </c>
      <c r="C35" s="12" t="s">
        <v>69</v>
      </c>
      <c r="D35" s="13" t="s">
        <v>3</v>
      </c>
      <c r="E35" s="13" t="s">
        <v>4</v>
      </c>
      <c r="F35" s="13" t="s">
        <v>5</v>
      </c>
      <c r="G35" s="13" t="s">
        <v>6</v>
      </c>
      <c r="H35" s="13" t="s">
        <v>7</v>
      </c>
      <c r="I35" s="13" t="s">
        <v>8</v>
      </c>
      <c r="J35" s="13" t="s">
        <v>9</v>
      </c>
      <c r="K35" s="13" t="s">
        <v>10</v>
      </c>
      <c r="L35" s="13" t="s">
        <v>11</v>
      </c>
      <c r="M35" s="13" t="s">
        <v>12</v>
      </c>
      <c r="N35" s="13" t="s">
        <v>13</v>
      </c>
      <c r="O35" s="13" t="s">
        <v>14</v>
      </c>
      <c r="P35" s="13" t="s">
        <v>3</v>
      </c>
      <c r="Q35" s="13" t="s">
        <v>4</v>
      </c>
      <c r="R35" s="13" t="s">
        <v>5</v>
      </c>
      <c r="S35" s="13" t="s">
        <v>6</v>
      </c>
      <c r="T35" s="13" t="s">
        <v>7</v>
      </c>
      <c r="U35" s="13" t="s">
        <v>8</v>
      </c>
      <c r="V35" s="13" t="s">
        <v>9</v>
      </c>
      <c r="W35" s="13" t="s">
        <v>10</v>
      </c>
      <c r="X35" s="13" t="s">
        <v>11</v>
      </c>
      <c r="Y35" s="13" t="s">
        <v>12</v>
      </c>
      <c r="Z35" s="13" t="s">
        <v>13</v>
      </c>
      <c r="AA35" s="13" t="s">
        <v>14</v>
      </c>
      <c r="AB35" s="13" t="s">
        <v>3</v>
      </c>
      <c r="AC35" s="13" t="s">
        <v>4</v>
      </c>
      <c r="AD35" s="13" t="s">
        <v>5</v>
      </c>
      <c r="AE35" s="13" t="s">
        <v>6</v>
      </c>
      <c r="AF35" s="13" t="s">
        <v>7</v>
      </c>
      <c r="AG35" s="13" t="s">
        <v>8</v>
      </c>
      <c r="AH35" s="13" t="s">
        <v>9</v>
      </c>
      <c r="AI35" s="13" t="s">
        <v>10</v>
      </c>
      <c r="AJ35" s="13" t="s">
        <v>11</v>
      </c>
      <c r="AK35" s="13" t="s">
        <v>12</v>
      </c>
      <c r="AL35" s="13" t="s">
        <v>13</v>
      </c>
      <c r="AM35" s="13" t="s">
        <v>14</v>
      </c>
      <c r="AN35" s="13" t="s">
        <v>3</v>
      </c>
      <c r="AO35" s="13" t="s">
        <v>4</v>
      </c>
      <c r="AP35" s="13" t="s">
        <v>5</v>
      </c>
      <c r="AQ35" s="13" t="s">
        <v>6</v>
      </c>
      <c r="AR35" s="13" t="s">
        <v>7</v>
      </c>
      <c r="AS35" s="13" t="s">
        <v>8</v>
      </c>
      <c r="AT35" s="13" t="s">
        <v>9</v>
      </c>
      <c r="AU35" s="13" t="s">
        <v>10</v>
      </c>
      <c r="AV35" s="13" t="s">
        <v>11</v>
      </c>
      <c r="AW35" s="13" t="s">
        <v>12</v>
      </c>
      <c r="AX35" s="13" t="s">
        <v>13</v>
      </c>
      <c r="AY35" s="13" t="s">
        <v>14</v>
      </c>
      <c r="AZ35" s="13" t="s">
        <v>3</v>
      </c>
      <c r="BA35" s="13" t="s">
        <v>4</v>
      </c>
      <c r="BB35" s="13" t="s">
        <v>5</v>
      </c>
      <c r="BC35" s="13" t="s">
        <v>6</v>
      </c>
      <c r="BD35" s="13" t="s">
        <v>7</v>
      </c>
      <c r="BE35" s="13" t="s">
        <v>8</v>
      </c>
      <c r="BF35" s="13" t="s">
        <v>9</v>
      </c>
      <c r="BG35" s="13" t="s">
        <v>10</v>
      </c>
      <c r="BH35" s="13" t="s">
        <v>11</v>
      </c>
      <c r="BI35" s="13" t="s">
        <v>12</v>
      </c>
      <c r="BJ35" s="13" t="s">
        <v>13</v>
      </c>
      <c r="BK35" s="46" t="s">
        <v>14</v>
      </c>
    </row>
    <row r="36" spans="2:63" x14ac:dyDescent="0.45">
      <c r="B36" s="17" t="s">
        <v>82</v>
      </c>
      <c r="C36" s="40" t="s">
        <v>83</v>
      </c>
      <c r="D36" s="18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21"/>
    </row>
    <row r="37" spans="2:63" x14ac:dyDescent="0.45">
      <c r="B37" s="22" t="s">
        <v>84</v>
      </c>
      <c r="C37" s="40" t="s">
        <v>83</v>
      </c>
      <c r="D37" s="2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25"/>
    </row>
    <row r="38" spans="2:63" x14ac:dyDescent="0.45">
      <c r="B38" s="22" t="s">
        <v>85</v>
      </c>
      <c r="C38" s="22">
        <v>1.4</v>
      </c>
      <c r="D38" s="45">
        <f>(D5-$C5)/$C5</f>
        <v>7.142857142857943E-4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>
        <f t="shared" ref="P38:AZ38" si="0">(P5-$C5)/$C5</f>
        <v>7.142857142857943E-4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>
        <f t="shared" si="0"/>
        <v>7.142857142857943E-4</v>
      </c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>
        <f t="shared" si="0"/>
        <v>7.142857142857943E-4</v>
      </c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>
        <f t="shared" si="0"/>
        <v>7.142857142857943E-4</v>
      </c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7"/>
    </row>
    <row r="39" spans="2:63" x14ac:dyDescent="0.45">
      <c r="B39" s="22" t="s">
        <v>86</v>
      </c>
      <c r="C39" s="22">
        <v>1.5</v>
      </c>
      <c r="D39" s="45">
        <f t="shared" ref="D39:AZ50" si="1">(D6-$C6)/$C6</f>
        <v>8.6666666666666003E-3</v>
      </c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>
        <f t="shared" si="1"/>
        <v>4.6666666666665968E-3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>
        <f t="shared" si="1"/>
        <v>9.333333333333341E-3</v>
      </c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>
        <f t="shared" si="1"/>
        <v>-8.0000000000000071E-3</v>
      </c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>
        <f t="shared" si="1"/>
        <v>5.9999999999999316E-3</v>
      </c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7"/>
    </row>
    <row r="40" spans="2:63" x14ac:dyDescent="0.45">
      <c r="B40" s="22" t="s">
        <v>87</v>
      </c>
      <c r="C40" s="22">
        <v>1.5</v>
      </c>
      <c r="D40" s="45">
        <f t="shared" si="1"/>
        <v>0</v>
      </c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>
        <f t="shared" si="1"/>
        <v>2.6666666666666692E-3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>
        <f t="shared" si="1"/>
        <v>5.3333333333333384E-3</v>
      </c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>
        <f t="shared" si="1"/>
        <v>5.9999999999999316E-3</v>
      </c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>
        <f t="shared" si="1"/>
        <v>-4.0000000000000036E-3</v>
      </c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7"/>
    </row>
    <row r="41" spans="2:63" x14ac:dyDescent="0.45">
      <c r="B41" s="22" t="s">
        <v>88</v>
      </c>
      <c r="C41" s="22">
        <v>1.5</v>
      </c>
      <c r="D41" s="45">
        <f t="shared" si="1"/>
        <v>3.3333333333332624E-3</v>
      </c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>
        <f t="shared" si="1"/>
        <v>3.3333333333332624E-3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>
        <f t="shared" si="1"/>
        <v>5.9999999999999316E-3</v>
      </c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>
        <f t="shared" si="1"/>
        <v>9.333333333333341E-3</v>
      </c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>
        <f t="shared" si="1"/>
        <v>8.0000000000000071E-3</v>
      </c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7"/>
    </row>
    <row r="42" spans="2:63" x14ac:dyDescent="0.45">
      <c r="B42" s="22" t="s">
        <v>89</v>
      </c>
      <c r="C42" s="22">
        <v>51</v>
      </c>
      <c r="D42" s="45">
        <f t="shared" si="1"/>
        <v>-1.1117647058823532E-2</v>
      </c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>
        <f t="shared" si="1"/>
        <v>-2.1372549019608189E-3</v>
      </c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>
        <f t="shared" si="1"/>
        <v>8.7843137254902046E-3</v>
      </c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>
        <f t="shared" si="1"/>
        <v>2.1078431372549077E-2</v>
      </c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>
        <f t="shared" si="1"/>
        <v>2.4686274509803929E-2</v>
      </c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7"/>
    </row>
    <row r="43" spans="2:63" x14ac:dyDescent="0.45">
      <c r="B43" s="22" t="s">
        <v>90</v>
      </c>
      <c r="C43" s="22">
        <v>40</v>
      </c>
      <c r="D43" s="45">
        <f t="shared" si="1"/>
        <v>-9.2499999999997586E-4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>
        <f t="shared" si="1"/>
        <v>-9.0000000000003413E-4</v>
      </c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>
        <f t="shared" si="1"/>
        <v>-9.0000000000003413E-4</v>
      </c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>
        <f t="shared" si="1"/>
        <v>-5.0000000000061104E-5</v>
      </c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>
        <f t="shared" si="1"/>
        <v>-9.0000000000003413E-4</v>
      </c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7"/>
    </row>
    <row r="44" spans="2:63" x14ac:dyDescent="0.45">
      <c r="B44" s="22" t="s">
        <v>91</v>
      </c>
      <c r="C44" s="22">
        <v>50</v>
      </c>
      <c r="D44" s="45">
        <f t="shared" si="1"/>
        <v>-8.400000000000318E-4</v>
      </c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>
        <f t="shared" si="1"/>
        <v>-8.400000000000318E-4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>
        <f t="shared" si="1"/>
        <v>-8.5999999999998523E-4</v>
      </c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>
        <f t="shared" si="1"/>
        <v>7.9999999999955663E-5</v>
      </c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>
        <f t="shared" si="1"/>
        <v>-8.1999999999993634E-4</v>
      </c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7"/>
    </row>
    <row r="45" spans="2:63" x14ac:dyDescent="0.45">
      <c r="B45" s="22" t="s">
        <v>92</v>
      </c>
      <c r="C45" s="22">
        <v>60</v>
      </c>
      <c r="D45" s="45">
        <f t="shared" si="1"/>
        <v>-7.5000000000002842E-4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>
        <f t="shared" si="1"/>
        <v>-9.1666666666666188E-4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>
        <f t="shared" si="1"/>
        <v>-9.3333333333328974E-4</v>
      </c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>
        <f t="shared" si="1"/>
        <v>-3.3333333333374074E-5</v>
      </c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>
        <f t="shared" si="1"/>
        <v>-7.6666666666665628E-4</v>
      </c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7"/>
    </row>
    <row r="46" spans="2:63" x14ac:dyDescent="0.45">
      <c r="B46" s="22" t="s">
        <v>93</v>
      </c>
      <c r="C46" s="42">
        <f>24*300/4095</f>
        <v>1.7582417582417582</v>
      </c>
      <c r="D46" s="45">
        <f t="shared" si="1"/>
        <v>-4.6874999999999833E-3</v>
      </c>
      <c r="E46" s="45">
        <f t="shared" si="1"/>
        <v>6.1187499999999636E-3</v>
      </c>
      <c r="F46" s="45">
        <f t="shared" si="1"/>
        <v>-3.5499999999999824E-3</v>
      </c>
      <c r="G46" s="45">
        <f t="shared" si="1"/>
        <v>4.9812499999999623E-3</v>
      </c>
      <c r="H46" s="45">
        <f t="shared" si="1"/>
        <v>4.3124999999995809E-4</v>
      </c>
      <c r="I46" s="45">
        <f t="shared" si="1"/>
        <v>1.5687499999999591E-3</v>
      </c>
      <c r="J46" s="45">
        <f t="shared" si="1"/>
        <v>4.3124999999995809E-4</v>
      </c>
      <c r="K46" s="45">
        <f t="shared" si="1"/>
        <v>-1.3218749999999928E-2</v>
      </c>
      <c r="L46" s="45">
        <f t="shared" si="1"/>
        <v>4.3124999999995809E-4</v>
      </c>
      <c r="M46" s="45">
        <f t="shared" si="1"/>
        <v>-2.4124999999999815E-3</v>
      </c>
      <c r="N46" s="45">
        <f t="shared" si="1"/>
        <v>1.5687499999999591E-3</v>
      </c>
      <c r="O46" s="45">
        <f t="shared" si="1"/>
        <v>-2.4124999999999815E-3</v>
      </c>
      <c r="P46" s="45">
        <f t="shared" si="1"/>
        <v>2.70624999999996E-3</v>
      </c>
      <c r="Q46" s="45">
        <f t="shared" si="1"/>
        <v>-2.4124999999999815E-3</v>
      </c>
      <c r="R46" s="45">
        <f t="shared" si="1"/>
        <v>-4.118750000000046E-3</v>
      </c>
      <c r="S46" s="45">
        <f t="shared" si="1"/>
        <v>-1.8437500000000439E-3</v>
      </c>
      <c r="T46" s="45">
        <f t="shared" si="1"/>
        <v>4.3124999999995809E-4</v>
      </c>
      <c r="U46" s="45">
        <f t="shared" si="1"/>
        <v>2.70624999999996E-3</v>
      </c>
      <c r="V46" s="45">
        <f t="shared" si="1"/>
        <v>-8.0999999999999857E-3</v>
      </c>
      <c r="W46" s="45">
        <f t="shared" si="1"/>
        <v>-2.1749999999999999E-2</v>
      </c>
      <c r="X46" s="45">
        <f t="shared" si="1"/>
        <v>4.3124999999995809E-4</v>
      </c>
      <c r="Y46" s="45">
        <f t="shared" si="1"/>
        <v>-1.8437500000000439E-3</v>
      </c>
      <c r="Z46" s="45">
        <f t="shared" si="1"/>
        <v>4.3124999999995809E-4</v>
      </c>
      <c r="AA46" s="45">
        <f t="shared" si="1"/>
        <v>4.4125000000000249E-3</v>
      </c>
      <c r="AB46" s="45">
        <f t="shared" si="1"/>
        <v>-7.06250000000043E-4</v>
      </c>
      <c r="AC46" s="45">
        <f t="shared" si="1"/>
        <v>1.5687499999999591E-3</v>
      </c>
      <c r="AD46" s="45">
        <f t="shared" si="1"/>
        <v>6.1187499999999636E-3</v>
      </c>
      <c r="AE46" s="45">
        <f t="shared" si="1"/>
        <v>8.9625000000000295E-3</v>
      </c>
      <c r="AF46" s="45">
        <f t="shared" si="1"/>
        <v>4.4125000000000249E-3</v>
      </c>
      <c r="AG46" s="45">
        <f t="shared" si="1"/>
        <v>-1.374999999999793E-4</v>
      </c>
      <c r="AH46" s="45">
        <f t="shared" si="1"/>
        <v>2.70624999999996E-3</v>
      </c>
      <c r="AI46" s="45">
        <f t="shared" si="1"/>
        <v>-1.151249999999999E-2</v>
      </c>
      <c r="AJ46" s="45">
        <f t="shared" si="1"/>
        <v>1.5687499999999591E-3</v>
      </c>
      <c r="AK46" s="45">
        <f t="shared" si="1"/>
        <v>-4.118750000000046E-3</v>
      </c>
      <c r="AL46" s="45">
        <f t="shared" si="1"/>
        <v>6.6875000000000268E-3</v>
      </c>
      <c r="AM46" s="45">
        <f t="shared" si="1"/>
        <v>-1.8437500000000439E-3</v>
      </c>
      <c r="AN46" s="45">
        <f t="shared" si="1"/>
        <v>-4.6874999999999833E-3</v>
      </c>
      <c r="AO46" s="45">
        <f t="shared" si="1"/>
        <v>-7.06250000000043E-4</v>
      </c>
      <c r="AP46" s="45">
        <f t="shared" si="1"/>
        <v>1.5687499999999591E-3</v>
      </c>
      <c r="AQ46" s="45">
        <f t="shared" si="1"/>
        <v>4.4125000000000249E-3</v>
      </c>
      <c r="AR46" s="45">
        <f t="shared" si="1"/>
        <v>1.5687499999999591E-3</v>
      </c>
      <c r="AS46" s="45">
        <f t="shared" si="1"/>
        <v>1.5687499999999591E-3</v>
      </c>
      <c r="AT46" s="45">
        <f t="shared" si="1"/>
        <v>4.3124999999995809E-4</v>
      </c>
      <c r="AU46" s="45">
        <f t="shared" si="1"/>
        <v>-2.8006249999999941E-2</v>
      </c>
      <c r="AV46" s="45">
        <f t="shared" si="1"/>
        <v>-7.06250000000043E-4</v>
      </c>
      <c r="AW46" s="45">
        <f t="shared" si="1"/>
        <v>-1.8437500000000439E-3</v>
      </c>
      <c r="AX46" s="45">
        <f t="shared" si="1"/>
        <v>-7.06250000000043E-4</v>
      </c>
      <c r="AY46" s="45">
        <f t="shared" si="1"/>
        <v>1.5687499999999591E-3</v>
      </c>
      <c r="AZ46" s="45">
        <f t="shared" si="1"/>
        <v>4.4125000000000249E-3</v>
      </c>
      <c r="BA46" s="45">
        <f t="shared" ref="BA46:BK49" si="2">(BA13-$C13)/$C13</f>
        <v>3.8437499999999613E-3</v>
      </c>
      <c r="BB46" s="45">
        <f t="shared" si="2"/>
        <v>4.9812499999999623E-3</v>
      </c>
      <c r="BC46" s="45">
        <f t="shared" si="2"/>
        <v>-1.3218749999999928E-2</v>
      </c>
      <c r="BD46" s="45">
        <f t="shared" si="2"/>
        <v>1.5687499999999591E-3</v>
      </c>
      <c r="BE46" s="45">
        <f t="shared" si="2"/>
        <v>2.70624999999996E-3</v>
      </c>
      <c r="BF46" s="45">
        <f t="shared" si="2"/>
        <v>-7.06250000000043E-4</v>
      </c>
      <c r="BG46" s="45">
        <f t="shared" si="2"/>
        <v>-5.8249999999999847E-3</v>
      </c>
      <c r="BH46" s="45">
        <f t="shared" si="2"/>
        <v>1.5687499999999591E-3</v>
      </c>
      <c r="BI46" s="45">
        <f t="shared" si="2"/>
        <v>-1.374999999999793E-4</v>
      </c>
      <c r="BJ46" s="45">
        <f t="shared" si="2"/>
        <v>1.5687499999999591E-3</v>
      </c>
      <c r="BK46" s="47">
        <f t="shared" si="2"/>
        <v>-3.5499999999999824E-3</v>
      </c>
    </row>
    <row r="47" spans="2:63" x14ac:dyDescent="0.45">
      <c r="B47" s="22" t="s">
        <v>94</v>
      </c>
      <c r="C47" s="42">
        <f>24*700/4095</f>
        <v>4.1025641025641022</v>
      </c>
      <c r="D47" s="45">
        <f t="shared" si="1"/>
        <v>-8.687499999998628E-4</v>
      </c>
      <c r="E47" s="45">
        <f t="shared" si="1"/>
        <v>4.0062500000000341E-3</v>
      </c>
      <c r="F47" s="45">
        <f t="shared" si="1"/>
        <v>-1.3749999999983499E-4</v>
      </c>
      <c r="G47" s="45">
        <f t="shared" si="1"/>
        <v>7.1750000000000095E-3</v>
      </c>
      <c r="H47" s="45">
        <f t="shared" si="1"/>
        <v>-8.687499999998628E-4</v>
      </c>
      <c r="I47" s="45">
        <f t="shared" si="1"/>
        <v>1.8125000000001668E-3</v>
      </c>
      <c r="J47" s="45">
        <f t="shared" si="1"/>
        <v>1.8125000000001668E-3</v>
      </c>
      <c r="K47" s="45">
        <f t="shared" si="1"/>
        <v>8.3750000000005771E-4</v>
      </c>
      <c r="L47" s="45">
        <f t="shared" si="1"/>
        <v>1.3250000000000041E-3</v>
      </c>
      <c r="M47" s="45">
        <f t="shared" si="1"/>
        <v>1.0625000000002995E-4</v>
      </c>
      <c r="N47" s="45">
        <f t="shared" si="1"/>
        <v>1.3250000000000041E-3</v>
      </c>
      <c r="O47" s="45">
        <f t="shared" si="1"/>
        <v>2.056250000000032E-3</v>
      </c>
      <c r="P47" s="45">
        <f t="shared" si="1"/>
        <v>1.0812500000001392E-3</v>
      </c>
      <c r="Q47" s="45">
        <f t="shared" si="1"/>
        <v>-1.5999999999998906E-3</v>
      </c>
      <c r="R47" s="45">
        <f t="shared" si="1"/>
        <v>-3.7937499999999738E-3</v>
      </c>
      <c r="S47" s="45">
        <f t="shared" si="1"/>
        <v>3.5000000000011134E-4</v>
      </c>
      <c r="T47" s="45">
        <f t="shared" si="1"/>
        <v>3.031250000000141E-3</v>
      </c>
      <c r="U47" s="45">
        <f t="shared" si="1"/>
        <v>1.0625000000002995E-4</v>
      </c>
      <c r="V47" s="45">
        <f t="shared" si="1"/>
        <v>-4.2812499999999205E-3</v>
      </c>
      <c r="W47" s="45">
        <f t="shared" si="1"/>
        <v>-9.399999999999898E-3</v>
      </c>
      <c r="X47" s="45">
        <f t="shared" si="1"/>
        <v>3.5000000000011134E-4</v>
      </c>
      <c r="Y47" s="45">
        <f t="shared" si="1"/>
        <v>-1.3749999999983499E-4</v>
      </c>
      <c r="Z47" s="45">
        <f t="shared" si="1"/>
        <v>1.3250000000000041E-3</v>
      </c>
      <c r="AA47" s="45">
        <f t="shared" si="1"/>
        <v>2.7875000000000595E-3</v>
      </c>
      <c r="AB47" s="45">
        <f t="shared" si="1"/>
        <v>-1.3749999999983499E-4</v>
      </c>
      <c r="AC47" s="45">
        <f t="shared" si="1"/>
        <v>2.5437500000001947E-3</v>
      </c>
      <c r="AD47" s="45">
        <f t="shared" si="1"/>
        <v>6.6875000000000632E-3</v>
      </c>
      <c r="AE47" s="45">
        <f t="shared" si="1"/>
        <v>7.6625000000001726E-3</v>
      </c>
      <c r="AF47" s="45">
        <f t="shared" si="1"/>
        <v>2.7875000000000595E-3</v>
      </c>
      <c r="AG47" s="45">
        <f t="shared" si="1"/>
        <v>8.3750000000005771E-4</v>
      </c>
      <c r="AH47" s="45">
        <f t="shared" si="1"/>
        <v>3.031250000000141E-3</v>
      </c>
      <c r="AI47" s="45">
        <f t="shared" si="1"/>
        <v>1.0812500000001392E-3</v>
      </c>
      <c r="AJ47" s="45">
        <f t="shared" si="1"/>
        <v>2.7875000000000595E-3</v>
      </c>
      <c r="AK47" s="45">
        <f t="shared" si="1"/>
        <v>-1.5999999999998906E-3</v>
      </c>
      <c r="AL47" s="45">
        <f t="shared" si="1"/>
        <v>5.9562500000000353E-3</v>
      </c>
      <c r="AM47" s="45">
        <f t="shared" si="1"/>
        <v>8.3750000000005771E-4</v>
      </c>
      <c r="AN47" s="45">
        <f t="shared" si="1"/>
        <v>-1.1124999999999443E-3</v>
      </c>
      <c r="AO47" s="45">
        <f t="shared" si="1"/>
        <v>-8.687499999998628E-4</v>
      </c>
      <c r="AP47" s="45">
        <f t="shared" si="1"/>
        <v>-1.8437499999999719E-3</v>
      </c>
      <c r="AQ47" s="45">
        <f t="shared" si="1"/>
        <v>8.3750000000005771E-4</v>
      </c>
      <c r="AR47" s="45">
        <f t="shared" si="1"/>
        <v>1.0625000000002995E-4</v>
      </c>
      <c r="AS47" s="45">
        <f t="shared" si="1"/>
        <v>8.3750000000005771E-4</v>
      </c>
      <c r="AT47" s="45">
        <f t="shared" si="1"/>
        <v>1.0812500000001392E-3</v>
      </c>
      <c r="AU47" s="45">
        <f t="shared" si="1"/>
        <v>-1.0862499999999954E-2</v>
      </c>
      <c r="AV47" s="45">
        <f t="shared" si="1"/>
        <v>3.5000000000011134E-4</v>
      </c>
      <c r="AW47" s="45">
        <f t="shared" si="1"/>
        <v>-1.1124999999999443E-3</v>
      </c>
      <c r="AX47" s="45">
        <f t="shared" si="1"/>
        <v>3.031250000000141E-3</v>
      </c>
      <c r="AY47" s="45">
        <f t="shared" si="1"/>
        <v>3.5187500000000873E-3</v>
      </c>
      <c r="AZ47" s="45">
        <f t="shared" si="1"/>
        <v>3.5187500000000873E-3</v>
      </c>
      <c r="BA47" s="45">
        <f t="shared" si="2"/>
        <v>2.056250000000032E-3</v>
      </c>
      <c r="BB47" s="45">
        <f t="shared" si="2"/>
        <v>6.6875000000000632E-3</v>
      </c>
      <c r="BC47" s="45">
        <f t="shared" si="2"/>
        <v>-5.4999999999998947E-3</v>
      </c>
      <c r="BD47" s="45">
        <f t="shared" si="2"/>
        <v>2.5437500000001947E-3</v>
      </c>
      <c r="BE47" s="45">
        <f t="shared" si="2"/>
        <v>4.4937500000001964E-3</v>
      </c>
      <c r="BF47" s="45">
        <f t="shared" si="2"/>
        <v>1.8125000000001668E-3</v>
      </c>
      <c r="BG47" s="45">
        <f t="shared" si="2"/>
        <v>3.5000000000011134E-4</v>
      </c>
      <c r="BH47" s="45">
        <f t="shared" si="2"/>
        <v>2.5437500000001947E-3</v>
      </c>
      <c r="BI47" s="45">
        <f t="shared" si="2"/>
        <v>2.7875000000000595E-3</v>
      </c>
      <c r="BJ47" s="45">
        <f t="shared" si="2"/>
        <v>2.056250000000032E-3</v>
      </c>
      <c r="BK47" s="47">
        <f t="shared" si="2"/>
        <v>-2.0874999999998369E-3</v>
      </c>
    </row>
    <row r="48" spans="2:63" x14ac:dyDescent="0.45">
      <c r="B48" s="22" t="s">
        <v>95</v>
      </c>
      <c r="C48" s="42">
        <f>24*3000/4095</f>
        <v>17.582417582417584</v>
      </c>
      <c r="D48" s="45">
        <f t="shared" si="1"/>
        <v>-7.6312500000013761E-4</v>
      </c>
      <c r="E48" s="45">
        <f t="shared" si="1"/>
        <v>-4.2187500000012473E-4</v>
      </c>
      <c r="F48" s="45">
        <f t="shared" si="1"/>
        <v>3.7868749999999669E-3</v>
      </c>
      <c r="G48" s="45">
        <f t="shared" si="1"/>
        <v>8.8624999999985731E-4</v>
      </c>
      <c r="H48" s="45">
        <f t="shared" si="1"/>
        <v>-1.5025000000000309E-3</v>
      </c>
      <c r="I48" s="45">
        <f t="shared" si="1"/>
        <v>-3.3793750000001019E-3</v>
      </c>
      <c r="J48" s="45">
        <f t="shared" si="1"/>
        <v>9.9999999999999633E-4</v>
      </c>
      <c r="K48" s="45">
        <f t="shared" si="1"/>
        <v>-7.2468750000001811E-3</v>
      </c>
      <c r="L48" s="45">
        <f t="shared" si="1"/>
        <v>-3.0812499999998576E-4</v>
      </c>
      <c r="M48" s="45">
        <f t="shared" si="1"/>
        <v>3.1749999999997058E-4</v>
      </c>
      <c r="N48" s="45">
        <f t="shared" si="1"/>
        <v>-6.4937499999999869E-4</v>
      </c>
      <c r="O48" s="45">
        <f t="shared" si="1"/>
        <v>8.9999999999894608E-5</v>
      </c>
      <c r="P48" s="45">
        <f t="shared" si="1"/>
        <v>7.7249999999992039E-4</v>
      </c>
      <c r="Q48" s="45">
        <f t="shared" si="1"/>
        <v>-3.1518750000000257E-3</v>
      </c>
      <c r="R48" s="45">
        <f t="shared" si="1"/>
        <v>-2.2987499999999935E-3</v>
      </c>
      <c r="S48" s="45">
        <f t="shared" si="1"/>
        <v>9.4312499999992688E-4</v>
      </c>
      <c r="T48" s="45">
        <f t="shared" si="1"/>
        <v>2.6493749999999916E-3</v>
      </c>
      <c r="U48" s="45">
        <f t="shared" si="1"/>
        <v>-1.161250000000018E-3</v>
      </c>
      <c r="V48" s="45">
        <f t="shared" si="1"/>
        <v>-5.995625000000066E-3</v>
      </c>
      <c r="W48" s="45">
        <f t="shared" si="1"/>
        <v>-1.145562500000007E-2</v>
      </c>
      <c r="X48" s="45">
        <f t="shared" si="1"/>
        <v>-4.2325000000001337E-3</v>
      </c>
      <c r="Y48" s="45">
        <f t="shared" si="1"/>
        <v>1.1706250000000028E-3</v>
      </c>
      <c r="Z48" s="45">
        <f t="shared" si="1"/>
        <v>-3.6500000000005528E-4</v>
      </c>
      <c r="AA48" s="45">
        <f t="shared" si="1"/>
        <v>-7.6312500000013761E-4</v>
      </c>
      <c r="AB48" s="45">
        <f t="shared" si="1"/>
        <v>1.6256249999999526E-3</v>
      </c>
      <c r="AC48" s="45">
        <f t="shared" si="1"/>
        <v>-6.4937499999999869E-4</v>
      </c>
      <c r="AD48" s="45">
        <f t="shared" si="1"/>
        <v>3.7868749999999669E-3</v>
      </c>
      <c r="AE48" s="45">
        <f t="shared" si="1"/>
        <v>4.6399999999999992E-3</v>
      </c>
      <c r="AF48" s="45">
        <f t="shared" si="1"/>
        <v>4.8812499999997702E-4</v>
      </c>
      <c r="AG48" s="45">
        <f t="shared" si="1"/>
        <v>-8.0625000000111844E-5</v>
      </c>
      <c r="AH48" s="45">
        <f t="shared" si="1"/>
        <v>-1.161250000000018E-3</v>
      </c>
      <c r="AI48" s="45">
        <f t="shared" si="1"/>
        <v>-5.7681249999999903E-3</v>
      </c>
      <c r="AJ48" s="45">
        <f t="shared" si="1"/>
        <v>-1.3887500000000939E-3</v>
      </c>
      <c r="AK48" s="45">
        <f t="shared" si="1"/>
        <v>-2.7537500000001454E-3</v>
      </c>
      <c r="AL48" s="45">
        <f t="shared" si="1"/>
        <v>1.1706250000000028E-3</v>
      </c>
      <c r="AM48" s="45">
        <f t="shared" si="1"/>
        <v>1.1137499999999334E-3</v>
      </c>
      <c r="AN48" s="45">
        <f t="shared" si="1"/>
        <v>1.5118750000000158E-3</v>
      </c>
      <c r="AO48" s="45">
        <f t="shared" si="1"/>
        <v>7.7249999999992039E-4</v>
      </c>
      <c r="AP48" s="45">
        <f t="shared" si="1"/>
        <v>-2.4693750000000002E-3</v>
      </c>
      <c r="AQ48" s="45">
        <f t="shared" si="1"/>
        <v>5.4499999999984444E-4</v>
      </c>
      <c r="AR48" s="45">
        <f t="shared" si="1"/>
        <v>-3.8343750000000517E-3</v>
      </c>
      <c r="AS48" s="45">
        <f t="shared" si="1"/>
        <v>-2.6968750000000759E-3</v>
      </c>
      <c r="AT48" s="45">
        <f t="shared" si="1"/>
        <v>-2.8106250000000132E-3</v>
      </c>
      <c r="AU48" s="45">
        <f t="shared" si="1"/>
        <v>-9.5218750000001327E-3</v>
      </c>
      <c r="AV48" s="45">
        <f t="shared" si="1"/>
        <v>-1.0475000000000811E-3</v>
      </c>
      <c r="AW48" s="45">
        <f t="shared" si="1"/>
        <v>-4.2893750000000015E-3</v>
      </c>
      <c r="AX48" s="45">
        <f t="shared" si="1"/>
        <v>1.5118750000000158E-3</v>
      </c>
      <c r="AY48" s="45">
        <f t="shared" si="1"/>
        <v>4.014374999999841E-3</v>
      </c>
      <c r="AZ48" s="45">
        <f t="shared" si="1"/>
        <v>2.023749999999833E-3</v>
      </c>
      <c r="BA48" s="45">
        <f t="shared" si="2"/>
        <v>-1.4456250000001634E-3</v>
      </c>
      <c r="BB48" s="45">
        <f t="shared" si="2"/>
        <v>1.1706250000000028E-3</v>
      </c>
      <c r="BC48" s="45">
        <f t="shared" si="2"/>
        <v>-2.6968750000000759E-3</v>
      </c>
      <c r="BD48" s="45">
        <f t="shared" si="2"/>
        <v>7.1562499999985093E-4</v>
      </c>
      <c r="BE48" s="45">
        <f t="shared" si="2"/>
        <v>4.1281249999999799E-3</v>
      </c>
      <c r="BF48" s="45">
        <f t="shared" si="2"/>
        <v>2.9337499999999347E-3</v>
      </c>
      <c r="BG48" s="45">
        <f t="shared" si="2"/>
        <v>-1.0033750000000152E-2</v>
      </c>
      <c r="BH48" s="45">
        <f t="shared" si="2"/>
        <v>1.7393749999998897E-3</v>
      </c>
      <c r="BI48" s="45">
        <f t="shared" si="2"/>
        <v>1.1706250000000028E-3</v>
      </c>
      <c r="BJ48" s="45">
        <f t="shared" si="2"/>
        <v>-6.4937499999999869E-4</v>
      </c>
      <c r="BK48" s="47">
        <f t="shared" si="2"/>
        <v>-5.31312500000004E-3</v>
      </c>
    </row>
    <row r="49" spans="2:63" x14ac:dyDescent="0.45">
      <c r="B49" s="22" t="s">
        <v>96</v>
      </c>
      <c r="C49" s="42">
        <f>4*300/4095</f>
        <v>0.29304029304029305</v>
      </c>
      <c r="D49" s="45">
        <f t="shared" si="1"/>
        <v>-1.3750000000010558E-4</v>
      </c>
      <c r="E49" s="45">
        <f t="shared" si="1"/>
        <v>1.0099999999999902E-2</v>
      </c>
      <c r="F49" s="45">
        <f t="shared" si="1"/>
        <v>3.2749999999998974E-3</v>
      </c>
      <c r="G49" s="45">
        <f t="shared" si="1"/>
        <v>1.3512499999999907E-2</v>
      </c>
      <c r="H49" s="45">
        <f t="shared" si="1"/>
        <v>1.0099999999999902E-2</v>
      </c>
      <c r="I49" s="45">
        <f t="shared" si="1"/>
        <v>1.0099999999999902E-2</v>
      </c>
      <c r="J49" s="45">
        <f t="shared" si="1"/>
        <v>1.0099999999999902E-2</v>
      </c>
      <c r="K49" s="45">
        <f t="shared" si="1"/>
        <v>-1.3750000000010558E-4</v>
      </c>
      <c r="L49" s="45">
        <f t="shared" si="1"/>
        <v>3.2749999999998974E-3</v>
      </c>
      <c r="M49" s="45">
        <f t="shared" si="1"/>
        <v>3.2749999999998974E-3</v>
      </c>
      <c r="N49" s="45">
        <f t="shared" si="1"/>
        <v>1.0099999999999902E-2</v>
      </c>
      <c r="O49" s="45">
        <f t="shared" si="1"/>
        <v>-1.3750000000010558E-4</v>
      </c>
      <c r="P49" s="45">
        <f t="shared" si="1"/>
        <v>1.0099999999999902E-2</v>
      </c>
      <c r="Q49" s="45">
        <f t="shared" si="1"/>
        <v>3.2749999999998974E-3</v>
      </c>
      <c r="R49" s="45">
        <f t="shared" si="1"/>
        <v>-1.3750000000010558E-4</v>
      </c>
      <c r="S49" s="45">
        <f t="shared" si="1"/>
        <v>3.2749999999998974E-3</v>
      </c>
      <c r="T49" s="45">
        <f t="shared" si="1"/>
        <v>1.0099999999999902E-2</v>
      </c>
      <c r="U49" s="45">
        <f t="shared" si="1"/>
        <v>1.0099999999999902E-2</v>
      </c>
      <c r="V49" s="45">
        <f t="shared" si="1"/>
        <v>-1.3750000000010558E-4</v>
      </c>
      <c r="W49" s="45">
        <f t="shared" si="1"/>
        <v>-1.0375000000000115E-2</v>
      </c>
      <c r="X49" s="45">
        <f t="shared" si="1"/>
        <v>3.2749999999998974E-3</v>
      </c>
      <c r="Y49" s="45">
        <f t="shared" si="1"/>
        <v>3.2749999999998974E-3</v>
      </c>
      <c r="Z49" s="45">
        <f t="shared" si="1"/>
        <v>3.2749999999998974E-3</v>
      </c>
      <c r="AA49" s="45">
        <f t="shared" si="1"/>
        <v>1.3512499999999907E-2</v>
      </c>
      <c r="AB49" s="45">
        <f t="shared" si="1"/>
        <v>3.2749999999998974E-3</v>
      </c>
      <c r="AC49" s="45">
        <f t="shared" si="1"/>
        <v>1.0099999999999902E-2</v>
      </c>
      <c r="AD49" s="45">
        <f t="shared" si="1"/>
        <v>1.0099999999999902E-2</v>
      </c>
      <c r="AE49" s="45">
        <f t="shared" si="1"/>
        <v>1.0099999999999902E-2</v>
      </c>
      <c r="AF49" s="45">
        <f t="shared" si="1"/>
        <v>1.0099999999999902E-2</v>
      </c>
      <c r="AG49" s="45">
        <f t="shared" si="1"/>
        <v>3.2749999999998974E-3</v>
      </c>
      <c r="AH49" s="45">
        <f t="shared" si="1"/>
        <v>3.2749999999998974E-3</v>
      </c>
      <c r="AI49" s="45">
        <f t="shared" si="1"/>
        <v>-1.3750000000010558E-4</v>
      </c>
      <c r="AJ49" s="45">
        <f t="shared" si="1"/>
        <v>3.2749999999998974E-3</v>
      </c>
      <c r="AK49" s="45">
        <f t="shared" si="1"/>
        <v>-1.3750000000010558E-4</v>
      </c>
      <c r="AL49" s="45">
        <f t="shared" si="1"/>
        <v>1.3512499999999907E-2</v>
      </c>
      <c r="AM49" s="45">
        <f t="shared" si="1"/>
        <v>3.2749999999998974E-3</v>
      </c>
      <c r="AN49" s="45">
        <f t="shared" si="1"/>
        <v>-1.3750000000010558E-4</v>
      </c>
      <c r="AO49" s="45">
        <f t="shared" si="1"/>
        <v>3.2749999999998974E-3</v>
      </c>
      <c r="AP49" s="45">
        <f t="shared" si="1"/>
        <v>1.0099999999999902E-2</v>
      </c>
      <c r="AQ49" s="45">
        <f t="shared" si="1"/>
        <v>1.0099999999999902E-2</v>
      </c>
      <c r="AR49" s="45">
        <f t="shared" si="1"/>
        <v>3.2749999999998974E-3</v>
      </c>
      <c r="AS49" s="45">
        <f t="shared" si="1"/>
        <v>3.2749999999998974E-3</v>
      </c>
      <c r="AT49" s="45">
        <f t="shared" si="1"/>
        <v>3.2749999999998974E-3</v>
      </c>
      <c r="AU49" s="45">
        <f t="shared" si="1"/>
        <v>-1.7200000000000121E-2</v>
      </c>
      <c r="AV49" s="45">
        <f t="shared" si="1"/>
        <v>-1.3750000000010558E-4</v>
      </c>
      <c r="AW49" s="45">
        <f t="shared" si="1"/>
        <v>3.2749999999998974E-3</v>
      </c>
      <c r="AX49" s="45">
        <f t="shared" si="1"/>
        <v>3.2749999999998974E-3</v>
      </c>
      <c r="AY49" s="45">
        <f t="shared" si="1"/>
        <v>3.2749999999998974E-3</v>
      </c>
      <c r="AZ49" s="45">
        <f t="shared" si="1"/>
        <v>1.0099999999999902E-2</v>
      </c>
      <c r="BA49" s="45">
        <f t="shared" si="2"/>
        <v>1.0099999999999902E-2</v>
      </c>
      <c r="BB49" s="45">
        <f t="shared" si="2"/>
        <v>1.0099999999999902E-2</v>
      </c>
      <c r="BC49" s="45">
        <f t="shared" si="2"/>
        <v>-1.0375000000000115E-2</v>
      </c>
      <c r="BD49" s="45">
        <f t="shared" si="2"/>
        <v>1.0099999999999902E-2</v>
      </c>
      <c r="BE49" s="45">
        <f t="shared" si="2"/>
        <v>3.2749999999998974E-3</v>
      </c>
      <c r="BF49" s="45">
        <f t="shared" si="2"/>
        <v>3.2749999999998974E-3</v>
      </c>
      <c r="BG49" s="45">
        <f t="shared" si="2"/>
        <v>1.0099999999999902E-2</v>
      </c>
      <c r="BH49" s="45">
        <f t="shared" si="2"/>
        <v>1.0099999999999902E-2</v>
      </c>
      <c r="BI49" s="45">
        <f t="shared" si="2"/>
        <v>1.0099999999999902E-2</v>
      </c>
      <c r="BJ49" s="45">
        <f t="shared" si="2"/>
        <v>3.2749999999998974E-3</v>
      </c>
      <c r="BK49" s="47">
        <f t="shared" si="2"/>
        <v>3.2749999999998974E-3</v>
      </c>
    </row>
    <row r="50" spans="2:63" x14ac:dyDescent="0.45">
      <c r="B50" s="22" t="s">
        <v>97</v>
      </c>
      <c r="C50" s="42">
        <f>$C$16*2</f>
        <v>0.58608058608058611</v>
      </c>
      <c r="D50" s="45">
        <f t="shared" si="1"/>
        <v>-1.843750000000107E-3</v>
      </c>
      <c r="E50" s="45">
        <f t="shared" si="1"/>
        <v>6.6874999999999001E-3</v>
      </c>
      <c r="F50" s="45">
        <f t="shared" si="1"/>
        <v>-1.3750000000010558E-4</v>
      </c>
      <c r="G50" s="45">
        <f t="shared" si="1"/>
        <v>6.6874999999999001E-3</v>
      </c>
      <c r="H50" s="45">
        <f t="shared" si="1"/>
        <v>4.981249999999899E-3</v>
      </c>
      <c r="I50" s="45">
        <f t="shared" si="1"/>
        <v>4.981249999999899E-3</v>
      </c>
      <c r="J50" s="45">
        <f t="shared" si="1"/>
        <v>4.981249999999899E-3</v>
      </c>
      <c r="K50" s="45">
        <f t="shared" si="1"/>
        <v>-5.2562500000001098E-3</v>
      </c>
      <c r="L50" s="45">
        <f t="shared" si="1"/>
        <v>4.981249999999899E-3</v>
      </c>
      <c r="M50" s="45">
        <f t="shared" si="1"/>
        <v>-1.3750000000010558E-4</v>
      </c>
      <c r="N50" s="45">
        <f t="shared" si="1"/>
        <v>4.981249999999899E-3</v>
      </c>
      <c r="O50" s="45">
        <f t="shared" si="1"/>
        <v>-1.3750000000010558E-4</v>
      </c>
      <c r="P50" s="45">
        <f t="shared" si="1"/>
        <v>6.6874999999999001E-3</v>
      </c>
      <c r="Q50" s="45">
        <f t="shared" si="1"/>
        <v>1.5687499999998957E-3</v>
      </c>
      <c r="R50" s="45">
        <f t="shared" si="1"/>
        <v>-1.843750000000107E-3</v>
      </c>
      <c r="S50" s="45">
        <f t="shared" si="1"/>
        <v>-1.3750000000010558E-4</v>
      </c>
      <c r="T50" s="45">
        <f t="shared" si="1"/>
        <v>1.5687499999998957E-3</v>
      </c>
      <c r="U50" s="45">
        <f t="shared" si="1"/>
        <v>4.981249999999899E-3</v>
      </c>
      <c r="V50" s="45">
        <f t="shared" si="1"/>
        <v>-5.2562500000001098E-3</v>
      </c>
      <c r="W50" s="45">
        <f t="shared" si="1"/>
        <v>-1.3787500000000117E-2</v>
      </c>
      <c r="X50" s="45">
        <f t="shared" si="1"/>
        <v>1.5687499999998957E-3</v>
      </c>
      <c r="Y50" s="45">
        <f t="shared" si="1"/>
        <v>-1.3750000000010558E-4</v>
      </c>
      <c r="Z50" s="45">
        <f t="shared" si="1"/>
        <v>4.981249999999899E-3</v>
      </c>
      <c r="AA50" s="45">
        <f t="shared" si="1"/>
        <v>6.6874999999999001E-3</v>
      </c>
      <c r="AB50" s="45">
        <f t="shared" ref="AB50:BK50" si="3">(AB17-$C17)/$C17</f>
        <v>1.5687499999998957E-3</v>
      </c>
      <c r="AC50" s="45">
        <f t="shared" si="3"/>
        <v>4.981249999999899E-3</v>
      </c>
      <c r="AD50" s="45">
        <f t="shared" si="3"/>
        <v>8.3937499999999013E-3</v>
      </c>
      <c r="AE50" s="45">
        <f t="shared" si="3"/>
        <v>1.1806249999999904E-2</v>
      </c>
      <c r="AF50" s="45">
        <f t="shared" si="3"/>
        <v>6.6874999999999001E-3</v>
      </c>
      <c r="AG50" s="45">
        <f t="shared" si="3"/>
        <v>1.5687499999998957E-3</v>
      </c>
      <c r="AH50" s="45">
        <f t="shared" si="3"/>
        <v>1.5687499999998957E-3</v>
      </c>
      <c r="AI50" s="45">
        <f t="shared" si="3"/>
        <v>-5.2562500000001098E-3</v>
      </c>
      <c r="AJ50" s="45">
        <f t="shared" si="3"/>
        <v>1.5687499999998957E-3</v>
      </c>
      <c r="AK50" s="45">
        <f t="shared" si="3"/>
        <v>-1.3750000000010558E-4</v>
      </c>
      <c r="AL50" s="45">
        <f t="shared" si="3"/>
        <v>8.3937499999999013E-3</v>
      </c>
      <c r="AM50" s="45">
        <f t="shared" si="3"/>
        <v>-1.3750000000010558E-4</v>
      </c>
      <c r="AN50" s="45">
        <f t="shared" si="3"/>
        <v>-1.843750000000107E-3</v>
      </c>
      <c r="AO50" s="45">
        <f t="shared" si="3"/>
        <v>4.981249999999899E-3</v>
      </c>
      <c r="AP50" s="45">
        <f t="shared" si="3"/>
        <v>4.981249999999899E-3</v>
      </c>
      <c r="AQ50" s="45">
        <f t="shared" si="3"/>
        <v>6.6874999999999001E-3</v>
      </c>
      <c r="AR50" s="45">
        <f t="shared" si="3"/>
        <v>1.5687499999998957E-3</v>
      </c>
      <c r="AS50" s="45">
        <f t="shared" si="3"/>
        <v>1.5687499999998957E-3</v>
      </c>
      <c r="AT50" s="45">
        <f t="shared" si="3"/>
        <v>1.5687499999998957E-3</v>
      </c>
      <c r="AU50" s="45">
        <f t="shared" si="3"/>
        <v>-2.0612500000000124E-2</v>
      </c>
      <c r="AV50" s="45">
        <f t="shared" si="3"/>
        <v>-1.3750000000010558E-4</v>
      </c>
      <c r="AW50" s="45">
        <f t="shared" si="3"/>
        <v>1.5687499999998957E-3</v>
      </c>
      <c r="AX50" s="45">
        <f t="shared" si="3"/>
        <v>1.5687499999998957E-3</v>
      </c>
      <c r="AY50" s="45">
        <f t="shared" si="3"/>
        <v>1.5687499999998957E-3</v>
      </c>
      <c r="AZ50" s="45">
        <f t="shared" si="3"/>
        <v>8.3937499999999013E-3</v>
      </c>
      <c r="BA50" s="45">
        <f t="shared" si="3"/>
        <v>8.3937499999999013E-3</v>
      </c>
      <c r="BB50" s="45">
        <f t="shared" si="3"/>
        <v>8.3937499999999013E-3</v>
      </c>
      <c r="BC50" s="45">
        <f t="shared" si="3"/>
        <v>-1.2081250000000116E-2</v>
      </c>
      <c r="BD50" s="45">
        <f t="shared" si="3"/>
        <v>1.5687499999998957E-3</v>
      </c>
      <c r="BE50" s="45">
        <f t="shared" si="3"/>
        <v>4.981249999999899E-3</v>
      </c>
      <c r="BF50" s="45">
        <f t="shared" si="3"/>
        <v>1.5687499999998957E-3</v>
      </c>
      <c r="BG50" s="45">
        <f t="shared" si="3"/>
        <v>1.5687499999998957E-3</v>
      </c>
      <c r="BH50" s="45">
        <f t="shared" si="3"/>
        <v>4.981249999999899E-3</v>
      </c>
      <c r="BI50" s="45">
        <f t="shared" si="3"/>
        <v>1.5687499999998957E-3</v>
      </c>
      <c r="BJ50" s="45">
        <f t="shared" si="3"/>
        <v>4.981249999999899E-3</v>
      </c>
      <c r="BK50" s="47">
        <f t="shared" si="3"/>
        <v>-1.3750000000010558E-4</v>
      </c>
    </row>
    <row r="51" spans="2:63" x14ac:dyDescent="0.45">
      <c r="B51" s="22" t="s">
        <v>98</v>
      </c>
      <c r="C51" s="42">
        <f>$C$16*3</f>
        <v>0.87912087912087911</v>
      </c>
      <c r="D51" s="45">
        <f t="shared" ref="D51:BK55" si="4">(D18-$C18)/$C18</f>
        <v>-1.2749999999999804E-3</v>
      </c>
      <c r="E51" s="45">
        <f t="shared" si="4"/>
        <v>8.9625000000000295E-3</v>
      </c>
      <c r="F51" s="45">
        <f t="shared" si="4"/>
        <v>1.0000000000000217E-3</v>
      </c>
      <c r="G51" s="45">
        <f t="shared" si="4"/>
        <v>1.0100000000000029E-2</v>
      </c>
      <c r="H51" s="45">
        <f t="shared" si="4"/>
        <v>4.4125000000000249E-3</v>
      </c>
      <c r="I51" s="45">
        <f t="shared" si="4"/>
        <v>5.5500000000000263E-3</v>
      </c>
      <c r="J51" s="45">
        <f t="shared" si="4"/>
        <v>4.4125000000000249E-3</v>
      </c>
      <c r="K51" s="45">
        <f t="shared" si="4"/>
        <v>-4.6874999999999833E-3</v>
      </c>
      <c r="L51" s="45">
        <f t="shared" si="4"/>
        <v>3.275000000000024E-3</v>
      </c>
      <c r="M51" s="45">
        <f t="shared" si="4"/>
        <v>1.0000000000000217E-3</v>
      </c>
      <c r="N51" s="45">
        <f t="shared" si="4"/>
        <v>5.5500000000000263E-3</v>
      </c>
      <c r="O51" s="45">
        <f t="shared" si="4"/>
        <v>1.0000000000000217E-3</v>
      </c>
      <c r="P51" s="45">
        <f t="shared" si="4"/>
        <v>7.8250000000000281E-3</v>
      </c>
      <c r="Q51" s="45">
        <f t="shared" si="4"/>
        <v>3.275000000000024E-3</v>
      </c>
      <c r="R51" s="45">
        <f t="shared" si="4"/>
        <v>-1.374999999999793E-4</v>
      </c>
      <c r="S51" s="45">
        <f t="shared" si="4"/>
        <v>1.0000000000000217E-3</v>
      </c>
      <c r="T51" s="45">
        <f t="shared" si="4"/>
        <v>4.4125000000000249E-3</v>
      </c>
      <c r="U51" s="45">
        <f t="shared" si="4"/>
        <v>7.8250000000000281E-3</v>
      </c>
      <c r="V51" s="45">
        <f t="shared" si="4"/>
        <v>-3.5499999999999824E-3</v>
      </c>
      <c r="W51" s="45">
        <f t="shared" si="4"/>
        <v>-1.3787499999999992E-2</v>
      </c>
      <c r="X51" s="45">
        <f t="shared" si="4"/>
        <v>3.275000000000024E-3</v>
      </c>
      <c r="Y51" s="45">
        <f t="shared" si="4"/>
        <v>3.275000000000024E-3</v>
      </c>
      <c r="Z51" s="45">
        <f t="shared" si="4"/>
        <v>5.5500000000000263E-3</v>
      </c>
      <c r="AA51" s="45">
        <f t="shared" si="4"/>
        <v>8.9625000000000295E-3</v>
      </c>
      <c r="AB51" s="45">
        <f t="shared" si="4"/>
        <v>4.4125000000000249E-3</v>
      </c>
      <c r="AC51" s="45">
        <f t="shared" si="4"/>
        <v>5.5500000000000263E-3</v>
      </c>
      <c r="AD51" s="45">
        <f t="shared" si="4"/>
        <v>8.9625000000000295E-3</v>
      </c>
      <c r="AE51" s="45">
        <f t="shared" si="4"/>
        <v>1.2375000000000032E-2</v>
      </c>
      <c r="AF51" s="45">
        <f t="shared" si="4"/>
        <v>8.9625000000000295E-3</v>
      </c>
      <c r="AG51" s="45">
        <f t="shared" si="4"/>
        <v>3.275000000000024E-3</v>
      </c>
      <c r="AH51" s="45">
        <f t="shared" si="4"/>
        <v>5.5500000000000263E-3</v>
      </c>
      <c r="AI51" s="45">
        <f t="shared" si="4"/>
        <v>-3.5499999999999824E-3</v>
      </c>
      <c r="AJ51" s="45">
        <f t="shared" si="4"/>
        <v>4.4125000000000249E-3</v>
      </c>
      <c r="AK51" s="45">
        <f t="shared" si="4"/>
        <v>1.0000000000000217E-3</v>
      </c>
      <c r="AL51" s="45">
        <f t="shared" si="4"/>
        <v>1.0100000000000029E-2</v>
      </c>
      <c r="AM51" s="45">
        <f t="shared" si="4"/>
        <v>3.275000000000024E-3</v>
      </c>
      <c r="AN51" s="45">
        <f t="shared" si="4"/>
        <v>-1.2749999999999804E-3</v>
      </c>
      <c r="AO51" s="45">
        <f t="shared" si="4"/>
        <v>3.275000000000024E-3</v>
      </c>
      <c r="AP51" s="45">
        <f t="shared" si="4"/>
        <v>5.5500000000000263E-3</v>
      </c>
      <c r="AQ51" s="45">
        <f t="shared" si="4"/>
        <v>8.9625000000000295E-3</v>
      </c>
      <c r="AR51" s="45">
        <f t="shared" si="4"/>
        <v>5.5500000000000263E-3</v>
      </c>
      <c r="AS51" s="45">
        <f t="shared" si="4"/>
        <v>4.4125000000000249E-3</v>
      </c>
      <c r="AT51" s="45">
        <f t="shared" si="4"/>
        <v>4.4125000000000249E-3</v>
      </c>
      <c r="AU51" s="45">
        <f t="shared" si="4"/>
        <v>-2.0612499999999999E-2</v>
      </c>
      <c r="AV51" s="45">
        <f t="shared" si="4"/>
        <v>1.0000000000000217E-3</v>
      </c>
      <c r="AW51" s="45">
        <f t="shared" si="4"/>
        <v>3.275000000000024E-3</v>
      </c>
      <c r="AX51" s="45">
        <f t="shared" si="4"/>
        <v>4.4125000000000249E-3</v>
      </c>
      <c r="AY51" s="45">
        <f t="shared" si="4"/>
        <v>4.4125000000000249E-3</v>
      </c>
      <c r="AZ51" s="45">
        <f t="shared" si="4"/>
        <v>8.9625000000000295E-3</v>
      </c>
      <c r="BA51" s="45">
        <f t="shared" si="4"/>
        <v>7.8250000000000281E-3</v>
      </c>
      <c r="BB51" s="45">
        <f t="shared" si="4"/>
        <v>8.9625000000000295E-3</v>
      </c>
      <c r="BC51" s="45">
        <f t="shared" si="4"/>
        <v>-9.237499999999987E-3</v>
      </c>
      <c r="BD51" s="45">
        <f t="shared" si="4"/>
        <v>5.5500000000000263E-3</v>
      </c>
      <c r="BE51" s="45">
        <f t="shared" si="4"/>
        <v>7.8250000000000281E-3</v>
      </c>
      <c r="BF51" s="45">
        <f t="shared" si="4"/>
        <v>3.275000000000024E-3</v>
      </c>
      <c r="BG51" s="45">
        <f t="shared" si="4"/>
        <v>3.275000000000024E-3</v>
      </c>
      <c r="BH51" s="45">
        <f t="shared" si="4"/>
        <v>5.5500000000000263E-3</v>
      </c>
      <c r="BI51" s="45">
        <f t="shared" si="4"/>
        <v>4.4125000000000249E-3</v>
      </c>
      <c r="BJ51" s="45">
        <f t="shared" si="4"/>
        <v>4.4125000000000249E-3</v>
      </c>
      <c r="BK51" s="47">
        <f t="shared" si="4"/>
        <v>-1.374999999999793E-4</v>
      </c>
    </row>
    <row r="52" spans="2:63" x14ac:dyDescent="0.45">
      <c r="B52" s="22" t="s">
        <v>99</v>
      </c>
      <c r="C52" s="42">
        <f>$C$16*4</f>
        <v>1.1721611721611722</v>
      </c>
      <c r="D52" s="45">
        <f t="shared" si="4"/>
        <v>-5.2562500000001098E-3</v>
      </c>
      <c r="E52" s="45">
        <f t="shared" si="4"/>
        <v>6.6874999999999001E-3</v>
      </c>
      <c r="F52" s="45">
        <f t="shared" si="4"/>
        <v>-9.9062500000001168E-4</v>
      </c>
      <c r="G52" s="45">
        <f t="shared" si="4"/>
        <v>7.5406249999999952E-3</v>
      </c>
      <c r="H52" s="45">
        <f t="shared" si="4"/>
        <v>3.2749999999998974E-3</v>
      </c>
      <c r="I52" s="45">
        <f t="shared" si="4"/>
        <v>3.2749999999998974E-3</v>
      </c>
      <c r="J52" s="45">
        <f t="shared" si="4"/>
        <v>3.2749999999998974E-3</v>
      </c>
      <c r="K52" s="45">
        <f t="shared" si="4"/>
        <v>-8.6687500000001121E-3</v>
      </c>
      <c r="L52" s="45">
        <f t="shared" si="4"/>
        <v>3.2749999999998974E-3</v>
      </c>
      <c r="M52" s="45">
        <f t="shared" si="4"/>
        <v>-1.3750000000010558E-4</v>
      </c>
      <c r="N52" s="45">
        <f t="shared" si="4"/>
        <v>3.2749999999998974E-3</v>
      </c>
      <c r="O52" s="45">
        <f t="shared" si="4"/>
        <v>-1.3750000000010558E-4</v>
      </c>
      <c r="P52" s="45">
        <f t="shared" si="4"/>
        <v>5.8343749999999941E-3</v>
      </c>
      <c r="Q52" s="45">
        <f t="shared" si="4"/>
        <v>-1.3750000000010558E-4</v>
      </c>
      <c r="R52" s="45">
        <f t="shared" si="4"/>
        <v>-2.6968750000000131E-3</v>
      </c>
      <c r="S52" s="45">
        <f t="shared" si="4"/>
        <v>-1.3750000000010558E-4</v>
      </c>
      <c r="T52" s="45">
        <f t="shared" si="4"/>
        <v>2.4218749999999913E-3</v>
      </c>
      <c r="U52" s="45">
        <f t="shared" si="4"/>
        <v>5.8343749999999941E-3</v>
      </c>
      <c r="V52" s="45">
        <f t="shared" si="4"/>
        <v>-6.1093750000000158E-3</v>
      </c>
      <c r="W52" s="45">
        <f t="shared" si="4"/>
        <v>-1.8906250000000121E-2</v>
      </c>
      <c r="X52" s="45">
        <f t="shared" si="4"/>
        <v>2.4218749999999913E-3</v>
      </c>
      <c r="Y52" s="45">
        <f t="shared" si="4"/>
        <v>-1.3750000000010558E-4</v>
      </c>
      <c r="Z52" s="45">
        <f t="shared" si="4"/>
        <v>3.2749999999998974E-3</v>
      </c>
      <c r="AA52" s="45">
        <f t="shared" si="4"/>
        <v>6.6874999999999001E-3</v>
      </c>
      <c r="AB52" s="45">
        <f t="shared" si="4"/>
        <v>2.4218749999999913E-3</v>
      </c>
      <c r="AC52" s="45">
        <f t="shared" si="4"/>
        <v>3.2749999999998974E-3</v>
      </c>
      <c r="AD52" s="45">
        <f t="shared" si="4"/>
        <v>7.5406249999999952E-3</v>
      </c>
      <c r="AE52" s="45">
        <f t="shared" si="4"/>
        <v>1.0099999999999902E-2</v>
      </c>
      <c r="AF52" s="45">
        <f t="shared" si="4"/>
        <v>5.8343749999999941E-3</v>
      </c>
      <c r="AG52" s="45">
        <f t="shared" si="4"/>
        <v>7.1562499999998982E-4</v>
      </c>
      <c r="AH52" s="45">
        <f t="shared" si="4"/>
        <v>4.1281249999999929E-3</v>
      </c>
      <c r="AI52" s="45">
        <f t="shared" si="4"/>
        <v>-5.2562500000001098E-3</v>
      </c>
      <c r="AJ52" s="45">
        <f t="shared" si="4"/>
        <v>3.2749999999998974E-3</v>
      </c>
      <c r="AK52" s="45">
        <f t="shared" si="4"/>
        <v>-9.9062500000001168E-4</v>
      </c>
      <c r="AL52" s="45">
        <f t="shared" si="4"/>
        <v>9.2468749999999964E-3</v>
      </c>
      <c r="AM52" s="45">
        <f t="shared" si="4"/>
        <v>7.1562499999998982E-4</v>
      </c>
      <c r="AN52" s="45">
        <f t="shared" si="4"/>
        <v>-2.6968750000000131E-3</v>
      </c>
      <c r="AO52" s="45">
        <f t="shared" si="4"/>
        <v>2.4218749999999913E-3</v>
      </c>
      <c r="AP52" s="45">
        <f t="shared" si="4"/>
        <v>4.1281249999999929E-3</v>
      </c>
      <c r="AQ52" s="45">
        <f t="shared" si="4"/>
        <v>6.6874999999999001E-3</v>
      </c>
      <c r="AR52" s="45">
        <f t="shared" si="4"/>
        <v>3.2749999999998974E-3</v>
      </c>
      <c r="AS52" s="45">
        <f t="shared" si="4"/>
        <v>3.2749999999998974E-3</v>
      </c>
      <c r="AT52" s="45">
        <f t="shared" si="4"/>
        <v>2.4218749999999913E-3</v>
      </c>
      <c r="AU52" s="45">
        <f t="shared" si="4"/>
        <v>-2.3171875000000029E-2</v>
      </c>
      <c r="AV52" s="45">
        <f t="shared" si="4"/>
        <v>7.1562499999998982E-4</v>
      </c>
      <c r="AW52" s="45">
        <f t="shared" si="4"/>
        <v>-1.3750000000010558E-4</v>
      </c>
      <c r="AX52" s="45">
        <f t="shared" si="4"/>
        <v>7.1562499999998982E-4</v>
      </c>
      <c r="AY52" s="45">
        <f t="shared" si="4"/>
        <v>2.4218749999999913E-3</v>
      </c>
      <c r="AZ52" s="45">
        <f t="shared" si="4"/>
        <v>6.6874999999999001E-3</v>
      </c>
      <c r="BA52" s="45">
        <f t="shared" si="4"/>
        <v>5.8343749999999941E-3</v>
      </c>
      <c r="BB52" s="45">
        <f t="shared" si="4"/>
        <v>7.5406249999999952E-3</v>
      </c>
      <c r="BC52" s="45">
        <f t="shared" si="4"/>
        <v>-1.0375000000000115E-2</v>
      </c>
      <c r="BD52" s="45">
        <f t="shared" si="4"/>
        <v>3.2749999999998974E-3</v>
      </c>
      <c r="BE52" s="45">
        <f t="shared" si="4"/>
        <v>5.8343749999999941E-3</v>
      </c>
      <c r="BF52" s="45">
        <f t="shared" si="4"/>
        <v>7.1562499999998982E-4</v>
      </c>
      <c r="BG52" s="45">
        <f t="shared" si="4"/>
        <v>-9.9062500000001168E-4</v>
      </c>
      <c r="BH52" s="45">
        <f t="shared" si="4"/>
        <v>3.2749999999998974E-3</v>
      </c>
      <c r="BI52" s="45">
        <f t="shared" si="4"/>
        <v>2.4218749999999913E-3</v>
      </c>
      <c r="BJ52" s="45">
        <f t="shared" si="4"/>
        <v>2.4218749999999913E-3</v>
      </c>
      <c r="BK52" s="47">
        <f t="shared" si="4"/>
        <v>-9.9062500000001168E-4</v>
      </c>
    </row>
    <row r="53" spans="2:63" x14ac:dyDescent="0.45">
      <c r="B53" s="22" t="s">
        <v>100</v>
      </c>
      <c r="C53" s="42">
        <f>$C$16*5</f>
        <v>1.4652014652014653</v>
      </c>
      <c r="D53" s="45">
        <f t="shared" si="4"/>
        <v>-4.2325000000000331E-3</v>
      </c>
      <c r="E53" s="45">
        <f t="shared" si="4"/>
        <v>7.3699999999999001E-3</v>
      </c>
      <c r="F53" s="45">
        <f t="shared" si="4"/>
        <v>-2.1850000000001074E-3</v>
      </c>
      <c r="G53" s="45">
        <f t="shared" si="4"/>
        <v>7.3699999999999001E-3</v>
      </c>
      <c r="H53" s="45">
        <f t="shared" si="4"/>
        <v>2.5924999999999724E-3</v>
      </c>
      <c r="I53" s="45">
        <f t="shared" si="4"/>
        <v>2.5924999999999724E-3</v>
      </c>
      <c r="J53" s="45">
        <f t="shared" si="4"/>
        <v>3.2749999999998974E-3</v>
      </c>
      <c r="K53" s="45">
        <f t="shared" si="4"/>
        <v>-9.6925000000000379E-3</v>
      </c>
      <c r="L53" s="45">
        <f t="shared" si="4"/>
        <v>2.5924999999999724E-3</v>
      </c>
      <c r="M53" s="45">
        <f t="shared" si="4"/>
        <v>-8.2000000000010613E-4</v>
      </c>
      <c r="N53" s="45">
        <f t="shared" si="4"/>
        <v>2.5924999999999724E-3</v>
      </c>
      <c r="O53" s="45">
        <f t="shared" si="4"/>
        <v>-2.1850000000001074E-3</v>
      </c>
      <c r="P53" s="45">
        <f t="shared" si="4"/>
        <v>5.3224999999999748E-3</v>
      </c>
      <c r="Q53" s="45">
        <f t="shared" si="4"/>
        <v>-1.375000000000298E-4</v>
      </c>
      <c r="R53" s="45">
        <f t="shared" si="4"/>
        <v>-2.1850000000001074E-3</v>
      </c>
      <c r="S53" s="45">
        <f t="shared" si="4"/>
        <v>-1.375000000000298E-4</v>
      </c>
      <c r="T53" s="45">
        <f t="shared" si="4"/>
        <v>2.5924999999999724E-3</v>
      </c>
      <c r="U53" s="45">
        <f t="shared" si="4"/>
        <v>5.3224999999999748E-3</v>
      </c>
      <c r="V53" s="45">
        <f t="shared" si="4"/>
        <v>-5.5975000000000339E-3</v>
      </c>
      <c r="W53" s="45">
        <f t="shared" si="4"/>
        <v>-1.9930000000000121E-2</v>
      </c>
      <c r="X53" s="45">
        <f t="shared" si="4"/>
        <v>1.9099999999998962E-3</v>
      </c>
      <c r="Y53" s="45">
        <f t="shared" si="4"/>
        <v>-1.375000000000298E-4</v>
      </c>
      <c r="Z53" s="45">
        <f t="shared" si="4"/>
        <v>2.5924999999999724E-3</v>
      </c>
      <c r="AA53" s="45">
        <f t="shared" si="4"/>
        <v>6.0049999999998993E-3</v>
      </c>
      <c r="AB53" s="45">
        <f t="shared" si="4"/>
        <v>5.4499999999989496E-4</v>
      </c>
      <c r="AC53" s="45">
        <f t="shared" si="4"/>
        <v>2.5924999999999724E-3</v>
      </c>
      <c r="AD53" s="45">
        <f t="shared" si="4"/>
        <v>6.0049999999998993E-3</v>
      </c>
      <c r="AE53" s="45">
        <f t="shared" si="4"/>
        <v>1.0099999999999902E-2</v>
      </c>
      <c r="AF53" s="45">
        <f t="shared" si="4"/>
        <v>5.3224999999999748E-3</v>
      </c>
      <c r="AG53" s="45">
        <f t="shared" si="4"/>
        <v>5.4499999999989496E-4</v>
      </c>
      <c r="AH53" s="45">
        <f t="shared" si="4"/>
        <v>5.3224999999999748E-3</v>
      </c>
      <c r="AI53" s="45">
        <f t="shared" si="4"/>
        <v>-7.6450000000001118E-3</v>
      </c>
      <c r="AJ53" s="45">
        <f t="shared" si="4"/>
        <v>3.2749999999998974E-3</v>
      </c>
      <c r="AK53" s="45">
        <f t="shared" si="4"/>
        <v>-8.2000000000010613E-4</v>
      </c>
      <c r="AL53" s="45">
        <f t="shared" si="4"/>
        <v>8.0524999999999763E-3</v>
      </c>
      <c r="AM53" s="45">
        <f t="shared" si="4"/>
        <v>-1.375000000000298E-4</v>
      </c>
      <c r="AN53" s="45">
        <f t="shared" si="4"/>
        <v>-4.9150000000001094E-3</v>
      </c>
      <c r="AO53" s="45">
        <f t="shared" si="4"/>
        <v>2.5924999999999724E-3</v>
      </c>
      <c r="AP53" s="45">
        <f t="shared" si="4"/>
        <v>3.2749999999998974E-3</v>
      </c>
      <c r="AQ53" s="45">
        <f t="shared" si="4"/>
        <v>6.0049999999998993E-3</v>
      </c>
      <c r="AR53" s="45">
        <f t="shared" si="4"/>
        <v>3.2749999999998974E-3</v>
      </c>
      <c r="AS53" s="45">
        <f t="shared" si="4"/>
        <v>3.2749999999998974E-3</v>
      </c>
      <c r="AT53" s="45">
        <f t="shared" si="4"/>
        <v>2.5924999999999724E-3</v>
      </c>
      <c r="AU53" s="45">
        <f t="shared" si="4"/>
        <v>-2.3342500000000047E-2</v>
      </c>
      <c r="AV53" s="45">
        <f t="shared" si="4"/>
        <v>5.4499999999989496E-4</v>
      </c>
      <c r="AW53" s="45">
        <f t="shared" si="4"/>
        <v>-1.375000000000298E-4</v>
      </c>
      <c r="AX53" s="45">
        <f t="shared" si="4"/>
        <v>1.9099999999998962E-3</v>
      </c>
      <c r="AY53" s="45">
        <f t="shared" si="4"/>
        <v>2.5924999999999724E-3</v>
      </c>
      <c r="AZ53" s="45">
        <f t="shared" si="4"/>
        <v>6.0049999999998993E-3</v>
      </c>
      <c r="BA53" s="45">
        <f t="shared" si="4"/>
        <v>5.3224999999999748E-3</v>
      </c>
      <c r="BB53" s="45">
        <f t="shared" si="4"/>
        <v>6.0049999999998993E-3</v>
      </c>
      <c r="BC53" s="45">
        <f t="shared" si="4"/>
        <v>-1.1057500000000038E-2</v>
      </c>
      <c r="BD53" s="45">
        <f t="shared" si="4"/>
        <v>3.2749999999998974E-3</v>
      </c>
      <c r="BE53" s="45">
        <f t="shared" si="4"/>
        <v>4.6399999999998985E-3</v>
      </c>
      <c r="BF53" s="45">
        <f t="shared" si="4"/>
        <v>5.4499999999989496E-4</v>
      </c>
      <c r="BG53" s="45">
        <f t="shared" si="4"/>
        <v>-2.8675000000000319E-3</v>
      </c>
      <c r="BH53" s="45">
        <f t="shared" si="4"/>
        <v>3.2749999999998974E-3</v>
      </c>
      <c r="BI53" s="45">
        <f t="shared" si="4"/>
        <v>1.9099999999998962E-3</v>
      </c>
      <c r="BJ53" s="45">
        <f t="shared" si="4"/>
        <v>4.6399999999998985E-3</v>
      </c>
      <c r="BK53" s="47">
        <f t="shared" si="4"/>
        <v>-8.2000000000010613E-4</v>
      </c>
    </row>
    <row r="54" spans="2:63" x14ac:dyDescent="0.45">
      <c r="B54" s="22" t="s">
        <v>101</v>
      </c>
      <c r="C54" s="42">
        <f>$C$16*6</f>
        <v>1.7582417582417582</v>
      </c>
      <c r="D54" s="45">
        <f t="shared" si="4"/>
        <v>-5.8249999999999847E-3</v>
      </c>
      <c r="E54" s="45">
        <f t="shared" si="4"/>
        <v>6.1187499999999636E-3</v>
      </c>
      <c r="F54" s="45">
        <f t="shared" si="4"/>
        <v>-3.5499999999999824E-3</v>
      </c>
      <c r="G54" s="45">
        <f t="shared" si="4"/>
        <v>4.9812499999999623E-3</v>
      </c>
      <c r="H54" s="45">
        <f t="shared" si="4"/>
        <v>4.3124999999995809E-4</v>
      </c>
      <c r="I54" s="45">
        <f t="shared" si="4"/>
        <v>1.5687499999999591E-3</v>
      </c>
      <c r="J54" s="45">
        <f t="shared" si="4"/>
        <v>4.3124999999995809E-4</v>
      </c>
      <c r="K54" s="45">
        <f t="shared" si="4"/>
        <v>-1.3218749999999928E-2</v>
      </c>
      <c r="L54" s="45">
        <f t="shared" si="4"/>
        <v>4.3124999999995809E-4</v>
      </c>
      <c r="M54" s="45">
        <f t="shared" si="4"/>
        <v>-2.4124999999999815E-3</v>
      </c>
      <c r="N54" s="45">
        <f t="shared" si="4"/>
        <v>1.5687499999999591E-3</v>
      </c>
      <c r="O54" s="45">
        <f t="shared" si="4"/>
        <v>-2.4124999999999815E-3</v>
      </c>
      <c r="P54" s="45">
        <f t="shared" si="4"/>
        <v>2.70624999999996E-3</v>
      </c>
      <c r="Q54" s="45">
        <f t="shared" si="4"/>
        <v>-1.8437500000000439E-3</v>
      </c>
      <c r="R54" s="45">
        <f t="shared" si="4"/>
        <v>-3.5499999999999824E-3</v>
      </c>
      <c r="S54" s="45">
        <f t="shared" si="4"/>
        <v>-1.8437500000000439E-3</v>
      </c>
      <c r="T54" s="45">
        <f t="shared" si="4"/>
        <v>-1.374999999999793E-4</v>
      </c>
      <c r="U54" s="45">
        <f t="shared" si="4"/>
        <v>2.70624999999996E-3</v>
      </c>
      <c r="V54" s="45">
        <f t="shared" si="4"/>
        <v>-6.9624999999999852E-3</v>
      </c>
      <c r="W54" s="45">
        <f t="shared" si="4"/>
        <v>-2.2318749999999936E-2</v>
      </c>
      <c r="X54" s="45">
        <f t="shared" si="4"/>
        <v>4.3124999999995809E-4</v>
      </c>
      <c r="Y54" s="45">
        <f t="shared" si="4"/>
        <v>-1.8437500000000439E-3</v>
      </c>
      <c r="Z54" s="45">
        <f t="shared" si="4"/>
        <v>4.3124999999995809E-4</v>
      </c>
      <c r="AA54" s="45">
        <f t="shared" si="4"/>
        <v>4.4125000000000249E-3</v>
      </c>
      <c r="AB54" s="45">
        <f t="shared" si="4"/>
        <v>-7.06250000000043E-4</v>
      </c>
      <c r="AC54" s="45">
        <f t="shared" si="4"/>
        <v>1.5687499999999591E-3</v>
      </c>
      <c r="AD54" s="45">
        <f t="shared" si="4"/>
        <v>4.9812499999999623E-3</v>
      </c>
      <c r="AE54" s="45">
        <f t="shared" si="4"/>
        <v>8.9625000000000295E-3</v>
      </c>
      <c r="AF54" s="45">
        <f t="shared" si="4"/>
        <v>4.4125000000000249E-3</v>
      </c>
      <c r="AG54" s="45">
        <f t="shared" si="4"/>
        <v>-1.374999999999793E-4</v>
      </c>
      <c r="AH54" s="45">
        <f t="shared" si="4"/>
        <v>2.70624999999996E-3</v>
      </c>
      <c r="AI54" s="45">
        <f t="shared" si="4"/>
        <v>-1.151249999999999E-2</v>
      </c>
      <c r="AJ54" s="45">
        <f t="shared" si="4"/>
        <v>1.5687499999999591E-3</v>
      </c>
      <c r="AK54" s="45">
        <f t="shared" si="4"/>
        <v>-3.5499999999999824E-3</v>
      </c>
      <c r="AL54" s="45">
        <f t="shared" si="4"/>
        <v>6.6875000000000268E-3</v>
      </c>
      <c r="AM54" s="45">
        <f t="shared" si="4"/>
        <v>-1.8437500000000439E-3</v>
      </c>
      <c r="AN54" s="45">
        <f t="shared" si="4"/>
        <v>-5.8249999999999847E-3</v>
      </c>
      <c r="AO54" s="45">
        <f t="shared" si="4"/>
        <v>-7.06250000000043E-4</v>
      </c>
      <c r="AP54" s="45">
        <f t="shared" si="4"/>
        <v>2.1375000000000226E-3</v>
      </c>
      <c r="AQ54" s="45">
        <f t="shared" si="4"/>
        <v>4.9812499999999623E-3</v>
      </c>
      <c r="AR54" s="45">
        <f t="shared" si="4"/>
        <v>1.5687499999999591E-3</v>
      </c>
      <c r="AS54" s="45">
        <f t="shared" si="4"/>
        <v>1.5687499999999591E-3</v>
      </c>
      <c r="AT54" s="45">
        <f t="shared" si="4"/>
        <v>4.3124999999995809E-4</v>
      </c>
      <c r="AU54" s="45">
        <f t="shared" si="4"/>
        <v>-2.8575000000000007E-2</v>
      </c>
      <c r="AV54" s="45">
        <f t="shared" si="4"/>
        <v>-7.06250000000043E-4</v>
      </c>
      <c r="AW54" s="45">
        <f t="shared" si="4"/>
        <v>-1.8437500000000439E-3</v>
      </c>
      <c r="AX54" s="45">
        <f t="shared" si="4"/>
        <v>-7.06250000000043E-4</v>
      </c>
      <c r="AY54" s="45">
        <f t="shared" si="4"/>
        <v>4.3124999999995809E-4</v>
      </c>
      <c r="AZ54" s="45">
        <f t="shared" si="4"/>
        <v>4.9812499999999623E-3</v>
      </c>
      <c r="BA54" s="45">
        <f t="shared" si="4"/>
        <v>3.8437499999999613E-3</v>
      </c>
      <c r="BB54" s="45">
        <f t="shared" si="4"/>
        <v>4.4125000000000249E-3</v>
      </c>
      <c r="BC54" s="45">
        <f t="shared" si="4"/>
        <v>-1.3218749999999928E-2</v>
      </c>
      <c r="BD54" s="45">
        <f t="shared" si="4"/>
        <v>1.5687499999999591E-3</v>
      </c>
      <c r="BE54" s="45">
        <f t="shared" si="4"/>
        <v>2.1375000000000226E-3</v>
      </c>
      <c r="BF54" s="45">
        <f t="shared" si="4"/>
        <v>-1.8437500000000439E-3</v>
      </c>
      <c r="BG54" s="45">
        <f t="shared" si="4"/>
        <v>-6.9624999999999852E-3</v>
      </c>
      <c r="BH54" s="45">
        <f t="shared" si="4"/>
        <v>1.5687499999999591E-3</v>
      </c>
      <c r="BI54" s="45">
        <f t="shared" si="4"/>
        <v>-7.06250000000043E-4</v>
      </c>
      <c r="BJ54" s="45">
        <f t="shared" si="4"/>
        <v>1.5687499999999591E-3</v>
      </c>
      <c r="BK54" s="47">
        <f t="shared" si="4"/>
        <v>-3.5499999999999824E-3</v>
      </c>
    </row>
    <row r="55" spans="2:63" x14ac:dyDescent="0.45">
      <c r="B55" s="22" t="s">
        <v>102</v>
      </c>
      <c r="C55" s="42">
        <f>$C$16*7</f>
        <v>2.0512820512820515</v>
      </c>
      <c r="D55" s="45">
        <f t="shared" si="4"/>
        <v>-5.9875000000000561E-3</v>
      </c>
      <c r="E55" s="45">
        <f t="shared" si="4"/>
        <v>5.2249999999997906E-3</v>
      </c>
      <c r="F55" s="45">
        <f t="shared" si="4"/>
        <v>-4.0375000000000541E-3</v>
      </c>
      <c r="G55" s="45">
        <f t="shared" si="4"/>
        <v>4.249999999999898E-3</v>
      </c>
      <c r="H55" s="45">
        <f t="shared" si="4"/>
        <v>-1.3750000000005145E-4</v>
      </c>
      <c r="I55" s="45">
        <f t="shared" si="4"/>
        <v>3.4999999999989477E-4</v>
      </c>
      <c r="J55" s="45">
        <f t="shared" si="4"/>
        <v>-1.3750000000005145E-4</v>
      </c>
      <c r="K55" s="45">
        <f t="shared" si="4"/>
        <v>-1.5250000000000118E-2</v>
      </c>
      <c r="L55" s="45">
        <f t="shared" si="4"/>
        <v>-1.3750000000005145E-4</v>
      </c>
      <c r="M55" s="45">
        <f t="shared" si="4"/>
        <v>-3.5500000000001082E-3</v>
      </c>
      <c r="N55" s="45">
        <f t="shared" si="4"/>
        <v>3.4999999999989477E-4</v>
      </c>
      <c r="O55" s="45">
        <f t="shared" si="4"/>
        <v>-3.5500000000001082E-3</v>
      </c>
      <c r="P55" s="45">
        <f t="shared" si="4"/>
        <v>1.81249999999995E-3</v>
      </c>
      <c r="Q55" s="45">
        <f t="shared" si="4"/>
        <v>-2.0875000000000529E-3</v>
      </c>
      <c r="R55" s="45">
        <f t="shared" si="4"/>
        <v>-5.5000000000001098E-3</v>
      </c>
      <c r="S55" s="45">
        <f t="shared" ref="S55:BK55" si="5">(S22-$C22)/$C22</f>
        <v>-3.0625000000001619E-3</v>
      </c>
      <c r="T55" s="45">
        <f t="shared" si="5"/>
        <v>3.4999999999989477E-4</v>
      </c>
      <c r="U55" s="45">
        <f t="shared" si="5"/>
        <v>3.2749999999997889E-3</v>
      </c>
      <c r="V55" s="45">
        <f t="shared" si="5"/>
        <v>-8.9125000000001668E-3</v>
      </c>
      <c r="W55" s="45">
        <f t="shared" si="5"/>
        <v>-2.5487500000000069E-2</v>
      </c>
      <c r="X55" s="45">
        <f t="shared" si="5"/>
        <v>-1.1125000000001605E-3</v>
      </c>
      <c r="Y55" s="45">
        <f t="shared" si="5"/>
        <v>-2.0875000000000529E-3</v>
      </c>
      <c r="Z55" s="45">
        <f t="shared" si="5"/>
        <v>-1.3750000000005145E-4</v>
      </c>
      <c r="AA55" s="45">
        <f t="shared" si="5"/>
        <v>3.2749999999997889E-3</v>
      </c>
      <c r="AB55" s="45">
        <f t="shared" si="5"/>
        <v>-2.0875000000000529E-3</v>
      </c>
      <c r="AC55" s="45">
        <f t="shared" si="5"/>
        <v>3.4999999999989477E-4</v>
      </c>
      <c r="AD55" s="45">
        <f t="shared" si="5"/>
        <v>4.249999999999898E-3</v>
      </c>
      <c r="AE55" s="45">
        <f t="shared" si="5"/>
        <v>7.6624999999999541E-3</v>
      </c>
      <c r="AF55" s="45">
        <f t="shared" si="5"/>
        <v>3.7624999999999516E-3</v>
      </c>
      <c r="AG55" s="45">
        <f t="shared" si="5"/>
        <v>-1.1125000000001605E-3</v>
      </c>
      <c r="AH55" s="45">
        <f t="shared" si="5"/>
        <v>2.2999999999998963E-3</v>
      </c>
      <c r="AI55" s="45">
        <f t="shared" si="5"/>
        <v>-1.3300000000000116E-2</v>
      </c>
      <c r="AJ55" s="45">
        <f t="shared" si="5"/>
        <v>1.3249999999997873E-3</v>
      </c>
      <c r="AK55" s="45">
        <f t="shared" si="5"/>
        <v>-4.0375000000000541E-3</v>
      </c>
      <c r="AL55" s="45">
        <f t="shared" si="5"/>
        <v>5.7124999999999529E-3</v>
      </c>
      <c r="AM55" s="45">
        <f t="shared" si="5"/>
        <v>-3.0625000000001619E-3</v>
      </c>
      <c r="AN55" s="45">
        <f t="shared" si="5"/>
        <v>-5.9875000000000561E-3</v>
      </c>
      <c r="AO55" s="45">
        <f t="shared" si="5"/>
        <v>-1.6000000000001068E-3</v>
      </c>
      <c r="AP55" s="45">
        <f t="shared" si="5"/>
        <v>1.3249999999997873E-3</v>
      </c>
      <c r="AQ55" s="45">
        <f t="shared" si="5"/>
        <v>3.2749999999997889E-3</v>
      </c>
      <c r="AR55" s="45">
        <f t="shared" si="5"/>
        <v>3.4999999999989477E-4</v>
      </c>
      <c r="AS55" s="45">
        <f t="shared" si="5"/>
        <v>3.4999999999989477E-4</v>
      </c>
      <c r="AT55" s="45">
        <f t="shared" si="5"/>
        <v>3.4999999999989477E-4</v>
      </c>
      <c r="AU55" s="45">
        <f t="shared" si="5"/>
        <v>-2.9387500000000073E-2</v>
      </c>
      <c r="AV55" s="45">
        <f t="shared" si="5"/>
        <v>-2.0875000000000529E-3</v>
      </c>
      <c r="AW55" s="45">
        <f t="shared" si="5"/>
        <v>-2.0875000000000529E-3</v>
      </c>
      <c r="AX55" s="45">
        <f t="shared" si="5"/>
        <v>-1.6000000000001068E-3</v>
      </c>
      <c r="AY55" s="45">
        <f t="shared" si="5"/>
        <v>3.4999999999989477E-4</v>
      </c>
      <c r="AZ55" s="45">
        <f t="shared" si="5"/>
        <v>3.7624999999999516E-3</v>
      </c>
      <c r="BA55" s="45">
        <f t="shared" si="5"/>
        <v>2.2999999999998963E-3</v>
      </c>
      <c r="BB55" s="45">
        <f t="shared" si="5"/>
        <v>3.7624999999999516E-3</v>
      </c>
      <c r="BC55" s="45">
        <f t="shared" si="5"/>
        <v>-1.4275000000000225E-2</v>
      </c>
      <c r="BD55" s="45">
        <f t="shared" si="5"/>
        <v>1.3249999999997873E-3</v>
      </c>
      <c r="BE55" s="45">
        <f t="shared" si="5"/>
        <v>1.81249999999995E-3</v>
      </c>
      <c r="BF55" s="45">
        <f t="shared" si="5"/>
        <v>-2.0875000000000529E-3</v>
      </c>
      <c r="BG55" s="45">
        <f t="shared" si="5"/>
        <v>-9.4000000000001131E-3</v>
      </c>
      <c r="BH55" s="45">
        <f t="shared" si="5"/>
        <v>3.4999999999989477E-4</v>
      </c>
      <c r="BI55" s="45">
        <f t="shared" si="5"/>
        <v>-1.6000000000001068E-3</v>
      </c>
      <c r="BJ55" s="45">
        <f t="shared" si="5"/>
        <v>3.4999999999989477E-4</v>
      </c>
      <c r="BK55" s="47">
        <f t="shared" si="5"/>
        <v>-4.0375000000000541E-3</v>
      </c>
    </row>
    <row r="56" spans="2:63" x14ac:dyDescent="0.45">
      <c r="B56" s="22" t="s">
        <v>103</v>
      </c>
      <c r="C56" s="42">
        <f>$C$16*8</f>
        <v>2.3443223443223444</v>
      </c>
      <c r="D56" s="45">
        <f t="shared" ref="D56:BK60" si="6">(D23-$C23)/$C23</f>
        <v>-6.5359374999999689E-3</v>
      </c>
      <c r="E56" s="45">
        <f t="shared" si="6"/>
        <v>3.7015625000000399E-3</v>
      </c>
      <c r="F56" s="45">
        <f t="shared" si="6"/>
        <v>-4.8296874999999677E-3</v>
      </c>
      <c r="G56" s="45">
        <f t="shared" si="6"/>
        <v>3.7015625000000399E-3</v>
      </c>
      <c r="H56" s="45">
        <f t="shared" si="6"/>
        <v>-9.9062500000001168E-4</v>
      </c>
      <c r="I56" s="45">
        <f t="shared" si="6"/>
        <v>-1.3750000000010558E-4</v>
      </c>
      <c r="J56" s="45">
        <f t="shared" si="6"/>
        <v>-1.843750000000107E-3</v>
      </c>
      <c r="K56" s="45">
        <f t="shared" si="6"/>
        <v>-1.8053125000000027E-2</v>
      </c>
      <c r="L56" s="45">
        <f t="shared" si="6"/>
        <v>-1.843750000000107E-3</v>
      </c>
      <c r="M56" s="45">
        <f t="shared" si="6"/>
        <v>-4.8296874999999677E-3</v>
      </c>
      <c r="N56" s="45">
        <f t="shared" si="6"/>
        <v>2.8906250000003685E-4</v>
      </c>
      <c r="O56" s="45">
        <f t="shared" si="6"/>
        <v>-4.4031250000000147E-3</v>
      </c>
      <c r="P56" s="45">
        <f t="shared" si="6"/>
        <v>1.1421874999999429E-3</v>
      </c>
      <c r="Q56" s="45">
        <f t="shared" si="6"/>
        <v>-3.5500000000001086E-3</v>
      </c>
      <c r="R56" s="45">
        <f t="shared" si="6"/>
        <v>-5.2562500000001098E-3</v>
      </c>
      <c r="S56" s="45">
        <f t="shared" si="6"/>
        <v>-3.5500000000001086E-3</v>
      </c>
      <c r="T56" s="45">
        <f t="shared" si="6"/>
        <v>-9.9062500000001168E-4</v>
      </c>
      <c r="U56" s="45">
        <f t="shared" si="6"/>
        <v>2.8484374999999443E-3</v>
      </c>
      <c r="V56" s="45">
        <f t="shared" si="6"/>
        <v>-9.5218750000000182E-3</v>
      </c>
      <c r="W56" s="45">
        <f t="shared" si="6"/>
        <v>-2.6157812500000079E-2</v>
      </c>
      <c r="X56" s="45">
        <f t="shared" si="6"/>
        <v>-9.9062500000001168E-4</v>
      </c>
      <c r="Y56" s="45">
        <f t="shared" si="6"/>
        <v>-3.1234374999999661E-3</v>
      </c>
      <c r="Z56" s="45">
        <f t="shared" si="6"/>
        <v>-9.9062500000001168E-4</v>
      </c>
      <c r="AA56" s="45">
        <f t="shared" si="6"/>
        <v>3.2749999999998974E-3</v>
      </c>
      <c r="AB56" s="45">
        <f t="shared" si="6"/>
        <v>-1.843750000000107E-3</v>
      </c>
      <c r="AC56" s="45">
        <f t="shared" si="6"/>
        <v>2.8906250000003685E-4</v>
      </c>
      <c r="AD56" s="45">
        <f t="shared" si="6"/>
        <v>3.7015625000000399E-3</v>
      </c>
      <c r="AE56" s="45">
        <f t="shared" si="6"/>
        <v>7.1140625000000422E-3</v>
      </c>
      <c r="AF56" s="45">
        <f t="shared" si="6"/>
        <v>2.8484374999999443E-3</v>
      </c>
      <c r="AG56" s="45">
        <f t="shared" si="6"/>
        <v>-1.4171874999999645E-3</v>
      </c>
      <c r="AH56" s="45">
        <f t="shared" si="6"/>
        <v>2.8484374999999443E-3</v>
      </c>
      <c r="AI56" s="45">
        <f t="shared" si="6"/>
        <v>-1.5067187499999976E-2</v>
      </c>
      <c r="AJ56" s="45">
        <f t="shared" si="6"/>
        <v>1.1421874999999429E-3</v>
      </c>
      <c r="AK56" s="45">
        <f t="shared" si="6"/>
        <v>-4.8296874999999677E-3</v>
      </c>
      <c r="AL56" s="45">
        <f t="shared" si="6"/>
        <v>5.4078125000000411E-3</v>
      </c>
      <c r="AM56" s="45">
        <f t="shared" si="6"/>
        <v>-3.1234374999999661E-3</v>
      </c>
      <c r="AN56" s="45">
        <f t="shared" si="6"/>
        <v>-6.1093750000000158E-3</v>
      </c>
      <c r="AO56" s="45">
        <f t="shared" si="6"/>
        <v>-1.843750000000107E-3</v>
      </c>
      <c r="AP56" s="45">
        <f t="shared" si="6"/>
        <v>1.1421874999999429E-3</v>
      </c>
      <c r="AQ56" s="45">
        <f t="shared" si="6"/>
        <v>2.8484374999999443E-3</v>
      </c>
      <c r="AR56" s="45">
        <f t="shared" si="6"/>
        <v>-1.3750000000010558E-4</v>
      </c>
      <c r="AS56" s="45">
        <f t="shared" si="6"/>
        <v>2.8906250000003685E-4</v>
      </c>
      <c r="AT56" s="45">
        <f t="shared" si="6"/>
        <v>-1.3750000000010558E-4</v>
      </c>
      <c r="AU56" s="45">
        <f t="shared" si="6"/>
        <v>-3.1276562500000084E-2</v>
      </c>
      <c r="AV56" s="45">
        <f t="shared" si="6"/>
        <v>-2.6968750000000131E-3</v>
      </c>
      <c r="AW56" s="45">
        <f t="shared" si="6"/>
        <v>-3.1234374999999661E-3</v>
      </c>
      <c r="AX56" s="45">
        <f t="shared" si="6"/>
        <v>-2.6968750000000131E-3</v>
      </c>
      <c r="AY56" s="45">
        <f t="shared" si="6"/>
        <v>-9.9062500000001168E-4</v>
      </c>
      <c r="AZ56" s="45">
        <f t="shared" si="6"/>
        <v>3.2749999999998974E-3</v>
      </c>
      <c r="BA56" s="45">
        <f t="shared" si="6"/>
        <v>1.9953125000000383E-3</v>
      </c>
      <c r="BB56" s="45">
        <f t="shared" si="6"/>
        <v>3.2749999999998974E-3</v>
      </c>
      <c r="BC56" s="45">
        <f t="shared" si="6"/>
        <v>-1.421406250000007E-2</v>
      </c>
      <c r="BD56" s="45">
        <f t="shared" si="6"/>
        <v>2.8906250000003685E-4</v>
      </c>
      <c r="BE56" s="45">
        <f t="shared" si="6"/>
        <v>1.5687499999998957E-3</v>
      </c>
      <c r="BF56" s="45">
        <f t="shared" si="6"/>
        <v>-3.5500000000001086E-3</v>
      </c>
      <c r="BG56" s="45">
        <f t="shared" si="6"/>
        <v>-1.1228125000000019E-2</v>
      </c>
      <c r="BH56" s="45">
        <f t="shared" si="6"/>
        <v>2.8906250000003685E-4</v>
      </c>
      <c r="BI56" s="45">
        <f t="shared" si="6"/>
        <v>-1.4171874999999645E-3</v>
      </c>
      <c r="BJ56" s="45">
        <f t="shared" si="6"/>
        <v>-1.3750000000010558E-4</v>
      </c>
      <c r="BK56" s="47">
        <f t="shared" si="6"/>
        <v>-3.5500000000001086E-3</v>
      </c>
    </row>
    <row r="57" spans="2:63" x14ac:dyDescent="0.45">
      <c r="B57" s="22" t="s">
        <v>104</v>
      </c>
      <c r="C57" s="42">
        <f>$C$16*9</f>
        <v>2.6373626373626373</v>
      </c>
      <c r="D57" s="45">
        <f t="shared" si="6"/>
        <v>-6.2041666666666512E-3</v>
      </c>
      <c r="E57" s="45">
        <f t="shared" si="6"/>
        <v>4.7916666666666498E-3</v>
      </c>
      <c r="F57" s="45">
        <f t="shared" si="6"/>
        <v>-4.3083333333333584E-3</v>
      </c>
      <c r="G57" s="45">
        <f t="shared" si="6"/>
        <v>4.7916666666666498E-3</v>
      </c>
      <c r="H57" s="45">
        <f t="shared" si="6"/>
        <v>-1.374999999999793E-4</v>
      </c>
      <c r="I57" s="45">
        <f t="shared" si="6"/>
        <v>2.4166666666664561E-4</v>
      </c>
      <c r="J57" s="45">
        <f t="shared" si="6"/>
        <v>-1.2750000000000224E-3</v>
      </c>
      <c r="K57" s="45">
        <f t="shared" si="6"/>
        <v>-1.9854166666666662E-2</v>
      </c>
      <c r="L57" s="45">
        <f t="shared" si="6"/>
        <v>-1.374999999999793E-4</v>
      </c>
      <c r="M57" s="45">
        <f t="shared" si="6"/>
        <v>-3.9291666666667335E-3</v>
      </c>
      <c r="N57" s="45">
        <f t="shared" si="6"/>
        <v>1.3791666666666887E-3</v>
      </c>
      <c r="O57" s="45">
        <f t="shared" si="6"/>
        <v>-3.9291666666667335E-3</v>
      </c>
      <c r="P57" s="45">
        <f t="shared" si="6"/>
        <v>1.3791666666666887E-3</v>
      </c>
      <c r="Q57" s="45">
        <f t="shared" si="6"/>
        <v>-2.4125000000000656E-3</v>
      </c>
      <c r="R57" s="45">
        <f t="shared" si="6"/>
        <v>-4.6874999999999833E-3</v>
      </c>
      <c r="S57" s="45">
        <f t="shared" si="6"/>
        <v>-2.7916666666666905E-3</v>
      </c>
      <c r="T57" s="45">
        <f t="shared" si="6"/>
        <v>-8.9583333333339752E-4</v>
      </c>
      <c r="U57" s="45">
        <f t="shared" si="6"/>
        <v>2.5166666666667317E-3</v>
      </c>
      <c r="V57" s="45">
        <f t="shared" si="6"/>
        <v>-8.479166666666569E-3</v>
      </c>
      <c r="W57" s="45">
        <f t="shared" si="6"/>
        <v>-2.7437500000000004E-2</v>
      </c>
      <c r="X57" s="45">
        <f t="shared" si="6"/>
        <v>-8.9583333333339752E-4</v>
      </c>
      <c r="Y57" s="45">
        <f t="shared" si="6"/>
        <v>-2.4125000000000656E-3</v>
      </c>
      <c r="Z57" s="45">
        <f t="shared" si="6"/>
        <v>-1.374999999999793E-4</v>
      </c>
      <c r="AA57" s="45">
        <f t="shared" si="6"/>
        <v>3.2749999999999815E-3</v>
      </c>
      <c r="AB57" s="45">
        <f t="shared" si="6"/>
        <v>-1.6541666666666473E-3</v>
      </c>
      <c r="AC57" s="45">
        <f t="shared" si="6"/>
        <v>1.3791666666666887E-3</v>
      </c>
      <c r="AD57" s="45">
        <f t="shared" si="6"/>
        <v>4.4125000000000249E-3</v>
      </c>
      <c r="AE57" s="45">
        <f t="shared" si="6"/>
        <v>7.0666666666667358E-3</v>
      </c>
      <c r="AF57" s="45">
        <f t="shared" si="6"/>
        <v>3.2749999999999815E-3</v>
      </c>
      <c r="AG57" s="45">
        <f t="shared" si="6"/>
        <v>-1.6541666666666473E-3</v>
      </c>
      <c r="AH57" s="45">
        <f t="shared" si="6"/>
        <v>2.8958333333333566E-3</v>
      </c>
      <c r="AI57" s="45">
        <f t="shared" si="6"/>
        <v>-1.6820833333333327E-2</v>
      </c>
      <c r="AJ57" s="45">
        <f t="shared" si="6"/>
        <v>1.3791666666666887E-3</v>
      </c>
      <c r="AK57" s="45">
        <f t="shared" si="6"/>
        <v>-3.9291666666667335E-3</v>
      </c>
      <c r="AL57" s="45">
        <f t="shared" si="6"/>
        <v>5.9291666666666928E-3</v>
      </c>
      <c r="AM57" s="45">
        <f t="shared" si="6"/>
        <v>-3.1708333333333154E-3</v>
      </c>
      <c r="AN57" s="45">
        <f t="shared" si="6"/>
        <v>-5.4458333333332332E-3</v>
      </c>
      <c r="AO57" s="45">
        <f t="shared" si="6"/>
        <v>-1.6541666666666473E-3</v>
      </c>
      <c r="AP57" s="45">
        <f t="shared" si="6"/>
        <v>1.3791666666666887E-3</v>
      </c>
      <c r="AQ57" s="45">
        <f t="shared" si="6"/>
        <v>4.0333333333334E-3</v>
      </c>
      <c r="AR57" s="45">
        <f t="shared" si="6"/>
        <v>1.0000000000000638E-3</v>
      </c>
      <c r="AS57" s="45">
        <f t="shared" si="6"/>
        <v>1.0000000000000638E-3</v>
      </c>
      <c r="AT57" s="45">
        <f t="shared" si="6"/>
        <v>1.0000000000000638E-3</v>
      </c>
      <c r="AU57" s="45">
        <f t="shared" si="6"/>
        <v>-3.1229166666666589E-2</v>
      </c>
      <c r="AV57" s="45">
        <f t="shared" si="6"/>
        <v>-2.7916666666666905E-3</v>
      </c>
      <c r="AW57" s="45">
        <f t="shared" si="6"/>
        <v>-2.4125000000000656E-3</v>
      </c>
      <c r="AX57" s="45">
        <f t="shared" si="6"/>
        <v>-1.2750000000000224E-3</v>
      </c>
      <c r="AY57" s="45">
        <f t="shared" si="6"/>
        <v>2.4166666666664561E-4</v>
      </c>
      <c r="AZ57" s="45">
        <f t="shared" si="6"/>
        <v>4.0333333333334E-3</v>
      </c>
      <c r="BA57" s="45">
        <f t="shared" si="6"/>
        <v>2.8958333333333566E-3</v>
      </c>
      <c r="BB57" s="45">
        <f t="shared" si="6"/>
        <v>2.8958333333333566E-3</v>
      </c>
      <c r="BC57" s="45">
        <f t="shared" si="6"/>
        <v>-1.3408333333333368E-2</v>
      </c>
      <c r="BD57" s="45">
        <f t="shared" si="6"/>
        <v>1.0000000000000638E-3</v>
      </c>
      <c r="BE57" s="45">
        <f t="shared" si="6"/>
        <v>1.3791666666666887E-3</v>
      </c>
      <c r="BF57" s="45">
        <f t="shared" si="6"/>
        <v>-2.7916666666666905E-3</v>
      </c>
      <c r="BG57" s="45">
        <f t="shared" si="6"/>
        <v>-1.1512499999999905E-2</v>
      </c>
      <c r="BH57" s="45">
        <f t="shared" si="6"/>
        <v>2.4166666666664561E-4</v>
      </c>
      <c r="BI57" s="45">
        <f t="shared" si="6"/>
        <v>-8.9583333333339752E-4</v>
      </c>
      <c r="BJ57" s="45">
        <f t="shared" si="6"/>
        <v>1.7583333333333136E-3</v>
      </c>
      <c r="BK57" s="47">
        <f t="shared" si="6"/>
        <v>-3.9291666666667335E-3</v>
      </c>
    </row>
    <row r="58" spans="2:63" x14ac:dyDescent="0.45">
      <c r="B58" s="22" t="s">
        <v>105</v>
      </c>
      <c r="C58" s="42">
        <f>$C$16*10</f>
        <v>2.9304029304029307</v>
      </c>
      <c r="D58" s="45">
        <f t="shared" si="6"/>
        <v>-7.3037500000001495E-3</v>
      </c>
      <c r="E58" s="45">
        <f t="shared" si="6"/>
        <v>3.6162499999998596E-3</v>
      </c>
      <c r="F58" s="45">
        <f t="shared" si="6"/>
        <v>-4.9150000000001094E-3</v>
      </c>
      <c r="G58" s="45">
        <f t="shared" si="6"/>
        <v>2.9337499999999347E-3</v>
      </c>
      <c r="H58" s="45">
        <f t="shared" si="6"/>
        <v>-1.5025000000000309E-3</v>
      </c>
      <c r="I58" s="45">
        <f t="shared" si="6"/>
        <v>-2.5262500000000697E-3</v>
      </c>
      <c r="J58" s="45">
        <f t="shared" si="6"/>
        <v>-2.1850000000001074E-3</v>
      </c>
      <c r="K58" s="45">
        <f t="shared" si="6"/>
        <v>-2.0612500000000047E-2</v>
      </c>
      <c r="L58" s="45">
        <f t="shared" si="6"/>
        <v>-2.1850000000001074E-3</v>
      </c>
      <c r="M58" s="45">
        <f t="shared" si="6"/>
        <v>-4.9150000000001094E-3</v>
      </c>
      <c r="N58" s="45">
        <f t="shared" si="6"/>
        <v>-1.375000000000298E-4</v>
      </c>
      <c r="O58" s="45">
        <f t="shared" si="6"/>
        <v>-4.9150000000001094E-3</v>
      </c>
      <c r="P58" s="45">
        <f t="shared" si="6"/>
        <v>2.0374999999993258E-4</v>
      </c>
      <c r="Q58" s="45">
        <f t="shared" si="6"/>
        <v>-3.5500000000001082E-3</v>
      </c>
      <c r="R58" s="45">
        <f t="shared" si="6"/>
        <v>-5.5975000000000339E-3</v>
      </c>
      <c r="S58" s="45">
        <f t="shared" si="6"/>
        <v>-4.2325000000000331E-3</v>
      </c>
      <c r="T58" s="45">
        <f t="shared" si="6"/>
        <v>-1.5025000000000309E-3</v>
      </c>
      <c r="U58" s="45">
        <f t="shared" si="6"/>
        <v>2.0374999999993258E-4</v>
      </c>
      <c r="V58" s="45">
        <f t="shared" si="6"/>
        <v>-1.0375000000000113E-2</v>
      </c>
      <c r="W58" s="45">
        <f t="shared" si="6"/>
        <v>-2.9485000000000129E-2</v>
      </c>
      <c r="X58" s="45">
        <f t="shared" si="6"/>
        <v>-1.5025000000000309E-3</v>
      </c>
      <c r="Y58" s="45">
        <f t="shared" si="6"/>
        <v>-3.5500000000001082E-3</v>
      </c>
      <c r="Z58" s="45">
        <f t="shared" si="6"/>
        <v>-1.1612500000000685E-3</v>
      </c>
      <c r="AA58" s="45">
        <f t="shared" si="6"/>
        <v>2.2512499999998584E-3</v>
      </c>
      <c r="AB58" s="45">
        <f t="shared" si="6"/>
        <v>-2.8675000000000319E-3</v>
      </c>
      <c r="AC58" s="45">
        <f t="shared" si="6"/>
        <v>-1.375000000000298E-4</v>
      </c>
      <c r="AD58" s="45">
        <f t="shared" si="6"/>
        <v>2.9337499999999347E-3</v>
      </c>
      <c r="AE58" s="45">
        <f t="shared" si="6"/>
        <v>6.3462499999998616E-3</v>
      </c>
      <c r="AF58" s="45">
        <f t="shared" si="6"/>
        <v>2.2512499999998584E-3</v>
      </c>
      <c r="AG58" s="45">
        <f t="shared" si="6"/>
        <v>-2.8675000000000319E-3</v>
      </c>
      <c r="AH58" s="45">
        <f t="shared" si="6"/>
        <v>1.5687499999999337E-3</v>
      </c>
      <c r="AI58" s="45">
        <f t="shared" si="6"/>
        <v>-1.856500000000012E-2</v>
      </c>
      <c r="AJ58" s="45">
        <f t="shared" si="6"/>
        <v>2.0374999999993258E-4</v>
      </c>
      <c r="AK58" s="45">
        <f t="shared" si="6"/>
        <v>-6.2800000000001101E-3</v>
      </c>
      <c r="AL58" s="45">
        <f t="shared" si="6"/>
        <v>4.2987499999999363E-3</v>
      </c>
      <c r="AM58" s="45">
        <f t="shared" si="6"/>
        <v>-3.8912500000000709E-3</v>
      </c>
      <c r="AN58" s="45">
        <f t="shared" si="6"/>
        <v>-6.2800000000001101E-3</v>
      </c>
      <c r="AO58" s="45">
        <f t="shared" si="6"/>
        <v>-3.5500000000001082E-3</v>
      </c>
      <c r="AP58" s="45">
        <f t="shared" si="6"/>
        <v>2.0374999999993258E-4</v>
      </c>
      <c r="AQ58" s="45">
        <f t="shared" si="6"/>
        <v>2.2512499999998584E-3</v>
      </c>
      <c r="AR58" s="45">
        <f t="shared" si="6"/>
        <v>-1.375000000000298E-4</v>
      </c>
      <c r="AS58" s="45">
        <f t="shared" si="6"/>
        <v>-1.375000000000298E-4</v>
      </c>
      <c r="AT58" s="45">
        <f t="shared" si="6"/>
        <v>-8.2000000000010613E-4</v>
      </c>
      <c r="AU58" s="45">
        <f t="shared" si="6"/>
        <v>-3.3921250000000097E-2</v>
      </c>
      <c r="AV58" s="45">
        <f t="shared" si="6"/>
        <v>-3.5500000000001082E-3</v>
      </c>
      <c r="AW58" s="45">
        <f t="shared" si="6"/>
        <v>-3.5500000000001082E-3</v>
      </c>
      <c r="AX58" s="45">
        <f t="shared" si="6"/>
        <v>-2.8675000000000319E-3</v>
      </c>
      <c r="AY58" s="45">
        <f t="shared" si="6"/>
        <v>-1.1612500000000685E-3</v>
      </c>
      <c r="AZ58" s="45">
        <f t="shared" si="6"/>
        <v>2.2512499999998584E-3</v>
      </c>
      <c r="BA58" s="45">
        <f t="shared" si="6"/>
        <v>1.2274999999999712E-3</v>
      </c>
      <c r="BB58" s="45">
        <f t="shared" si="6"/>
        <v>2.5924999999999724E-3</v>
      </c>
      <c r="BC58" s="45">
        <f t="shared" si="6"/>
        <v>-1.5152500000000043E-2</v>
      </c>
      <c r="BD58" s="45">
        <f t="shared" si="6"/>
        <v>-8.2000000000010613E-4</v>
      </c>
      <c r="BE58" s="45">
        <f t="shared" si="6"/>
        <v>-1.375000000000298E-4</v>
      </c>
      <c r="BF58" s="45">
        <f t="shared" si="6"/>
        <v>-4.2325000000000331E-3</v>
      </c>
      <c r="BG58" s="45">
        <f t="shared" si="6"/>
        <v>-1.4128750000000155E-2</v>
      </c>
      <c r="BH58" s="45">
        <f t="shared" si="6"/>
        <v>-1.1612500000000685E-3</v>
      </c>
      <c r="BI58" s="45">
        <f t="shared" si="6"/>
        <v>-2.5262500000000697E-3</v>
      </c>
      <c r="BJ58" s="45">
        <f t="shared" si="6"/>
        <v>2.0374999999993258E-4</v>
      </c>
      <c r="BK58" s="47">
        <f t="shared" si="6"/>
        <v>-5.2562500000000716E-3</v>
      </c>
    </row>
    <row r="59" spans="2:63" x14ac:dyDescent="0.45">
      <c r="B59" s="22" t="s">
        <v>106</v>
      </c>
      <c r="C59" s="42">
        <f>$C$16*11</f>
        <v>3.2234432234432235</v>
      </c>
      <c r="D59" s="45">
        <f t="shared" si="6"/>
        <v>-7.8931818181818617E-3</v>
      </c>
      <c r="E59" s="45">
        <f t="shared" si="6"/>
        <v>3.8954545454545813E-3</v>
      </c>
      <c r="F59" s="45">
        <f t="shared" si="6"/>
        <v>-5.4113636363636777E-3</v>
      </c>
      <c r="G59" s="45">
        <f t="shared" si="6"/>
        <v>2.3443181818181128E-3</v>
      </c>
      <c r="H59" s="45">
        <f t="shared" si="6"/>
        <v>-1.3784090909091632E-3</v>
      </c>
      <c r="I59" s="45">
        <f t="shared" si="6"/>
        <v>-1.9988636363636402E-3</v>
      </c>
      <c r="J59" s="45">
        <f t="shared" si="6"/>
        <v>-2.3090909090908787E-3</v>
      </c>
      <c r="K59" s="45">
        <f t="shared" si="6"/>
        <v>-2.1543181818181874E-2</v>
      </c>
      <c r="L59" s="45">
        <f t="shared" si="6"/>
        <v>-2.6193181818182551E-3</v>
      </c>
      <c r="M59" s="45">
        <f t="shared" si="6"/>
        <v>-4.7909090909090627E-3</v>
      </c>
      <c r="N59" s="45">
        <f t="shared" si="6"/>
        <v>-1.3750000000007116E-4</v>
      </c>
      <c r="O59" s="45">
        <f t="shared" si="6"/>
        <v>-5.4113636363636777E-3</v>
      </c>
      <c r="P59" s="45">
        <f t="shared" si="6"/>
        <v>4.8295454545454374E-4</v>
      </c>
      <c r="Q59" s="45">
        <f t="shared" si="6"/>
        <v>-3.8602272727273471E-3</v>
      </c>
      <c r="R59" s="45">
        <f t="shared" si="6"/>
        <v>-5.7215909090909157E-3</v>
      </c>
      <c r="S59" s="45">
        <f t="shared" si="6"/>
        <v>-4.4806818181818238E-3</v>
      </c>
      <c r="T59" s="45">
        <f t="shared" si="6"/>
        <v>-2.6193181818182551E-3</v>
      </c>
      <c r="U59" s="45">
        <f t="shared" si="6"/>
        <v>4.8295454545454374E-4</v>
      </c>
      <c r="V59" s="45">
        <f t="shared" si="6"/>
        <v>-9.7545454545454307E-3</v>
      </c>
      <c r="W59" s="45">
        <f t="shared" si="6"/>
        <v>-3.1470454545454607E-2</v>
      </c>
      <c r="X59" s="45">
        <f t="shared" si="6"/>
        <v>-1.9988636363636402E-3</v>
      </c>
      <c r="Y59" s="45">
        <f t="shared" si="6"/>
        <v>-3.5499999999999707E-3</v>
      </c>
      <c r="Z59" s="45">
        <f t="shared" si="6"/>
        <v>-7.579545454545482E-4</v>
      </c>
      <c r="AA59" s="45">
        <f t="shared" si="6"/>
        <v>2.0340909090908743E-3</v>
      </c>
      <c r="AB59" s="45">
        <f t="shared" si="6"/>
        <v>-3.2397727272727322E-3</v>
      </c>
      <c r="AC59" s="45">
        <f t="shared" si="6"/>
        <v>-1.3750000000007116E-4</v>
      </c>
      <c r="AD59" s="45">
        <f t="shared" si="6"/>
        <v>3.2749999999999663E-3</v>
      </c>
      <c r="AE59" s="45">
        <f t="shared" si="6"/>
        <v>5.1363636363636733E-3</v>
      </c>
      <c r="AF59" s="45">
        <f t="shared" si="6"/>
        <v>2.0340909090908743E-3</v>
      </c>
      <c r="AG59" s="45">
        <f t="shared" si="6"/>
        <v>-3.2397727272727322E-3</v>
      </c>
      <c r="AH59" s="45">
        <f t="shared" si="6"/>
        <v>1.1034090909090208E-3</v>
      </c>
      <c r="AI59" s="45">
        <f t="shared" si="6"/>
        <v>-1.9992045454545544E-2</v>
      </c>
      <c r="AJ59" s="45">
        <f t="shared" si="6"/>
        <v>4.8295454545454374E-4</v>
      </c>
      <c r="AK59" s="45">
        <f t="shared" si="6"/>
        <v>-6.0318181818181547E-3</v>
      </c>
      <c r="AL59" s="45">
        <f t="shared" si="6"/>
        <v>4.5159090909090583E-3</v>
      </c>
      <c r="AM59" s="45">
        <f t="shared" si="6"/>
        <v>-4.7909090909090627E-3</v>
      </c>
      <c r="AN59" s="45">
        <f t="shared" si="6"/>
        <v>-6.9625000000000077E-3</v>
      </c>
      <c r="AO59" s="45">
        <f t="shared" si="6"/>
        <v>-1.9988636363636402E-3</v>
      </c>
      <c r="AP59" s="45">
        <f t="shared" si="6"/>
        <v>1.7272727272730516E-4</v>
      </c>
      <c r="AQ59" s="45">
        <f t="shared" si="6"/>
        <v>2.3443181818181128E-3</v>
      </c>
      <c r="AR59" s="45">
        <f t="shared" si="6"/>
        <v>-7.579545454545482E-4</v>
      </c>
      <c r="AS59" s="45">
        <f t="shared" si="6"/>
        <v>-1.0681818181817867E-3</v>
      </c>
      <c r="AT59" s="45">
        <f t="shared" si="6"/>
        <v>-1.0681818181817867E-3</v>
      </c>
      <c r="AU59" s="45">
        <f t="shared" si="6"/>
        <v>-3.5193181818181887E-2</v>
      </c>
      <c r="AV59" s="45">
        <f t="shared" si="6"/>
        <v>-3.2397727272727322E-3</v>
      </c>
      <c r="AW59" s="45">
        <f t="shared" si="6"/>
        <v>-3.5499999999999707E-3</v>
      </c>
      <c r="AX59" s="45">
        <f t="shared" si="6"/>
        <v>-2.3090909090908787E-3</v>
      </c>
      <c r="AY59" s="45">
        <f t="shared" si="6"/>
        <v>-1.3784090909091632E-3</v>
      </c>
      <c r="AZ59" s="45">
        <f t="shared" si="6"/>
        <v>2.3443181818181128E-3</v>
      </c>
      <c r="BA59" s="45">
        <f t="shared" si="6"/>
        <v>1.4136363636363971E-3</v>
      </c>
      <c r="BB59" s="45">
        <f t="shared" si="6"/>
        <v>2.3443181818181128E-3</v>
      </c>
      <c r="BC59" s="45">
        <f t="shared" si="6"/>
        <v>-1.5028409090909176E-2</v>
      </c>
      <c r="BD59" s="45">
        <f t="shared" si="6"/>
        <v>-1.0681818181817867E-3</v>
      </c>
      <c r="BE59" s="45">
        <f t="shared" si="6"/>
        <v>-1.0681818181817867E-3</v>
      </c>
      <c r="BF59" s="45">
        <f t="shared" si="6"/>
        <v>-4.4806818181818238E-3</v>
      </c>
      <c r="BG59" s="45">
        <f t="shared" si="6"/>
        <v>-1.5028409090909176E-2</v>
      </c>
      <c r="BH59" s="45">
        <f t="shared" si="6"/>
        <v>-1.0681818181817867E-3</v>
      </c>
      <c r="BI59" s="45">
        <f t="shared" si="6"/>
        <v>-2.3090909090908787E-3</v>
      </c>
      <c r="BJ59" s="45">
        <f t="shared" si="6"/>
        <v>1.7272727272730516E-4</v>
      </c>
      <c r="BK59" s="47">
        <f t="shared" si="6"/>
        <v>-5.4113636363636777E-3</v>
      </c>
    </row>
    <row r="60" spans="2:63" x14ac:dyDescent="0.45">
      <c r="B60" s="22" t="s">
        <v>107</v>
      </c>
      <c r="C60" s="42">
        <f>$C$16*12</f>
        <v>3.5164835164835164</v>
      </c>
      <c r="D60" s="45">
        <f t="shared" si="6"/>
        <v>-7.815625000000017E-3</v>
      </c>
      <c r="E60" s="45">
        <f t="shared" si="6"/>
        <v>2.4218749999999913E-3</v>
      </c>
      <c r="F60" s="45">
        <f t="shared" si="6"/>
        <v>-5.540625000000016E-3</v>
      </c>
      <c r="G60" s="45">
        <f t="shared" si="6"/>
        <v>2.1375000000000226E-3</v>
      </c>
      <c r="H60" s="45">
        <f t="shared" si="6"/>
        <v>-2.4124999999999815E-3</v>
      </c>
      <c r="I60" s="45">
        <f t="shared" si="6"/>
        <v>-2.9812500000000451E-3</v>
      </c>
      <c r="J60" s="45">
        <f t="shared" si="6"/>
        <v>-3.2656250000000137E-3</v>
      </c>
      <c r="K60" s="45">
        <f t="shared" si="6"/>
        <v>-2.3740625000000033E-2</v>
      </c>
      <c r="L60" s="45">
        <f t="shared" si="6"/>
        <v>-2.9812500000000451E-3</v>
      </c>
      <c r="M60" s="45">
        <f t="shared" si="6"/>
        <v>-5.540625000000016E-3</v>
      </c>
      <c r="N60" s="45">
        <f t="shared" si="6"/>
        <v>-1.2749999999999804E-3</v>
      </c>
      <c r="O60" s="45">
        <f t="shared" si="6"/>
        <v>-5.2562499999999207E-3</v>
      </c>
      <c r="P60" s="45">
        <f t="shared" si="6"/>
        <v>1.4687499999998938E-4</v>
      </c>
      <c r="Q60" s="45">
        <f t="shared" si="6"/>
        <v>-4.118750000000046E-3</v>
      </c>
      <c r="R60" s="45">
        <f t="shared" si="6"/>
        <v>-6.6781250000000165E-3</v>
      </c>
      <c r="S60" s="45">
        <f t="shared" ref="S60:BK60" si="7">(S27-$C27)/$C27</f>
        <v>-4.971874999999952E-3</v>
      </c>
      <c r="T60" s="45">
        <f t="shared" si="7"/>
        <v>-2.4124999999999815E-3</v>
      </c>
      <c r="U60" s="45">
        <f t="shared" si="7"/>
        <v>1.4687499999998938E-4</v>
      </c>
      <c r="V60" s="45">
        <f t="shared" si="7"/>
        <v>-9.8062499999999244E-3</v>
      </c>
      <c r="W60" s="45">
        <f t="shared" si="7"/>
        <v>-3.2556249999999946E-2</v>
      </c>
      <c r="X60" s="45">
        <f t="shared" si="7"/>
        <v>-2.4124999999999815E-3</v>
      </c>
      <c r="Y60" s="45">
        <f t="shared" si="7"/>
        <v>-4.118750000000046E-3</v>
      </c>
      <c r="Z60" s="45">
        <f t="shared" si="7"/>
        <v>-1.8437500000000439E-3</v>
      </c>
      <c r="AA60" s="45">
        <f t="shared" si="7"/>
        <v>1.2843749999999904E-3</v>
      </c>
      <c r="AB60" s="45">
        <f t="shared" si="7"/>
        <v>-4.118750000000046E-3</v>
      </c>
      <c r="AC60" s="45">
        <f t="shared" si="7"/>
        <v>-1.2749999999999804E-3</v>
      </c>
      <c r="AD60" s="45">
        <f t="shared" si="7"/>
        <v>2.9906250000000553E-3</v>
      </c>
      <c r="AE60" s="45">
        <f t="shared" si="7"/>
        <v>5.2656250000000576E-3</v>
      </c>
      <c r="AF60" s="45">
        <f t="shared" si="7"/>
        <v>1.0000000000000217E-3</v>
      </c>
      <c r="AG60" s="45">
        <f t="shared" si="7"/>
        <v>-3.5499999999999824E-3</v>
      </c>
      <c r="AH60" s="45">
        <f t="shared" si="7"/>
        <v>4.3124999999995809E-4</v>
      </c>
      <c r="AI60" s="45">
        <f t="shared" si="7"/>
        <v>-2.1749999999999999E-2</v>
      </c>
      <c r="AJ60" s="45">
        <f t="shared" si="7"/>
        <v>1.4687499999998938E-4</v>
      </c>
      <c r="AK60" s="45">
        <f t="shared" si="7"/>
        <v>-6.6781250000000165E-3</v>
      </c>
      <c r="AL60" s="45">
        <f t="shared" si="7"/>
        <v>4.1281250000000562E-3</v>
      </c>
      <c r="AM60" s="45">
        <f t="shared" si="7"/>
        <v>-4.971874999999952E-3</v>
      </c>
      <c r="AN60" s="45">
        <f t="shared" si="7"/>
        <v>-6.6781250000000165E-3</v>
      </c>
      <c r="AO60" s="45">
        <f t="shared" si="7"/>
        <v>-2.1281250000000128E-3</v>
      </c>
      <c r="AP60" s="45">
        <f t="shared" si="7"/>
        <v>-1.374999999999793E-4</v>
      </c>
      <c r="AQ60" s="45">
        <f t="shared" si="7"/>
        <v>1.2843749999999904E-3</v>
      </c>
      <c r="AR60" s="45">
        <f t="shared" si="7"/>
        <v>-9.9062500000001168E-4</v>
      </c>
      <c r="AS60" s="45">
        <f t="shared" si="7"/>
        <v>-9.9062500000001168E-4</v>
      </c>
      <c r="AT60" s="45">
        <f t="shared" si="7"/>
        <v>-2.1281250000000128E-3</v>
      </c>
      <c r="AU60" s="45">
        <f t="shared" si="7"/>
        <v>-3.5400000000000008E-2</v>
      </c>
      <c r="AV60" s="45">
        <f t="shared" si="7"/>
        <v>-3.5499999999999824E-3</v>
      </c>
      <c r="AW60" s="45">
        <f t="shared" si="7"/>
        <v>-4.118750000000046E-3</v>
      </c>
      <c r="AX60" s="45">
        <f t="shared" si="7"/>
        <v>-3.5499999999999824E-3</v>
      </c>
      <c r="AY60" s="45">
        <f t="shared" si="7"/>
        <v>-1.8437500000000439E-3</v>
      </c>
      <c r="AZ60" s="45">
        <f t="shared" si="7"/>
        <v>1.0000000000000217E-3</v>
      </c>
      <c r="BA60" s="45">
        <f t="shared" si="7"/>
        <v>1.0000000000000217E-3</v>
      </c>
      <c r="BB60" s="45">
        <f t="shared" si="7"/>
        <v>2.1375000000000226E-3</v>
      </c>
      <c r="BC60" s="45">
        <f t="shared" si="7"/>
        <v>-1.5778125000000025E-2</v>
      </c>
      <c r="BD60" s="45">
        <f t="shared" si="7"/>
        <v>-1.2749999999999804E-3</v>
      </c>
      <c r="BE60" s="45">
        <f t="shared" si="7"/>
        <v>-1.2749999999999804E-3</v>
      </c>
      <c r="BF60" s="45">
        <f t="shared" si="7"/>
        <v>-4.971874999999952E-3</v>
      </c>
      <c r="BG60" s="45">
        <f t="shared" si="7"/>
        <v>-2.032812500000003E-2</v>
      </c>
      <c r="BH60" s="45">
        <f t="shared" si="7"/>
        <v>-1.2749999999999804E-3</v>
      </c>
      <c r="BI60" s="45">
        <f t="shared" si="7"/>
        <v>-3.2656250000000137E-3</v>
      </c>
      <c r="BJ60" s="45">
        <f t="shared" si="7"/>
        <v>-9.9062500000001168E-4</v>
      </c>
      <c r="BK60" s="47">
        <f t="shared" si="7"/>
        <v>-5.540625000000016E-3</v>
      </c>
    </row>
    <row r="61" spans="2:63" x14ac:dyDescent="0.45">
      <c r="B61" s="22" t="s">
        <v>108</v>
      </c>
      <c r="C61" s="42">
        <f>$C$16*13</f>
        <v>3.8095238095238098</v>
      </c>
      <c r="D61" s="45">
        <f t="shared" ref="D61:BK64" si="8">(D28-$C28)/$C28</f>
        <v>-8.8000000000001133E-3</v>
      </c>
      <c r="E61" s="45">
        <f t="shared" si="8"/>
        <v>3.0124999999999844E-3</v>
      </c>
      <c r="F61" s="45">
        <f t="shared" si="8"/>
        <v>-6.175000000000052E-3</v>
      </c>
      <c r="G61" s="45">
        <f t="shared" si="8"/>
        <v>2.2249999999999544E-3</v>
      </c>
      <c r="H61" s="45">
        <f t="shared" si="8"/>
        <v>-2.7625000000000787E-3</v>
      </c>
      <c r="I61" s="45">
        <f t="shared" si="8"/>
        <v>-3.0250000000000498E-3</v>
      </c>
      <c r="J61" s="45">
        <f t="shared" si="8"/>
        <v>-4.6000000000001092E-3</v>
      </c>
      <c r="K61" s="45">
        <f t="shared" si="8"/>
        <v>-2.4812500000000098E-2</v>
      </c>
      <c r="L61" s="45">
        <f t="shared" si="8"/>
        <v>-3.2875000000000209E-3</v>
      </c>
      <c r="M61" s="45">
        <f t="shared" si="8"/>
        <v>-5.9125000000000809E-3</v>
      </c>
      <c r="N61" s="45">
        <f t="shared" si="8"/>
        <v>-1.1875000000000191E-3</v>
      </c>
      <c r="O61" s="45">
        <f t="shared" si="8"/>
        <v>-6.175000000000052E-3</v>
      </c>
      <c r="P61" s="45">
        <f t="shared" si="8"/>
        <v>-6.6250000000007687E-4</v>
      </c>
      <c r="Q61" s="45">
        <f t="shared" si="8"/>
        <v>-4.8625000000000803E-3</v>
      </c>
      <c r="R61" s="45">
        <f t="shared" si="8"/>
        <v>-6.9625000000000823E-3</v>
      </c>
      <c r="S61" s="45">
        <f t="shared" si="8"/>
        <v>-4.8625000000000803E-3</v>
      </c>
      <c r="T61" s="45">
        <f t="shared" si="8"/>
        <v>-3.2875000000000209E-3</v>
      </c>
      <c r="U61" s="45">
        <f t="shared" si="8"/>
        <v>-6.6250000000007687E-4</v>
      </c>
      <c r="V61" s="45">
        <f t="shared" si="8"/>
        <v>-1.0900000000000114E-2</v>
      </c>
      <c r="W61" s="45">
        <f t="shared" si="8"/>
        <v>-3.4525000000000076E-2</v>
      </c>
      <c r="X61" s="45">
        <f t="shared" si="8"/>
        <v>-3.0250000000000498E-3</v>
      </c>
      <c r="Y61" s="45">
        <f t="shared" si="8"/>
        <v>-4.6000000000001092E-3</v>
      </c>
      <c r="Z61" s="45">
        <f t="shared" si="8"/>
        <v>-1.1875000000000191E-3</v>
      </c>
      <c r="AA61" s="45">
        <f t="shared" si="8"/>
        <v>3.8749999999992398E-4</v>
      </c>
      <c r="AB61" s="45">
        <f t="shared" si="8"/>
        <v>-4.6000000000001092E-3</v>
      </c>
      <c r="AC61" s="45">
        <f t="shared" si="8"/>
        <v>-9.2500000000004796E-4</v>
      </c>
      <c r="AD61" s="45">
        <f t="shared" si="8"/>
        <v>2.2249999999999544E-3</v>
      </c>
      <c r="AE61" s="45">
        <f t="shared" si="8"/>
        <v>4.3249999999999565E-3</v>
      </c>
      <c r="AF61" s="45">
        <f t="shared" si="8"/>
        <v>3.8749999999992398E-4</v>
      </c>
      <c r="AG61" s="45">
        <f t="shared" si="8"/>
        <v>-4.6000000000001092E-3</v>
      </c>
      <c r="AH61" s="45">
        <f t="shared" si="8"/>
        <v>-1.3750000000001814E-4</v>
      </c>
      <c r="AI61" s="45">
        <f t="shared" si="8"/>
        <v>-2.2975000000000065E-2</v>
      </c>
      <c r="AJ61" s="45">
        <f t="shared" si="8"/>
        <v>1.2499999999995292E-4</v>
      </c>
      <c r="AK61" s="45">
        <f t="shared" si="8"/>
        <v>-5.6500000000001098E-3</v>
      </c>
      <c r="AL61" s="45">
        <f t="shared" si="8"/>
        <v>4.8499999999998987E-3</v>
      </c>
      <c r="AM61" s="45">
        <f t="shared" si="8"/>
        <v>-5.9125000000000809E-3</v>
      </c>
      <c r="AN61" s="45">
        <f t="shared" si="8"/>
        <v>-7.7500000000001118E-3</v>
      </c>
      <c r="AO61" s="45">
        <f t="shared" si="8"/>
        <v>-2.2375000000000199E-3</v>
      </c>
      <c r="AP61" s="45">
        <f t="shared" si="8"/>
        <v>-6.6250000000007687E-4</v>
      </c>
      <c r="AQ61" s="45">
        <f t="shared" si="8"/>
        <v>1.4374999999999249E-3</v>
      </c>
      <c r="AR61" s="45">
        <f t="shared" si="8"/>
        <v>-1.1875000000000191E-3</v>
      </c>
      <c r="AS61" s="45">
        <f t="shared" si="8"/>
        <v>-1.1875000000000191E-3</v>
      </c>
      <c r="AT61" s="45">
        <f t="shared" si="8"/>
        <v>-3.0250000000000498E-3</v>
      </c>
      <c r="AU61" s="45">
        <f t="shared" si="8"/>
        <v>-3.7937500000000048E-2</v>
      </c>
      <c r="AV61" s="45">
        <f t="shared" si="8"/>
        <v>-3.8125000000000793E-3</v>
      </c>
      <c r="AW61" s="45">
        <f t="shared" si="8"/>
        <v>-4.0750000000000508E-3</v>
      </c>
      <c r="AX61" s="45">
        <f t="shared" si="8"/>
        <v>-4.8625000000000803E-3</v>
      </c>
      <c r="AY61" s="45">
        <f t="shared" si="8"/>
        <v>-2.2375000000000199E-3</v>
      </c>
      <c r="AZ61" s="45">
        <f t="shared" si="8"/>
        <v>9.1249999999998266E-4</v>
      </c>
      <c r="BA61" s="45">
        <f t="shared" si="8"/>
        <v>9.1249999999998266E-4</v>
      </c>
      <c r="BB61" s="45">
        <f t="shared" si="8"/>
        <v>2.2249999999999544E-3</v>
      </c>
      <c r="BC61" s="45">
        <f t="shared" si="8"/>
        <v>-1.588750000000003E-2</v>
      </c>
      <c r="BD61" s="45">
        <f t="shared" si="8"/>
        <v>-1.1875000000000191E-3</v>
      </c>
      <c r="BE61" s="45">
        <f t="shared" si="8"/>
        <v>-1.7125000000000777E-3</v>
      </c>
      <c r="BF61" s="45">
        <f t="shared" si="8"/>
        <v>-5.6500000000001098E-3</v>
      </c>
      <c r="BG61" s="45">
        <f t="shared" si="8"/>
        <v>-2.0612500000000093E-2</v>
      </c>
      <c r="BH61" s="45">
        <f t="shared" si="8"/>
        <v>-1.9750000000000488E-3</v>
      </c>
      <c r="BI61" s="45">
        <f t="shared" si="8"/>
        <v>-3.0250000000000498E-3</v>
      </c>
      <c r="BJ61" s="45">
        <f t="shared" si="8"/>
        <v>-6.6250000000007687E-4</v>
      </c>
      <c r="BK61" s="47">
        <f t="shared" si="8"/>
        <v>-6.7000000000001112E-3</v>
      </c>
    </row>
    <row r="62" spans="2:63" x14ac:dyDescent="0.45">
      <c r="B62" s="22" t="s">
        <v>109</v>
      </c>
      <c r="C62" s="42">
        <f>$C$16*14</f>
        <v>4.1025641025641031</v>
      </c>
      <c r="D62" s="45">
        <f t="shared" si="8"/>
        <v>-9.8875000000000594E-3</v>
      </c>
      <c r="E62" s="45">
        <f t="shared" si="8"/>
        <v>1.81249999999995E-3</v>
      </c>
      <c r="F62" s="45">
        <f t="shared" si="8"/>
        <v>-6.7187500000000832E-3</v>
      </c>
      <c r="G62" s="45">
        <f t="shared" si="8"/>
        <v>8.3749999999984108E-4</v>
      </c>
      <c r="H62" s="45">
        <f t="shared" si="8"/>
        <v>-3.5500000000001082E-3</v>
      </c>
      <c r="I62" s="45">
        <f t="shared" si="8"/>
        <v>-3.5500000000001082E-3</v>
      </c>
      <c r="J62" s="45">
        <f t="shared" si="8"/>
        <v>-4.768750000000082E-3</v>
      </c>
      <c r="K62" s="45">
        <f t="shared" si="8"/>
        <v>-2.6706250000000153E-2</v>
      </c>
      <c r="L62" s="45">
        <f t="shared" si="8"/>
        <v>-4.2812500000001356E-3</v>
      </c>
      <c r="M62" s="45">
        <f t="shared" si="8"/>
        <v>-7.2062500000000295E-3</v>
      </c>
      <c r="N62" s="45">
        <f t="shared" si="8"/>
        <v>-1.8437500000001881E-3</v>
      </c>
      <c r="O62" s="45">
        <f t="shared" si="8"/>
        <v>-6.7187500000000832E-3</v>
      </c>
      <c r="P62" s="45">
        <f t="shared" si="8"/>
        <v>-2.0875000000000529E-3</v>
      </c>
      <c r="Q62" s="45">
        <f t="shared" si="8"/>
        <v>-4.768750000000082E-3</v>
      </c>
      <c r="R62" s="45">
        <f t="shared" si="8"/>
        <v>-6.7187500000000832E-3</v>
      </c>
      <c r="S62" s="45">
        <f t="shared" si="8"/>
        <v>-5.7437500000001914E-3</v>
      </c>
      <c r="T62" s="45">
        <f t="shared" si="8"/>
        <v>-2.8187500000000807E-3</v>
      </c>
      <c r="U62" s="45">
        <f t="shared" si="8"/>
        <v>-1.6000000000001068E-3</v>
      </c>
      <c r="V62" s="45">
        <f t="shared" si="8"/>
        <v>-1.1106250000000033E-2</v>
      </c>
      <c r="W62" s="45">
        <f t="shared" si="8"/>
        <v>-3.6212500000000078E-2</v>
      </c>
      <c r="X62" s="45">
        <f t="shared" si="8"/>
        <v>-3.7937500000001893E-3</v>
      </c>
      <c r="Y62" s="45">
        <f t="shared" si="8"/>
        <v>-5.2562500000000283E-3</v>
      </c>
      <c r="Z62" s="45">
        <f t="shared" si="8"/>
        <v>-2.0875000000000529E-3</v>
      </c>
      <c r="AA62" s="45">
        <f t="shared" si="8"/>
        <v>1.0624999999981343E-4</v>
      </c>
      <c r="AB62" s="45">
        <f t="shared" si="8"/>
        <v>-5.2562500000000283E-3</v>
      </c>
      <c r="AC62" s="45">
        <f t="shared" si="8"/>
        <v>-1.8437500000001881E-3</v>
      </c>
      <c r="AD62" s="45">
        <f t="shared" si="8"/>
        <v>1.0812499999999223E-3</v>
      </c>
      <c r="AE62" s="45">
        <f t="shared" si="8"/>
        <v>3.7624999999999516E-3</v>
      </c>
      <c r="AF62" s="45">
        <f t="shared" si="8"/>
        <v>1.0624999999981343E-4</v>
      </c>
      <c r="AG62" s="45">
        <f t="shared" si="8"/>
        <v>-5.7437500000001914E-3</v>
      </c>
      <c r="AH62" s="45">
        <f t="shared" si="8"/>
        <v>-8.6875000000007909E-4</v>
      </c>
      <c r="AI62" s="45">
        <f t="shared" si="8"/>
        <v>-2.4756250000000042E-2</v>
      </c>
      <c r="AJ62" s="45">
        <f t="shared" si="8"/>
        <v>-8.6875000000007909E-4</v>
      </c>
      <c r="AK62" s="45">
        <f t="shared" si="8"/>
        <v>-7.450000000000111E-3</v>
      </c>
      <c r="AL62" s="45">
        <f t="shared" si="8"/>
        <v>3.5187499999998701E-3</v>
      </c>
      <c r="AM62" s="45">
        <f t="shared" si="8"/>
        <v>-6.2312500000001369E-3</v>
      </c>
      <c r="AN62" s="45">
        <f t="shared" si="8"/>
        <v>-8.4250000000002205E-3</v>
      </c>
      <c r="AO62" s="45">
        <f t="shared" si="8"/>
        <v>-3.5500000000001082E-3</v>
      </c>
      <c r="AP62" s="45">
        <f t="shared" si="8"/>
        <v>-1.8437500000001881E-3</v>
      </c>
      <c r="AQ62" s="45">
        <f t="shared" si="8"/>
        <v>3.4999999999989477E-4</v>
      </c>
      <c r="AR62" s="45">
        <f t="shared" si="8"/>
        <v>-1.6000000000001068E-3</v>
      </c>
      <c r="AS62" s="45">
        <f t="shared" si="8"/>
        <v>-2.8187500000000807E-3</v>
      </c>
      <c r="AT62" s="45">
        <f t="shared" si="8"/>
        <v>-2.8187500000000807E-3</v>
      </c>
      <c r="AU62" s="45">
        <f t="shared" si="8"/>
        <v>-4.0843750000000109E-2</v>
      </c>
      <c r="AV62" s="45">
        <f t="shared" si="8"/>
        <v>-5.2562500000000283E-3</v>
      </c>
      <c r="AW62" s="45">
        <f t="shared" si="8"/>
        <v>-5.2562500000000283E-3</v>
      </c>
      <c r="AX62" s="45">
        <f t="shared" si="8"/>
        <v>-5.2562500000000283E-3</v>
      </c>
      <c r="AY62" s="45">
        <f t="shared" si="8"/>
        <v>-2.8187500000000807E-3</v>
      </c>
      <c r="AZ62" s="45">
        <f t="shared" si="8"/>
        <v>-1.3750000000005145E-4</v>
      </c>
      <c r="BA62" s="45">
        <f t="shared" si="8"/>
        <v>-1.3750000000005145E-4</v>
      </c>
      <c r="BB62" s="45">
        <f t="shared" si="8"/>
        <v>1.0812499999999223E-3</v>
      </c>
      <c r="BC62" s="45">
        <f t="shared" si="8"/>
        <v>-1.6956250000000037E-2</v>
      </c>
      <c r="BD62" s="45">
        <f t="shared" si="8"/>
        <v>-2.5750000000002156E-3</v>
      </c>
      <c r="BE62" s="45">
        <f t="shared" si="8"/>
        <v>-2.5750000000002156E-3</v>
      </c>
      <c r="BF62" s="45">
        <f t="shared" si="8"/>
        <v>-6.7187500000000832E-3</v>
      </c>
      <c r="BG62" s="45">
        <f t="shared" si="8"/>
        <v>-2.012500000000023E-2</v>
      </c>
      <c r="BH62" s="45">
        <f t="shared" si="8"/>
        <v>-2.8187500000000807E-3</v>
      </c>
      <c r="BI62" s="45">
        <f t="shared" si="8"/>
        <v>-4.5250000000002172E-3</v>
      </c>
      <c r="BJ62" s="45">
        <f t="shared" si="8"/>
        <v>-1.6000000000001068E-3</v>
      </c>
      <c r="BK62" s="47">
        <f t="shared" si="8"/>
        <v>-7.450000000000111E-3</v>
      </c>
    </row>
    <row r="63" spans="2:63" x14ac:dyDescent="0.45">
      <c r="B63" s="22" t="s">
        <v>110</v>
      </c>
      <c r="C63" s="42">
        <f>$C$16*15</f>
        <v>4.395604395604396</v>
      </c>
      <c r="D63" s="45">
        <f t="shared" si="8"/>
        <v>-1.1057499999999987E-2</v>
      </c>
      <c r="E63" s="45">
        <f t="shared" si="8"/>
        <v>1.2274999999998702E-3</v>
      </c>
      <c r="F63" s="45">
        <f t="shared" si="8"/>
        <v>-7.8725000000001363E-3</v>
      </c>
      <c r="G63" s="45">
        <f t="shared" si="8"/>
        <v>3.1749999999997058E-4</v>
      </c>
      <c r="H63" s="45">
        <f t="shared" si="8"/>
        <v>-4.2325000000001337E-3</v>
      </c>
      <c r="I63" s="45">
        <f t="shared" si="8"/>
        <v>-4.9150000000001597E-3</v>
      </c>
      <c r="J63" s="45">
        <f t="shared" si="8"/>
        <v>-5.8250000000000593E-3</v>
      </c>
      <c r="K63" s="45">
        <f t="shared" si="8"/>
        <v>-2.8802500000000054E-2</v>
      </c>
      <c r="L63" s="45">
        <f t="shared" si="8"/>
        <v>-5.1425000000000342E-3</v>
      </c>
      <c r="M63" s="45">
        <f t="shared" si="8"/>
        <v>-7.4174999999999849E-3</v>
      </c>
      <c r="N63" s="45">
        <f t="shared" si="8"/>
        <v>-3.3225000000000325E-3</v>
      </c>
      <c r="O63" s="45">
        <f t="shared" si="8"/>
        <v>-7.8725000000001363E-3</v>
      </c>
      <c r="P63" s="45">
        <f t="shared" si="8"/>
        <v>-2.6400000000000065E-3</v>
      </c>
      <c r="Q63" s="45">
        <f t="shared" si="8"/>
        <v>-6.2800000000000095E-3</v>
      </c>
      <c r="R63" s="45">
        <f t="shared" si="8"/>
        <v>-7.8725000000001363E-3</v>
      </c>
      <c r="S63" s="45">
        <f t="shared" si="8"/>
        <v>-6.9625000000000355E-3</v>
      </c>
      <c r="T63" s="45">
        <f t="shared" si="8"/>
        <v>-4.4600000000000082E-3</v>
      </c>
      <c r="U63" s="45">
        <f t="shared" si="8"/>
        <v>-3.0950000000001584E-3</v>
      </c>
      <c r="V63" s="45">
        <f t="shared" si="8"/>
        <v>-1.2650000000000116E-2</v>
      </c>
      <c r="W63" s="45">
        <f t="shared" si="8"/>
        <v>-3.8130000000000136E-2</v>
      </c>
      <c r="X63" s="45">
        <f t="shared" si="8"/>
        <v>-4.9150000000001597E-3</v>
      </c>
      <c r="Y63" s="45">
        <f t="shared" si="8"/>
        <v>-6.0525000000001359E-3</v>
      </c>
      <c r="Z63" s="45">
        <f t="shared" si="8"/>
        <v>-3.0950000000001584E-3</v>
      </c>
      <c r="AA63" s="45">
        <f t="shared" si="8"/>
        <v>-1.0475000000000811E-3</v>
      </c>
      <c r="AB63" s="45">
        <f t="shared" si="8"/>
        <v>-6.2800000000000095E-3</v>
      </c>
      <c r="AC63" s="45">
        <f t="shared" si="8"/>
        <v>-3.0950000000001584E-3</v>
      </c>
      <c r="AD63" s="45">
        <f t="shared" si="8"/>
        <v>3.1749999999997058E-4</v>
      </c>
      <c r="AE63" s="45">
        <f t="shared" si="8"/>
        <v>2.8199999999999979E-3</v>
      </c>
      <c r="AF63" s="45">
        <f t="shared" si="8"/>
        <v>-8.2000000000000508E-4</v>
      </c>
      <c r="AG63" s="45">
        <f t="shared" si="8"/>
        <v>-6.9625000000000355E-3</v>
      </c>
      <c r="AH63" s="45">
        <f t="shared" si="8"/>
        <v>-1.9575000000001826E-3</v>
      </c>
      <c r="AI63" s="45">
        <f t="shared" si="8"/>
        <v>-2.6755000000000178E-2</v>
      </c>
      <c r="AJ63" s="45">
        <f t="shared" si="8"/>
        <v>-1.5025000000000309E-3</v>
      </c>
      <c r="AK63" s="45">
        <f t="shared" si="8"/>
        <v>-7.4174999999999849E-3</v>
      </c>
      <c r="AL63" s="45">
        <f t="shared" si="8"/>
        <v>2.364999999999846E-3</v>
      </c>
      <c r="AM63" s="45">
        <f t="shared" si="8"/>
        <v>-6.9625000000000355E-3</v>
      </c>
      <c r="AN63" s="45">
        <f t="shared" si="8"/>
        <v>-9.6925000000001385E-3</v>
      </c>
      <c r="AO63" s="45">
        <f t="shared" si="8"/>
        <v>-4.9150000000001597E-3</v>
      </c>
      <c r="AP63" s="45">
        <f t="shared" si="8"/>
        <v>-3.0950000000001584E-3</v>
      </c>
      <c r="AQ63" s="45">
        <f t="shared" si="8"/>
        <v>-8.2000000000000508E-4</v>
      </c>
      <c r="AR63" s="45">
        <f t="shared" si="8"/>
        <v>-2.6400000000000065E-3</v>
      </c>
      <c r="AS63" s="45">
        <f t="shared" si="8"/>
        <v>-4.4600000000000082E-3</v>
      </c>
      <c r="AT63" s="45">
        <f t="shared" si="8"/>
        <v>-4.2325000000001337E-3</v>
      </c>
      <c r="AU63" s="45">
        <f t="shared" si="8"/>
        <v>-4.177000000000014E-2</v>
      </c>
      <c r="AV63" s="45">
        <f t="shared" si="8"/>
        <v>-6.2800000000000095E-3</v>
      </c>
      <c r="AW63" s="45">
        <f t="shared" si="8"/>
        <v>-6.735000000000161E-3</v>
      </c>
      <c r="AX63" s="45">
        <f t="shared" si="8"/>
        <v>-6.2800000000000095E-3</v>
      </c>
      <c r="AY63" s="45">
        <f t="shared" si="8"/>
        <v>-4.2325000000001337E-3</v>
      </c>
      <c r="AZ63" s="45">
        <f t="shared" si="8"/>
        <v>-1.0475000000000811E-3</v>
      </c>
      <c r="BA63" s="45">
        <f t="shared" si="8"/>
        <v>-1.9575000000001826E-3</v>
      </c>
      <c r="BB63" s="45">
        <f t="shared" si="8"/>
        <v>7.7249999999992039E-4</v>
      </c>
      <c r="BC63" s="45">
        <f t="shared" si="8"/>
        <v>-1.7427500000000096E-2</v>
      </c>
      <c r="BD63" s="45">
        <f t="shared" si="8"/>
        <v>-3.5500000000001082E-3</v>
      </c>
      <c r="BE63" s="45">
        <f t="shared" si="8"/>
        <v>-4.005000000000058E-3</v>
      </c>
      <c r="BF63" s="45">
        <f t="shared" si="8"/>
        <v>-7.8725000000001363E-3</v>
      </c>
      <c r="BG63" s="45">
        <f t="shared" si="8"/>
        <v>-2.4252500000000149E-2</v>
      </c>
      <c r="BH63" s="45">
        <f t="shared" si="8"/>
        <v>-4.005000000000058E-3</v>
      </c>
      <c r="BI63" s="45">
        <f t="shared" si="8"/>
        <v>-5.3700000000001099E-3</v>
      </c>
      <c r="BJ63" s="45">
        <f t="shared" si="8"/>
        <v>-6.0525000000001359E-3</v>
      </c>
      <c r="BK63" s="47">
        <f t="shared" si="8"/>
        <v>-8.5550000000001632E-3</v>
      </c>
    </row>
    <row r="64" spans="2:63" ht="16.5" thickBot="1" x14ac:dyDescent="0.5">
      <c r="B64" s="12" t="s">
        <v>111</v>
      </c>
      <c r="C64" s="43">
        <f>$C$16*16</f>
        <v>4.6886446886446889</v>
      </c>
      <c r="D64" s="48">
        <f t="shared" si="8"/>
        <v>-1.1867968750000044E-2</v>
      </c>
      <c r="E64" s="48">
        <f t="shared" si="8"/>
        <v>-1.3750000000010558E-4</v>
      </c>
      <c r="F64" s="48">
        <f t="shared" si="8"/>
        <v>-9.0953125000000652E-3</v>
      </c>
      <c r="G64" s="48">
        <f t="shared" si="8"/>
        <v>-1.6304687500000358E-3</v>
      </c>
      <c r="H64" s="48">
        <f t="shared" si="8"/>
        <v>-5.4695312499999918E-3</v>
      </c>
      <c r="I64" s="48">
        <f t="shared" si="8"/>
        <v>-6.5359374999999689E-3</v>
      </c>
      <c r="J64" s="48">
        <f t="shared" si="8"/>
        <v>-6.962500000000111E-3</v>
      </c>
      <c r="K64" s="48">
        <f t="shared" si="8"/>
        <v>-3.0210156250000106E-2</v>
      </c>
      <c r="L64" s="48">
        <f t="shared" si="8"/>
        <v>-6.962500000000111E-3</v>
      </c>
      <c r="M64" s="48">
        <f t="shared" si="8"/>
        <v>-8.6687500000001121E-3</v>
      </c>
      <c r="N64" s="48">
        <f t="shared" si="8"/>
        <v>-4.1898437500001327E-3</v>
      </c>
      <c r="O64" s="48">
        <f t="shared" si="8"/>
        <v>-8.882031249999995E-3</v>
      </c>
      <c r="P64" s="48">
        <f t="shared" si="8"/>
        <v>-4.1898437500001327E-3</v>
      </c>
      <c r="Q64" s="48">
        <f t="shared" si="8"/>
        <v>-7.815625000000017E-3</v>
      </c>
      <c r="R64" s="48">
        <f t="shared" si="8"/>
        <v>-9.5218750000000182E-3</v>
      </c>
      <c r="S64" s="48">
        <f t="shared" si="8"/>
        <v>-8.0289062500000889E-3</v>
      </c>
      <c r="T64" s="48">
        <f t="shared" si="8"/>
        <v>-6.962500000000111E-3</v>
      </c>
      <c r="U64" s="48">
        <f t="shared" si="8"/>
        <v>-2.9101562500000841E-3</v>
      </c>
      <c r="V64" s="48">
        <f t="shared" si="8"/>
        <v>-1.3787500000000117E-2</v>
      </c>
      <c r="W64" s="48">
        <f t="shared" si="8"/>
        <v>-4.0234375000000044E-2</v>
      </c>
      <c r="X64" s="48">
        <f t="shared" si="8"/>
        <v>-5.6828125000000628E-3</v>
      </c>
      <c r="Y64" s="48">
        <f t="shared" si="8"/>
        <v>-7.1757812499999929E-3</v>
      </c>
      <c r="Z64" s="48">
        <f t="shared" si="8"/>
        <v>-4.1898437500001327E-3</v>
      </c>
      <c r="AA64" s="48">
        <f t="shared" si="8"/>
        <v>-2.4835937500001311E-3</v>
      </c>
      <c r="AB64" s="48">
        <f t="shared" si="8"/>
        <v>-7.815625000000017E-3</v>
      </c>
      <c r="AC64" s="48">
        <f t="shared" si="8"/>
        <v>-4.1898437500001327E-3</v>
      </c>
      <c r="AD64" s="48">
        <f t="shared" si="8"/>
        <v>-1.4171874999999645E-3</v>
      </c>
      <c r="AE64" s="48">
        <f t="shared" si="8"/>
        <v>2.4218749999999913E-3</v>
      </c>
      <c r="AF64" s="48">
        <f t="shared" si="8"/>
        <v>-1.843750000000107E-3</v>
      </c>
      <c r="AG64" s="48">
        <f t="shared" si="8"/>
        <v>-8.24218749999997E-3</v>
      </c>
      <c r="AH64" s="48">
        <f t="shared" si="8"/>
        <v>-3.3367187500000371E-3</v>
      </c>
      <c r="AI64" s="48">
        <f t="shared" si="8"/>
        <v>-2.8290625000000034E-2</v>
      </c>
      <c r="AJ64" s="48">
        <f t="shared" si="8"/>
        <v>-2.9101562500000841E-3</v>
      </c>
      <c r="AK64" s="48">
        <f t="shared" si="8"/>
        <v>-8.6687500000001121E-3</v>
      </c>
      <c r="AL64" s="48">
        <f t="shared" si="8"/>
        <v>9.2890624999987167E-4</v>
      </c>
      <c r="AM64" s="48">
        <f t="shared" si="8"/>
        <v>-8.882031249999995E-3</v>
      </c>
      <c r="AN64" s="48">
        <f t="shared" si="8"/>
        <v>-1.1228125000000019E-2</v>
      </c>
      <c r="AO64" s="48">
        <f t="shared" si="8"/>
        <v>-7.1757812499999929E-3</v>
      </c>
      <c r="AP64" s="48">
        <f t="shared" si="8"/>
        <v>-3.9765625000000616E-3</v>
      </c>
      <c r="AQ64" s="48">
        <f t="shared" si="8"/>
        <v>-2.4835937500001311E-3</v>
      </c>
      <c r="AR64" s="48">
        <f t="shared" si="8"/>
        <v>-3.9765625000000616E-3</v>
      </c>
      <c r="AS64" s="48">
        <f t="shared" si="8"/>
        <v>-5.4695312499999918E-3</v>
      </c>
      <c r="AT64" s="48">
        <f t="shared" si="8"/>
        <v>-5.4695312499999918E-3</v>
      </c>
      <c r="AU64" s="48">
        <f t="shared" si="8"/>
        <v>-4.279374999999995E-2</v>
      </c>
      <c r="AV64" s="48">
        <f t="shared" si="8"/>
        <v>-7.815625000000017E-3</v>
      </c>
      <c r="AW64" s="48">
        <f t="shared" si="8"/>
        <v>-7.815625000000017E-3</v>
      </c>
      <c r="AX64" s="48">
        <f t="shared" si="8"/>
        <v>-7.389062500000064E-3</v>
      </c>
      <c r="AY64" s="48">
        <f t="shared" si="8"/>
        <v>-5.8960937500001339E-3</v>
      </c>
      <c r="AZ64" s="48">
        <f t="shared" si="8"/>
        <v>-2.4835937500001311E-3</v>
      </c>
      <c r="BA64" s="48">
        <f t="shared" si="8"/>
        <v>-3.1234374999999661E-3</v>
      </c>
      <c r="BB64" s="48">
        <f t="shared" si="8"/>
        <v>-7.7734375000012982E-4</v>
      </c>
      <c r="BC64" s="48">
        <f t="shared" si="8"/>
        <v>-1.9119531250000002E-2</v>
      </c>
      <c r="BD64" s="48">
        <f t="shared" si="8"/>
        <v>-4.6164062500000857E-3</v>
      </c>
      <c r="BE64" s="48">
        <f t="shared" si="8"/>
        <v>-5.0429687500000387E-3</v>
      </c>
      <c r="BF64" s="48">
        <f t="shared" si="8"/>
        <v>-8.6687500000001121E-3</v>
      </c>
      <c r="BG64" s="48">
        <f t="shared" si="8"/>
        <v>-2.7437500000000128E-2</v>
      </c>
      <c r="BH64" s="48">
        <f t="shared" si="8"/>
        <v>-5.4695312499999918E-3</v>
      </c>
      <c r="BI64" s="48">
        <f t="shared" si="8"/>
        <v>-6.3226562500000869E-3</v>
      </c>
      <c r="BJ64" s="48">
        <f t="shared" si="8"/>
        <v>-4.6164062500000857E-3</v>
      </c>
      <c r="BK64" s="49">
        <f t="shared" si="8"/>
        <v>-9.7351562500000901E-3</v>
      </c>
    </row>
  </sheetData>
  <mergeCells count="10">
    <mergeCell ref="D2:O2"/>
    <mergeCell ref="P2:AA2"/>
    <mergeCell ref="AB2:AM2"/>
    <mergeCell ref="AN2:AY2"/>
    <mergeCell ref="AZ2:BK2"/>
    <mergeCell ref="D34:O34"/>
    <mergeCell ref="P34:AA34"/>
    <mergeCell ref="AB34:AM34"/>
    <mergeCell ref="AN34:AY34"/>
    <mergeCell ref="AZ34:BK3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5D56-CF5C-4050-BEAD-CC00D4CDB80C}">
  <dimension ref="B1:AT253"/>
  <sheetViews>
    <sheetView zoomScaleNormal="100" workbookViewId="0">
      <selection activeCell="Q43" sqref="Q43"/>
    </sheetView>
  </sheetViews>
  <sheetFormatPr defaultRowHeight="16" x14ac:dyDescent="0.45"/>
  <cols>
    <col min="1" max="1" width="2.6328125" customWidth="1"/>
    <col min="2" max="2" width="9.81640625" bestFit="1" customWidth="1"/>
    <col min="3" max="5" width="8.1796875" bestFit="1" customWidth="1"/>
    <col min="6" max="8" width="8.1796875" customWidth="1"/>
    <col min="10" max="10" width="9.81640625" bestFit="1" customWidth="1"/>
    <col min="11" max="13" width="8.1796875" bestFit="1" customWidth="1"/>
    <col min="14" max="17" width="8.1796875" customWidth="1"/>
    <col min="19" max="28" width="11.6328125" customWidth="1"/>
    <col min="30" max="35" width="11.6328125" customWidth="1"/>
  </cols>
  <sheetData>
    <row r="1" spans="2:46" ht="16.5" thickBot="1" x14ac:dyDescent="0.5"/>
    <row r="2" spans="2:46" x14ac:dyDescent="0.45">
      <c r="B2" s="269" t="s">
        <v>112</v>
      </c>
      <c r="C2" s="270"/>
      <c r="D2" s="270"/>
      <c r="E2" s="271"/>
      <c r="J2" s="269" t="s">
        <v>113</v>
      </c>
      <c r="K2" s="270"/>
      <c r="L2" s="270"/>
      <c r="M2" s="271"/>
      <c r="S2" s="265" t="s">
        <v>114</v>
      </c>
      <c r="T2" s="268"/>
      <c r="U2" s="268"/>
      <c r="V2" s="268"/>
      <c r="W2" s="268"/>
      <c r="X2" s="266"/>
      <c r="AD2" s="265" t="s">
        <v>115</v>
      </c>
      <c r="AE2" s="268"/>
      <c r="AF2" s="268"/>
      <c r="AG2" s="268"/>
      <c r="AH2" s="268"/>
      <c r="AI2" s="266"/>
    </row>
    <row r="3" spans="2:46" x14ac:dyDescent="0.45">
      <c r="B3" s="50" t="s">
        <v>116</v>
      </c>
      <c r="C3" s="51" t="s">
        <v>0</v>
      </c>
      <c r="D3" s="51" t="s">
        <v>1</v>
      </c>
      <c r="E3" s="52" t="s">
        <v>2</v>
      </c>
      <c r="J3" s="50" t="s">
        <v>116</v>
      </c>
      <c r="K3" s="51" t="s">
        <v>0</v>
      </c>
      <c r="L3" s="51" t="s">
        <v>1</v>
      </c>
      <c r="M3" s="52" t="s">
        <v>2</v>
      </c>
      <c r="S3" s="50" t="s">
        <v>116</v>
      </c>
      <c r="T3" s="51" t="s">
        <v>117</v>
      </c>
      <c r="U3" s="51" t="s">
        <v>118</v>
      </c>
      <c r="V3" s="51" t="s">
        <v>119</v>
      </c>
      <c r="W3" s="51" t="s">
        <v>120</v>
      </c>
      <c r="X3" s="52" t="s">
        <v>121</v>
      </c>
      <c r="AD3" s="50" t="s">
        <v>116</v>
      </c>
      <c r="AE3" s="51" t="s">
        <v>117</v>
      </c>
      <c r="AF3" s="51" t="s">
        <v>118</v>
      </c>
      <c r="AG3" s="51" t="s">
        <v>119</v>
      </c>
      <c r="AH3" s="51" t="s">
        <v>120</v>
      </c>
      <c r="AI3" s="52" t="s">
        <v>121</v>
      </c>
    </row>
    <row r="4" spans="2:46" x14ac:dyDescent="0.45">
      <c r="B4" s="50">
        <v>0</v>
      </c>
      <c r="C4" s="1">
        <v>40.000999999999998</v>
      </c>
      <c r="D4" s="1">
        <v>39.999000000000002</v>
      </c>
      <c r="E4" s="25">
        <v>39.999000000000002</v>
      </c>
      <c r="J4" s="50">
        <v>0</v>
      </c>
      <c r="K4" s="1">
        <v>49.999000000000002</v>
      </c>
      <c r="L4" s="1">
        <v>50.002000000000002</v>
      </c>
      <c r="M4" s="25">
        <v>49.997</v>
      </c>
      <c r="S4" s="50">
        <v>0</v>
      </c>
      <c r="T4" s="1">
        <v>40.000999999999998</v>
      </c>
      <c r="U4" s="1">
        <v>40</v>
      </c>
      <c r="V4" s="1">
        <v>40.000999999999998</v>
      </c>
      <c r="W4" s="1">
        <v>40.003</v>
      </c>
      <c r="X4" s="25">
        <v>40.003</v>
      </c>
      <c r="AD4" s="50">
        <v>0</v>
      </c>
      <c r="AE4" s="1">
        <v>49.999000000000002</v>
      </c>
      <c r="AF4" s="1">
        <v>49.999000000000002</v>
      </c>
      <c r="AG4" s="1">
        <v>49.997</v>
      </c>
      <c r="AH4" s="1">
        <v>50</v>
      </c>
      <c r="AI4" s="25">
        <v>49.997</v>
      </c>
      <c r="AS4" s="1">
        <v>40.000999999999998</v>
      </c>
      <c r="AT4" s="1">
        <v>40.000999999999998</v>
      </c>
    </row>
    <row r="5" spans="2:46" x14ac:dyDescent="0.45">
      <c r="B5" s="50">
        <v>0.7</v>
      </c>
      <c r="C5" s="1">
        <v>40.002000000000002</v>
      </c>
      <c r="D5" s="1">
        <v>39.999000000000002</v>
      </c>
      <c r="E5" s="25">
        <v>39.999000000000002</v>
      </c>
      <c r="J5" s="50">
        <v>0.7</v>
      </c>
      <c r="K5" s="1">
        <v>50</v>
      </c>
      <c r="L5" s="1">
        <v>50</v>
      </c>
      <c r="M5" s="25">
        <v>49.999000000000002</v>
      </c>
      <c r="S5" s="50">
        <v>0.7</v>
      </c>
      <c r="T5" s="1">
        <v>40</v>
      </c>
      <c r="U5" s="1">
        <v>40</v>
      </c>
      <c r="V5" s="1">
        <v>39.999000000000002</v>
      </c>
      <c r="W5" s="1">
        <v>40.000999999999998</v>
      </c>
      <c r="X5" s="25">
        <v>39.997999999999998</v>
      </c>
      <c r="AD5" s="50">
        <v>0.7</v>
      </c>
      <c r="AE5" s="1">
        <v>50</v>
      </c>
      <c r="AF5" s="1">
        <v>49.997</v>
      </c>
      <c r="AG5" s="1">
        <v>50.002000000000002</v>
      </c>
      <c r="AH5" s="1">
        <v>50.002000000000002</v>
      </c>
      <c r="AI5" s="25">
        <v>49.994</v>
      </c>
      <c r="AS5" s="1">
        <v>40.002000000000002</v>
      </c>
      <c r="AT5" s="1">
        <v>39.999000000000002</v>
      </c>
    </row>
    <row r="6" spans="2:46" x14ac:dyDescent="0.45">
      <c r="B6" s="50">
        <v>1.4</v>
      </c>
      <c r="C6" s="1">
        <v>40.000999999999998</v>
      </c>
      <c r="D6" s="1">
        <v>39.999000000000002</v>
      </c>
      <c r="E6" s="25">
        <v>40</v>
      </c>
      <c r="J6" s="50">
        <v>1.4</v>
      </c>
      <c r="K6" s="1">
        <v>50.003999999999998</v>
      </c>
      <c r="L6" s="1">
        <v>50</v>
      </c>
      <c r="M6" s="25">
        <v>49.999000000000002</v>
      </c>
      <c r="S6" s="50">
        <v>1.4</v>
      </c>
      <c r="T6" s="1">
        <v>39.999000000000002</v>
      </c>
      <c r="U6" s="1">
        <v>40.002000000000002</v>
      </c>
      <c r="V6" s="1">
        <v>40.000999999999998</v>
      </c>
      <c r="W6" s="1">
        <v>40.000999999999998</v>
      </c>
      <c r="X6" s="25">
        <v>40.000999999999998</v>
      </c>
      <c r="AD6" s="50">
        <v>1.4</v>
      </c>
      <c r="AE6" s="1">
        <v>49.999000000000002</v>
      </c>
      <c r="AF6" s="1">
        <v>49.999000000000002</v>
      </c>
      <c r="AG6" s="1">
        <v>50.005000000000003</v>
      </c>
      <c r="AH6" s="1">
        <v>49.999000000000002</v>
      </c>
      <c r="AI6" s="25">
        <v>49.999000000000002</v>
      </c>
      <c r="AS6" s="1">
        <v>40.000999999999998</v>
      </c>
      <c r="AT6" s="1">
        <v>40.000999999999998</v>
      </c>
    </row>
    <row r="7" spans="2:46" x14ac:dyDescent="0.45">
      <c r="B7" s="50">
        <v>2.0999999999999996</v>
      </c>
      <c r="C7" s="1">
        <v>39.999000000000002</v>
      </c>
      <c r="D7" s="1">
        <v>40</v>
      </c>
      <c r="E7" s="25">
        <v>39.999000000000002</v>
      </c>
      <c r="J7" s="50">
        <v>2.0999999999999996</v>
      </c>
      <c r="K7" s="1">
        <v>49.997</v>
      </c>
      <c r="L7" s="1">
        <v>50.002000000000002</v>
      </c>
      <c r="M7" s="25">
        <v>50</v>
      </c>
      <c r="S7" s="50">
        <v>2.0999999999999996</v>
      </c>
      <c r="T7" s="1">
        <v>40.003999999999998</v>
      </c>
      <c r="U7" s="1">
        <v>40</v>
      </c>
      <c r="V7" s="1">
        <v>40.002000000000002</v>
      </c>
      <c r="W7" s="1">
        <v>40</v>
      </c>
      <c r="X7" s="25">
        <v>40.002000000000002</v>
      </c>
      <c r="AD7" s="50">
        <v>2.0999999999999996</v>
      </c>
      <c r="AE7" s="1">
        <v>50.003999999999998</v>
      </c>
      <c r="AF7" s="1">
        <v>50</v>
      </c>
      <c r="AG7" s="1">
        <v>50</v>
      </c>
      <c r="AH7" s="1">
        <v>49.997</v>
      </c>
      <c r="AI7" s="25">
        <v>49.997</v>
      </c>
      <c r="AS7" s="1">
        <v>39.999000000000002</v>
      </c>
      <c r="AT7" s="1">
        <v>40.002000000000002</v>
      </c>
    </row>
    <row r="8" spans="2:46" x14ac:dyDescent="0.45">
      <c r="B8" s="50">
        <v>2.8</v>
      </c>
      <c r="C8" s="1">
        <v>39.999000000000002</v>
      </c>
      <c r="D8" s="1">
        <v>40.000999999999998</v>
      </c>
      <c r="E8" s="25">
        <v>39.999000000000002</v>
      </c>
      <c r="J8" s="50">
        <v>2.8</v>
      </c>
      <c r="K8" s="1">
        <v>50</v>
      </c>
      <c r="L8" s="1">
        <v>50</v>
      </c>
      <c r="M8" s="25">
        <v>50.002000000000002</v>
      </c>
      <c r="S8" s="50">
        <v>2.8</v>
      </c>
      <c r="T8" s="1">
        <v>40</v>
      </c>
      <c r="U8" s="1">
        <v>39.996000000000002</v>
      </c>
      <c r="V8" s="1">
        <v>40.003</v>
      </c>
      <c r="W8" s="1">
        <v>40.000999999999998</v>
      </c>
      <c r="X8" s="25">
        <v>39.997999999999998</v>
      </c>
      <c r="AD8" s="50">
        <v>2.8</v>
      </c>
      <c r="AE8" s="1">
        <v>50</v>
      </c>
      <c r="AF8" s="1">
        <v>50.002000000000002</v>
      </c>
      <c r="AG8" s="1">
        <v>49.999000000000002</v>
      </c>
      <c r="AH8" s="1">
        <v>49.999000000000002</v>
      </c>
      <c r="AI8" s="25">
        <v>50</v>
      </c>
      <c r="AS8" s="1">
        <v>39.999000000000002</v>
      </c>
      <c r="AT8" s="1">
        <v>40.003</v>
      </c>
    </row>
    <row r="9" spans="2:46" x14ac:dyDescent="0.45">
      <c r="B9" s="50">
        <v>3.5</v>
      </c>
      <c r="C9" s="1">
        <v>40.002000000000002</v>
      </c>
      <c r="D9" s="1">
        <v>40.002000000000002</v>
      </c>
      <c r="E9" s="25">
        <v>40.000999999999998</v>
      </c>
      <c r="J9" s="50">
        <v>3.5</v>
      </c>
      <c r="K9" s="1">
        <v>50</v>
      </c>
      <c r="L9" s="1">
        <v>49.997</v>
      </c>
      <c r="M9" s="25">
        <v>50.003999999999998</v>
      </c>
      <c r="S9" s="50">
        <v>3.5</v>
      </c>
      <c r="T9" s="1">
        <v>40.002000000000002</v>
      </c>
      <c r="U9" s="1">
        <v>40</v>
      </c>
      <c r="V9" s="1">
        <v>40</v>
      </c>
      <c r="W9" s="1">
        <v>40.003999999999998</v>
      </c>
      <c r="X9" s="25">
        <v>39.997999999999998</v>
      </c>
      <c r="AD9" s="50">
        <v>3.5</v>
      </c>
      <c r="AE9" s="1">
        <v>50</v>
      </c>
      <c r="AF9" s="1">
        <v>50.003999999999998</v>
      </c>
      <c r="AG9" s="1">
        <v>50</v>
      </c>
      <c r="AH9" s="1">
        <v>50</v>
      </c>
      <c r="AI9" s="25">
        <v>49.999000000000002</v>
      </c>
      <c r="AS9" s="1">
        <v>40.002000000000002</v>
      </c>
      <c r="AT9" s="1">
        <v>40</v>
      </c>
    </row>
    <row r="10" spans="2:46" x14ac:dyDescent="0.45">
      <c r="B10" s="50">
        <v>4.1999999999999993</v>
      </c>
      <c r="C10" s="1">
        <v>40.000999999999998</v>
      </c>
      <c r="D10" s="1">
        <v>40</v>
      </c>
      <c r="E10" s="25">
        <v>39.997999999999998</v>
      </c>
      <c r="J10" s="50">
        <v>4.1999999999999993</v>
      </c>
      <c r="K10" s="1">
        <v>50.002000000000002</v>
      </c>
      <c r="L10" s="1">
        <v>49.999000000000002</v>
      </c>
      <c r="M10" s="25">
        <v>50</v>
      </c>
      <c r="S10" s="50">
        <v>4.1999999999999993</v>
      </c>
      <c r="T10" s="1">
        <v>40</v>
      </c>
      <c r="U10" s="1">
        <v>40.000999999999998</v>
      </c>
      <c r="V10" s="1">
        <v>40.000999999999998</v>
      </c>
      <c r="W10" s="1">
        <v>39.997999999999998</v>
      </c>
      <c r="X10" s="25">
        <v>39.999000000000002</v>
      </c>
      <c r="AD10" s="50">
        <v>4.1999999999999993</v>
      </c>
      <c r="AE10" s="1">
        <v>49.997</v>
      </c>
      <c r="AF10" s="1">
        <v>49.997</v>
      </c>
      <c r="AG10" s="1">
        <v>50.002000000000002</v>
      </c>
      <c r="AH10" s="1">
        <v>50.002000000000002</v>
      </c>
      <c r="AI10" s="25">
        <v>49.999000000000002</v>
      </c>
      <c r="AS10" s="1">
        <v>40.000999999999998</v>
      </c>
      <c r="AT10" s="1">
        <v>40.000999999999998</v>
      </c>
    </row>
    <row r="11" spans="2:46" x14ac:dyDescent="0.45">
      <c r="B11" s="50">
        <v>4.8999999999999995</v>
      </c>
      <c r="C11" s="1">
        <v>39.999000000000002</v>
      </c>
      <c r="D11" s="1">
        <v>40.057000000000002</v>
      </c>
      <c r="E11" s="25">
        <v>40.002000000000002</v>
      </c>
      <c r="J11" s="50">
        <v>4.8999999999999995</v>
      </c>
      <c r="K11" s="1">
        <v>50</v>
      </c>
      <c r="L11" s="1">
        <v>49.999000000000002</v>
      </c>
      <c r="M11" s="25">
        <v>50</v>
      </c>
      <c r="S11" s="50">
        <v>4.8999999999999995</v>
      </c>
      <c r="T11" s="1">
        <v>40.283000000000001</v>
      </c>
      <c r="U11" s="1">
        <v>39.997999999999998</v>
      </c>
      <c r="V11" s="1">
        <v>40</v>
      </c>
      <c r="W11" s="1">
        <v>45.814999999999998</v>
      </c>
      <c r="X11" s="25">
        <v>40.514000000000003</v>
      </c>
      <c r="AD11" s="50">
        <v>4.8999999999999995</v>
      </c>
      <c r="AE11" s="1">
        <v>50</v>
      </c>
      <c r="AF11" s="1">
        <v>49.999000000000002</v>
      </c>
      <c r="AG11" s="1">
        <v>49.999000000000002</v>
      </c>
      <c r="AH11" s="1">
        <v>50.002000000000002</v>
      </c>
      <c r="AI11" s="25">
        <v>49.999000000000002</v>
      </c>
      <c r="AS11" s="1">
        <v>39.999000000000002</v>
      </c>
      <c r="AT11" s="1">
        <v>40</v>
      </c>
    </row>
    <row r="12" spans="2:46" x14ac:dyDescent="0.45">
      <c r="B12" s="50">
        <v>5.6</v>
      </c>
      <c r="C12" s="1">
        <v>42.064</v>
      </c>
      <c r="D12" s="1">
        <v>42.085000000000001</v>
      </c>
      <c r="E12" s="25">
        <v>42.048999999999999</v>
      </c>
      <c r="J12" s="50">
        <v>5.6</v>
      </c>
      <c r="K12" s="1">
        <v>49.999000000000002</v>
      </c>
      <c r="L12" s="1">
        <v>49.999000000000002</v>
      </c>
      <c r="M12" s="25">
        <v>49.997</v>
      </c>
      <c r="S12" s="50">
        <v>5.6</v>
      </c>
      <c r="T12" s="1">
        <v>42.103000000000002</v>
      </c>
      <c r="U12" s="1">
        <v>42.097999999999999</v>
      </c>
      <c r="V12" s="1">
        <v>44.28</v>
      </c>
      <c r="W12" s="1">
        <v>48.741</v>
      </c>
      <c r="X12" s="25">
        <v>41.030999999999999</v>
      </c>
      <c r="AD12" s="50">
        <v>5.6</v>
      </c>
      <c r="AE12" s="1">
        <v>50.002000000000002</v>
      </c>
      <c r="AF12" s="1">
        <v>50</v>
      </c>
      <c r="AG12" s="1">
        <v>50.002000000000002</v>
      </c>
      <c r="AH12" s="1">
        <v>50</v>
      </c>
      <c r="AI12" s="25">
        <v>49.997</v>
      </c>
      <c r="AS12" s="1">
        <v>42.064</v>
      </c>
      <c r="AT12" s="1">
        <v>44.28</v>
      </c>
    </row>
    <row r="13" spans="2:46" x14ac:dyDescent="0.45">
      <c r="B13" s="50">
        <v>6.3</v>
      </c>
      <c r="C13" s="1">
        <v>42.063000000000002</v>
      </c>
      <c r="D13" s="1">
        <v>42.082999999999998</v>
      </c>
      <c r="E13" s="25">
        <v>42.052</v>
      </c>
      <c r="J13" s="50">
        <v>6.3</v>
      </c>
      <c r="K13" s="1">
        <v>49.997</v>
      </c>
      <c r="L13" s="1">
        <v>47.613</v>
      </c>
      <c r="M13" s="25">
        <v>47.628999999999998</v>
      </c>
      <c r="S13" s="50">
        <v>6.3</v>
      </c>
      <c r="T13" s="1">
        <v>42.103999999999999</v>
      </c>
      <c r="U13" s="1">
        <v>42.097999999999999</v>
      </c>
      <c r="V13" s="1">
        <v>44.28</v>
      </c>
      <c r="W13" s="1">
        <v>48.743000000000002</v>
      </c>
      <c r="X13" s="25">
        <v>41.033999999999999</v>
      </c>
      <c r="AD13" s="50">
        <v>6.3</v>
      </c>
      <c r="AE13" s="1">
        <v>48.789000000000001</v>
      </c>
      <c r="AF13" s="1">
        <v>49.847999999999999</v>
      </c>
      <c r="AG13" s="1">
        <v>50.005000000000003</v>
      </c>
      <c r="AH13" s="1">
        <v>50.002000000000002</v>
      </c>
      <c r="AI13" s="25">
        <v>49.999000000000002</v>
      </c>
      <c r="AS13" s="1">
        <v>42.063000000000002</v>
      </c>
      <c r="AT13" s="1">
        <v>44.28</v>
      </c>
    </row>
    <row r="14" spans="2:46" x14ac:dyDescent="0.45">
      <c r="B14" s="50">
        <v>7</v>
      </c>
      <c r="C14" s="1">
        <v>42.061</v>
      </c>
      <c r="D14" s="1">
        <v>42.085999999999999</v>
      </c>
      <c r="E14" s="25">
        <v>42.045999999999999</v>
      </c>
      <c r="J14" s="50">
        <v>7</v>
      </c>
      <c r="K14" s="1">
        <v>47.601999999999997</v>
      </c>
      <c r="L14" s="1">
        <v>47.601999999999997</v>
      </c>
      <c r="M14" s="25">
        <v>47.628999999999998</v>
      </c>
      <c r="S14" s="50">
        <v>7</v>
      </c>
      <c r="T14" s="1">
        <v>42.104999999999997</v>
      </c>
      <c r="U14" s="1">
        <v>42.098999999999997</v>
      </c>
      <c r="V14" s="1">
        <v>44.280999999999999</v>
      </c>
      <c r="W14" s="1">
        <v>48.738999999999997</v>
      </c>
      <c r="X14" s="25">
        <v>41.033999999999999</v>
      </c>
      <c r="AD14" s="50">
        <v>7</v>
      </c>
      <c r="AE14" s="1">
        <v>48.783000000000001</v>
      </c>
      <c r="AF14" s="1">
        <v>49.85</v>
      </c>
      <c r="AG14" s="1">
        <v>45.341999999999999</v>
      </c>
      <c r="AH14" s="1">
        <v>41.066000000000003</v>
      </c>
      <c r="AI14" s="25">
        <v>48.789000000000001</v>
      </c>
      <c r="AS14" s="1">
        <v>42.061</v>
      </c>
      <c r="AT14" s="1">
        <v>44.280999999999999</v>
      </c>
    </row>
    <row r="15" spans="2:46" x14ac:dyDescent="0.45">
      <c r="B15" s="50">
        <v>7.6999999999999993</v>
      </c>
      <c r="C15" s="1">
        <v>42.061999999999998</v>
      </c>
      <c r="D15" s="1">
        <v>42.082999999999998</v>
      </c>
      <c r="E15" s="25">
        <v>42.05</v>
      </c>
      <c r="J15" s="50">
        <v>7.6999999999999993</v>
      </c>
      <c r="K15" s="1">
        <v>47.603000000000002</v>
      </c>
      <c r="L15" s="1">
        <v>47.604999999999997</v>
      </c>
      <c r="M15" s="25">
        <v>47.628</v>
      </c>
      <c r="S15" s="50">
        <v>7.6999999999999993</v>
      </c>
      <c r="T15" s="1">
        <v>42.103000000000002</v>
      </c>
      <c r="U15" s="1">
        <v>42.098999999999997</v>
      </c>
      <c r="V15" s="1">
        <v>44.277000000000001</v>
      </c>
      <c r="W15" s="1">
        <v>48.735999999999997</v>
      </c>
      <c r="X15" s="25">
        <v>41.033999999999999</v>
      </c>
      <c r="AD15" s="50">
        <v>7.6999999999999993</v>
      </c>
      <c r="AE15" s="1">
        <v>48.783000000000001</v>
      </c>
      <c r="AF15" s="1">
        <v>49.847999999999999</v>
      </c>
      <c r="AG15" s="1">
        <v>45.338999999999999</v>
      </c>
      <c r="AH15" s="1">
        <v>41.066000000000003</v>
      </c>
      <c r="AI15" s="25">
        <v>48.789000000000001</v>
      </c>
      <c r="AS15" s="1">
        <v>42.061999999999998</v>
      </c>
      <c r="AT15" s="1">
        <v>44.277000000000001</v>
      </c>
    </row>
    <row r="16" spans="2:46" x14ac:dyDescent="0.45">
      <c r="B16" s="50">
        <v>8.3999999999999986</v>
      </c>
      <c r="C16" s="1">
        <v>42.064</v>
      </c>
      <c r="D16" s="1">
        <v>42.085000000000001</v>
      </c>
      <c r="E16" s="25">
        <v>42.052</v>
      </c>
      <c r="J16" s="50">
        <v>8.3999999999999986</v>
      </c>
      <c r="K16" s="1">
        <v>47.601999999999997</v>
      </c>
      <c r="L16" s="1">
        <v>47.607999999999997</v>
      </c>
      <c r="M16" s="25">
        <v>47.628</v>
      </c>
      <c r="S16" s="50">
        <v>8.3999999999999986</v>
      </c>
      <c r="T16" s="1">
        <v>42.103000000000002</v>
      </c>
      <c r="U16" s="1">
        <v>42.103000000000002</v>
      </c>
      <c r="V16" s="1">
        <v>44.277999999999999</v>
      </c>
      <c r="W16" s="1">
        <v>48.738999999999997</v>
      </c>
      <c r="X16" s="25">
        <v>41.036000000000001</v>
      </c>
      <c r="AD16" s="50">
        <v>8.3999999999999986</v>
      </c>
      <c r="AE16" s="1">
        <v>48.780999999999999</v>
      </c>
      <c r="AF16" s="1">
        <v>49.847999999999999</v>
      </c>
      <c r="AG16" s="1">
        <v>45.34</v>
      </c>
      <c r="AH16" s="1">
        <v>41.066000000000003</v>
      </c>
      <c r="AI16" s="25">
        <v>48.786000000000001</v>
      </c>
      <c r="AS16" s="1">
        <v>42.064</v>
      </c>
      <c r="AT16" s="1">
        <v>44.277999999999999</v>
      </c>
    </row>
    <row r="17" spans="2:46" x14ac:dyDescent="0.45">
      <c r="B17" s="50">
        <v>9.1</v>
      </c>
      <c r="C17" s="1">
        <v>42.064999999999998</v>
      </c>
      <c r="D17" s="1">
        <v>42.082999999999998</v>
      </c>
      <c r="E17" s="25">
        <v>42.045999999999999</v>
      </c>
      <c r="J17" s="50">
        <v>9.1</v>
      </c>
      <c r="K17" s="1">
        <v>47.601999999999997</v>
      </c>
      <c r="L17" s="1">
        <v>47.601999999999997</v>
      </c>
      <c r="M17" s="25">
        <v>47.631</v>
      </c>
      <c r="S17" s="50">
        <v>9.1</v>
      </c>
      <c r="T17" s="1">
        <v>42.106000000000002</v>
      </c>
      <c r="U17" s="1">
        <v>42.098999999999997</v>
      </c>
      <c r="V17" s="1">
        <v>44.277000000000001</v>
      </c>
      <c r="W17" s="1">
        <v>48.743000000000002</v>
      </c>
      <c r="X17" s="25">
        <v>41.030999999999999</v>
      </c>
      <c r="AD17" s="50">
        <v>9.1</v>
      </c>
      <c r="AE17" s="1">
        <v>48.787999999999997</v>
      </c>
      <c r="AF17" s="1">
        <v>49.847000000000001</v>
      </c>
      <c r="AG17" s="1">
        <v>45.338999999999999</v>
      </c>
      <c r="AH17" s="1">
        <v>41.066000000000003</v>
      </c>
      <c r="AI17" s="25">
        <v>48.790999999999997</v>
      </c>
      <c r="AS17" s="1">
        <v>42.064999999999998</v>
      </c>
      <c r="AT17" s="1">
        <v>44.277000000000001</v>
      </c>
    </row>
    <row r="18" spans="2:46" x14ac:dyDescent="0.45">
      <c r="B18" s="50">
        <v>9.7999999999999989</v>
      </c>
      <c r="C18" s="1">
        <v>42.061</v>
      </c>
      <c r="D18" s="1">
        <v>42.081000000000003</v>
      </c>
      <c r="E18" s="25">
        <v>42.048999999999999</v>
      </c>
      <c r="J18" s="50">
        <v>9.7999999999999989</v>
      </c>
      <c r="K18" s="1">
        <v>47.603000000000002</v>
      </c>
      <c r="L18" s="1">
        <v>47.607999999999997</v>
      </c>
      <c r="M18" s="25">
        <v>47.633000000000003</v>
      </c>
      <c r="S18" s="50">
        <v>9.7999999999999989</v>
      </c>
      <c r="T18" s="1">
        <v>42.103000000000002</v>
      </c>
      <c r="U18" s="1">
        <v>42.097999999999999</v>
      </c>
      <c r="V18" s="1">
        <v>44.277999999999999</v>
      </c>
      <c r="W18" s="1">
        <v>48.734999999999999</v>
      </c>
      <c r="X18" s="25">
        <v>41.031999999999996</v>
      </c>
      <c r="AD18" s="50">
        <v>9.7999999999999989</v>
      </c>
      <c r="AE18" s="1">
        <v>48.783000000000001</v>
      </c>
      <c r="AF18" s="1">
        <v>49.85</v>
      </c>
      <c r="AG18" s="1">
        <v>45.338999999999999</v>
      </c>
      <c r="AH18" s="1">
        <v>41.066000000000003</v>
      </c>
      <c r="AI18" s="25">
        <v>48.789000000000001</v>
      </c>
      <c r="AS18" s="1">
        <v>42.061</v>
      </c>
      <c r="AT18" s="1">
        <v>44.277999999999999</v>
      </c>
    </row>
    <row r="19" spans="2:46" x14ac:dyDescent="0.45">
      <c r="B19" s="50">
        <v>10.5</v>
      </c>
      <c r="C19" s="1">
        <v>42.061999999999998</v>
      </c>
      <c r="D19" s="1">
        <v>42.082000000000001</v>
      </c>
      <c r="E19" s="25">
        <v>42.05</v>
      </c>
      <c r="J19" s="50">
        <v>10.5</v>
      </c>
      <c r="K19" s="1">
        <v>47.604999999999997</v>
      </c>
      <c r="L19" s="1">
        <v>47.604999999999997</v>
      </c>
      <c r="M19" s="25">
        <v>47.628999999999998</v>
      </c>
      <c r="S19" s="50">
        <v>10.5</v>
      </c>
      <c r="T19" s="1">
        <v>42.103000000000002</v>
      </c>
      <c r="U19" s="1">
        <v>42.097999999999999</v>
      </c>
      <c r="V19" s="1">
        <v>44.277999999999999</v>
      </c>
      <c r="W19" s="1">
        <v>48.741</v>
      </c>
      <c r="X19" s="25">
        <v>41.036000000000001</v>
      </c>
      <c r="AD19" s="50">
        <v>10.5</v>
      </c>
      <c r="AE19" s="1">
        <v>48.780999999999999</v>
      </c>
      <c r="AF19" s="1">
        <v>49.847999999999999</v>
      </c>
      <c r="AG19" s="1">
        <v>45.338000000000001</v>
      </c>
      <c r="AH19" s="1">
        <v>41.066000000000003</v>
      </c>
      <c r="AI19" s="25">
        <v>48.786000000000001</v>
      </c>
      <c r="AS19" s="1">
        <v>42.061999999999998</v>
      </c>
      <c r="AT19" s="1">
        <v>44.277999999999999</v>
      </c>
    </row>
    <row r="20" spans="2:46" x14ac:dyDescent="0.45">
      <c r="B20" s="50">
        <v>11.2</v>
      </c>
      <c r="C20" s="1">
        <v>42.061999999999998</v>
      </c>
      <c r="D20" s="1">
        <v>42.082999999999998</v>
      </c>
      <c r="E20" s="25">
        <v>42.052999999999997</v>
      </c>
      <c r="J20" s="50">
        <v>11.2</v>
      </c>
      <c r="K20" s="1">
        <v>47.601999999999997</v>
      </c>
      <c r="L20" s="1">
        <v>47.606000000000002</v>
      </c>
      <c r="M20" s="25">
        <v>47.628999999999998</v>
      </c>
      <c r="S20" s="50">
        <v>11.2</v>
      </c>
      <c r="T20" s="1">
        <v>42.103999999999999</v>
      </c>
      <c r="U20" s="1">
        <v>42.094999999999999</v>
      </c>
      <c r="V20" s="1">
        <v>44.280999999999999</v>
      </c>
      <c r="W20" s="1">
        <v>48.734999999999999</v>
      </c>
      <c r="X20" s="25">
        <v>41.033999999999999</v>
      </c>
      <c r="AD20" s="50">
        <v>11.2</v>
      </c>
      <c r="AE20" s="1">
        <v>48.783000000000001</v>
      </c>
      <c r="AF20" s="1">
        <v>49.847000000000001</v>
      </c>
      <c r="AG20" s="1">
        <v>45.338999999999999</v>
      </c>
      <c r="AH20" s="1">
        <v>41.066000000000003</v>
      </c>
      <c r="AI20" s="25">
        <v>48.789000000000001</v>
      </c>
      <c r="AS20" s="1">
        <v>42.061999999999998</v>
      </c>
      <c r="AT20" s="1">
        <v>44.280999999999999</v>
      </c>
    </row>
    <row r="21" spans="2:46" x14ac:dyDescent="0.45">
      <c r="B21" s="50">
        <v>11.899999999999999</v>
      </c>
      <c r="C21" s="1">
        <v>42.064</v>
      </c>
      <c r="D21" s="1">
        <v>42.085999999999999</v>
      </c>
      <c r="E21" s="25">
        <v>42.051000000000002</v>
      </c>
      <c r="J21" s="50">
        <v>11.899999999999999</v>
      </c>
      <c r="K21" s="1">
        <v>47.604999999999997</v>
      </c>
      <c r="L21" s="1">
        <v>47.597000000000001</v>
      </c>
      <c r="M21" s="25">
        <v>47.631</v>
      </c>
      <c r="S21" s="50">
        <v>11.899999999999999</v>
      </c>
      <c r="T21" s="1">
        <v>42.100999999999999</v>
      </c>
      <c r="U21" s="1">
        <v>42.1</v>
      </c>
      <c r="V21" s="1">
        <v>44.277999999999999</v>
      </c>
      <c r="W21" s="1">
        <v>48.738999999999997</v>
      </c>
      <c r="X21" s="25">
        <v>41.033999999999999</v>
      </c>
      <c r="AD21" s="50">
        <v>11.899999999999999</v>
      </c>
      <c r="AE21" s="1">
        <v>48.783000000000001</v>
      </c>
      <c r="AF21" s="1">
        <v>49.85</v>
      </c>
      <c r="AG21" s="1">
        <v>45.34</v>
      </c>
      <c r="AH21" s="1">
        <v>41.064</v>
      </c>
      <c r="AI21" s="25">
        <v>48.786000000000001</v>
      </c>
      <c r="AS21" s="1">
        <v>42.064</v>
      </c>
      <c r="AT21" s="1">
        <v>44.277999999999999</v>
      </c>
    </row>
    <row r="22" spans="2:46" x14ac:dyDescent="0.45">
      <c r="B22" s="50">
        <v>12.6</v>
      </c>
      <c r="C22" s="1">
        <v>42.063000000000002</v>
      </c>
      <c r="D22" s="1">
        <v>42.085999999999999</v>
      </c>
      <c r="E22" s="25">
        <v>42.052999999999997</v>
      </c>
      <c r="J22" s="50">
        <v>12.6</v>
      </c>
      <c r="K22" s="1">
        <v>47.601999999999997</v>
      </c>
      <c r="L22" s="1">
        <v>47.606000000000002</v>
      </c>
      <c r="M22" s="25">
        <v>47.628999999999998</v>
      </c>
      <c r="S22" s="50">
        <v>12.6</v>
      </c>
      <c r="T22" s="1">
        <v>42.104999999999997</v>
      </c>
      <c r="U22" s="1">
        <v>42.097999999999999</v>
      </c>
      <c r="V22" s="1">
        <v>44.277000000000001</v>
      </c>
      <c r="W22" s="1">
        <v>48.738</v>
      </c>
      <c r="X22" s="25">
        <v>41.034999999999997</v>
      </c>
      <c r="AD22" s="50">
        <v>12.6</v>
      </c>
      <c r="AE22" s="1">
        <v>48.776000000000003</v>
      </c>
      <c r="AF22" s="1">
        <v>49.847999999999999</v>
      </c>
      <c r="AG22" s="1">
        <v>45.338000000000001</v>
      </c>
      <c r="AH22" s="1">
        <v>41.064999999999998</v>
      </c>
      <c r="AI22" s="25">
        <v>48.789000000000001</v>
      </c>
      <c r="AS22" s="1">
        <v>42.063000000000002</v>
      </c>
      <c r="AT22" s="1">
        <v>44.277000000000001</v>
      </c>
    </row>
    <row r="23" spans="2:46" x14ac:dyDescent="0.45">
      <c r="B23" s="50">
        <v>13.299999999999999</v>
      </c>
      <c r="C23" s="1">
        <v>42.762999999999998</v>
      </c>
      <c r="D23" s="1">
        <v>42.768000000000001</v>
      </c>
      <c r="E23" s="25">
        <v>42.774000000000001</v>
      </c>
      <c r="J23" s="50">
        <v>13.299999999999999</v>
      </c>
      <c r="K23" s="1">
        <v>47.603000000000002</v>
      </c>
      <c r="L23" s="1">
        <v>47.606000000000002</v>
      </c>
      <c r="M23" s="25">
        <v>47.628</v>
      </c>
      <c r="S23" s="50">
        <v>13.299999999999999</v>
      </c>
      <c r="T23" s="1">
        <v>42.789000000000001</v>
      </c>
      <c r="U23" s="1">
        <v>42.779000000000003</v>
      </c>
      <c r="V23" s="1">
        <v>44.277999999999999</v>
      </c>
      <c r="W23" s="1">
        <v>48.738</v>
      </c>
      <c r="X23" s="25">
        <v>41.918999999999997</v>
      </c>
      <c r="AD23" s="50">
        <v>13.299999999999999</v>
      </c>
      <c r="AE23" s="1">
        <v>48.78</v>
      </c>
      <c r="AF23" s="1">
        <v>49.85</v>
      </c>
      <c r="AG23" s="1">
        <v>45.335000000000001</v>
      </c>
      <c r="AH23" s="1">
        <v>41.067</v>
      </c>
      <c r="AI23" s="25">
        <v>48.786000000000001</v>
      </c>
      <c r="AS23" s="1">
        <v>42.762999999999998</v>
      </c>
      <c r="AT23" s="1">
        <v>44.277999999999999</v>
      </c>
    </row>
    <row r="24" spans="2:46" x14ac:dyDescent="0.45">
      <c r="B24" s="50">
        <v>14</v>
      </c>
      <c r="C24" s="1">
        <v>44.207000000000001</v>
      </c>
      <c r="D24" s="1">
        <v>44.231000000000002</v>
      </c>
      <c r="E24" s="25">
        <v>44.204000000000001</v>
      </c>
      <c r="J24" s="50">
        <v>14</v>
      </c>
      <c r="K24" s="1">
        <v>47.604999999999997</v>
      </c>
      <c r="L24" s="1">
        <v>47.607999999999997</v>
      </c>
      <c r="M24" s="25">
        <v>47.625</v>
      </c>
      <c r="S24" s="50">
        <v>14</v>
      </c>
      <c r="T24" s="1">
        <v>44.293999999999997</v>
      </c>
      <c r="U24" s="1">
        <v>44.280999999999999</v>
      </c>
      <c r="V24" s="1">
        <v>47.533000000000001</v>
      </c>
      <c r="W24" s="1">
        <v>48.738999999999997</v>
      </c>
      <c r="X24" s="25">
        <v>42.097000000000001</v>
      </c>
      <c r="AD24" s="50">
        <v>14</v>
      </c>
      <c r="AE24" s="1">
        <v>48.783999999999999</v>
      </c>
      <c r="AF24" s="1">
        <v>49.85</v>
      </c>
      <c r="AG24" s="1">
        <v>45.335999999999999</v>
      </c>
      <c r="AH24" s="1">
        <v>41.066000000000003</v>
      </c>
      <c r="AI24" s="25">
        <v>48.786000000000001</v>
      </c>
      <c r="AS24" s="1">
        <v>44.207000000000001</v>
      </c>
      <c r="AT24" s="1">
        <v>47.533000000000001</v>
      </c>
    </row>
    <row r="25" spans="2:46" x14ac:dyDescent="0.45">
      <c r="B25" s="50">
        <v>14.7</v>
      </c>
      <c r="C25" s="1">
        <v>44.209000000000003</v>
      </c>
      <c r="D25" s="1">
        <v>44.234999999999999</v>
      </c>
      <c r="E25" s="25">
        <v>44.209000000000003</v>
      </c>
      <c r="J25" s="50">
        <v>14.7</v>
      </c>
      <c r="K25" s="1">
        <v>47.601999999999997</v>
      </c>
      <c r="L25" s="1">
        <v>47.607999999999997</v>
      </c>
      <c r="M25" s="25">
        <v>47.628</v>
      </c>
      <c r="S25" s="50">
        <v>14.7</v>
      </c>
      <c r="T25" s="1">
        <v>44.289000000000001</v>
      </c>
      <c r="U25" s="1">
        <v>44.280999999999999</v>
      </c>
      <c r="V25" s="1">
        <v>47.567999999999998</v>
      </c>
      <c r="W25" s="1">
        <v>49.734000000000002</v>
      </c>
      <c r="X25" s="25">
        <v>42.097000000000001</v>
      </c>
      <c r="AD25" s="50">
        <v>14.7</v>
      </c>
      <c r="AE25" s="1">
        <v>48.783999999999999</v>
      </c>
      <c r="AF25" s="1">
        <v>49.847000000000001</v>
      </c>
      <c r="AG25" s="1">
        <v>45.335999999999999</v>
      </c>
      <c r="AH25" s="1">
        <v>40.143999999999998</v>
      </c>
      <c r="AI25" s="25">
        <v>48.789000000000001</v>
      </c>
      <c r="AS25" s="1">
        <v>44.209000000000003</v>
      </c>
      <c r="AT25" s="1">
        <v>47.567999999999998</v>
      </c>
    </row>
    <row r="26" spans="2:46" x14ac:dyDescent="0.45">
      <c r="B26" s="50">
        <v>15.399999999999999</v>
      </c>
      <c r="C26" s="1">
        <v>44.204999999999998</v>
      </c>
      <c r="D26" s="1">
        <v>44.231999999999999</v>
      </c>
      <c r="E26" s="25">
        <v>44.209000000000003</v>
      </c>
      <c r="J26" s="50">
        <v>15.399999999999999</v>
      </c>
      <c r="K26" s="1">
        <v>47.6</v>
      </c>
      <c r="L26" s="1">
        <v>47.606000000000002</v>
      </c>
      <c r="M26" s="25">
        <v>47.634</v>
      </c>
      <c r="S26" s="50">
        <v>15.399999999999999</v>
      </c>
      <c r="T26" s="1">
        <v>44.287999999999997</v>
      </c>
      <c r="U26" s="1">
        <v>44.28</v>
      </c>
      <c r="V26" s="1">
        <v>47.566000000000003</v>
      </c>
      <c r="W26" s="1">
        <v>50.314</v>
      </c>
      <c r="X26" s="25">
        <v>42.097999999999999</v>
      </c>
      <c r="AD26" s="50">
        <v>15.399999999999999</v>
      </c>
      <c r="AE26" s="1">
        <v>48.783999999999999</v>
      </c>
      <c r="AF26" s="1">
        <v>49.847000000000001</v>
      </c>
      <c r="AG26" s="1">
        <v>43.768000000000001</v>
      </c>
      <c r="AH26" s="1">
        <v>39.941000000000003</v>
      </c>
      <c r="AI26" s="25">
        <v>48.786000000000001</v>
      </c>
      <c r="AS26" s="1">
        <v>44.204999999999998</v>
      </c>
      <c r="AT26" s="1">
        <v>47.566000000000003</v>
      </c>
    </row>
    <row r="27" spans="2:46" x14ac:dyDescent="0.45">
      <c r="B27" s="50">
        <v>16.099999999999998</v>
      </c>
      <c r="C27" s="1">
        <v>44.207000000000001</v>
      </c>
      <c r="D27" s="1">
        <v>44.228000000000002</v>
      </c>
      <c r="E27" s="25">
        <v>44.212000000000003</v>
      </c>
      <c r="J27" s="50">
        <v>16.099999999999998</v>
      </c>
      <c r="K27" s="1">
        <v>45.412999999999997</v>
      </c>
      <c r="L27" s="1">
        <v>45.412999999999997</v>
      </c>
      <c r="M27" s="25">
        <v>45.427999999999997</v>
      </c>
      <c r="S27" s="50">
        <v>16.099999999999998</v>
      </c>
      <c r="T27" s="1">
        <v>44.287999999999997</v>
      </c>
      <c r="U27" s="1">
        <v>44.280999999999999</v>
      </c>
      <c r="V27" s="1">
        <v>47.566000000000003</v>
      </c>
      <c r="W27" s="1">
        <v>50.317999999999998</v>
      </c>
      <c r="X27" s="25">
        <v>42.097000000000001</v>
      </c>
      <c r="AD27" s="50">
        <v>16.099999999999998</v>
      </c>
      <c r="AE27" s="1">
        <v>47.579000000000001</v>
      </c>
      <c r="AF27" s="1">
        <v>49.756999999999998</v>
      </c>
      <c r="AG27" s="1">
        <v>42.412999999999997</v>
      </c>
      <c r="AH27" s="1">
        <v>39.944000000000003</v>
      </c>
      <c r="AI27" s="25">
        <v>48.05</v>
      </c>
      <c r="AS27" s="1">
        <v>44.207000000000001</v>
      </c>
      <c r="AT27" s="1">
        <v>47.566000000000003</v>
      </c>
    </row>
    <row r="28" spans="2:46" x14ac:dyDescent="0.45">
      <c r="B28" s="50">
        <v>16.799999999999997</v>
      </c>
      <c r="C28" s="1">
        <v>44.204000000000001</v>
      </c>
      <c r="D28" s="1">
        <v>44.228999999999999</v>
      </c>
      <c r="E28" s="25">
        <v>44.210999999999999</v>
      </c>
      <c r="J28" s="50">
        <v>16.799999999999997</v>
      </c>
      <c r="K28" s="1">
        <v>45.41</v>
      </c>
      <c r="L28" s="1">
        <v>45.414000000000001</v>
      </c>
      <c r="M28" s="25">
        <v>45.427</v>
      </c>
      <c r="S28" s="50">
        <v>16.799999999999997</v>
      </c>
      <c r="T28" s="1">
        <v>44.29</v>
      </c>
      <c r="U28" s="1">
        <v>44.280999999999999</v>
      </c>
      <c r="V28" s="1">
        <v>47.564999999999998</v>
      </c>
      <c r="W28" s="1">
        <v>50.317999999999998</v>
      </c>
      <c r="X28" s="25">
        <v>42.094999999999999</v>
      </c>
      <c r="AD28" s="50">
        <v>16.799999999999997</v>
      </c>
      <c r="AE28" s="1">
        <v>47.582999999999998</v>
      </c>
      <c r="AF28" s="1">
        <v>49.697000000000003</v>
      </c>
      <c r="AG28" s="1">
        <v>42.412999999999997</v>
      </c>
      <c r="AH28" s="1">
        <v>39.942999999999998</v>
      </c>
      <c r="AI28" s="25">
        <v>47.598999999999997</v>
      </c>
      <c r="AS28" s="1">
        <v>44.204000000000001</v>
      </c>
      <c r="AT28" s="1">
        <v>47.564999999999998</v>
      </c>
    </row>
    <row r="29" spans="2:46" x14ac:dyDescent="0.45">
      <c r="B29" s="50">
        <v>17.5</v>
      </c>
      <c r="C29" s="1">
        <v>44.203000000000003</v>
      </c>
      <c r="D29" s="1">
        <v>44.228999999999999</v>
      </c>
      <c r="E29" s="25">
        <v>44.210999999999999</v>
      </c>
      <c r="J29" s="50">
        <v>17.5</v>
      </c>
      <c r="K29" s="1">
        <v>45.408999999999999</v>
      </c>
      <c r="L29" s="1">
        <v>45.414000000000001</v>
      </c>
      <c r="M29" s="25">
        <v>45.423999999999999</v>
      </c>
      <c r="S29" s="50">
        <v>17.5</v>
      </c>
      <c r="T29" s="1">
        <v>44.287999999999997</v>
      </c>
      <c r="U29" s="1">
        <v>44.280999999999999</v>
      </c>
      <c r="V29" s="1">
        <v>47.567999999999998</v>
      </c>
      <c r="W29" s="1">
        <v>50.316000000000003</v>
      </c>
      <c r="X29" s="25">
        <v>42.098999999999997</v>
      </c>
      <c r="AD29" s="50">
        <v>17.5</v>
      </c>
      <c r="AE29" s="1">
        <v>47.58</v>
      </c>
      <c r="AF29" s="1">
        <v>49.697000000000003</v>
      </c>
      <c r="AG29" s="1">
        <v>42.412999999999997</v>
      </c>
      <c r="AH29" s="1">
        <v>39.942999999999998</v>
      </c>
      <c r="AI29" s="25">
        <v>47.594000000000001</v>
      </c>
      <c r="AS29" s="1">
        <v>44.203000000000003</v>
      </c>
      <c r="AT29" s="1">
        <v>47.567999999999998</v>
      </c>
    </row>
    <row r="30" spans="2:46" x14ac:dyDescent="0.45">
      <c r="B30" s="50">
        <v>18.2</v>
      </c>
      <c r="C30" s="1">
        <v>44.203000000000003</v>
      </c>
      <c r="D30" s="1">
        <v>44.228999999999999</v>
      </c>
      <c r="E30" s="25">
        <v>44.213000000000001</v>
      </c>
      <c r="J30" s="50">
        <v>18.2</v>
      </c>
      <c r="K30" s="1">
        <v>45.411999999999999</v>
      </c>
      <c r="L30" s="1">
        <v>45.414000000000001</v>
      </c>
      <c r="M30" s="25">
        <v>45.43</v>
      </c>
      <c r="S30" s="50">
        <v>18.2</v>
      </c>
      <c r="T30" s="1">
        <v>44.292999999999999</v>
      </c>
      <c r="U30" s="1">
        <v>44.277999999999999</v>
      </c>
      <c r="V30" s="1">
        <v>47.564999999999998</v>
      </c>
      <c r="W30" s="1">
        <v>50.316000000000003</v>
      </c>
      <c r="X30" s="25">
        <v>42.097999999999999</v>
      </c>
      <c r="AD30" s="50">
        <v>18.2</v>
      </c>
      <c r="AE30" s="1">
        <v>47.585000000000001</v>
      </c>
      <c r="AF30" s="1">
        <v>49.698999999999998</v>
      </c>
      <c r="AG30" s="1">
        <v>42.411000000000001</v>
      </c>
      <c r="AH30" s="1">
        <v>39.94</v>
      </c>
      <c r="AI30" s="25">
        <v>47.6</v>
      </c>
      <c r="AS30" s="1">
        <v>44.203000000000003</v>
      </c>
      <c r="AT30" s="1">
        <v>47.564999999999998</v>
      </c>
    </row>
    <row r="31" spans="2:46" x14ac:dyDescent="0.45">
      <c r="B31" s="50">
        <v>18.899999999999999</v>
      </c>
      <c r="C31" s="1">
        <v>44.204000000000001</v>
      </c>
      <c r="D31" s="1">
        <v>44.228000000000002</v>
      </c>
      <c r="E31" s="25">
        <v>44.212000000000003</v>
      </c>
      <c r="J31" s="50">
        <v>18.899999999999999</v>
      </c>
      <c r="K31" s="1">
        <v>45.411999999999999</v>
      </c>
      <c r="L31" s="1">
        <v>45.414000000000001</v>
      </c>
      <c r="M31" s="25">
        <v>45.426000000000002</v>
      </c>
      <c r="S31" s="50">
        <v>18.899999999999999</v>
      </c>
      <c r="T31" s="1">
        <v>44.292000000000002</v>
      </c>
      <c r="U31" s="1">
        <v>44.281999999999996</v>
      </c>
      <c r="V31" s="1">
        <v>47.57</v>
      </c>
      <c r="W31" s="1">
        <v>50.314</v>
      </c>
      <c r="X31" s="25">
        <v>42.098999999999997</v>
      </c>
      <c r="AD31" s="50">
        <v>18.899999999999999</v>
      </c>
      <c r="AE31" s="1">
        <v>47.582000000000001</v>
      </c>
      <c r="AF31" s="1">
        <v>49.698999999999998</v>
      </c>
      <c r="AG31" s="1">
        <v>42.411000000000001</v>
      </c>
      <c r="AH31" s="1">
        <v>39.942999999999998</v>
      </c>
      <c r="AI31" s="25">
        <v>47.6</v>
      </c>
      <c r="AS31" s="1">
        <v>44.204000000000001</v>
      </c>
      <c r="AT31" s="1">
        <v>47.57</v>
      </c>
    </row>
    <row r="32" spans="2:46" x14ac:dyDescent="0.45">
      <c r="B32" s="50">
        <v>19.599999999999998</v>
      </c>
      <c r="C32" s="1">
        <v>44.207000000000001</v>
      </c>
      <c r="D32" s="1">
        <v>44.231999999999999</v>
      </c>
      <c r="E32" s="25">
        <v>44.209000000000003</v>
      </c>
      <c r="J32" s="50">
        <v>19.599999999999998</v>
      </c>
      <c r="K32" s="1">
        <v>45.411999999999999</v>
      </c>
      <c r="L32" s="1">
        <v>45.412999999999997</v>
      </c>
      <c r="M32" s="25">
        <v>45.427</v>
      </c>
      <c r="S32" s="50">
        <v>19.599999999999998</v>
      </c>
      <c r="T32" s="1">
        <v>44.29</v>
      </c>
      <c r="U32" s="1">
        <v>44.28</v>
      </c>
      <c r="V32" s="1">
        <v>47.57</v>
      </c>
      <c r="W32" s="1">
        <v>50.314</v>
      </c>
      <c r="X32" s="25">
        <v>42.097000000000001</v>
      </c>
      <c r="AD32" s="50">
        <v>19.599999999999998</v>
      </c>
      <c r="AE32" s="1">
        <v>47.582000000000001</v>
      </c>
      <c r="AF32" s="1">
        <v>49.697000000000003</v>
      </c>
      <c r="AG32" s="1">
        <v>42.411000000000001</v>
      </c>
      <c r="AH32" s="1">
        <v>39.941000000000003</v>
      </c>
      <c r="AI32" s="25">
        <v>47.598999999999997</v>
      </c>
      <c r="AS32" s="1">
        <v>44.207000000000001</v>
      </c>
      <c r="AT32" s="1">
        <v>47.57</v>
      </c>
    </row>
    <row r="33" spans="2:46" x14ac:dyDescent="0.45">
      <c r="B33" s="50">
        <v>20.299999999999997</v>
      </c>
      <c r="C33" s="1">
        <v>44.207999999999998</v>
      </c>
      <c r="D33" s="1">
        <v>44.228000000000002</v>
      </c>
      <c r="E33" s="25">
        <v>44.212000000000003</v>
      </c>
      <c r="J33" s="50">
        <v>20.299999999999997</v>
      </c>
      <c r="K33" s="1">
        <v>45.411999999999999</v>
      </c>
      <c r="L33" s="1">
        <v>45.417000000000002</v>
      </c>
      <c r="M33" s="25">
        <v>45.427</v>
      </c>
      <c r="S33" s="50">
        <v>20.299999999999997</v>
      </c>
      <c r="T33" s="1">
        <v>44.287999999999997</v>
      </c>
      <c r="U33" s="1">
        <v>44.280999999999999</v>
      </c>
      <c r="V33" s="1">
        <v>47.563000000000002</v>
      </c>
      <c r="W33" s="1">
        <v>50.316000000000003</v>
      </c>
      <c r="X33" s="25">
        <v>42.1</v>
      </c>
      <c r="AD33" s="50">
        <v>20.299999999999997</v>
      </c>
      <c r="AE33" s="1">
        <v>47.582000000000001</v>
      </c>
      <c r="AF33" s="1">
        <v>49.698999999999998</v>
      </c>
      <c r="AG33" s="1">
        <v>42.414000000000001</v>
      </c>
      <c r="AH33" s="1">
        <v>39.942999999999998</v>
      </c>
      <c r="AI33" s="25">
        <v>47.598999999999997</v>
      </c>
      <c r="AS33" s="1">
        <v>44.207999999999998</v>
      </c>
      <c r="AT33" s="1">
        <v>47.563000000000002</v>
      </c>
    </row>
    <row r="34" spans="2:46" x14ac:dyDescent="0.45">
      <c r="B34" s="50">
        <v>21</v>
      </c>
      <c r="C34" s="1">
        <v>44.207999999999998</v>
      </c>
      <c r="D34" s="1">
        <v>44.231999999999999</v>
      </c>
      <c r="E34" s="25">
        <v>44.213000000000001</v>
      </c>
      <c r="J34" s="50">
        <v>21</v>
      </c>
      <c r="K34" s="1">
        <v>45.408999999999999</v>
      </c>
      <c r="L34" s="1">
        <v>45.417000000000002</v>
      </c>
      <c r="M34" s="25">
        <v>45.427</v>
      </c>
      <c r="S34" s="50">
        <v>21</v>
      </c>
      <c r="T34" s="1">
        <v>44.289000000000001</v>
      </c>
      <c r="U34" s="1">
        <v>44.277000000000001</v>
      </c>
      <c r="V34" s="1">
        <v>47.564999999999998</v>
      </c>
      <c r="W34" s="1">
        <v>50.314</v>
      </c>
      <c r="X34" s="25">
        <v>42.097000000000001</v>
      </c>
      <c r="AD34" s="50">
        <v>21</v>
      </c>
      <c r="AE34" s="1">
        <v>47.585000000000001</v>
      </c>
      <c r="AF34" s="1">
        <v>49.697000000000003</v>
      </c>
      <c r="AG34" s="1">
        <v>42.411000000000001</v>
      </c>
      <c r="AH34" s="1">
        <v>39.944000000000003</v>
      </c>
      <c r="AI34" s="25">
        <v>47.6</v>
      </c>
      <c r="AS34" s="1">
        <v>44.207999999999998</v>
      </c>
      <c r="AT34" s="1">
        <v>47.564999999999998</v>
      </c>
    </row>
    <row r="35" spans="2:46" x14ac:dyDescent="0.45">
      <c r="B35" s="50">
        <v>21.7</v>
      </c>
      <c r="C35" s="1">
        <v>44.204999999999998</v>
      </c>
      <c r="D35" s="1">
        <v>44.231999999999999</v>
      </c>
      <c r="E35" s="25">
        <v>44.210999999999999</v>
      </c>
      <c r="J35" s="50">
        <v>21.7</v>
      </c>
      <c r="K35" s="1">
        <v>45.406999999999996</v>
      </c>
      <c r="L35" s="1">
        <v>45.412999999999997</v>
      </c>
      <c r="M35" s="25">
        <v>45.427</v>
      </c>
      <c r="S35" s="50">
        <v>21.7</v>
      </c>
      <c r="T35" s="1">
        <v>44.286000000000001</v>
      </c>
      <c r="U35" s="1">
        <v>44.280999999999999</v>
      </c>
      <c r="V35" s="1">
        <v>47.563000000000002</v>
      </c>
      <c r="W35" s="1">
        <v>50.316000000000003</v>
      </c>
      <c r="X35" s="25">
        <v>42.988</v>
      </c>
      <c r="AD35" s="50">
        <v>21.7</v>
      </c>
      <c r="AE35" s="1">
        <v>47.585000000000001</v>
      </c>
      <c r="AF35" s="1">
        <v>49.7</v>
      </c>
      <c r="AG35" s="1">
        <v>42.414000000000001</v>
      </c>
      <c r="AH35" s="1">
        <v>39.944000000000003</v>
      </c>
      <c r="AI35" s="25">
        <v>47.595999999999997</v>
      </c>
      <c r="AS35" s="1">
        <v>44.204999999999998</v>
      </c>
      <c r="AT35" s="1">
        <v>47.563000000000002</v>
      </c>
    </row>
    <row r="36" spans="2:46" x14ac:dyDescent="0.45">
      <c r="B36" s="50">
        <v>22.4</v>
      </c>
      <c r="C36" s="1">
        <v>45.798000000000002</v>
      </c>
      <c r="D36" s="1">
        <v>45.820999999999998</v>
      </c>
      <c r="E36" s="25">
        <v>45.841999999999999</v>
      </c>
      <c r="J36" s="50">
        <v>22.4</v>
      </c>
      <c r="K36" s="1">
        <v>45.408999999999999</v>
      </c>
      <c r="L36" s="1">
        <v>45.415999999999997</v>
      </c>
      <c r="M36" s="25">
        <v>45.427999999999997</v>
      </c>
      <c r="S36" s="50">
        <v>22.4</v>
      </c>
      <c r="T36" s="1">
        <v>45.878999999999998</v>
      </c>
      <c r="U36" s="1">
        <v>45.874000000000002</v>
      </c>
      <c r="V36" s="1">
        <v>47.564999999999998</v>
      </c>
      <c r="W36" s="1">
        <v>50.316000000000003</v>
      </c>
      <c r="X36" s="25">
        <v>43.183999999999997</v>
      </c>
      <c r="AD36" s="50">
        <v>22.4</v>
      </c>
      <c r="AE36" s="1">
        <v>47.582999999999998</v>
      </c>
      <c r="AF36" s="1">
        <v>49.695</v>
      </c>
      <c r="AG36" s="1">
        <v>42.412999999999997</v>
      </c>
      <c r="AH36" s="1">
        <v>39.950000000000003</v>
      </c>
      <c r="AI36" s="25">
        <v>47.597000000000001</v>
      </c>
      <c r="AS36" s="1">
        <v>45.798000000000002</v>
      </c>
      <c r="AT36" s="1">
        <v>47.564999999999998</v>
      </c>
    </row>
    <row r="37" spans="2:46" x14ac:dyDescent="0.45">
      <c r="B37" s="50">
        <v>23.099999999999998</v>
      </c>
      <c r="C37" s="1">
        <v>45.807000000000002</v>
      </c>
      <c r="D37" s="1">
        <v>45.826999999999998</v>
      </c>
      <c r="E37" s="25">
        <v>45.848999999999997</v>
      </c>
      <c r="J37" s="50">
        <v>23.099999999999998</v>
      </c>
      <c r="K37" s="1">
        <v>45.405999999999999</v>
      </c>
      <c r="L37" s="1">
        <v>45.417000000000002</v>
      </c>
      <c r="M37" s="25">
        <v>45.427999999999997</v>
      </c>
      <c r="S37" s="50">
        <v>23.099999999999998</v>
      </c>
      <c r="T37" s="1">
        <v>45.893999999999998</v>
      </c>
      <c r="U37" s="1">
        <v>45.887999999999998</v>
      </c>
      <c r="V37" s="1">
        <v>47.564999999999998</v>
      </c>
      <c r="W37" s="1">
        <v>50.314</v>
      </c>
      <c r="X37" s="25">
        <v>43.183999999999997</v>
      </c>
      <c r="AD37" s="50">
        <v>23.099999999999998</v>
      </c>
      <c r="AE37" s="1">
        <v>47.58</v>
      </c>
      <c r="AF37" s="1">
        <v>49.694000000000003</v>
      </c>
      <c r="AG37" s="1">
        <v>42.411000000000001</v>
      </c>
      <c r="AH37" s="1">
        <v>40.002000000000002</v>
      </c>
      <c r="AI37" s="25">
        <v>47.6</v>
      </c>
      <c r="AS37" s="1">
        <v>45.807000000000002</v>
      </c>
      <c r="AT37" s="1">
        <v>47.564999999999998</v>
      </c>
    </row>
    <row r="38" spans="2:46" x14ac:dyDescent="0.45">
      <c r="B38" s="50">
        <v>23.799999999999997</v>
      </c>
      <c r="C38" s="1">
        <v>45.807000000000002</v>
      </c>
      <c r="D38" s="1">
        <v>45.828000000000003</v>
      </c>
      <c r="E38" s="25">
        <v>45.844999999999999</v>
      </c>
      <c r="J38" s="50">
        <v>23.799999999999997</v>
      </c>
      <c r="K38" s="1">
        <v>45.411999999999999</v>
      </c>
      <c r="L38" s="1">
        <v>45.415999999999997</v>
      </c>
      <c r="M38" s="25">
        <v>45.427</v>
      </c>
      <c r="S38" s="50">
        <v>23.799999999999997</v>
      </c>
      <c r="T38" s="1">
        <v>45.892000000000003</v>
      </c>
      <c r="U38" s="1">
        <v>45.887999999999998</v>
      </c>
      <c r="V38" s="1">
        <v>49.06</v>
      </c>
      <c r="W38" s="1">
        <v>50.314</v>
      </c>
      <c r="X38" s="25">
        <v>43.185000000000002</v>
      </c>
      <c r="AD38" s="50">
        <v>23.799999999999997</v>
      </c>
      <c r="AE38" s="1">
        <v>47.585999999999999</v>
      </c>
      <c r="AF38" s="1">
        <v>49.7</v>
      </c>
      <c r="AG38" s="1">
        <v>42.183</v>
      </c>
      <c r="AH38" s="1">
        <v>39.999000000000002</v>
      </c>
      <c r="AI38" s="25">
        <v>47.595999999999997</v>
      </c>
      <c r="AS38" s="1">
        <v>45.807000000000002</v>
      </c>
      <c r="AT38" s="1">
        <v>49.06</v>
      </c>
    </row>
    <row r="39" spans="2:46" x14ac:dyDescent="0.45">
      <c r="B39" s="50">
        <v>24.5</v>
      </c>
      <c r="C39" s="1">
        <v>45.805</v>
      </c>
      <c r="D39" s="1">
        <v>45.829000000000001</v>
      </c>
      <c r="E39" s="25">
        <v>45.851999999999997</v>
      </c>
      <c r="J39" s="50">
        <v>24.5</v>
      </c>
      <c r="K39" s="1">
        <v>45.405999999999999</v>
      </c>
      <c r="L39" s="1">
        <v>44.677</v>
      </c>
      <c r="M39" s="25">
        <v>44.68</v>
      </c>
      <c r="S39" s="50">
        <v>24.5</v>
      </c>
      <c r="T39" s="1">
        <v>45.892000000000003</v>
      </c>
      <c r="U39" s="1">
        <v>45.887999999999998</v>
      </c>
      <c r="V39" s="1">
        <v>49.057000000000002</v>
      </c>
      <c r="W39" s="1">
        <v>50.317999999999998</v>
      </c>
      <c r="X39" s="25">
        <v>43.18</v>
      </c>
      <c r="AD39" s="50">
        <v>24.5</v>
      </c>
      <c r="AE39" s="1">
        <v>47.585000000000001</v>
      </c>
      <c r="AF39" s="1">
        <v>49.704000000000001</v>
      </c>
      <c r="AG39" s="1">
        <v>41.115000000000002</v>
      </c>
      <c r="AH39" s="1">
        <v>40</v>
      </c>
      <c r="AI39" s="25">
        <v>47.6</v>
      </c>
      <c r="AS39" s="1">
        <v>45.805</v>
      </c>
      <c r="AT39" s="1">
        <v>49.057000000000002</v>
      </c>
    </row>
    <row r="40" spans="2:46" x14ac:dyDescent="0.45">
      <c r="B40" s="50">
        <v>25.2</v>
      </c>
      <c r="C40" s="1">
        <v>45.807000000000002</v>
      </c>
      <c r="D40" s="1">
        <v>45.832000000000001</v>
      </c>
      <c r="E40" s="25">
        <v>45.845999999999997</v>
      </c>
      <c r="J40" s="50">
        <v>25.2</v>
      </c>
      <c r="K40" s="1">
        <v>43.954000000000001</v>
      </c>
      <c r="L40" s="1">
        <v>43.923999999999999</v>
      </c>
      <c r="M40" s="25">
        <v>43.896999999999998</v>
      </c>
      <c r="S40" s="50">
        <v>25.2</v>
      </c>
      <c r="T40" s="1">
        <v>45.892000000000003</v>
      </c>
      <c r="U40" s="1">
        <v>45.886000000000003</v>
      </c>
      <c r="V40" s="1">
        <v>49.057000000000002</v>
      </c>
      <c r="W40" s="1">
        <v>49.930999999999997</v>
      </c>
      <c r="X40" s="25">
        <v>43.180999999999997</v>
      </c>
      <c r="AD40" s="50">
        <v>25.2</v>
      </c>
      <c r="AE40" s="1">
        <v>47.588000000000001</v>
      </c>
      <c r="AF40" s="1">
        <v>49.701999999999998</v>
      </c>
      <c r="AG40" s="1">
        <v>41.119</v>
      </c>
      <c r="AH40" s="1">
        <v>39.997</v>
      </c>
      <c r="AI40" s="25">
        <v>47.598999999999997</v>
      </c>
      <c r="AS40" s="1">
        <v>45.807000000000002</v>
      </c>
      <c r="AT40" s="1">
        <v>49.057000000000002</v>
      </c>
    </row>
    <row r="41" spans="2:46" x14ac:dyDescent="0.45">
      <c r="B41" s="50">
        <v>25.9</v>
      </c>
      <c r="C41" s="1">
        <v>45.807000000000002</v>
      </c>
      <c r="D41" s="1">
        <v>45.828000000000003</v>
      </c>
      <c r="E41" s="25">
        <v>45.848999999999997</v>
      </c>
      <c r="J41" s="50">
        <v>25.9</v>
      </c>
      <c r="K41" s="1">
        <v>43.923999999999999</v>
      </c>
      <c r="L41" s="1">
        <v>43.92</v>
      </c>
      <c r="M41" s="25">
        <v>43.899000000000001</v>
      </c>
      <c r="S41" s="50">
        <v>25.9</v>
      </c>
      <c r="T41" s="1">
        <v>45.893999999999998</v>
      </c>
      <c r="U41" s="1">
        <v>45.884999999999998</v>
      </c>
      <c r="V41" s="1">
        <v>49.06</v>
      </c>
      <c r="W41" s="1">
        <v>49.933999999999997</v>
      </c>
      <c r="X41" s="25">
        <v>43.18</v>
      </c>
      <c r="AD41" s="50">
        <v>25.9</v>
      </c>
      <c r="AE41" s="1">
        <v>46.46</v>
      </c>
      <c r="AF41" s="1">
        <v>49.668999999999997</v>
      </c>
      <c r="AG41" s="1">
        <v>41.12</v>
      </c>
      <c r="AH41" s="1">
        <v>39.997999999999998</v>
      </c>
      <c r="AI41" s="25">
        <v>46.447000000000003</v>
      </c>
      <c r="AS41" s="1">
        <v>45.807000000000002</v>
      </c>
      <c r="AT41" s="1">
        <v>49.06</v>
      </c>
    </row>
    <row r="42" spans="2:46" x14ac:dyDescent="0.45">
      <c r="B42" s="50">
        <v>26.599999999999998</v>
      </c>
      <c r="C42" s="1">
        <v>45.808999999999997</v>
      </c>
      <c r="D42" s="1">
        <v>45.829000000000001</v>
      </c>
      <c r="E42" s="25">
        <v>45.848999999999997</v>
      </c>
      <c r="J42" s="50">
        <v>26.599999999999998</v>
      </c>
      <c r="K42" s="1">
        <v>43.920999999999999</v>
      </c>
      <c r="L42" s="1">
        <v>43.923999999999999</v>
      </c>
      <c r="M42" s="25">
        <v>43.896999999999998</v>
      </c>
      <c r="S42" s="50">
        <v>26.599999999999998</v>
      </c>
      <c r="T42" s="1">
        <v>45.893999999999998</v>
      </c>
      <c r="U42" s="1">
        <v>45.884</v>
      </c>
      <c r="V42" s="1">
        <v>49.06</v>
      </c>
      <c r="W42" s="1">
        <v>49.936</v>
      </c>
      <c r="X42" s="25">
        <v>43.18</v>
      </c>
      <c r="AD42" s="50">
        <v>26.599999999999998</v>
      </c>
      <c r="AE42" s="1">
        <v>46.463000000000001</v>
      </c>
      <c r="AF42" s="1">
        <v>49.546999999999997</v>
      </c>
      <c r="AG42" s="1">
        <v>41.12</v>
      </c>
      <c r="AH42" s="1">
        <v>39.999000000000002</v>
      </c>
      <c r="AI42" s="25">
        <v>46.447000000000003</v>
      </c>
      <c r="AS42" s="1">
        <v>45.808999999999997</v>
      </c>
      <c r="AT42" s="1">
        <v>49.06</v>
      </c>
    </row>
    <row r="43" spans="2:46" x14ac:dyDescent="0.45">
      <c r="B43" s="50">
        <v>27.299999999999997</v>
      </c>
      <c r="C43" s="1">
        <v>45.807000000000002</v>
      </c>
      <c r="D43" s="1">
        <v>45.828000000000003</v>
      </c>
      <c r="E43" s="25">
        <v>45.847999999999999</v>
      </c>
      <c r="J43" s="50">
        <v>27.299999999999997</v>
      </c>
      <c r="K43" s="1">
        <v>43.923999999999999</v>
      </c>
      <c r="L43" s="1">
        <v>43.921999999999997</v>
      </c>
      <c r="M43" s="25">
        <v>43.899000000000001</v>
      </c>
      <c r="S43" s="50">
        <v>27.299999999999997</v>
      </c>
      <c r="T43" s="1">
        <v>45.898000000000003</v>
      </c>
      <c r="U43" s="1">
        <v>45.886000000000003</v>
      </c>
      <c r="V43" s="1">
        <v>49.058999999999997</v>
      </c>
      <c r="W43" s="1">
        <v>49.933</v>
      </c>
      <c r="X43" s="25">
        <v>43.180999999999997</v>
      </c>
      <c r="AD43" s="50">
        <v>27.299999999999997</v>
      </c>
      <c r="AE43" s="1">
        <v>46.462000000000003</v>
      </c>
      <c r="AF43" s="1">
        <v>49.542999999999999</v>
      </c>
      <c r="AG43" s="1">
        <v>41.122</v>
      </c>
      <c r="AH43" s="1">
        <v>40.000999999999998</v>
      </c>
      <c r="AI43" s="25">
        <v>46.444000000000003</v>
      </c>
      <c r="AS43" s="1">
        <v>45.807000000000002</v>
      </c>
      <c r="AT43" s="1">
        <v>49.058999999999997</v>
      </c>
    </row>
    <row r="44" spans="2:46" x14ac:dyDescent="0.45">
      <c r="B44" s="50">
        <v>28</v>
      </c>
      <c r="C44" s="1">
        <v>45.808999999999997</v>
      </c>
      <c r="D44" s="1">
        <v>45.825000000000003</v>
      </c>
      <c r="E44" s="25">
        <v>45.848999999999997</v>
      </c>
      <c r="J44" s="50">
        <v>28</v>
      </c>
      <c r="K44" s="1">
        <v>43.920999999999999</v>
      </c>
      <c r="L44" s="1">
        <v>43.923999999999999</v>
      </c>
      <c r="M44" s="25">
        <v>43.899000000000001</v>
      </c>
      <c r="S44" s="50">
        <v>28</v>
      </c>
      <c r="T44" s="1">
        <v>45.896000000000001</v>
      </c>
      <c r="U44" s="1">
        <v>45.884999999999998</v>
      </c>
      <c r="V44" s="1">
        <v>49.064</v>
      </c>
      <c r="W44" s="1">
        <v>49.933999999999997</v>
      </c>
      <c r="X44" s="25">
        <v>43.180999999999997</v>
      </c>
      <c r="AD44" s="50">
        <v>28</v>
      </c>
      <c r="AE44" s="1">
        <v>46.46</v>
      </c>
      <c r="AF44" s="1">
        <v>49.546999999999997</v>
      </c>
      <c r="AG44" s="1">
        <v>41.12</v>
      </c>
      <c r="AH44" s="1">
        <v>40</v>
      </c>
      <c r="AI44" s="25">
        <v>46.447000000000003</v>
      </c>
      <c r="AS44" s="1">
        <v>45.808999999999997</v>
      </c>
      <c r="AT44" s="1">
        <v>49.064</v>
      </c>
    </row>
    <row r="45" spans="2:46" x14ac:dyDescent="0.45">
      <c r="B45" s="50">
        <v>28.7</v>
      </c>
      <c r="C45" s="1">
        <v>45.811</v>
      </c>
      <c r="D45" s="1">
        <v>45.826999999999998</v>
      </c>
      <c r="E45" s="25">
        <v>45.850999999999999</v>
      </c>
      <c r="J45" s="50">
        <v>28.7</v>
      </c>
      <c r="K45" s="1">
        <v>43.92</v>
      </c>
      <c r="L45" s="1">
        <v>43.921999999999997</v>
      </c>
      <c r="M45" s="25">
        <v>43.899000000000001</v>
      </c>
      <c r="S45" s="50">
        <v>28.7</v>
      </c>
      <c r="T45" s="1">
        <v>45.892000000000003</v>
      </c>
      <c r="U45" s="1">
        <v>45.886000000000003</v>
      </c>
      <c r="V45" s="1">
        <v>49.058999999999997</v>
      </c>
      <c r="W45" s="1">
        <v>49.933</v>
      </c>
      <c r="X45" s="25">
        <v>43.180999999999997</v>
      </c>
      <c r="AD45" s="50">
        <v>28.7</v>
      </c>
      <c r="AE45" s="1">
        <v>46.463000000000001</v>
      </c>
      <c r="AF45" s="1">
        <v>49.55</v>
      </c>
      <c r="AG45" s="1">
        <v>41.121000000000002</v>
      </c>
      <c r="AH45" s="1">
        <v>40</v>
      </c>
      <c r="AI45" s="25">
        <v>46.448999999999998</v>
      </c>
      <c r="AS45" s="1">
        <v>45.811</v>
      </c>
      <c r="AT45" s="1">
        <v>49.058999999999997</v>
      </c>
    </row>
    <row r="46" spans="2:46" x14ac:dyDescent="0.45">
      <c r="B46" s="50">
        <v>29.4</v>
      </c>
      <c r="C46" s="1">
        <v>45.804000000000002</v>
      </c>
      <c r="D46" s="1">
        <v>45.831000000000003</v>
      </c>
      <c r="E46" s="25">
        <v>45.845999999999997</v>
      </c>
      <c r="J46" s="50">
        <v>29.4</v>
      </c>
      <c r="K46" s="1">
        <v>43.917999999999999</v>
      </c>
      <c r="L46" s="1">
        <v>43.921999999999997</v>
      </c>
      <c r="M46" s="25">
        <v>43.9</v>
      </c>
      <c r="S46" s="50">
        <v>29.4</v>
      </c>
      <c r="T46" s="1">
        <v>45.893999999999998</v>
      </c>
      <c r="U46" s="1">
        <v>45.886000000000003</v>
      </c>
      <c r="V46" s="1">
        <v>49.06</v>
      </c>
      <c r="W46" s="1">
        <v>49.933</v>
      </c>
      <c r="X46" s="25">
        <v>43.180999999999997</v>
      </c>
      <c r="AD46" s="50">
        <v>29.4</v>
      </c>
      <c r="AE46" s="1">
        <v>46.462000000000003</v>
      </c>
      <c r="AF46" s="1">
        <v>49.546999999999997</v>
      </c>
      <c r="AG46" s="1">
        <v>41.12</v>
      </c>
      <c r="AH46" s="1">
        <v>39.999000000000002</v>
      </c>
      <c r="AI46" s="25">
        <v>46.445999999999998</v>
      </c>
      <c r="AS46" s="1">
        <v>45.804000000000002</v>
      </c>
      <c r="AT46" s="1">
        <v>49.06</v>
      </c>
    </row>
    <row r="47" spans="2:46" x14ac:dyDescent="0.45">
      <c r="B47" s="50">
        <v>30.099999999999998</v>
      </c>
      <c r="C47" s="1">
        <v>45.808</v>
      </c>
      <c r="D47" s="1">
        <v>45.829000000000001</v>
      </c>
      <c r="E47" s="25">
        <v>45.845999999999997</v>
      </c>
      <c r="J47" s="50">
        <v>30.099999999999998</v>
      </c>
      <c r="K47" s="1">
        <v>43.920999999999999</v>
      </c>
      <c r="L47" s="1">
        <v>43.921999999999997</v>
      </c>
      <c r="M47" s="25">
        <v>43.896000000000001</v>
      </c>
      <c r="S47" s="50">
        <v>30.099999999999998</v>
      </c>
      <c r="T47" s="1">
        <v>45.896000000000001</v>
      </c>
      <c r="U47" s="1">
        <v>45.884999999999998</v>
      </c>
      <c r="V47" s="1">
        <v>49.058999999999997</v>
      </c>
      <c r="W47" s="1">
        <v>49.930999999999997</v>
      </c>
      <c r="X47" s="25">
        <v>43.511000000000003</v>
      </c>
      <c r="AD47" s="50">
        <v>30.099999999999998</v>
      </c>
      <c r="AE47" s="1">
        <v>46.46</v>
      </c>
      <c r="AF47" s="1">
        <v>49.545000000000002</v>
      </c>
      <c r="AG47" s="1">
        <v>41.12</v>
      </c>
      <c r="AH47" s="1">
        <v>39.999000000000002</v>
      </c>
      <c r="AI47" s="25">
        <v>46.447000000000003</v>
      </c>
      <c r="AS47" s="1">
        <v>45.808</v>
      </c>
      <c r="AT47" s="1">
        <v>49.058999999999997</v>
      </c>
    </row>
    <row r="48" spans="2:46" x14ac:dyDescent="0.45">
      <c r="B48" s="50">
        <v>30.799999999999997</v>
      </c>
      <c r="C48" s="1">
        <v>45.805</v>
      </c>
      <c r="D48" s="1">
        <v>45.828000000000003</v>
      </c>
      <c r="E48" s="25">
        <v>45.851999999999997</v>
      </c>
      <c r="J48" s="50">
        <v>30.799999999999997</v>
      </c>
      <c r="K48" s="1">
        <v>43.921999999999997</v>
      </c>
      <c r="L48" s="1">
        <v>43.926000000000002</v>
      </c>
      <c r="M48" s="25">
        <v>43.899000000000001</v>
      </c>
      <c r="S48" s="50">
        <v>30.799999999999997</v>
      </c>
      <c r="T48" s="1">
        <v>45.893999999999998</v>
      </c>
      <c r="U48" s="1">
        <v>45.892000000000003</v>
      </c>
      <c r="V48" s="1">
        <v>49.054000000000002</v>
      </c>
      <c r="W48" s="1">
        <v>49.936</v>
      </c>
      <c r="X48" s="25">
        <v>44.277999999999999</v>
      </c>
      <c r="AD48" s="50">
        <v>30.799999999999997</v>
      </c>
      <c r="AE48" s="1">
        <v>46.459000000000003</v>
      </c>
      <c r="AF48" s="1">
        <v>49.542999999999999</v>
      </c>
      <c r="AG48" s="1">
        <v>41.12</v>
      </c>
      <c r="AH48" s="1">
        <v>40</v>
      </c>
      <c r="AI48" s="25">
        <v>46.444000000000003</v>
      </c>
      <c r="AS48" s="1">
        <v>45.805</v>
      </c>
      <c r="AT48" s="1">
        <v>49.054000000000002</v>
      </c>
    </row>
    <row r="49" spans="2:46" x14ac:dyDescent="0.45">
      <c r="B49" s="50">
        <v>31.499999999999996</v>
      </c>
      <c r="C49" s="1">
        <v>46.759</v>
      </c>
      <c r="D49" s="1">
        <v>46.764000000000003</v>
      </c>
      <c r="E49" s="25">
        <v>46.776000000000003</v>
      </c>
      <c r="J49" s="50">
        <v>31.499999999999996</v>
      </c>
      <c r="K49" s="1">
        <v>43.923999999999999</v>
      </c>
      <c r="L49" s="1">
        <v>43.923999999999999</v>
      </c>
      <c r="M49" s="25">
        <v>43.896999999999998</v>
      </c>
      <c r="S49" s="50">
        <v>31.499999999999996</v>
      </c>
      <c r="T49" s="1">
        <v>46.787999999999997</v>
      </c>
      <c r="U49" s="1">
        <v>46.789000000000001</v>
      </c>
      <c r="V49" s="1">
        <v>49.057000000000002</v>
      </c>
      <c r="W49" s="1">
        <v>49.933</v>
      </c>
      <c r="X49" s="25">
        <v>44.277999999999999</v>
      </c>
      <c r="AD49" s="50">
        <v>31.499999999999996</v>
      </c>
      <c r="AE49" s="1">
        <v>46.466000000000001</v>
      </c>
      <c r="AF49" s="1">
        <v>49.548000000000002</v>
      </c>
      <c r="AG49" s="1">
        <v>41.118000000000002</v>
      </c>
      <c r="AH49" s="1">
        <v>40.000999999999998</v>
      </c>
      <c r="AI49" s="25">
        <v>46.447000000000003</v>
      </c>
      <c r="AS49" s="1">
        <v>46.759</v>
      </c>
      <c r="AT49" s="1">
        <v>49.057000000000002</v>
      </c>
    </row>
    <row r="50" spans="2:46" x14ac:dyDescent="0.45">
      <c r="B50" s="50">
        <v>32.199999999999996</v>
      </c>
      <c r="C50" s="1">
        <v>47.014000000000003</v>
      </c>
      <c r="D50" s="1">
        <v>47.030999999999999</v>
      </c>
      <c r="E50" s="25">
        <v>47.043999999999997</v>
      </c>
      <c r="J50" s="50">
        <v>32.199999999999996</v>
      </c>
      <c r="K50" s="1">
        <v>43.921999999999997</v>
      </c>
      <c r="L50" s="1">
        <v>43.920999999999999</v>
      </c>
      <c r="M50" s="25">
        <v>43.896000000000001</v>
      </c>
      <c r="S50" s="50">
        <v>32.199999999999996</v>
      </c>
      <c r="T50" s="1">
        <v>47.091000000000001</v>
      </c>
      <c r="U50" s="1">
        <v>47.082999999999998</v>
      </c>
      <c r="V50" s="1">
        <v>49.054000000000002</v>
      </c>
      <c r="W50" s="1">
        <v>49.933999999999997</v>
      </c>
      <c r="X50" s="25">
        <v>44.280999999999999</v>
      </c>
      <c r="AD50" s="50">
        <v>32.199999999999996</v>
      </c>
      <c r="AE50" s="1">
        <v>46.46</v>
      </c>
      <c r="AF50" s="1">
        <v>49.545000000000002</v>
      </c>
      <c r="AG50" s="1">
        <v>40.651000000000003</v>
      </c>
      <c r="AH50" s="1">
        <v>39.999000000000002</v>
      </c>
      <c r="AI50" s="25">
        <v>46.447000000000003</v>
      </c>
      <c r="AS50" s="1">
        <v>47.014000000000003</v>
      </c>
      <c r="AT50" s="1">
        <v>49.054000000000002</v>
      </c>
    </row>
    <row r="51" spans="2:46" x14ac:dyDescent="0.45">
      <c r="B51" s="50">
        <v>32.9</v>
      </c>
      <c r="C51" s="1">
        <v>47.017000000000003</v>
      </c>
      <c r="D51" s="1">
        <v>47.031999999999996</v>
      </c>
      <c r="E51" s="25">
        <v>47.043999999999997</v>
      </c>
      <c r="J51" s="50">
        <v>32.9</v>
      </c>
      <c r="K51" s="1">
        <v>43.921999999999997</v>
      </c>
      <c r="L51" s="1">
        <v>43.921999999999997</v>
      </c>
      <c r="M51" s="25">
        <v>43.896999999999998</v>
      </c>
      <c r="S51" s="50">
        <v>32.9</v>
      </c>
      <c r="T51" s="1">
        <v>47.094000000000001</v>
      </c>
      <c r="U51" s="1">
        <v>47.085000000000001</v>
      </c>
      <c r="V51" s="1">
        <v>49.338999999999999</v>
      </c>
      <c r="W51" s="1">
        <v>49.933999999999997</v>
      </c>
      <c r="X51" s="25">
        <v>44.276000000000003</v>
      </c>
      <c r="AD51" s="50">
        <v>32.9</v>
      </c>
      <c r="AE51" s="1">
        <v>46.465000000000003</v>
      </c>
      <c r="AF51" s="1">
        <v>49.545000000000002</v>
      </c>
      <c r="AG51" s="1">
        <v>40.531999999999996</v>
      </c>
      <c r="AH51" s="1">
        <v>40.003</v>
      </c>
      <c r="AI51" s="25">
        <v>46.447000000000003</v>
      </c>
      <c r="AS51" s="1">
        <v>47.017000000000003</v>
      </c>
      <c r="AT51" s="1">
        <v>49.338999999999999</v>
      </c>
    </row>
    <row r="52" spans="2:46" x14ac:dyDescent="0.45">
      <c r="B52" s="50">
        <v>33.599999999999994</v>
      </c>
      <c r="C52" s="1">
        <v>47.014000000000003</v>
      </c>
      <c r="D52" s="1">
        <v>47.029000000000003</v>
      </c>
      <c r="E52" s="25">
        <v>47.045999999999999</v>
      </c>
      <c r="J52" s="50">
        <v>33.599999999999994</v>
      </c>
      <c r="K52" s="1">
        <v>43.923999999999999</v>
      </c>
      <c r="L52" s="1">
        <v>42.843000000000004</v>
      </c>
      <c r="M52" s="25">
        <v>42.822000000000003</v>
      </c>
      <c r="S52" s="50">
        <v>33.599999999999994</v>
      </c>
      <c r="T52" s="1">
        <v>47.091000000000001</v>
      </c>
      <c r="U52" s="1">
        <v>47.085999999999999</v>
      </c>
      <c r="V52" s="1">
        <v>49.642000000000003</v>
      </c>
      <c r="W52" s="1">
        <v>49.933</v>
      </c>
      <c r="X52" s="25">
        <v>44.277999999999999</v>
      </c>
      <c r="AD52" s="50">
        <v>33.599999999999994</v>
      </c>
      <c r="AE52" s="1">
        <v>46.463000000000001</v>
      </c>
      <c r="AF52" s="1">
        <v>49.542999999999999</v>
      </c>
      <c r="AG52" s="1">
        <v>40.533000000000001</v>
      </c>
      <c r="AH52" s="1">
        <v>40.000999999999998</v>
      </c>
      <c r="AI52" s="25">
        <v>46.448999999999998</v>
      </c>
      <c r="AS52" s="1">
        <v>47.014000000000003</v>
      </c>
      <c r="AT52" s="1">
        <v>49.642000000000003</v>
      </c>
    </row>
    <row r="53" spans="2:46" x14ac:dyDescent="0.45">
      <c r="B53" s="50">
        <v>34.299999999999997</v>
      </c>
      <c r="C53" s="1">
        <v>47.017000000000003</v>
      </c>
      <c r="D53" s="1">
        <v>47.029000000000003</v>
      </c>
      <c r="E53" s="25">
        <v>47.05</v>
      </c>
      <c r="J53" s="50">
        <v>34.299999999999997</v>
      </c>
      <c r="K53" s="1">
        <v>42.850999999999999</v>
      </c>
      <c r="L53" s="1">
        <v>42.844000000000001</v>
      </c>
      <c r="M53" s="25">
        <v>42.822000000000003</v>
      </c>
      <c r="S53" s="50">
        <v>34.299999999999997</v>
      </c>
      <c r="T53" s="1">
        <v>47.091000000000001</v>
      </c>
      <c r="U53" s="1">
        <v>47.085999999999999</v>
      </c>
      <c r="V53" s="1">
        <v>49.645000000000003</v>
      </c>
      <c r="W53" s="1">
        <v>49.930999999999997</v>
      </c>
      <c r="X53" s="25">
        <v>44.280999999999999</v>
      </c>
      <c r="AD53" s="50">
        <v>34.299999999999997</v>
      </c>
      <c r="AE53" s="1">
        <v>46.457000000000001</v>
      </c>
      <c r="AF53" s="1">
        <v>49.546999999999997</v>
      </c>
      <c r="AG53" s="1">
        <v>40.533999999999999</v>
      </c>
      <c r="AH53" s="1">
        <v>40.002000000000002</v>
      </c>
      <c r="AI53" s="25">
        <v>46.445999999999998</v>
      </c>
      <c r="AS53" s="1">
        <v>47.017000000000003</v>
      </c>
      <c r="AT53" s="1">
        <v>49.645000000000003</v>
      </c>
    </row>
    <row r="54" spans="2:46" x14ac:dyDescent="0.45">
      <c r="B54" s="50">
        <v>35</v>
      </c>
      <c r="C54" s="1">
        <v>47.017000000000003</v>
      </c>
      <c r="D54" s="1">
        <v>47.031999999999996</v>
      </c>
      <c r="E54" s="25">
        <v>47.045999999999999</v>
      </c>
      <c r="J54" s="50">
        <v>35</v>
      </c>
      <c r="K54" s="1">
        <v>42.853999999999999</v>
      </c>
      <c r="L54" s="1">
        <v>42.844999999999999</v>
      </c>
      <c r="M54" s="25">
        <v>42.82</v>
      </c>
      <c r="S54" s="50">
        <v>35</v>
      </c>
      <c r="T54" s="1">
        <v>47.088999999999999</v>
      </c>
      <c r="U54" s="1">
        <v>47.085999999999999</v>
      </c>
      <c r="V54" s="1">
        <v>49.637999999999998</v>
      </c>
      <c r="W54" s="1">
        <v>49.994999999999997</v>
      </c>
      <c r="X54" s="25">
        <v>44.28</v>
      </c>
      <c r="AD54" s="50">
        <v>35</v>
      </c>
      <c r="AE54" s="1">
        <v>45.536000000000001</v>
      </c>
      <c r="AF54" s="1">
        <v>49.546999999999997</v>
      </c>
      <c r="AG54" s="1">
        <v>40.533999999999999</v>
      </c>
      <c r="AH54" s="1">
        <v>40</v>
      </c>
      <c r="AI54" s="25">
        <v>45.895000000000003</v>
      </c>
      <c r="AS54" s="1">
        <v>47.017000000000003</v>
      </c>
      <c r="AT54" s="1">
        <v>49.637999999999998</v>
      </c>
    </row>
    <row r="55" spans="2:46" x14ac:dyDescent="0.45">
      <c r="B55" s="50">
        <v>35.699999999999996</v>
      </c>
      <c r="C55" s="1">
        <v>47.02</v>
      </c>
      <c r="D55" s="1">
        <v>47.033999999999999</v>
      </c>
      <c r="E55" s="25">
        <v>47.046999999999997</v>
      </c>
      <c r="J55" s="50">
        <v>35.699999999999996</v>
      </c>
      <c r="K55" s="1">
        <v>42.85</v>
      </c>
      <c r="L55" s="1">
        <v>42.844000000000001</v>
      </c>
      <c r="M55" s="25">
        <v>42.822000000000003</v>
      </c>
      <c r="S55" s="50">
        <v>35.699999999999996</v>
      </c>
      <c r="T55" s="1">
        <v>47.088000000000001</v>
      </c>
      <c r="U55" s="1">
        <v>47.085000000000001</v>
      </c>
      <c r="V55" s="1">
        <v>49.645000000000003</v>
      </c>
      <c r="W55" s="1">
        <v>50.017000000000003</v>
      </c>
      <c r="X55" s="25">
        <v>44.28</v>
      </c>
      <c r="AD55" s="50">
        <v>35.699999999999996</v>
      </c>
      <c r="AE55" s="1">
        <v>45.534999999999997</v>
      </c>
      <c r="AF55" s="1">
        <v>49.512</v>
      </c>
      <c r="AG55" s="1">
        <v>40.533000000000001</v>
      </c>
      <c r="AH55" s="1">
        <v>39.999000000000002</v>
      </c>
      <c r="AI55" s="25">
        <v>45.335000000000001</v>
      </c>
      <c r="AS55" s="1">
        <v>47.02</v>
      </c>
      <c r="AT55" s="1">
        <v>49.645000000000003</v>
      </c>
    </row>
    <row r="56" spans="2:46" x14ac:dyDescent="0.45">
      <c r="B56" s="50">
        <v>36.4</v>
      </c>
      <c r="C56" s="1">
        <v>47.015999999999998</v>
      </c>
      <c r="D56" s="1">
        <v>47.030999999999999</v>
      </c>
      <c r="E56" s="25">
        <v>47.046999999999997</v>
      </c>
      <c r="J56" s="50">
        <v>36.4</v>
      </c>
      <c r="K56" s="1">
        <v>42.85</v>
      </c>
      <c r="L56" s="1">
        <v>42.844999999999999</v>
      </c>
      <c r="M56" s="25">
        <v>42.823</v>
      </c>
      <c r="S56" s="50">
        <v>36.4</v>
      </c>
      <c r="T56" s="1">
        <v>47.088999999999999</v>
      </c>
      <c r="U56" s="1">
        <v>47.082999999999998</v>
      </c>
      <c r="V56" s="1">
        <v>49.642000000000003</v>
      </c>
      <c r="W56" s="1">
        <v>50.012</v>
      </c>
      <c r="X56" s="25">
        <v>44.28</v>
      </c>
      <c r="AD56" s="50">
        <v>36.4</v>
      </c>
      <c r="AE56" s="1">
        <v>45.536000000000001</v>
      </c>
      <c r="AF56" s="1">
        <v>49.393999999999998</v>
      </c>
      <c r="AG56" s="1">
        <v>40.533000000000001</v>
      </c>
      <c r="AH56" s="1">
        <v>40</v>
      </c>
      <c r="AI56" s="25">
        <v>45.338000000000001</v>
      </c>
      <c r="AS56" s="1">
        <v>47.015999999999998</v>
      </c>
      <c r="AT56" s="1">
        <v>49.642000000000003</v>
      </c>
    </row>
    <row r="57" spans="2:46" x14ac:dyDescent="0.45">
      <c r="B57" s="50">
        <v>37.099999999999994</v>
      </c>
      <c r="C57" s="1">
        <v>47.012999999999998</v>
      </c>
      <c r="D57" s="1">
        <v>47.033999999999999</v>
      </c>
      <c r="E57" s="25">
        <v>47.046999999999997</v>
      </c>
      <c r="J57" s="50">
        <v>37.099999999999994</v>
      </c>
      <c r="K57" s="1">
        <v>42.85</v>
      </c>
      <c r="L57" s="1">
        <v>42.843000000000004</v>
      </c>
      <c r="M57" s="25">
        <v>42.819000000000003</v>
      </c>
      <c r="S57" s="50">
        <v>37.099999999999994</v>
      </c>
      <c r="T57" s="1">
        <v>47.088999999999999</v>
      </c>
      <c r="U57" s="1">
        <v>47.085999999999999</v>
      </c>
      <c r="V57" s="1">
        <v>49.643000000000001</v>
      </c>
      <c r="W57" s="1">
        <v>50.012</v>
      </c>
      <c r="X57" s="25">
        <v>44.281999999999996</v>
      </c>
      <c r="AD57" s="50">
        <v>37.099999999999994</v>
      </c>
      <c r="AE57" s="1">
        <v>45.531999999999996</v>
      </c>
      <c r="AF57" s="1">
        <v>49.396000000000001</v>
      </c>
      <c r="AG57" s="1">
        <v>40.530999999999999</v>
      </c>
      <c r="AH57" s="1">
        <v>40.000999999999998</v>
      </c>
      <c r="AI57" s="25">
        <v>45.335999999999999</v>
      </c>
      <c r="AS57" s="1">
        <v>47.012999999999998</v>
      </c>
      <c r="AT57" s="1">
        <v>49.643000000000001</v>
      </c>
    </row>
    <row r="58" spans="2:46" x14ac:dyDescent="0.45">
      <c r="B58" s="50">
        <v>37.799999999999997</v>
      </c>
      <c r="C58" s="1">
        <v>47.017000000000003</v>
      </c>
      <c r="D58" s="1">
        <v>47.029000000000003</v>
      </c>
      <c r="E58" s="25">
        <v>47.045999999999999</v>
      </c>
      <c r="J58" s="50">
        <v>37.799999999999997</v>
      </c>
      <c r="K58" s="1">
        <v>42.850999999999999</v>
      </c>
      <c r="L58" s="1">
        <v>42.841000000000001</v>
      </c>
      <c r="M58" s="25">
        <v>42.819000000000003</v>
      </c>
      <c r="S58" s="50">
        <v>37.799999999999997</v>
      </c>
      <c r="T58" s="1">
        <v>47.088999999999999</v>
      </c>
      <c r="U58" s="1">
        <v>47.085999999999999</v>
      </c>
      <c r="V58" s="1">
        <v>49.642000000000003</v>
      </c>
      <c r="W58" s="1">
        <v>50.015999999999998</v>
      </c>
      <c r="X58" s="25">
        <v>44.281999999999996</v>
      </c>
      <c r="AD58" s="50">
        <v>37.799999999999997</v>
      </c>
      <c r="AE58" s="1">
        <v>45.536000000000001</v>
      </c>
      <c r="AF58" s="1">
        <v>49.393999999999998</v>
      </c>
      <c r="AG58" s="1">
        <v>40.531999999999996</v>
      </c>
      <c r="AH58" s="1">
        <v>40.002000000000002</v>
      </c>
      <c r="AI58" s="25">
        <v>45.332999999999998</v>
      </c>
      <c r="AS58" s="1">
        <v>47.017000000000003</v>
      </c>
      <c r="AT58" s="1">
        <v>49.642000000000003</v>
      </c>
    </row>
    <row r="59" spans="2:46" x14ac:dyDescent="0.45">
      <c r="B59" s="50">
        <v>38.5</v>
      </c>
      <c r="C59" s="1">
        <v>47.018999999999998</v>
      </c>
      <c r="D59" s="1">
        <v>47.029000000000003</v>
      </c>
      <c r="E59" s="25">
        <v>47.043999999999997</v>
      </c>
      <c r="J59" s="50">
        <v>38.5</v>
      </c>
      <c r="K59" s="1">
        <v>42.85</v>
      </c>
      <c r="L59" s="1">
        <v>42.844000000000001</v>
      </c>
      <c r="M59" s="25">
        <v>42.82</v>
      </c>
      <c r="S59" s="50">
        <v>38.5</v>
      </c>
      <c r="T59" s="1">
        <v>47.091000000000001</v>
      </c>
      <c r="U59" s="1">
        <v>47.085000000000001</v>
      </c>
      <c r="V59" s="1">
        <v>49.643000000000001</v>
      </c>
      <c r="W59" s="1">
        <v>50.015999999999998</v>
      </c>
      <c r="X59" s="25">
        <v>44.280999999999999</v>
      </c>
      <c r="AD59" s="50">
        <v>38.5</v>
      </c>
      <c r="AE59" s="1">
        <v>45.537999999999997</v>
      </c>
      <c r="AF59" s="1">
        <v>49.393999999999998</v>
      </c>
      <c r="AG59" s="1">
        <v>40.533000000000001</v>
      </c>
      <c r="AH59" s="1">
        <v>40.003999999999998</v>
      </c>
      <c r="AI59" s="25">
        <v>45.335999999999999</v>
      </c>
      <c r="AS59" s="1">
        <v>47.018999999999998</v>
      </c>
      <c r="AT59" s="1">
        <v>49.643000000000001</v>
      </c>
    </row>
    <row r="60" spans="2:46" x14ac:dyDescent="0.45">
      <c r="B60" s="50">
        <v>39.199999999999996</v>
      </c>
      <c r="C60" s="1">
        <v>47.012999999999998</v>
      </c>
      <c r="D60" s="1">
        <v>47.030999999999999</v>
      </c>
      <c r="E60" s="25">
        <v>47.046999999999997</v>
      </c>
      <c r="J60" s="50">
        <v>39.199999999999996</v>
      </c>
      <c r="K60" s="1">
        <v>42.85</v>
      </c>
      <c r="L60" s="1">
        <v>42.844000000000001</v>
      </c>
      <c r="M60" s="25">
        <v>42.82</v>
      </c>
      <c r="S60" s="50">
        <v>39.199999999999996</v>
      </c>
      <c r="T60" s="1">
        <v>47.088000000000001</v>
      </c>
      <c r="U60" s="1">
        <v>47.085000000000001</v>
      </c>
      <c r="V60" s="1">
        <v>49.646999999999998</v>
      </c>
      <c r="W60" s="1">
        <v>50.015999999999998</v>
      </c>
      <c r="X60" s="25">
        <v>45.368000000000002</v>
      </c>
      <c r="AD60" s="50">
        <v>39.199999999999996</v>
      </c>
      <c r="AE60" s="1">
        <v>45.536000000000001</v>
      </c>
      <c r="AF60" s="1">
        <v>49.393999999999998</v>
      </c>
      <c r="AG60" s="1">
        <v>40.531999999999996</v>
      </c>
      <c r="AH60" s="1">
        <v>40</v>
      </c>
      <c r="AI60" s="25">
        <v>45.335999999999999</v>
      </c>
      <c r="AS60" s="1">
        <v>47.012999999999998</v>
      </c>
      <c r="AT60" s="1">
        <v>49.646999999999998</v>
      </c>
    </row>
    <row r="61" spans="2:46" x14ac:dyDescent="0.45">
      <c r="B61" s="50">
        <v>39.9</v>
      </c>
      <c r="C61" s="1">
        <v>47.018999999999998</v>
      </c>
      <c r="D61" s="1">
        <v>47.031999999999996</v>
      </c>
      <c r="E61" s="25">
        <v>47.048999999999999</v>
      </c>
      <c r="J61" s="50">
        <v>39.9</v>
      </c>
      <c r="K61" s="1">
        <v>42.853000000000002</v>
      </c>
      <c r="L61" s="1">
        <v>42.843000000000004</v>
      </c>
      <c r="M61" s="25">
        <v>42.823999999999998</v>
      </c>
      <c r="S61" s="50">
        <v>39.9</v>
      </c>
      <c r="T61" s="1">
        <v>47.091999999999999</v>
      </c>
      <c r="U61" s="1">
        <v>47.085999999999999</v>
      </c>
      <c r="V61" s="1">
        <v>49.642000000000003</v>
      </c>
      <c r="W61" s="1">
        <v>50.014000000000003</v>
      </c>
      <c r="X61" s="25">
        <v>45.378</v>
      </c>
      <c r="AD61" s="50">
        <v>39.9</v>
      </c>
      <c r="AE61" s="1">
        <v>45.534999999999997</v>
      </c>
      <c r="AF61" s="1">
        <v>49.396000000000001</v>
      </c>
      <c r="AG61" s="1">
        <v>40.531999999999996</v>
      </c>
      <c r="AH61" s="1">
        <v>40.000999999999998</v>
      </c>
      <c r="AI61" s="25">
        <v>45.338999999999999</v>
      </c>
      <c r="AS61" s="1">
        <v>47.018999999999998</v>
      </c>
      <c r="AT61" s="1">
        <v>49.642000000000003</v>
      </c>
    </row>
    <row r="62" spans="2:46" x14ac:dyDescent="0.45">
      <c r="B62" s="50">
        <v>40.599999999999994</v>
      </c>
      <c r="C62" s="1">
        <v>47.015999999999998</v>
      </c>
      <c r="D62" s="1">
        <v>47.027999999999999</v>
      </c>
      <c r="E62" s="25">
        <v>47.045999999999999</v>
      </c>
      <c r="J62" s="50">
        <v>40.599999999999994</v>
      </c>
      <c r="K62" s="1">
        <v>42.850999999999999</v>
      </c>
      <c r="L62" s="1">
        <v>42.844999999999999</v>
      </c>
      <c r="M62" s="25">
        <v>42.82</v>
      </c>
      <c r="S62" s="50">
        <v>40.599999999999994</v>
      </c>
      <c r="T62" s="1">
        <v>47.088999999999999</v>
      </c>
      <c r="U62" s="1">
        <v>47.088000000000001</v>
      </c>
      <c r="V62" s="1">
        <v>49.643000000000001</v>
      </c>
      <c r="W62" s="1">
        <v>50.018999999999998</v>
      </c>
      <c r="X62" s="25">
        <v>45.375</v>
      </c>
      <c r="AD62" s="50">
        <v>40.599999999999994</v>
      </c>
      <c r="AE62" s="1">
        <v>45.536000000000001</v>
      </c>
      <c r="AF62" s="1">
        <v>49.389000000000003</v>
      </c>
      <c r="AG62" s="1">
        <v>40.258000000000003</v>
      </c>
      <c r="AH62" s="1">
        <v>40.000999999999998</v>
      </c>
      <c r="AI62" s="25">
        <v>45.338000000000001</v>
      </c>
      <c r="AS62" s="1">
        <v>47.015999999999998</v>
      </c>
      <c r="AT62" s="1">
        <v>49.643000000000001</v>
      </c>
    </row>
    <row r="63" spans="2:46" x14ac:dyDescent="0.45">
      <c r="B63" s="50">
        <v>41.3</v>
      </c>
      <c r="C63" s="1">
        <v>47.899000000000001</v>
      </c>
      <c r="D63" s="1">
        <v>47.91</v>
      </c>
      <c r="E63" s="25">
        <v>47.914000000000001</v>
      </c>
      <c r="J63" s="50">
        <v>41.3</v>
      </c>
      <c r="K63" s="1">
        <v>42.848999999999997</v>
      </c>
      <c r="L63" s="1">
        <v>42.845999999999997</v>
      </c>
      <c r="M63" s="25">
        <v>42.817999999999998</v>
      </c>
      <c r="S63" s="50">
        <v>41.3</v>
      </c>
      <c r="T63" s="1">
        <v>47.966000000000001</v>
      </c>
      <c r="U63" s="1">
        <v>47.956000000000003</v>
      </c>
      <c r="V63" s="1">
        <v>49.643000000000001</v>
      </c>
      <c r="W63" s="1">
        <v>50.014000000000003</v>
      </c>
      <c r="X63" s="25">
        <v>45.377000000000002</v>
      </c>
      <c r="AD63" s="50">
        <v>41.3</v>
      </c>
      <c r="AE63" s="1">
        <v>45.534999999999997</v>
      </c>
      <c r="AF63" s="1">
        <v>49.393999999999998</v>
      </c>
      <c r="AG63" s="1">
        <v>40.256</v>
      </c>
      <c r="AH63" s="1">
        <v>40.000999999999998</v>
      </c>
      <c r="AI63" s="25">
        <v>45.335000000000001</v>
      </c>
      <c r="AS63" s="1">
        <v>47.899000000000001</v>
      </c>
      <c r="AT63" s="1">
        <v>49.643000000000001</v>
      </c>
    </row>
    <row r="64" spans="2:46" x14ac:dyDescent="0.45">
      <c r="B64" s="50">
        <v>42</v>
      </c>
      <c r="C64" s="1">
        <v>47.902000000000001</v>
      </c>
      <c r="D64" s="1">
        <v>47.91</v>
      </c>
      <c r="E64" s="25">
        <v>47.917000000000002</v>
      </c>
      <c r="J64" s="50">
        <v>42</v>
      </c>
      <c r="K64" s="1">
        <v>42.85</v>
      </c>
      <c r="L64" s="1">
        <v>42.48</v>
      </c>
      <c r="M64" s="25">
        <v>42.45</v>
      </c>
      <c r="S64" s="50">
        <v>42</v>
      </c>
      <c r="T64" s="1">
        <v>47.959000000000003</v>
      </c>
      <c r="U64" s="1">
        <v>47.956000000000003</v>
      </c>
      <c r="V64" s="1">
        <v>49.643000000000001</v>
      </c>
      <c r="W64" s="1">
        <v>50.015999999999998</v>
      </c>
      <c r="X64" s="25">
        <v>45.377000000000002</v>
      </c>
      <c r="AD64" s="50">
        <v>42</v>
      </c>
      <c r="AE64" s="1">
        <v>45.536000000000001</v>
      </c>
      <c r="AF64" s="1">
        <v>49.396000000000001</v>
      </c>
      <c r="AG64" s="1">
        <v>40.256999999999998</v>
      </c>
      <c r="AH64" s="1">
        <v>40.002000000000002</v>
      </c>
      <c r="AI64" s="25">
        <v>45.335000000000001</v>
      </c>
      <c r="AS64" s="1">
        <v>47.902000000000001</v>
      </c>
      <c r="AT64" s="1">
        <v>49.643000000000001</v>
      </c>
    </row>
    <row r="65" spans="2:46" x14ac:dyDescent="0.45">
      <c r="B65" s="50">
        <v>42.699999999999996</v>
      </c>
      <c r="C65" s="1">
        <v>47.899000000000001</v>
      </c>
      <c r="D65" s="1">
        <v>47.911000000000001</v>
      </c>
      <c r="E65" s="25">
        <v>47.915999999999997</v>
      </c>
      <c r="J65" s="50">
        <v>42.699999999999996</v>
      </c>
      <c r="K65" s="1">
        <v>42.076000000000001</v>
      </c>
      <c r="L65" s="1">
        <v>42.073999999999998</v>
      </c>
      <c r="M65" s="25">
        <v>42.055</v>
      </c>
      <c r="S65" s="50">
        <v>42.699999999999996</v>
      </c>
      <c r="T65" s="1">
        <v>47.960999999999999</v>
      </c>
      <c r="U65" s="1">
        <v>47.959000000000003</v>
      </c>
      <c r="V65" s="1">
        <v>49.69</v>
      </c>
      <c r="W65" s="1">
        <v>50.015999999999998</v>
      </c>
      <c r="X65" s="25">
        <v>45.378</v>
      </c>
      <c r="AD65" s="50">
        <v>42.699999999999996</v>
      </c>
      <c r="AE65" s="1">
        <v>45.534999999999997</v>
      </c>
      <c r="AF65" s="1">
        <v>49.390999999999998</v>
      </c>
      <c r="AG65" s="1">
        <v>40.259</v>
      </c>
      <c r="AH65" s="1">
        <v>40</v>
      </c>
      <c r="AI65" s="25">
        <v>45.338999999999999</v>
      </c>
      <c r="AS65" s="1">
        <v>47.899000000000001</v>
      </c>
      <c r="AT65" s="1">
        <v>49.69</v>
      </c>
    </row>
    <row r="66" spans="2:46" x14ac:dyDescent="0.45">
      <c r="B66" s="50">
        <v>43.4</v>
      </c>
      <c r="C66" s="1">
        <v>47.9</v>
      </c>
      <c r="D66" s="1">
        <v>47.912999999999997</v>
      </c>
      <c r="E66" s="25">
        <v>47.92</v>
      </c>
      <c r="J66" s="50">
        <v>43.4</v>
      </c>
      <c r="K66" s="1">
        <v>42.079000000000001</v>
      </c>
      <c r="L66" s="1">
        <v>42.070999999999998</v>
      </c>
      <c r="M66" s="25">
        <v>42.055999999999997</v>
      </c>
      <c r="S66" s="50">
        <v>43.4</v>
      </c>
      <c r="T66" s="1">
        <v>47.959000000000003</v>
      </c>
      <c r="U66" s="1">
        <v>47.954999999999998</v>
      </c>
      <c r="V66" s="1">
        <v>49.868000000000002</v>
      </c>
      <c r="W66" s="1">
        <v>50.015999999999998</v>
      </c>
      <c r="X66" s="25">
        <v>45.378999999999998</v>
      </c>
      <c r="AD66" s="50">
        <v>43.4</v>
      </c>
      <c r="AE66" s="1">
        <v>45.194000000000003</v>
      </c>
      <c r="AF66" s="1">
        <v>49.396000000000001</v>
      </c>
      <c r="AG66" s="1">
        <v>40.256</v>
      </c>
      <c r="AH66" s="1">
        <v>39.999000000000002</v>
      </c>
      <c r="AI66" s="25">
        <v>45.332000000000001</v>
      </c>
      <c r="AS66" s="1">
        <v>47.9</v>
      </c>
      <c r="AT66" s="1">
        <v>49.868000000000002</v>
      </c>
    </row>
    <row r="67" spans="2:46" x14ac:dyDescent="0.45">
      <c r="B67" s="50">
        <v>44.099999999999994</v>
      </c>
      <c r="C67" s="1">
        <v>47.9</v>
      </c>
      <c r="D67" s="1">
        <v>47.905000000000001</v>
      </c>
      <c r="E67" s="25">
        <v>47.915999999999997</v>
      </c>
      <c r="J67" s="50">
        <v>44.099999999999994</v>
      </c>
      <c r="K67" s="1">
        <v>42.073999999999998</v>
      </c>
      <c r="L67" s="1">
        <v>42.070999999999998</v>
      </c>
      <c r="M67" s="25">
        <v>42.057000000000002</v>
      </c>
      <c r="S67" s="50">
        <v>44.099999999999994</v>
      </c>
      <c r="T67" s="1">
        <v>47.959000000000003</v>
      </c>
      <c r="U67" s="1">
        <v>47.956000000000003</v>
      </c>
      <c r="V67" s="1">
        <v>49.866999999999997</v>
      </c>
      <c r="W67" s="1">
        <v>50.017000000000003</v>
      </c>
      <c r="X67" s="25">
        <v>45.372</v>
      </c>
      <c r="AD67" s="50">
        <v>44.099999999999994</v>
      </c>
      <c r="AE67" s="1">
        <v>44.76</v>
      </c>
      <c r="AF67" s="1">
        <v>49.396999999999998</v>
      </c>
      <c r="AG67" s="1">
        <v>40.259</v>
      </c>
      <c r="AH67" s="1">
        <v>40</v>
      </c>
      <c r="AI67" s="25">
        <v>44.765000000000001</v>
      </c>
      <c r="AS67" s="1">
        <v>47.9</v>
      </c>
      <c r="AT67" s="1">
        <v>49.866999999999997</v>
      </c>
    </row>
    <row r="68" spans="2:46" x14ac:dyDescent="0.45">
      <c r="B68" s="50">
        <v>44.8</v>
      </c>
      <c r="C68" s="1">
        <v>47.9</v>
      </c>
      <c r="D68" s="1">
        <v>47.911000000000001</v>
      </c>
      <c r="E68" s="25">
        <v>47.912999999999997</v>
      </c>
      <c r="J68" s="50">
        <v>44.8</v>
      </c>
      <c r="K68" s="1">
        <v>42.08</v>
      </c>
      <c r="L68" s="1">
        <v>42.073999999999998</v>
      </c>
      <c r="M68" s="25">
        <v>42.057000000000002</v>
      </c>
      <c r="S68" s="50">
        <v>44.8</v>
      </c>
      <c r="T68" s="1">
        <v>47.959000000000003</v>
      </c>
      <c r="U68" s="1">
        <v>47.959000000000003</v>
      </c>
      <c r="V68" s="1">
        <v>49.865000000000002</v>
      </c>
      <c r="W68" s="1">
        <v>50.015999999999998</v>
      </c>
      <c r="X68" s="25">
        <v>45.381</v>
      </c>
      <c r="AD68" s="50">
        <v>44.8</v>
      </c>
      <c r="AE68" s="1">
        <v>44.76</v>
      </c>
      <c r="AF68" s="1">
        <v>49.396999999999998</v>
      </c>
      <c r="AG68" s="1">
        <v>40.258000000000003</v>
      </c>
      <c r="AH68" s="1">
        <v>40.003</v>
      </c>
      <c r="AI68" s="25">
        <v>44.253</v>
      </c>
      <c r="AS68" s="1">
        <v>47.9</v>
      </c>
      <c r="AT68" s="1">
        <v>49.865000000000002</v>
      </c>
    </row>
    <row r="69" spans="2:46" x14ac:dyDescent="0.45">
      <c r="B69" s="50">
        <v>45.5</v>
      </c>
      <c r="C69" s="1">
        <v>47.902000000000001</v>
      </c>
      <c r="D69" s="1">
        <v>47.911000000000001</v>
      </c>
      <c r="E69" s="25">
        <v>47.914000000000001</v>
      </c>
      <c r="J69" s="50">
        <v>45.5</v>
      </c>
      <c r="K69" s="1">
        <v>42.076999999999998</v>
      </c>
      <c r="L69" s="1">
        <v>42.073999999999998</v>
      </c>
      <c r="M69" s="25">
        <v>42.057000000000002</v>
      </c>
      <c r="S69" s="50">
        <v>45.5</v>
      </c>
      <c r="T69" s="1">
        <v>47.959000000000003</v>
      </c>
      <c r="U69" s="1">
        <v>47.959000000000003</v>
      </c>
      <c r="V69" s="1">
        <v>49.87</v>
      </c>
      <c r="W69" s="1">
        <v>49.994999999999997</v>
      </c>
      <c r="X69" s="25">
        <v>45.378999999999998</v>
      </c>
      <c r="AD69" s="50">
        <v>45.5</v>
      </c>
      <c r="AE69" s="1">
        <v>44.756</v>
      </c>
      <c r="AF69" s="1">
        <v>49.345999999999997</v>
      </c>
      <c r="AG69" s="1">
        <v>40.258000000000003</v>
      </c>
      <c r="AH69" s="1">
        <v>39.997</v>
      </c>
      <c r="AI69" s="25">
        <v>44.250999999999998</v>
      </c>
      <c r="AS69" s="1">
        <v>47.902000000000001</v>
      </c>
      <c r="AT69" s="1">
        <v>49.87</v>
      </c>
    </row>
    <row r="70" spans="2:46" x14ac:dyDescent="0.45">
      <c r="B70" s="50">
        <v>46.199999999999996</v>
      </c>
      <c r="C70" s="1">
        <v>47.899000000000001</v>
      </c>
      <c r="D70" s="1">
        <v>47.912999999999997</v>
      </c>
      <c r="E70" s="25">
        <v>47.914000000000001</v>
      </c>
      <c r="J70" s="50">
        <v>46.199999999999996</v>
      </c>
      <c r="K70" s="1">
        <v>42.076000000000001</v>
      </c>
      <c r="L70" s="1">
        <v>42.070999999999998</v>
      </c>
      <c r="M70" s="25">
        <v>42.057000000000002</v>
      </c>
      <c r="S70" s="50">
        <v>46.199999999999996</v>
      </c>
      <c r="T70" s="1">
        <v>47.960999999999999</v>
      </c>
      <c r="U70" s="1">
        <v>47.957999999999998</v>
      </c>
      <c r="V70" s="1">
        <v>49.865000000000002</v>
      </c>
      <c r="W70" s="1">
        <v>49.994</v>
      </c>
      <c r="X70" s="25">
        <v>45.378</v>
      </c>
      <c r="AD70" s="50">
        <v>46.199999999999996</v>
      </c>
      <c r="AE70" s="1">
        <v>44.758000000000003</v>
      </c>
      <c r="AF70" s="1">
        <v>49.241</v>
      </c>
      <c r="AG70" s="1">
        <v>40.256</v>
      </c>
      <c r="AH70" s="1">
        <v>39.999000000000002</v>
      </c>
      <c r="AI70" s="25">
        <v>44.253</v>
      </c>
      <c r="AS70" s="1">
        <v>47.899000000000001</v>
      </c>
      <c r="AT70" s="1">
        <v>49.865000000000002</v>
      </c>
    </row>
    <row r="71" spans="2:46" x14ac:dyDescent="0.45">
      <c r="B71" s="50">
        <v>46.9</v>
      </c>
      <c r="C71" s="1">
        <v>47.9</v>
      </c>
      <c r="D71" s="1">
        <v>47.908000000000001</v>
      </c>
      <c r="E71" s="25">
        <v>47.912999999999997</v>
      </c>
      <c r="J71" s="50">
        <v>46.9</v>
      </c>
      <c r="K71" s="1">
        <v>42.076999999999998</v>
      </c>
      <c r="L71" s="1">
        <v>42.073999999999998</v>
      </c>
      <c r="M71" s="25">
        <v>42.055</v>
      </c>
      <c r="S71" s="50">
        <v>46.9</v>
      </c>
      <c r="T71" s="1">
        <v>47.960999999999999</v>
      </c>
      <c r="U71" s="1">
        <v>47.957999999999998</v>
      </c>
      <c r="V71" s="1">
        <v>49.862000000000002</v>
      </c>
      <c r="W71" s="1">
        <v>49.994999999999997</v>
      </c>
      <c r="X71" s="25">
        <v>45.378</v>
      </c>
      <c r="AD71" s="50">
        <v>46.9</v>
      </c>
      <c r="AE71" s="1">
        <v>44.756999999999998</v>
      </c>
      <c r="AF71" s="1">
        <v>49.241999999999997</v>
      </c>
      <c r="AG71" s="1">
        <v>40.253</v>
      </c>
      <c r="AH71" s="1">
        <v>40.000999999999998</v>
      </c>
      <c r="AI71" s="25">
        <v>44.253</v>
      </c>
      <c r="AS71" s="1">
        <v>47.9</v>
      </c>
      <c r="AT71" s="1">
        <v>49.862000000000002</v>
      </c>
    </row>
    <row r="72" spans="2:46" x14ac:dyDescent="0.45">
      <c r="B72" s="50">
        <v>47.599999999999994</v>
      </c>
      <c r="C72" s="1">
        <v>47.899000000000001</v>
      </c>
      <c r="D72" s="1">
        <v>47.908000000000001</v>
      </c>
      <c r="E72" s="25">
        <v>47.914000000000001</v>
      </c>
      <c r="J72" s="50">
        <v>47.599999999999994</v>
      </c>
      <c r="K72" s="1">
        <v>42.075000000000003</v>
      </c>
      <c r="L72" s="1">
        <v>42.073</v>
      </c>
      <c r="M72" s="25">
        <v>42.057000000000002</v>
      </c>
      <c r="S72" s="50">
        <v>47.599999999999994</v>
      </c>
      <c r="T72" s="1">
        <v>47.959000000000003</v>
      </c>
      <c r="U72" s="1">
        <v>47.954999999999998</v>
      </c>
      <c r="V72" s="1">
        <v>49.868000000000002</v>
      </c>
      <c r="W72" s="1">
        <v>49.994999999999997</v>
      </c>
      <c r="X72" s="25">
        <v>45.378999999999998</v>
      </c>
      <c r="AD72" s="50">
        <v>47.599999999999994</v>
      </c>
      <c r="AE72" s="1">
        <v>44.753999999999998</v>
      </c>
      <c r="AF72" s="1">
        <v>49.247</v>
      </c>
      <c r="AG72" s="1">
        <v>40.258000000000003</v>
      </c>
      <c r="AH72" s="1">
        <v>39.999000000000002</v>
      </c>
      <c r="AI72" s="25">
        <v>44.253</v>
      </c>
      <c r="AS72" s="1">
        <v>47.899000000000001</v>
      </c>
      <c r="AT72" s="1">
        <v>49.868000000000002</v>
      </c>
    </row>
    <row r="73" spans="2:46" x14ac:dyDescent="0.45">
      <c r="B73" s="50">
        <v>48.3</v>
      </c>
      <c r="C73" s="1">
        <v>47.899000000000001</v>
      </c>
      <c r="D73" s="1">
        <v>47.91</v>
      </c>
      <c r="E73" s="25">
        <v>47.914000000000001</v>
      </c>
      <c r="J73" s="50">
        <v>48.3</v>
      </c>
      <c r="K73" s="1">
        <v>42.075000000000003</v>
      </c>
      <c r="L73" s="1">
        <v>42.073999999999998</v>
      </c>
      <c r="M73" s="25">
        <v>42.052999999999997</v>
      </c>
      <c r="S73" s="50">
        <v>48.3</v>
      </c>
      <c r="T73" s="1">
        <v>47.959000000000003</v>
      </c>
      <c r="U73" s="1">
        <v>47.960999999999999</v>
      </c>
      <c r="V73" s="1">
        <v>49.865000000000002</v>
      </c>
      <c r="W73" s="1">
        <v>50</v>
      </c>
      <c r="X73" s="25">
        <v>46.481000000000002</v>
      </c>
      <c r="AD73" s="50">
        <v>48.3</v>
      </c>
      <c r="AE73" s="1">
        <v>44.761000000000003</v>
      </c>
      <c r="AF73" s="1">
        <v>49.241</v>
      </c>
      <c r="AG73" s="1">
        <v>40.210999999999999</v>
      </c>
      <c r="AH73" s="1">
        <v>39.997999999999998</v>
      </c>
      <c r="AI73" s="25">
        <v>44.252000000000002</v>
      </c>
      <c r="AS73" s="1">
        <v>47.899000000000001</v>
      </c>
      <c r="AT73" s="1">
        <v>49.865000000000002</v>
      </c>
    </row>
    <row r="74" spans="2:46" x14ac:dyDescent="0.45">
      <c r="B74" s="50">
        <v>49</v>
      </c>
      <c r="C74" s="1">
        <v>47.899000000000001</v>
      </c>
      <c r="D74" s="1">
        <v>47.91</v>
      </c>
      <c r="E74" s="25">
        <v>47.914000000000001</v>
      </c>
      <c r="J74" s="50">
        <v>49</v>
      </c>
      <c r="K74" s="1">
        <v>42.076000000000001</v>
      </c>
      <c r="L74" s="1">
        <v>42.076000000000001</v>
      </c>
      <c r="M74" s="25">
        <v>42.055999999999997</v>
      </c>
      <c r="S74" s="50">
        <v>49</v>
      </c>
      <c r="T74" s="1">
        <v>47.963000000000001</v>
      </c>
      <c r="U74" s="1">
        <v>47.959000000000003</v>
      </c>
      <c r="V74" s="1">
        <v>49.866999999999997</v>
      </c>
      <c r="W74" s="1">
        <v>49.997</v>
      </c>
      <c r="X74" s="25">
        <v>46.503</v>
      </c>
      <c r="AD74" s="50">
        <v>49</v>
      </c>
      <c r="AE74" s="1">
        <v>44.76</v>
      </c>
      <c r="AF74" s="1">
        <v>49.246000000000002</v>
      </c>
      <c r="AG74" s="1">
        <v>40.125999999999998</v>
      </c>
      <c r="AH74" s="1">
        <v>39.997999999999998</v>
      </c>
      <c r="AI74" s="25">
        <v>44.253</v>
      </c>
      <c r="AS74" s="1">
        <v>47.899000000000001</v>
      </c>
      <c r="AT74" s="1">
        <v>49.866999999999997</v>
      </c>
    </row>
    <row r="75" spans="2:46" x14ac:dyDescent="0.45">
      <c r="B75" s="50">
        <v>49.699999999999996</v>
      </c>
      <c r="C75" s="1">
        <v>47.896999999999998</v>
      </c>
      <c r="D75" s="1">
        <v>47.91</v>
      </c>
      <c r="E75" s="25">
        <v>47.915999999999997</v>
      </c>
      <c r="J75" s="50">
        <v>49.699999999999996</v>
      </c>
      <c r="K75" s="1">
        <v>42.076000000000001</v>
      </c>
      <c r="L75" s="1">
        <v>42.073999999999998</v>
      </c>
      <c r="M75" s="25">
        <v>42.055</v>
      </c>
      <c r="S75" s="50">
        <v>49.699999999999996</v>
      </c>
      <c r="T75" s="1">
        <v>47.960999999999999</v>
      </c>
      <c r="U75" s="1">
        <v>47.956000000000003</v>
      </c>
      <c r="V75" s="1">
        <v>49.866999999999997</v>
      </c>
      <c r="W75" s="1">
        <v>50</v>
      </c>
      <c r="X75" s="25">
        <v>46.503</v>
      </c>
      <c r="AD75" s="50">
        <v>49.699999999999996</v>
      </c>
      <c r="AE75" s="1">
        <v>44.756999999999998</v>
      </c>
      <c r="AF75" s="1">
        <v>49.241</v>
      </c>
      <c r="AG75" s="1">
        <v>40.124000000000002</v>
      </c>
      <c r="AH75" s="1">
        <v>39.997999999999998</v>
      </c>
      <c r="AI75" s="25">
        <v>44.255000000000003</v>
      </c>
      <c r="AS75" s="1">
        <v>47.896999999999998</v>
      </c>
      <c r="AT75" s="1">
        <v>49.866999999999997</v>
      </c>
    </row>
    <row r="76" spans="2:46" x14ac:dyDescent="0.45">
      <c r="B76" s="50">
        <v>50.4</v>
      </c>
      <c r="C76" s="1">
        <v>47.9</v>
      </c>
      <c r="D76" s="1">
        <v>47.908000000000001</v>
      </c>
      <c r="E76" s="25">
        <v>47.915999999999997</v>
      </c>
      <c r="J76" s="50">
        <v>50.4</v>
      </c>
      <c r="K76" s="1">
        <v>41.89</v>
      </c>
      <c r="L76" s="1">
        <v>41.884</v>
      </c>
      <c r="M76" s="25">
        <v>41.868000000000002</v>
      </c>
      <c r="S76" s="50">
        <v>50.4</v>
      </c>
      <c r="T76" s="1">
        <v>47.959000000000003</v>
      </c>
      <c r="U76" s="1">
        <v>47.956000000000003</v>
      </c>
      <c r="V76" s="1">
        <v>49.866999999999997</v>
      </c>
      <c r="W76" s="1">
        <v>50</v>
      </c>
      <c r="X76" s="25">
        <v>46.503</v>
      </c>
      <c r="AD76" s="50">
        <v>50.4</v>
      </c>
      <c r="AE76" s="1">
        <v>44.76</v>
      </c>
      <c r="AF76" s="1">
        <v>49.241999999999997</v>
      </c>
      <c r="AG76" s="1">
        <v>40.122</v>
      </c>
      <c r="AH76" s="1">
        <v>40</v>
      </c>
      <c r="AI76" s="25">
        <v>44.247999999999998</v>
      </c>
      <c r="AS76" s="1">
        <v>47.9</v>
      </c>
      <c r="AT76" s="1">
        <v>49.866999999999997</v>
      </c>
    </row>
    <row r="77" spans="2:46" x14ac:dyDescent="0.45">
      <c r="B77" s="50">
        <v>51.099999999999994</v>
      </c>
      <c r="C77" s="1">
        <v>48.533999999999999</v>
      </c>
      <c r="D77" s="1">
        <v>48.539000000000001</v>
      </c>
      <c r="E77" s="25">
        <v>48.539000000000001</v>
      </c>
      <c r="J77" s="50">
        <v>51.099999999999994</v>
      </c>
      <c r="K77" s="1">
        <v>41.523000000000003</v>
      </c>
      <c r="L77" s="1">
        <v>41.514000000000003</v>
      </c>
      <c r="M77" s="25">
        <v>41.511000000000003</v>
      </c>
      <c r="S77" s="50">
        <v>51.099999999999994</v>
      </c>
      <c r="T77" s="1">
        <v>48.588000000000001</v>
      </c>
      <c r="U77" s="1">
        <v>48.58</v>
      </c>
      <c r="V77" s="1">
        <v>49.866999999999997</v>
      </c>
      <c r="W77" s="1">
        <v>49.994999999999997</v>
      </c>
      <c r="X77" s="25">
        <v>46.503</v>
      </c>
      <c r="AD77" s="50">
        <v>51.099999999999994</v>
      </c>
      <c r="AE77" s="1">
        <v>44.756999999999998</v>
      </c>
      <c r="AF77" s="1">
        <v>49.244</v>
      </c>
      <c r="AG77" s="1">
        <v>40.125999999999998</v>
      </c>
      <c r="AH77" s="1">
        <v>40</v>
      </c>
      <c r="AI77" s="25">
        <v>44.256</v>
      </c>
      <c r="AS77" s="1">
        <v>48.533999999999999</v>
      </c>
      <c r="AT77" s="1">
        <v>49.866999999999997</v>
      </c>
    </row>
    <row r="78" spans="2:46" x14ac:dyDescent="0.45">
      <c r="B78" s="50">
        <v>51.8</v>
      </c>
      <c r="C78" s="1">
        <v>48.536999999999999</v>
      </c>
      <c r="D78" s="1">
        <v>48.54</v>
      </c>
      <c r="E78" s="25">
        <v>48.536999999999999</v>
      </c>
      <c r="J78" s="50">
        <v>51.8</v>
      </c>
      <c r="K78" s="1">
        <v>41.521000000000001</v>
      </c>
      <c r="L78" s="1">
        <v>41.515000000000001</v>
      </c>
      <c r="M78" s="25">
        <v>41.509</v>
      </c>
      <c r="S78" s="50">
        <v>51.8</v>
      </c>
      <c r="T78" s="1">
        <v>48.587000000000003</v>
      </c>
      <c r="U78" s="1">
        <v>48.585000000000001</v>
      </c>
      <c r="V78" s="1">
        <v>49.868000000000002</v>
      </c>
      <c r="W78" s="1">
        <v>49.999000000000002</v>
      </c>
      <c r="X78" s="25">
        <v>46.503</v>
      </c>
      <c r="AD78" s="50">
        <v>51.8</v>
      </c>
      <c r="AE78" s="1">
        <v>44.76</v>
      </c>
      <c r="AF78" s="1">
        <v>49.241999999999997</v>
      </c>
      <c r="AG78" s="1">
        <v>40.122</v>
      </c>
      <c r="AH78" s="1">
        <v>40.002000000000002</v>
      </c>
      <c r="AI78" s="25">
        <v>44.255000000000003</v>
      </c>
      <c r="AS78" s="1">
        <v>48.536999999999999</v>
      </c>
      <c r="AT78" s="1">
        <v>49.868000000000002</v>
      </c>
    </row>
    <row r="79" spans="2:46" x14ac:dyDescent="0.45">
      <c r="B79" s="50">
        <v>52.5</v>
      </c>
      <c r="C79" s="1">
        <v>48.539000000000001</v>
      </c>
      <c r="D79" s="1">
        <v>48.543999999999997</v>
      </c>
      <c r="E79" s="25">
        <v>48.539000000000001</v>
      </c>
      <c r="J79" s="50">
        <v>52.5</v>
      </c>
      <c r="K79" s="1">
        <v>41.521000000000001</v>
      </c>
      <c r="L79" s="1">
        <v>41.515999999999998</v>
      </c>
      <c r="M79" s="25">
        <v>41.51</v>
      </c>
      <c r="S79" s="50">
        <v>52.5</v>
      </c>
      <c r="T79" s="1">
        <v>48.587000000000003</v>
      </c>
      <c r="U79" s="1">
        <v>48.584000000000003</v>
      </c>
      <c r="V79" s="1">
        <v>49.875</v>
      </c>
      <c r="W79" s="1">
        <v>49.991999999999997</v>
      </c>
      <c r="X79" s="25">
        <v>46.503999999999998</v>
      </c>
      <c r="AD79" s="50">
        <v>52.5</v>
      </c>
      <c r="AE79" s="1">
        <v>44.223999999999997</v>
      </c>
      <c r="AF79" s="1">
        <v>49.241</v>
      </c>
      <c r="AG79" s="1">
        <v>40.124000000000002</v>
      </c>
      <c r="AH79" s="1">
        <v>40</v>
      </c>
      <c r="AI79" s="25">
        <v>44.255000000000003</v>
      </c>
      <c r="AS79" s="1">
        <v>48.539000000000001</v>
      </c>
      <c r="AT79" s="1">
        <v>49.875</v>
      </c>
    </row>
    <row r="80" spans="2:46" x14ac:dyDescent="0.45">
      <c r="B80" s="50">
        <v>53.199999999999996</v>
      </c>
      <c r="C80" s="1">
        <v>48.539000000000001</v>
      </c>
      <c r="D80" s="1">
        <v>48.543999999999997</v>
      </c>
      <c r="E80" s="25">
        <v>48.54</v>
      </c>
      <c r="J80" s="50">
        <v>53.199999999999996</v>
      </c>
      <c r="K80" s="1">
        <v>41.518999999999998</v>
      </c>
      <c r="L80" s="1">
        <v>41.515999999999998</v>
      </c>
      <c r="M80" s="25">
        <v>41.506999999999998</v>
      </c>
      <c r="S80" s="50">
        <v>53.199999999999996</v>
      </c>
      <c r="T80" s="1">
        <v>48.591999999999999</v>
      </c>
      <c r="U80" s="1">
        <v>48.58</v>
      </c>
      <c r="V80" s="1">
        <v>49.954999999999998</v>
      </c>
      <c r="W80" s="1">
        <v>49.997</v>
      </c>
      <c r="X80" s="25">
        <v>46.500999999999998</v>
      </c>
      <c r="AD80" s="50">
        <v>53.199999999999996</v>
      </c>
      <c r="AE80" s="1">
        <v>44.095999999999997</v>
      </c>
      <c r="AF80" s="1">
        <v>49.246000000000002</v>
      </c>
      <c r="AG80" s="1">
        <v>40.125</v>
      </c>
      <c r="AH80" s="1">
        <v>40</v>
      </c>
      <c r="AI80" s="25">
        <v>43.185000000000002</v>
      </c>
      <c r="AS80" s="1">
        <v>48.539000000000001</v>
      </c>
      <c r="AT80" s="1">
        <v>49.954999999999998</v>
      </c>
    </row>
    <row r="81" spans="2:46" x14ac:dyDescent="0.45">
      <c r="B81" s="50">
        <v>53.9</v>
      </c>
      <c r="C81" s="1">
        <v>48.536999999999999</v>
      </c>
      <c r="D81" s="1">
        <v>48.54</v>
      </c>
      <c r="E81" s="25">
        <v>48.539000000000001</v>
      </c>
      <c r="J81" s="50">
        <v>53.9</v>
      </c>
      <c r="K81" s="1">
        <v>41.523000000000003</v>
      </c>
      <c r="L81" s="1">
        <v>41.515999999999998</v>
      </c>
      <c r="M81" s="25">
        <v>41.514000000000003</v>
      </c>
      <c r="S81" s="50">
        <v>53.9</v>
      </c>
      <c r="T81" s="1">
        <v>48.585000000000001</v>
      </c>
      <c r="U81" s="1">
        <v>48.582000000000001</v>
      </c>
      <c r="V81" s="1">
        <v>49.951000000000001</v>
      </c>
      <c r="W81" s="1">
        <v>49.999000000000002</v>
      </c>
      <c r="X81" s="25">
        <v>46.5</v>
      </c>
      <c r="AD81" s="50">
        <v>53.9</v>
      </c>
      <c r="AE81" s="1">
        <v>44.093000000000004</v>
      </c>
      <c r="AF81" s="1">
        <v>49.241999999999997</v>
      </c>
      <c r="AG81" s="1">
        <v>40.122</v>
      </c>
      <c r="AH81" s="1">
        <v>39.999000000000002</v>
      </c>
      <c r="AI81" s="25">
        <v>43.177999999999997</v>
      </c>
      <c r="AS81" s="1">
        <v>48.536999999999999</v>
      </c>
      <c r="AT81" s="1">
        <v>49.951000000000001</v>
      </c>
    </row>
    <row r="82" spans="2:46" x14ac:dyDescent="0.45">
      <c r="B82" s="50">
        <v>54.599999999999994</v>
      </c>
      <c r="C82" s="1">
        <v>48.539000000000001</v>
      </c>
      <c r="D82" s="1">
        <v>48.54</v>
      </c>
      <c r="E82" s="25">
        <v>48.542000000000002</v>
      </c>
      <c r="J82" s="50">
        <v>54.599999999999994</v>
      </c>
      <c r="K82" s="1">
        <v>41.521000000000001</v>
      </c>
      <c r="L82" s="1">
        <v>41.515000000000001</v>
      </c>
      <c r="M82" s="25">
        <v>41.512</v>
      </c>
      <c r="S82" s="50">
        <v>54.599999999999994</v>
      </c>
      <c r="T82" s="1">
        <v>48.587000000000003</v>
      </c>
      <c r="U82" s="1">
        <v>48.58</v>
      </c>
      <c r="V82" s="1">
        <v>49.953000000000003</v>
      </c>
      <c r="W82" s="1">
        <v>49.999000000000002</v>
      </c>
      <c r="X82" s="25">
        <v>46.500999999999998</v>
      </c>
      <c r="AD82" s="50">
        <v>54.599999999999994</v>
      </c>
      <c r="AE82" s="1">
        <v>44.094000000000001</v>
      </c>
      <c r="AF82" s="1">
        <v>49.246000000000002</v>
      </c>
      <c r="AG82" s="1">
        <v>40.125</v>
      </c>
      <c r="AH82" s="1">
        <v>40</v>
      </c>
      <c r="AI82" s="25">
        <v>43.176000000000002</v>
      </c>
      <c r="AS82" s="1">
        <v>48.539000000000001</v>
      </c>
      <c r="AT82" s="1">
        <v>49.953000000000003</v>
      </c>
    </row>
    <row r="83" spans="2:46" x14ac:dyDescent="0.45">
      <c r="B83" s="50">
        <v>55.3</v>
      </c>
      <c r="C83" s="1">
        <v>48.539000000000001</v>
      </c>
      <c r="D83" s="1">
        <v>48.542000000000002</v>
      </c>
      <c r="E83" s="25">
        <v>48.533999999999999</v>
      </c>
      <c r="J83" s="50">
        <v>55.3</v>
      </c>
      <c r="K83" s="1">
        <v>41.524999999999999</v>
      </c>
      <c r="L83" s="1">
        <v>41.515999999999998</v>
      </c>
      <c r="M83" s="25">
        <v>41.509</v>
      </c>
      <c r="S83" s="50">
        <v>55.3</v>
      </c>
      <c r="T83" s="1">
        <v>48.588000000000001</v>
      </c>
      <c r="U83" s="1">
        <v>48.584000000000003</v>
      </c>
      <c r="V83" s="1">
        <v>49.95</v>
      </c>
      <c r="W83" s="1">
        <v>50</v>
      </c>
      <c r="X83" s="25">
        <v>46.503</v>
      </c>
      <c r="AD83" s="50">
        <v>55.3</v>
      </c>
      <c r="AE83" s="1">
        <v>44.09</v>
      </c>
      <c r="AF83" s="1">
        <v>49.182000000000002</v>
      </c>
      <c r="AG83" s="1">
        <v>40.124000000000002</v>
      </c>
      <c r="AH83" s="1">
        <v>40.002000000000002</v>
      </c>
      <c r="AI83" s="25">
        <v>43.177999999999997</v>
      </c>
      <c r="AS83" s="1">
        <v>48.539000000000001</v>
      </c>
      <c r="AT83" s="1">
        <v>49.95</v>
      </c>
    </row>
    <row r="84" spans="2:46" x14ac:dyDescent="0.45">
      <c r="B84" s="50">
        <v>56</v>
      </c>
      <c r="C84" s="1">
        <v>48.536999999999999</v>
      </c>
      <c r="D84" s="1">
        <v>48.542000000000002</v>
      </c>
      <c r="E84" s="25">
        <v>48.539000000000001</v>
      </c>
      <c r="J84" s="50">
        <v>56</v>
      </c>
      <c r="K84" s="1">
        <v>41.521999999999998</v>
      </c>
      <c r="L84" s="1">
        <v>41.514000000000003</v>
      </c>
      <c r="M84" s="25">
        <v>41.51</v>
      </c>
      <c r="S84" s="50">
        <v>56</v>
      </c>
      <c r="T84" s="1">
        <v>48.588000000000001</v>
      </c>
      <c r="U84" s="1">
        <v>48.584000000000003</v>
      </c>
      <c r="V84" s="1">
        <v>49.95</v>
      </c>
      <c r="W84" s="1">
        <v>50.002000000000002</v>
      </c>
      <c r="X84" s="25">
        <v>46.503999999999998</v>
      </c>
      <c r="AD84" s="50">
        <v>56</v>
      </c>
      <c r="AE84" s="1">
        <v>44.093000000000004</v>
      </c>
      <c r="AF84" s="1">
        <v>49.093000000000004</v>
      </c>
      <c r="AG84" s="1">
        <v>40.122999999999998</v>
      </c>
      <c r="AH84" s="1">
        <v>40.002000000000002</v>
      </c>
      <c r="AI84" s="25">
        <v>43.176000000000002</v>
      </c>
      <c r="AS84" s="1">
        <v>48.536999999999999</v>
      </c>
      <c r="AT84" s="1">
        <v>49.95</v>
      </c>
    </row>
    <row r="85" spans="2:46" x14ac:dyDescent="0.45">
      <c r="B85" s="50">
        <v>56.699999999999996</v>
      </c>
      <c r="C85" s="1">
        <v>48.536000000000001</v>
      </c>
      <c r="D85" s="1">
        <v>48.542000000000002</v>
      </c>
      <c r="E85" s="25">
        <v>48.536999999999999</v>
      </c>
      <c r="J85" s="50">
        <v>56.699999999999996</v>
      </c>
      <c r="K85" s="1">
        <v>41.523000000000003</v>
      </c>
      <c r="L85" s="1">
        <v>41.518000000000001</v>
      </c>
      <c r="M85" s="25">
        <v>41.51</v>
      </c>
      <c r="S85" s="50">
        <v>56.699999999999996</v>
      </c>
      <c r="T85" s="1">
        <v>48.584000000000003</v>
      </c>
      <c r="U85" s="1">
        <v>48.587000000000003</v>
      </c>
      <c r="V85" s="1">
        <v>49.945999999999998</v>
      </c>
      <c r="W85" s="1">
        <v>50.002000000000002</v>
      </c>
      <c r="X85" s="25">
        <v>46.500999999999998</v>
      </c>
      <c r="AD85" s="50">
        <v>56.699999999999996</v>
      </c>
      <c r="AE85" s="1">
        <v>44.091999999999999</v>
      </c>
      <c r="AF85" s="1">
        <v>49.091000000000001</v>
      </c>
      <c r="AG85" s="1">
        <v>40.058999999999997</v>
      </c>
      <c r="AH85" s="1">
        <v>40.000999999999998</v>
      </c>
      <c r="AI85" s="25">
        <v>43.173999999999999</v>
      </c>
      <c r="AS85" s="1">
        <v>48.536000000000001</v>
      </c>
      <c r="AT85" s="1">
        <v>49.945999999999998</v>
      </c>
    </row>
    <row r="86" spans="2:46" x14ac:dyDescent="0.45">
      <c r="B86" s="50">
        <v>57.4</v>
      </c>
      <c r="C86" s="1">
        <v>48.536999999999999</v>
      </c>
      <c r="D86" s="1">
        <v>48.54</v>
      </c>
      <c r="E86" s="25">
        <v>48.536999999999999</v>
      </c>
      <c r="J86" s="50">
        <v>57.4</v>
      </c>
      <c r="K86" s="1">
        <v>41.521999999999998</v>
      </c>
      <c r="L86" s="1">
        <v>41.517000000000003</v>
      </c>
      <c r="M86" s="25">
        <v>41.51</v>
      </c>
      <c r="S86" s="50">
        <v>57.4</v>
      </c>
      <c r="T86" s="1">
        <v>48.587000000000003</v>
      </c>
      <c r="U86" s="1">
        <v>48.58</v>
      </c>
      <c r="V86" s="1">
        <v>49.951000000000001</v>
      </c>
      <c r="W86" s="1">
        <v>50.002000000000002</v>
      </c>
      <c r="X86" s="25">
        <v>47.031999999999996</v>
      </c>
      <c r="AD86" s="50">
        <v>57.4</v>
      </c>
      <c r="AE86" s="1">
        <v>44.094000000000001</v>
      </c>
      <c r="AF86" s="1">
        <v>49.093000000000004</v>
      </c>
      <c r="AG86" s="1">
        <v>40.06</v>
      </c>
      <c r="AH86" s="1">
        <v>40.000999999999998</v>
      </c>
      <c r="AI86" s="25">
        <v>43.174999999999997</v>
      </c>
      <c r="AS86" s="1">
        <v>48.536999999999999</v>
      </c>
      <c r="AT86" s="1">
        <v>49.951000000000001</v>
      </c>
    </row>
    <row r="87" spans="2:46" x14ac:dyDescent="0.45">
      <c r="B87" s="50">
        <v>58.099999999999994</v>
      </c>
      <c r="C87" s="1">
        <v>48.54</v>
      </c>
      <c r="D87" s="1">
        <v>48.539000000000001</v>
      </c>
      <c r="E87" s="25">
        <v>48.536999999999999</v>
      </c>
      <c r="J87" s="50">
        <v>58.099999999999994</v>
      </c>
      <c r="K87" s="1">
        <v>41.521999999999998</v>
      </c>
      <c r="L87" s="1">
        <v>41.512</v>
      </c>
      <c r="M87" s="25">
        <v>41.508000000000003</v>
      </c>
      <c r="S87" s="50">
        <v>58.099999999999994</v>
      </c>
      <c r="T87" s="1">
        <v>48.587000000000003</v>
      </c>
      <c r="U87" s="1">
        <v>48.584000000000003</v>
      </c>
      <c r="V87" s="1">
        <v>49.954999999999998</v>
      </c>
      <c r="W87" s="1">
        <v>50.003999999999998</v>
      </c>
      <c r="X87" s="25">
        <v>47.662999999999997</v>
      </c>
      <c r="AD87" s="50">
        <v>58.099999999999994</v>
      </c>
      <c r="AE87" s="1">
        <v>44.09</v>
      </c>
      <c r="AF87" s="1">
        <v>49.091000000000001</v>
      </c>
      <c r="AG87" s="1">
        <v>40.061</v>
      </c>
      <c r="AH87" s="1">
        <v>39.999000000000002</v>
      </c>
      <c r="AI87" s="25">
        <v>43.18</v>
      </c>
      <c r="AS87" s="1">
        <v>48.54</v>
      </c>
      <c r="AT87" s="1">
        <v>49.954999999999998</v>
      </c>
    </row>
    <row r="88" spans="2:46" x14ac:dyDescent="0.45">
      <c r="B88" s="50">
        <v>58.8</v>
      </c>
      <c r="C88" s="1">
        <v>48.530999999999999</v>
      </c>
      <c r="D88" s="1">
        <v>48.536000000000001</v>
      </c>
      <c r="E88" s="25">
        <v>48.539000000000001</v>
      </c>
      <c r="J88" s="50">
        <v>58.8</v>
      </c>
      <c r="K88" s="1">
        <v>41.276000000000003</v>
      </c>
      <c r="L88" s="1">
        <v>41.27</v>
      </c>
      <c r="M88" s="25">
        <v>41.267000000000003</v>
      </c>
      <c r="S88" s="50">
        <v>58.8</v>
      </c>
      <c r="T88" s="1">
        <v>48.587000000000003</v>
      </c>
      <c r="U88" s="1">
        <v>48.584000000000003</v>
      </c>
      <c r="V88" s="1">
        <v>49.954999999999998</v>
      </c>
      <c r="W88" s="1">
        <v>50.005000000000003</v>
      </c>
      <c r="X88" s="25">
        <v>47.665999999999997</v>
      </c>
      <c r="AD88" s="50">
        <v>58.8</v>
      </c>
      <c r="AE88" s="1">
        <v>44.093000000000004</v>
      </c>
      <c r="AF88" s="1">
        <v>49.093000000000004</v>
      </c>
      <c r="AG88" s="1">
        <v>40.06</v>
      </c>
      <c r="AH88" s="1">
        <v>40.000999999999998</v>
      </c>
      <c r="AI88" s="25">
        <v>43.177999999999997</v>
      </c>
      <c r="AS88" s="1">
        <v>48.530999999999999</v>
      </c>
      <c r="AT88" s="1">
        <v>49.954999999999998</v>
      </c>
    </row>
    <row r="89" spans="2:46" x14ac:dyDescent="0.45">
      <c r="B89" s="50">
        <v>59.499999999999993</v>
      </c>
      <c r="C89" s="1">
        <v>48.536999999999999</v>
      </c>
      <c r="D89" s="1">
        <v>48.536999999999999</v>
      </c>
      <c r="E89" s="25">
        <v>48.536999999999999</v>
      </c>
      <c r="J89" s="50">
        <v>59.499999999999993</v>
      </c>
      <c r="K89" s="1">
        <v>41.118000000000002</v>
      </c>
      <c r="L89" s="1">
        <v>41.107999999999997</v>
      </c>
      <c r="M89" s="25">
        <v>41.113</v>
      </c>
      <c r="S89" s="50">
        <v>59.499999999999993</v>
      </c>
      <c r="T89" s="1">
        <v>48.59</v>
      </c>
      <c r="U89" s="1">
        <v>48.587000000000003</v>
      </c>
      <c r="V89" s="1">
        <v>49.951000000000001</v>
      </c>
      <c r="W89" s="1">
        <v>50.003999999999998</v>
      </c>
      <c r="X89" s="25">
        <v>47.665999999999997</v>
      </c>
      <c r="AD89" s="50">
        <v>59.499999999999993</v>
      </c>
      <c r="AE89" s="1">
        <v>44.094000000000001</v>
      </c>
      <c r="AF89" s="1">
        <v>49.095999999999997</v>
      </c>
      <c r="AG89" s="1">
        <v>40.06</v>
      </c>
      <c r="AH89" s="1">
        <v>40</v>
      </c>
      <c r="AI89" s="25">
        <v>43.177999999999997</v>
      </c>
      <c r="AS89" s="1">
        <v>48.536999999999999</v>
      </c>
      <c r="AT89" s="1">
        <v>49.951000000000001</v>
      </c>
    </row>
    <row r="90" spans="2:46" x14ac:dyDescent="0.45">
      <c r="B90" s="50">
        <v>60.199999999999996</v>
      </c>
      <c r="C90" s="1">
        <v>48.536999999999999</v>
      </c>
      <c r="D90" s="1">
        <v>48.539000000000001</v>
      </c>
      <c r="E90" s="25">
        <v>48.539000000000001</v>
      </c>
      <c r="J90" s="50">
        <v>60.199999999999996</v>
      </c>
      <c r="K90" s="1">
        <v>41.116</v>
      </c>
      <c r="L90" s="1">
        <v>41.106999999999999</v>
      </c>
      <c r="M90" s="25">
        <v>41.116</v>
      </c>
      <c r="S90" s="50">
        <v>60.199999999999996</v>
      </c>
      <c r="T90" s="1">
        <v>48.585000000000001</v>
      </c>
      <c r="U90" s="1">
        <v>48.584000000000003</v>
      </c>
      <c r="V90" s="1">
        <v>49.954999999999998</v>
      </c>
      <c r="W90" s="1">
        <v>50.003999999999998</v>
      </c>
      <c r="X90" s="25">
        <v>47.667999999999999</v>
      </c>
      <c r="AD90" s="50">
        <v>60.199999999999996</v>
      </c>
      <c r="AE90" s="1">
        <v>44.094000000000001</v>
      </c>
      <c r="AF90" s="1">
        <v>49.09</v>
      </c>
      <c r="AG90" s="1">
        <v>40.063000000000002</v>
      </c>
      <c r="AH90" s="1">
        <v>40.000999999999998</v>
      </c>
      <c r="AI90" s="25">
        <v>43.177999999999997</v>
      </c>
      <c r="AS90" s="1">
        <v>48.536999999999999</v>
      </c>
      <c r="AT90" s="1">
        <v>49.954999999999998</v>
      </c>
    </row>
    <row r="91" spans="2:46" x14ac:dyDescent="0.45">
      <c r="B91" s="50">
        <v>60.9</v>
      </c>
      <c r="C91" s="1">
        <v>48.984000000000002</v>
      </c>
      <c r="D91" s="1">
        <v>48.988999999999997</v>
      </c>
      <c r="E91" s="25">
        <v>48.978999999999999</v>
      </c>
      <c r="J91" s="50">
        <v>60.9</v>
      </c>
      <c r="K91" s="1">
        <v>41.119</v>
      </c>
      <c r="L91" s="1">
        <v>41.106999999999999</v>
      </c>
      <c r="M91" s="25">
        <v>41.113</v>
      </c>
      <c r="S91" s="50">
        <v>60.9</v>
      </c>
      <c r="T91" s="1">
        <v>49.027999999999999</v>
      </c>
      <c r="U91" s="1">
        <v>49.018000000000001</v>
      </c>
      <c r="V91" s="1">
        <v>49.951000000000001</v>
      </c>
      <c r="W91" s="1">
        <v>49.999000000000002</v>
      </c>
      <c r="X91" s="25">
        <v>47.664999999999999</v>
      </c>
      <c r="AD91" s="50">
        <v>60.9</v>
      </c>
      <c r="AE91" s="1">
        <v>44.094000000000001</v>
      </c>
      <c r="AF91" s="1">
        <v>49.094999999999999</v>
      </c>
      <c r="AG91" s="1">
        <v>40.063000000000002</v>
      </c>
      <c r="AH91" s="1">
        <v>40.002000000000002</v>
      </c>
      <c r="AI91" s="25">
        <v>43.179000000000002</v>
      </c>
      <c r="AS91" s="1">
        <v>48.984000000000002</v>
      </c>
      <c r="AT91" s="1">
        <v>49.951000000000001</v>
      </c>
    </row>
    <row r="92" spans="2:46" x14ac:dyDescent="0.45">
      <c r="B92" s="50">
        <v>61.599999999999994</v>
      </c>
      <c r="C92" s="1">
        <v>48.987000000000002</v>
      </c>
      <c r="D92" s="1">
        <v>48.987000000000002</v>
      </c>
      <c r="E92" s="25">
        <v>48.978999999999999</v>
      </c>
      <c r="J92" s="50">
        <v>61.599999999999994</v>
      </c>
      <c r="K92" s="1">
        <v>41.119</v>
      </c>
      <c r="L92" s="1">
        <v>41.107999999999997</v>
      </c>
      <c r="M92" s="25">
        <v>41.113999999999997</v>
      </c>
      <c r="S92" s="50">
        <v>61.599999999999994</v>
      </c>
      <c r="T92" s="1">
        <v>49.026000000000003</v>
      </c>
      <c r="U92" s="1">
        <v>49.023000000000003</v>
      </c>
      <c r="V92" s="1">
        <v>49.95</v>
      </c>
      <c r="W92" s="1">
        <v>50</v>
      </c>
      <c r="X92" s="25">
        <v>47.665999999999997</v>
      </c>
      <c r="AD92" s="50">
        <v>61.599999999999994</v>
      </c>
      <c r="AE92" s="1">
        <v>43.52</v>
      </c>
      <c r="AF92" s="1">
        <v>49.094999999999999</v>
      </c>
      <c r="AG92" s="1">
        <v>40.061999999999998</v>
      </c>
      <c r="AH92" s="1">
        <v>40.002000000000002</v>
      </c>
      <c r="AI92" s="25">
        <v>42.847999999999999</v>
      </c>
      <c r="AS92" s="1">
        <v>48.987000000000002</v>
      </c>
      <c r="AT92" s="1">
        <v>49.95</v>
      </c>
    </row>
    <row r="93" spans="2:46" x14ac:dyDescent="0.45">
      <c r="B93" s="50">
        <v>62.3</v>
      </c>
      <c r="C93" s="1">
        <v>48.987000000000002</v>
      </c>
      <c r="D93" s="1">
        <v>48.987000000000002</v>
      </c>
      <c r="E93" s="25">
        <v>48.978999999999999</v>
      </c>
      <c r="J93" s="50">
        <v>62.3</v>
      </c>
      <c r="K93" s="1">
        <v>41.118000000000002</v>
      </c>
      <c r="L93" s="1">
        <v>41.106000000000002</v>
      </c>
      <c r="M93" s="25">
        <v>41.113</v>
      </c>
      <c r="S93" s="50">
        <v>62.3</v>
      </c>
      <c r="T93" s="1">
        <v>49.024999999999999</v>
      </c>
      <c r="U93" s="1">
        <v>49.02</v>
      </c>
      <c r="V93" s="1">
        <v>49.953000000000003</v>
      </c>
      <c r="W93" s="1">
        <v>50</v>
      </c>
      <c r="X93" s="25">
        <v>47.661999999999999</v>
      </c>
      <c r="AD93" s="50">
        <v>62.3</v>
      </c>
      <c r="AE93" s="1">
        <v>43.52</v>
      </c>
      <c r="AF93" s="1">
        <v>49.09</v>
      </c>
      <c r="AG93" s="1">
        <v>40.063000000000002</v>
      </c>
      <c r="AH93" s="1">
        <v>40.002000000000002</v>
      </c>
      <c r="AI93" s="25">
        <v>42.11</v>
      </c>
      <c r="AS93" s="1">
        <v>48.987000000000002</v>
      </c>
      <c r="AT93" s="1">
        <v>49.953000000000003</v>
      </c>
    </row>
    <row r="94" spans="2:46" x14ac:dyDescent="0.45">
      <c r="B94" s="50">
        <v>62.999999999999993</v>
      </c>
      <c r="C94" s="1">
        <v>48.984000000000002</v>
      </c>
      <c r="D94" s="1">
        <v>48.984999999999999</v>
      </c>
      <c r="E94" s="25">
        <v>48.981999999999999</v>
      </c>
      <c r="J94" s="50">
        <v>62.999999999999993</v>
      </c>
      <c r="K94" s="1">
        <v>41.12</v>
      </c>
      <c r="L94" s="1">
        <v>41.106000000000002</v>
      </c>
      <c r="M94" s="25">
        <v>41.113</v>
      </c>
      <c r="S94" s="50">
        <v>62.999999999999993</v>
      </c>
      <c r="T94" s="1">
        <v>49.021000000000001</v>
      </c>
      <c r="U94" s="1">
        <v>49.021000000000001</v>
      </c>
      <c r="V94" s="1">
        <v>49.982999999999997</v>
      </c>
      <c r="W94" s="1">
        <v>50</v>
      </c>
      <c r="X94" s="25">
        <v>47.662999999999997</v>
      </c>
      <c r="AD94" s="50">
        <v>62.999999999999993</v>
      </c>
      <c r="AE94" s="1">
        <v>43.521999999999998</v>
      </c>
      <c r="AF94" s="1">
        <v>49.093000000000004</v>
      </c>
      <c r="AG94" s="1">
        <v>40.058999999999997</v>
      </c>
      <c r="AH94" s="1">
        <v>40.000999999999998</v>
      </c>
      <c r="AI94" s="25">
        <v>42.11</v>
      </c>
      <c r="AS94" s="1">
        <v>48.984000000000002</v>
      </c>
      <c r="AT94" s="1">
        <v>49.982999999999997</v>
      </c>
    </row>
    <row r="95" spans="2:46" x14ac:dyDescent="0.45">
      <c r="B95" s="50">
        <v>63.699999999999996</v>
      </c>
      <c r="C95" s="1">
        <v>48.987000000000002</v>
      </c>
      <c r="D95" s="1">
        <v>48.987000000000002</v>
      </c>
      <c r="E95" s="25">
        <v>48.976999999999997</v>
      </c>
      <c r="J95" s="50">
        <v>63.699999999999996</v>
      </c>
      <c r="K95" s="1">
        <v>41.119</v>
      </c>
      <c r="L95" s="1">
        <v>41.107999999999997</v>
      </c>
      <c r="M95" s="25">
        <v>41.115000000000002</v>
      </c>
      <c r="S95" s="50">
        <v>63.699999999999996</v>
      </c>
      <c r="T95" s="1">
        <v>49.026000000000003</v>
      </c>
      <c r="U95" s="1">
        <v>49.021000000000001</v>
      </c>
      <c r="V95" s="1">
        <v>49.981999999999999</v>
      </c>
      <c r="W95" s="1">
        <v>49.999000000000002</v>
      </c>
      <c r="X95" s="25">
        <v>47.665999999999997</v>
      </c>
      <c r="AD95" s="50">
        <v>63.699999999999996</v>
      </c>
      <c r="AE95" s="1">
        <v>43.523000000000003</v>
      </c>
      <c r="AF95" s="1">
        <v>49.093000000000004</v>
      </c>
      <c r="AG95" s="1">
        <v>40.063000000000002</v>
      </c>
      <c r="AH95" s="1">
        <v>40</v>
      </c>
      <c r="AI95" s="25">
        <v>42.104999999999997</v>
      </c>
      <c r="AS95" s="1">
        <v>48.987000000000002</v>
      </c>
      <c r="AT95" s="1">
        <v>49.981999999999999</v>
      </c>
    </row>
    <row r="96" spans="2:46" x14ac:dyDescent="0.45">
      <c r="B96" s="50">
        <v>64.399999999999991</v>
      </c>
      <c r="C96" s="1">
        <v>48.987000000000002</v>
      </c>
      <c r="D96" s="1">
        <v>48.988999999999997</v>
      </c>
      <c r="E96" s="25">
        <v>48.981999999999999</v>
      </c>
      <c r="J96" s="50">
        <v>64.399999999999991</v>
      </c>
      <c r="K96" s="1">
        <v>41.116</v>
      </c>
      <c r="L96" s="1">
        <v>41.11</v>
      </c>
      <c r="M96" s="25">
        <v>41.113</v>
      </c>
      <c r="S96" s="50">
        <v>64.399999999999991</v>
      </c>
      <c r="T96" s="1">
        <v>49.024999999999999</v>
      </c>
      <c r="U96" s="1">
        <v>49.021000000000001</v>
      </c>
      <c r="V96" s="1">
        <v>49.98</v>
      </c>
      <c r="W96" s="1">
        <v>50.002000000000002</v>
      </c>
      <c r="X96" s="25">
        <v>47.664999999999999</v>
      </c>
      <c r="AD96" s="50">
        <v>64.399999999999991</v>
      </c>
      <c r="AE96" s="1">
        <v>43.52</v>
      </c>
      <c r="AF96" s="1">
        <v>49.091000000000001</v>
      </c>
      <c r="AG96" s="1">
        <v>40.057000000000002</v>
      </c>
      <c r="AH96" s="1">
        <v>40</v>
      </c>
      <c r="AI96" s="25">
        <v>42.110999999999997</v>
      </c>
      <c r="AS96" s="1">
        <v>48.987000000000002</v>
      </c>
      <c r="AT96" s="1">
        <v>49.98</v>
      </c>
    </row>
    <row r="97" spans="2:46" x14ac:dyDescent="0.45">
      <c r="B97" s="50">
        <v>65.099999999999994</v>
      </c>
      <c r="C97" s="1">
        <v>48.984999999999999</v>
      </c>
      <c r="D97" s="1">
        <v>48.984000000000002</v>
      </c>
      <c r="E97" s="25">
        <v>48.981000000000002</v>
      </c>
      <c r="J97" s="50">
        <v>65.099999999999994</v>
      </c>
      <c r="K97" s="1">
        <v>41.119</v>
      </c>
      <c r="L97" s="1">
        <v>41.11</v>
      </c>
      <c r="M97" s="25">
        <v>41.113</v>
      </c>
      <c r="S97" s="50">
        <v>65.099999999999994</v>
      </c>
      <c r="T97" s="1">
        <v>49.023000000000003</v>
      </c>
      <c r="U97" s="1">
        <v>49.023000000000003</v>
      </c>
      <c r="V97" s="1">
        <v>49.976999999999997</v>
      </c>
      <c r="W97" s="1">
        <v>50.002000000000002</v>
      </c>
      <c r="X97" s="25">
        <v>47.664999999999999</v>
      </c>
      <c r="AD97" s="50">
        <v>65.099999999999994</v>
      </c>
      <c r="AE97" s="1">
        <v>43.523000000000003</v>
      </c>
      <c r="AF97" s="1">
        <v>49.021000000000001</v>
      </c>
      <c r="AG97" s="1">
        <v>40.029000000000003</v>
      </c>
      <c r="AH97" s="1">
        <v>40.002000000000002</v>
      </c>
      <c r="AI97" s="25">
        <v>42.110999999999997</v>
      </c>
      <c r="AS97" s="1">
        <v>48.984999999999999</v>
      </c>
      <c r="AT97" s="1">
        <v>49.976999999999997</v>
      </c>
    </row>
    <row r="98" spans="2:46" x14ac:dyDescent="0.45">
      <c r="B98" s="50">
        <v>65.8</v>
      </c>
      <c r="C98" s="1">
        <v>48.984999999999999</v>
      </c>
      <c r="D98" s="1">
        <v>48.987000000000002</v>
      </c>
      <c r="E98" s="25">
        <v>48.978999999999999</v>
      </c>
      <c r="J98" s="50">
        <v>65.8</v>
      </c>
      <c r="K98" s="1">
        <v>41.12</v>
      </c>
      <c r="L98" s="1">
        <v>41.11</v>
      </c>
      <c r="M98" s="25">
        <v>41.112000000000002</v>
      </c>
      <c r="S98" s="50">
        <v>65.8</v>
      </c>
      <c r="T98" s="1">
        <v>49.021000000000001</v>
      </c>
      <c r="U98" s="1">
        <v>49.024999999999999</v>
      </c>
      <c r="V98" s="1">
        <v>49.976999999999997</v>
      </c>
      <c r="W98" s="1">
        <v>49.994999999999997</v>
      </c>
      <c r="X98" s="25">
        <v>47.665999999999997</v>
      </c>
      <c r="AD98" s="50">
        <v>65.8</v>
      </c>
      <c r="AE98" s="1">
        <v>43.521999999999998</v>
      </c>
      <c r="AF98" s="1">
        <v>48.94</v>
      </c>
      <c r="AG98" s="1">
        <v>40.027999999999999</v>
      </c>
      <c r="AH98" s="1">
        <v>39.999000000000002</v>
      </c>
      <c r="AI98" s="25">
        <v>42.109000000000002</v>
      </c>
      <c r="AS98" s="1">
        <v>48.984999999999999</v>
      </c>
      <c r="AT98" s="1">
        <v>49.976999999999997</v>
      </c>
    </row>
    <row r="99" spans="2:46" x14ac:dyDescent="0.45">
      <c r="B99" s="50">
        <v>66.5</v>
      </c>
      <c r="C99" s="1">
        <v>48.987000000000002</v>
      </c>
      <c r="D99" s="1">
        <v>48.988999999999997</v>
      </c>
      <c r="E99" s="25">
        <v>48.981000000000002</v>
      </c>
      <c r="J99" s="50">
        <v>66.5</v>
      </c>
      <c r="K99" s="1">
        <v>41.118000000000002</v>
      </c>
      <c r="L99" s="1">
        <v>41.11</v>
      </c>
      <c r="M99" s="25">
        <v>41.107999999999997</v>
      </c>
      <c r="S99" s="50">
        <v>66.5</v>
      </c>
      <c r="T99" s="1">
        <v>49.023000000000003</v>
      </c>
      <c r="U99" s="1">
        <v>49.02</v>
      </c>
      <c r="V99" s="1">
        <v>49.978000000000002</v>
      </c>
      <c r="W99" s="1">
        <v>50</v>
      </c>
      <c r="X99" s="25">
        <v>47.665999999999997</v>
      </c>
      <c r="AD99" s="50">
        <v>66.5</v>
      </c>
      <c r="AE99" s="1">
        <v>43.523000000000003</v>
      </c>
      <c r="AF99" s="1">
        <v>48.938000000000002</v>
      </c>
      <c r="AG99" s="1">
        <v>40.03</v>
      </c>
      <c r="AH99" s="1">
        <v>40</v>
      </c>
      <c r="AI99" s="25">
        <v>42.109000000000002</v>
      </c>
      <c r="AS99" s="1">
        <v>48.987000000000002</v>
      </c>
      <c r="AT99" s="1">
        <v>49.978000000000002</v>
      </c>
    </row>
    <row r="100" spans="2:46" x14ac:dyDescent="0.45">
      <c r="B100" s="50">
        <v>67.199999999999989</v>
      </c>
      <c r="C100" s="1">
        <v>48.984999999999999</v>
      </c>
      <c r="D100" s="1">
        <v>48.984999999999999</v>
      </c>
      <c r="E100" s="25">
        <v>48.981999999999999</v>
      </c>
      <c r="J100" s="50">
        <v>67.199999999999989</v>
      </c>
      <c r="K100" s="1">
        <v>40.886000000000003</v>
      </c>
      <c r="L100" s="1">
        <v>40.878</v>
      </c>
      <c r="M100" s="25">
        <v>40.881</v>
      </c>
      <c r="S100" s="50">
        <v>67.199999999999989</v>
      </c>
      <c r="T100" s="1">
        <v>49.023000000000003</v>
      </c>
      <c r="U100" s="1">
        <v>49.023000000000003</v>
      </c>
      <c r="V100" s="1">
        <v>49.976999999999997</v>
      </c>
      <c r="W100" s="1">
        <v>50</v>
      </c>
      <c r="X100" s="25">
        <v>48.865000000000002</v>
      </c>
      <c r="AD100" s="50">
        <v>67.199999999999989</v>
      </c>
      <c r="AE100" s="1">
        <v>43.523000000000003</v>
      </c>
      <c r="AF100" s="1">
        <v>48.936999999999998</v>
      </c>
      <c r="AG100" s="1">
        <v>40.033000000000001</v>
      </c>
      <c r="AH100" s="1">
        <v>40</v>
      </c>
      <c r="AI100" s="25">
        <v>42.11</v>
      </c>
      <c r="AS100" s="1">
        <v>48.984999999999999</v>
      </c>
      <c r="AT100" s="1">
        <v>49.976999999999997</v>
      </c>
    </row>
    <row r="101" spans="2:46" x14ac:dyDescent="0.45">
      <c r="B101" s="50">
        <v>67.899999999999991</v>
      </c>
      <c r="C101" s="1">
        <v>48.987000000000002</v>
      </c>
      <c r="D101" s="1">
        <v>48.984999999999999</v>
      </c>
      <c r="E101" s="25">
        <v>48.984999999999999</v>
      </c>
      <c r="J101" s="50">
        <v>67.899999999999991</v>
      </c>
      <c r="K101" s="1">
        <v>40.823999999999998</v>
      </c>
      <c r="L101" s="1">
        <v>40.816000000000003</v>
      </c>
      <c r="M101" s="25">
        <v>40.823999999999998</v>
      </c>
      <c r="S101" s="50">
        <v>67.899999999999991</v>
      </c>
      <c r="T101" s="1">
        <v>49.023000000000003</v>
      </c>
      <c r="U101" s="1">
        <v>49.021000000000001</v>
      </c>
      <c r="V101" s="1">
        <v>49.98</v>
      </c>
      <c r="W101" s="1">
        <v>50</v>
      </c>
      <c r="X101" s="25">
        <v>48.863999999999997</v>
      </c>
      <c r="AD101" s="50">
        <v>67.899999999999991</v>
      </c>
      <c r="AE101" s="1">
        <v>43.52</v>
      </c>
      <c r="AF101" s="1">
        <v>48.942</v>
      </c>
      <c r="AG101" s="1">
        <v>40.027000000000001</v>
      </c>
      <c r="AH101" s="1">
        <v>40</v>
      </c>
      <c r="AI101" s="25">
        <v>42.110999999999997</v>
      </c>
      <c r="AS101" s="1">
        <v>48.987000000000002</v>
      </c>
      <c r="AT101" s="1">
        <v>49.98</v>
      </c>
    </row>
    <row r="102" spans="2:46" x14ac:dyDescent="0.45">
      <c r="B102" s="50">
        <v>68.599999999999994</v>
      </c>
      <c r="C102" s="1">
        <v>48.987000000000002</v>
      </c>
      <c r="D102" s="1">
        <v>48.984000000000002</v>
      </c>
      <c r="E102" s="25">
        <v>48.978999999999999</v>
      </c>
      <c r="J102" s="50">
        <v>68.599999999999994</v>
      </c>
      <c r="K102" s="1">
        <v>40.823999999999998</v>
      </c>
      <c r="L102" s="1">
        <v>40.814999999999998</v>
      </c>
      <c r="M102" s="25">
        <v>40.825000000000003</v>
      </c>
      <c r="S102" s="50">
        <v>68.599999999999994</v>
      </c>
      <c r="T102" s="1">
        <v>49.023000000000003</v>
      </c>
      <c r="U102" s="1">
        <v>49.021000000000001</v>
      </c>
      <c r="V102" s="1">
        <v>49.98</v>
      </c>
      <c r="W102" s="1">
        <v>50</v>
      </c>
      <c r="X102" s="25">
        <v>48.87</v>
      </c>
      <c r="AD102" s="50">
        <v>68.599999999999994</v>
      </c>
      <c r="AE102" s="1">
        <v>43.518999999999998</v>
      </c>
      <c r="AF102" s="1">
        <v>48.94</v>
      </c>
      <c r="AG102" s="1">
        <v>40.029000000000003</v>
      </c>
      <c r="AH102" s="1">
        <v>40.003</v>
      </c>
      <c r="AI102" s="25">
        <v>42.112000000000002</v>
      </c>
      <c r="AS102" s="1">
        <v>48.987000000000002</v>
      </c>
      <c r="AT102" s="1">
        <v>49.98</v>
      </c>
    </row>
    <row r="103" spans="2:46" x14ac:dyDescent="0.45">
      <c r="B103" s="50">
        <v>69.3</v>
      </c>
      <c r="C103" s="1">
        <v>48.984999999999999</v>
      </c>
      <c r="D103" s="1">
        <v>48.991999999999997</v>
      </c>
      <c r="E103" s="25">
        <v>48.981000000000002</v>
      </c>
      <c r="J103" s="50">
        <v>69.3</v>
      </c>
      <c r="K103" s="1">
        <v>40.826000000000001</v>
      </c>
      <c r="L103" s="1">
        <v>40.819000000000003</v>
      </c>
      <c r="M103" s="25">
        <v>40.823</v>
      </c>
      <c r="S103" s="50">
        <v>69.3</v>
      </c>
      <c r="T103" s="1">
        <v>49.021000000000001</v>
      </c>
      <c r="U103" s="1">
        <v>49.021000000000001</v>
      </c>
      <c r="V103" s="1">
        <v>49.976999999999997</v>
      </c>
      <c r="W103" s="1">
        <v>50.002000000000002</v>
      </c>
      <c r="X103" s="25">
        <v>48.865000000000002</v>
      </c>
      <c r="AD103" s="50">
        <v>69.3</v>
      </c>
      <c r="AE103" s="1">
        <v>43.518999999999998</v>
      </c>
      <c r="AF103" s="1">
        <v>48.942999999999998</v>
      </c>
      <c r="AG103" s="1">
        <v>40.03</v>
      </c>
      <c r="AH103" s="1">
        <v>40.000999999999998</v>
      </c>
      <c r="AI103" s="25">
        <v>42.110999999999997</v>
      </c>
      <c r="AS103" s="1">
        <v>48.984999999999999</v>
      </c>
      <c r="AT103" s="1">
        <v>49.976999999999997</v>
      </c>
    </row>
    <row r="104" spans="2:46" x14ac:dyDescent="0.45">
      <c r="B104" s="50">
        <v>70</v>
      </c>
      <c r="C104" s="1">
        <v>48.987000000000002</v>
      </c>
      <c r="D104" s="1">
        <v>48.984000000000002</v>
      </c>
      <c r="E104" s="25">
        <v>48.978999999999999</v>
      </c>
      <c r="J104" s="50">
        <v>70</v>
      </c>
      <c r="K104" s="1">
        <v>40.826999999999998</v>
      </c>
      <c r="L104" s="1">
        <v>40.814999999999998</v>
      </c>
      <c r="M104" s="25">
        <v>40.826999999999998</v>
      </c>
      <c r="S104" s="50">
        <v>70</v>
      </c>
      <c r="T104" s="1">
        <v>49.026000000000003</v>
      </c>
      <c r="U104" s="1">
        <v>49.023000000000003</v>
      </c>
      <c r="V104" s="1">
        <v>49.982999999999997</v>
      </c>
      <c r="W104" s="1">
        <v>50</v>
      </c>
      <c r="X104" s="25">
        <v>48.866999999999997</v>
      </c>
      <c r="AD104" s="50">
        <v>70</v>
      </c>
      <c r="AE104" s="1">
        <v>43.279000000000003</v>
      </c>
      <c r="AF104" s="1">
        <v>48.94</v>
      </c>
      <c r="AG104" s="1">
        <v>40.033999999999999</v>
      </c>
      <c r="AH104" s="1">
        <v>39.997999999999998</v>
      </c>
      <c r="AI104" s="25">
        <v>41.774999999999999</v>
      </c>
      <c r="AS104" s="1">
        <v>48.987000000000002</v>
      </c>
      <c r="AT104" s="1">
        <v>49.982999999999997</v>
      </c>
    </row>
    <row r="105" spans="2:46" x14ac:dyDescent="0.45">
      <c r="B105" s="50">
        <v>70.699999999999989</v>
      </c>
      <c r="C105" s="1">
        <v>49.298000000000002</v>
      </c>
      <c r="D105" s="1">
        <v>49.292000000000002</v>
      </c>
      <c r="E105" s="25">
        <v>49.287999999999997</v>
      </c>
      <c r="J105" s="50">
        <v>70.699999999999989</v>
      </c>
      <c r="K105" s="1">
        <v>40.823999999999998</v>
      </c>
      <c r="L105" s="1">
        <v>40.817</v>
      </c>
      <c r="M105" s="25">
        <v>40.825000000000003</v>
      </c>
      <c r="S105" s="50">
        <v>70.699999999999989</v>
      </c>
      <c r="T105" s="1">
        <v>49.317999999999998</v>
      </c>
      <c r="U105" s="1">
        <v>49.32</v>
      </c>
      <c r="V105" s="1">
        <v>49.987000000000002</v>
      </c>
      <c r="W105" s="1">
        <v>50.002000000000002</v>
      </c>
      <c r="X105" s="25">
        <v>48.865000000000002</v>
      </c>
      <c r="AD105" s="50">
        <v>70.699999999999989</v>
      </c>
      <c r="AE105" s="1">
        <v>43.033000000000001</v>
      </c>
      <c r="AF105" s="1">
        <v>48.942999999999998</v>
      </c>
      <c r="AG105" s="1">
        <v>40.027999999999999</v>
      </c>
      <c r="AH105" s="1">
        <v>40.000999999999998</v>
      </c>
      <c r="AI105" s="25">
        <v>41.064999999999998</v>
      </c>
      <c r="AS105" s="1">
        <v>49.298000000000002</v>
      </c>
      <c r="AT105" s="1">
        <v>49.987000000000002</v>
      </c>
    </row>
    <row r="106" spans="2:46" x14ac:dyDescent="0.45">
      <c r="B106" s="50">
        <v>71.399999999999991</v>
      </c>
      <c r="C106" s="1">
        <v>49.292999999999999</v>
      </c>
      <c r="D106" s="1">
        <v>49.298000000000002</v>
      </c>
      <c r="E106" s="25">
        <v>49.287999999999997</v>
      </c>
      <c r="J106" s="50">
        <v>71.399999999999991</v>
      </c>
      <c r="K106" s="1">
        <v>40.823</v>
      </c>
      <c r="L106" s="1">
        <v>40.817999999999998</v>
      </c>
      <c r="M106" s="25">
        <v>40.823</v>
      </c>
      <c r="S106" s="50">
        <v>71.399999999999991</v>
      </c>
      <c r="T106" s="1">
        <v>49.32</v>
      </c>
      <c r="U106" s="1">
        <v>49.323</v>
      </c>
      <c r="V106" s="1">
        <v>49.978000000000002</v>
      </c>
      <c r="W106" s="1">
        <v>50</v>
      </c>
      <c r="X106" s="25">
        <v>48.866999999999997</v>
      </c>
      <c r="AD106" s="50">
        <v>71.399999999999991</v>
      </c>
      <c r="AE106" s="1">
        <v>43.030999999999999</v>
      </c>
      <c r="AF106" s="1">
        <v>48.942999999999998</v>
      </c>
      <c r="AG106" s="1">
        <v>40.027999999999999</v>
      </c>
      <c r="AH106" s="1">
        <v>39.999000000000002</v>
      </c>
      <c r="AI106" s="25">
        <v>41.064</v>
      </c>
      <c r="AS106" s="1">
        <v>49.292999999999999</v>
      </c>
      <c r="AT106" s="1">
        <v>49.978000000000002</v>
      </c>
    </row>
    <row r="107" spans="2:46" x14ac:dyDescent="0.45">
      <c r="B107" s="50">
        <v>72.099999999999994</v>
      </c>
      <c r="C107" s="1">
        <v>49.298000000000002</v>
      </c>
      <c r="D107" s="1">
        <v>49.296999999999997</v>
      </c>
      <c r="E107" s="25">
        <v>49.286999999999999</v>
      </c>
      <c r="J107" s="50">
        <v>72.099999999999994</v>
      </c>
      <c r="K107" s="1">
        <v>40.828000000000003</v>
      </c>
      <c r="L107" s="1">
        <v>40.814999999999998</v>
      </c>
      <c r="M107" s="25">
        <v>40.823999999999998</v>
      </c>
      <c r="S107" s="50">
        <v>72.099999999999994</v>
      </c>
      <c r="T107" s="1">
        <v>49.320999999999998</v>
      </c>
      <c r="U107" s="1">
        <v>49.32</v>
      </c>
      <c r="V107" s="1">
        <v>49.978000000000002</v>
      </c>
      <c r="W107" s="1">
        <v>50</v>
      </c>
      <c r="X107" s="25">
        <v>48.865000000000002</v>
      </c>
      <c r="AD107" s="50">
        <v>72.099999999999994</v>
      </c>
      <c r="AE107" s="1">
        <v>43.03</v>
      </c>
      <c r="AF107" s="1">
        <v>48.94</v>
      </c>
      <c r="AG107" s="1">
        <v>40.03</v>
      </c>
      <c r="AH107" s="1">
        <v>40.000999999999998</v>
      </c>
      <c r="AI107" s="25">
        <v>41.063000000000002</v>
      </c>
      <c r="AS107" s="1">
        <v>49.298000000000002</v>
      </c>
      <c r="AT107" s="1">
        <v>49.978000000000002</v>
      </c>
    </row>
    <row r="108" spans="2:46" x14ac:dyDescent="0.45">
      <c r="B108" s="50">
        <v>72.8</v>
      </c>
      <c r="C108" s="1">
        <v>49.298000000000002</v>
      </c>
      <c r="D108" s="1">
        <v>49.292999999999999</v>
      </c>
      <c r="E108" s="25">
        <v>49.29</v>
      </c>
      <c r="J108" s="50">
        <v>72.8</v>
      </c>
      <c r="K108" s="1">
        <v>40.825000000000003</v>
      </c>
      <c r="L108" s="1">
        <v>40.817</v>
      </c>
      <c r="M108" s="25">
        <v>40.825000000000003</v>
      </c>
      <c r="S108" s="50">
        <v>72.8</v>
      </c>
      <c r="T108" s="1">
        <v>49.320999999999998</v>
      </c>
      <c r="U108" s="1">
        <v>49.325000000000003</v>
      </c>
      <c r="V108" s="1">
        <v>49.994</v>
      </c>
      <c r="W108" s="1">
        <v>50</v>
      </c>
      <c r="X108" s="25">
        <v>48.866999999999997</v>
      </c>
      <c r="AD108" s="50">
        <v>72.8</v>
      </c>
      <c r="AE108" s="1">
        <v>43.036999999999999</v>
      </c>
      <c r="AF108" s="1">
        <v>48.945</v>
      </c>
      <c r="AG108" s="1">
        <v>40.012</v>
      </c>
      <c r="AH108" s="1">
        <v>39.997999999999998</v>
      </c>
      <c r="AI108" s="25">
        <v>41.064999999999998</v>
      </c>
      <c r="AS108" s="1">
        <v>49.298000000000002</v>
      </c>
      <c r="AT108" s="1">
        <v>49.994</v>
      </c>
    </row>
    <row r="109" spans="2:46" x14ac:dyDescent="0.45">
      <c r="B109" s="50">
        <v>73.5</v>
      </c>
      <c r="C109" s="1">
        <v>49.296999999999997</v>
      </c>
      <c r="D109" s="1">
        <v>49.29</v>
      </c>
      <c r="E109" s="25">
        <v>49.29</v>
      </c>
      <c r="J109" s="50">
        <v>73.5</v>
      </c>
      <c r="K109" s="1">
        <v>40.823999999999998</v>
      </c>
      <c r="L109" s="1">
        <v>40.814</v>
      </c>
      <c r="M109" s="25">
        <v>40.826000000000001</v>
      </c>
      <c r="S109" s="50">
        <v>73.5</v>
      </c>
      <c r="T109" s="1">
        <v>49.325000000000003</v>
      </c>
      <c r="U109" s="1">
        <v>49.320999999999998</v>
      </c>
      <c r="V109" s="1">
        <v>49.99</v>
      </c>
      <c r="W109" s="1">
        <v>49.997</v>
      </c>
      <c r="X109" s="25">
        <v>48.865000000000002</v>
      </c>
      <c r="AD109" s="50">
        <v>73.5</v>
      </c>
      <c r="AE109" s="1">
        <v>43.029000000000003</v>
      </c>
      <c r="AF109" s="1">
        <v>48.938000000000002</v>
      </c>
      <c r="AG109" s="1">
        <v>40.015000000000001</v>
      </c>
      <c r="AH109" s="1">
        <v>40.000999999999998</v>
      </c>
      <c r="AI109" s="25">
        <v>41.064999999999998</v>
      </c>
      <c r="AS109" s="1">
        <v>49.296999999999997</v>
      </c>
      <c r="AT109" s="1">
        <v>49.99</v>
      </c>
    </row>
    <row r="110" spans="2:46" x14ac:dyDescent="0.45">
      <c r="B110" s="50">
        <v>74.199999999999989</v>
      </c>
      <c r="C110" s="1">
        <v>49.296999999999997</v>
      </c>
      <c r="D110" s="1">
        <v>49.295000000000002</v>
      </c>
      <c r="E110" s="25">
        <v>49.292000000000002</v>
      </c>
      <c r="J110" s="50">
        <v>74.199999999999989</v>
      </c>
      <c r="K110" s="1">
        <v>40.826000000000001</v>
      </c>
      <c r="L110" s="1">
        <v>40.819000000000003</v>
      </c>
      <c r="M110" s="25">
        <v>40.822000000000003</v>
      </c>
      <c r="S110" s="50">
        <v>74.199999999999989</v>
      </c>
      <c r="T110" s="1">
        <v>49.323</v>
      </c>
      <c r="U110" s="1">
        <v>49.323</v>
      </c>
      <c r="V110" s="1">
        <v>49.994</v>
      </c>
      <c r="W110" s="1">
        <v>50</v>
      </c>
      <c r="X110" s="25">
        <v>48.866999999999997</v>
      </c>
      <c r="AD110" s="50">
        <v>74.199999999999989</v>
      </c>
      <c r="AE110" s="1">
        <v>43.027999999999999</v>
      </c>
      <c r="AF110" s="1">
        <v>48.938000000000002</v>
      </c>
      <c r="AG110" s="1">
        <v>40.015000000000001</v>
      </c>
      <c r="AH110" s="1">
        <v>40</v>
      </c>
      <c r="AI110" s="25">
        <v>41.06</v>
      </c>
      <c r="AS110" s="1">
        <v>49.296999999999997</v>
      </c>
      <c r="AT110" s="1">
        <v>49.994</v>
      </c>
    </row>
    <row r="111" spans="2:46" x14ac:dyDescent="0.45">
      <c r="B111" s="50">
        <v>74.899999999999991</v>
      </c>
      <c r="C111" s="1">
        <v>49.295000000000002</v>
      </c>
      <c r="D111" s="1">
        <v>49.292999999999999</v>
      </c>
      <c r="E111" s="25">
        <v>49.292000000000002</v>
      </c>
      <c r="J111" s="50">
        <v>74.899999999999991</v>
      </c>
      <c r="K111" s="1">
        <v>40.823</v>
      </c>
      <c r="L111" s="1">
        <v>40.817</v>
      </c>
      <c r="M111" s="25">
        <v>40.823</v>
      </c>
      <c r="S111" s="50">
        <v>74.899999999999991</v>
      </c>
      <c r="T111" s="1">
        <v>49.326000000000001</v>
      </c>
      <c r="U111" s="1">
        <v>49.320999999999998</v>
      </c>
      <c r="V111" s="1">
        <v>49.99</v>
      </c>
      <c r="W111" s="1">
        <v>50</v>
      </c>
      <c r="X111" s="25">
        <v>48.863999999999997</v>
      </c>
      <c r="AD111" s="50">
        <v>74.899999999999991</v>
      </c>
      <c r="AE111" s="1">
        <v>43.03</v>
      </c>
      <c r="AF111" s="1">
        <v>48.859000000000002</v>
      </c>
      <c r="AG111" s="1">
        <v>40.012</v>
      </c>
      <c r="AH111" s="1">
        <v>39.997</v>
      </c>
      <c r="AI111" s="25">
        <v>41.063000000000002</v>
      </c>
      <c r="AS111" s="1">
        <v>49.295000000000002</v>
      </c>
      <c r="AT111" s="1">
        <v>49.99</v>
      </c>
    </row>
    <row r="112" spans="2:46" x14ac:dyDescent="0.45">
      <c r="B112" s="50">
        <v>75.599999999999994</v>
      </c>
      <c r="C112" s="1">
        <v>49.298000000000002</v>
      </c>
      <c r="D112" s="1">
        <v>49.295000000000002</v>
      </c>
      <c r="E112" s="25">
        <v>49.284999999999997</v>
      </c>
      <c r="J112" s="50">
        <v>75.599999999999994</v>
      </c>
      <c r="K112" s="1">
        <v>40.61</v>
      </c>
      <c r="L112" s="1">
        <v>40.600999999999999</v>
      </c>
      <c r="M112" s="25">
        <v>40.613</v>
      </c>
      <c r="S112" s="50">
        <v>75.599999999999994</v>
      </c>
      <c r="T112" s="1">
        <v>49.320999999999998</v>
      </c>
      <c r="U112" s="1">
        <v>49.323</v>
      </c>
      <c r="V112" s="1">
        <v>49.994</v>
      </c>
      <c r="W112" s="1">
        <v>50.002000000000002</v>
      </c>
      <c r="X112" s="25">
        <v>48.869</v>
      </c>
      <c r="AD112" s="50">
        <v>75.599999999999994</v>
      </c>
      <c r="AE112" s="1">
        <v>43.03</v>
      </c>
      <c r="AF112" s="1">
        <v>48.787999999999997</v>
      </c>
      <c r="AG112" s="1">
        <v>40.015000000000001</v>
      </c>
      <c r="AH112" s="1">
        <v>40.000999999999998</v>
      </c>
      <c r="AI112" s="25">
        <v>41.064</v>
      </c>
      <c r="AS112" s="1">
        <v>49.298000000000002</v>
      </c>
      <c r="AT112" s="1">
        <v>49.994</v>
      </c>
    </row>
    <row r="113" spans="2:46" x14ac:dyDescent="0.45">
      <c r="B113" s="50">
        <v>76.3</v>
      </c>
      <c r="C113" s="1">
        <v>49.3</v>
      </c>
      <c r="D113" s="1">
        <v>49.295000000000002</v>
      </c>
      <c r="E113" s="25">
        <v>49.29</v>
      </c>
      <c r="J113" s="50">
        <v>76.3</v>
      </c>
      <c r="K113" s="1">
        <v>40.613</v>
      </c>
      <c r="L113" s="1">
        <v>40.600999999999999</v>
      </c>
      <c r="M113" s="25">
        <v>40.615000000000002</v>
      </c>
      <c r="S113" s="50">
        <v>76.3</v>
      </c>
      <c r="T113" s="1">
        <v>49.325000000000003</v>
      </c>
      <c r="U113" s="1">
        <v>49.317999999999998</v>
      </c>
      <c r="V113" s="1">
        <v>49.997</v>
      </c>
      <c r="W113" s="1">
        <v>49.999000000000002</v>
      </c>
      <c r="X113" s="25">
        <v>48.869</v>
      </c>
      <c r="AD113" s="50">
        <v>76.3</v>
      </c>
      <c r="AE113" s="1">
        <v>43.03</v>
      </c>
      <c r="AF113" s="1">
        <v>48.787999999999997</v>
      </c>
      <c r="AG113" s="1">
        <v>40.012999999999998</v>
      </c>
      <c r="AH113" s="1">
        <v>40</v>
      </c>
      <c r="AI113" s="25">
        <v>41.066000000000003</v>
      </c>
      <c r="AS113" s="1">
        <v>49.3</v>
      </c>
      <c r="AT113" s="1">
        <v>49.997</v>
      </c>
    </row>
    <row r="114" spans="2:46" x14ac:dyDescent="0.45">
      <c r="B114" s="50">
        <v>77</v>
      </c>
      <c r="C114" s="1">
        <v>49.3</v>
      </c>
      <c r="D114" s="1">
        <v>49.292999999999999</v>
      </c>
      <c r="E114" s="25">
        <v>49.283000000000001</v>
      </c>
      <c r="J114" s="50">
        <v>77</v>
      </c>
      <c r="K114" s="1">
        <v>40.61</v>
      </c>
      <c r="L114" s="1">
        <v>40.600999999999999</v>
      </c>
      <c r="M114" s="25">
        <v>40.613999999999997</v>
      </c>
      <c r="S114" s="50">
        <v>77</v>
      </c>
      <c r="T114" s="1">
        <v>49.326000000000001</v>
      </c>
      <c r="U114" s="1">
        <v>49.325000000000003</v>
      </c>
      <c r="V114" s="1">
        <v>49.999000000000002</v>
      </c>
      <c r="W114" s="1">
        <v>50</v>
      </c>
      <c r="X114" s="25">
        <v>50.082000000000001</v>
      </c>
      <c r="AD114" s="50">
        <v>77</v>
      </c>
      <c r="AE114" s="1">
        <v>43.033000000000001</v>
      </c>
      <c r="AF114" s="1">
        <v>48.787999999999997</v>
      </c>
      <c r="AG114" s="1">
        <v>40.015999999999998</v>
      </c>
      <c r="AH114" s="1">
        <v>39.999000000000002</v>
      </c>
      <c r="AI114" s="25">
        <v>41.064</v>
      </c>
      <c r="AS114" s="1">
        <v>49.3</v>
      </c>
      <c r="AT114" s="1">
        <v>49.999000000000002</v>
      </c>
    </row>
    <row r="115" spans="2:46" x14ac:dyDescent="0.45">
      <c r="B115" s="50">
        <v>77.699999999999989</v>
      </c>
      <c r="C115" s="1">
        <v>49.296999999999997</v>
      </c>
      <c r="D115" s="1">
        <v>49.292999999999999</v>
      </c>
      <c r="E115" s="25">
        <v>49.283000000000001</v>
      </c>
      <c r="J115" s="50">
        <v>77.699999999999989</v>
      </c>
      <c r="K115" s="1">
        <v>40.609000000000002</v>
      </c>
      <c r="L115" s="1">
        <v>40.600999999999999</v>
      </c>
      <c r="M115" s="25">
        <v>40.61</v>
      </c>
      <c r="S115" s="50">
        <v>77.699999999999989</v>
      </c>
      <c r="T115" s="1">
        <v>49.323</v>
      </c>
      <c r="U115" s="1">
        <v>49.325000000000003</v>
      </c>
      <c r="V115" s="1">
        <v>49.997</v>
      </c>
      <c r="W115" s="1">
        <v>49.997</v>
      </c>
      <c r="X115" s="25">
        <v>50.085000000000001</v>
      </c>
      <c r="AD115" s="50">
        <v>77.699999999999989</v>
      </c>
      <c r="AE115" s="1">
        <v>43.033999999999999</v>
      </c>
      <c r="AF115" s="1">
        <v>48.792999999999999</v>
      </c>
      <c r="AG115" s="1">
        <v>40.014000000000003</v>
      </c>
      <c r="AH115" s="1">
        <v>40</v>
      </c>
      <c r="AI115" s="25">
        <v>41.064</v>
      </c>
      <c r="AS115" s="1">
        <v>49.296999999999997</v>
      </c>
      <c r="AT115" s="1">
        <v>49.997</v>
      </c>
    </row>
    <row r="116" spans="2:46" x14ac:dyDescent="0.45">
      <c r="B116" s="50">
        <v>78.399999999999991</v>
      </c>
      <c r="C116" s="1">
        <v>49.298000000000002</v>
      </c>
      <c r="D116" s="1">
        <v>49.292000000000002</v>
      </c>
      <c r="E116" s="25">
        <v>49.287999999999997</v>
      </c>
      <c r="J116" s="50">
        <v>78.399999999999991</v>
      </c>
      <c r="K116" s="1">
        <v>40.613</v>
      </c>
      <c r="L116" s="1">
        <v>40.601999999999997</v>
      </c>
      <c r="M116" s="25">
        <v>40.609000000000002</v>
      </c>
      <c r="S116" s="50">
        <v>78.399999999999991</v>
      </c>
      <c r="T116" s="1">
        <v>49.325000000000003</v>
      </c>
      <c r="U116" s="1">
        <v>49.323</v>
      </c>
      <c r="V116" s="1">
        <v>49.99</v>
      </c>
      <c r="W116" s="1">
        <v>49.999000000000002</v>
      </c>
      <c r="X116" s="25">
        <v>50.082000000000001</v>
      </c>
      <c r="AD116" s="50">
        <v>78.399999999999991</v>
      </c>
      <c r="AE116" s="1">
        <v>43.030999999999999</v>
      </c>
      <c r="AF116" s="1">
        <v>48.790999999999997</v>
      </c>
      <c r="AG116" s="1">
        <v>40.011000000000003</v>
      </c>
      <c r="AH116" s="1">
        <v>40.000999999999998</v>
      </c>
      <c r="AI116" s="25">
        <v>40.223999999999997</v>
      </c>
      <c r="AS116" s="1">
        <v>49.298000000000002</v>
      </c>
      <c r="AT116" s="1">
        <v>49.99</v>
      </c>
    </row>
    <row r="117" spans="2:46" x14ac:dyDescent="0.45">
      <c r="B117" s="50">
        <v>79.099999999999994</v>
      </c>
      <c r="C117" s="1">
        <v>49.295000000000002</v>
      </c>
      <c r="D117" s="1">
        <v>49.296999999999997</v>
      </c>
      <c r="E117" s="25">
        <v>49.286999999999999</v>
      </c>
      <c r="J117" s="50">
        <v>79.099999999999994</v>
      </c>
      <c r="K117" s="1">
        <v>40.607999999999997</v>
      </c>
      <c r="L117" s="1">
        <v>40.604999999999997</v>
      </c>
      <c r="M117" s="25">
        <v>40.607999999999997</v>
      </c>
      <c r="S117" s="50">
        <v>79.099999999999994</v>
      </c>
      <c r="T117" s="1">
        <v>49.32</v>
      </c>
      <c r="U117" s="1">
        <v>49.325000000000003</v>
      </c>
      <c r="V117" s="1">
        <v>49.997</v>
      </c>
      <c r="W117" s="1">
        <v>50</v>
      </c>
      <c r="X117" s="25">
        <v>50.085000000000001</v>
      </c>
      <c r="AD117" s="50">
        <v>79.099999999999994</v>
      </c>
      <c r="AE117" s="1">
        <v>42.610999999999997</v>
      </c>
      <c r="AF117" s="1">
        <v>48.790999999999997</v>
      </c>
      <c r="AG117" s="1">
        <v>40.014000000000003</v>
      </c>
      <c r="AH117" s="1">
        <v>40.003</v>
      </c>
      <c r="AI117" s="25">
        <v>40.045000000000002</v>
      </c>
      <c r="AS117" s="1">
        <v>49.295000000000002</v>
      </c>
      <c r="AT117" s="1">
        <v>49.997</v>
      </c>
    </row>
    <row r="118" spans="2:46" x14ac:dyDescent="0.45">
      <c r="B118" s="50">
        <v>79.8</v>
      </c>
      <c r="C118" s="1">
        <v>49.302</v>
      </c>
      <c r="D118" s="1">
        <v>49.296999999999997</v>
      </c>
      <c r="E118" s="25">
        <v>49.287999999999997</v>
      </c>
      <c r="J118" s="50">
        <v>79.8</v>
      </c>
      <c r="K118" s="1">
        <v>40.610999999999997</v>
      </c>
      <c r="L118" s="1">
        <v>40.598999999999997</v>
      </c>
      <c r="M118" s="25">
        <v>40.610999999999997</v>
      </c>
      <c r="S118" s="50">
        <v>79.8</v>
      </c>
      <c r="T118" s="1">
        <v>49.317999999999998</v>
      </c>
      <c r="U118" s="1">
        <v>49.320999999999998</v>
      </c>
      <c r="V118" s="1">
        <v>49.994999999999997</v>
      </c>
      <c r="W118" s="1">
        <v>50.002000000000002</v>
      </c>
      <c r="X118" s="25">
        <v>50.084000000000003</v>
      </c>
      <c r="AD118" s="50">
        <v>79.8</v>
      </c>
      <c r="AE118" s="1">
        <v>42.609000000000002</v>
      </c>
      <c r="AF118" s="1">
        <v>48.787999999999997</v>
      </c>
      <c r="AG118" s="1">
        <v>40.015000000000001</v>
      </c>
      <c r="AH118" s="1">
        <v>40</v>
      </c>
      <c r="AI118" s="25">
        <v>40.045999999999999</v>
      </c>
      <c r="AS118" s="1">
        <v>49.302</v>
      </c>
      <c r="AT118" s="1">
        <v>49.994999999999997</v>
      </c>
    </row>
    <row r="119" spans="2:46" x14ac:dyDescent="0.45">
      <c r="B119" s="50">
        <v>80.5</v>
      </c>
      <c r="C119" s="1">
        <v>49.487000000000002</v>
      </c>
      <c r="D119" s="1">
        <v>49.488999999999997</v>
      </c>
      <c r="E119" s="25">
        <v>49.475000000000001</v>
      </c>
      <c r="J119" s="50">
        <v>80.5</v>
      </c>
      <c r="K119" s="1">
        <v>40.609000000000002</v>
      </c>
      <c r="L119" s="1">
        <v>40.600999999999999</v>
      </c>
      <c r="M119" s="25">
        <v>40.613</v>
      </c>
      <c r="S119" s="50">
        <v>80.5</v>
      </c>
      <c r="T119" s="1">
        <v>49.503</v>
      </c>
      <c r="U119" s="1">
        <v>49.502000000000002</v>
      </c>
      <c r="V119" s="1">
        <v>49.99</v>
      </c>
      <c r="W119" s="1">
        <v>50.002000000000002</v>
      </c>
      <c r="X119" s="25">
        <v>50.08</v>
      </c>
      <c r="AD119" s="50">
        <v>80.5</v>
      </c>
      <c r="AE119" s="1">
        <v>42.606999999999999</v>
      </c>
      <c r="AF119" s="1">
        <v>48.792999999999999</v>
      </c>
      <c r="AG119" s="1">
        <v>40.011000000000003</v>
      </c>
      <c r="AH119" s="1">
        <v>40.002000000000002</v>
      </c>
      <c r="AI119" s="25">
        <v>40.045999999999999</v>
      </c>
      <c r="AS119" s="1">
        <v>49.487000000000002</v>
      </c>
      <c r="AT119" s="1">
        <v>49.99</v>
      </c>
    </row>
    <row r="120" spans="2:46" x14ac:dyDescent="0.45">
      <c r="B120" s="50">
        <v>81.199999999999989</v>
      </c>
      <c r="C120" s="1">
        <v>49.51</v>
      </c>
      <c r="D120" s="1">
        <v>49.518000000000001</v>
      </c>
      <c r="E120" s="25">
        <v>49.505000000000003</v>
      </c>
      <c r="J120" s="50">
        <v>81.199999999999989</v>
      </c>
      <c r="K120" s="1">
        <v>40.61</v>
      </c>
      <c r="L120" s="1">
        <v>40.600999999999999</v>
      </c>
      <c r="M120" s="25">
        <v>40.61</v>
      </c>
      <c r="S120" s="50">
        <v>81.199999999999989</v>
      </c>
      <c r="T120" s="1">
        <v>49.534999999999997</v>
      </c>
      <c r="U120" s="1">
        <v>49.53</v>
      </c>
      <c r="V120" s="1">
        <v>49.99</v>
      </c>
      <c r="W120" s="1">
        <v>50.003999999999998</v>
      </c>
      <c r="X120" s="25">
        <v>50.082000000000001</v>
      </c>
      <c r="AD120" s="50">
        <v>81.199999999999989</v>
      </c>
      <c r="AE120" s="1">
        <v>42.610999999999997</v>
      </c>
      <c r="AF120" s="1">
        <v>48.790999999999997</v>
      </c>
      <c r="AG120" s="1">
        <v>40.005000000000003</v>
      </c>
      <c r="AH120" s="1">
        <v>39.999000000000002</v>
      </c>
      <c r="AI120" s="25">
        <v>40.045999999999999</v>
      </c>
      <c r="AS120" s="1">
        <v>49.51</v>
      </c>
      <c r="AT120" s="1">
        <v>49.99</v>
      </c>
    </row>
    <row r="121" spans="2:46" x14ac:dyDescent="0.45">
      <c r="B121" s="50">
        <v>81.899999999999991</v>
      </c>
      <c r="C121" s="1">
        <v>49.512</v>
      </c>
      <c r="D121" s="1">
        <v>49.518000000000001</v>
      </c>
      <c r="E121" s="25">
        <v>49.502000000000002</v>
      </c>
      <c r="J121" s="50">
        <v>81.899999999999991</v>
      </c>
      <c r="K121" s="1">
        <v>40.609000000000002</v>
      </c>
      <c r="L121" s="1">
        <v>40.600999999999999</v>
      </c>
      <c r="M121" s="25">
        <v>40.607999999999997</v>
      </c>
      <c r="S121" s="50">
        <v>81.899999999999991</v>
      </c>
      <c r="T121" s="1">
        <v>49.533000000000001</v>
      </c>
      <c r="U121" s="1">
        <v>49.531999999999996</v>
      </c>
      <c r="V121" s="1">
        <v>49.991999999999997</v>
      </c>
      <c r="W121" s="1">
        <v>50</v>
      </c>
      <c r="X121" s="25">
        <v>50.085000000000001</v>
      </c>
      <c r="AD121" s="50">
        <v>81.899999999999991</v>
      </c>
      <c r="AE121" s="1">
        <v>42.610999999999997</v>
      </c>
      <c r="AF121" s="1">
        <v>48.793999999999997</v>
      </c>
      <c r="AG121" s="1">
        <v>40.006999999999998</v>
      </c>
      <c r="AH121" s="1">
        <v>40</v>
      </c>
      <c r="AI121" s="25">
        <v>40.042999999999999</v>
      </c>
      <c r="AS121" s="1">
        <v>49.512</v>
      </c>
      <c r="AT121" s="1">
        <v>49.991999999999997</v>
      </c>
    </row>
    <row r="122" spans="2:46" x14ac:dyDescent="0.45">
      <c r="B122" s="50">
        <v>82.6</v>
      </c>
      <c r="C122" s="1">
        <v>49.515000000000001</v>
      </c>
      <c r="D122" s="1">
        <v>49.517000000000003</v>
      </c>
      <c r="E122" s="25">
        <v>49.508000000000003</v>
      </c>
      <c r="J122" s="50">
        <v>82.6</v>
      </c>
      <c r="K122" s="1">
        <v>40.606999999999999</v>
      </c>
      <c r="L122" s="1">
        <v>40.603999999999999</v>
      </c>
      <c r="M122" s="25">
        <v>40.610999999999997</v>
      </c>
      <c r="S122" s="50">
        <v>82.6</v>
      </c>
      <c r="T122" s="1">
        <v>49.533000000000001</v>
      </c>
      <c r="U122" s="1">
        <v>49.527999999999999</v>
      </c>
      <c r="V122" s="1">
        <v>49.994</v>
      </c>
      <c r="W122" s="1">
        <v>50</v>
      </c>
      <c r="X122" s="25">
        <v>50.082000000000001</v>
      </c>
      <c r="AD122" s="50">
        <v>82.6</v>
      </c>
      <c r="AE122" s="1">
        <v>42.609000000000002</v>
      </c>
      <c r="AF122" s="1">
        <v>48.787999999999997</v>
      </c>
      <c r="AG122" s="1">
        <v>40.01</v>
      </c>
      <c r="AH122" s="1">
        <v>40.003</v>
      </c>
      <c r="AI122" s="25">
        <v>40.045000000000002</v>
      </c>
      <c r="AS122" s="1">
        <v>49.515000000000001</v>
      </c>
      <c r="AT122" s="1">
        <v>49.994</v>
      </c>
    </row>
    <row r="123" spans="2:46" x14ac:dyDescent="0.45">
      <c r="B123" s="50">
        <v>83.3</v>
      </c>
      <c r="C123" s="1">
        <v>49.512999999999998</v>
      </c>
      <c r="D123" s="1">
        <v>49.51</v>
      </c>
      <c r="E123" s="25">
        <v>49.503</v>
      </c>
      <c r="J123" s="50">
        <v>83.3</v>
      </c>
      <c r="K123" s="1">
        <v>40.606000000000002</v>
      </c>
      <c r="L123" s="1">
        <v>40.591999999999999</v>
      </c>
      <c r="M123" s="25">
        <v>40.606000000000002</v>
      </c>
      <c r="S123" s="50">
        <v>83.3</v>
      </c>
      <c r="T123" s="1">
        <v>49.533000000000001</v>
      </c>
      <c r="U123" s="1">
        <v>49.531999999999996</v>
      </c>
      <c r="V123" s="1">
        <v>49.997</v>
      </c>
      <c r="W123" s="1">
        <v>49.999000000000002</v>
      </c>
      <c r="X123" s="25">
        <v>50.085000000000001</v>
      </c>
      <c r="AD123" s="50">
        <v>83.3</v>
      </c>
      <c r="AE123" s="1">
        <v>42.610999999999997</v>
      </c>
      <c r="AF123" s="1">
        <v>48.790999999999997</v>
      </c>
      <c r="AG123" s="1">
        <v>40.008000000000003</v>
      </c>
      <c r="AH123" s="1">
        <v>40</v>
      </c>
      <c r="AI123" s="25">
        <v>40.045000000000002</v>
      </c>
      <c r="AS123" s="1">
        <v>49.512999999999998</v>
      </c>
      <c r="AT123" s="1">
        <v>49.997</v>
      </c>
    </row>
    <row r="124" spans="2:46" x14ac:dyDescent="0.45">
      <c r="B124" s="50">
        <v>84</v>
      </c>
      <c r="C124" s="1">
        <v>49.512999999999998</v>
      </c>
      <c r="D124" s="1">
        <v>49.517000000000003</v>
      </c>
      <c r="E124" s="25">
        <v>49.505000000000003</v>
      </c>
      <c r="J124" s="50">
        <v>84</v>
      </c>
      <c r="K124" s="1">
        <v>40.451999999999998</v>
      </c>
      <c r="L124" s="1">
        <v>40.444000000000003</v>
      </c>
      <c r="M124" s="25">
        <v>40.453000000000003</v>
      </c>
      <c r="S124" s="50">
        <v>84</v>
      </c>
      <c r="T124" s="1">
        <v>49.536999999999999</v>
      </c>
      <c r="U124" s="1">
        <v>49.531999999999996</v>
      </c>
      <c r="V124" s="1">
        <v>49.997</v>
      </c>
      <c r="W124" s="1">
        <v>49.997</v>
      </c>
      <c r="X124" s="25">
        <v>50.085000000000001</v>
      </c>
      <c r="AD124" s="50">
        <v>84</v>
      </c>
      <c r="AE124" s="1">
        <v>42.61</v>
      </c>
      <c r="AF124" s="1">
        <v>48.789000000000001</v>
      </c>
      <c r="AG124" s="1">
        <v>40.005000000000003</v>
      </c>
      <c r="AH124" s="1">
        <v>40.002000000000002</v>
      </c>
      <c r="AI124" s="25">
        <v>40.045000000000002</v>
      </c>
      <c r="AS124" s="1">
        <v>49.512999999999998</v>
      </c>
      <c r="AT124" s="1">
        <v>49.997</v>
      </c>
    </row>
    <row r="125" spans="2:46" x14ac:dyDescent="0.45">
      <c r="B125" s="50">
        <v>84.699999999999989</v>
      </c>
      <c r="C125" s="1">
        <v>49.512999999999998</v>
      </c>
      <c r="D125" s="1">
        <v>49.512999999999998</v>
      </c>
      <c r="E125" s="25">
        <v>49.506999999999998</v>
      </c>
      <c r="J125" s="50">
        <v>84.699999999999989</v>
      </c>
      <c r="K125" s="1">
        <v>40.454999999999998</v>
      </c>
      <c r="L125" s="1">
        <v>40.442999999999998</v>
      </c>
      <c r="M125" s="25">
        <v>40.451999999999998</v>
      </c>
      <c r="S125" s="50">
        <v>84.699999999999989</v>
      </c>
      <c r="T125" s="1">
        <v>49.533000000000001</v>
      </c>
      <c r="U125" s="1">
        <v>49.534999999999997</v>
      </c>
      <c r="V125" s="1">
        <v>49.994999999999997</v>
      </c>
      <c r="W125" s="1">
        <v>50</v>
      </c>
      <c r="X125" s="25">
        <v>50.084000000000003</v>
      </c>
      <c r="AD125" s="50">
        <v>84.699999999999989</v>
      </c>
      <c r="AE125" s="1">
        <v>42.606999999999999</v>
      </c>
      <c r="AF125" s="1">
        <v>48.697000000000003</v>
      </c>
      <c r="AG125" s="1">
        <v>40.011000000000003</v>
      </c>
      <c r="AH125" s="1">
        <v>40.003</v>
      </c>
      <c r="AI125" s="25">
        <v>40.045999999999999</v>
      </c>
      <c r="AS125" s="1">
        <v>49.512999999999998</v>
      </c>
      <c r="AT125" s="1">
        <v>49.994999999999997</v>
      </c>
    </row>
    <row r="126" spans="2:46" x14ac:dyDescent="0.45">
      <c r="B126" s="50">
        <v>85.399999999999991</v>
      </c>
      <c r="C126" s="1">
        <v>49.512999999999998</v>
      </c>
      <c r="D126" s="1">
        <v>49.515000000000001</v>
      </c>
      <c r="E126" s="25">
        <v>49.505000000000003</v>
      </c>
      <c r="J126" s="50">
        <v>85.399999999999991</v>
      </c>
      <c r="K126" s="1">
        <v>40.451000000000001</v>
      </c>
      <c r="L126" s="1">
        <v>40.442</v>
      </c>
      <c r="M126" s="25">
        <v>40.451999999999998</v>
      </c>
      <c r="S126" s="50">
        <v>85.399999999999991</v>
      </c>
      <c r="T126" s="1">
        <v>49.533000000000001</v>
      </c>
      <c r="U126" s="1">
        <v>49.531999999999996</v>
      </c>
      <c r="V126" s="1">
        <v>49.994999999999997</v>
      </c>
      <c r="W126" s="1">
        <v>49.999000000000002</v>
      </c>
      <c r="X126" s="25">
        <v>50.084000000000003</v>
      </c>
      <c r="AD126" s="50">
        <v>85.399999999999991</v>
      </c>
      <c r="AE126" s="1">
        <v>42.606999999999999</v>
      </c>
      <c r="AF126" s="1">
        <v>48.637999999999998</v>
      </c>
      <c r="AG126" s="1">
        <v>40.008000000000003</v>
      </c>
      <c r="AH126" s="1">
        <v>40</v>
      </c>
      <c r="AI126" s="25">
        <v>40.045999999999999</v>
      </c>
      <c r="AS126" s="1">
        <v>49.512999999999998</v>
      </c>
      <c r="AT126" s="1">
        <v>49.994999999999997</v>
      </c>
    </row>
    <row r="127" spans="2:46" x14ac:dyDescent="0.45">
      <c r="B127" s="50">
        <v>86.1</v>
      </c>
      <c r="C127" s="1">
        <v>49.512</v>
      </c>
      <c r="D127" s="1">
        <v>49.512999999999998</v>
      </c>
      <c r="E127" s="25">
        <v>49.503</v>
      </c>
      <c r="J127" s="50">
        <v>86.1</v>
      </c>
      <c r="K127" s="1">
        <v>40.450000000000003</v>
      </c>
      <c r="L127" s="1">
        <v>40.442</v>
      </c>
      <c r="M127" s="25">
        <v>40.454999999999998</v>
      </c>
      <c r="S127" s="50">
        <v>86.1</v>
      </c>
      <c r="T127" s="1">
        <v>49.533000000000001</v>
      </c>
      <c r="U127" s="1">
        <v>49.527000000000001</v>
      </c>
      <c r="V127" s="1">
        <v>49.999000000000002</v>
      </c>
      <c r="W127" s="1">
        <v>49.997</v>
      </c>
      <c r="X127" s="25">
        <v>50.084000000000003</v>
      </c>
      <c r="AD127" s="50">
        <v>86.1</v>
      </c>
      <c r="AE127" s="1">
        <v>42.610999999999997</v>
      </c>
      <c r="AF127" s="1">
        <v>48.640999999999998</v>
      </c>
      <c r="AG127" s="1">
        <v>40.008000000000003</v>
      </c>
      <c r="AH127" s="1">
        <v>40.002000000000002</v>
      </c>
      <c r="AI127" s="25">
        <v>40.042000000000002</v>
      </c>
      <c r="AS127" s="1">
        <v>49.512</v>
      </c>
      <c r="AT127" s="1">
        <v>49.999000000000002</v>
      </c>
    </row>
    <row r="128" spans="2:46" x14ac:dyDescent="0.45">
      <c r="B128" s="50">
        <v>86.8</v>
      </c>
      <c r="C128" s="1">
        <v>49.515000000000001</v>
      </c>
      <c r="D128" s="1">
        <v>49.515000000000001</v>
      </c>
      <c r="E128" s="25">
        <v>49.506999999999998</v>
      </c>
      <c r="J128" s="50">
        <v>86.8</v>
      </c>
      <c r="K128" s="1">
        <v>40.454999999999998</v>
      </c>
      <c r="L128" s="1">
        <v>40.442</v>
      </c>
      <c r="M128" s="25">
        <v>40.457000000000001</v>
      </c>
      <c r="S128" s="50">
        <v>86.8</v>
      </c>
      <c r="T128" s="1">
        <v>49.534999999999997</v>
      </c>
      <c r="U128" s="1">
        <v>49.527999999999999</v>
      </c>
      <c r="V128" s="1">
        <v>50.002000000000002</v>
      </c>
      <c r="W128" s="1">
        <v>50</v>
      </c>
      <c r="X128" s="25">
        <v>50.033999999999999</v>
      </c>
      <c r="AD128" s="50">
        <v>86.8</v>
      </c>
      <c r="AE128" s="1">
        <v>42.61</v>
      </c>
      <c r="AF128" s="1">
        <v>48.636000000000003</v>
      </c>
      <c r="AG128" s="1">
        <v>40.006999999999998</v>
      </c>
      <c r="AH128" s="1">
        <v>40</v>
      </c>
      <c r="AI128" s="25">
        <v>39.997999999999998</v>
      </c>
      <c r="AS128" s="1">
        <v>49.515000000000001</v>
      </c>
      <c r="AT128" s="1">
        <v>50.002000000000002</v>
      </c>
    </row>
    <row r="129" spans="2:46" x14ac:dyDescent="0.45">
      <c r="B129" s="50">
        <v>87.5</v>
      </c>
      <c r="C129" s="1">
        <v>49.51</v>
      </c>
      <c r="D129" s="1">
        <v>49.515000000000001</v>
      </c>
      <c r="E129" s="25">
        <v>49.503</v>
      </c>
      <c r="J129" s="50">
        <v>87.5</v>
      </c>
      <c r="K129" s="1">
        <v>40.451999999999998</v>
      </c>
      <c r="L129" s="1">
        <v>40.442</v>
      </c>
      <c r="M129" s="25">
        <v>40.451000000000001</v>
      </c>
      <c r="S129" s="50">
        <v>87.5</v>
      </c>
      <c r="T129" s="1">
        <v>49.534999999999997</v>
      </c>
      <c r="U129" s="1">
        <v>49.534999999999997</v>
      </c>
      <c r="V129" s="1">
        <v>49.999000000000002</v>
      </c>
      <c r="W129" s="1">
        <v>49.999000000000002</v>
      </c>
      <c r="X129" s="25">
        <v>49.98</v>
      </c>
      <c r="AD129" s="50">
        <v>87.5</v>
      </c>
      <c r="AE129" s="1">
        <v>42.264000000000003</v>
      </c>
      <c r="AF129" s="1">
        <v>48.643000000000001</v>
      </c>
      <c r="AG129" s="1">
        <v>40.005000000000003</v>
      </c>
      <c r="AH129" s="1">
        <v>40</v>
      </c>
      <c r="AI129" s="25">
        <v>39.996000000000002</v>
      </c>
      <c r="AS129" s="1">
        <v>49.51</v>
      </c>
      <c r="AT129" s="1">
        <v>49.999000000000002</v>
      </c>
    </row>
    <row r="130" spans="2:46" x14ac:dyDescent="0.45">
      <c r="B130" s="50">
        <v>88.199999999999989</v>
      </c>
      <c r="C130" s="1">
        <v>49.51</v>
      </c>
      <c r="D130" s="1">
        <v>49.52</v>
      </c>
      <c r="E130" s="25">
        <v>49.505000000000003</v>
      </c>
      <c r="J130" s="50">
        <v>88.199999999999989</v>
      </c>
      <c r="K130" s="1">
        <v>40.450000000000003</v>
      </c>
      <c r="L130" s="1">
        <v>40.442</v>
      </c>
      <c r="M130" s="25">
        <v>40.453000000000003</v>
      </c>
      <c r="S130" s="50">
        <v>88.199999999999989</v>
      </c>
      <c r="T130" s="1">
        <v>49.534999999999997</v>
      </c>
      <c r="U130" s="1">
        <v>49.53</v>
      </c>
      <c r="V130" s="1">
        <v>49.999000000000002</v>
      </c>
      <c r="W130" s="1">
        <v>49.997</v>
      </c>
      <c r="X130" s="25">
        <v>49.982999999999997</v>
      </c>
      <c r="AD130" s="50">
        <v>88.199999999999989</v>
      </c>
      <c r="AE130" s="1">
        <v>42.247</v>
      </c>
      <c r="AF130" s="1">
        <v>48.64</v>
      </c>
      <c r="AG130" s="1">
        <v>40.008000000000003</v>
      </c>
      <c r="AH130" s="1">
        <v>40.002000000000002</v>
      </c>
      <c r="AI130" s="25">
        <v>39.994999999999997</v>
      </c>
      <c r="AS130" s="1">
        <v>49.51</v>
      </c>
      <c r="AT130" s="1">
        <v>49.999000000000002</v>
      </c>
    </row>
    <row r="131" spans="2:46" x14ac:dyDescent="0.45">
      <c r="B131" s="50">
        <v>88.899999999999991</v>
      </c>
      <c r="C131" s="1">
        <v>49.508000000000003</v>
      </c>
      <c r="D131" s="1">
        <v>49.512999999999998</v>
      </c>
      <c r="E131" s="25">
        <v>49.506999999999998</v>
      </c>
      <c r="J131" s="50">
        <v>88.899999999999991</v>
      </c>
      <c r="K131" s="1">
        <v>40.451999999999998</v>
      </c>
      <c r="L131" s="1">
        <v>40.444000000000003</v>
      </c>
      <c r="M131" s="25">
        <v>40.454999999999998</v>
      </c>
      <c r="S131" s="50">
        <v>88.899999999999991</v>
      </c>
      <c r="T131" s="1">
        <v>49.531999999999996</v>
      </c>
      <c r="U131" s="1">
        <v>49.53</v>
      </c>
      <c r="V131" s="1">
        <v>49.997</v>
      </c>
      <c r="W131" s="1">
        <v>50</v>
      </c>
      <c r="X131" s="25">
        <v>49.981999999999999</v>
      </c>
      <c r="AD131" s="50">
        <v>88.899999999999991</v>
      </c>
      <c r="AE131" s="1">
        <v>42.25</v>
      </c>
      <c r="AF131" s="1">
        <v>48.64</v>
      </c>
      <c r="AG131" s="1">
        <v>40.003999999999998</v>
      </c>
      <c r="AH131" s="1">
        <v>39.999000000000002</v>
      </c>
      <c r="AI131" s="25">
        <v>39.994999999999997</v>
      </c>
      <c r="AS131" s="1">
        <v>49.508000000000003</v>
      </c>
      <c r="AT131" s="1">
        <v>49.997</v>
      </c>
    </row>
    <row r="132" spans="2:46" x14ac:dyDescent="0.45">
      <c r="B132" s="50">
        <v>89.6</v>
      </c>
      <c r="C132" s="1">
        <v>49.515000000000001</v>
      </c>
      <c r="D132" s="1">
        <v>49.512999999999998</v>
      </c>
      <c r="E132" s="25">
        <v>49.506999999999998</v>
      </c>
      <c r="J132" s="50">
        <v>89.6</v>
      </c>
      <c r="K132" s="1">
        <v>40.451000000000001</v>
      </c>
      <c r="L132" s="1">
        <v>40.442</v>
      </c>
      <c r="M132" s="25">
        <v>40.457000000000001</v>
      </c>
      <c r="S132" s="50">
        <v>89.6</v>
      </c>
      <c r="T132" s="1">
        <v>49.536999999999999</v>
      </c>
      <c r="U132" s="1">
        <v>49.536999999999999</v>
      </c>
      <c r="V132" s="1">
        <v>49.997</v>
      </c>
      <c r="W132" s="1">
        <v>49.999000000000002</v>
      </c>
      <c r="X132" s="25">
        <v>49.982999999999997</v>
      </c>
      <c r="AD132" s="50">
        <v>89.6</v>
      </c>
      <c r="AE132" s="1">
        <v>42.249000000000002</v>
      </c>
      <c r="AF132" s="1">
        <v>48.643000000000001</v>
      </c>
      <c r="AG132" s="1">
        <v>40.006999999999998</v>
      </c>
      <c r="AH132" s="1">
        <v>40.000999999999998</v>
      </c>
      <c r="AI132" s="25">
        <v>39.994999999999997</v>
      </c>
      <c r="AS132" s="1">
        <v>49.515000000000001</v>
      </c>
      <c r="AT132" s="1">
        <v>49.997</v>
      </c>
    </row>
    <row r="133" spans="2:46" x14ac:dyDescent="0.45">
      <c r="B133" s="50">
        <v>90.3</v>
      </c>
      <c r="C133" s="1">
        <v>49.552</v>
      </c>
      <c r="D133" s="1">
        <v>49.552999999999997</v>
      </c>
      <c r="E133" s="25">
        <v>49.55</v>
      </c>
      <c r="J133" s="50">
        <v>90.3</v>
      </c>
      <c r="K133" s="1">
        <v>40.450000000000003</v>
      </c>
      <c r="L133" s="1">
        <v>40.441000000000003</v>
      </c>
      <c r="M133" s="25">
        <v>40.453000000000003</v>
      </c>
      <c r="S133" s="50">
        <v>90.3</v>
      </c>
      <c r="T133" s="1">
        <v>49.572000000000003</v>
      </c>
      <c r="U133" s="1">
        <v>49.572000000000003</v>
      </c>
      <c r="V133" s="1">
        <v>49.997</v>
      </c>
      <c r="W133" s="1">
        <v>49.999000000000002</v>
      </c>
      <c r="X133" s="25">
        <v>49.981999999999999</v>
      </c>
      <c r="AD133" s="50">
        <v>90.3</v>
      </c>
      <c r="AE133" s="1">
        <v>42.246000000000002</v>
      </c>
      <c r="AF133" s="1">
        <v>48.640999999999998</v>
      </c>
      <c r="AG133" s="1">
        <v>40.003</v>
      </c>
      <c r="AH133" s="1">
        <v>40.003</v>
      </c>
      <c r="AI133" s="25">
        <v>39.994999999999997</v>
      </c>
      <c r="AS133" s="1">
        <v>49.552</v>
      </c>
      <c r="AT133" s="1">
        <v>49.997</v>
      </c>
    </row>
    <row r="134" spans="2:46" x14ac:dyDescent="0.45">
      <c r="B134" s="50">
        <v>91</v>
      </c>
      <c r="C134" s="1">
        <v>49.661999999999999</v>
      </c>
      <c r="D134" s="1">
        <v>49.664000000000001</v>
      </c>
      <c r="E134" s="25">
        <v>49.655000000000001</v>
      </c>
      <c r="J134" s="50">
        <v>91</v>
      </c>
      <c r="K134" s="1">
        <v>40.451999999999998</v>
      </c>
      <c r="L134" s="1">
        <v>40.441000000000003</v>
      </c>
      <c r="M134" s="25">
        <v>40.454000000000001</v>
      </c>
      <c r="S134" s="50">
        <v>91</v>
      </c>
      <c r="T134" s="1">
        <v>49.677</v>
      </c>
      <c r="U134" s="1">
        <v>49.679000000000002</v>
      </c>
      <c r="V134" s="1">
        <v>49.994</v>
      </c>
      <c r="W134" s="1">
        <v>50</v>
      </c>
      <c r="X134" s="25">
        <v>49.98</v>
      </c>
      <c r="AD134" s="50">
        <v>91</v>
      </c>
      <c r="AE134" s="1">
        <v>42.250999999999998</v>
      </c>
      <c r="AF134" s="1">
        <v>48.640999999999998</v>
      </c>
      <c r="AG134" s="1">
        <v>40.003</v>
      </c>
      <c r="AH134" s="1">
        <v>40.000999999999998</v>
      </c>
      <c r="AI134" s="25">
        <v>39.997</v>
      </c>
      <c r="AS134" s="1">
        <v>49.661999999999999</v>
      </c>
      <c r="AT134" s="1">
        <v>49.994</v>
      </c>
    </row>
    <row r="135" spans="2:46" x14ac:dyDescent="0.45">
      <c r="B135" s="50">
        <v>91.699999999999989</v>
      </c>
      <c r="C135" s="1">
        <v>49.668999999999997</v>
      </c>
      <c r="D135" s="1">
        <v>49.661999999999999</v>
      </c>
      <c r="E135" s="25">
        <v>49.66</v>
      </c>
      <c r="J135" s="50">
        <v>91.699999999999989</v>
      </c>
      <c r="K135" s="1">
        <v>40.337000000000003</v>
      </c>
      <c r="L135" s="1">
        <v>40.326000000000001</v>
      </c>
      <c r="M135" s="25">
        <v>40.338999999999999</v>
      </c>
      <c r="S135" s="50">
        <v>91.699999999999989</v>
      </c>
      <c r="T135" s="1">
        <v>49.679000000000002</v>
      </c>
      <c r="U135" s="1">
        <v>49.68</v>
      </c>
      <c r="V135" s="1">
        <v>49.994999999999997</v>
      </c>
      <c r="W135" s="1">
        <v>49.999000000000002</v>
      </c>
      <c r="X135" s="25">
        <v>49.982999999999997</v>
      </c>
      <c r="AD135" s="50">
        <v>91.699999999999989</v>
      </c>
      <c r="AE135" s="1">
        <v>42.25</v>
      </c>
      <c r="AF135" s="1">
        <v>48.64</v>
      </c>
      <c r="AG135" s="1">
        <v>40.006999999999998</v>
      </c>
      <c r="AH135" s="1">
        <v>40</v>
      </c>
      <c r="AI135" s="25">
        <v>39.997</v>
      </c>
      <c r="AS135" s="1">
        <v>49.668999999999997</v>
      </c>
      <c r="AT135" s="1">
        <v>49.994999999999997</v>
      </c>
    </row>
    <row r="136" spans="2:46" x14ac:dyDescent="0.45">
      <c r="B136" s="50">
        <v>92.399999999999991</v>
      </c>
      <c r="C136" s="1">
        <v>49.664999999999999</v>
      </c>
      <c r="D136" s="1">
        <v>49.658999999999999</v>
      </c>
      <c r="E136" s="25">
        <v>49.655000000000001</v>
      </c>
      <c r="J136" s="50">
        <v>92.399999999999991</v>
      </c>
      <c r="K136" s="1">
        <v>40.334000000000003</v>
      </c>
      <c r="L136" s="1">
        <v>40.329000000000001</v>
      </c>
      <c r="M136" s="25">
        <v>40.334000000000003</v>
      </c>
      <c r="S136" s="50">
        <v>92.399999999999991</v>
      </c>
      <c r="T136" s="1">
        <v>49.68</v>
      </c>
      <c r="U136" s="1">
        <v>49.679000000000002</v>
      </c>
      <c r="V136" s="1">
        <v>49.999000000000002</v>
      </c>
      <c r="W136" s="1">
        <v>49.999000000000002</v>
      </c>
      <c r="X136" s="25">
        <v>49.984999999999999</v>
      </c>
      <c r="AD136" s="50">
        <v>92.399999999999991</v>
      </c>
      <c r="AE136" s="1">
        <v>42.244999999999997</v>
      </c>
      <c r="AF136" s="1">
        <v>48.640999999999998</v>
      </c>
      <c r="AG136" s="1">
        <v>40.000999999999998</v>
      </c>
      <c r="AH136" s="1">
        <v>39.999000000000002</v>
      </c>
      <c r="AI136" s="25">
        <v>39.997999999999998</v>
      </c>
      <c r="AS136" s="1">
        <v>49.664999999999999</v>
      </c>
      <c r="AT136" s="1">
        <v>49.999000000000002</v>
      </c>
    </row>
    <row r="137" spans="2:46" x14ac:dyDescent="0.45">
      <c r="B137" s="50">
        <v>93.1</v>
      </c>
      <c r="C137" s="1">
        <v>49.661999999999999</v>
      </c>
      <c r="D137" s="1">
        <v>49.664000000000001</v>
      </c>
      <c r="E137" s="25">
        <v>49.652000000000001</v>
      </c>
      <c r="J137" s="50">
        <v>93.1</v>
      </c>
      <c r="K137" s="1">
        <v>40.334000000000003</v>
      </c>
      <c r="L137" s="1">
        <v>40.326000000000001</v>
      </c>
      <c r="M137" s="25">
        <v>40.338000000000001</v>
      </c>
      <c r="S137" s="50">
        <v>93.1</v>
      </c>
      <c r="T137" s="1">
        <v>49.683999999999997</v>
      </c>
      <c r="U137" s="1">
        <v>49.679000000000002</v>
      </c>
      <c r="V137" s="1">
        <v>49.997</v>
      </c>
      <c r="W137" s="1">
        <v>49.994999999999997</v>
      </c>
      <c r="X137" s="25">
        <v>49.984999999999999</v>
      </c>
      <c r="AD137" s="50">
        <v>93.1</v>
      </c>
      <c r="AE137" s="1">
        <v>42.244999999999997</v>
      </c>
      <c r="AF137" s="1">
        <v>48.637999999999998</v>
      </c>
      <c r="AG137" s="1">
        <v>40.003999999999998</v>
      </c>
      <c r="AH137" s="1">
        <v>40.000999999999998</v>
      </c>
      <c r="AI137" s="25">
        <v>39.994999999999997</v>
      </c>
      <c r="AS137" s="1">
        <v>49.661999999999999</v>
      </c>
      <c r="AT137" s="1">
        <v>49.997</v>
      </c>
    </row>
    <row r="138" spans="2:46" x14ac:dyDescent="0.45">
      <c r="B138" s="50">
        <v>93.8</v>
      </c>
      <c r="C138" s="1">
        <v>49.664000000000001</v>
      </c>
      <c r="D138" s="1">
        <v>49.658999999999999</v>
      </c>
      <c r="E138" s="25">
        <v>49.652999999999999</v>
      </c>
      <c r="J138" s="50">
        <v>93.8</v>
      </c>
      <c r="K138" s="1">
        <v>40.334000000000003</v>
      </c>
      <c r="L138" s="1">
        <v>40.326000000000001</v>
      </c>
      <c r="M138" s="25">
        <v>40.338000000000001</v>
      </c>
      <c r="S138" s="50">
        <v>93.8</v>
      </c>
      <c r="T138" s="1">
        <v>49.68</v>
      </c>
      <c r="U138" s="1">
        <v>49.68</v>
      </c>
      <c r="V138" s="1">
        <v>50</v>
      </c>
      <c r="W138" s="1">
        <v>50</v>
      </c>
      <c r="X138" s="25">
        <v>49.982999999999997</v>
      </c>
      <c r="AD138" s="50">
        <v>93.8</v>
      </c>
      <c r="AE138" s="1">
        <v>42.247</v>
      </c>
      <c r="AF138" s="1">
        <v>48.643000000000001</v>
      </c>
      <c r="AG138" s="1">
        <v>40.005000000000003</v>
      </c>
      <c r="AH138" s="1">
        <v>40.002000000000002</v>
      </c>
      <c r="AI138" s="25">
        <v>39.997999999999998</v>
      </c>
      <c r="AS138" s="1">
        <v>49.664000000000001</v>
      </c>
      <c r="AT138" s="1">
        <v>50</v>
      </c>
    </row>
    <row r="139" spans="2:46" x14ac:dyDescent="0.45">
      <c r="B139" s="50">
        <v>94.5</v>
      </c>
      <c r="C139" s="1">
        <v>49.661999999999999</v>
      </c>
      <c r="D139" s="1">
        <v>49.664000000000001</v>
      </c>
      <c r="E139" s="25">
        <v>49.652999999999999</v>
      </c>
      <c r="J139" s="50">
        <v>94.5</v>
      </c>
      <c r="K139" s="1">
        <v>40.335999999999999</v>
      </c>
      <c r="L139" s="1">
        <v>40.326999999999998</v>
      </c>
      <c r="M139" s="25">
        <v>40.338000000000001</v>
      </c>
      <c r="S139" s="50">
        <v>94.5</v>
      </c>
      <c r="T139" s="1">
        <v>49.677</v>
      </c>
      <c r="U139" s="1">
        <v>49.68</v>
      </c>
      <c r="V139" s="1">
        <v>50</v>
      </c>
      <c r="W139" s="1">
        <v>50.003999999999998</v>
      </c>
      <c r="X139" s="25">
        <v>49.982999999999997</v>
      </c>
      <c r="AD139" s="50">
        <v>94.5</v>
      </c>
      <c r="AE139" s="1">
        <v>42.25</v>
      </c>
      <c r="AF139" s="1">
        <v>48.536999999999999</v>
      </c>
      <c r="AG139" s="1">
        <v>40.003</v>
      </c>
      <c r="AH139" s="1">
        <v>39.999000000000002</v>
      </c>
      <c r="AI139" s="25">
        <v>39.999000000000002</v>
      </c>
      <c r="AS139" s="1">
        <v>49.661999999999999</v>
      </c>
      <c r="AT139" s="1">
        <v>50</v>
      </c>
    </row>
    <row r="140" spans="2:46" x14ac:dyDescent="0.45">
      <c r="B140" s="50">
        <v>95.199999999999989</v>
      </c>
      <c r="C140" s="1">
        <v>49.661999999999999</v>
      </c>
      <c r="D140" s="1">
        <v>49.66</v>
      </c>
      <c r="E140" s="25">
        <v>49.655000000000001</v>
      </c>
      <c r="J140" s="50">
        <v>95.199999999999989</v>
      </c>
      <c r="K140" s="1">
        <v>40.332999999999998</v>
      </c>
      <c r="L140" s="1">
        <v>40.326000000000001</v>
      </c>
      <c r="M140" s="25">
        <v>40.335999999999999</v>
      </c>
      <c r="S140" s="50">
        <v>95.199999999999989</v>
      </c>
      <c r="T140" s="1">
        <v>49.682000000000002</v>
      </c>
      <c r="U140" s="1">
        <v>49.682000000000002</v>
      </c>
      <c r="V140" s="1">
        <v>49.999000000000002</v>
      </c>
      <c r="W140" s="1">
        <v>50.003999999999998</v>
      </c>
      <c r="X140" s="25">
        <v>49.987000000000002</v>
      </c>
      <c r="AD140" s="50">
        <v>95.199999999999989</v>
      </c>
      <c r="AE140" s="1">
        <v>42.249000000000002</v>
      </c>
      <c r="AF140" s="1">
        <v>48.488</v>
      </c>
      <c r="AG140" s="1">
        <v>40.000999999999998</v>
      </c>
      <c r="AH140" s="1">
        <v>40.000999999999998</v>
      </c>
      <c r="AI140" s="25">
        <v>40</v>
      </c>
      <c r="AS140" s="1">
        <v>49.661999999999999</v>
      </c>
      <c r="AT140" s="1">
        <v>49.999000000000002</v>
      </c>
    </row>
    <row r="141" spans="2:46" x14ac:dyDescent="0.45">
      <c r="B141" s="50">
        <v>95.899999999999991</v>
      </c>
      <c r="C141" s="1">
        <v>49.658999999999999</v>
      </c>
      <c r="D141" s="1">
        <v>49.661999999999999</v>
      </c>
      <c r="E141" s="25">
        <v>49.66</v>
      </c>
      <c r="J141" s="50">
        <v>95.899999999999991</v>
      </c>
      <c r="K141" s="1">
        <v>40.334000000000003</v>
      </c>
      <c r="L141" s="1">
        <v>40.325000000000003</v>
      </c>
      <c r="M141" s="25">
        <v>40.338000000000001</v>
      </c>
      <c r="S141" s="50">
        <v>95.899999999999991</v>
      </c>
      <c r="T141" s="1">
        <v>49.682000000000002</v>
      </c>
      <c r="U141" s="1">
        <v>49.682000000000002</v>
      </c>
      <c r="V141" s="1">
        <v>49.997</v>
      </c>
      <c r="W141" s="1">
        <v>50</v>
      </c>
      <c r="X141" s="25">
        <v>49.982999999999997</v>
      </c>
      <c r="AD141" s="50">
        <v>95.899999999999991</v>
      </c>
      <c r="AE141" s="1">
        <v>42.015000000000001</v>
      </c>
      <c r="AF141" s="1">
        <v>48.493000000000002</v>
      </c>
      <c r="AG141" s="1">
        <v>40.000999999999998</v>
      </c>
      <c r="AH141" s="1">
        <v>40.000999999999998</v>
      </c>
      <c r="AI141" s="25">
        <v>40</v>
      </c>
      <c r="AS141" s="1">
        <v>49.658999999999999</v>
      </c>
      <c r="AT141" s="1">
        <v>49.997</v>
      </c>
    </row>
    <row r="142" spans="2:46" x14ac:dyDescent="0.45">
      <c r="B142" s="50">
        <v>96.6</v>
      </c>
      <c r="C142" s="1">
        <v>49.66</v>
      </c>
      <c r="D142" s="1">
        <v>49.664000000000001</v>
      </c>
      <c r="E142" s="25">
        <v>49.655000000000001</v>
      </c>
      <c r="J142" s="50">
        <v>96.6</v>
      </c>
      <c r="K142" s="1">
        <v>40.334000000000003</v>
      </c>
      <c r="L142" s="1">
        <v>40.326000000000001</v>
      </c>
      <c r="M142" s="25">
        <v>40.335000000000001</v>
      </c>
      <c r="S142" s="50">
        <v>96.6</v>
      </c>
      <c r="T142" s="1">
        <v>49.682000000000002</v>
      </c>
      <c r="U142" s="1">
        <v>49.677</v>
      </c>
      <c r="V142" s="1">
        <v>50.002000000000002</v>
      </c>
      <c r="W142" s="1">
        <v>49.999000000000002</v>
      </c>
      <c r="X142" s="25">
        <v>49.982999999999997</v>
      </c>
      <c r="AD142" s="50">
        <v>96.6</v>
      </c>
      <c r="AE142" s="1">
        <v>41.94</v>
      </c>
      <c r="AF142" s="1">
        <v>48.491</v>
      </c>
      <c r="AG142" s="1">
        <v>40.000999999999998</v>
      </c>
      <c r="AH142" s="1">
        <v>40</v>
      </c>
      <c r="AI142" s="25">
        <v>40.000999999999998</v>
      </c>
      <c r="AS142" s="1">
        <v>49.66</v>
      </c>
      <c r="AT142" s="1">
        <v>50.002000000000002</v>
      </c>
    </row>
    <row r="143" spans="2:46" x14ac:dyDescent="0.45">
      <c r="B143" s="50">
        <v>97.3</v>
      </c>
      <c r="C143" s="1">
        <v>49.661999999999999</v>
      </c>
      <c r="D143" s="1">
        <v>49.66</v>
      </c>
      <c r="E143" s="25">
        <v>49.656999999999996</v>
      </c>
      <c r="J143" s="50">
        <v>97.3</v>
      </c>
      <c r="K143" s="1">
        <v>40.335000000000001</v>
      </c>
      <c r="L143" s="1">
        <v>40.326999999999998</v>
      </c>
      <c r="M143" s="25">
        <v>40.334000000000003</v>
      </c>
      <c r="S143" s="50">
        <v>97.3</v>
      </c>
      <c r="T143" s="1">
        <v>49.68</v>
      </c>
      <c r="U143" s="1">
        <v>49.673999999999999</v>
      </c>
      <c r="V143" s="1">
        <v>50</v>
      </c>
      <c r="W143" s="1">
        <v>50.002000000000002</v>
      </c>
      <c r="X143" s="25">
        <v>50.005000000000003</v>
      </c>
      <c r="AD143" s="50">
        <v>97.3</v>
      </c>
      <c r="AE143" s="1">
        <v>41.94</v>
      </c>
      <c r="AF143" s="1">
        <v>48.494</v>
      </c>
      <c r="AG143" s="1">
        <v>40.003</v>
      </c>
      <c r="AH143" s="1">
        <v>40.000999999999998</v>
      </c>
      <c r="AI143" s="25">
        <v>40.002000000000002</v>
      </c>
      <c r="AS143" s="1">
        <v>49.661999999999999</v>
      </c>
      <c r="AT143" s="1">
        <v>50</v>
      </c>
    </row>
    <row r="144" spans="2:46" x14ac:dyDescent="0.45">
      <c r="B144" s="50">
        <v>98</v>
      </c>
      <c r="C144" s="1">
        <v>49.661999999999999</v>
      </c>
      <c r="D144" s="1">
        <v>49.664000000000001</v>
      </c>
      <c r="E144" s="25">
        <v>49.658999999999999</v>
      </c>
      <c r="J144" s="50">
        <v>98</v>
      </c>
      <c r="K144" s="1">
        <v>40.332999999999998</v>
      </c>
      <c r="L144" s="1">
        <v>40.33</v>
      </c>
      <c r="M144" s="25">
        <v>40.338000000000001</v>
      </c>
      <c r="S144" s="50">
        <v>98</v>
      </c>
      <c r="T144" s="1">
        <v>49.679000000000002</v>
      </c>
      <c r="U144" s="1">
        <v>49.682000000000002</v>
      </c>
      <c r="V144" s="1">
        <v>49.999000000000002</v>
      </c>
      <c r="W144" s="1">
        <v>50.003999999999998</v>
      </c>
      <c r="X144" s="25">
        <v>50.009</v>
      </c>
      <c r="AD144" s="50">
        <v>98</v>
      </c>
      <c r="AE144" s="1">
        <v>41.941000000000003</v>
      </c>
      <c r="AF144" s="1">
        <v>48.491</v>
      </c>
      <c r="AG144" s="1">
        <v>40.002000000000002</v>
      </c>
      <c r="AH144" s="1">
        <v>40</v>
      </c>
      <c r="AI144" s="25">
        <v>40</v>
      </c>
      <c r="AS144" s="1">
        <v>49.661999999999999</v>
      </c>
      <c r="AT144" s="1">
        <v>49.999000000000002</v>
      </c>
    </row>
    <row r="145" spans="2:46" x14ac:dyDescent="0.45">
      <c r="B145" s="50">
        <v>98.699999999999989</v>
      </c>
      <c r="C145" s="1">
        <v>49.661999999999999</v>
      </c>
      <c r="D145" s="1">
        <v>49.664999999999999</v>
      </c>
      <c r="E145" s="25">
        <v>49.652000000000001</v>
      </c>
      <c r="J145" s="50">
        <v>98.699999999999989</v>
      </c>
      <c r="K145" s="1">
        <v>40.335000000000001</v>
      </c>
      <c r="L145" s="1">
        <v>40.329000000000001</v>
      </c>
      <c r="M145" s="25">
        <v>40.338000000000001</v>
      </c>
      <c r="S145" s="50">
        <v>98.699999999999989</v>
      </c>
      <c r="T145" s="1">
        <v>49.682000000000002</v>
      </c>
      <c r="U145" s="1">
        <v>49.674999999999997</v>
      </c>
      <c r="V145" s="1">
        <v>50.002000000000002</v>
      </c>
      <c r="W145" s="1">
        <v>50</v>
      </c>
      <c r="X145" s="25">
        <v>50.003999999999998</v>
      </c>
      <c r="AD145" s="50">
        <v>98.699999999999989</v>
      </c>
      <c r="AE145" s="1">
        <v>41.941000000000003</v>
      </c>
      <c r="AF145" s="1">
        <v>48.488999999999997</v>
      </c>
      <c r="AG145" s="1">
        <v>40.003</v>
      </c>
      <c r="AH145" s="1">
        <v>40.003</v>
      </c>
      <c r="AI145" s="25">
        <v>40.003</v>
      </c>
      <c r="AS145" s="1">
        <v>49.661999999999999</v>
      </c>
      <c r="AT145" s="1">
        <v>50.002000000000002</v>
      </c>
    </row>
    <row r="146" spans="2:46" x14ac:dyDescent="0.45">
      <c r="B146" s="50">
        <v>99.399999999999991</v>
      </c>
      <c r="C146" s="1">
        <v>49.661999999999999</v>
      </c>
      <c r="D146" s="1">
        <v>49.664000000000001</v>
      </c>
      <c r="E146" s="25">
        <v>49.656999999999996</v>
      </c>
      <c r="J146" s="50">
        <v>99.399999999999991</v>
      </c>
      <c r="K146" s="1">
        <v>40.335999999999999</v>
      </c>
      <c r="L146" s="1">
        <v>40.326999999999998</v>
      </c>
      <c r="M146" s="25">
        <v>40.337000000000003</v>
      </c>
      <c r="S146" s="50">
        <v>99.399999999999991</v>
      </c>
      <c r="T146" s="1">
        <v>49.68</v>
      </c>
      <c r="U146" s="1">
        <v>49.677</v>
      </c>
      <c r="V146" s="1">
        <v>49.999000000000002</v>
      </c>
      <c r="W146" s="1">
        <v>50.002000000000002</v>
      </c>
      <c r="X146" s="25">
        <v>50.003999999999998</v>
      </c>
      <c r="AD146" s="50">
        <v>99.399999999999991</v>
      </c>
      <c r="AE146" s="1">
        <v>41.94</v>
      </c>
      <c r="AF146" s="1">
        <v>48.491</v>
      </c>
      <c r="AG146" s="1">
        <v>40.002000000000002</v>
      </c>
      <c r="AH146" s="1">
        <v>40.000999999999998</v>
      </c>
      <c r="AI146" s="25">
        <v>40</v>
      </c>
      <c r="AS146" s="1">
        <v>49.661999999999999</v>
      </c>
      <c r="AT146" s="1">
        <v>49.999000000000002</v>
      </c>
    </row>
    <row r="147" spans="2:46" x14ac:dyDescent="0.45">
      <c r="B147" s="50">
        <v>100.1</v>
      </c>
      <c r="C147" s="1">
        <v>49.682000000000002</v>
      </c>
      <c r="D147" s="1">
        <v>49.68</v>
      </c>
      <c r="E147" s="25">
        <v>49.68</v>
      </c>
      <c r="J147" s="50">
        <v>100.1</v>
      </c>
      <c r="K147" s="1">
        <v>40.247999999999998</v>
      </c>
      <c r="L147" s="1">
        <v>40.243000000000002</v>
      </c>
      <c r="M147" s="25">
        <v>40.249000000000002</v>
      </c>
      <c r="S147" s="50">
        <v>100.1</v>
      </c>
      <c r="T147" s="1">
        <v>49.701999999999998</v>
      </c>
      <c r="U147" s="1">
        <v>49.7</v>
      </c>
      <c r="V147" s="1">
        <v>49.997</v>
      </c>
      <c r="W147" s="1">
        <v>50</v>
      </c>
      <c r="X147" s="25">
        <v>50.005000000000003</v>
      </c>
      <c r="AD147" s="50">
        <v>100.1</v>
      </c>
      <c r="AE147" s="1">
        <v>41.941000000000003</v>
      </c>
      <c r="AF147" s="1">
        <v>48.493000000000002</v>
      </c>
      <c r="AG147" s="1">
        <v>40.002000000000002</v>
      </c>
      <c r="AH147" s="1">
        <v>40</v>
      </c>
      <c r="AI147" s="25">
        <v>40.000999999999998</v>
      </c>
      <c r="AS147" s="1">
        <v>49.682000000000002</v>
      </c>
      <c r="AT147" s="1">
        <v>49.997</v>
      </c>
    </row>
    <row r="148" spans="2:46" x14ac:dyDescent="0.45">
      <c r="B148" s="50">
        <v>100.8</v>
      </c>
      <c r="C148" s="1">
        <v>49.767000000000003</v>
      </c>
      <c r="D148" s="1">
        <v>49.765999999999998</v>
      </c>
      <c r="E148" s="25">
        <v>49.761000000000003</v>
      </c>
      <c r="J148" s="50">
        <v>100.8</v>
      </c>
      <c r="K148" s="1">
        <v>40.25</v>
      </c>
      <c r="L148" s="1">
        <v>40.241999999999997</v>
      </c>
      <c r="M148" s="25">
        <v>40.249000000000002</v>
      </c>
      <c r="S148" s="50">
        <v>100.8</v>
      </c>
      <c r="T148" s="1">
        <v>49.779000000000003</v>
      </c>
      <c r="U148" s="1">
        <v>49.776000000000003</v>
      </c>
      <c r="V148" s="1">
        <v>50.002000000000002</v>
      </c>
      <c r="W148" s="1">
        <v>50.005000000000003</v>
      </c>
      <c r="X148" s="25">
        <v>50.006999999999998</v>
      </c>
      <c r="AD148" s="50">
        <v>100.8</v>
      </c>
      <c r="AE148" s="1">
        <v>41.94</v>
      </c>
      <c r="AF148" s="1">
        <v>48.493000000000002</v>
      </c>
      <c r="AG148" s="1">
        <v>39.999000000000002</v>
      </c>
      <c r="AH148" s="1">
        <v>39.999000000000002</v>
      </c>
      <c r="AI148" s="25">
        <v>40.002000000000002</v>
      </c>
      <c r="AS148" s="1">
        <v>49.767000000000003</v>
      </c>
      <c r="AT148" s="1">
        <v>50.002000000000002</v>
      </c>
    </row>
    <row r="149" spans="2:46" x14ac:dyDescent="0.45">
      <c r="B149" s="50">
        <v>101.5</v>
      </c>
      <c r="C149" s="1">
        <v>49.764000000000003</v>
      </c>
      <c r="D149" s="1">
        <v>49.767000000000003</v>
      </c>
      <c r="E149" s="25">
        <v>49.762</v>
      </c>
      <c r="J149" s="50">
        <v>101.5</v>
      </c>
      <c r="K149" s="1">
        <v>40.247999999999998</v>
      </c>
      <c r="L149" s="1">
        <v>40.241999999999997</v>
      </c>
      <c r="M149" s="25">
        <v>40.247999999999998</v>
      </c>
      <c r="S149" s="50">
        <v>101.5</v>
      </c>
      <c r="T149" s="1">
        <v>49.777999999999999</v>
      </c>
      <c r="U149" s="1">
        <v>49.777999999999999</v>
      </c>
      <c r="V149" s="1">
        <v>49.999000000000002</v>
      </c>
      <c r="W149" s="1">
        <v>50</v>
      </c>
      <c r="X149" s="25">
        <v>50.002000000000002</v>
      </c>
      <c r="AD149" s="50">
        <v>101.5</v>
      </c>
      <c r="AE149" s="1">
        <v>41.941000000000003</v>
      </c>
      <c r="AF149" s="1">
        <v>48.488999999999997</v>
      </c>
      <c r="AG149" s="1">
        <v>40.002000000000002</v>
      </c>
      <c r="AH149" s="1">
        <v>40.002000000000002</v>
      </c>
      <c r="AI149" s="25">
        <v>39.997999999999998</v>
      </c>
      <c r="AS149" s="1">
        <v>49.764000000000003</v>
      </c>
      <c r="AT149" s="1">
        <v>49.999000000000002</v>
      </c>
    </row>
    <row r="150" spans="2:46" x14ac:dyDescent="0.45">
      <c r="B150" s="50">
        <v>102.19999999999999</v>
      </c>
      <c r="C150" s="1">
        <v>49.765999999999998</v>
      </c>
      <c r="D150" s="1">
        <v>49.768999999999998</v>
      </c>
      <c r="E150" s="25">
        <v>49.762</v>
      </c>
      <c r="J150" s="50">
        <v>102.19999999999999</v>
      </c>
      <c r="K150" s="1">
        <v>40.247999999999998</v>
      </c>
      <c r="L150" s="1">
        <v>40.244999999999997</v>
      </c>
      <c r="M150" s="25">
        <v>40.25</v>
      </c>
      <c r="S150" s="50">
        <v>102.19999999999999</v>
      </c>
      <c r="T150" s="1">
        <v>49.779000000000003</v>
      </c>
      <c r="U150" s="1">
        <v>49.779000000000003</v>
      </c>
      <c r="V150" s="1">
        <v>50</v>
      </c>
      <c r="W150" s="1">
        <v>49.999000000000002</v>
      </c>
      <c r="X150" s="25">
        <v>50.002000000000002</v>
      </c>
      <c r="AD150" s="50">
        <v>102.19999999999999</v>
      </c>
      <c r="AE150" s="1">
        <v>41.941000000000003</v>
      </c>
      <c r="AF150" s="1">
        <v>48.485999999999997</v>
      </c>
      <c r="AG150" s="1">
        <v>40.003</v>
      </c>
      <c r="AH150" s="1">
        <v>40.002000000000002</v>
      </c>
      <c r="AI150" s="25">
        <v>40.002000000000002</v>
      </c>
      <c r="AS150" s="1">
        <v>49.765999999999998</v>
      </c>
      <c r="AT150" s="1">
        <v>50</v>
      </c>
    </row>
    <row r="151" spans="2:46" x14ac:dyDescent="0.45">
      <c r="B151" s="50">
        <v>102.89999999999999</v>
      </c>
      <c r="C151" s="1">
        <v>49.765999999999998</v>
      </c>
      <c r="D151" s="1">
        <v>49.771000000000001</v>
      </c>
      <c r="E151" s="25">
        <v>49.761000000000003</v>
      </c>
      <c r="J151" s="50">
        <v>102.89999999999999</v>
      </c>
      <c r="K151" s="1">
        <v>40.247999999999998</v>
      </c>
      <c r="L151" s="1">
        <v>40.241999999999997</v>
      </c>
      <c r="M151" s="25">
        <v>40.25</v>
      </c>
      <c r="S151" s="50">
        <v>102.89999999999999</v>
      </c>
      <c r="T151" s="1">
        <v>49.779000000000003</v>
      </c>
      <c r="U151" s="1">
        <v>49.776000000000003</v>
      </c>
      <c r="V151" s="1">
        <v>49.999000000000002</v>
      </c>
      <c r="W151" s="1">
        <v>50.002000000000002</v>
      </c>
      <c r="X151" s="25">
        <v>50.005000000000003</v>
      </c>
      <c r="AD151" s="50">
        <v>102.89999999999999</v>
      </c>
      <c r="AE151" s="1">
        <v>41.941000000000003</v>
      </c>
      <c r="AF151" s="1">
        <v>48.493000000000002</v>
      </c>
      <c r="AG151" s="1">
        <v>40.002000000000002</v>
      </c>
      <c r="AH151" s="1">
        <v>40.000999999999998</v>
      </c>
      <c r="AI151" s="25">
        <v>40</v>
      </c>
      <c r="AS151" s="1">
        <v>49.765999999999998</v>
      </c>
      <c r="AT151" s="1">
        <v>49.999000000000002</v>
      </c>
    </row>
    <row r="152" spans="2:46" x14ac:dyDescent="0.45">
      <c r="B152" s="50">
        <v>103.6</v>
      </c>
      <c r="C152" s="1">
        <v>49.767000000000003</v>
      </c>
      <c r="D152" s="1">
        <v>49.765999999999998</v>
      </c>
      <c r="E152" s="25">
        <v>49.762</v>
      </c>
      <c r="J152" s="50">
        <v>103.6</v>
      </c>
      <c r="K152" s="1">
        <v>40.249000000000002</v>
      </c>
      <c r="L152" s="1">
        <v>40.241</v>
      </c>
      <c r="M152" s="25">
        <v>40.249000000000002</v>
      </c>
      <c r="S152" s="50">
        <v>103.6</v>
      </c>
      <c r="T152" s="1">
        <v>49.777999999999999</v>
      </c>
      <c r="U152" s="1">
        <v>49.777999999999999</v>
      </c>
      <c r="V152" s="1">
        <v>50.005000000000003</v>
      </c>
      <c r="W152" s="1">
        <v>50.002000000000002</v>
      </c>
      <c r="X152" s="25">
        <v>50.006999999999998</v>
      </c>
      <c r="AD152" s="50">
        <v>103.6</v>
      </c>
      <c r="AE152" s="1">
        <v>41.94</v>
      </c>
      <c r="AF152" s="1">
        <v>48.491</v>
      </c>
      <c r="AG152" s="1">
        <v>40.003</v>
      </c>
      <c r="AH152" s="1">
        <v>40</v>
      </c>
      <c r="AI152" s="25">
        <v>40.002000000000002</v>
      </c>
      <c r="AS152" s="1">
        <v>49.767000000000003</v>
      </c>
      <c r="AT152" s="1">
        <v>50.005000000000003</v>
      </c>
    </row>
    <row r="153" spans="2:46" x14ac:dyDescent="0.45">
      <c r="B153" s="50">
        <v>104.3</v>
      </c>
      <c r="C153" s="1">
        <v>49.768999999999998</v>
      </c>
      <c r="D153" s="1">
        <v>49.768999999999998</v>
      </c>
      <c r="E153" s="25">
        <v>49.756999999999998</v>
      </c>
      <c r="J153" s="50">
        <v>104.3</v>
      </c>
      <c r="K153" s="1">
        <v>40.246000000000002</v>
      </c>
      <c r="L153" s="1">
        <v>40.241</v>
      </c>
      <c r="M153" s="25">
        <v>40.247999999999998</v>
      </c>
      <c r="S153" s="50">
        <v>104.3</v>
      </c>
      <c r="T153" s="1">
        <v>49.780999999999999</v>
      </c>
      <c r="U153" s="1">
        <v>49.776000000000003</v>
      </c>
      <c r="V153" s="1">
        <v>49.997</v>
      </c>
      <c r="W153" s="1">
        <v>50.002000000000002</v>
      </c>
      <c r="X153" s="25">
        <v>50.006999999999998</v>
      </c>
      <c r="AD153" s="50">
        <v>104.3</v>
      </c>
      <c r="AE153" s="1">
        <v>41.703000000000003</v>
      </c>
      <c r="AF153" s="1">
        <v>48.375</v>
      </c>
      <c r="AG153" s="1">
        <v>40.000999999999998</v>
      </c>
      <c r="AH153" s="1">
        <v>40.003</v>
      </c>
      <c r="AI153" s="25">
        <v>40</v>
      </c>
      <c r="AS153" s="1">
        <v>49.768999999999998</v>
      </c>
      <c r="AT153" s="1">
        <v>49.997</v>
      </c>
    </row>
    <row r="154" spans="2:46" x14ac:dyDescent="0.45">
      <c r="B154" s="50">
        <v>105</v>
      </c>
      <c r="C154" s="1">
        <v>49.768999999999998</v>
      </c>
      <c r="D154" s="1">
        <v>49.767000000000003</v>
      </c>
      <c r="E154" s="25">
        <v>49.761000000000003</v>
      </c>
      <c r="J154" s="50">
        <v>105</v>
      </c>
      <c r="K154" s="1">
        <v>40.249000000000002</v>
      </c>
      <c r="L154" s="1">
        <v>40.241</v>
      </c>
      <c r="M154" s="25">
        <v>40.250999999999998</v>
      </c>
      <c r="S154" s="50">
        <v>105</v>
      </c>
      <c r="T154" s="1">
        <v>49.777999999999999</v>
      </c>
      <c r="U154" s="1">
        <v>49.776000000000003</v>
      </c>
      <c r="V154" s="1">
        <v>50</v>
      </c>
      <c r="W154" s="1">
        <v>49.997</v>
      </c>
      <c r="X154" s="25">
        <v>50.006999999999998</v>
      </c>
      <c r="AD154" s="50">
        <v>105</v>
      </c>
      <c r="AE154" s="1">
        <v>41.674999999999997</v>
      </c>
      <c r="AF154" s="1">
        <v>48.341000000000001</v>
      </c>
      <c r="AG154" s="1">
        <v>40.002000000000002</v>
      </c>
      <c r="AH154" s="1">
        <v>39.997</v>
      </c>
      <c r="AI154" s="25">
        <v>39.997999999999998</v>
      </c>
      <c r="AS154" s="1">
        <v>49.768999999999998</v>
      </c>
      <c r="AT154" s="1">
        <v>50</v>
      </c>
    </row>
    <row r="155" spans="2:46" x14ac:dyDescent="0.45">
      <c r="B155" s="50">
        <v>105.69999999999999</v>
      </c>
      <c r="C155" s="1">
        <v>49.767000000000003</v>
      </c>
      <c r="D155" s="1">
        <v>49.768999999999998</v>
      </c>
      <c r="E155" s="25">
        <v>49.761000000000003</v>
      </c>
      <c r="J155" s="50">
        <v>105.69999999999999</v>
      </c>
      <c r="K155" s="1">
        <v>40.247</v>
      </c>
      <c r="L155" s="1">
        <v>40.243000000000002</v>
      </c>
      <c r="M155" s="25">
        <v>40.250999999999998</v>
      </c>
      <c r="S155" s="50">
        <v>105.69999999999999</v>
      </c>
      <c r="T155" s="1">
        <v>49.777999999999999</v>
      </c>
      <c r="U155" s="1">
        <v>49.777999999999999</v>
      </c>
      <c r="V155" s="1">
        <v>49.999000000000002</v>
      </c>
      <c r="W155" s="1">
        <v>49.994999999999997</v>
      </c>
      <c r="X155" s="25">
        <v>50.009</v>
      </c>
      <c r="AD155" s="50">
        <v>105.69999999999999</v>
      </c>
      <c r="AE155" s="1">
        <v>41.677</v>
      </c>
      <c r="AF155" s="1">
        <v>48.341000000000001</v>
      </c>
      <c r="AG155" s="1">
        <v>39.997999999999998</v>
      </c>
      <c r="AH155" s="1">
        <v>39.997999999999998</v>
      </c>
      <c r="AI155" s="25">
        <v>40</v>
      </c>
      <c r="AS155" s="1">
        <v>49.767000000000003</v>
      </c>
      <c r="AT155" s="1">
        <v>49.999000000000002</v>
      </c>
    </row>
    <row r="156" spans="2:46" x14ac:dyDescent="0.45">
      <c r="B156" s="50">
        <v>106.39999999999999</v>
      </c>
      <c r="C156" s="1">
        <v>49.764000000000003</v>
      </c>
      <c r="D156" s="1">
        <v>49.767000000000003</v>
      </c>
      <c r="E156" s="25">
        <v>49.764000000000003</v>
      </c>
      <c r="J156" s="50">
        <v>106.39999999999999</v>
      </c>
      <c r="K156" s="1">
        <v>40.25</v>
      </c>
      <c r="L156" s="1">
        <v>40.244999999999997</v>
      </c>
      <c r="M156" s="25">
        <v>40.252000000000002</v>
      </c>
      <c r="S156" s="50">
        <v>106.39999999999999</v>
      </c>
      <c r="T156" s="1">
        <v>49.780999999999999</v>
      </c>
      <c r="U156" s="1">
        <v>49.776000000000003</v>
      </c>
      <c r="V156" s="1">
        <v>50</v>
      </c>
      <c r="W156" s="1">
        <v>49.994</v>
      </c>
      <c r="X156" s="25">
        <v>50.003999999999998</v>
      </c>
      <c r="AD156" s="50">
        <v>106.39999999999999</v>
      </c>
      <c r="AE156" s="1">
        <v>41.679000000000002</v>
      </c>
      <c r="AF156" s="1">
        <v>48.338000000000001</v>
      </c>
      <c r="AG156" s="1">
        <v>40.000999999999998</v>
      </c>
      <c r="AH156" s="1">
        <v>39.999000000000002</v>
      </c>
      <c r="AI156" s="25">
        <v>40</v>
      </c>
      <c r="AS156" s="1">
        <v>49.764000000000003</v>
      </c>
      <c r="AT156" s="1">
        <v>50</v>
      </c>
    </row>
    <row r="157" spans="2:46" x14ac:dyDescent="0.45">
      <c r="B157" s="50">
        <v>107.1</v>
      </c>
      <c r="C157" s="1">
        <v>49.765999999999998</v>
      </c>
      <c r="D157" s="1">
        <v>49.767000000000003</v>
      </c>
      <c r="E157" s="25">
        <v>49.761000000000003</v>
      </c>
      <c r="J157" s="50">
        <v>107.1</v>
      </c>
      <c r="K157" s="1">
        <v>40.247999999999998</v>
      </c>
      <c r="L157" s="1">
        <v>40.243000000000002</v>
      </c>
      <c r="M157" s="25">
        <v>40.25</v>
      </c>
      <c r="S157" s="50">
        <v>107.1</v>
      </c>
      <c r="T157" s="1">
        <v>49.777999999999999</v>
      </c>
      <c r="U157" s="1">
        <v>49.777999999999999</v>
      </c>
      <c r="V157" s="1">
        <v>49.997</v>
      </c>
      <c r="W157" s="1">
        <v>50.002000000000002</v>
      </c>
      <c r="X157" s="25">
        <v>49.999000000000002</v>
      </c>
      <c r="AD157" s="50">
        <v>107.1</v>
      </c>
      <c r="AE157" s="1">
        <v>41.674999999999997</v>
      </c>
      <c r="AF157" s="1">
        <v>48.341000000000001</v>
      </c>
      <c r="AG157" s="1">
        <v>39.997999999999998</v>
      </c>
      <c r="AH157" s="1">
        <v>40</v>
      </c>
      <c r="AI157" s="25">
        <v>39.999000000000002</v>
      </c>
      <c r="AS157" s="1">
        <v>49.765999999999998</v>
      </c>
      <c r="AT157" s="1">
        <v>49.997</v>
      </c>
    </row>
    <row r="158" spans="2:46" x14ac:dyDescent="0.45">
      <c r="B158" s="50">
        <v>107.8</v>
      </c>
      <c r="C158" s="1">
        <v>49.765999999999998</v>
      </c>
      <c r="D158" s="1">
        <v>49.764000000000003</v>
      </c>
      <c r="E158" s="25">
        <v>49.761000000000003</v>
      </c>
      <c r="J158" s="50">
        <v>107.8</v>
      </c>
      <c r="K158" s="1">
        <v>40.218000000000004</v>
      </c>
      <c r="L158" s="1">
        <v>40.213999999999999</v>
      </c>
      <c r="M158" s="25">
        <v>40.219000000000001</v>
      </c>
      <c r="S158" s="50">
        <v>107.8</v>
      </c>
      <c r="T158" s="1">
        <v>49.777999999999999</v>
      </c>
      <c r="U158" s="1">
        <v>49.779000000000003</v>
      </c>
      <c r="V158" s="1">
        <v>49.999000000000002</v>
      </c>
      <c r="W158" s="1">
        <v>50</v>
      </c>
      <c r="X158" s="25">
        <v>49.994999999999997</v>
      </c>
      <c r="AD158" s="50">
        <v>107.8</v>
      </c>
      <c r="AE158" s="1">
        <v>41.679000000000002</v>
      </c>
      <c r="AF158" s="1">
        <v>48.337000000000003</v>
      </c>
      <c r="AG158" s="1">
        <v>40.003</v>
      </c>
      <c r="AH158" s="1">
        <v>40.000999999999998</v>
      </c>
      <c r="AI158" s="25">
        <v>40</v>
      </c>
      <c r="AS158" s="1">
        <v>49.765999999999998</v>
      </c>
      <c r="AT158" s="1">
        <v>49.999000000000002</v>
      </c>
    </row>
    <row r="159" spans="2:46" x14ac:dyDescent="0.45">
      <c r="B159" s="50">
        <v>108.5</v>
      </c>
      <c r="C159" s="1">
        <v>49.765999999999998</v>
      </c>
      <c r="D159" s="1">
        <v>49.771000000000001</v>
      </c>
      <c r="E159" s="25">
        <v>49.762</v>
      </c>
      <c r="J159" s="50">
        <v>108.5</v>
      </c>
      <c r="K159" s="1">
        <v>40.183</v>
      </c>
      <c r="L159" s="1">
        <v>40.179000000000002</v>
      </c>
      <c r="M159" s="25">
        <v>40.185000000000002</v>
      </c>
      <c r="S159" s="50">
        <v>108.5</v>
      </c>
      <c r="T159" s="1">
        <v>49.780999999999999</v>
      </c>
      <c r="U159" s="1">
        <v>49.779000000000003</v>
      </c>
      <c r="V159" s="1">
        <v>49.994999999999997</v>
      </c>
      <c r="W159" s="1">
        <v>50</v>
      </c>
      <c r="X159" s="25">
        <v>49.997</v>
      </c>
      <c r="AD159" s="50">
        <v>108.5</v>
      </c>
      <c r="AE159" s="1">
        <v>41.677999999999997</v>
      </c>
      <c r="AF159" s="1">
        <v>48.338000000000001</v>
      </c>
      <c r="AG159" s="1">
        <v>40</v>
      </c>
      <c r="AH159" s="1">
        <v>39.999000000000002</v>
      </c>
      <c r="AI159" s="25">
        <v>40.000999999999998</v>
      </c>
      <c r="AS159" s="1">
        <v>49.765999999999998</v>
      </c>
      <c r="AT159" s="1">
        <v>49.994999999999997</v>
      </c>
    </row>
    <row r="160" spans="2:46" x14ac:dyDescent="0.45">
      <c r="B160" s="50">
        <v>109.19999999999999</v>
      </c>
      <c r="C160" s="1">
        <v>49.768999999999998</v>
      </c>
      <c r="D160" s="1">
        <v>49.765999999999998</v>
      </c>
      <c r="E160" s="25">
        <v>49.761000000000003</v>
      </c>
      <c r="J160" s="50">
        <v>109.19999999999999</v>
      </c>
      <c r="K160" s="1">
        <v>40.183999999999997</v>
      </c>
      <c r="L160" s="1">
        <v>40.177</v>
      </c>
      <c r="M160" s="25">
        <v>40.186</v>
      </c>
      <c r="S160" s="50">
        <v>109.19999999999999</v>
      </c>
      <c r="T160" s="1">
        <v>49.780999999999999</v>
      </c>
      <c r="U160" s="1">
        <v>49.776000000000003</v>
      </c>
      <c r="V160" s="1">
        <v>49.997</v>
      </c>
      <c r="W160" s="1">
        <v>50</v>
      </c>
      <c r="X160" s="25">
        <v>50</v>
      </c>
      <c r="AD160" s="50">
        <v>109.19999999999999</v>
      </c>
      <c r="AE160" s="1">
        <v>41.677</v>
      </c>
      <c r="AF160" s="1">
        <v>48.34</v>
      </c>
      <c r="AG160" s="1">
        <v>40.000999999999998</v>
      </c>
      <c r="AH160" s="1">
        <v>39.997999999999998</v>
      </c>
      <c r="AI160" s="25">
        <v>39.999000000000002</v>
      </c>
      <c r="AS160" s="1">
        <v>49.768999999999998</v>
      </c>
      <c r="AT160" s="1">
        <v>49.997</v>
      </c>
    </row>
    <row r="161" spans="2:46" x14ac:dyDescent="0.45">
      <c r="B161" s="50">
        <v>109.89999999999999</v>
      </c>
      <c r="C161" s="1">
        <v>49.776000000000003</v>
      </c>
      <c r="D161" s="1">
        <v>49.780999999999999</v>
      </c>
      <c r="E161" s="25">
        <v>49.771000000000001</v>
      </c>
      <c r="J161" s="50">
        <v>109.89999999999999</v>
      </c>
      <c r="K161" s="1">
        <v>40.185000000000002</v>
      </c>
      <c r="L161" s="1">
        <v>40.177</v>
      </c>
      <c r="M161" s="25">
        <v>40.186</v>
      </c>
      <c r="S161" s="50">
        <v>109.89999999999999</v>
      </c>
      <c r="T161" s="1">
        <v>49.787999999999997</v>
      </c>
      <c r="U161" s="1">
        <v>49.787999999999997</v>
      </c>
      <c r="V161" s="1">
        <v>49.999000000000002</v>
      </c>
      <c r="W161" s="1">
        <v>50.002000000000002</v>
      </c>
      <c r="X161" s="25">
        <v>49.999000000000002</v>
      </c>
      <c r="AD161" s="50">
        <v>109.89999999999999</v>
      </c>
      <c r="AE161" s="1">
        <v>41.679000000000002</v>
      </c>
      <c r="AF161" s="1">
        <v>48.338000000000001</v>
      </c>
      <c r="AG161" s="1">
        <v>39.999000000000002</v>
      </c>
      <c r="AH161" s="1">
        <v>40</v>
      </c>
      <c r="AI161" s="25">
        <v>39.999000000000002</v>
      </c>
      <c r="AS161" s="1">
        <v>49.776000000000003</v>
      </c>
      <c r="AT161" s="1">
        <v>49.999000000000002</v>
      </c>
    </row>
    <row r="162" spans="2:46" x14ac:dyDescent="0.45">
      <c r="B162" s="50">
        <v>110.6</v>
      </c>
      <c r="C162" s="1">
        <v>49.835999999999999</v>
      </c>
      <c r="D162" s="1">
        <v>49.841000000000001</v>
      </c>
      <c r="E162" s="25">
        <v>49.838000000000001</v>
      </c>
      <c r="J162" s="50">
        <v>110.6</v>
      </c>
      <c r="K162" s="1">
        <v>40.183</v>
      </c>
      <c r="L162" s="1">
        <v>40.174999999999997</v>
      </c>
      <c r="M162" s="25">
        <v>40.185000000000002</v>
      </c>
      <c r="S162" s="50">
        <v>110.6</v>
      </c>
      <c r="T162" s="1">
        <v>49.85</v>
      </c>
      <c r="U162" s="1">
        <v>49.85</v>
      </c>
      <c r="V162" s="1">
        <v>49.997</v>
      </c>
      <c r="W162" s="1">
        <v>50.002000000000002</v>
      </c>
      <c r="X162" s="25">
        <v>49.999000000000002</v>
      </c>
      <c r="AD162" s="50">
        <v>110.6</v>
      </c>
      <c r="AE162" s="1">
        <v>41.674999999999997</v>
      </c>
      <c r="AF162" s="1">
        <v>48.338000000000001</v>
      </c>
      <c r="AG162" s="1">
        <v>40.003999999999998</v>
      </c>
      <c r="AH162" s="1">
        <v>39.999000000000002</v>
      </c>
      <c r="AI162" s="25">
        <v>39.997999999999998</v>
      </c>
      <c r="AS162" s="1">
        <v>49.835999999999999</v>
      </c>
      <c r="AT162" s="1">
        <v>49.997</v>
      </c>
    </row>
    <row r="163" spans="2:46" x14ac:dyDescent="0.45">
      <c r="B163" s="50">
        <v>111.3</v>
      </c>
      <c r="C163" s="1">
        <v>49.838000000000001</v>
      </c>
      <c r="D163" s="1">
        <v>49.84</v>
      </c>
      <c r="E163" s="25">
        <v>49.835999999999999</v>
      </c>
      <c r="J163" s="50">
        <v>111.3</v>
      </c>
      <c r="K163" s="1">
        <v>40.186</v>
      </c>
      <c r="L163" s="1">
        <v>40.174999999999997</v>
      </c>
      <c r="M163" s="25">
        <v>40.188000000000002</v>
      </c>
      <c r="S163" s="50">
        <v>111.3</v>
      </c>
      <c r="T163" s="1">
        <v>49.847999999999999</v>
      </c>
      <c r="U163" s="1">
        <v>49.847000000000001</v>
      </c>
      <c r="V163" s="1">
        <v>49.997</v>
      </c>
      <c r="W163" s="1">
        <v>50</v>
      </c>
      <c r="X163" s="25">
        <v>49.997</v>
      </c>
      <c r="AD163" s="50">
        <v>111.3</v>
      </c>
      <c r="AE163" s="1">
        <v>41.677</v>
      </c>
      <c r="AF163" s="1">
        <v>48.341000000000001</v>
      </c>
      <c r="AG163" s="1">
        <v>40.000999999999998</v>
      </c>
      <c r="AH163" s="1">
        <v>40.002000000000002</v>
      </c>
      <c r="AI163" s="25">
        <v>39.999000000000002</v>
      </c>
      <c r="AS163" s="1">
        <v>49.838000000000001</v>
      </c>
      <c r="AT163" s="1">
        <v>49.997</v>
      </c>
    </row>
    <row r="164" spans="2:46" x14ac:dyDescent="0.45">
      <c r="B164" s="50">
        <v>112</v>
      </c>
      <c r="C164" s="1">
        <v>49.838000000000001</v>
      </c>
      <c r="D164" s="1">
        <v>49.838000000000001</v>
      </c>
      <c r="E164" s="25">
        <v>49.84</v>
      </c>
      <c r="J164" s="50">
        <v>112</v>
      </c>
      <c r="K164" s="1">
        <v>40.185000000000002</v>
      </c>
      <c r="L164" s="1">
        <v>40.179000000000002</v>
      </c>
      <c r="M164" s="25">
        <v>40.186</v>
      </c>
      <c r="S164" s="50">
        <v>112</v>
      </c>
      <c r="T164" s="1">
        <v>49.847999999999999</v>
      </c>
      <c r="U164" s="1">
        <v>49.847000000000001</v>
      </c>
      <c r="V164" s="1">
        <v>50</v>
      </c>
      <c r="W164" s="1">
        <v>49.997</v>
      </c>
      <c r="X164" s="25">
        <v>49.997</v>
      </c>
      <c r="AD164" s="50">
        <v>112</v>
      </c>
      <c r="AE164" s="1">
        <v>41.674999999999997</v>
      </c>
      <c r="AF164" s="1">
        <v>48.34</v>
      </c>
      <c r="AG164" s="1">
        <v>40.003</v>
      </c>
      <c r="AH164" s="1">
        <v>40.000999999999998</v>
      </c>
      <c r="AI164" s="25">
        <v>40.000999999999998</v>
      </c>
      <c r="AS164" s="1">
        <v>49.838000000000001</v>
      </c>
      <c r="AT164" s="1">
        <v>50</v>
      </c>
    </row>
    <row r="165" spans="2:46" x14ac:dyDescent="0.45">
      <c r="B165" s="50">
        <v>112.69999999999999</v>
      </c>
      <c r="C165" s="1">
        <v>49.841000000000001</v>
      </c>
      <c r="D165" s="1">
        <v>49.841000000000001</v>
      </c>
      <c r="E165" s="25">
        <v>49.832999999999998</v>
      </c>
      <c r="J165" s="50">
        <v>112.69999999999999</v>
      </c>
      <c r="K165" s="1">
        <v>40.186</v>
      </c>
      <c r="L165" s="1">
        <v>40.174999999999997</v>
      </c>
      <c r="M165" s="25">
        <v>40.188000000000002</v>
      </c>
      <c r="S165" s="50">
        <v>112.69999999999999</v>
      </c>
      <c r="T165" s="1">
        <v>49.847999999999999</v>
      </c>
      <c r="U165" s="1">
        <v>49.847999999999999</v>
      </c>
      <c r="V165" s="1">
        <v>50</v>
      </c>
      <c r="W165" s="1">
        <v>50.003999999999998</v>
      </c>
      <c r="X165" s="25">
        <v>49.999000000000002</v>
      </c>
      <c r="AD165" s="50">
        <v>112.69999999999999</v>
      </c>
      <c r="AE165" s="1">
        <v>41.448</v>
      </c>
      <c r="AF165" s="1">
        <v>48.34</v>
      </c>
      <c r="AG165" s="1">
        <v>40</v>
      </c>
      <c r="AH165" s="1">
        <v>40.000999999999998</v>
      </c>
      <c r="AI165" s="25">
        <v>40</v>
      </c>
      <c r="AS165" s="1">
        <v>49.841000000000001</v>
      </c>
      <c r="AT165" s="1">
        <v>50</v>
      </c>
    </row>
    <row r="166" spans="2:46" x14ac:dyDescent="0.45">
      <c r="B166" s="50">
        <v>113.39999999999999</v>
      </c>
      <c r="C166" s="1">
        <v>49.838000000000001</v>
      </c>
      <c r="D166" s="1">
        <v>49.84</v>
      </c>
      <c r="E166" s="25">
        <v>49.84</v>
      </c>
      <c r="J166" s="50">
        <v>113.39999999999999</v>
      </c>
      <c r="K166" s="1">
        <v>40.185000000000002</v>
      </c>
      <c r="L166" s="1">
        <v>40.177</v>
      </c>
      <c r="M166" s="25">
        <v>40.188000000000002</v>
      </c>
      <c r="S166" s="50">
        <v>113.39999999999999</v>
      </c>
      <c r="T166" s="1">
        <v>49.847999999999999</v>
      </c>
      <c r="U166" s="1">
        <v>49.847999999999999</v>
      </c>
      <c r="V166" s="1">
        <v>49.999000000000002</v>
      </c>
      <c r="W166" s="1">
        <v>50</v>
      </c>
      <c r="X166" s="25">
        <v>49.997</v>
      </c>
      <c r="AD166" s="50">
        <v>113.39999999999999</v>
      </c>
      <c r="AE166" s="1">
        <v>41.445999999999998</v>
      </c>
      <c r="AF166" s="1">
        <v>48.338000000000001</v>
      </c>
      <c r="AG166" s="1">
        <v>40</v>
      </c>
      <c r="AH166" s="1">
        <v>40</v>
      </c>
      <c r="AI166" s="25">
        <v>40</v>
      </c>
      <c r="AS166" s="1">
        <v>49.838000000000001</v>
      </c>
      <c r="AT166" s="1">
        <v>49.999000000000002</v>
      </c>
    </row>
    <row r="167" spans="2:46" x14ac:dyDescent="0.45">
      <c r="B167" s="50">
        <v>114.1</v>
      </c>
      <c r="C167" s="1">
        <v>49.838000000000001</v>
      </c>
      <c r="D167" s="1">
        <v>49.835999999999999</v>
      </c>
      <c r="E167" s="25">
        <v>49.835000000000001</v>
      </c>
      <c r="J167" s="50">
        <v>114.1</v>
      </c>
      <c r="K167" s="1">
        <v>40.183</v>
      </c>
      <c r="L167" s="1">
        <v>40.177999999999997</v>
      </c>
      <c r="M167" s="25">
        <v>40.188000000000002</v>
      </c>
      <c r="S167" s="50">
        <v>114.1</v>
      </c>
      <c r="T167" s="1">
        <v>49.847999999999999</v>
      </c>
      <c r="U167" s="1">
        <v>49.847999999999999</v>
      </c>
      <c r="V167" s="1">
        <v>50.002000000000002</v>
      </c>
      <c r="W167" s="1">
        <v>49.999000000000002</v>
      </c>
      <c r="X167" s="25">
        <v>50.002000000000002</v>
      </c>
      <c r="AD167" s="50">
        <v>114.1</v>
      </c>
      <c r="AE167" s="1">
        <v>41.447000000000003</v>
      </c>
      <c r="AF167" s="1">
        <v>48.215000000000003</v>
      </c>
      <c r="AG167" s="1">
        <v>39.999000000000002</v>
      </c>
      <c r="AH167" s="1">
        <v>40.002000000000002</v>
      </c>
      <c r="AI167" s="25">
        <v>39.999000000000002</v>
      </c>
      <c r="AS167" s="1">
        <v>49.838000000000001</v>
      </c>
      <c r="AT167" s="1">
        <v>50.002000000000002</v>
      </c>
    </row>
    <row r="168" spans="2:46" x14ac:dyDescent="0.45">
      <c r="B168" s="50">
        <v>114.8</v>
      </c>
      <c r="C168" s="1">
        <v>49.84</v>
      </c>
      <c r="D168" s="1">
        <v>49.838000000000001</v>
      </c>
      <c r="E168" s="25">
        <v>49.835999999999999</v>
      </c>
      <c r="J168" s="50">
        <v>114.8</v>
      </c>
      <c r="K168" s="1">
        <v>40.183999999999997</v>
      </c>
      <c r="L168" s="1">
        <v>40.179000000000002</v>
      </c>
      <c r="M168" s="25">
        <v>40.188000000000002</v>
      </c>
      <c r="S168" s="50">
        <v>114.8</v>
      </c>
      <c r="T168" s="1">
        <v>49.847999999999999</v>
      </c>
      <c r="U168" s="1">
        <v>49.847999999999999</v>
      </c>
      <c r="V168" s="1">
        <v>49.999000000000002</v>
      </c>
      <c r="W168" s="1">
        <v>49.997</v>
      </c>
      <c r="X168" s="25">
        <v>49.994999999999997</v>
      </c>
      <c r="AD168" s="50">
        <v>114.8</v>
      </c>
      <c r="AE168" s="1">
        <v>41.447000000000003</v>
      </c>
      <c r="AF168" s="1">
        <v>48.192999999999998</v>
      </c>
      <c r="AG168" s="1">
        <v>40.003999999999998</v>
      </c>
      <c r="AH168" s="1">
        <v>40.002000000000002</v>
      </c>
      <c r="AI168" s="25">
        <v>39.997999999999998</v>
      </c>
      <c r="AS168" s="1">
        <v>49.84</v>
      </c>
      <c r="AT168" s="1">
        <v>49.999000000000002</v>
      </c>
    </row>
    <row r="169" spans="2:46" x14ac:dyDescent="0.45">
      <c r="B169" s="50">
        <v>115.49999999999999</v>
      </c>
      <c r="C169" s="1">
        <v>49.835000000000001</v>
      </c>
      <c r="D169" s="1">
        <v>49.84</v>
      </c>
      <c r="E169" s="25">
        <v>49.835999999999999</v>
      </c>
      <c r="J169" s="50">
        <v>115.49999999999999</v>
      </c>
      <c r="K169" s="1">
        <v>40.183</v>
      </c>
      <c r="L169" s="1">
        <v>40.177999999999997</v>
      </c>
      <c r="M169" s="25">
        <v>40.185000000000002</v>
      </c>
      <c r="S169" s="50">
        <v>115.49999999999999</v>
      </c>
      <c r="T169" s="1">
        <v>49.847999999999999</v>
      </c>
      <c r="U169" s="1">
        <v>49.85</v>
      </c>
      <c r="V169" s="1">
        <v>50.002000000000002</v>
      </c>
      <c r="W169" s="1">
        <v>50</v>
      </c>
      <c r="X169" s="25">
        <v>49.994999999999997</v>
      </c>
      <c r="AD169" s="50">
        <v>115.49999999999999</v>
      </c>
      <c r="AE169" s="1">
        <v>41.447000000000003</v>
      </c>
      <c r="AF169" s="1">
        <v>48.192999999999998</v>
      </c>
      <c r="AG169" s="1">
        <v>40.000999999999998</v>
      </c>
      <c r="AH169" s="1">
        <v>40</v>
      </c>
      <c r="AI169" s="25">
        <v>39.997</v>
      </c>
      <c r="AS169" s="1">
        <v>49.835000000000001</v>
      </c>
      <c r="AT169" s="1">
        <v>50.002000000000002</v>
      </c>
    </row>
    <row r="170" spans="2:46" x14ac:dyDescent="0.45">
      <c r="B170" s="50">
        <v>116.19999999999999</v>
      </c>
      <c r="C170" s="1">
        <v>49.84</v>
      </c>
      <c r="D170" s="1">
        <v>49.84</v>
      </c>
      <c r="E170" s="25">
        <v>49.831000000000003</v>
      </c>
      <c r="J170" s="50">
        <v>116.19999999999999</v>
      </c>
      <c r="K170" s="1">
        <v>40.134</v>
      </c>
      <c r="L170" s="1">
        <v>40.136000000000003</v>
      </c>
      <c r="M170" s="25">
        <v>40.137999999999998</v>
      </c>
      <c r="S170" s="50">
        <v>116.19999999999999</v>
      </c>
      <c r="T170" s="1">
        <v>49.847000000000001</v>
      </c>
      <c r="U170" s="1">
        <v>49.847999999999999</v>
      </c>
      <c r="V170" s="1">
        <v>50</v>
      </c>
      <c r="W170" s="1">
        <v>50</v>
      </c>
      <c r="X170" s="25">
        <v>49.994999999999997</v>
      </c>
      <c r="AD170" s="50">
        <v>116.19999999999999</v>
      </c>
      <c r="AE170" s="1">
        <v>41.447000000000003</v>
      </c>
      <c r="AF170" s="1">
        <v>48.192999999999998</v>
      </c>
      <c r="AG170" s="1">
        <v>40.000999999999998</v>
      </c>
      <c r="AH170" s="1">
        <v>40.003999999999998</v>
      </c>
      <c r="AI170" s="25">
        <v>40</v>
      </c>
      <c r="AS170" s="1">
        <v>49.84</v>
      </c>
      <c r="AT170" s="1">
        <v>50</v>
      </c>
    </row>
    <row r="171" spans="2:46" x14ac:dyDescent="0.45">
      <c r="B171" s="50">
        <v>116.89999999999999</v>
      </c>
      <c r="C171" s="1">
        <v>49.841000000000001</v>
      </c>
      <c r="D171" s="1">
        <v>49.843000000000004</v>
      </c>
      <c r="E171" s="25">
        <v>49.835000000000001</v>
      </c>
      <c r="J171" s="50">
        <v>116.89999999999999</v>
      </c>
      <c r="K171" s="1">
        <v>40.134</v>
      </c>
      <c r="L171" s="1">
        <v>40.131999999999998</v>
      </c>
      <c r="M171" s="25">
        <v>40.14</v>
      </c>
      <c r="S171" s="50">
        <v>116.89999999999999</v>
      </c>
      <c r="T171" s="1">
        <v>49.85</v>
      </c>
      <c r="U171" s="1">
        <v>49.85</v>
      </c>
      <c r="V171" s="1">
        <v>50</v>
      </c>
      <c r="W171" s="1">
        <v>49.997</v>
      </c>
      <c r="X171" s="25">
        <v>50</v>
      </c>
      <c r="AD171" s="50">
        <v>116.89999999999999</v>
      </c>
      <c r="AE171" s="1">
        <v>41.448</v>
      </c>
      <c r="AF171" s="1">
        <v>48.192999999999998</v>
      </c>
      <c r="AG171" s="1">
        <v>40.003</v>
      </c>
      <c r="AH171" s="1">
        <v>40.002000000000002</v>
      </c>
      <c r="AI171" s="25">
        <v>40</v>
      </c>
      <c r="AS171" s="1">
        <v>49.841000000000001</v>
      </c>
      <c r="AT171" s="1">
        <v>50</v>
      </c>
    </row>
    <row r="172" spans="2:46" x14ac:dyDescent="0.45">
      <c r="B172" s="50">
        <v>117.6</v>
      </c>
      <c r="C172" s="1">
        <v>49.838000000000001</v>
      </c>
      <c r="D172" s="1">
        <v>49.841000000000001</v>
      </c>
      <c r="E172" s="25">
        <v>49.835000000000001</v>
      </c>
      <c r="J172" s="50">
        <v>117.6</v>
      </c>
      <c r="K172" s="1">
        <v>40.134999999999998</v>
      </c>
      <c r="L172" s="1">
        <v>40.134</v>
      </c>
      <c r="M172" s="25">
        <v>40.137999999999998</v>
      </c>
      <c r="S172" s="50">
        <v>117.6</v>
      </c>
      <c r="T172" s="1">
        <v>49.847000000000001</v>
      </c>
      <c r="U172" s="1">
        <v>49.844999999999999</v>
      </c>
      <c r="V172" s="1">
        <v>49.999000000000002</v>
      </c>
      <c r="W172" s="1">
        <v>49.999000000000002</v>
      </c>
      <c r="X172" s="25">
        <v>50.003999999999998</v>
      </c>
      <c r="AD172" s="50">
        <v>117.6</v>
      </c>
      <c r="AE172" s="1">
        <v>41.448</v>
      </c>
      <c r="AF172" s="1">
        <v>48.192999999999998</v>
      </c>
      <c r="AG172" s="1">
        <v>40.002000000000002</v>
      </c>
      <c r="AH172" s="1">
        <v>40</v>
      </c>
      <c r="AI172" s="25">
        <v>39.999000000000002</v>
      </c>
      <c r="AS172" s="1">
        <v>49.838000000000001</v>
      </c>
      <c r="AT172" s="1">
        <v>49.999000000000002</v>
      </c>
    </row>
    <row r="173" spans="2:46" x14ac:dyDescent="0.45">
      <c r="B173" s="50">
        <v>118.3</v>
      </c>
      <c r="C173" s="1">
        <v>49.841000000000001</v>
      </c>
      <c r="D173" s="1">
        <v>49.84</v>
      </c>
      <c r="E173" s="25">
        <v>49.838000000000001</v>
      </c>
      <c r="J173" s="50">
        <v>118.3</v>
      </c>
      <c r="K173" s="1">
        <v>40.133000000000003</v>
      </c>
      <c r="L173" s="1">
        <v>40.134999999999998</v>
      </c>
      <c r="M173" s="25">
        <v>40.14</v>
      </c>
      <c r="S173" s="50">
        <v>118.3</v>
      </c>
      <c r="T173" s="1">
        <v>49.85</v>
      </c>
      <c r="U173" s="1">
        <v>49.843000000000004</v>
      </c>
      <c r="V173" s="1">
        <v>50</v>
      </c>
      <c r="W173" s="1">
        <v>50.003999999999998</v>
      </c>
      <c r="X173" s="25">
        <v>50.005000000000003</v>
      </c>
      <c r="AD173" s="50">
        <v>118.3</v>
      </c>
      <c r="AE173" s="1">
        <v>41.447000000000003</v>
      </c>
      <c r="AF173" s="1">
        <v>48.19</v>
      </c>
      <c r="AG173" s="1">
        <v>40.000999999999998</v>
      </c>
      <c r="AH173" s="1">
        <v>40.003</v>
      </c>
      <c r="AI173" s="25">
        <v>40</v>
      </c>
      <c r="AS173" s="1">
        <v>49.841000000000001</v>
      </c>
      <c r="AT173" s="1">
        <v>50</v>
      </c>
    </row>
    <row r="174" spans="2:46" x14ac:dyDescent="0.45">
      <c r="B174" s="50">
        <v>118.99999999999999</v>
      </c>
      <c r="C174" s="1">
        <v>49.838000000000001</v>
      </c>
      <c r="D174" s="1">
        <v>49.838000000000001</v>
      </c>
      <c r="E174" s="25">
        <v>49.831000000000003</v>
      </c>
      <c r="J174" s="50">
        <v>118.99999999999999</v>
      </c>
      <c r="K174" s="1">
        <v>40.137999999999998</v>
      </c>
      <c r="L174" s="1">
        <v>40.134999999999998</v>
      </c>
      <c r="M174" s="25">
        <v>40.136000000000003</v>
      </c>
      <c r="S174" s="50">
        <v>118.99999999999999</v>
      </c>
      <c r="T174" s="1">
        <v>49.847000000000001</v>
      </c>
      <c r="U174" s="1">
        <v>49.847000000000001</v>
      </c>
      <c r="V174" s="1">
        <v>50</v>
      </c>
      <c r="W174" s="1">
        <v>50</v>
      </c>
      <c r="X174" s="25">
        <v>50.003999999999998</v>
      </c>
      <c r="AD174" s="50">
        <v>118.99999999999999</v>
      </c>
      <c r="AE174" s="1">
        <v>41.445999999999998</v>
      </c>
      <c r="AF174" s="1">
        <v>48.19</v>
      </c>
      <c r="AG174" s="1">
        <v>40</v>
      </c>
      <c r="AH174" s="1">
        <v>40.000999999999998</v>
      </c>
      <c r="AI174" s="25">
        <v>40</v>
      </c>
      <c r="AS174" s="1">
        <v>49.838000000000001</v>
      </c>
      <c r="AT174" s="1">
        <v>50</v>
      </c>
    </row>
    <row r="175" spans="2:46" x14ac:dyDescent="0.45">
      <c r="B175" s="50">
        <v>119.69999999999999</v>
      </c>
      <c r="C175" s="1">
        <v>49.844999999999999</v>
      </c>
      <c r="D175" s="1">
        <v>49.844999999999999</v>
      </c>
      <c r="E175" s="25">
        <v>49.835999999999999</v>
      </c>
      <c r="J175" s="50">
        <v>119.69999999999999</v>
      </c>
      <c r="K175" s="1">
        <v>40.134</v>
      </c>
      <c r="L175" s="1">
        <v>40.131999999999998</v>
      </c>
      <c r="M175" s="25">
        <v>40.137999999999998</v>
      </c>
      <c r="S175" s="50">
        <v>119.69999999999999</v>
      </c>
      <c r="T175" s="1">
        <v>49.853000000000002</v>
      </c>
      <c r="U175" s="1">
        <v>49.851999999999997</v>
      </c>
      <c r="V175" s="1">
        <v>49.997</v>
      </c>
      <c r="W175" s="1">
        <v>49.999000000000002</v>
      </c>
      <c r="X175" s="25">
        <v>49.997</v>
      </c>
      <c r="AD175" s="50">
        <v>119.69999999999999</v>
      </c>
      <c r="AE175" s="1">
        <v>41.444000000000003</v>
      </c>
      <c r="AF175" s="1">
        <v>48.195999999999998</v>
      </c>
      <c r="AG175" s="1">
        <v>40.002000000000002</v>
      </c>
      <c r="AH175" s="1">
        <v>40</v>
      </c>
      <c r="AI175" s="25">
        <v>40.000999999999998</v>
      </c>
      <c r="AS175" s="1">
        <v>49.844999999999999</v>
      </c>
      <c r="AT175" s="1">
        <v>49.997</v>
      </c>
    </row>
    <row r="176" spans="2:46" x14ac:dyDescent="0.45">
      <c r="B176" s="50">
        <v>120.39999999999999</v>
      </c>
      <c r="C176" s="1">
        <v>49.889000000000003</v>
      </c>
      <c r="D176" s="1">
        <v>49.89</v>
      </c>
      <c r="E176" s="25">
        <v>49.884999999999998</v>
      </c>
      <c r="J176" s="50">
        <v>120.39999999999999</v>
      </c>
      <c r="K176" s="1">
        <v>40.137999999999998</v>
      </c>
      <c r="L176" s="1">
        <v>40.134</v>
      </c>
      <c r="M176" s="25">
        <v>40.139000000000003</v>
      </c>
      <c r="S176" s="50">
        <v>120.39999999999999</v>
      </c>
      <c r="T176" s="1">
        <v>49.896999999999998</v>
      </c>
      <c r="U176" s="1">
        <v>49.899000000000001</v>
      </c>
      <c r="V176" s="1">
        <v>50.002000000000002</v>
      </c>
      <c r="W176" s="1">
        <v>49.999000000000002</v>
      </c>
      <c r="X176" s="25">
        <v>50.002000000000002</v>
      </c>
      <c r="AD176" s="50">
        <v>120.39999999999999</v>
      </c>
      <c r="AE176" s="1">
        <v>41.448</v>
      </c>
      <c r="AF176" s="1">
        <v>48.19</v>
      </c>
      <c r="AG176" s="1">
        <v>40</v>
      </c>
      <c r="AH176" s="1">
        <v>40</v>
      </c>
      <c r="AI176" s="25">
        <v>39.997999999999998</v>
      </c>
      <c r="AS176" s="1">
        <v>49.889000000000003</v>
      </c>
      <c r="AT176" s="1">
        <v>50.002000000000002</v>
      </c>
    </row>
    <row r="177" spans="2:46" x14ac:dyDescent="0.45">
      <c r="B177" s="50">
        <v>121.1</v>
      </c>
      <c r="C177" s="1">
        <v>49.887</v>
      </c>
      <c r="D177" s="1">
        <v>49.889000000000003</v>
      </c>
      <c r="E177" s="25">
        <v>49.887</v>
      </c>
      <c r="J177" s="50">
        <v>121.1</v>
      </c>
      <c r="K177" s="1">
        <v>40.134999999999998</v>
      </c>
      <c r="L177" s="1">
        <v>40.134</v>
      </c>
      <c r="M177" s="25">
        <v>40.136000000000003</v>
      </c>
      <c r="S177" s="50">
        <v>121.1</v>
      </c>
      <c r="T177" s="1">
        <v>49.895000000000003</v>
      </c>
      <c r="U177" s="1">
        <v>49.893999999999998</v>
      </c>
      <c r="V177" s="1">
        <v>50</v>
      </c>
      <c r="W177" s="1">
        <v>50.002000000000002</v>
      </c>
      <c r="X177" s="25">
        <v>50</v>
      </c>
      <c r="AD177" s="50">
        <v>121.1</v>
      </c>
      <c r="AE177" s="1">
        <v>41.250999999999998</v>
      </c>
      <c r="AF177" s="1">
        <v>48.191000000000003</v>
      </c>
      <c r="AG177" s="1">
        <v>39.997999999999998</v>
      </c>
      <c r="AH177" s="1">
        <v>40.003</v>
      </c>
      <c r="AI177" s="25">
        <v>40.003</v>
      </c>
      <c r="AS177" s="1">
        <v>49.887</v>
      </c>
      <c r="AT177" s="1">
        <v>50</v>
      </c>
    </row>
    <row r="178" spans="2:46" x14ac:dyDescent="0.45">
      <c r="B178" s="50">
        <v>121.8</v>
      </c>
      <c r="C178" s="1">
        <v>49.89</v>
      </c>
      <c r="D178" s="1">
        <v>49.884999999999998</v>
      </c>
      <c r="E178" s="25">
        <v>49.884999999999998</v>
      </c>
      <c r="J178" s="50">
        <v>121.8</v>
      </c>
      <c r="K178" s="1">
        <v>40.137</v>
      </c>
      <c r="L178" s="1">
        <v>40.136000000000003</v>
      </c>
      <c r="M178" s="25">
        <v>40.137999999999998</v>
      </c>
      <c r="S178" s="50">
        <v>121.8</v>
      </c>
      <c r="T178" s="1">
        <v>49.895000000000003</v>
      </c>
      <c r="U178" s="1">
        <v>49.893999999999998</v>
      </c>
      <c r="V178" s="1">
        <v>50.002000000000002</v>
      </c>
      <c r="W178" s="1">
        <v>49.999000000000002</v>
      </c>
      <c r="X178" s="25">
        <v>49.999000000000002</v>
      </c>
      <c r="AD178" s="50">
        <v>121.8</v>
      </c>
      <c r="AE178" s="1">
        <v>41.250999999999998</v>
      </c>
      <c r="AF178" s="1">
        <v>48.192999999999998</v>
      </c>
      <c r="AG178" s="1">
        <v>40</v>
      </c>
      <c r="AH178" s="1">
        <v>40.002000000000002</v>
      </c>
      <c r="AI178" s="25">
        <v>39.999000000000002</v>
      </c>
      <c r="AS178" s="1">
        <v>49.89</v>
      </c>
      <c r="AT178" s="1">
        <v>50.002000000000002</v>
      </c>
    </row>
    <row r="179" spans="2:46" x14ac:dyDescent="0.45">
      <c r="B179" s="50">
        <v>122.49999999999999</v>
      </c>
      <c r="C179" s="1">
        <v>49.89</v>
      </c>
      <c r="D179" s="1">
        <v>49.884999999999998</v>
      </c>
      <c r="E179" s="25">
        <v>49.884</v>
      </c>
      <c r="J179" s="50">
        <v>122.49999999999999</v>
      </c>
      <c r="K179" s="1">
        <v>40.134999999999998</v>
      </c>
      <c r="L179" s="1">
        <v>40.133000000000003</v>
      </c>
      <c r="M179" s="25">
        <v>40.137</v>
      </c>
      <c r="S179" s="50">
        <v>122.49999999999999</v>
      </c>
      <c r="T179" s="1">
        <v>49.895000000000003</v>
      </c>
      <c r="U179" s="1">
        <v>49.893999999999998</v>
      </c>
      <c r="V179" s="1">
        <v>50.002000000000002</v>
      </c>
      <c r="W179" s="1">
        <v>50.005000000000003</v>
      </c>
      <c r="X179" s="25">
        <v>50.002000000000002</v>
      </c>
      <c r="AD179" s="50">
        <v>122.49999999999999</v>
      </c>
      <c r="AE179" s="1">
        <v>41.250999999999998</v>
      </c>
      <c r="AF179" s="1">
        <v>48.188000000000002</v>
      </c>
      <c r="AG179" s="1">
        <v>40</v>
      </c>
      <c r="AH179" s="1">
        <v>40.002000000000002</v>
      </c>
      <c r="AI179" s="25">
        <v>39.997999999999998</v>
      </c>
      <c r="AS179" s="1">
        <v>49.89</v>
      </c>
      <c r="AT179" s="1">
        <v>50.002000000000002</v>
      </c>
    </row>
    <row r="180" spans="2:46" x14ac:dyDescent="0.45">
      <c r="B180" s="50">
        <v>123.19999999999999</v>
      </c>
      <c r="C180" s="1">
        <v>49.887</v>
      </c>
      <c r="D180" s="1">
        <v>49.884999999999998</v>
      </c>
      <c r="E180" s="25">
        <v>49.884999999999998</v>
      </c>
      <c r="J180" s="50">
        <v>123.19999999999999</v>
      </c>
      <c r="K180" s="1">
        <v>40.136000000000003</v>
      </c>
      <c r="L180" s="1">
        <v>40.134</v>
      </c>
      <c r="M180" s="25">
        <v>40.137</v>
      </c>
      <c r="S180" s="50">
        <v>123.19999999999999</v>
      </c>
      <c r="T180" s="1">
        <v>49.896999999999998</v>
      </c>
      <c r="U180" s="1">
        <v>49.899000000000001</v>
      </c>
      <c r="V180" s="1">
        <v>50</v>
      </c>
      <c r="W180" s="1">
        <v>50.003999999999998</v>
      </c>
      <c r="X180" s="25">
        <v>50</v>
      </c>
      <c r="AD180" s="50">
        <v>123.19999999999999</v>
      </c>
      <c r="AE180" s="1">
        <v>41.252000000000002</v>
      </c>
      <c r="AF180" s="1">
        <v>48.186999999999998</v>
      </c>
      <c r="AG180" s="1">
        <v>40.000999999999998</v>
      </c>
      <c r="AH180" s="1">
        <v>39.997999999999998</v>
      </c>
      <c r="AI180" s="25">
        <v>39.997999999999998</v>
      </c>
      <c r="AS180" s="1">
        <v>49.887</v>
      </c>
      <c r="AT180" s="1">
        <v>50</v>
      </c>
    </row>
    <row r="181" spans="2:46" x14ac:dyDescent="0.45">
      <c r="B181" s="50">
        <v>123.89999999999999</v>
      </c>
      <c r="C181" s="1">
        <v>49.88</v>
      </c>
      <c r="D181" s="1">
        <v>49.884999999999998</v>
      </c>
      <c r="E181" s="25">
        <v>49.887</v>
      </c>
      <c r="J181" s="50">
        <v>123.89999999999999</v>
      </c>
      <c r="K181" s="1">
        <v>40.133000000000003</v>
      </c>
      <c r="L181" s="1">
        <v>40.131</v>
      </c>
      <c r="M181" s="25">
        <v>40.134</v>
      </c>
      <c r="S181" s="50">
        <v>123.89999999999999</v>
      </c>
      <c r="T181" s="1">
        <v>49.893999999999998</v>
      </c>
      <c r="U181" s="1">
        <v>49.893999999999998</v>
      </c>
      <c r="V181" s="1">
        <v>50</v>
      </c>
      <c r="W181" s="1">
        <v>50</v>
      </c>
      <c r="X181" s="25">
        <v>50</v>
      </c>
      <c r="AD181" s="50">
        <v>123.89999999999999</v>
      </c>
      <c r="AE181" s="1">
        <v>41.250999999999998</v>
      </c>
      <c r="AF181" s="1">
        <v>48.061</v>
      </c>
      <c r="AG181" s="1">
        <v>40</v>
      </c>
      <c r="AH181" s="1">
        <v>39.997999999999998</v>
      </c>
      <c r="AI181" s="25">
        <v>40.000999999999998</v>
      </c>
      <c r="AS181" s="1">
        <v>49.88</v>
      </c>
      <c r="AT181" s="1">
        <v>50</v>
      </c>
    </row>
    <row r="182" spans="2:46" x14ac:dyDescent="0.45">
      <c r="B182" s="50">
        <v>124.6</v>
      </c>
      <c r="C182" s="1">
        <v>49.887</v>
      </c>
      <c r="D182" s="1">
        <v>49.887</v>
      </c>
      <c r="E182" s="25">
        <v>49.884999999999998</v>
      </c>
      <c r="J182" s="50">
        <v>124.6</v>
      </c>
      <c r="K182" s="1">
        <v>40.101999999999997</v>
      </c>
      <c r="L182" s="1">
        <v>40.097000000000001</v>
      </c>
      <c r="M182" s="25">
        <v>40.103000000000002</v>
      </c>
      <c r="S182" s="50">
        <v>124.6</v>
      </c>
      <c r="T182" s="1">
        <v>49.896999999999998</v>
      </c>
      <c r="U182" s="1">
        <v>49.895000000000003</v>
      </c>
      <c r="V182" s="1">
        <v>49.999000000000002</v>
      </c>
      <c r="W182" s="1">
        <v>50</v>
      </c>
      <c r="X182" s="25">
        <v>50</v>
      </c>
      <c r="AD182" s="50">
        <v>124.6</v>
      </c>
      <c r="AE182" s="1">
        <v>41.250999999999998</v>
      </c>
      <c r="AF182" s="1">
        <v>48.045000000000002</v>
      </c>
      <c r="AG182" s="1">
        <v>40.000999999999998</v>
      </c>
      <c r="AH182" s="1">
        <v>40.002000000000002</v>
      </c>
      <c r="AI182" s="25">
        <v>40</v>
      </c>
      <c r="AS182" s="1">
        <v>49.887</v>
      </c>
      <c r="AT182" s="1">
        <v>49.999000000000002</v>
      </c>
    </row>
    <row r="183" spans="2:46" x14ac:dyDescent="0.45">
      <c r="B183" s="50">
        <v>125.3</v>
      </c>
      <c r="C183" s="1">
        <v>49.893999999999998</v>
      </c>
      <c r="D183" s="1">
        <v>49.884999999999998</v>
      </c>
      <c r="E183" s="25">
        <v>49.88</v>
      </c>
      <c r="J183" s="50">
        <v>125.3</v>
      </c>
      <c r="K183" s="1">
        <v>40.103999999999999</v>
      </c>
      <c r="L183" s="1">
        <v>40.097999999999999</v>
      </c>
      <c r="M183" s="25">
        <v>40.103000000000002</v>
      </c>
      <c r="S183" s="50">
        <v>125.3</v>
      </c>
      <c r="T183" s="1">
        <v>49.893999999999998</v>
      </c>
      <c r="U183" s="1">
        <v>49.893999999999998</v>
      </c>
      <c r="V183" s="1">
        <v>50.003999999999998</v>
      </c>
      <c r="W183" s="1">
        <v>49.997</v>
      </c>
      <c r="X183" s="25">
        <v>50.002000000000002</v>
      </c>
      <c r="AD183" s="50">
        <v>125.3</v>
      </c>
      <c r="AE183" s="1">
        <v>41.252000000000002</v>
      </c>
      <c r="AF183" s="1">
        <v>48.043999999999997</v>
      </c>
      <c r="AG183" s="1">
        <v>40.003</v>
      </c>
      <c r="AH183" s="1">
        <v>40</v>
      </c>
      <c r="AI183" s="25">
        <v>40</v>
      </c>
      <c r="AS183" s="1">
        <v>49.893999999999998</v>
      </c>
      <c r="AT183" s="1">
        <v>50.003999999999998</v>
      </c>
    </row>
    <row r="184" spans="2:46" x14ac:dyDescent="0.45">
      <c r="B184" s="50">
        <v>125.99999999999999</v>
      </c>
      <c r="C184" s="1">
        <v>49.89</v>
      </c>
      <c r="D184" s="1">
        <v>49.884999999999998</v>
      </c>
      <c r="E184" s="25">
        <v>49.884999999999998</v>
      </c>
      <c r="J184" s="50">
        <v>125.99999999999999</v>
      </c>
      <c r="K184" s="1">
        <v>40.101999999999997</v>
      </c>
      <c r="L184" s="1">
        <v>40.1</v>
      </c>
      <c r="M184" s="25">
        <v>40.100999999999999</v>
      </c>
      <c r="S184" s="50">
        <v>125.99999999999999</v>
      </c>
      <c r="T184" s="1">
        <v>49.893999999999998</v>
      </c>
      <c r="U184" s="1">
        <v>49.896999999999998</v>
      </c>
      <c r="V184" s="1">
        <v>49.999000000000002</v>
      </c>
      <c r="W184" s="1">
        <v>50.002000000000002</v>
      </c>
      <c r="X184" s="25">
        <v>49.999000000000002</v>
      </c>
      <c r="AD184" s="50">
        <v>125.99999999999999</v>
      </c>
      <c r="AE184" s="1">
        <v>41.255000000000003</v>
      </c>
      <c r="AF184" s="1">
        <v>48.039000000000001</v>
      </c>
      <c r="AG184" s="1">
        <v>40.003</v>
      </c>
      <c r="AH184" s="1">
        <v>40</v>
      </c>
      <c r="AI184" s="25">
        <v>40.000999999999998</v>
      </c>
      <c r="AS184" s="1">
        <v>49.89</v>
      </c>
      <c r="AT184" s="1">
        <v>49.999000000000002</v>
      </c>
    </row>
    <row r="185" spans="2:46" x14ac:dyDescent="0.45">
      <c r="B185" s="50">
        <v>126.69999999999999</v>
      </c>
      <c r="C185" s="1">
        <v>49.889000000000003</v>
      </c>
      <c r="D185" s="1">
        <v>49.884999999999998</v>
      </c>
      <c r="E185" s="25">
        <v>49.887</v>
      </c>
      <c r="J185" s="50">
        <v>126.69999999999999</v>
      </c>
      <c r="K185" s="1">
        <v>40.1</v>
      </c>
      <c r="L185" s="1">
        <v>40.097999999999999</v>
      </c>
      <c r="M185" s="25">
        <v>40.103999999999999</v>
      </c>
      <c r="S185" s="50">
        <v>126.69999999999999</v>
      </c>
      <c r="T185" s="1">
        <v>49.899000000000001</v>
      </c>
      <c r="U185" s="1">
        <v>49.892000000000003</v>
      </c>
      <c r="V185" s="1">
        <v>50.003999999999998</v>
      </c>
      <c r="W185" s="1">
        <v>49.997</v>
      </c>
      <c r="X185" s="25">
        <v>50.003999999999998</v>
      </c>
      <c r="AD185" s="50">
        <v>126.69999999999999</v>
      </c>
      <c r="AE185" s="1">
        <v>41.252000000000002</v>
      </c>
      <c r="AF185" s="1">
        <v>48.039000000000001</v>
      </c>
      <c r="AG185" s="1">
        <v>40.000999999999998</v>
      </c>
      <c r="AH185" s="1">
        <v>40</v>
      </c>
      <c r="AI185" s="25">
        <v>40.000999999999998</v>
      </c>
      <c r="AS185" s="1">
        <v>49.889000000000003</v>
      </c>
      <c r="AT185" s="1">
        <v>50.003999999999998</v>
      </c>
    </row>
    <row r="186" spans="2:46" x14ac:dyDescent="0.45">
      <c r="B186" s="50">
        <v>127.39999999999999</v>
      </c>
      <c r="C186" s="1">
        <v>49.887</v>
      </c>
      <c r="D186" s="1">
        <v>49.89</v>
      </c>
      <c r="E186" s="25">
        <v>49.884999999999998</v>
      </c>
      <c r="J186" s="50">
        <v>127.39999999999999</v>
      </c>
      <c r="K186" s="1">
        <v>40.100999999999999</v>
      </c>
      <c r="L186" s="1">
        <v>40.097999999999999</v>
      </c>
      <c r="M186" s="25">
        <v>40.103000000000002</v>
      </c>
      <c r="S186" s="50">
        <v>127.39999999999999</v>
      </c>
      <c r="T186" s="1">
        <v>49.896999999999998</v>
      </c>
      <c r="U186" s="1">
        <v>49.892000000000003</v>
      </c>
      <c r="V186" s="1">
        <v>49.997</v>
      </c>
      <c r="W186" s="1">
        <v>49.999000000000002</v>
      </c>
      <c r="X186" s="25">
        <v>50</v>
      </c>
      <c r="AD186" s="50">
        <v>127.39999999999999</v>
      </c>
      <c r="AE186" s="1">
        <v>41.252000000000002</v>
      </c>
      <c r="AF186" s="1">
        <v>48.040999999999997</v>
      </c>
      <c r="AG186" s="1">
        <v>40</v>
      </c>
      <c r="AH186" s="1">
        <v>39.999000000000002</v>
      </c>
      <c r="AI186" s="25">
        <v>40.002000000000002</v>
      </c>
      <c r="AS186" s="1">
        <v>49.887</v>
      </c>
      <c r="AT186" s="1">
        <v>49.997</v>
      </c>
    </row>
    <row r="187" spans="2:46" x14ac:dyDescent="0.45">
      <c r="B187" s="50">
        <v>128.1</v>
      </c>
      <c r="C187" s="1">
        <v>49.889000000000003</v>
      </c>
      <c r="D187" s="1">
        <v>49.887</v>
      </c>
      <c r="E187" s="25">
        <v>49.881999999999998</v>
      </c>
      <c r="J187" s="50">
        <v>128.1</v>
      </c>
      <c r="K187" s="1">
        <v>40.103000000000002</v>
      </c>
      <c r="L187" s="1">
        <v>40.1</v>
      </c>
      <c r="M187" s="25">
        <v>40.103000000000002</v>
      </c>
      <c r="S187" s="50">
        <v>128.1</v>
      </c>
      <c r="T187" s="1">
        <v>49.899000000000001</v>
      </c>
      <c r="U187" s="1">
        <v>49.893999999999998</v>
      </c>
      <c r="V187" s="1">
        <v>49.999000000000002</v>
      </c>
      <c r="W187" s="1">
        <v>50.002000000000002</v>
      </c>
      <c r="X187" s="25">
        <v>50</v>
      </c>
      <c r="AD187" s="50">
        <v>128.1</v>
      </c>
      <c r="AE187" s="1">
        <v>41.250999999999998</v>
      </c>
      <c r="AF187" s="1">
        <v>48.040999999999997</v>
      </c>
      <c r="AG187" s="1">
        <v>40</v>
      </c>
      <c r="AH187" s="1">
        <v>39.999000000000002</v>
      </c>
      <c r="AI187" s="25">
        <v>40.000999999999998</v>
      </c>
      <c r="AS187" s="1">
        <v>49.889000000000003</v>
      </c>
      <c r="AT187" s="1">
        <v>49.999000000000002</v>
      </c>
    </row>
    <row r="188" spans="2:46" x14ac:dyDescent="0.45">
      <c r="B188" s="50">
        <v>128.79999999999998</v>
      </c>
      <c r="C188" s="1">
        <v>49.887</v>
      </c>
      <c r="D188" s="1">
        <v>49.881999999999998</v>
      </c>
      <c r="E188" s="25">
        <v>49.884999999999998</v>
      </c>
      <c r="J188" s="50">
        <v>128.79999999999998</v>
      </c>
      <c r="K188" s="1">
        <v>40.101999999999997</v>
      </c>
      <c r="L188" s="1">
        <v>40.1</v>
      </c>
      <c r="M188" s="25">
        <v>40.100999999999999</v>
      </c>
      <c r="S188" s="50">
        <v>128.79999999999998</v>
      </c>
      <c r="T188" s="1">
        <v>49.892000000000003</v>
      </c>
      <c r="U188" s="1">
        <v>49.899000000000001</v>
      </c>
      <c r="V188" s="1">
        <v>50</v>
      </c>
      <c r="W188" s="1">
        <v>50</v>
      </c>
      <c r="X188" s="25">
        <v>49.999000000000002</v>
      </c>
      <c r="AD188" s="50">
        <v>128.79999999999998</v>
      </c>
      <c r="AE188" s="1">
        <v>41.253</v>
      </c>
      <c r="AF188" s="1">
        <v>48.045000000000002</v>
      </c>
      <c r="AG188" s="1">
        <v>40</v>
      </c>
      <c r="AH188" s="1">
        <v>39.999000000000002</v>
      </c>
      <c r="AI188" s="25">
        <v>40.000999999999998</v>
      </c>
      <c r="AS188" s="1">
        <v>49.887</v>
      </c>
      <c r="AT188" s="1">
        <v>50</v>
      </c>
    </row>
    <row r="189" spans="2:46" x14ac:dyDescent="0.45">
      <c r="B189" s="50">
        <v>129.5</v>
      </c>
      <c r="C189" s="1">
        <v>49.892000000000003</v>
      </c>
      <c r="D189" s="1">
        <v>49.887</v>
      </c>
      <c r="E189" s="25">
        <v>49.89</v>
      </c>
      <c r="J189" s="50">
        <v>129.5</v>
      </c>
      <c r="K189" s="1">
        <v>40.101999999999997</v>
      </c>
      <c r="L189" s="1">
        <v>40.100999999999999</v>
      </c>
      <c r="M189" s="25">
        <v>40.103000000000002</v>
      </c>
      <c r="S189" s="50">
        <v>129.5</v>
      </c>
      <c r="T189" s="1">
        <v>49.892000000000003</v>
      </c>
      <c r="U189" s="1">
        <v>49.899000000000001</v>
      </c>
      <c r="V189" s="1">
        <v>49.999000000000002</v>
      </c>
      <c r="W189" s="1">
        <v>49.999000000000002</v>
      </c>
      <c r="X189" s="25">
        <v>50.002000000000002</v>
      </c>
      <c r="AD189" s="50">
        <v>129.5</v>
      </c>
      <c r="AE189" s="1">
        <v>41.084000000000003</v>
      </c>
      <c r="AF189" s="1">
        <v>48.042000000000002</v>
      </c>
      <c r="AG189" s="1">
        <v>39.997999999999998</v>
      </c>
      <c r="AH189" s="1">
        <v>40.000999999999998</v>
      </c>
      <c r="AI189" s="25">
        <v>39.997</v>
      </c>
      <c r="AS189" s="1">
        <v>49.892000000000003</v>
      </c>
      <c r="AT189" s="1">
        <v>49.999000000000002</v>
      </c>
    </row>
    <row r="190" spans="2:46" x14ac:dyDescent="0.45">
      <c r="B190" s="50">
        <v>130.19999999999999</v>
      </c>
      <c r="C190" s="1">
        <v>49.920999999999999</v>
      </c>
      <c r="D190" s="1">
        <v>49.923999999999999</v>
      </c>
      <c r="E190" s="25">
        <v>49.920999999999999</v>
      </c>
      <c r="J190" s="50">
        <v>130.19999999999999</v>
      </c>
      <c r="K190" s="1">
        <v>40.101999999999997</v>
      </c>
      <c r="L190" s="1">
        <v>40.100999999999999</v>
      </c>
      <c r="M190" s="25">
        <v>40.101999999999997</v>
      </c>
      <c r="S190" s="50">
        <v>130.19999999999999</v>
      </c>
      <c r="T190" s="1">
        <v>49.927999999999997</v>
      </c>
      <c r="U190" s="1">
        <v>49.921999999999997</v>
      </c>
      <c r="V190" s="1">
        <v>50.002000000000002</v>
      </c>
      <c r="W190" s="1">
        <v>49.994999999999997</v>
      </c>
      <c r="X190" s="25">
        <v>50</v>
      </c>
      <c r="AD190" s="50">
        <v>130.19999999999999</v>
      </c>
      <c r="AE190" s="1">
        <v>41.084000000000003</v>
      </c>
      <c r="AF190" s="1">
        <v>48.042000000000002</v>
      </c>
      <c r="AG190" s="1">
        <v>39.997999999999998</v>
      </c>
      <c r="AH190" s="1">
        <v>39.997</v>
      </c>
      <c r="AI190" s="25">
        <v>40.002000000000002</v>
      </c>
      <c r="AS190" s="1">
        <v>49.920999999999999</v>
      </c>
      <c r="AT190" s="1">
        <v>50.002000000000002</v>
      </c>
    </row>
    <row r="191" spans="2:46" x14ac:dyDescent="0.45">
      <c r="B191" s="50">
        <v>130.9</v>
      </c>
      <c r="C191" s="1">
        <v>49.920999999999999</v>
      </c>
      <c r="D191" s="1">
        <v>49.921999999999997</v>
      </c>
      <c r="E191" s="25">
        <v>49.920999999999999</v>
      </c>
      <c r="J191" s="50">
        <v>130.9</v>
      </c>
      <c r="K191" s="1">
        <v>40.103000000000002</v>
      </c>
      <c r="L191" s="1">
        <v>40.098999999999997</v>
      </c>
      <c r="M191" s="25">
        <v>40.100999999999999</v>
      </c>
      <c r="S191" s="50">
        <v>130.9</v>
      </c>
      <c r="T191" s="1">
        <v>49.927999999999997</v>
      </c>
      <c r="U191" s="1">
        <v>49.921999999999997</v>
      </c>
      <c r="V191" s="1">
        <v>49.999000000000002</v>
      </c>
      <c r="W191" s="1">
        <v>49.999000000000002</v>
      </c>
      <c r="X191" s="25">
        <v>50.005000000000003</v>
      </c>
      <c r="AD191" s="50">
        <v>130.9</v>
      </c>
      <c r="AE191" s="1">
        <v>41.082999999999998</v>
      </c>
      <c r="AF191" s="1">
        <v>48.043999999999997</v>
      </c>
      <c r="AG191" s="1">
        <v>40</v>
      </c>
      <c r="AH191" s="1">
        <v>40</v>
      </c>
      <c r="AI191" s="25">
        <v>40.002000000000002</v>
      </c>
      <c r="AS191" s="1">
        <v>49.920999999999999</v>
      </c>
      <c r="AT191" s="1">
        <v>49.999000000000002</v>
      </c>
    </row>
    <row r="192" spans="2:46" x14ac:dyDescent="0.45">
      <c r="B192" s="50">
        <v>131.6</v>
      </c>
      <c r="C192" s="1">
        <v>49.921999999999997</v>
      </c>
      <c r="D192" s="1">
        <v>49.921999999999997</v>
      </c>
      <c r="E192" s="25">
        <v>49.918999999999997</v>
      </c>
      <c r="J192" s="50">
        <v>131.6</v>
      </c>
      <c r="K192" s="1">
        <v>40.101999999999997</v>
      </c>
      <c r="L192" s="1">
        <v>40.1</v>
      </c>
      <c r="M192" s="25">
        <v>40.103000000000002</v>
      </c>
      <c r="S192" s="50">
        <v>131.6</v>
      </c>
      <c r="T192" s="1">
        <v>49.930999999999997</v>
      </c>
      <c r="U192" s="1">
        <v>49.927999999999997</v>
      </c>
      <c r="V192" s="1">
        <v>49.999000000000002</v>
      </c>
      <c r="W192" s="1">
        <v>49.994999999999997</v>
      </c>
      <c r="X192" s="25">
        <v>50.002000000000002</v>
      </c>
      <c r="AD192" s="50">
        <v>131.6</v>
      </c>
      <c r="AE192" s="1">
        <v>41.082000000000001</v>
      </c>
      <c r="AF192" s="1">
        <v>48.040999999999997</v>
      </c>
      <c r="AG192" s="1">
        <v>40</v>
      </c>
      <c r="AH192" s="1">
        <v>40</v>
      </c>
      <c r="AI192" s="25">
        <v>40</v>
      </c>
      <c r="AS192" s="1">
        <v>49.921999999999997</v>
      </c>
      <c r="AT192" s="1">
        <v>49.999000000000002</v>
      </c>
    </row>
    <row r="193" spans="2:46" x14ac:dyDescent="0.45">
      <c r="B193" s="50">
        <v>132.29999999999998</v>
      </c>
      <c r="C193" s="1">
        <v>49.923999999999999</v>
      </c>
      <c r="D193" s="1">
        <v>49.923999999999999</v>
      </c>
      <c r="E193" s="25">
        <v>49.920999999999999</v>
      </c>
      <c r="J193" s="50">
        <v>132.29999999999998</v>
      </c>
      <c r="K193" s="1">
        <v>40.073999999999998</v>
      </c>
      <c r="L193" s="1">
        <v>40.076999999999998</v>
      </c>
      <c r="M193" s="25">
        <v>40.073999999999998</v>
      </c>
      <c r="S193" s="50">
        <v>132.29999999999998</v>
      </c>
      <c r="T193" s="1">
        <v>49.927999999999997</v>
      </c>
      <c r="U193" s="1">
        <v>49.926000000000002</v>
      </c>
      <c r="V193" s="1">
        <v>50.002000000000002</v>
      </c>
      <c r="W193" s="1">
        <v>50.003999999999998</v>
      </c>
      <c r="X193" s="25">
        <v>50.003999999999998</v>
      </c>
      <c r="AD193" s="50">
        <v>132.29999999999998</v>
      </c>
      <c r="AE193" s="1">
        <v>41.082000000000001</v>
      </c>
      <c r="AF193" s="1">
        <v>48.042000000000002</v>
      </c>
      <c r="AG193" s="1">
        <v>40</v>
      </c>
      <c r="AH193" s="1">
        <v>40</v>
      </c>
      <c r="AI193" s="25">
        <v>40.000999999999998</v>
      </c>
      <c r="AS193" s="1">
        <v>49.923999999999999</v>
      </c>
      <c r="AT193" s="1">
        <v>50.002000000000002</v>
      </c>
    </row>
    <row r="194" spans="2:46" x14ac:dyDescent="0.45">
      <c r="B194" s="50">
        <v>133</v>
      </c>
      <c r="C194" s="1">
        <v>49.920999999999999</v>
      </c>
      <c r="D194" s="1">
        <v>49.923999999999999</v>
      </c>
      <c r="E194" s="25">
        <v>49.918999999999997</v>
      </c>
      <c r="J194" s="50">
        <v>133</v>
      </c>
      <c r="K194" s="1">
        <v>40.075000000000003</v>
      </c>
      <c r="L194" s="1">
        <v>40.073999999999998</v>
      </c>
      <c r="M194" s="25">
        <v>40.076999999999998</v>
      </c>
      <c r="S194" s="50">
        <v>133</v>
      </c>
      <c r="T194" s="1">
        <v>49.933999999999997</v>
      </c>
      <c r="U194" s="1">
        <v>49.923999999999999</v>
      </c>
      <c r="V194" s="1">
        <v>49.994999999999997</v>
      </c>
      <c r="W194" s="1">
        <v>49.997</v>
      </c>
      <c r="X194" s="25">
        <v>49.999000000000002</v>
      </c>
      <c r="AD194" s="50">
        <v>133</v>
      </c>
      <c r="AE194" s="1">
        <v>41.082000000000001</v>
      </c>
      <c r="AF194" s="1">
        <v>48.037999999999997</v>
      </c>
      <c r="AG194" s="1">
        <v>40</v>
      </c>
      <c r="AH194" s="1">
        <v>39.999000000000002</v>
      </c>
      <c r="AI194" s="25">
        <v>40</v>
      </c>
      <c r="AS194" s="1">
        <v>49.920999999999999</v>
      </c>
      <c r="AT194" s="1">
        <v>49.994999999999997</v>
      </c>
    </row>
    <row r="195" spans="2:46" x14ac:dyDescent="0.45">
      <c r="B195" s="50">
        <v>133.69999999999999</v>
      </c>
      <c r="C195" s="1">
        <v>49.921999999999997</v>
      </c>
      <c r="D195" s="1">
        <v>49.921999999999997</v>
      </c>
      <c r="E195" s="25">
        <v>49.921999999999997</v>
      </c>
      <c r="J195" s="50">
        <v>133.69999999999999</v>
      </c>
      <c r="K195" s="1">
        <v>40.075000000000003</v>
      </c>
      <c r="L195" s="1">
        <v>40.073999999999998</v>
      </c>
      <c r="M195" s="25">
        <v>40.076000000000001</v>
      </c>
      <c r="S195" s="50">
        <v>133.69999999999999</v>
      </c>
      <c r="T195" s="1">
        <v>49.929000000000002</v>
      </c>
      <c r="U195" s="1">
        <v>49.923999999999999</v>
      </c>
      <c r="V195" s="1">
        <v>49.994</v>
      </c>
      <c r="W195" s="1">
        <v>50.006999999999998</v>
      </c>
      <c r="X195" s="25">
        <v>49.999000000000002</v>
      </c>
      <c r="AD195" s="50">
        <v>133.69999999999999</v>
      </c>
      <c r="AE195" s="1">
        <v>41.08</v>
      </c>
      <c r="AF195" s="1">
        <v>47.899000000000001</v>
      </c>
      <c r="AG195" s="1">
        <v>40.000999999999998</v>
      </c>
      <c r="AH195" s="1">
        <v>40.000999999999998</v>
      </c>
      <c r="AI195" s="25">
        <v>40.003</v>
      </c>
      <c r="AS195" s="1">
        <v>49.921999999999997</v>
      </c>
      <c r="AT195" s="1">
        <v>49.994</v>
      </c>
    </row>
    <row r="196" spans="2:46" x14ac:dyDescent="0.45">
      <c r="B196" s="50">
        <v>134.39999999999998</v>
      </c>
      <c r="C196" s="1">
        <v>49.921999999999997</v>
      </c>
      <c r="D196" s="1">
        <v>49.926000000000002</v>
      </c>
      <c r="E196" s="25">
        <v>49.921999999999997</v>
      </c>
      <c r="J196" s="50">
        <v>134.39999999999998</v>
      </c>
      <c r="K196" s="1">
        <v>40.073999999999998</v>
      </c>
      <c r="L196" s="1">
        <v>40.076000000000001</v>
      </c>
      <c r="M196" s="25">
        <v>40.073999999999998</v>
      </c>
      <c r="S196" s="50">
        <v>134.39999999999998</v>
      </c>
      <c r="T196" s="1">
        <v>49.929000000000002</v>
      </c>
      <c r="U196" s="1">
        <v>49.927999999999997</v>
      </c>
      <c r="V196" s="1">
        <v>49.994999999999997</v>
      </c>
      <c r="W196" s="1">
        <v>49.999000000000002</v>
      </c>
      <c r="X196" s="25">
        <v>50</v>
      </c>
      <c r="AD196" s="50">
        <v>134.39999999999998</v>
      </c>
      <c r="AE196" s="1">
        <v>41.082999999999998</v>
      </c>
      <c r="AF196" s="1">
        <v>47.892000000000003</v>
      </c>
      <c r="AG196" s="1">
        <v>39.997999999999998</v>
      </c>
      <c r="AH196" s="1">
        <v>39.997999999999998</v>
      </c>
      <c r="AI196" s="25">
        <v>40.000999999999998</v>
      </c>
      <c r="AS196" s="1">
        <v>49.921999999999997</v>
      </c>
      <c r="AT196" s="1">
        <v>49.994999999999997</v>
      </c>
    </row>
    <row r="197" spans="2:46" x14ac:dyDescent="0.45">
      <c r="B197" s="50">
        <v>135.1</v>
      </c>
      <c r="C197" s="1">
        <v>49.920999999999999</v>
      </c>
      <c r="D197" s="1">
        <v>49.923999999999999</v>
      </c>
      <c r="E197" s="25">
        <v>49.923999999999999</v>
      </c>
      <c r="J197" s="50">
        <v>135.1</v>
      </c>
      <c r="K197" s="1">
        <v>40.072000000000003</v>
      </c>
      <c r="L197" s="1">
        <v>40.072000000000003</v>
      </c>
      <c r="M197" s="25">
        <v>40.076000000000001</v>
      </c>
      <c r="S197" s="50">
        <v>135.1</v>
      </c>
      <c r="T197" s="1">
        <v>49.929000000000002</v>
      </c>
      <c r="U197" s="1">
        <v>49.920999999999999</v>
      </c>
      <c r="V197" s="1">
        <v>50</v>
      </c>
      <c r="W197" s="1">
        <v>50.003999999999998</v>
      </c>
      <c r="X197" s="25">
        <v>50.002000000000002</v>
      </c>
      <c r="AD197" s="50">
        <v>135.1</v>
      </c>
      <c r="AE197" s="1">
        <v>41.082000000000001</v>
      </c>
      <c r="AF197" s="1">
        <v>47.892000000000003</v>
      </c>
      <c r="AG197" s="1">
        <v>39.997999999999998</v>
      </c>
      <c r="AH197" s="1">
        <v>40</v>
      </c>
      <c r="AI197" s="25">
        <v>40.003</v>
      </c>
      <c r="AS197" s="1">
        <v>49.920999999999999</v>
      </c>
      <c r="AT197" s="1">
        <v>50</v>
      </c>
    </row>
    <row r="198" spans="2:46" x14ac:dyDescent="0.45">
      <c r="B198" s="50">
        <v>135.79999999999998</v>
      </c>
      <c r="C198" s="1">
        <v>49.927999999999997</v>
      </c>
      <c r="D198" s="1">
        <v>49.920999999999999</v>
      </c>
      <c r="E198" s="25">
        <v>49.920999999999999</v>
      </c>
      <c r="J198" s="50">
        <v>135.79999999999998</v>
      </c>
      <c r="K198" s="1">
        <v>40.073999999999998</v>
      </c>
      <c r="L198" s="1">
        <v>40.073999999999998</v>
      </c>
      <c r="M198" s="25">
        <v>40.075000000000003</v>
      </c>
      <c r="S198" s="50">
        <v>135.79999999999998</v>
      </c>
      <c r="T198" s="1">
        <v>49.926000000000002</v>
      </c>
      <c r="U198" s="1">
        <v>49.923999999999999</v>
      </c>
      <c r="V198" s="1">
        <v>50.002000000000002</v>
      </c>
      <c r="W198" s="1">
        <v>50</v>
      </c>
      <c r="X198" s="25">
        <v>50.002000000000002</v>
      </c>
      <c r="AD198" s="50">
        <v>135.79999999999998</v>
      </c>
      <c r="AE198" s="1">
        <v>41.082000000000001</v>
      </c>
      <c r="AF198" s="1">
        <v>47.892000000000003</v>
      </c>
      <c r="AG198" s="1">
        <v>39.999000000000002</v>
      </c>
      <c r="AH198" s="1">
        <v>40.002000000000002</v>
      </c>
      <c r="AI198" s="25">
        <v>39.999000000000002</v>
      </c>
      <c r="AS198" s="1">
        <v>49.927999999999997</v>
      </c>
      <c r="AT198" s="1">
        <v>50.002000000000002</v>
      </c>
    </row>
    <row r="199" spans="2:46" x14ac:dyDescent="0.45">
      <c r="B199" s="50">
        <v>136.5</v>
      </c>
      <c r="C199" s="1">
        <v>49.921999999999997</v>
      </c>
      <c r="D199" s="1">
        <v>49.921999999999997</v>
      </c>
      <c r="E199" s="25">
        <v>49.917000000000002</v>
      </c>
      <c r="J199" s="50">
        <v>136.5</v>
      </c>
      <c r="K199" s="1">
        <v>40.076000000000001</v>
      </c>
      <c r="L199" s="1">
        <v>40.073</v>
      </c>
      <c r="M199" s="25">
        <v>40.076000000000001</v>
      </c>
      <c r="S199" s="50">
        <v>136.5</v>
      </c>
      <c r="T199" s="1">
        <v>49.930999999999997</v>
      </c>
      <c r="U199" s="1">
        <v>49.921999999999997</v>
      </c>
      <c r="V199" s="1">
        <v>49.999000000000002</v>
      </c>
      <c r="W199" s="1">
        <v>50.003999999999998</v>
      </c>
      <c r="X199" s="25">
        <v>49.999000000000002</v>
      </c>
      <c r="AD199" s="50">
        <v>136.5</v>
      </c>
      <c r="AE199" s="1">
        <v>41.085999999999999</v>
      </c>
      <c r="AF199" s="1">
        <v>47.890999999999998</v>
      </c>
      <c r="AG199" s="1">
        <v>40</v>
      </c>
      <c r="AH199" s="1">
        <v>39.999000000000002</v>
      </c>
      <c r="AI199" s="25">
        <v>40</v>
      </c>
      <c r="AS199" s="1">
        <v>49.921999999999997</v>
      </c>
      <c r="AT199" s="1">
        <v>49.999000000000002</v>
      </c>
    </row>
    <row r="200" spans="2:46" x14ac:dyDescent="0.45">
      <c r="B200" s="50">
        <v>137.19999999999999</v>
      </c>
      <c r="C200" s="1">
        <v>49.921999999999997</v>
      </c>
      <c r="D200" s="1">
        <v>49.920999999999999</v>
      </c>
      <c r="E200" s="25">
        <v>49.921999999999997</v>
      </c>
      <c r="J200" s="50">
        <v>137.19999999999999</v>
      </c>
      <c r="K200" s="1">
        <v>40.073999999999998</v>
      </c>
      <c r="L200" s="1">
        <v>40.076999999999998</v>
      </c>
      <c r="M200" s="25">
        <v>40.072000000000003</v>
      </c>
      <c r="S200" s="50">
        <v>137.19999999999999</v>
      </c>
      <c r="T200" s="1">
        <v>49.930999999999997</v>
      </c>
      <c r="U200" s="1">
        <v>49.929000000000002</v>
      </c>
      <c r="V200" s="1">
        <v>50</v>
      </c>
      <c r="W200" s="1">
        <v>50</v>
      </c>
      <c r="X200" s="25">
        <v>50</v>
      </c>
      <c r="AD200" s="50">
        <v>137.19999999999999</v>
      </c>
      <c r="AE200" s="1">
        <v>41.082000000000001</v>
      </c>
      <c r="AF200" s="1">
        <v>47.896999999999998</v>
      </c>
      <c r="AG200" s="1">
        <v>39.999000000000002</v>
      </c>
      <c r="AH200" s="1">
        <v>39.999000000000002</v>
      </c>
      <c r="AI200" s="25">
        <v>39.999000000000002</v>
      </c>
      <c r="AS200" s="1">
        <v>49.921999999999997</v>
      </c>
      <c r="AT200" s="1">
        <v>50</v>
      </c>
    </row>
    <row r="201" spans="2:46" x14ac:dyDescent="0.45">
      <c r="B201" s="50">
        <v>137.89999999999998</v>
      </c>
      <c r="C201" s="1">
        <v>49.920999999999999</v>
      </c>
      <c r="D201" s="1">
        <v>49.921999999999997</v>
      </c>
      <c r="E201" s="25">
        <v>49.923999999999999</v>
      </c>
      <c r="J201" s="50">
        <v>137.89999999999998</v>
      </c>
      <c r="K201" s="1">
        <v>40.075000000000003</v>
      </c>
      <c r="L201" s="1">
        <v>40.073999999999998</v>
      </c>
      <c r="M201" s="25">
        <v>40.076999999999998</v>
      </c>
      <c r="S201" s="50">
        <v>137.89999999999998</v>
      </c>
      <c r="T201" s="1">
        <v>49.927999999999997</v>
      </c>
      <c r="U201" s="1">
        <v>49.926000000000002</v>
      </c>
      <c r="V201" s="1">
        <v>49.999000000000002</v>
      </c>
      <c r="W201" s="1">
        <v>50.002000000000002</v>
      </c>
      <c r="X201" s="25">
        <v>49.999000000000002</v>
      </c>
      <c r="AD201" s="50">
        <v>137.89999999999998</v>
      </c>
      <c r="AE201" s="1">
        <v>40.938000000000002</v>
      </c>
      <c r="AF201" s="1">
        <v>47.892000000000003</v>
      </c>
      <c r="AG201" s="1">
        <v>40.000999999999998</v>
      </c>
      <c r="AH201" s="1">
        <v>40</v>
      </c>
      <c r="AI201" s="25">
        <v>39.999000000000002</v>
      </c>
      <c r="AS201" s="1">
        <v>49.920999999999999</v>
      </c>
      <c r="AT201" s="1">
        <v>49.999000000000002</v>
      </c>
    </row>
    <row r="202" spans="2:46" x14ac:dyDescent="0.45">
      <c r="B202" s="50">
        <v>138.6</v>
      </c>
      <c r="C202" s="1">
        <v>49.920999999999999</v>
      </c>
      <c r="D202" s="1">
        <v>49.923999999999999</v>
      </c>
      <c r="E202" s="25">
        <v>49.921999999999997</v>
      </c>
      <c r="J202" s="50">
        <v>138.6</v>
      </c>
      <c r="K202" s="1">
        <v>40.076000000000001</v>
      </c>
      <c r="L202" s="1">
        <v>40.076000000000001</v>
      </c>
      <c r="M202" s="25">
        <v>40.078000000000003</v>
      </c>
      <c r="S202" s="50">
        <v>138.6</v>
      </c>
      <c r="T202" s="1">
        <v>49.929000000000002</v>
      </c>
      <c r="U202" s="1">
        <v>49.926000000000002</v>
      </c>
      <c r="V202" s="1">
        <v>50</v>
      </c>
      <c r="W202" s="1">
        <v>50.002000000000002</v>
      </c>
      <c r="X202" s="25">
        <v>49.997</v>
      </c>
      <c r="AD202" s="50">
        <v>138.6</v>
      </c>
      <c r="AE202" s="1">
        <v>40.938000000000002</v>
      </c>
      <c r="AF202" s="1">
        <v>47.896000000000001</v>
      </c>
      <c r="AG202" s="1">
        <v>40.002000000000002</v>
      </c>
      <c r="AH202" s="1">
        <v>40</v>
      </c>
      <c r="AI202" s="25">
        <v>39.997999999999998</v>
      </c>
      <c r="AS202" s="1">
        <v>49.920999999999999</v>
      </c>
      <c r="AT202" s="1">
        <v>50</v>
      </c>
    </row>
    <row r="203" spans="2:46" x14ac:dyDescent="0.45">
      <c r="B203" s="50">
        <v>139.29999999999998</v>
      </c>
      <c r="C203" s="1">
        <v>49.926000000000002</v>
      </c>
      <c r="D203" s="1">
        <v>49.923999999999999</v>
      </c>
      <c r="E203" s="25">
        <v>49.918999999999997</v>
      </c>
      <c r="J203" s="50">
        <v>139.29999999999998</v>
      </c>
      <c r="K203" s="1">
        <v>40.073999999999998</v>
      </c>
      <c r="L203" s="1">
        <v>40.076000000000001</v>
      </c>
      <c r="M203" s="25">
        <v>40.075000000000003</v>
      </c>
      <c r="S203" s="50">
        <v>139.29999999999998</v>
      </c>
      <c r="T203" s="1">
        <v>49.930999999999997</v>
      </c>
      <c r="U203" s="1">
        <v>49.921999999999997</v>
      </c>
      <c r="V203" s="1">
        <v>49.994999999999997</v>
      </c>
      <c r="W203" s="1">
        <v>50.002000000000002</v>
      </c>
      <c r="X203" s="25">
        <v>49.997</v>
      </c>
      <c r="AD203" s="50">
        <v>139.29999999999998</v>
      </c>
      <c r="AE203" s="1">
        <v>40.936</v>
      </c>
      <c r="AF203" s="1">
        <v>47.896999999999998</v>
      </c>
      <c r="AG203" s="1">
        <v>40.003</v>
      </c>
      <c r="AH203" s="1">
        <v>39.999000000000002</v>
      </c>
      <c r="AI203" s="25">
        <v>40.003999999999998</v>
      </c>
      <c r="AS203" s="1">
        <v>49.926000000000002</v>
      </c>
      <c r="AT203" s="1">
        <v>49.994999999999997</v>
      </c>
    </row>
    <row r="204" spans="2:46" x14ac:dyDescent="0.45">
      <c r="B204" s="50">
        <v>140</v>
      </c>
      <c r="C204" s="1">
        <v>49.944000000000003</v>
      </c>
      <c r="D204" s="1">
        <v>49.951000000000001</v>
      </c>
      <c r="E204" s="25">
        <v>49.948</v>
      </c>
      <c r="J204" s="50">
        <v>140</v>
      </c>
      <c r="K204" s="1">
        <v>40.073</v>
      </c>
      <c r="L204" s="1">
        <v>40.072000000000003</v>
      </c>
      <c r="M204" s="25">
        <v>40.070999999999998</v>
      </c>
      <c r="S204" s="50">
        <v>140</v>
      </c>
      <c r="T204" s="1">
        <v>49.951000000000001</v>
      </c>
      <c r="U204" s="1">
        <v>49.951000000000001</v>
      </c>
      <c r="V204" s="1">
        <v>50</v>
      </c>
      <c r="W204" s="1">
        <v>50.003999999999998</v>
      </c>
      <c r="X204" s="25">
        <v>49.999000000000002</v>
      </c>
      <c r="AD204" s="50">
        <v>140</v>
      </c>
      <c r="AE204" s="1">
        <v>40.936</v>
      </c>
      <c r="AF204" s="1">
        <v>47.893999999999998</v>
      </c>
      <c r="AG204" s="1">
        <v>40.000999999999998</v>
      </c>
      <c r="AH204" s="1">
        <v>39.999000000000002</v>
      </c>
      <c r="AI204" s="25">
        <v>39.997999999999998</v>
      </c>
      <c r="AS204" s="1">
        <v>49.944000000000003</v>
      </c>
      <c r="AT204" s="1">
        <v>50</v>
      </c>
    </row>
    <row r="205" spans="2:46" x14ac:dyDescent="0.45">
      <c r="B205" s="50">
        <v>140.69999999999999</v>
      </c>
      <c r="C205" s="1">
        <v>49.945999999999998</v>
      </c>
      <c r="D205" s="1">
        <v>49.948</v>
      </c>
      <c r="E205" s="25">
        <v>49.945999999999998</v>
      </c>
      <c r="J205" s="50">
        <v>140.69999999999999</v>
      </c>
      <c r="K205" s="1">
        <v>40.057000000000002</v>
      </c>
      <c r="L205" s="1">
        <v>40.055</v>
      </c>
      <c r="M205" s="25">
        <v>40.052999999999997</v>
      </c>
      <c r="S205" s="50">
        <v>140.69999999999999</v>
      </c>
      <c r="T205" s="1">
        <v>49.953000000000003</v>
      </c>
      <c r="U205" s="1">
        <v>49.95</v>
      </c>
      <c r="V205" s="1">
        <v>49.997</v>
      </c>
      <c r="W205" s="1">
        <v>50</v>
      </c>
      <c r="X205" s="25">
        <v>49.994999999999997</v>
      </c>
      <c r="AD205" s="50">
        <v>140.69999999999999</v>
      </c>
      <c r="AE205" s="1">
        <v>40.942999999999998</v>
      </c>
      <c r="AF205" s="1">
        <v>47.893999999999998</v>
      </c>
      <c r="AG205" s="1">
        <v>39.997999999999998</v>
      </c>
      <c r="AH205" s="1">
        <v>40.000999999999998</v>
      </c>
      <c r="AI205" s="25">
        <v>39.999000000000002</v>
      </c>
      <c r="AS205" s="1">
        <v>49.945999999999998</v>
      </c>
      <c r="AT205" s="1">
        <v>49.997</v>
      </c>
    </row>
    <row r="206" spans="2:46" x14ac:dyDescent="0.45">
      <c r="B206" s="50">
        <v>141.39999999999998</v>
      </c>
      <c r="C206" s="1">
        <v>49.944000000000003</v>
      </c>
      <c r="D206" s="1">
        <v>49.95</v>
      </c>
      <c r="E206" s="25">
        <v>49.945999999999998</v>
      </c>
      <c r="J206" s="50">
        <v>141.39999999999998</v>
      </c>
      <c r="K206" s="1">
        <v>40.055</v>
      </c>
      <c r="L206" s="1">
        <v>40.057000000000002</v>
      </c>
      <c r="M206" s="25">
        <v>40.054000000000002</v>
      </c>
      <c r="S206" s="50">
        <v>141.39999999999998</v>
      </c>
      <c r="T206" s="1">
        <v>49.948</v>
      </c>
      <c r="U206" s="1">
        <v>49.945999999999998</v>
      </c>
      <c r="V206" s="1">
        <v>50.002000000000002</v>
      </c>
      <c r="W206" s="1">
        <v>50.005000000000003</v>
      </c>
      <c r="X206" s="25">
        <v>49.997</v>
      </c>
      <c r="AD206" s="50">
        <v>141.39999999999998</v>
      </c>
      <c r="AE206" s="1">
        <v>40.94</v>
      </c>
      <c r="AF206" s="1">
        <v>47.890999999999998</v>
      </c>
      <c r="AG206" s="1">
        <v>39.999000000000002</v>
      </c>
      <c r="AH206" s="1">
        <v>40.000999999999998</v>
      </c>
      <c r="AI206" s="25">
        <v>40.002000000000002</v>
      </c>
      <c r="AS206" s="1">
        <v>49.944000000000003</v>
      </c>
      <c r="AT206" s="1">
        <v>50.002000000000002</v>
      </c>
    </row>
    <row r="207" spans="2:46" x14ac:dyDescent="0.45">
      <c r="B207" s="50">
        <v>142.1</v>
      </c>
      <c r="C207" s="1">
        <v>49.942999999999998</v>
      </c>
      <c r="D207" s="1">
        <v>49.948</v>
      </c>
      <c r="E207" s="25">
        <v>49.945999999999998</v>
      </c>
      <c r="J207" s="50">
        <v>142.1</v>
      </c>
      <c r="K207" s="1">
        <v>40.051000000000002</v>
      </c>
      <c r="L207" s="1">
        <v>40.055</v>
      </c>
      <c r="M207" s="25">
        <v>40.057000000000002</v>
      </c>
      <c r="S207" s="50">
        <v>142.1</v>
      </c>
      <c r="T207" s="1">
        <v>49.95</v>
      </c>
      <c r="U207" s="1">
        <v>49.945999999999998</v>
      </c>
      <c r="V207" s="1">
        <v>50.002000000000002</v>
      </c>
      <c r="W207" s="1">
        <v>49.999000000000002</v>
      </c>
      <c r="X207" s="25">
        <v>49.997</v>
      </c>
      <c r="AD207" s="50">
        <v>142.1</v>
      </c>
      <c r="AE207" s="1">
        <v>40.938000000000002</v>
      </c>
      <c r="AF207" s="1">
        <v>47.893999999999998</v>
      </c>
      <c r="AG207" s="1">
        <v>40.000999999999998</v>
      </c>
      <c r="AH207" s="1">
        <v>40.000999999999998</v>
      </c>
      <c r="AI207" s="25">
        <v>40.000999999999998</v>
      </c>
      <c r="AS207" s="1">
        <v>49.942999999999998</v>
      </c>
      <c r="AT207" s="1">
        <v>50.002000000000002</v>
      </c>
    </row>
    <row r="208" spans="2:46" x14ac:dyDescent="0.45">
      <c r="B208" s="50">
        <v>142.79999999999998</v>
      </c>
      <c r="C208" s="1">
        <v>49.942999999999998</v>
      </c>
      <c r="D208" s="1">
        <v>49.948</v>
      </c>
      <c r="E208" s="25">
        <v>49.948</v>
      </c>
      <c r="J208" s="50">
        <v>142.79999999999998</v>
      </c>
      <c r="K208" s="1">
        <v>40.058</v>
      </c>
      <c r="L208" s="1">
        <v>40.055</v>
      </c>
      <c r="M208" s="25">
        <v>40.055</v>
      </c>
      <c r="S208" s="50">
        <v>142.79999999999998</v>
      </c>
      <c r="T208" s="1">
        <v>49.951000000000001</v>
      </c>
      <c r="U208" s="1">
        <v>49.954999999999998</v>
      </c>
      <c r="V208" s="1">
        <v>50</v>
      </c>
      <c r="W208" s="1">
        <v>50.002000000000002</v>
      </c>
      <c r="X208" s="25">
        <v>49.997</v>
      </c>
      <c r="AD208" s="50">
        <v>142.79999999999998</v>
      </c>
      <c r="AE208" s="1">
        <v>40.94</v>
      </c>
      <c r="AF208" s="1">
        <v>47.896999999999998</v>
      </c>
      <c r="AG208" s="1">
        <v>40</v>
      </c>
      <c r="AH208" s="1">
        <v>39.997999999999998</v>
      </c>
      <c r="AI208" s="25">
        <v>40.000999999999998</v>
      </c>
      <c r="AS208" s="1">
        <v>49.942999999999998</v>
      </c>
      <c r="AT208" s="1">
        <v>50</v>
      </c>
    </row>
    <row r="209" spans="2:46" x14ac:dyDescent="0.45">
      <c r="B209" s="50">
        <v>143.5</v>
      </c>
      <c r="C209" s="1">
        <v>49.942999999999998</v>
      </c>
      <c r="D209" s="1">
        <v>49.948</v>
      </c>
      <c r="E209" s="25">
        <v>49.944000000000003</v>
      </c>
      <c r="J209" s="50">
        <v>143.5</v>
      </c>
      <c r="K209" s="1">
        <v>40.058999999999997</v>
      </c>
      <c r="L209" s="1">
        <v>40.052</v>
      </c>
      <c r="M209" s="25">
        <v>40.054000000000002</v>
      </c>
      <c r="S209" s="50">
        <v>143.5</v>
      </c>
      <c r="T209" s="1">
        <v>49.95</v>
      </c>
      <c r="U209" s="1">
        <v>49.951000000000001</v>
      </c>
      <c r="V209" s="1">
        <v>50.002000000000002</v>
      </c>
      <c r="W209" s="1">
        <v>49.997</v>
      </c>
      <c r="X209" s="25">
        <v>50</v>
      </c>
      <c r="AD209" s="50">
        <v>143.5</v>
      </c>
      <c r="AE209" s="1">
        <v>40.936999999999998</v>
      </c>
      <c r="AF209" s="1">
        <v>47.747</v>
      </c>
      <c r="AG209" s="1">
        <v>39.999000000000002</v>
      </c>
      <c r="AH209" s="1">
        <v>40.003</v>
      </c>
      <c r="AI209" s="25">
        <v>40.002000000000002</v>
      </c>
      <c r="AS209" s="1">
        <v>49.942999999999998</v>
      </c>
      <c r="AT209" s="1">
        <v>50.002000000000002</v>
      </c>
    </row>
    <row r="210" spans="2:46" x14ac:dyDescent="0.45">
      <c r="B210" s="50">
        <v>144.19999999999999</v>
      </c>
      <c r="C210" s="1">
        <v>49.944000000000003</v>
      </c>
      <c r="D210" s="1">
        <v>49.948</v>
      </c>
      <c r="E210" s="25">
        <v>49.944000000000003</v>
      </c>
      <c r="J210" s="50">
        <v>144.19999999999999</v>
      </c>
      <c r="K210" s="1">
        <v>40.057000000000002</v>
      </c>
      <c r="L210" s="1">
        <v>40.055</v>
      </c>
      <c r="M210" s="25">
        <v>40.054000000000002</v>
      </c>
      <c r="S210" s="50">
        <v>144.19999999999999</v>
      </c>
      <c r="T210" s="1">
        <v>49.953000000000003</v>
      </c>
      <c r="U210" s="1">
        <v>49.953000000000003</v>
      </c>
      <c r="V210" s="1">
        <v>50</v>
      </c>
      <c r="W210" s="1">
        <v>50</v>
      </c>
      <c r="X210" s="25">
        <v>50</v>
      </c>
      <c r="AD210" s="50">
        <v>144.19999999999999</v>
      </c>
      <c r="AE210" s="1">
        <v>40.933999999999997</v>
      </c>
      <c r="AF210" s="1">
        <v>47.744999999999997</v>
      </c>
      <c r="AG210" s="1">
        <v>40</v>
      </c>
      <c r="AH210" s="1">
        <v>40.000999999999998</v>
      </c>
      <c r="AI210" s="25">
        <v>39.997999999999998</v>
      </c>
      <c r="AS210" s="1">
        <v>49.944000000000003</v>
      </c>
      <c r="AT210" s="1">
        <v>50</v>
      </c>
    </row>
    <row r="211" spans="2:46" x14ac:dyDescent="0.45">
      <c r="B211" s="50">
        <v>144.89999999999998</v>
      </c>
      <c r="C211" s="1">
        <v>49.95</v>
      </c>
      <c r="D211" s="1">
        <v>49.948</v>
      </c>
      <c r="E211" s="25">
        <v>49.941000000000003</v>
      </c>
      <c r="J211" s="50">
        <v>144.89999999999998</v>
      </c>
      <c r="K211" s="1">
        <v>40.058999999999997</v>
      </c>
      <c r="L211" s="1">
        <v>40.051000000000002</v>
      </c>
      <c r="M211" s="25">
        <v>40.058</v>
      </c>
      <c r="S211" s="50">
        <v>144.89999999999998</v>
      </c>
      <c r="T211" s="1">
        <v>49.95</v>
      </c>
      <c r="U211" s="1">
        <v>49.945999999999998</v>
      </c>
      <c r="V211" s="1">
        <v>49.999000000000002</v>
      </c>
      <c r="W211" s="1">
        <v>49.997</v>
      </c>
      <c r="X211" s="25">
        <v>49.997</v>
      </c>
      <c r="AD211" s="50">
        <v>144.89999999999998</v>
      </c>
      <c r="AE211" s="1">
        <v>40.938000000000002</v>
      </c>
      <c r="AF211" s="1">
        <v>47.741999999999997</v>
      </c>
      <c r="AG211" s="1">
        <v>39.999000000000002</v>
      </c>
      <c r="AH211" s="1">
        <v>39.999000000000002</v>
      </c>
      <c r="AI211" s="25">
        <v>40.003999999999998</v>
      </c>
      <c r="AS211" s="1">
        <v>49.95</v>
      </c>
      <c r="AT211" s="1">
        <v>49.999000000000002</v>
      </c>
    </row>
    <row r="212" spans="2:46" x14ac:dyDescent="0.45">
      <c r="B212" s="50">
        <v>145.6</v>
      </c>
      <c r="C212" s="1">
        <v>49.95</v>
      </c>
      <c r="D212" s="1">
        <v>49.944000000000003</v>
      </c>
      <c r="E212" s="25">
        <v>49.945999999999998</v>
      </c>
      <c r="J212" s="50">
        <v>145.6</v>
      </c>
      <c r="K212" s="1">
        <v>40.057000000000002</v>
      </c>
      <c r="L212" s="1">
        <v>40.054000000000002</v>
      </c>
      <c r="M212" s="25">
        <v>40.058999999999997</v>
      </c>
      <c r="S212" s="50">
        <v>145.6</v>
      </c>
      <c r="T212" s="1">
        <v>49.948</v>
      </c>
      <c r="U212" s="1">
        <v>49.95</v>
      </c>
      <c r="V212" s="1">
        <v>50.002000000000002</v>
      </c>
      <c r="W212" s="1">
        <v>49.999000000000002</v>
      </c>
      <c r="X212" s="25">
        <v>49.999000000000002</v>
      </c>
      <c r="AD212" s="50">
        <v>145.6</v>
      </c>
      <c r="AE212" s="1">
        <v>40.938000000000002</v>
      </c>
      <c r="AF212" s="1">
        <v>47.744999999999997</v>
      </c>
      <c r="AG212" s="1">
        <v>40.002000000000002</v>
      </c>
      <c r="AH212" s="1">
        <v>40.002000000000002</v>
      </c>
      <c r="AI212" s="25">
        <v>40.002000000000002</v>
      </c>
      <c r="AS212" s="1">
        <v>49.95</v>
      </c>
      <c r="AT212" s="1">
        <v>50.002000000000002</v>
      </c>
    </row>
    <row r="213" spans="2:46" x14ac:dyDescent="0.45">
      <c r="B213" s="50">
        <v>146.29999999999998</v>
      </c>
      <c r="C213" s="1">
        <v>49.948</v>
      </c>
      <c r="D213" s="1">
        <v>49.944000000000003</v>
      </c>
      <c r="E213" s="25">
        <v>49.945999999999998</v>
      </c>
      <c r="J213" s="50">
        <v>146.29999999999998</v>
      </c>
      <c r="K213" s="1">
        <v>40.057000000000002</v>
      </c>
      <c r="L213" s="1">
        <v>40.052999999999997</v>
      </c>
      <c r="M213" s="25">
        <v>40.055</v>
      </c>
      <c r="S213" s="50">
        <v>146.29999999999998</v>
      </c>
      <c r="T213" s="1">
        <v>49.942999999999998</v>
      </c>
      <c r="U213" s="1">
        <v>49.945999999999998</v>
      </c>
      <c r="V213" s="1">
        <v>50.002000000000002</v>
      </c>
      <c r="W213" s="1">
        <v>50.002000000000002</v>
      </c>
      <c r="X213" s="25">
        <v>49.997</v>
      </c>
      <c r="AD213" s="50">
        <v>146.29999999999998</v>
      </c>
      <c r="AE213" s="1">
        <v>40.814999999999998</v>
      </c>
      <c r="AF213" s="1">
        <v>47.744999999999997</v>
      </c>
      <c r="AG213" s="1">
        <v>40</v>
      </c>
      <c r="AH213" s="1">
        <v>40.000999999999998</v>
      </c>
      <c r="AI213" s="25">
        <v>40</v>
      </c>
      <c r="AS213" s="1">
        <v>49.948</v>
      </c>
      <c r="AT213" s="1">
        <v>50.002000000000002</v>
      </c>
    </row>
    <row r="214" spans="2:46" x14ac:dyDescent="0.45">
      <c r="B214" s="50">
        <v>147</v>
      </c>
      <c r="C214" s="1">
        <v>49.95</v>
      </c>
      <c r="D214" s="1">
        <v>49.945999999999998</v>
      </c>
      <c r="E214" s="25">
        <v>49.944000000000003</v>
      </c>
      <c r="J214" s="50">
        <v>147</v>
      </c>
      <c r="K214" s="1">
        <v>40.058999999999997</v>
      </c>
      <c r="L214" s="1">
        <v>40.052999999999997</v>
      </c>
      <c r="M214" s="25">
        <v>40.055</v>
      </c>
      <c r="S214" s="50">
        <v>147</v>
      </c>
      <c r="T214" s="1">
        <v>49.948</v>
      </c>
      <c r="U214" s="1">
        <v>49.95</v>
      </c>
      <c r="V214" s="1">
        <v>50</v>
      </c>
      <c r="W214" s="1">
        <v>49.999000000000002</v>
      </c>
      <c r="X214" s="25">
        <v>50.003999999999998</v>
      </c>
      <c r="AD214" s="50">
        <v>147</v>
      </c>
      <c r="AE214" s="1">
        <v>40.814</v>
      </c>
      <c r="AF214" s="1">
        <v>47.74</v>
      </c>
      <c r="AG214" s="1">
        <v>40.000999999999998</v>
      </c>
      <c r="AH214" s="1">
        <v>39.997999999999998</v>
      </c>
      <c r="AI214" s="25">
        <v>40.000999999999998</v>
      </c>
      <c r="AS214" s="1">
        <v>49.95</v>
      </c>
      <c r="AT214" s="1">
        <v>50</v>
      </c>
    </row>
    <row r="215" spans="2:46" x14ac:dyDescent="0.45">
      <c r="B215" s="50">
        <v>147.69999999999999</v>
      </c>
      <c r="C215" s="1">
        <v>49.945999999999998</v>
      </c>
      <c r="D215" s="1">
        <v>49.948</v>
      </c>
      <c r="E215" s="25">
        <v>49.948</v>
      </c>
      <c r="J215" s="50">
        <v>147.69999999999999</v>
      </c>
      <c r="K215" s="1">
        <v>40.057000000000002</v>
      </c>
      <c r="L215" s="1">
        <v>40.055</v>
      </c>
      <c r="M215" s="25">
        <v>40.055</v>
      </c>
      <c r="S215" s="50">
        <v>147.69999999999999</v>
      </c>
      <c r="T215" s="1">
        <v>49.951000000000001</v>
      </c>
      <c r="U215" s="1">
        <v>49.951000000000001</v>
      </c>
      <c r="V215" s="1">
        <v>49.999000000000002</v>
      </c>
      <c r="W215" s="1">
        <v>50</v>
      </c>
      <c r="X215" s="25">
        <v>50</v>
      </c>
      <c r="AD215" s="50">
        <v>147.69999999999999</v>
      </c>
      <c r="AE215" s="1">
        <v>40.814999999999998</v>
      </c>
      <c r="AF215" s="1">
        <v>47.744999999999997</v>
      </c>
      <c r="AG215" s="1">
        <v>40.002000000000002</v>
      </c>
      <c r="AH215" s="1">
        <v>40.003</v>
      </c>
      <c r="AI215" s="25">
        <v>40.000999999999998</v>
      </c>
      <c r="AS215" s="1">
        <v>49.945999999999998</v>
      </c>
      <c r="AT215" s="1">
        <v>49.999000000000002</v>
      </c>
    </row>
    <row r="216" spans="2:46" x14ac:dyDescent="0.45">
      <c r="B216" s="50">
        <v>148.39999999999998</v>
      </c>
      <c r="C216" s="1">
        <v>49.948</v>
      </c>
      <c r="D216" s="1">
        <v>49.948</v>
      </c>
      <c r="E216" s="25">
        <v>49.948</v>
      </c>
      <c r="J216" s="50">
        <v>148.39999999999998</v>
      </c>
      <c r="K216" s="1">
        <v>40.039000000000001</v>
      </c>
      <c r="L216" s="1">
        <v>40.040999999999997</v>
      </c>
      <c r="M216" s="25">
        <v>40.040999999999997</v>
      </c>
      <c r="S216" s="50">
        <v>148.39999999999998</v>
      </c>
      <c r="T216" s="1">
        <v>49.95</v>
      </c>
      <c r="U216" s="1">
        <v>49.951000000000001</v>
      </c>
      <c r="V216" s="1">
        <v>49.999000000000002</v>
      </c>
      <c r="W216" s="1">
        <v>49.994999999999997</v>
      </c>
      <c r="X216" s="25">
        <v>50.002000000000002</v>
      </c>
      <c r="AD216" s="50">
        <v>148.39999999999998</v>
      </c>
      <c r="AE216" s="1">
        <v>40.814</v>
      </c>
      <c r="AF216" s="1">
        <v>47.747</v>
      </c>
      <c r="AG216" s="1">
        <v>40.002000000000002</v>
      </c>
      <c r="AH216" s="1">
        <v>40.000999999999998</v>
      </c>
      <c r="AI216" s="25">
        <v>39.999000000000002</v>
      </c>
      <c r="AS216" s="1">
        <v>49.948</v>
      </c>
      <c r="AT216" s="1">
        <v>49.999000000000002</v>
      </c>
    </row>
    <row r="217" spans="2:46" x14ac:dyDescent="0.45">
      <c r="B217" s="50">
        <v>149.1</v>
      </c>
      <c r="C217" s="1">
        <v>49.948</v>
      </c>
      <c r="D217" s="1">
        <v>49.95</v>
      </c>
      <c r="E217" s="25">
        <v>49.948</v>
      </c>
      <c r="J217" s="50">
        <v>149.1</v>
      </c>
      <c r="K217" s="1">
        <v>40.039000000000001</v>
      </c>
      <c r="L217" s="1">
        <v>40.039000000000001</v>
      </c>
      <c r="M217" s="25">
        <v>40.039000000000001</v>
      </c>
      <c r="S217" s="50">
        <v>149.1</v>
      </c>
      <c r="T217" s="1">
        <v>49.95</v>
      </c>
      <c r="U217" s="1">
        <v>49.951000000000001</v>
      </c>
      <c r="V217" s="1">
        <v>49.999000000000002</v>
      </c>
      <c r="W217" s="1">
        <v>49.999000000000002</v>
      </c>
      <c r="X217" s="25">
        <v>50</v>
      </c>
      <c r="AD217" s="50">
        <v>149.1</v>
      </c>
      <c r="AE217" s="1">
        <v>40.814999999999998</v>
      </c>
      <c r="AF217" s="1">
        <v>47.747</v>
      </c>
      <c r="AG217" s="1">
        <v>40.003</v>
      </c>
      <c r="AH217" s="1">
        <v>39.999000000000002</v>
      </c>
      <c r="AI217" s="25">
        <v>40.000999999999998</v>
      </c>
      <c r="AS217" s="1">
        <v>49.948</v>
      </c>
      <c r="AT217" s="1">
        <v>49.999000000000002</v>
      </c>
    </row>
    <row r="218" spans="2:46" x14ac:dyDescent="0.45">
      <c r="B218" s="50">
        <v>149.79999999999998</v>
      </c>
      <c r="C218" s="1">
        <v>49.960999999999999</v>
      </c>
      <c r="D218" s="1">
        <v>49.965000000000003</v>
      </c>
      <c r="E218" s="25">
        <v>49.96</v>
      </c>
      <c r="J218" s="50">
        <v>149.79999999999998</v>
      </c>
      <c r="K218" s="1">
        <v>40.045000000000002</v>
      </c>
      <c r="L218" s="1">
        <v>40.04</v>
      </c>
      <c r="M218" s="25">
        <v>40.042000000000002</v>
      </c>
      <c r="S218" s="50">
        <v>149.79999999999998</v>
      </c>
      <c r="T218" s="1">
        <v>49.966000000000001</v>
      </c>
      <c r="U218" s="1">
        <v>49.966000000000001</v>
      </c>
      <c r="V218" s="1">
        <v>49.997</v>
      </c>
      <c r="W218" s="1">
        <v>50</v>
      </c>
      <c r="X218" s="25">
        <v>50</v>
      </c>
      <c r="AD218" s="50">
        <v>149.79999999999998</v>
      </c>
      <c r="AE218" s="1">
        <v>40.813000000000002</v>
      </c>
      <c r="AF218" s="1">
        <v>47.747</v>
      </c>
      <c r="AG218" s="1">
        <v>39.999000000000002</v>
      </c>
      <c r="AH218" s="1">
        <v>39.999000000000002</v>
      </c>
      <c r="AI218" s="25">
        <v>40.000999999999998</v>
      </c>
      <c r="AS218" s="1">
        <v>49.960999999999999</v>
      </c>
      <c r="AT218" s="1">
        <v>49.997</v>
      </c>
    </row>
    <row r="219" spans="2:46" x14ac:dyDescent="0.45">
      <c r="B219" s="50">
        <v>150.5</v>
      </c>
      <c r="C219" s="1">
        <v>49.963000000000001</v>
      </c>
      <c r="D219" s="1">
        <v>49.965000000000003</v>
      </c>
      <c r="E219" s="25">
        <v>49.96</v>
      </c>
      <c r="J219" s="50">
        <v>150.5</v>
      </c>
      <c r="K219" s="1">
        <v>40.04</v>
      </c>
      <c r="L219" s="1">
        <v>40.040999999999997</v>
      </c>
      <c r="M219" s="25">
        <v>40.037999999999997</v>
      </c>
      <c r="S219" s="50">
        <v>150.5</v>
      </c>
      <c r="T219" s="1">
        <v>49.963000000000001</v>
      </c>
      <c r="U219" s="1">
        <v>49.960999999999999</v>
      </c>
      <c r="V219" s="1">
        <v>49.999000000000002</v>
      </c>
      <c r="W219" s="1">
        <v>49.999000000000002</v>
      </c>
      <c r="X219" s="25">
        <v>50.002000000000002</v>
      </c>
      <c r="AD219" s="50">
        <v>150.5</v>
      </c>
      <c r="AE219" s="1">
        <v>40.813000000000002</v>
      </c>
      <c r="AF219" s="1">
        <v>47.741999999999997</v>
      </c>
      <c r="AG219" s="1">
        <v>40.000999999999998</v>
      </c>
      <c r="AH219" s="1">
        <v>40.000999999999998</v>
      </c>
      <c r="AI219" s="25">
        <v>40</v>
      </c>
      <c r="AS219" s="1">
        <v>49.963000000000001</v>
      </c>
      <c r="AT219" s="1">
        <v>49.999000000000002</v>
      </c>
    </row>
    <row r="220" spans="2:46" x14ac:dyDescent="0.45">
      <c r="B220" s="50">
        <v>151.19999999999999</v>
      </c>
      <c r="C220" s="1">
        <v>49.965000000000003</v>
      </c>
      <c r="D220" s="1">
        <v>49.963000000000001</v>
      </c>
      <c r="E220" s="25">
        <v>49.966000000000001</v>
      </c>
      <c r="J220" s="50">
        <v>151.19999999999999</v>
      </c>
      <c r="K220" s="1">
        <v>40.042000000000002</v>
      </c>
      <c r="L220" s="1">
        <v>40.04</v>
      </c>
      <c r="M220" s="25">
        <v>40.040999999999997</v>
      </c>
      <c r="S220" s="50">
        <v>151.19999999999999</v>
      </c>
      <c r="T220" s="1">
        <v>49.960999999999999</v>
      </c>
      <c r="U220" s="1">
        <v>49.965000000000003</v>
      </c>
      <c r="V220" s="1">
        <v>50.002000000000002</v>
      </c>
      <c r="W220" s="1">
        <v>49.999000000000002</v>
      </c>
      <c r="X220" s="25">
        <v>49.997</v>
      </c>
      <c r="AD220" s="50">
        <v>151.19999999999999</v>
      </c>
      <c r="AE220" s="1">
        <v>40.813000000000002</v>
      </c>
      <c r="AF220" s="1">
        <v>47.744999999999997</v>
      </c>
      <c r="AG220" s="1">
        <v>40</v>
      </c>
      <c r="AH220" s="1">
        <v>40</v>
      </c>
      <c r="AI220" s="25">
        <v>39.999000000000002</v>
      </c>
      <c r="AS220" s="1">
        <v>49.965000000000003</v>
      </c>
      <c r="AT220" s="1">
        <v>50.002000000000002</v>
      </c>
    </row>
    <row r="221" spans="2:46" x14ac:dyDescent="0.45">
      <c r="B221" s="50">
        <v>151.89999999999998</v>
      </c>
      <c r="C221" s="1">
        <v>49.963000000000001</v>
      </c>
      <c r="D221" s="1">
        <v>49.960999999999999</v>
      </c>
      <c r="E221" s="25">
        <v>49.960999999999999</v>
      </c>
      <c r="J221" s="50">
        <v>151.89999999999998</v>
      </c>
      <c r="K221" s="1">
        <v>40.040999999999997</v>
      </c>
      <c r="L221" s="1">
        <v>40.04</v>
      </c>
      <c r="M221" s="25">
        <v>40.042999999999999</v>
      </c>
      <c r="S221" s="50">
        <v>151.89999999999998</v>
      </c>
      <c r="T221" s="1">
        <v>49.966000000000001</v>
      </c>
      <c r="U221" s="1">
        <v>49.963000000000001</v>
      </c>
      <c r="V221" s="1">
        <v>49.999000000000002</v>
      </c>
      <c r="W221" s="1">
        <v>50.002000000000002</v>
      </c>
      <c r="X221" s="25">
        <v>49.994999999999997</v>
      </c>
      <c r="AD221" s="50">
        <v>151.89999999999998</v>
      </c>
      <c r="AE221" s="1">
        <v>40.814999999999998</v>
      </c>
      <c r="AF221" s="1">
        <v>47.744</v>
      </c>
      <c r="AG221" s="1">
        <v>40</v>
      </c>
      <c r="AH221" s="1">
        <v>39.997999999999998</v>
      </c>
      <c r="AI221" s="25">
        <v>39.996000000000002</v>
      </c>
      <c r="AS221" s="1">
        <v>49.963000000000001</v>
      </c>
      <c r="AT221" s="1">
        <v>49.999000000000002</v>
      </c>
    </row>
    <row r="222" spans="2:46" x14ac:dyDescent="0.45">
      <c r="B222" s="50">
        <v>152.6</v>
      </c>
      <c r="C222" s="1">
        <v>49.963000000000001</v>
      </c>
      <c r="D222" s="1">
        <v>49.96</v>
      </c>
      <c r="E222" s="25">
        <v>49.96</v>
      </c>
      <c r="J222" s="50">
        <v>152.6</v>
      </c>
      <c r="K222" s="1">
        <v>40.039000000000001</v>
      </c>
      <c r="L222" s="1">
        <v>40.039000000000001</v>
      </c>
      <c r="M222" s="25">
        <v>40.04</v>
      </c>
      <c r="S222" s="50">
        <v>152.6</v>
      </c>
      <c r="T222" s="1">
        <v>49.965000000000003</v>
      </c>
      <c r="U222" s="1">
        <v>49.963000000000001</v>
      </c>
      <c r="V222" s="1">
        <v>50</v>
      </c>
      <c r="W222" s="1">
        <v>49.999000000000002</v>
      </c>
      <c r="X222" s="25">
        <v>49.999000000000002</v>
      </c>
      <c r="AD222" s="50">
        <v>152.6</v>
      </c>
      <c r="AE222" s="1">
        <v>40.811</v>
      </c>
      <c r="AF222" s="1">
        <v>47.744</v>
      </c>
      <c r="AG222" s="1">
        <v>39.999000000000002</v>
      </c>
      <c r="AH222" s="1">
        <v>39.997</v>
      </c>
      <c r="AI222" s="25">
        <v>39.999000000000002</v>
      </c>
      <c r="AS222" s="1">
        <v>49.963000000000001</v>
      </c>
      <c r="AT222" s="1">
        <v>50</v>
      </c>
    </row>
    <row r="223" spans="2:46" x14ac:dyDescent="0.45">
      <c r="B223" s="50">
        <v>153.29999999999998</v>
      </c>
      <c r="C223" s="1">
        <v>49.963000000000001</v>
      </c>
      <c r="D223" s="1">
        <v>49.957999999999998</v>
      </c>
      <c r="E223" s="25">
        <v>49.96</v>
      </c>
      <c r="J223" s="50">
        <v>153.29999999999998</v>
      </c>
      <c r="K223" s="1">
        <v>40.042000000000002</v>
      </c>
      <c r="L223" s="1">
        <v>40.040999999999997</v>
      </c>
      <c r="M223" s="25">
        <v>40.04</v>
      </c>
      <c r="S223" s="50">
        <v>153.29999999999998</v>
      </c>
      <c r="T223" s="1">
        <v>49.963000000000001</v>
      </c>
      <c r="U223" s="1">
        <v>49.966000000000001</v>
      </c>
      <c r="V223" s="1">
        <v>50.002000000000002</v>
      </c>
      <c r="W223" s="1">
        <v>49.997</v>
      </c>
      <c r="X223" s="25">
        <v>49.999000000000002</v>
      </c>
      <c r="AD223" s="50">
        <v>153.29999999999998</v>
      </c>
      <c r="AE223" s="1">
        <v>40.814</v>
      </c>
      <c r="AF223" s="1">
        <v>47.598999999999997</v>
      </c>
      <c r="AG223" s="1">
        <v>40.000999999999998</v>
      </c>
      <c r="AH223" s="1">
        <v>39.999000000000002</v>
      </c>
      <c r="AI223" s="25">
        <v>39.999000000000002</v>
      </c>
      <c r="AS223" s="1">
        <v>49.963000000000001</v>
      </c>
      <c r="AT223" s="1">
        <v>50.002000000000002</v>
      </c>
    </row>
    <row r="224" spans="2:46" x14ac:dyDescent="0.45">
      <c r="B224" s="50">
        <v>154</v>
      </c>
      <c r="C224" s="1">
        <v>49.965000000000003</v>
      </c>
      <c r="D224" s="1">
        <v>49.960999999999999</v>
      </c>
      <c r="E224" s="25">
        <v>49.960999999999999</v>
      </c>
      <c r="J224" s="50">
        <v>154</v>
      </c>
      <c r="K224" s="1">
        <v>40.040999999999997</v>
      </c>
      <c r="L224" s="1">
        <v>40.039000000000001</v>
      </c>
      <c r="M224" s="25">
        <v>40.040999999999997</v>
      </c>
      <c r="S224" s="50">
        <v>154</v>
      </c>
      <c r="T224" s="1">
        <v>49.965000000000003</v>
      </c>
      <c r="U224" s="1">
        <v>49.965000000000003</v>
      </c>
      <c r="V224" s="1">
        <v>49.999000000000002</v>
      </c>
      <c r="W224" s="1">
        <v>49.999000000000002</v>
      </c>
      <c r="X224" s="25">
        <v>49.999000000000002</v>
      </c>
      <c r="AD224" s="50">
        <v>154</v>
      </c>
      <c r="AE224" s="1">
        <v>40.816000000000003</v>
      </c>
      <c r="AF224" s="1">
        <v>47.603000000000002</v>
      </c>
      <c r="AG224" s="1">
        <v>40.000999999999998</v>
      </c>
      <c r="AH224" s="1">
        <v>39.999000000000002</v>
      </c>
      <c r="AI224" s="25">
        <v>39.999000000000002</v>
      </c>
      <c r="AS224" s="1">
        <v>49.965000000000003</v>
      </c>
      <c r="AT224" s="1">
        <v>49.999000000000002</v>
      </c>
    </row>
    <row r="225" spans="2:46" x14ac:dyDescent="0.45">
      <c r="B225" s="50">
        <v>154.69999999999999</v>
      </c>
      <c r="C225" s="1">
        <v>49.960999999999999</v>
      </c>
      <c r="D225" s="1">
        <v>49.960999999999999</v>
      </c>
      <c r="E225" s="25">
        <v>49.963000000000001</v>
      </c>
      <c r="J225" s="50">
        <v>154.69999999999999</v>
      </c>
      <c r="K225" s="1">
        <v>40.042000000000002</v>
      </c>
      <c r="L225" s="1">
        <v>40.042000000000002</v>
      </c>
      <c r="M225" s="25">
        <v>40.04</v>
      </c>
      <c r="S225" s="50">
        <v>154.69999999999999</v>
      </c>
      <c r="T225" s="1">
        <v>49.963000000000001</v>
      </c>
      <c r="U225" s="1">
        <v>49.965000000000003</v>
      </c>
      <c r="V225" s="1">
        <v>49.994999999999997</v>
      </c>
      <c r="W225" s="1">
        <v>49.997</v>
      </c>
      <c r="X225" s="25">
        <v>50</v>
      </c>
      <c r="AD225" s="50">
        <v>154.69999999999999</v>
      </c>
      <c r="AE225" s="1">
        <v>40.704000000000001</v>
      </c>
      <c r="AF225" s="1">
        <v>47.598999999999997</v>
      </c>
      <c r="AG225" s="1">
        <v>40</v>
      </c>
      <c r="AH225" s="1">
        <v>40</v>
      </c>
      <c r="AI225" s="25">
        <v>40.002000000000002</v>
      </c>
      <c r="AS225" s="1">
        <v>49.960999999999999</v>
      </c>
      <c r="AT225" s="1">
        <v>49.994999999999997</v>
      </c>
    </row>
    <row r="226" spans="2:46" x14ac:dyDescent="0.45">
      <c r="B226" s="50">
        <v>155.39999999999998</v>
      </c>
      <c r="C226" s="1">
        <v>49.96</v>
      </c>
      <c r="D226" s="1">
        <v>49.960999999999999</v>
      </c>
      <c r="E226" s="25">
        <v>49.957999999999998</v>
      </c>
      <c r="J226" s="50">
        <v>155.39999999999998</v>
      </c>
      <c r="K226" s="1">
        <v>40.040999999999997</v>
      </c>
      <c r="L226" s="1">
        <v>40.040999999999997</v>
      </c>
      <c r="M226" s="25">
        <v>40.04</v>
      </c>
      <c r="S226" s="50">
        <v>155.39999999999998</v>
      </c>
      <c r="T226" s="1">
        <v>49.963000000000001</v>
      </c>
      <c r="U226" s="1">
        <v>49.968000000000004</v>
      </c>
      <c r="V226" s="1">
        <v>49.999000000000002</v>
      </c>
      <c r="W226" s="1">
        <v>50</v>
      </c>
      <c r="X226" s="25">
        <v>50.003999999999998</v>
      </c>
      <c r="AD226" s="50">
        <v>155.39999999999998</v>
      </c>
      <c r="AE226" s="1">
        <v>40.703000000000003</v>
      </c>
      <c r="AF226" s="1">
        <v>47.597000000000001</v>
      </c>
      <c r="AG226" s="1">
        <v>40.002000000000002</v>
      </c>
      <c r="AH226" s="1">
        <v>40.000999999999998</v>
      </c>
      <c r="AI226" s="25">
        <v>40.002000000000002</v>
      </c>
      <c r="AS226" s="1">
        <v>49.96</v>
      </c>
      <c r="AT226" s="1">
        <v>49.999000000000002</v>
      </c>
    </row>
    <row r="227" spans="2:46" x14ac:dyDescent="0.45">
      <c r="B227" s="50">
        <v>156.1</v>
      </c>
      <c r="C227" s="1">
        <v>49.966000000000001</v>
      </c>
      <c r="D227" s="1">
        <v>49.960999999999999</v>
      </c>
      <c r="E227" s="25">
        <v>49.963000000000001</v>
      </c>
      <c r="J227" s="50">
        <v>156.1</v>
      </c>
      <c r="K227" s="1">
        <v>40.040999999999997</v>
      </c>
      <c r="L227" s="1">
        <v>40.039000000000001</v>
      </c>
      <c r="M227" s="25">
        <v>40.039000000000001</v>
      </c>
      <c r="S227" s="50">
        <v>156.1</v>
      </c>
      <c r="T227" s="1">
        <v>49.963000000000001</v>
      </c>
      <c r="U227" s="1">
        <v>49.965000000000003</v>
      </c>
      <c r="V227" s="1">
        <v>50</v>
      </c>
      <c r="W227" s="1">
        <v>50</v>
      </c>
      <c r="X227" s="25">
        <v>50.003999999999998</v>
      </c>
      <c r="AD227" s="50">
        <v>156.1</v>
      </c>
      <c r="AE227" s="1">
        <v>40.707000000000001</v>
      </c>
      <c r="AF227" s="1">
        <v>47.597000000000001</v>
      </c>
      <c r="AG227" s="1">
        <v>39.999000000000002</v>
      </c>
      <c r="AH227" s="1">
        <v>39.999000000000002</v>
      </c>
      <c r="AI227" s="25">
        <v>40</v>
      </c>
      <c r="AS227" s="1">
        <v>49.966000000000001</v>
      </c>
      <c r="AT227" s="1">
        <v>50</v>
      </c>
    </row>
    <row r="228" spans="2:46" x14ac:dyDescent="0.45">
      <c r="B228" s="50">
        <v>156.79999999999998</v>
      </c>
      <c r="C228" s="1">
        <v>49.960999999999999</v>
      </c>
      <c r="D228" s="1">
        <v>49.96</v>
      </c>
      <c r="E228" s="25">
        <v>49.960999999999999</v>
      </c>
      <c r="J228" s="50">
        <v>156.79999999999998</v>
      </c>
      <c r="K228" s="1">
        <v>40.030999999999999</v>
      </c>
      <c r="L228" s="1">
        <v>40.027999999999999</v>
      </c>
      <c r="M228" s="25">
        <v>40.027999999999999</v>
      </c>
      <c r="S228" s="50">
        <v>156.79999999999998</v>
      </c>
      <c r="T228" s="1">
        <v>49.97</v>
      </c>
      <c r="U228" s="1">
        <v>49.963000000000001</v>
      </c>
      <c r="V228" s="1">
        <v>50</v>
      </c>
      <c r="W228" s="1">
        <v>49.999000000000002</v>
      </c>
      <c r="X228" s="25">
        <v>50.003999999999998</v>
      </c>
      <c r="AD228" s="50">
        <v>156.79999999999998</v>
      </c>
      <c r="AE228" s="1">
        <v>40.707000000000001</v>
      </c>
      <c r="AF228" s="1">
        <v>47.598999999999997</v>
      </c>
      <c r="AG228" s="1">
        <v>39.999000000000002</v>
      </c>
      <c r="AH228" s="1">
        <v>39.999000000000002</v>
      </c>
      <c r="AI228" s="25">
        <v>40</v>
      </c>
      <c r="AS228" s="1">
        <v>49.960999999999999</v>
      </c>
      <c r="AT228" s="1">
        <v>50</v>
      </c>
    </row>
    <row r="229" spans="2:46" x14ac:dyDescent="0.45">
      <c r="B229" s="50">
        <v>157.5</v>
      </c>
      <c r="C229" s="1">
        <v>49.960999999999999</v>
      </c>
      <c r="D229" s="1">
        <v>49.963000000000001</v>
      </c>
      <c r="E229" s="25">
        <v>49.956000000000003</v>
      </c>
      <c r="J229" s="50">
        <v>157.5</v>
      </c>
      <c r="K229" s="1">
        <v>40.03</v>
      </c>
      <c r="L229" s="1">
        <v>40.027999999999999</v>
      </c>
      <c r="M229" s="25">
        <v>40.03</v>
      </c>
      <c r="S229" s="50">
        <v>157.5</v>
      </c>
      <c r="T229" s="1">
        <v>49.966000000000001</v>
      </c>
      <c r="U229" s="1">
        <v>49.965000000000003</v>
      </c>
      <c r="V229" s="1">
        <v>49.994999999999997</v>
      </c>
      <c r="W229" s="1">
        <v>50.003999999999998</v>
      </c>
      <c r="X229" s="25">
        <v>50.002000000000002</v>
      </c>
      <c r="AD229" s="50">
        <v>157.5</v>
      </c>
      <c r="AE229" s="1">
        <v>40.704000000000001</v>
      </c>
      <c r="AF229" s="1">
        <v>47.601999999999997</v>
      </c>
      <c r="AG229" s="1">
        <v>40.000999999999998</v>
      </c>
      <c r="AH229" s="1">
        <v>40</v>
      </c>
      <c r="AI229" s="25">
        <v>40</v>
      </c>
      <c r="AS229" s="1">
        <v>49.960999999999999</v>
      </c>
      <c r="AT229" s="1">
        <v>49.994999999999997</v>
      </c>
    </row>
    <row r="230" spans="2:46" x14ac:dyDescent="0.45">
      <c r="B230" s="50">
        <v>158.19999999999999</v>
      </c>
      <c r="C230" s="1">
        <v>49.960999999999999</v>
      </c>
      <c r="D230" s="1">
        <v>49.966000000000001</v>
      </c>
      <c r="E230" s="25">
        <v>49.966000000000001</v>
      </c>
      <c r="J230" s="50">
        <v>158.19999999999999</v>
      </c>
      <c r="K230" s="1">
        <v>40.029000000000003</v>
      </c>
      <c r="L230" s="1">
        <v>40.027000000000001</v>
      </c>
      <c r="M230" s="25">
        <v>40.030999999999999</v>
      </c>
      <c r="S230" s="50">
        <v>158.19999999999999</v>
      </c>
      <c r="T230" s="1">
        <v>49.963000000000001</v>
      </c>
      <c r="U230" s="1">
        <v>49.966000000000001</v>
      </c>
      <c r="V230" s="1">
        <v>49.999000000000002</v>
      </c>
      <c r="W230" s="1">
        <v>50</v>
      </c>
      <c r="X230" s="25">
        <v>50.005000000000003</v>
      </c>
      <c r="AD230" s="50">
        <v>158.19999999999999</v>
      </c>
      <c r="AE230" s="1">
        <v>40.704000000000001</v>
      </c>
      <c r="AF230" s="1">
        <v>47.597000000000001</v>
      </c>
      <c r="AG230" s="1">
        <v>39.999000000000002</v>
      </c>
      <c r="AH230" s="1">
        <v>40</v>
      </c>
      <c r="AI230" s="25">
        <v>39.999000000000002</v>
      </c>
      <c r="AS230" s="1">
        <v>49.960999999999999</v>
      </c>
      <c r="AT230" s="1">
        <v>49.999000000000002</v>
      </c>
    </row>
    <row r="231" spans="2:46" x14ac:dyDescent="0.45">
      <c r="B231" s="50">
        <v>158.89999999999998</v>
      </c>
      <c r="C231" s="1">
        <v>49.963000000000001</v>
      </c>
      <c r="D231" s="1">
        <v>49.960999999999999</v>
      </c>
      <c r="E231" s="25">
        <v>49.963000000000001</v>
      </c>
      <c r="J231" s="50">
        <v>158.89999999999998</v>
      </c>
      <c r="K231" s="1">
        <v>40.030999999999999</v>
      </c>
      <c r="L231" s="1">
        <v>40.03</v>
      </c>
      <c r="M231" s="25">
        <v>40.030999999999999</v>
      </c>
      <c r="S231" s="50">
        <v>158.89999999999998</v>
      </c>
      <c r="T231" s="1">
        <v>49.968000000000004</v>
      </c>
      <c r="U231" s="1">
        <v>49.960999999999999</v>
      </c>
      <c r="V231" s="1">
        <v>50</v>
      </c>
      <c r="W231" s="1">
        <v>50</v>
      </c>
      <c r="X231" s="25">
        <v>50.002000000000002</v>
      </c>
      <c r="AD231" s="50">
        <v>158.89999999999998</v>
      </c>
      <c r="AE231" s="1">
        <v>40.704000000000001</v>
      </c>
      <c r="AF231" s="1">
        <v>47.597000000000001</v>
      </c>
      <c r="AG231" s="1">
        <v>40.002000000000002</v>
      </c>
      <c r="AH231" s="1">
        <v>40.000999999999998</v>
      </c>
      <c r="AI231" s="25">
        <v>40.000999999999998</v>
      </c>
      <c r="AS231" s="1">
        <v>49.963000000000001</v>
      </c>
      <c r="AT231" s="1">
        <v>50</v>
      </c>
    </row>
    <row r="232" spans="2:46" x14ac:dyDescent="0.45">
      <c r="B232" s="50">
        <v>159.6</v>
      </c>
      <c r="C232" s="1">
        <v>49.975000000000001</v>
      </c>
      <c r="D232" s="1">
        <v>49.975000000000001</v>
      </c>
      <c r="E232" s="25">
        <v>49.968000000000004</v>
      </c>
      <c r="J232" s="50">
        <v>159.6</v>
      </c>
      <c r="K232" s="1">
        <v>40.03</v>
      </c>
      <c r="L232" s="1">
        <v>40.03</v>
      </c>
      <c r="M232" s="25">
        <v>40.027999999999999</v>
      </c>
      <c r="S232" s="50">
        <v>159.6</v>
      </c>
      <c r="T232" s="1">
        <v>49.978000000000002</v>
      </c>
      <c r="U232" s="1">
        <v>49.97</v>
      </c>
      <c r="V232" s="1">
        <v>50.003999999999998</v>
      </c>
      <c r="W232" s="1">
        <v>50</v>
      </c>
      <c r="X232" s="25">
        <v>49.999000000000002</v>
      </c>
      <c r="AD232" s="50">
        <v>159.6</v>
      </c>
      <c r="AE232" s="1">
        <v>40.709000000000003</v>
      </c>
      <c r="AF232" s="1">
        <v>47.6</v>
      </c>
      <c r="AG232" s="1">
        <v>40.003999999999998</v>
      </c>
      <c r="AH232" s="1">
        <v>40</v>
      </c>
      <c r="AI232" s="25">
        <v>40.000999999999998</v>
      </c>
      <c r="AS232" s="1">
        <v>49.975000000000001</v>
      </c>
      <c r="AT232" s="1">
        <v>50.003999999999998</v>
      </c>
    </row>
    <row r="233" spans="2:46" x14ac:dyDescent="0.45">
      <c r="B233" s="50">
        <v>160.29999999999998</v>
      </c>
      <c r="C233" s="1">
        <v>49.975000000000001</v>
      </c>
      <c r="D233" s="1">
        <v>49.972000000000001</v>
      </c>
      <c r="E233" s="25">
        <v>49.972000000000001</v>
      </c>
      <c r="J233" s="50">
        <v>160.29999999999998</v>
      </c>
      <c r="K233" s="1">
        <v>40.030999999999999</v>
      </c>
      <c r="L233" s="1">
        <v>40.027000000000001</v>
      </c>
      <c r="M233" s="25">
        <v>40.029000000000003</v>
      </c>
      <c r="S233" s="50">
        <v>160.29999999999998</v>
      </c>
      <c r="T233" s="1">
        <v>49.976999999999997</v>
      </c>
      <c r="U233" s="1">
        <v>49.968000000000004</v>
      </c>
      <c r="V233" s="1">
        <v>49.997</v>
      </c>
      <c r="W233" s="1">
        <v>50</v>
      </c>
      <c r="X233" s="25">
        <v>49.994999999999997</v>
      </c>
      <c r="AD233" s="50">
        <v>160.29999999999998</v>
      </c>
      <c r="AE233" s="1">
        <v>40.706000000000003</v>
      </c>
      <c r="AF233" s="1">
        <v>47.597000000000001</v>
      </c>
      <c r="AG233" s="1">
        <v>40.002000000000002</v>
      </c>
      <c r="AH233" s="1">
        <v>40.002000000000002</v>
      </c>
      <c r="AI233" s="25">
        <v>40.000999999999998</v>
      </c>
      <c r="AS233" s="1">
        <v>49.975000000000001</v>
      </c>
      <c r="AT233" s="1">
        <v>49.997</v>
      </c>
    </row>
    <row r="234" spans="2:46" x14ac:dyDescent="0.45">
      <c r="B234" s="50">
        <v>161</v>
      </c>
      <c r="C234" s="1">
        <v>49.975000000000001</v>
      </c>
      <c r="D234" s="1">
        <v>49.972999999999999</v>
      </c>
      <c r="E234" s="25">
        <v>49.972000000000001</v>
      </c>
      <c r="J234" s="50">
        <v>161</v>
      </c>
      <c r="K234" s="1">
        <v>40.027000000000001</v>
      </c>
      <c r="L234" s="1">
        <v>40.03</v>
      </c>
      <c r="M234" s="25">
        <v>40.027999999999999</v>
      </c>
      <c r="S234" s="50">
        <v>161</v>
      </c>
      <c r="T234" s="1">
        <v>49.976999999999997</v>
      </c>
      <c r="U234" s="1">
        <v>49.976999999999997</v>
      </c>
      <c r="V234" s="1">
        <v>49.999000000000002</v>
      </c>
      <c r="W234" s="1">
        <v>50.003999999999998</v>
      </c>
      <c r="X234" s="25">
        <v>49.997</v>
      </c>
      <c r="AD234" s="50">
        <v>161</v>
      </c>
      <c r="AE234" s="1">
        <v>40.707999999999998</v>
      </c>
      <c r="AF234" s="1">
        <v>47.6</v>
      </c>
      <c r="AG234" s="1">
        <v>40.002000000000002</v>
      </c>
      <c r="AH234" s="1">
        <v>40.000999999999998</v>
      </c>
      <c r="AI234" s="25">
        <v>40.000999999999998</v>
      </c>
      <c r="AS234" s="1">
        <v>49.975000000000001</v>
      </c>
      <c r="AT234" s="1">
        <v>49.999000000000002</v>
      </c>
    </row>
    <row r="235" spans="2:46" x14ac:dyDescent="0.45">
      <c r="B235" s="50">
        <v>161.69999999999999</v>
      </c>
      <c r="C235" s="1">
        <v>49.975000000000001</v>
      </c>
      <c r="D235" s="1">
        <v>49.978000000000002</v>
      </c>
      <c r="E235" s="25">
        <v>49.972999999999999</v>
      </c>
      <c r="J235" s="50">
        <v>161.69999999999999</v>
      </c>
      <c r="K235" s="1">
        <v>40.029000000000003</v>
      </c>
      <c r="L235" s="1">
        <v>40.029000000000003</v>
      </c>
      <c r="M235" s="25">
        <v>40.03</v>
      </c>
      <c r="S235" s="50">
        <v>161.69999999999999</v>
      </c>
      <c r="T235" s="1">
        <v>49.978000000000002</v>
      </c>
      <c r="U235" s="1">
        <v>49.972999999999999</v>
      </c>
      <c r="V235" s="1">
        <v>50.003999999999998</v>
      </c>
      <c r="W235" s="1">
        <v>50.002000000000002</v>
      </c>
      <c r="X235" s="25">
        <v>50.002000000000002</v>
      </c>
      <c r="AD235" s="50">
        <v>161.69999999999999</v>
      </c>
      <c r="AE235" s="1">
        <v>40.701999999999998</v>
      </c>
      <c r="AF235" s="1">
        <v>47.597000000000001</v>
      </c>
      <c r="AG235" s="1">
        <v>40</v>
      </c>
      <c r="AH235" s="1">
        <v>40.000999999999998</v>
      </c>
      <c r="AI235" s="25">
        <v>39.997999999999998</v>
      </c>
      <c r="AS235" s="1">
        <v>49.975000000000001</v>
      </c>
      <c r="AT235" s="1">
        <v>50.003999999999998</v>
      </c>
    </row>
    <row r="236" spans="2:46" x14ac:dyDescent="0.45">
      <c r="B236" s="50">
        <v>162.39999999999998</v>
      </c>
      <c r="C236" s="1">
        <v>49.978000000000002</v>
      </c>
      <c r="D236" s="1">
        <v>49.975000000000001</v>
      </c>
      <c r="E236" s="25">
        <v>49.972000000000001</v>
      </c>
      <c r="J236" s="50">
        <v>162.39999999999998</v>
      </c>
      <c r="K236" s="1">
        <v>40.029000000000003</v>
      </c>
      <c r="L236" s="1">
        <v>40.027999999999999</v>
      </c>
      <c r="M236" s="25">
        <v>40.033000000000001</v>
      </c>
      <c r="S236" s="50">
        <v>162.39999999999998</v>
      </c>
      <c r="T236" s="1">
        <v>49.976999999999997</v>
      </c>
      <c r="U236" s="1">
        <v>49.975000000000001</v>
      </c>
      <c r="V236" s="1">
        <v>49.999000000000002</v>
      </c>
      <c r="W236" s="1">
        <v>50</v>
      </c>
      <c r="X236" s="25">
        <v>50.003999999999998</v>
      </c>
      <c r="AD236" s="50">
        <v>162.39999999999998</v>
      </c>
      <c r="AE236" s="1">
        <v>40.613999999999997</v>
      </c>
      <c r="AF236" s="1">
        <v>47.45</v>
      </c>
      <c r="AG236" s="1">
        <v>40</v>
      </c>
      <c r="AH236" s="1">
        <v>40.000999999999998</v>
      </c>
      <c r="AI236" s="25">
        <v>39.999000000000002</v>
      </c>
      <c r="AS236" s="1">
        <v>49.978000000000002</v>
      </c>
      <c r="AT236" s="1">
        <v>49.999000000000002</v>
      </c>
    </row>
    <row r="237" spans="2:46" x14ac:dyDescent="0.45">
      <c r="B237" s="50">
        <v>163.1</v>
      </c>
      <c r="C237" s="1">
        <v>49.972999999999999</v>
      </c>
      <c r="D237" s="1">
        <v>49.976999999999997</v>
      </c>
      <c r="E237" s="25">
        <v>49.972000000000001</v>
      </c>
      <c r="J237" s="50">
        <v>163.1</v>
      </c>
      <c r="K237" s="1">
        <v>40.030999999999999</v>
      </c>
      <c r="L237" s="1">
        <v>40.033000000000001</v>
      </c>
      <c r="M237" s="25">
        <v>40.033000000000001</v>
      </c>
      <c r="S237" s="50">
        <v>163.1</v>
      </c>
      <c r="T237" s="1">
        <v>49.978000000000002</v>
      </c>
      <c r="U237" s="1">
        <v>49.975000000000001</v>
      </c>
      <c r="V237" s="1">
        <v>50</v>
      </c>
      <c r="W237" s="1">
        <v>49.999000000000002</v>
      </c>
      <c r="X237" s="25">
        <v>50</v>
      </c>
      <c r="AD237" s="50">
        <v>163.1</v>
      </c>
      <c r="AE237" s="1">
        <v>40.613999999999997</v>
      </c>
      <c r="AF237" s="1">
        <v>47.454999999999998</v>
      </c>
      <c r="AG237" s="1">
        <v>39.997999999999998</v>
      </c>
      <c r="AH237" s="1">
        <v>39.997</v>
      </c>
      <c r="AI237" s="25">
        <v>40.002000000000002</v>
      </c>
      <c r="AS237" s="1">
        <v>49.972999999999999</v>
      </c>
      <c r="AT237" s="1">
        <v>50</v>
      </c>
    </row>
    <row r="238" spans="2:46" x14ac:dyDescent="0.45">
      <c r="B238" s="50">
        <v>163.79999999999998</v>
      </c>
      <c r="C238" s="1">
        <v>49.972999999999999</v>
      </c>
      <c r="D238" s="1">
        <v>49.978000000000002</v>
      </c>
      <c r="E238" s="25">
        <v>49.97</v>
      </c>
      <c r="J238" s="50">
        <v>163.79999999999998</v>
      </c>
      <c r="K238" s="1">
        <v>40.030999999999999</v>
      </c>
      <c r="L238" s="1">
        <v>40.03</v>
      </c>
      <c r="M238" s="25">
        <v>40.030999999999999</v>
      </c>
      <c r="S238" s="50">
        <v>163.79999999999998</v>
      </c>
      <c r="T238" s="1">
        <v>49.978000000000002</v>
      </c>
      <c r="U238" s="1">
        <v>49.972999999999999</v>
      </c>
      <c r="V238" s="1">
        <v>49.999000000000002</v>
      </c>
      <c r="W238" s="1">
        <v>49.999000000000002</v>
      </c>
      <c r="X238" s="25">
        <v>50</v>
      </c>
      <c r="AD238" s="50">
        <v>163.79999999999998</v>
      </c>
      <c r="AE238" s="1">
        <v>40.613999999999997</v>
      </c>
      <c r="AF238" s="1">
        <v>47.456000000000003</v>
      </c>
      <c r="AG238" s="1">
        <v>39.999000000000002</v>
      </c>
      <c r="AH238" s="1">
        <v>40.002000000000002</v>
      </c>
      <c r="AI238" s="25">
        <v>39.999000000000002</v>
      </c>
      <c r="AS238" s="1">
        <v>49.972999999999999</v>
      </c>
      <c r="AT238" s="1">
        <v>49.999000000000002</v>
      </c>
    </row>
    <row r="239" spans="2:46" x14ac:dyDescent="0.45">
      <c r="B239" s="50">
        <v>164.5</v>
      </c>
      <c r="C239" s="1">
        <v>49.972999999999999</v>
      </c>
      <c r="D239" s="1">
        <v>49.975000000000001</v>
      </c>
      <c r="E239" s="25">
        <v>49.975000000000001</v>
      </c>
      <c r="J239" s="50">
        <v>164.5</v>
      </c>
      <c r="K239" s="1">
        <v>40.023000000000003</v>
      </c>
      <c r="L239" s="1">
        <v>40.021999999999998</v>
      </c>
      <c r="M239" s="25">
        <v>40.023000000000003</v>
      </c>
      <c r="S239" s="50">
        <v>164.5</v>
      </c>
      <c r="T239" s="1">
        <v>49.975000000000001</v>
      </c>
      <c r="U239" s="1">
        <v>49.972000000000001</v>
      </c>
      <c r="V239" s="1">
        <v>49.997</v>
      </c>
      <c r="W239" s="1">
        <v>50</v>
      </c>
      <c r="X239" s="25">
        <v>50.002000000000002</v>
      </c>
      <c r="AD239" s="50">
        <v>164.5</v>
      </c>
      <c r="AE239" s="1">
        <v>40.609000000000002</v>
      </c>
      <c r="AF239" s="1">
        <v>47.456000000000003</v>
      </c>
      <c r="AG239" s="1">
        <v>39.999000000000002</v>
      </c>
      <c r="AH239" s="1">
        <v>39.999000000000002</v>
      </c>
      <c r="AI239" s="25">
        <v>40</v>
      </c>
      <c r="AS239" s="1">
        <v>49.972999999999999</v>
      </c>
      <c r="AT239" s="1">
        <v>49.997</v>
      </c>
    </row>
    <row r="240" spans="2:46" x14ac:dyDescent="0.45">
      <c r="B240" s="50">
        <v>165.2</v>
      </c>
      <c r="C240" s="1">
        <v>49.976999999999997</v>
      </c>
      <c r="D240" s="1">
        <v>49.972999999999999</v>
      </c>
      <c r="E240" s="25">
        <v>49.975000000000001</v>
      </c>
      <c r="J240" s="50">
        <v>165.2</v>
      </c>
      <c r="K240" s="1">
        <v>40.024000000000001</v>
      </c>
      <c r="L240" s="1">
        <v>40.024000000000001</v>
      </c>
      <c r="M240" s="25">
        <v>40.021999999999998</v>
      </c>
      <c r="S240" s="50">
        <v>165.2</v>
      </c>
      <c r="T240" s="1">
        <v>49.972999999999999</v>
      </c>
      <c r="U240" s="1">
        <v>49.972000000000001</v>
      </c>
      <c r="V240" s="1">
        <v>50</v>
      </c>
      <c r="W240" s="1">
        <v>49.999000000000002</v>
      </c>
      <c r="X240" s="25">
        <v>50</v>
      </c>
      <c r="AD240" s="50">
        <v>165.2</v>
      </c>
      <c r="AE240" s="1">
        <v>40.613</v>
      </c>
      <c r="AF240" s="1">
        <v>47.456000000000003</v>
      </c>
      <c r="AG240" s="1">
        <v>39.997999999999998</v>
      </c>
      <c r="AH240" s="1">
        <v>39.999000000000002</v>
      </c>
      <c r="AI240" s="25">
        <v>40</v>
      </c>
      <c r="AS240" s="1">
        <v>49.976999999999997</v>
      </c>
      <c r="AT240" s="1">
        <v>50</v>
      </c>
    </row>
    <row r="241" spans="2:46" x14ac:dyDescent="0.45">
      <c r="B241" s="50">
        <v>165.89999999999998</v>
      </c>
      <c r="C241" s="1">
        <v>49.976999999999997</v>
      </c>
      <c r="D241" s="1">
        <v>49.972000000000001</v>
      </c>
      <c r="E241" s="25">
        <v>49.972999999999999</v>
      </c>
      <c r="J241" s="50">
        <v>165.89999999999998</v>
      </c>
      <c r="K241" s="1">
        <v>40.027000000000001</v>
      </c>
      <c r="L241" s="1">
        <v>40.023000000000003</v>
      </c>
      <c r="M241" s="25">
        <v>40.024999999999999</v>
      </c>
      <c r="S241" s="50">
        <v>165.89999999999998</v>
      </c>
      <c r="T241" s="1">
        <v>49.976999999999997</v>
      </c>
      <c r="U241" s="1">
        <v>49.975000000000001</v>
      </c>
      <c r="V241" s="1">
        <v>49.997</v>
      </c>
      <c r="W241" s="1">
        <v>49.999000000000002</v>
      </c>
      <c r="X241" s="25">
        <v>49.999000000000002</v>
      </c>
      <c r="AD241" s="50">
        <v>165.89999999999998</v>
      </c>
      <c r="AE241" s="1">
        <v>40.610999999999997</v>
      </c>
      <c r="AF241" s="1">
        <v>47.454999999999998</v>
      </c>
      <c r="AG241" s="1">
        <v>40.002000000000002</v>
      </c>
      <c r="AH241" s="1">
        <v>39.999000000000002</v>
      </c>
      <c r="AI241" s="25">
        <v>40.002000000000002</v>
      </c>
      <c r="AS241" s="1">
        <v>49.976999999999997</v>
      </c>
      <c r="AT241" s="1">
        <v>49.997</v>
      </c>
    </row>
    <row r="242" spans="2:46" x14ac:dyDescent="0.45">
      <c r="B242" s="50">
        <v>166.6</v>
      </c>
      <c r="C242" s="1">
        <v>49.975000000000001</v>
      </c>
      <c r="D242" s="1">
        <v>49.972999999999999</v>
      </c>
      <c r="E242" s="25">
        <v>49.968000000000004</v>
      </c>
      <c r="J242" s="50">
        <v>166.6</v>
      </c>
      <c r="K242" s="1">
        <v>40.024999999999999</v>
      </c>
      <c r="L242" s="1">
        <v>40.023000000000003</v>
      </c>
      <c r="M242" s="25">
        <v>40.026000000000003</v>
      </c>
      <c r="S242" s="50">
        <v>166.6</v>
      </c>
      <c r="T242" s="1">
        <v>49.978000000000002</v>
      </c>
      <c r="U242" s="1">
        <v>49.97</v>
      </c>
      <c r="V242" s="1">
        <v>50</v>
      </c>
      <c r="W242" s="1">
        <v>49.999000000000002</v>
      </c>
      <c r="X242" s="25">
        <v>50.002000000000002</v>
      </c>
      <c r="AD242" s="50">
        <v>166.6</v>
      </c>
      <c r="AE242" s="1">
        <v>40.61</v>
      </c>
      <c r="AF242" s="1">
        <v>47.457999999999998</v>
      </c>
      <c r="AG242" s="1">
        <v>39.999000000000002</v>
      </c>
      <c r="AH242" s="1">
        <v>40</v>
      </c>
      <c r="AI242" s="25">
        <v>39.999000000000002</v>
      </c>
      <c r="AS242" s="1">
        <v>49.975000000000001</v>
      </c>
      <c r="AT242" s="1">
        <v>50</v>
      </c>
    </row>
    <row r="243" spans="2:46" x14ac:dyDescent="0.45">
      <c r="B243" s="50">
        <v>167.29999999999998</v>
      </c>
      <c r="C243" s="1">
        <v>49.975000000000001</v>
      </c>
      <c r="D243" s="1">
        <v>49.978000000000002</v>
      </c>
      <c r="E243" s="25">
        <v>49.972000000000001</v>
      </c>
      <c r="J243" s="50">
        <v>167.29999999999998</v>
      </c>
      <c r="K243" s="1">
        <v>40.023000000000003</v>
      </c>
      <c r="L243" s="1">
        <v>40.023000000000003</v>
      </c>
      <c r="M243" s="25">
        <v>40.024000000000001</v>
      </c>
      <c r="S243" s="50">
        <v>167.29999999999998</v>
      </c>
      <c r="T243" s="1">
        <v>49.975000000000001</v>
      </c>
      <c r="U243" s="1">
        <v>49.975000000000001</v>
      </c>
      <c r="V243" s="1">
        <v>49.999000000000002</v>
      </c>
      <c r="W243" s="1">
        <v>49.997</v>
      </c>
      <c r="X243" s="25">
        <v>50.002000000000002</v>
      </c>
      <c r="AD243" s="50">
        <v>167.29999999999998</v>
      </c>
      <c r="AE243" s="1">
        <v>40.613999999999997</v>
      </c>
      <c r="AF243" s="1">
        <v>47.456000000000003</v>
      </c>
      <c r="AG243" s="1">
        <v>40</v>
      </c>
      <c r="AH243" s="1">
        <v>39.997999999999998</v>
      </c>
      <c r="AI243" s="25">
        <v>40.002000000000002</v>
      </c>
      <c r="AS243" s="1">
        <v>49.975000000000001</v>
      </c>
      <c r="AT243" s="1">
        <v>49.999000000000002</v>
      </c>
    </row>
    <row r="244" spans="2:46" x14ac:dyDescent="0.45">
      <c r="B244" s="50">
        <v>168</v>
      </c>
      <c r="C244" s="1">
        <v>49.976999999999997</v>
      </c>
      <c r="D244" s="1">
        <v>49.972999999999999</v>
      </c>
      <c r="E244" s="25">
        <v>49.975000000000001</v>
      </c>
      <c r="J244" s="50">
        <v>168</v>
      </c>
      <c r="K244" s="1">
        <v>40.021999999999998</v>
      </c>
      <c r="L244" s="1">
        <v>40.020000000000003</v>
      </c>
      <c r="M244" s="25">
        <v>40.024000000000001</v>
      </c>
      <c r="S244" s="50">
        <v>168</v>
      </c>
      <c r="T244" s="1">
        <v>49.98</v>
      </c>
      <c r="U244" s="1">
        <v>49.972999999999999</v>
      </c>
      <c r="V244" s="1">
        <v>50.002000000000002</v>
      </c>
      <c r="W244" s="1">
        <v>49.997</v>
      </c>
      <c r="X244" s="25">
        <v>50</v>
      </c>
      <c r="AD244" s="50">
        <v>168</v>
      </c>
      <c r="AE244" s="1">
        <v>40.610999999999997</v>
      </c>
      <c r="AF244" s="1">
        <v>47.454999999999998</v>
      </c>
      <c r="AG244" s="1">
        <v>40.002000000000002</v>
      </c>
      <c r="AH244" s="1">
        <v>40.003</v>
      </c>
      <c r="AI244" s="25">
        <v>40.002000000000002</v>
      </c>
      <c r="AS244" s="1">
        <v>49.976999999999997</v>
      </c>
      <c r="AT244" s="1">
        <v>50.002000000000002</v>
      </c>
    </row>
    <row r="245" spans="2:46" x14ac:dyDescent="0.45">
      <c r="B245" s="50">
        <v>168.7</v>
      </c>
      <c r="C245" s="1">
        <v>49.972999999999999</v>
      </c>
      <c r="D245" s="1">
        <v>49.975000000000001</v>
      </c>
      <c r="E245" s="25">
        <v>49.976999999999997</v>
      </c>
      <c r="J245" s="50">
        <v>168.7</v>
      </c>
      <c r="K245" s="1">
        <v>40.021000000000001</v>
      </c>
      <c r="L245" s="1">
        <v>40.023000000000003</v>
      </c>
      <c r="M245" s="25">
        <v>40.021999999999998</v>
      </c>
      <c r="S245" s="50">
        <v>168.7</v>
      </c>
      <c r="T245" s="1">
        <v>49.978000000000002</v>
      </c>
      <c r="U245" s="1">
        <v>49.975000000000001</v>
      </c>
      <c r="V245" s="1">
        <v>50.003999999999998</v>
      </c>
      <c r="W245" s="1">
        <v>49.997</v>
      </c>
      <c r="X245" s="25">
        <v>50.005000000000003</v>
      </c>
      <c r="AD245" s="50">
        <v>168.7</v>
      </c>
      <c r="AE245" s="1">
        <v>40.610999999999997</v>
      </c>
      <c r="AF245" s="1">
        <v>47.454999999999998</v>
      </c>
      <c r="AG245" s="1">
        <v>40</v>
      </c>
      <c r="AH245" s="1">
        <v>40.002000000000002</v>
      </c>
      <c r="AI245" s="25">
        <v>40.000999999999998</v>
      </c>
      <c r="AS245" s="1">
        <v>49.972999999999999</v>
      </c>
      <c r="AT245" s="1">
        <v>50.003999999999998</v>
      </c>
    </row>
    <row r="246" spans="2:46" x14ac:dyDescent="0.45">
      <c r="B246" s="50">
        <v>169.39999999999998</v>
      </c>
      <c r="C246" s="1">
        <v>49.98</v>
      </c>
      <c r="D246" s="1">
        <v>49.982999999999997</v>
      </c>
      <c r="E246" s="25">
        <v>49.98</v>
      </c>
      <c r="J246" s="50">
        <v>169.39999999999998</v>
      </c>
      <c r="K246" s="1">
        <v>40.024999999999999</v>
      </c>
      <c r="L246" s="1">
        <v>40.021999999999998</v>
      </c>
      <c r="M246" s="25">
        <v>40.021000000000001</v>
      </c>
      <c r="S246" s="50">
        <v>169.39999999999998</v>
      </c>
      <c r="T246" s="1">
        <v>49.984999999999999</v>
      </c>
      <c r="U246" s="1">
        <v>49.982999999999997</v>
      </c>
      <c r="V246" s="1">
        <v>50</v>
      </c>
      <c r="W246" s="1">
        <v>49.999000000000002</v>
      </c>
      <c r="X246" s="25">
        <v>50</v>
      </c>
      <c r="AD246" s="50">
        <v>169.39999999999998</v>
      </c>
      <c r="AE246" s="1">
        <v>40.61</v>
      </c>
      <c r="AF246" s="1">
        <v>47.451999999999998</v>
      </c>
      <c r="AG246" s="1">
        <v>40.000999999999998</v>
      </c>
      <c r="AH246" s="1">
        <v>40</v>
      </c>
      <c r="AI246" s="25">
        <v>40</v>
      </c>
      <c r="AS246" s="1">
        <v>49.98</v>
      </c>
      <c r="AT246" s="1">
        <v>50</v>
      </c>
    </row>
    <row r="247" spans="2:46" x14ac:dyDescent="0.45">
      <c r="B247" s="50">
        <v>170.1</v>
      </c>
      <c r="C247" s="1">
        <v>49.98</v>
      </c>
      <c r="D247" s="1">
        <v>49.982999999999997</v>
      </c>
      <c r="E247" s="25">
        <v>49.981999999999999</v>
      </c>
      <c r="J247" s="50">
        <v>170.1</v>
      </c>
      <c r="K247" s="1">
        <v>40.020000000000003</v>
      </c>
      <c r="L247" s="1">
        <v>40.024000000000001</v>
      </c>
      <c r="M247" s="25">
        <v>40.021999999999998</v>
      </c>
      <c r="S247" s="50">
        <v>170.1</v>
      </c>
      <c r="T247" s="1">
        <v>49.987000000000002</v>
      </c>
      <c r="U247" s="1">
        <v>49.981999999999999</v>
      </c>
      <c r="V247" s="1">
        <v>49.999000000000002</v>
      </c>
      <c r="W247" s="1">
        <v>50</v>
      </c>
      <c r="X247" s="25">
        <v>50.002000000000002</v>
      </c>
      <c r="AD247" s="50">
        <v>170.1</v>
      </c>
      <c r="AE247" s="1">
        <v>40.61</v>
      </c>
      <c r="AF247" s="1">
        <v>47.451999999999998</v>
      </c>
      <c r="AG247" s="1">
        <v>40.003</v>
      </c>
      <c r="AH247" s="1">
        <v>40.000999999999998</v>
      </c>
      <c r="AI247" s="25">
        <v>40</v>
      </c>
      <c r="AS247" s="1">
        <v>49.98</v>
      </c>
      <c r="AT247" s="1">
        <v>49.999000000000002</v>
      </c>
    </row>
    <row r="248" spans="2:46" x14ac:dyDescent="0.45">
      <c r="B248" s="50">
        <v>170.79999999999998</v>
      </c>
      <c r="C248" s="1">
        <v>49.981999999999999</v>
      </c>
      <c r="D248" s="1">
        <v>49.98</v>
      </c>
      <c r="E248" s="25">
        <v>49.98</v>
      </c>
      <c r="J248" s="50">
        <v>170.79999999999998</v>
      </c>
      <c r="K248" s="1">
        <v>40.023000000000003</v>
      </c>
      <c r="L248" s="1">
        <v>40.024000000000001</v>
      </c>
      <c r="M248" s="25">
        <v>40.021999999999998</v>
      </c>
      <c r="S248" s="50">
        <v>170.79999999999998</v>
      </c>
      <c r="T248" s="1">
        <v>49.98</v>
      </c>
      <c r="U248" s="1">
        <v>49.981999999999999</v>
      </c>
      <c r="V248" s="1">
        <v>50</v>
      </c>
      <c r="W248" s="1">
        <v>50</v>
      </c>
      <c r="X248" s="25">
        <v>50</v>
      </c>
      <c r="AD248" s="50">
        <v>170.79999999999998</v>
      </c>
      <c r="AE248" s="1">
        <v>40.530999999999999</v>
      </c>
      <c r="AF248" s="1">
        <v>47.451999999999998</v>
      </c>
      <c r="AG248" s="1">
        <v>39.997999999999998</v>
      </c>
      <c r="AH248" s="1">
        <v>40.003</v>
      </c>
      <c r="AI248" s="25">
        <v>39.999000000000002</v>
      </c>
      <c r="AS248" s="1">
        <v>49.981999999999999</v>
      </c>
      <c r="AT248" s="1">
        <v>50</v>
      </c>
    </row>
    <row r="249" spans="2:46" x14ac:dyDescent="0.45">
      <c r="B249" s="50">
        <v>171.5</v>
      </c>
      <c r="C249" s="1">
        <v>49.982999999999997</v>
      </c>
      <c r="D249" s="1">
        <v>49.981999999999999</v>
      </c>
      <c r="E249" s="25">
        <v>49.981999999999999</v>
      </c>
      <c r="J249" s="50">
        <v>171.5</v>
      </c>
      <c r="K249" s="1">
        <v>40.024999999999999</v>
      </c>
      <c r="L249" s="1">
        <v>40.021000000000001</v>
      </c>
      <c r="M249" s="25">
        <v>40.023000000000003</v>
      </c>
      <c r="S249" s="50">
        <v>171.5</v>
      </c>
      <c r="T249" s="1">
        <v>49.982999999999997</v>
      </c>
      <c r="U249" s="1">
        <v>49.98</v>
      </c>
      <c r="V249" s="1">
        <v>50</v>
      </c>
      <c r="W249" s="1">
        <v>50.002000000000002</v>
      </c>
      <c r="X249" s="25">
        <v>50</v>
      </c>
      <c r="AD249" s="50">
        <v>171.5</v>
      </c>
      <c r="AE249" s="1">
        <v>40.529000000000003</v>
      </c>
      <c r="AF249" s="1">
        <v>47.448999999999998</v>
      </c>
      <c r="AG249" s="1">
        <v>40.000999999999998</v>
      </c>
      <c r="AH249" s="1">
        <v>40.000999999999998</v>
      </c>
      <c r="AI249" s="25">
        <v>40.002000000000002</v>
      </c>
      <c r="AS249" s="1">
        <v>49.982999999999997</v>
      </c>
      <c r="AT249" s="1">
        <v>50</v>
      </c>
    </row>
    <row r="250" spans="2:46" x14ac:dyDescent="0.45">
      <c r="B250" s="50">
        <v>172.2</v>
      </c>
      <c r="C250" s="1">
        <v>49.981999999999999</v>
      </c>
      <c r="D250" s="1">
        <v>49.981999999999999</v>
      </c>
      <c r="E250" s="25">
        <v>49.976999999999997</v>
      </c>
      <c r="J250" s="50">
        <v>172.2</v>
      </c>
      <c r="K250" s="1">
        <v>40.021000000000001</v>
      </c>
      <c r="L250" s="1">
        <v>40.021000000000001</v>
      </c>
      <c r="M250" s="25">
        <v>40.023000000000003</v>
      </c>
      <c r="S250" s="50">
        <v>172.2</v>
      </c>
      <c r="T250" s="1">
        <v>49.981999999999999</v>
      </c>
      <c r="U250" s="1">
        <v>49.981999999999999</v>
      </c>
      <c r="V250" s="1">
        <v>50</v>
      </c>
      <c r="W250" s="1">
        <v>49.999000000000002</v>
      </c>
      <c r="X250" s="25">
        <v>49.999000000000002</v>
      </c>
      <c r="AD250" s="50">
        <v>172.2</v>
      </c>
      <c r="AE250" s="1">
        <v>40.527999999999999</v>
      </c>
      <c r="AF250" s="1">
        <v>47.307000000000002</v>
      </c>
      <c r="AG250" s="1">
        <v>39.999000000000002</v>
      </c>
      <c r="AH250" s="1">
        <v>40.003</v>
      </c>
      <c r="AI250" s="25">
        <v>40.000999999999998</v>
      </c>
      <c r="AS250" s="1">
        <v>49.981999999999999</v>
      </c>
      <c r="AT250" s="1">
        <v>50</v>
      </c>
    </row>
    <row r="251" spans="2:46" x14ac:dyDescent="0.45">
      <c r="B251" s="50">
        <v>172.89999999999998</v>
      </c>
      <c r="C251" s="1">
        <v>49.978000000000002</v>
      </c>
      <c r="D251" s="1">
        <v>49.982999999999997</v>
      </c>
      <c r="E251" s="25">
        <v>49.978000000000002</v>
      </c>
      <c r="J251" s="50">
        <v>172.89999999999998</v>
      </c>
      <c r="K251" s="1">
        <v>40.015999999999998</v>
      </c>
      <c r="L251" s="1">
        <v>40.014000000000003</v>
      </c>
      <c r="M251" s="25">
        <v>40.015000000000001</v>
      </c>
      <c r="S251" s="50">
        <v>172.89999999999998</v>
      </c>
      <c r="T251" s="1">
        <v>49.982999999999997</v>
      </c>
      <c r="U251" s="1">
        <v>49.981999999999999</v>
      </c>
      <c r="V251" s="1">
        <v>50.002000000000002</v>
      </c>
      <c r="W251" s="1">
        <v>49.997</v>
      </c>
      <c r="X251" s="25">
        <v>49.999000000000002</v>
      </c>
      <c r="AD251" s="50">
        <v>172.89999999999998</v>
      </c>
      <c r="AE251" s="1">
        <v>40.529000000000003</v>
      </c>
      <c r="AF251" s="1">
        <v>47.308999999999997</v>
      </c>
      <c r="AG251" s="1">
        <v>40</v>
      </c>
      <c r="AH251" s="1">
        <v>39.999000000000002</v>
      </c>
      <c r="AI251" s="25">
        <v>39.999000000000002</v>
      </c>
      <c r="AS251" s="1">
        <v>49.978000000000002</v>
      </c>
      <c r="AT251" s="1">
        <v>50.002000000000002</v>
      </c>
    </row>
    <row r="252" spans="2:46" x14ac:dyDescent="0.45">
      <c r="B252" s="50">
        <v>173.6</v>
      </c>
      <c r="C252" s="1">
        <v>49.982999999999997</v>
      </c>
      <c r="D252" s="1">
        <v>49.982999999999997</v>
      </c>
      <c r="E252" s="25">
        <v>49.98</v>
      </c>
      <c r="J252" s="50">
        <v>173.6</v>
      </c>
      <c r="K252" s="1">
        <v>40.018000000000001</v>
      </c>
      <c r="L252" s="1">
        <v>40.014000000000003</v>
      </c>
      <c r="M252" s="25">
        <v>40.015999999999998</v>
      </c>
      <c r="S252" s="50">
        <v>173.6</v>
      </c>
      <c r="T252" s="1">
        <v>49.984999999999999</v>
      </c>
      <c r="U252" s="1">
        <v>49.982999999999997</v>
      </c>
      <c r="V252" s="1">
        <v>50.003999999999998</v>
      </c>
      <c r="W252" s="1">
        <v>50</v>
      </c>
      <c r="X252" s="25">
        <v>49.994999999999997</v>
      </c>
      <c r="AD252" s="50">
        <v>173.6</v>
      </c>
      <c r="AE252" s="1">
        <v>40.527999999999999</v>
      </c>
      <c r="AF252" s="1">
        <v>47.305999999999997</v>
      </c>
      <c r="AG252" s="1">
        <v>39.997999999999998</v>
      </c>
      <c r="AH252" s="1">
        <v>40.000999999999998</v>
      </c>
      <c r="AI252" s="25">
        <v>40.000999999999998</v>
      </c>
      <c r="AS252" s="1">
        <v>49.982999999999997</v>
      </c>
      <c r="AT252" s="1">
        <v>50.003999999999998</v>
      </c>
    </row>
    <row r="253" spans="2:46" ht="16.5" thickBot="1" x14ac:dyDescent="0.5">
      <c r="B253" s="15">
        <v>174.29999999999998</v>
      </c>
      <c r="C253" s="44">
        <v>49.982999999999997</v>
      </c>
      <c r="D253" s="44">
        <v>49.98</v>
      </c>
      <c r="E253" s="38">
        <v>49.98</v>
      </c>
      <c r="J253" s="15">
        <v>174.29999999999998</v>
      </c>
      <c r="K253" s="44">
        <v>40.018000000000001</v>
      </c>
      <c r="L253" s="44">
        <v>40.014000000000003</v>
      </c>
      <c r="M253" s="38">
        <v>40.015000000000001</v>
      </c>
      <c r="S253" s="15">
        <v>174.29999999999998</v>
      </c>
      <c r="T253" s="44">
        <v>49.98</v>
      </c>
      <c r="U253" s="44">
        <v>49.981999999999999</v>
      </c>
      <c r="V253" s="44">
        <v>50</v>
      </c>
      <c r="W253" s="44">
        <v>50.003999999999998</v>
      </c>
      <c r="X253" s="38">
        <v>49.997</v>
      </c>
      <c r="AD253" s="15">
        <v>174.29999999999998</v>
      </c>
      <c r="AE253" s="44">
        <v>40.53</v>
      </c>
      <c r="AF253" s="44">
        <v>47.311999999999998</v>
      </c>
      <c r="AG253" s="44">
        <v>40</v>
      </c>
      <c r="AH253" s="44">
        <v>40.002000000000002</v>
      </c>
      <c r="AI253" s="38">
        <v>40.002000000000002</v>
      </c>
      <c r="AS253" s="44">
        <v>49.982999999999997</v>
      </c>
      <c r="AT253" s="44">
        <v>50</v>
      </c>
    </row>
  </sheetData>
  <mergeCells count="4">
    <mergeCell ref="B2:E2"/>
    <mergeCell ref="J2:M2"/>
    <mergeCell ref="S2:X2"/>
    <mergeCell ref="AD2:AI2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E82E-CAF6-4371-A4E0-4009596BC304}">
  <dimension ref="A1"/>
  <sheetViews>
    <sheetView zoomScale="85" zoomScaleNormal="85" workbookViewId="0">
      <selection activeCell="S50" sqref="S50"/>
    </sheetView>
  </sheetViews>
  <sheetFormatPr defaultRowHeight="16" x14ac:dyDescent="0.45"/>
  <cols>
    <col min="1" max="1" width="2.6328125" customWidth="1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Summary</vt:lpstr>
      <vt:lpstr>Meas_List_XDR</vt:lpstr>
      <vt:lpstr>Meas_List_XCR</vt:lpstr>
      <vt:lpstr>코드편차_트림정확도</vt:lpstr>
      <vt:lpstr>전류편차_24mA(절대값기준)</vt:lpstr>
      <vt:lpstr>DAC전압편차</vt:lpstr>
      <vt:lpstr>EC Test Log</vt:lpstr>
      <vt:lpstr>FLL Transition</vt:lpstr>
      <vt:lpstr>O_SLEW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2026-07-09T06:33:48Z</dcterms:created>
  <dcterms:modified xsi:type="dcterms:W3CDTF">2026-07-29T06:34:13Z</dcterms:modified>
</cp:coreProperties>
</file>