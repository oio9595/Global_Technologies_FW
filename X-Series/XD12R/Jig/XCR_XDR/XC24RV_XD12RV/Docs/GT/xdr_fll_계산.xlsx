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io95\OneDrive\Desktop\"/>
    </mc:Choice>
  </mc:AlternateContent>
  <xr:revisionPtr revIDLastSave="0" documentId="8_{BFB9E5F6-1F4A-4CDA-B589-F57FF15F9AA7}" xr6:coauthVersionLast="47" xr6:coauthVersionMax="47" xr10:uidLastSave="{00000000-0000-0000-0000-000000000000}"/>
  <bookViews>
    <workbookView xWindow="43080" yWindow="2160" windowWidth="29040" windowHeight="15720" xr2:uid="{098E6B96-F889-4E00-8F56-2187221572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5" i="1" l="1"/>
  <c r="C26" i="1" s="1"/>
  <c r="F26" i="1" s="1"/>
  <c r="C15" i="1"/>
  <c r="C17" i="1" s="1"/>
  <c r="F17" i="1" s="1"/>
  <c r="C6" i="1"/>
  <c r="F6" i="1" s="1"/>
  <c r="C5" i="1"/>
  <c r="C7" i="1" s="1"/>
  <c r="F7" i="1" s="1"/>
  <c r="C27" i="1" l="1"/>
  <c r="F27" i="1" s="1"/>
  <c r="C16" i="1"/>
  <c r="F16" i="1" s="1"/>
</calcChain>
</file>

<file path=xl/sharedStrings.xml><?xml version="1.0" encoding="utf-8"?>
<sst xmlns="http://schemas.openxmlformats.org/spreadsheetml/2006/main" count="48" uniqueCount="15">
  <si>
    <t>Hz</t>
    <phoneticPr fontId="1" type="noConversion"/>
  </si>
  <si>
    <t>MHz</t>
    <phoneticPr fontId="1" type="noConversion"/>
  </si>
  <si>
    <t>EA</t>
    <phoneticPr fontId="1" type="noConversion"/>
  </si>
  <si>
    <t>Vsync</t>
    <phoneticPr fontId="1" type="noConversion"/>
  </si>
  <si>
    <t>XD_MCLK</t>
    <phoneticPr fontId="1" type="noConversion"/>
  </si>
  <si>
    <t>MCLK_LOCK_CNT [20:0]</t>
    <phoneticPr fontId="1" type="noConversion"/>
  </si>
  <si>
    <t>MCLK_LOCK_CNT [11:0]</t>
    <phoneticPr fontId="1" type="noConversion"/>
  </si>
  <si>
    <t>MCLK_LOCK_CNT [20:12]</t>
    <phoneticPr fontId="1" type="noConversion"/>
  </si>
  <si>
    <t>하위 12bit</t>
    <phoneticPr fontId="1" type="noConversion"/>
  </si>
  <si>
    <t>상위 9bit</t>
    <phoneticPr fontId="1" type="noConversion"/>
  </si>
  <si>
    <t>전체 21bit, 계산 후 반올림</t>
    <phoneticPr fontId="1" type="noConversion"/>
  </si>
  <si>
    <t>Hex</t>
    <phoneticPr fontId="1" type="noConversion"/>
  </si>
  <si>
    <t>Case 1) MCLK = 40MHz</t>
    <phoneticPr fontId="1" type="noConversion"/>
  </si>
  <si>
    <t>Case 2) MCLK = 50MHz</t>
    <phoneticPr fontId="1" type="noConversion"/>
  </si>
  <si>
    <t>Case 3) MCLK = 60MHz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</si>
</sst>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0x&quot;0"/>
  </numFmts>
  <fonts count="3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2" borderId="1" xfId="0" applyFont="1" applyFill="1" applyBorder="1" applyAlignment="1">
      <alignment horizontal="left"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176" fontId="2" fillId="0" borderId="1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654050</xdr:colOff>
      <xdr:row>5</xdr:row>
      <xdr:rowOff>104775</xdr:rowOff>
    </xdr:from>
    <xdr:to>
      <xdr:col>4</xdr:col>
      <xdr:colOff>1644650</xdr:colOff>
      <xdr:row>5</xdr:row>
      <xdr:rowOff>104775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D3CFC528-767E-6E75-7986-603C92BE9B86}"/>
            </a:ext>
          </a:extLst>
        </xdr:cNvPr>
        <xdr:cNvCxnSpPr/>
      </xdr:nvCxnSpPr>
      <xdr:spPr>
        <a:xfrm>
          <a:off x="4025900" y="904875"/>
          <a:ext cx="9906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657225</xdr:colOff>
      <xdr:row>6</xdr:row>
      <xdr:rowOff>82550</xdr:rowOff>
    </xdr:from>
    <xdr:to>
      <xdr:col>4</xdr:col>
      <xdr:colOff>1647825</xdr:colOff>
      <xdr:row>6</xdr:row>
      <xdr:rowOff>82550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37348EE6-6E81-480E-A522-25C004CE31D8}"/>
            </a:ext>
          </a:extLst>
        </xdr:cNvPr>
        <xdr:cNvCxnSpPr/>
      </xdr:nvCxnSpPr>
      <xdr:spPr>
        <a:xfrm>
          <a:off x="4029075" y="1082675"/>
          <a:ext cx="9906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663575</xdr:colOff>
      <xdr:row>6</xdr:row>
      <xdr:rowOff>161925</xdr:rowOff>
    </xdr:from>
    <xdr:ext cx="933974" cy="29187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52A7739-1569-DA3B-1D12-1B357136FFC7}"/>
            </a:ext>
          </a:extLst>
        </xdr:cNvPr>
        <xdr:cNvSpPr txBox="1"/>
      </xdr:nvSpPr>
      <xdr:spPr>
        <a:xfrm>
          <a:off x="4035425" y="1362075"/>
          <a:ext cx="933974" cy="291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900"/>
            <a:t>Dec to Hex</a:t>
          </a:r>
          <a:r>
            <a:rPr lang="en-US" altLang="ko-KR" sz="900" baseline="0"/>
            <a:t> </a:t>
          </a:r>
          <a:r>
            <a:rPr lang="ko-KR" altLang="en-US" sz="900" baseline="0"/>
            <a:t>변환</a:t>
          </a:r>
          <a:endParaRPr lang="ko-KR" altLang="en-US" sz="900"/>
        </a:p>
      </xdr:txBody>
    </xdr:sp>
    <xdr:clientData/>
  </xdr:oneCellAnchor>
  <xdr:twoCellAnchor>
    <xdr:from>
      <xdr:col>4</xdr:col>
      <xdr:colOff>654050</xdr:colOff>
      <xdr:row>15</xdr:row>
      <xdr:rowOff>104775</xdr:rowOff>
    </xdr:from>
    <xdr:to>
      <xdr:col>4</xdr:col>
      <xdr:colOff>1644650</xdr:colOff>
      <xdr:row>15</xdr:row>
      <xdr:rowOff>104775</xdr:rowOff>
    </xdr:to>
    <xdr:cxnSp macro="">
      <xdr:nvCxnSpPr>
        <xdr:cNvPr id="12" name="직선 화살표 연결선 11">
          <a:extLst>
            <a:ext uri="{FF2B5EF4-FFF2-40B4-BE49-F238E27FC236}">
              <a16:creationId xmlns:a16="http://schemas.microsoft.com/office/drawing/2014/main" id="{0E3219C4-7130-436D-98B2-2FE1273CBD0B}"/>
            </a:ext>
          </a:extLst>
        </xdr:cNvPr>
        <xdr:cNvCxnSpPr/>
      </xdr:nvCxnSpPr>
      <xdr:spPr>
        <a:xfrm>
          <a:off x="3600450" y="1101725"/>
          <a:ext cx="9906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657225</xdr:colOff>
      <xdr:row>16</xdr:row>
      <xdr:rowOff>82550</xdr:rowOff>
    </xdr:from>
    <xdr:to>
      <xdr:col>4</xdr:col>
      <xdr:colOff>1647825</xdr:colOff>
      <xdr:row>16</xdr:row>
      <xdr:rowOff>82550</xdr:rowOff>
    </xdr:to>
    <xdr:cxnSp macro="">
      <xdr:nvCxnSpPr>
        <xdr:cNvPr id="13" name="직선 화살표 연결선 12">
          <a:extLst>
            <a:ext uri="{FF2B5EF4-FFF2-40B4-BE49-F238E27FC236}">
              <a16:creationId xmlns:a16="http://schemas.microsoft.com/office/drawing/2014/main" id="{FB8DB3C2-CD7A-412F-B74F-9A6E6B1FA662}"/>
            </a:ext>
          </a:extLst>
        </xdr:cNvPr>
        <xdr:cNvCxnSpPr/>
      </xdr:nvCxnSpPr>
      <xdr:spPr>
        <a:xfrm>
          <a:off x="3597275" y="1285875"/>
          <a:ext cx="9906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663575</xdr:colOff>
      <xdr:row>16</xdr:row>
      <xdr:rowOff>161925</xdr:rowOff>
    </xdr:from>
    <xdr:ext cx="933974" cy="291875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7B0B65C-7C4F-4086-AE12-DD98BC52C187}"/>
            </a:ext>
          </a:extLst>
        </xdr:cNvPr>
        <xdr:cNvSpPr txBox="1"/>
      </xdr:nvSpPr>
      <xdr:spPr>
        <a:xfrm>
          <a:off x="3606800" y="1358900"/>
          <a:ext cx="933974" cy="291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900"/>
            <a:t>Dec to Hex</a:t>
          </a:r>
          <a:r>
            <a:rPr lang="en-US" altLang="ko-KR" sz="900" baseline="0"/>
            <a:t> </a:t>
          </a:r>
          <a:r>
            <a:rPr lang="ko-KR" altLang="en-US" sz="900" baseline="0"/>
            <a:t>변환</a:t>
          </a:r>
          <a:endParaRPr lang="ko-KR" altLang="en-US" sz="900"/>
        </a:p>
      </xdr:txBody>
    </xdr:sp>
    <xdr:clientData/>
  </xdr:oneCellAnchor>
  <xdr:twoCellAnchor>
    <xdr:from>
      <xdr:col>4</xdr:col>
      <xdr:colOff>654050</xdr:colOff>
      <xdr:row>25</xdr:row>
      <xdr:rowOff>104775</xdr:rowOff>
    </xdr:from>
    <xdr:to>
      <xdr:col>4</xdr:col>
      <xdr:colOff>1644650</xdr:colOff>
      <xdr:row>25</xdr:row>
      <xdr:rowOff>104775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59A7A8C7-CB79-4648-9281-66F2D4D48C7A}"/>
            </a:ext>
          </a:extLst>
        </xdr:cNvPr>
        <xdr:cNvCxnSpPr/>
      </xdr:nvCxnSpPr>
      <xdr:spPr>
        <a:xfrm>
          <a:off x="3600450" y="1101725"/>
          <a:ext cx="9906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657225</xdr:colOff>
      <xdr:row>26</xdr:row>
      <xdr:rowOff>82550</xdr:rowOff>
    </xdr:from>
    <xdr:to>
      <xdr:col>4</xdr:col>
      <xdr:colOff>1647825</xdr:colOff>
      <xdr:row>26</xdr:row>
      <xdr:rowOff>82550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D190B8BE-7E90-4B2C-BD33-566B62D11F51}"/>
            </a:ext>
          </a:extLst>
        </xdr:cNvPr>
        <xdr:cNvCxnSpPr/>
      </xdr:nvCxnSpPr>
      <xdr:spPr>
        <a:xfrm>
          <a:off x="3597275" y="1285875"/>
          <a:ext cx="9906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663575</xdr:colOff>
      <xdr:row>26</xdr:row>
      <xdr:rowOff>161925</xdr:rowOff>
    </xdr:from>
    <xdr:ext cx="933974" cy="291875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20E31F0-CD9D-429D-A03C-8465E883EDE9}"/>
            </a:ext>
          </a:extLst>
        </xdr:cNvPr>
        <xdr:cNvSpPr txBox="1"/>
      </xdr:nvSpPr>
      <xdr:spPr>
        <a:xfrm>
          <a:off x="3606800" y="1358900"/>
          <a:ext cx="933974" cy="291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900"/>
            <a:t>Dec to Hex</a:t>
          </a:r>
          <a:r>
            <a:rPr lang="en-US" altLang="ko-KR" sz="900" baseline="0"/>
            <a:t> </a:t>
          </a:r>
          <a:r>
            <a:rPr lang="ko-KR" altLang="en-US" sz="900" baseline="0"/>
            <a:t>변환</a:t>
          </a:r>
          <a:endParaRPr lang="ko-KR" altLang="en-US" sz="900"/>
        </a:p>
      </xdr:txBody>
    </xdr:sp>
    <xdr:clientData/>
  </xdr:oneCellAnchor>
  <xdr:twoCellAnchor editAs="oneCell">
    <xdr:from>
      <xdr:col>8</xdr:col>
      <xdr:colOff>0</xdr:colOff>
      <xdr:row>1</xdr:row>
      <xdr:rowOff>0</xdr:rowOff>
    </xdr:from>
    <xdr:to>
      <xdr:col>24</xdr:col>
      <xdr:colOff>142381</xdr:colOff>
      <xdr:row>25</xdr:row>
      <xdr:rowOff>19050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6398E94C-438E-DB8B-EDAA-7A5F1ABB5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86525" y="200025"/>
          <a:ext cx="9899156" cy="481965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F634E-3245-4FAC-ADEF-84AA045569D2}">
  <dimension ref="B2:G27"/>
  <sheetViews>
    <sheetView tabSelected="1" workbookViewId="0"/>
  </sheetViews>
  <sheetFormatPr defaultRowHeight="16" x14ac:dyDescent="0.45"/>
  <cols>
    <col min="1" max="1" width="2.6328125" style="1" customWidth="1"/>
    <col min="2" max="2" width="23.1796875" style="1" bestFit="1" customWidth="1"/>
    <col min="3" max="3" width="7.36328125" style="1" bestFit="1" customWidth="1"/>
    <col min="4" max="4" width="5.26953125" style="1" bestFit="1" customWidth="1"/>
    <col min="5" max="5" width="24.54296875" style="1" bestFit="1" customWidth="1"/>
    <col min="6" max="6" width="6.54296875" style="1" bestFit="1" customWidth="1"/>
    <col min="7" max="7" width="4.6328125" style="1" bestFit="1" customWidth="1"/>
    <col min="8" max="16384" width="8.7265625" style="1"/>
  </cols>
  <sheetData>
    <row r="2" spans="2:7" x14ac:dyDescent="0.45">
      <c r="B2" s="2" t="s">
        <v>12</v>
      </c>
      <c r="C2" s="2"/>
      <c r="D2" s="2"/>
      <c r="E2" s="2"/>
      <c r="F2" s="2"/>
      <c r="G2" s="2"/>
    </row>
    <row r="3" spans="2:7" x14ac:dyDescent="0.45">
      <c r="B3" s="3" t="s">
        <v>3</v>
      </c>
      <c r="C3" s="4">
        <v>120</v>
      </c>
      <c r="D3" s="4" t="s">
        <v>0</v>
      </c>
      <c r="E3" s="4"/>
      <c r="F3" s="4"/>
      <c r="G3" s="4"/>
    </row>
    <row r="4" spans="2:7" x14ac:dyDescent="0.45">
      <c r="B4" s="3" t="s">
        <v>4</v>
      </c>
      <c r="C4" s="4">
        <v>40</v>
      </c>
      <c r="D4" s="4" t="s">
        <v>1</v>
      </c>
      <c r="E4" s="4"/>
      <c r="F4" s="4"/>
      <c r="G4" s="4"/>
    </row>
    <row r="5" spans="2:7" x14ac:dyDescent="0.45">
      <c r="B5" s="3" t="s">
        <v>5</v>
      </c>
      <c r="C5" s="4">
        <f>ROUND(C4*1000000/C3, 0)</f>
        <v>333333</v>
      </c>
      <c r="D5" s="4" t="s">
        <v>2</v>
      </c>
      <c r="E5" s="4" t="s">
        <v>10</v>
      </c>
      <c r="F5" s="4"/>
      <c r="G5" s="4"/>
    </row>
    <row r="6" spans="2:7" x14ac:dyDescent="0.45">
      <c r="B6" s="3" t="s">
        <v>6</v>
      </c>
      <c r="C6" s="4">
        <f>_xlfn.BITAND(C5, 4095)</f>
        <v>1557</v>
      </c>
      <c r="D6" s="4" t="s">
        <v>2</v>
      </c>
      <c r="E6" s="4" t="s">
        <v>8</v>
      </c>
      <c r="F6" s="5" t="str">
        <f>_xlfn.CONCAT("0x", DEC2HEX(C6, 3))</f>
        <v>0x615</v>
      </c>
      <c r="G6" s="4" t="s">
        <v>11</v>
      </c>
    </row>
    <row r="7" spans="2:7" x14ac:dyDescent="0.45">
      <c r="B7" s="3" t="s">
        <v>7</v>
      </c>
      <c r="C7" s="4">
        <f>_xlfn.BITRSHIFT(C5, 12)</f>
        <v>81</v>
      </c>
      <c r="D7" s="4" t="s">
        <v>2</v>
      </c>
      <c r="E7" s="4" t="s">
        <v>9</v>
      </c>
      <c r="F7" s="5" t="str">
        <f>_xlfn.CONCAT("0x", DEC2HEX(C7, 3))</f>
        <v>0x051</v>
      </c>
      <c r="G7" s="4" t="s">
        <v>11</v>
      </c>
    </row>
    <row r="12" spans="2:7" x14ac:dyDescent="0.45">
      <c r="B12" s="2" t="s">
        <v>13</v>
      </c>
      <c r="C12" s="2"/>
      <c r="D12" s="2"/>
      <c r="E12" s="2"/>
      <c r="F12" s="2"/>
      <c r="G12" s="2"/>
    </row>
    <row r="13" spans="2:7" x14ac:dyDescent="0.45">
      <c r="B13" s="3" t="s">
        <v>3</v>
      </c>
      <c r="C13" s="4">
        <v>120</v>
      </c>
      <c r="D13" s="4" t="s">
        <v>0</v>
      </c>
      <c r="E13" s="4"/>
      <c r="F13" s="4"/>
      <c r="G13" s="4"/>
    </row>
    <row r="14" spans="2:7" x14ac:dyDescent="0.45">
      <c r="B14" s="3" t="s">
        <v>4</v>
      </c>
      <c r="C14" s="4">
        <v>50</v>
      </c>
      <c r="D14" s="4" t="s">
        <v>1</v>
      </c>
      <c r="E14" s="4"/>
      <c r="F14" s="4"/>
      <c r="G14" s="4"/>
    </row>
    <row r="15" spans="2:7" x14ac:dyDescent="0.45">
      <c r="B15" s="3" t="s">
        <v>5</v>
      </c>
      <c r="C15" s="4">
        <f>ROUND(C14*1000000/C13, 0)</f>
        <v>416667</v>
      </c>
      <c r="D15" s="4" t="s">
        <v>2</v>
      </c>
      <c r="E15" s="4" t="s">
        <v>10</v>
      </c>
      <c r="F15" s="4"/>
      <c r="G15" s="4"/>
    </row>
    <row r="16" spans="2:7" x14ac:dyDescent="0.45">
      <c r="B16" s="3" t="s">
        <v>6</v>
      </c>
      <c r="C16" s="4">
        <f>_xlfn.BITAND(C15, 4095)</f>
        <v>2971</v>
      </c>
      <c r="D16" s="4" t="s">
        <v>2</v>
      </c>
      <c r="E16" s="4" t="s">
        <v>8</v>
      </c>
      <c r="F16" s="5" t="str">
        <f>_xlfn.CONCAT("0x", DEC2HEX(C16, 3))</f>
        <v>0xB9B</v>
      </c>
      <c r="G16" s="4" t="s">
        <v>11</v>
      </c>
    </row>
    <row r="17" spans="2:7" x14ac:dyDescent="0.45">
      <c r="B17" s="3" t="s">
        <v>7</v>
      </c>
      <c r="C17" s="4">
        <f>_xlfn.BITRSHIFT(C15, 12)</f>
        <v>101</v>
      </c>
      <c r="D17" s="4" t="s">
        <v>2</v>
      </c>
      <c r="E17" s="4" t="s">
        <v>9</v>
      </c>
      <c r="F17" s="5" t="str">
        <f>_xlfn.CONCAT("0x", DEC2HEX(C17, 3))</f>
        <v>0x065</v>
      </c>
      <c r="G17" s="4" t="s">
        <v>11</v>
      </c>
    </row>
    <row r="22" spans="2:7" x14ac:dyDescent="0.45">
      <c r="B22" s="2" t="s">
        <v>14</v>
      </c>
      <c r="C22" s="2"/>
      <c r="D22" s="2"/>
      <c r="E22" s="2"/>
      <c r="F22" s="2"/>
      <c r="G22" s="2"/>
    </row>
    <row r="23" spans="2:7" x14ac:dyDescent="0.45">
      <c r="B23" s="3" t="s">
        <v>3</v>
      </c>
      <c r="C23" s="4">
        <v>120</v>
      </c>
      <c r="D23" s="4" t="s">
        <v>0</v>
      </c>
      <c r="E23" s="4"/>
      <c r="F23" s="4"/>
      <c r="G23" s="4"/>
    </row>
    <row r="24" spans="2:7" x14ac:dyDescent="0.45">
      <c r="B24" s="3" t="s">
        <v>4</v>
      </c>
      <c r="C24" s="4">
        <v>60</v>
      </c>
      <c r="D24" s="4" t="s">
        <v>1</v>
      </c>
      <c r="E24" s="4"/>
      <c r="F24" s="4"/>
      <c r="G24" s="4"/>
    </row>
    <row r="25" spans="2:7" x14ac:dyDescent="0.45">
      <c r="B25" s="3" t="s">
        <v>5</v>
      </c>
      <c r="C25" s="4">
        <f>ROUND(C24*1000000/C23, 0)</f>
        <v>500000</v>
      </c>
      <c r="D25" s="4" t="s">
        <v>2</v>
      </c>
      <c r="E25" s="4" t="s">
        <v>10</v>
      </c>
      <c r="F25" s="4"/>
      <c r="G25" s="4"/>
    </row>
    <row r="26" spans="2:7" x14ac:dyDescent="0.45">
      <c r="B26" s="3" t="s">
        <v>6</v>
      </c>
      <c r="C26" s="4">
        <f>_xlfn.BITAND(C25, 4095)</f>
        <v>288</v>
      </c>
      <c r="D26" s="4" t="s">
        <v>2</v>
      </c>
      <c r="E26" s="4" t="s">
        <v>8</v>
      </c>
      <c r="F26" s="5" t="str">
        <f>_xlfn.CONCAT("0x", DEC2HEX(C26, 3))</f>
        <v>0x120</v>
      </c>
      <c r="G26" s="4" t="s">
        <v>11</v>
      </c>
    </row>
    <row r="27" spans="2:7" x14ac:dyDescent="0.45">
      <c r="B27" s="3" t="s">
        <v>7</v>
      </c>
      <c r="C27" s="4">
        <f>_xlfn.BITRSHIFT(C25, 12)</f>
        <v>122</v>
      </c>
      <c r="D27" s="4" t="s">
        <v>2</v>
      </c>
      <c r="E27" s="4" t="s">
        <v>9</v>
      </c>
      <c r="F27" s="5" t="str">
        <f>_xlfn.CONCAT("0x", DEC2HEX(C27, 3))</f>
        <v>0x07A</v>
      </c>
      <c r="G27" s="4" t="s">
        <v>11</v>
      </c>
    </row>
  </sheetData>
  <mergeCells count="3">
    <mergeCell ref="B2:G2"/>
    <mergeCell ref="B12:G12"/>
    <mergeCell ref="B22:G2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2026-07-03T04:39:14Z</dcterms:created>
  <dcterms:modified xsi:type="dcterms:W3CDTF">2026-07-03T04:54:16Z</dcterms:modified>
</cp:coreProperties>
</file>