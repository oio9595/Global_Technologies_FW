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5E653566-D174-40AE-B890-8DE3AB90C4ED}" xr6:coauthVersionLast="47" xr6:coauthVersionMax="47" xr10:uidLastSave="{00000000-0000-0000-0000-000000000000}"/>
  <bookViews>
    <workbookView xWindow="4840" yWindow="1960" windowWidth="33320" windowHeight="17420" xr2:uid="{00000000-000D-0000-FFFF-FFFF00000000}"/>
  </bookViews>
  <sheets>
    <sheet name="Test_Plan" sheetId="2" r:id="rId1"/>
    <sheet name="Clk_설정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3" l="1"/>
</calcChain>
</file>

<file path=xl/sharedStrings.xml><?xml version="1.0" encoding="utf-8"?>
<sst xmlns="http://schemas.openxmlformats.org/spreadsheetml/2006/main" count="329" uniqueCount="223">
  <si>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</si>
  <si>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</si>
  <si>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</si>
  <si>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</si>
  <si>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</si>
  <si>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</si>
  <si>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</si>
  <si>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</si>
  <si>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</si>
  <si>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</si>
  <si>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</si>
  <si>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</si>
  <si>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VDD OFF/ON wait time</t>
    <phoneticPr fontId="3" type="noConversion"/>
  </si>
  <si>
    <t>VDD 0 -&gt; 3.3V
wait time &gt; 20msec</t>
    <phoneticPr fontId="3" type="noConversion"/>
  </si>
  <si>
    <t>-</t>
    <phoneticPr fontId="3" type="noConversion"/>
  </si>
  <si>
    <t>Common 
Register setting</t>
    <phoneticPr fontId="3" type="noConversion"/>
  </si>
  <si>
    <t>1.5V LDO(DIGITAL)</t>
    <phoneticPr fontId="3" type="noConversion"/>
  </si>
  <si>
    <t>LDOO(38)</t>
    <phoneticPr fontId="3" type="noConversion"/>
  </si>
  <si>
    <t>1.5V</t>
    <phoneticPr fontId="3" type="noConversion"/>
  </si>
  <si>
    <t>Loaded with 1uF</t>
    <phoneticPr fontId="3" type="noConversion"/>
  </si>
  <si>
    <t>Voltage</t>
    <phoneticPr fontId="3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</si>
  <si>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3" type="noConversion"/>
  </si>
  <si>
    <t>Voltage = 1.5V</t>
    <phoneticPr fontId="3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</si>
  <si>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3" type="noConversion"/>
  </si>
  <si>
    <t>3.0V DAC</t>
    <phoneticPr fontId="3" type="noConversion"/>
  </si>
  <si>
    <t>DACO1(47)</t>
    <phoneticPr fontId="3" type="noConversion"/>
  </si>
  <si>
    <t>3.0V</t>
    <phoneticPr fontId="3" type="noConversion"/>
  </si>
  <si>
    <t>High - Z</t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</si>
  <si>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3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</si>
  <si>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3" type="noConversion"/>
  </si>
  <si>
    <t>Voltage = 3.0V</t>
    <phoneticPr fontId="3" type="noConversion"/>
  </si>
  <si>
    <t>DAC1 OFS</t>
    <phoneticPr fontId="3" type="noConversion"/>
  </si>
  <si>
    <t>146.5mV</t>
    <phoneticPr fontId="3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</si>
  <si>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3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</si>
  <si>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3" type="noConversion"/>
  </si>
  <si>
    <t>DAC2 OFS</t>
    <phoneticPr fontId="3" type="noConversion"/>
  </si>
  <si>
    <t>DACO2(43)</t>
    <phoneticPr fontId="3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</si>
  <si>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3" type="noConversion"/>
  </si>
  <si>
    <t>DAC3 OFS</t>
    <phoneticPr fontId="3" type="noConversion"/>
  </si>
  <si>
    <t>DACO3(39)</t>
    <phoneticPr fontId="3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</si>
  <si>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3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</si>
  <si>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3" type="noConversion"/>
  </si>
  <si>
    <t>1.5V LDO(OSC_A)</t>
    <phoneticPr fontId="3" type="noConversion"/>
  </si>
  <si>
    <t>TESTA(40)</t>
    <phoneticPr fontId="3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</si>
  <si>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3" type="noConversion"/>
  </si>
  <si>
    <t>OSC_A</t>
    <phoneticPr fontId="3" type="noConversion"/>
  </si>
  <si>
    <t>Frequency</t>
    <phoneticPr fontId="3" type="noConversion"/>
  </si>
  <si>
    <t>OSC_B</t>
    <phoneticPr fontId="3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</si>
  <si>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3" type="noConversion"/>
  </si>
  <si>
    <t>eFuse Write</t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</si>
  <si>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</si>
  <si>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</si>
  <si>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</si>
  <si>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</si>
  <si>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ALL PIN(N)</t>
    <phoneticPr fontId="3" type="noConversion"/>
  </si>
  <si>
    <t>Current</t>
    <phoneticPr fontId="3" type="noConversion"/>
  </si>
  <si>
    <t>+10nA / - 2nA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</si>
  <si>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</si>
  <si>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</si>
  <si>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</si>
  <si>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</si>
  <si>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SCAN MODE</t>
    <phoneticPr fontId="3" type="noConversion"/>
  </si>
  <si>
    <t>별도조건</t>
    <phoneticPr fontId="3" type="noConversion"/>
  </si>
  <si>
    <t>IDDQ_A</t>
    <phoneticPr fontId="3" type="noConversion"/>
  </si>
  <si>
    <t>IDDQ_D</t>
    <phoneticPr fontId="3" type="noConversion"/>
  </si>
  <si>
    <t>VDD1P5</t>
    <phoneticPr fontId="3" type="noConversion"/>
  </si>
  <si>
    <t>TBD</t>
    <phoneticPr fontId="3" type="noConversion"/>
  </si>
  <si>
    <t>SCAN TEST</t>
    <phoneticPr fontId="3" type="noConversion"/>
  </si>
  <si>
    <t>별도 조건</t>
    <phoneticPr fontId="3" type="noConversion"/>
  </si>
  <si>
    <t>NORMAL MODE</t>
    <phoneticPr fontId="3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</si>
  <si>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</si>
  <si>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</si>
  <si>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</si>
  <si>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</si>
  <si>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3" type="noConversion"/>
  </si>
  <si>
    <t>Voltage = Target</t>
  </si>
  <si>
    <t>1.5V LDO_A(FLL_A)</t>
    <phoneticPr fontId="3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</si>
  <si>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3" type="noConversion"/>
  </si>
  <si>
    <t>1.5V LDO_B(FLL_B)</t>
    <phoneticPr fontId="3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</si>
  <si>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3" type="noConversion"/>
  </si>
  <si>
    <t>FLL_A</t>
    <phoneticPr fontId="3" type="noConversion"/>
  </si>
  <si>
    <t>± 0.5%</t>
    <phoneticPr fontId="3" type="noConversion"/>
  </si>
  <si>
    <t>FLL_B</t>
    <phoneticPr fontId="3" type="noConversion"/>
  </si>
  <si>
    <t>UVOV(1P5)</t>
    <phoneticPr fontId="3" type="noConversion"/>
  </si>
  <si>
    <t>Flag</t>
    <phoneticPr fontId="3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</si>
  <si>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3" type="noConversion"/>
  </si>
  <si>
    <t>UVOV(VDD)</t>
    <phoneticPr fontId="3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</si>
  <si>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3" type="noConversion"/>
  </si>
  <si>
    <t>HVS</t>
    <phoneticPr fontId="3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</si>
  <si>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3" type="noConversion"/>
  </si>
  <si>
    <t>Function TEST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</si>
  <si>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</si>
  <si>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</si>
  <si>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</si>
  <si>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</si>
  <si>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</si>
  <si>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t xml:space="preserve">TESTA(40) </t>
    <phoneticPr fontId="3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</si>
  <si>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3" type="noConversion"/>
  </si>
  <si>
    <t>SVO9(16)</t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</si>
  <si>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</si>
  <si>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</si>
  <si>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</si>
  <si>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3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</si>
  <si>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3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</si>
  <si>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3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</si>
  <si>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3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</si>
  <si>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3" type="noConversion"/>
  </si>
  <si>
    <t>DAC(1,2,3)
3Point</t>
    <phoneticPr fontId="3" type="noConversion"/>
  </si>
  <si>
    <t>DACO1(47)
DACO2(43)
DACO3(39)</t>
    <phoneticPr fontId="3" type="noConversion"/>
  </si>
  <si>
    <t>± 2%</t>
    <phoneticPr fontId="3" type="noConversion"/>
  </si>
  <si>
    <t>P1 = 3 * 200 / 4095 = 146.5mV
P2 = 3 * 1000 / 4095 = 732.6mV
P3 = 3 * 3000 / 4095 = 2197.8mV</t>
    <phoneticPr fontId="3" type="noConversion"/>
  </si>
  <si>
    <t>P1 = 146.5mV
P2 = 732.6mV
P3 = 2197.8mV</t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</si>
  <si>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</si>
  <si>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t>TEST_ANA_EN[2:0]</t>
    <phoneticPr fontId="3" type="noConversion"/>
  </si>
  <si>
    <t>NC</t>
    <phoneticPr fontId="3" type="noConversion"/>
  </si>
  <si>
    <t>UVOV_TEST_1P5</t>
    <phoneticPr fontId="3" type="noConversion"/>
  </si>
  <si>
    <t>UVOV_TEST_5P0</t>
    <phoneticPr fontId="3" type="noConversion"/>
  </si>
  <si>
    <t>!BN_2U_TEST</t>
    <phoneticPr fontId="3" type="noConversion"/>
  </si>
  <si>
    <t>OSCLDO1P5_B</t>
    <phoneticPr fontId="3" type="noConversion"/>
  </si>
  <si>
    <t>OSCLDO1P5_A</t>
    <phoneticPr fontId="3" type="noConversion"/>
  </si>
  <si>
    <t>NET NAME</t>
    <phoneticPr fontId="3" type="noConversion"/>
  </si>
  <si>
    <t>DESRIPTION</t>
    <phoneticPr fontId="3" type="noConversion"/>
  </si>
  <si>
    <t>Test input 1.5V UVOV</t>
    <phoneticPr fontId="3" type="noConversion"/>
  </si>
  <si>
    <t>Test input 5V UVOV</t>
    <phoneticPr fontId="3" type="noConversion"/>
  </si>
  <si>
    <t>Test output 2uA BGR Current</t>
    <phoneticPr fontId="3" type="noConversion"/>
  </si>
  <si>
    <t>Test output OSC LDO 1.5V (B)</t>
    <phoneticPr fontId="3" type="noConversion"/>
  </si>
  <si>
    <t>Test output OSC LDO 1.5V (A)</t>
    <phoneticPr fontId="3" type="noConversion"/>
  </si>
  <si>
    <t>전원 인가후 아무 행동도 하지 않은 시점</t>
    <phoneticPr fontId="3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</si>
  <si>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3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</si>
  <si>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 xml:space="preserve">.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</si>
  <si>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phoneticPr fontId="3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</si>
  <si>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(0x19[13]) / UV15 (0x19[12])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</t>
    </r>
    <phoneticPr fontId="3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</si>
  <si>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(0x19[15]) / UV15 (0x19[14])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
*T2 테스트의 경우 O_TEST_ANA_EN[2:0]을
3'd 7로 세팅 필요 *</t>
    </r>
    <phoneticPr fontId="3" type="noConversion"/>
  </si>
  <si>
    <r>
      <t xml:space="preserve">SCAN MODE </t>
    </r>
    <r>
      <rPr>
        <sz val="11"/>
        <rFont val="맑은 고딕"/>
        <family val="2"/>
        <charset val="129"/>
      </rPr>
      <t xml:space="preserve">진입 후 </t>
    </r>
    <r>
      <rPr>
        <sz val="11"/>
        <rFont val="Calibri"/>
        <family val="2"/>
      </rPr>
      <t xml:space="preserve">VDD </t>
    </r>
    <r>
      <rPr>
        <sz val="11"/>
        <rFont val="맑은 고딕"/>
        <family val="2"/>
        <charset val="129"/>
      </rPr>
      <t>전류 측정</t>
    </r>
    <phoneticPr fontId="3" type="noConversion"/>
  </si>
  <si>
    <r>
      <t xml:space="preserve">SCAN MODE </t>
    </r>
    <r>
      <rPr>
        <sz val="11"/>
        <rFont val="맑은 고딕"/>
        <family val="2"/>
        <charset val="129"/>
      </rPr>
      <t>진입 후 외부인가 1.5V 전류 측정</t>
    </r>
    <phoneticPr fontId="3" type="noConversion"/>
  </si>
  <si>
    <r>
      <t xml:space="preserve">Write </t>
    </r>
    <r>
      <rPr>
        <b/>
        <sz val="11"/>
        <rFont val="맑은 고딕"/>
        <family val="2"/>
        <charset val="129"/>
      </rPr>
      <t xml:space="preserve">시점에만 </t>
    </r>
    <r>
      <rPr>
        <b/>
        <sz val="11"/>
        <rFont val="Calibri"/>
        <family val="2"/>
      </rPr>
      <t>VDD = 5.5V</t>
    </r>
    <phoneticPr fontId="3" type="noConversion"/>
  </si>
  <si>
    <r>
      <t>LDOI : LDOO short
TEST =</t>
    </r>
    <r>
      <rPr>
        <b/>
        <sz val="11"/>
        <rFont val="Calibri"/>
        <family val="2"/>
      </rPr>
      <t xml:space="preserve"> 0V</t>
    </r>
    <phoneticPr fontId="3" type="noConversion"/>
  </si>
  <si>
    <r>
      <t xml:space="preserve">LDOI : LDOO open
LDOI = 1.5V input
TEST = </t>
    </r>
    <r>
      <rPr>
        <b/>
        <sz val="11"/>
        <rFont val="Calibri"/>
        <family val="2"/>
      </rPr>
      <t>VDD</t>
    </r>
    <phoneticPr fontId="3" type="noConversion"/>
  </si>
  <si>
    <t>1.09375MHz</t>
    <phoneticPr fontId="3" type="noConversion"/>
  </si>
  <si>
    <t>30M/32 = 0.9375M
35M/32 = 1.09375M
40M/32 = 1.25M</t>
    <phoneticPr fontId="3" type="noConversion"/>
  </si>
  <si>
    <t>VSYNCI(3) = 120Hz</t>
    <phoneticPr fontId="3" type="noConversion"/>
  </si>
  <si>
    <t>**TESTA**
T0 = 1V
T1 = 1.5V
T2 = 2V</t>
    <phoneticPr fontId="3" type="noConversion"/>
  </si>
  <si>
    <r>
      <t xml:space="preserve">**TESTA**
T0 = 2.5V
T1 = 3.3V
T2 = 3.3V + O_TEST_ANA_EN[2:0] = </t>
    </r>
    <r>
      <rPr>
        <b/>
        <sz val="11"/>
        <rFont val="Calibri"/>
        <family val="2"/>
      </rPr>
      <t>3'd 7</t>
    </r>
    <phoneticPr fontId="3" type="noConversion"/>
  </si>
  <si>
    <r>
      <t>*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출력 은 별도 세팅을 통해
D1(50)Pin에서 출력을 확인해야됨*
</t>
    </r>
    <r>
      <rPr>
        <sz val="11"/>
        <color rgb="FFFF0000"/>
        <rFont val="Calibri"/>
        <family val="2"/>
      </rPr>
      <t xml:space="preserve">Register </t>
    </r>
    <r>
      <rPr>
        <sz val="11"/>
        <color rgb="FFFF0000"/>
        <rFont val="맑은 고딕"/>
        <family val="2"/>
        <charset val="129"/>
      </rPr>
      <t>이름과 달리 출력은 1/32 분주</t>
    </r>
    <phoneticPr fontId="3" type="noConversion"/>
  </si>
  <si>
    <t>별도 운용 시나리오 적용 필요</t>
    <phoneticPr fontId="3" type="noConversion"/>
  </si>
  <si>
    <r>
      <t xml:space="preserve">* </t>
    </r>
    <r>
      <rPr>
        <sz val="11"/>
        <color theme="2" tint="-0.249977111117893"/>
        <rFont val="맑은 고딕"/>
        <family val="2"/>
        <charset val="129"/>
      </rPr>
      <t xml:space="preserve">계산식 *
목표주파수 / 120 (VSYNC주파수)
= CNT값 (10진수)
</t>
    </r>
    <phoneticPr fontId="3" type="noConversion"/>
  </si>
  <si>
    <r>
      <rPr>
        <b/>
        <sz val="11"/>
        <color theme="2" tint="-0.249977111117893"/>
        <rFont val="Calibri"/>
        <family val="2"/>
      </rPr>
      <t>1/32</t>
    </r>
    <r>
      <rPr>
        <sz val="11"/>
        <color theme="2" tint="-0.249977111117893"/>
        <rFont val="Calibri"/>
        <family val="2"/>
      </rPr>
      <t xml:space="preserve"> divider</t>
    </r>
    <phoneticPr fontId="3" type="noConversion"/>
  </si>
  <si>
    <r>
      <t xml:space="preserve">TEST_EN = 1'b1
MCLK64_O = 1'b1
MCLK_SEL = 1'b1
</t>
    </r>
    <r>
      <rPr>
        <b/>
        <sz val="11"/>
        <color theme="2" tint="-0.249977111117893"/>
        <rFont val="Calibri"/>
        <family val="2"/>
      </rPr>
      <t>0xF0 : 8003</t>
    </r>
    <r>
      <rPr>
        <sz val="11"/>
        <color theme="2" tint="-0.249977111117893"/>
        <rFont val="Calibri"/>
        <family val="2"/>
      </rPr>
      <t xml:space="preserve">
OSC_MAN_EN_A
</t>
    </r>
    <r>
      <rPr>
        <b/>
        <sz val="11"/>
        <color theme="2" tint="-0.249977111117893"/>
        <rFont val="Calibri"/>
        <family val="2"/>
      </rPr>
      <t>0x65 : 8010 (default)
OSC_</t>
    </r>
    <r>
      <rPr>
        <sz val="11"/>
        <color theme="2" tint="-0.249977111117893"/>
        <rFont val="Calibri"/>
        <family val="2"/>
      </rPr>
      <t xml:space="preserve">FLL_MAN_A[15:0]
</t>
    </r>
    <r>
      <rPr>
        <b/>
        <sz val="11"/>
        <color theme="2" tint="-0.249977111117893"/>
        <rFont val="Calibri"/>
        <family val="2"/>
      </rPr>
      <t>0x66 : 8000 (default)</t>
    </r>
    <phoneticPr fontId="3" type="noConversion"/>
  </si>
  <si>
    <r>
      <t xml:space="preserve">osc_rctl[4:0]
</t>
    </r>
    <r>
      <rPr>
        <b/>
        <sz val="11"/>
        <color theme="2" tint="-0.249977111117893"/>
        <rFont val="Calibri"/>
        <family val="2"/>
      </rPr>
      <t>0xF8:[4:0]</t>
    </r>
    <phoneticPr fontId="3" type="noConversion"/>
  </si>
  <si>
    <r>
      <t xml:space="preserve">Freq = 1.09375MHz
</t>
    </r>
    <r>
      <rPr>
        <sz val="11"/>
        <color theme="2" tint="-0.249977111117893"/>
        <rFont val="Cambria Math"/>
        <family val="3"/>
      </rPr>
      <t>≒</t>
    </r>
    <r>
      <rPr>
        <sz val="9.35"/>
        <color theme="2" tint="-0.249977111117893"/>
        <rFont val="Calibri"/>
        <family val="2"/>
      </rPr>
      <t xml:space="preserve"> 35 / 32 = 1.09375MHz</t>
    </r>
    <phoneticPr fontId="3" type="noConversion"/>
  </si>
  <si>
    <r>
      <t>*</t>
    </r>
    <r>
      <rPr>
        <sz val="11"/>
        <color theme="2" tint="-0.249977111117893"/>
        <rFont val="맑은 고딕"/>
        <family val="2"/>
        <charset val="129"/>
      </rPr>
      <t xml:space="preserve">현재 </t>
    </r>
    <r>
      <rPr>
        <sz val="11"/>
        <color theme="2" tint="-0.249977111117893"/>
        <rFont val="Calibri"/>
        <family val="2"/>
      </rPr>
      <t xml:space="preserve">version </t>
    </r>
    <r>
      <rPr>
        <sz val="11"/>
        <color theme="2" tint="-0.249977111117893"/>
        <rFont val="맑은 고딕"/>
        <family val="2"/>
        <charset val="129"/>
      </rPr>
      <t xml:space="preserve">상 </t>
    </r>
    <r>
      <rPr>
        <sz val="11"/>
        <color theme="2" tint="-0.249977111117893"/>
        <rFont val="Calibri"/>
        <family val="2"/>
      </rPr>
      <t>FLL</t>
    </r>
    <r>
      <rPr>
        <sz val="11"/>
        <color theme="2" tint="-0.249977111117893"/>
        <rFont val="맑은 고딕"/>
        <family val="2"/>
        <charset val="129"/>
      </rPr>
      <t xml:space="preserve">출력 은 별도 세팅을 통해
D1(50)Pin에서 출력을 확인해야됨*
</t>
    </r>
    <r>
      <rPr>
        <sz val="11"/>
        <color theme="2" tint="-0.249977111117893"/>
        <rFont val="Calibri"/>
        <family val="2"/>
      </rPr>
      <t xml:space="preserve">Register </t>
    </r>
    <r>
      <rPr>
        <sz val="11"/>
        <color theme="2" tint="-0.249977111117893"/>
        <rFont val="맑은 고딕"/>
        <family val="2"/>
        <charset val="129"/>
      </rPr>
      <t>이름과 달리 출력은 1/32 분주</t>
    </r>
    <phoneticPr fontId="3" type="noConversion"/>
  </si>
  <si>
    <r>
      <t xml:space="preserve">* </t>
    </r>
    <r>
      <rPr>
        <sz val="11"/>
        <color theme="2" tint="-0.249977111117893"/>
        <rFont val="맑은 고딕"/>
        <family val="2"/>
        <charset val="129"/>
      </rPr>
      <t xml:space="preserve">현재 </t>
    </r>
    <r>
      <rPr>
        <sz val="11"/>
        <color theme="2" tint="-0.249977111117893"/>
        <rFont val="Calibri"/>
        <family val="2"/>
      </rPr>
      <t xml:space="preserve">version </t>
    </r>
    <r>
      <rPr>
        <sz val="11"/>
        <color theme="2" tint="-0.249977111117893"/>
        <rFont val="맑은 고딕"/>
        <family val="2"/>
        <charset val="129"/>
      </rPr>
      <t xml:space="preserve">상 </t>
    </r>
    <r>
      <rPr>
        <sz val="11"/>
        <color theme="2" tint="-0.249977111117893"/>
        <rFont val="Calibri"/>
        <family val="2"/>
      </rPr>
      <t>FLL_A</t>
    </r>
    <r>
      <rPr>
        <sz val="11"/>
        <color theme="2" tint="-0.249977111117893"/>
        <rFont val="맑은 고딕"/>
        <family val="2"/>
        <charset val="129"/>
      </rPr>
      <t xml:space="preserve">는 </t>
    </r>
    <r>
      <rPr>
        <sz val="11"/>
        <color theme="2" tint="-0.249977111117893"/>
        <rFont val="Calibri"/>
        <family val="2"/>
      </rPr>
      <t>FLL</t>
    </r>
    <r>
      <rPr>
        <sz val="11"/>
        <color theme="2" tint="-0.249977111117893"/>
        <rFont val="맑은 고딕"/>
        <family val="2"/>
        <charset val="129"/>
      </rPr>
      <t xml:space="preserve">로 구동불가*
</t>
    </r>
    <r>
      <rPr>
        <sz val="11"/>
        <color theme="2" tint="-0.249977111117893"/>
        <rFont val="Calibri"/>
        <family val="2"/>
      </rPr>
      <t xml:space="preserve">FLL1_EN = 1'd : 0 
</t>
    </r>
    <r>
      <rPr>
        <b/>
        <sz val="11"/>
        <color theme="2" tint="-0.249977111117893"/>
        <rFont val="Calibri"/>
        <family val="2"/>
      </rPr>
      <t>0x38 : 0</t>
    </r>
    <r>
      <rPr>
        <sz val="11"/>
        <color theme="2" tint="-0.249977111117893"/>
        <rFont val="맑은 고딕"/>
        <family val="2"/>
        <charset val="129"/>
      </rPr>
      <t xml:space="preserve">
</t>
    </r>
    <r>
      <rPr>
        <sz val="11"/>
        <color theme="2" tint="-0.249977111117893"/>
        <rFont val="Calibri"/>
        <family val="2"/>
      </rPr>
      <t xml:space="preserve">OSC_MAN_EN_A
</t>
    </r>
    <r>
      <rPr>
        <b/>
        <sz val="11"/>
        <color theme="2" tint="-0.249977111117893"/>
        <rFont val="Calibri"/>
        <family val="2"/>
      </rPr>
      <t>0x65 : 8010 (default)</t>
    </r>
    <r>
      <rPr>
        <sz val="11"/>
        <color theme="2" tint="-0.249977111117893"/>
        <rFont val="Calibri"/>
        <family val="2"/>
      </rPr>
      <t xml:space="preserve">
OSC_FLL_MAN_A[15:0]
</t>
    </r>
    <r>
      <rPr>
        <b/>
        <sz val="11"/>
        <color theme="2" tint="-0.249977111117893"/>
        <rFont val="Calibri"/>
        <family val="2"/>
      </rPr>
      <t>0x66 : 8000 (default)</t>
    </r>
    <phoneticPr fontId="3" type="noConversion"/>
  </si>
  <si>
    <t>CDC 주의</t>
    <phoneticPr fontId="30" type="noConversion"/>
  </si>
  <si>
    <t>CLK 관련설정</t>
    <phoneticPr fontId="30" type="noConversion"/>
  </si>
  <si>
    <t>연결 block</t>
    <phoneticPr fontId="30" type="noConversion"/>
  </si>
  <si>
    <t>EXT_MCLK
(MCLK 인가)</t>
    <phoneticPr fontId="30" type="noConversion"/>
  </si>
  <si>
    <t>channel out
spread</t>
    <phoneticPr fontId="30" type="noConversion"/>
  </si>
  <si>
    <t>OSC 1
공통</t>
    <phoneticPr fontId="30" type="noConversion"/>
  </si>
  <si>
    <t>OSC 2
공통
( MCLK open )</t>
    <phoneticPr fontId="30" type="noConversion"/>
  </si>
  <si>
    <t>OSC1_SPREAD_EN</t>
    <phoneticPr fontId="30" type="noConversion"/>
  </si>
  <si>
    <t>FLL1</t>
    <phoneticPr fontId="30" type="noConversion"/>
  </si>
  <si>
    <t>OSC2_SPREAD_EN</t>
    <phoneticPr fontId="30" type="noConversion"/>
  </si>
  <si>
    <t>FLL2</t>
    <phoneticPr fontId="30" type="noConversion"/>
  </si>
  <si>
    <t>SPREAD1_SPD</t>
    <phoneticPr fontId="30" type="noConversion"/>
  </si>
  <si>
    <t>SPREAD2_SPD</t>
    <phoneticPr fontId="30" type="noConversion"/>
  </si>
  <si>
    <t>SPRD1_GAIN</t>
    <phoneticPr fontId="30" type="noConversion"/>
  </si>
  <si>
    <t>SPRD2_GAIN</t>
    <phoneticPr fontId="30" type="noConversion"/>
  </si>
  <si>
    <t>OPT_CLK_SEL</t>
    <phoneticPr fontId="30" type="noConversion"/>
  </si>
  <si>
    <t>opt_clk</t>
    <phoneticPr fontId="30" type="noConversion"/>
  </si>
  <si>
    <t>osc2</t>
    <phoneticPr fontId="30" type="noConversion"/>
  </si>
  <si>
    <t>mclk</t>
    <phoneticPr fontId="30" type="noConversion"/>
  </si>
  <si>
    <t>x</t>
    <phoneticPr fontId="30" type="noConversion"/>
  </si>
  <si>
    <r>
      <t xml:space="preserve">LD_RD_CLK_SEL </t>
    </r>
    <r>
      <rPr>
        <sz val="11"/>
        <color theme="8" tint="0.39997558519241921"/>
        <rFont val="맑은 고딕"/>
        <family val="3"/>
        <charset val="129"/>
        <scheme val="minor"/>
      </rPr>
      <t>[11]</t>
    </r>
    <phoneticPr fontId="30" type="noConversion"/>
  </si>
  <si>
    <t>LD_buffer - ch_if</t>
    <phoneticPr fontId="30" type="noConversion"/>
  </si>
  <si>
    <t>osc1</t>
    <phoneticPr fontId="30" type="noConversion"/>
  </si>
  <si>
    <r>
      <t>SERIALIZE_CLK_SEL</t>
    </r>
    <r>
      <rPr>
        <sz val="11"/>
        <color theme="8" tint="0.39997558519241921"/>
        <rFont val="맑은 고딕"/>
        <family val="3"/>
        <charset val="129"/>
        <scheme val="minor"/>
      </rPr>
      <t xml:space="preserve"> [3]</t>
    </r>
    <phoneticPr fontId="30" type="noConversion"/>
  </si>
  <si>
    <t>ch_if</t>
    <phoneticPr fontId="30" type="noConversion"/>
  </si>
  <si>
    <t>SVO_CLK_SEL</t>
    <phoneticPr fontId="30" type="noConversion"/>
  </si>
  <si>
    <t>SVO</t>
    <phoneticPr fontId="30" type="noConversion"/>
  </si>
  <si>
    <t>OSC 2 를 꺼내는 법</t>
    <phoneticPr fontId="30" type="noConversion"/>
  </si>
  <si>
    <t>address</t>
    <phoneticPr fontId="30" type="noConversion"/>
  </si>
  <si>
    <t>data</t>
    <phoneticPr fontId="30" type="noConversion"/>
  </si>
  <si>
    <t>SW reset</t>
    <phoneticPr fontId="30" type="noConversion"/>
  </si>
  <si>
    <t>-</t>
    <phoneticPr fontId="30" type="noConversion"/>
  </si>
  <si>
    <t>OSC2 클럭 통일</t>
    <phoneticPr fontId="30" type="noConversion"/>
  </si>
  <si>
    <t>0x1B</t>
    <phoneticPr fontId="30" type="noConversion"/>
  </si>
  <si>
    <t>0x0808</t>
    <phoneticPr fontId="30" type="noConversion"/>
  </si>
  <si>
    <t>MCLK(Mhz)</t>
    <phoneticPr fontId="30" type="noConversion"/>
  </si>
  <si>
    <t>32분주 clk 계산 (us)</t>
    <phoneticPr fontId="30" type="noConversion"/>
  </si>
  <si>
    <t>Serial Hi/Low 를 1:1 로 설정한다 ( 32분주의 경우 16,16 으로 설정 )</t>
    <phoneticPr fontId="30" type="noConversion"/>
  </si>
  <si>
    <t>0x1D</t>
    <phoneticPr fontId="30" type="noConversion"/>
  </si>
  <si>
    <t>0x1010</t>
    <phoneticPr fontId="30" type="noConversion"/>
  </si>
  <si>
    <t>Channel 을 켠다</t>
    <phoneticPr fontId="30" type="noConversion"/>
  </si>
  <si>
    <t>0x35</t>
    <phoneticPr fontId="30" type="noConversion"/>
  </si>
  <si>
    <t>0x0001</t>
    <phoneticPr fontId="30" type="noConversion"/>
  </si>
  <si>
    <t>daisy_dev_ch_size 를 &gt;0 으로 설정한다</t>
    <phoneticPr fontId="30" type="noConversion"/>
  </si>
  <si>
    <t>0x20</t>
    <phoneticPr fontId="30" type="noConversion"/>
  </si>
  <si>
    <t>0x001F</t>
    <phoneticPr fontId="30" type="noConversion"/>
  </si>
  <si>
    <t>Block size 를 &gt;0 으로 설정한다</t>
    <phoneticPr fontId="30" type="noConversion"/>
  </si>
  <si>
    <t>0x31</t>
    <phoneticPr fontId="30" type="noConversion"/>
  </si>
  <si>
    <t>0x00FF</t>
    <phoneticPr fontId="30" type="noConversion"/>
  </si>
  <si>
    <t>DIO 의 출력 CLK 을 확인한다</t>
    <phoneticPr fontId="30" type="noConversion"/>
  </si>
  <si>
    <t>0x06</t>
    <phoneticPr fontId="30" type="noConversion"/>
  </si>
  <si>
    <t>0x8000</t>
    <phoneticPr fontId="30" type="noConversion"/>
  </si>
  <si>
    <t xml:space="preserve"> DIO 에서 출력한 clk 에서 x32 하면 MCLK 주파수 입니다.</t>
    <phoneticPr fontId="30" type="noConversion"/>
  </si>
  <si>
    <t>Vsync (&gt;120Hz) 마다 6번을 반복</t>
    <phoneticPr fontId="30" type="noConversion"/>
  </si>
  <si>
    <r>
      <t xml:space="preserve"> 수식으로는 </t>
    </r>
    <r>
      <rPr>
        <b/>
        <sz val="11"/>
        <color theme="1"/>
        <rFont val="맑은 고딕"/>
        <family val="3"/>
        <charset val="129"/>
        <scheme val="minor"/>
      </rPr>
      <t>MCLK = DIO CLK x 32</t>
    </r>
    <phoneticPr fontId="30" type="noConversion"/>
  </si>
  <si>
    <t>&lt;simulation 예제&gt;</t>
    <phoneticPr fontId="30" type="noConversion"/>
  </si>
  <si>
    <t>OSC2 주파수 trim 방법</t>
    <phoneticPr fontId="30" type="noConversion"/>
  </si>
  <si>
    <t>1. Vsync 와 Vsync 사이 중간 지점에서 DIO 출력된 CLK 의 주기를 측정한다</t>
    <phoneticPr fontId="30" type="noConversion"/>
  </si>
  <si>
    <t>2. 해당 클럭 주기 정보를 최소 100회 이상 average 한다</t>
    <phoneticPr fontId="30" type="noConversion"/>
  </si>
  <si>
    <t>3. 상기 결과 값이 원하는 값이 되도록 trim register 를 조정한다 ( trim register 상세정보는 XCR_TEST_PLAN 문서 참조 )</t>
    <phoneticPr fontId="30" type="noConversion"/>
  </si>
  <si>
    <t>OSC1 주파수 trim 방법</t>
    <phoneticPr fontId="30" type="noConversion"/>
  </si>
  <si>
    <t>1. SVO9 로 MCLK 을 분주하지 않고 출력시킨다 ( 0xF0 : 0x80120 )</t>
    <phoneticPr fontId="30" type="noConversion"/>
  </si>
  <si>
    <t>2. 측정 방법은 기존 XC24 와 동일한 방법을 사용한다</t>
    <phoneticPr fontId="30" type="noConversion"/>
  </si>
  <si>
    <r>
      <t xml:space="preserve">TEST_EN = 1'b1
MCLK64_O = 1'd : 1
MCLK1_O = 1'd : 0
MCLK_SEL = 1'd 1
</t>
    </r>
    <r>
      <rPr>
        <b/>
        <sz val="11"/>
        <color theme="2" tint="-0.249977111117893"/>
        <rFont val="Calibri"/>
        <family val="2"/>
      </rPr>
      <t>0xF0 : 8003</t>
    </r>
    <r>
      <rPr>
        <sz val="11"/>
        <color theme="2" tint="-0.249977111117893"/>
        <rFont val="Calibri"/>
        <family val="2"/>
      </rPr>
      <t xml:space="preserve">
OSC_MAN_EN_A = 1'd : 0
FLT_GAIN_A[1:0] = 2'd : 2
</t>
    </r>
    <r>
      <rPr>
        <b/>
        <sz val="11"/>
        <color theme="2" tint="-0.249977111117893"/>
        <rFont val="Calibri"/>
        <family val="2"/>
      </rPr>
      <t xml:space="preserve">0x65 : 12
</t>
    </r>
    <r>
      <rPr>
        <sz val="11"/>
        <color theme="2" tint="-0.249977111117893"/>
        <rFont val="Calibri"/>
        <family val="2"/>
      </rPr>
      <t>FLL1_EN = 1'd : 1
FLLSYNC = 1'd : 0 (default)</t>
    </r>
    <r>
      <rPr>
        <b/>
        <sz val="11"/>
        <color theme="2" tint="-0.249977111117893"/>
        <rFont val="Calibri"/>
        <family val="2"/>
      </rPr>
      <t xml:space="preserve">
</t>
    </r>
    <r>
      <rPr>
        <sz val="11"/>
        <color theme="2" tint="-0.249977111117893"/>
        <rFont val="Calibri"/>
        <family val="2"/>
      </rPr>
      <t xml:space="preserve">FLL1CNT[20:0] = 21'd 250000 (30M)
</t>
    </r>
    <r>
      <rPr>
        <b/>
        <sz val="11"/>
        <color theme="2" tint="-0.249977111117893"/>
        <rFont val="Calibri"/>
        <family val="2"/>
      </rPr>
      <t>0x37 : D090
0x38 : B003</t>
    </r>
    <r>
      <rPr>
        <sz val="11"/>
        <color theme="2" tint="-0.249977111117893"/>
        <rFont val="Calibri"/>
        <family val="2"/>
      </rPr>
      <t xml:space="preserve">
FLL1CNT[20:0] = 21'd 291667 (35M)
</t>
    </r>
    <r>
      <rPr>
        <b/>
        <sz val="11"/>
        <color theme="2" tint="-0.249977111117893"/>
        <rFont val="Calibri"/>
        <family val="2"/>
      </rPr>
      <t xml:space="preserve">0x37 : 7353
0x38 : B004
</t>
    </r>
    <r>
      <rPr>
        <sz val="11"/>
        <color theme="2" tint="-0.249977111117893"/>
        <rFont val="Calibri"/>
        <family val="2"/>
      </rPr>
      <t>FLL1CNT[20:0] = 21'd 333333 (40M)</t>
    </r>
    <r>
      <rPr>
        <b/>
        <sz val="11"/>
        <color theme="2" tint="-0.249977111117893"/>
        <rFont val="Calibri"/>
        <family val="2"/>
      </rPr>
      <t xml:space="preserve">
0x37 : 1615
0x38 : B005</t>
    </r>
    <phoneticPr fontId="3" type="noConversion"/>
  </si>
  <si>
    <r>
      <rPr>
        <sz val="11"/>
        <color theme="2" tint="-0.249977111117893"/>
        <rFont val="Calibri"/>
        <family val="2"/>
      </rPr>
      <t>1.09375MHz</t>
    </r>
    <r>
      <rPr>
        <sz val="11"/>
        <color rgb="FFFF0000"/>
        <rFont val="Calibri"/>
        <family val="2"/>
      </rPr>
      <t xml:space="preserve">
(</t>
    </r>
    <r>
      <rPr>
        <sz val="11"/>
        <color rgb="FFFF0000"/>
        <rFont val="맑은 고딕"/>
        <family val="2"/>
        <charset val="129"/>
      </rPr>
      <t>임시로 1</t>
    </r>
    <r>
      <rPr>
        <sz val="11"/>
        <color rgb="FFFF0000"/>
        <rFont val="Calibri"/>
        <family val="2"/>
      </rPr>
      <t xml:space="preserve">X </t>
    </r>
    <r>
      <rPr>
        <sz val="11"/>
        <color rgb="FFFF0000"/>
        <rFont val="맑은 고딕"/>
        <family val="2"/>
        <charset val="129"/>
      </rPr>
      <t>출력 35</t>
    </r>
    <r>
      <rPr>
        <sz val="11"/>
        <color rgb="FFFF0000"/>
        <rFont val="Calibri"/>
        <family val="2"/>
      </rPr>
      <t xml:space="preserve">M </t>
    </r>
    <r>
      <rPr>
        <sz val="11"/>
        <color rgb="FFFF0000"/>
        <rFont val="맑은 고딕"/>
        <family val="2"/>
        <charset val="129"/>
      </rPr>
      <t>로 테스트 진행)</t>
    </r>
    <phoneticPr fontId="3" type="noConversion"/>
  </si>
  <si>
    <r>
      <t xml:space="preserve">SVO9(16)
</t>
    </r>
    <r>
      <rPr>
        <sz val="11"/>
        <color rgb="FFFF0000"/>
        <rFont val="맑은 고딕"/>
        <family val="2"/>
        <charset val="129"/>
      </rPr>
      <t xml:space="preserve">임시 </t>
    </r>
    <r>
      <rPr>
        <sz val="11"/>
        <color rgb="FFFF0000"/>
        <rFont val="Calibri"/>
        <family val="2"/>
      </rPr>
      <t>D1(50)</t>
    </r>
    <phoneticPr fontId="3" type="noConversion"/>
  </si>
  <si>
    <r>
      <rPr>
        <b/>
        <sz val="11"/>
        <rFont val="Calibri"/>
        <family val="2"/>
      </rPr>
      <t>1/32</t>
    </r>
    <r>
      <rPr>
        <sz val="11"/>
        <rFont val="Calibri"/>
        <family val="2"/>
      </rPr>
      <t xml:space="preserve"> divider</t>
    </r>
    <phoneticPr fontId="3" type="noConversion"/>
  </si>
  <si>
    <r>
      <t xml:space="preserve">Signed magnitude
</t>
    </r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r>
      <rPr>
        <sz val="11"/>
        <rFont val="Calibri"/>
        <family val="2"/>
      </rPr>
      <t xml:space="preserve">
offset 1step = 3 / 4095 V</t>
    </r>
    <phoneticPr fontId="3" type="noConversion"/>
  </si>
  <si>
    <r>
      <t xml:space="preserve">TEST_EN = 1'b1 
MCLK64_O = 1'd : 1
MCLK1_O = 1'd : 0
MCLK_SEL = 1'd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</t>
    </r>
    <r>
      <rPr>
        <b/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FLT_GAIN_B[1:0] = 2'd : 2</t>
    </r>
    <r>
      <rPr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0x67 : 12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FLL2_EN = 1'd : 1
</t>
    </r>
    <r>
      <rPr>
        <sz val="11"/>
        <rFont val="Calibri"/>
        <family val="2"/>
      </rPr>
      <t>FLLSYNC = 1'd : 0 (default)</t>
    </r>
    <r>
      <rPr>
        <sz val="11"/>
        <color theme="1"/>
        <rFont val="Calibri"/>
        <family val="2"/>
      </rPr>
      <t xml:space="preserve">
FLL2CNT[20:0] = 21'd 250000 (30M)
</t>
    </r>
    <r>
      <rPr>
        <b/>
        <sz val="11"/>
        <color theme="1"/>
        <rFont val="Calibri"/>
        <family val="2"/>
      </rPr>
      <t xml:space="preserve">0x39 : D090
</t>
    </r>
    <r>
      <rPr>
        <b/>
        <sz val="11"/>
        <rFont val="Calibri"/>
        <family val="2"/>
      </rPr>
      <t>0x3A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</t>
    </r>
    <r>
      <rPr>
        <b/>
        <sz val="11"/>
        <rFont val="Calibri"/>
        <family val="2"/>
      </rPr>
      <t>0x3A : B004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 xml:space="preserve">0x39 : 1615
</t>
    </r>
    <r>
      <rPr>
        <b/>
        <sz val="11"/>
        <rFont val="Calibri"/>
        <family val="2"/>
      </rPr>
      <t>0x3A : B005</t>
    </r>
    <phoneticPr fontId="3" type="noConversion"/>
  </si>
  <si>
    <r>
      <rPr>
        <sz val="11"/>
        <color theme="2" tint="-0.249977111117893"/>
        <rFont val="Calibri"/>
        <family val="2"/>
      </rPr>
      <t>*</t>
    </r>
    <r>
      <rPr>
        <sz val="11"/>
        <color theme="2" tint="-0.249977111117893"/>
        <rFont val="맑은 고딕"/>
        <family val="2"/>
        <charset val="129"/>
      </rPr>
      <t xml:space="preserve">현재 </t>
    </r>
    <r>
      <rPr>
        <sz val="11"/>
        <color theme="2" tint="-0.249977111117893"/>
        <rFont val="Calibri"/>
        <family val="2"/>
      </rPr>
      <t xml:space="preserve">version </t>
    </r>
    <r>
      <rPr>
        <sz val="11"/>
        <color theme="2" tint="-0.249977111117893"/>
        <rFont val="맑은 고딕"/>
        <family val="2"/>
        <charset val="129"/>
      </rPr>
      <t xml:space="preserve">상 </t>
    </r>
    <r>
      <rPr>
        <sz val="11"/>
        <color theme="2" tint="-0.249977111117893"/>
        <rFont val="Calibri"/>
        <family val="2"/>
      </rPr>
      <t>FLL</t>
    </r>
    <r>
      <rPr>
        <sz val="11"/>
        <color theme="2" tint="-0.249977111117893"/>
        <rFont val="맑은 고딕"/>
        <family val="2"/>
        <charset val="129"/>
      </rPr>
      <t xml:space="preserve">출력 은 별도 세팅을 통해
D1(50)Pin에서 출력을 확인해야됨*
</t>
    </r>
    <r>
      <rPr>
        <sz val="11"/>
        <color rgb="FFFF0000"/>
        <rFont val="맑은 고딕"/>
        <family val="2"/>
        <charset val="129"/>
      </rPr>
      <t xml:space="preserve">
</t>
    </r>
    <r>
      <rPr>
        <sz val="11"/>
        <color theme="2" tint="-0.249977111117893"/>
        <rFont val="Calibri"/>
        <family val="2"/>
      </rPr>
      <t xml:space="preserve">Register </t>
    </r>
    <r>
      <rPr>
        <sz val="11"/>
        <color theme="2" tint="-0.249977111117893"/>
        <rFont val="맑은 고딕"/>
        <family val="2"/>
        <charset val="129"/>
      </rPr>
      <t>이름과 달리 출력은 1/32 분주</t>
    </r>
    <phoneticPr fontId="3" type="noConversion"/>
  </si>
  <si>
    <r>
      <t xml:space="preserve">TEST_EN = 1'b1
</t>
    </r>
    <r>
      <rPr>
        <sz val="11"/>
        <color theme="2" tint="-0.249977111117893"/>
        <rFont val="Calibri"/>
        <family val="2"/>
      </rPr>
      <t xml:space="preserve">MCLK64_O = 1'b1
</t>
    </r>
    <r>
      <rPr>
        <sz val="11"/>
        <color rgb="FFFF0000"/>
        <rFont val="Calibri"/>
        <family val="2"/>
      </rPr>
      <t>MCLK64_O = 1'b0(</t>
    </r>
    <r>
      <rPr>
        <sz val="11"/>
        <color rgb="FFFF0000"/>
        <rFont val="맑은 고딕"/>
        <family val="2"/>
        <charset val="129"/>
      </rPr>
      <t>임시)</t>
    </r>
    <r>
      <rPr>
        <sz val="11"/>
        <color theme="1"/>
        <rFont val="Calibri"/>
        <family val="2"/>
      </rPr>
      <t xml:space="preserve">
</t>
    </r>
    <r>
      <rPr>
        <sz val="11"/>
        <color theme="2" tint="-0.249977111117893"/>
        <rFont val="Calibri"/>
        <family val="2"/>
      </rPr>
      <t xml:space="preserve">MCLK_SEL = 1'b0
</t>
    </r>
    <r>
      <rPr>
        <b/>
        <sz val="11"/>
        <color theme="2" tint="-0.249977111117893"/>
        <rFont val="Calibri"/>
        <family val="2"/>
      </rPr>
      <t xml:space="preserve">0xF0 : 8001
</t>
    </r>
    <r>
      <rPr>
        <b/>
        <sz val="11"/>
        <color rgb="FFFF0000"/>
        <rFont val="Calibri"/>
        <family val="2"/>
      </rPr>
      <t>0xF0 : 8000(</t>
    </r>
    <r>
      <rPr>
        <b/>
        <sz val="11"/>
        <color rgb="FFFF0000"/>
        <rFont val="맑은 고딕"/>
        <family val="2"/>
        <charset val="129"/>
      </rPr>
      <t>임시)</t>
    </r>
    <r>
      <rPr>
        <b/>
        <sz val="11"/>
        <color theme="2" tint="-0.249977111117893"/>
        <rFont val="Calibri"/>
        <family val="2"/>
      </rPr>
      <t xml:space="preserve">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</si>
</sst>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theme="2" tint="-0.249977111117893"/>
      <name val="Calibri"/>
      <family val="2"/>
    </font>
    <font>
      <b/>
      <sz val="11"/>
      <color theme="2" tint="-0.249977111117893"/>
      <name val="Calibri"/>
      <family val="2"/>
    </font>
    <font>
      <sz val="11"/>
      <color theme="2" tint="-0.249977111117893"/>
      <name val="맑은 고딕"/>
      <family val="2"/>
      <charset val="129"/>
    </font>
    <font>
      <sz val="11"/>
      <color theme="2" tint="-0.249977111117893"/>
      <name val="Cambria Math"/>
      <family val="3"/>
    </font>
    <font>
      <sz val="9.35"/>
      <color theme="2" tint="-0.249977111117893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theme="8" tint="0.3999755851924192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7" fillId="4" borderId="10" xfId="0" quotePrefix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29" fillId="0" borderId="0" xfId="1" applyFont="1">
      <alignment vertical="center"/>
    </xf>
    <xf numFmtId="0" fontId="1" fillId="0" borderId="0" xfId="1" applyAlignment="1">
      <alignment vertical="center" wrapText="1"/>
    </xf>
    <xf numFmtId="0" fontId="31" fillId="5" borderId="0" xfId="1" applyFont="1" applyFill="1" applyAlignment="1">
      <alignment vertical="center" wrapText="1"/>
    </xf>
    <xf numFmtId="0" fontId="32" fillId="5" borderId="0" xfId="1" applyFont="1" applyFill="1">
      <alignment vertical="center"/>
    </xf>
    <xf numFmtId="0" fontId="33" fillId="0" borderId="0" xfId="1" applyFont="1">
      <alignment vertical="center"/>
    </xf>
    <xf numFmtId="0" fontId="1" fillId="0" borderId="0" xfId="1" applyAlignment="1">
      <alignment horizontal="center" vertical="center"/>
    </xf>
    <xf numFmtId="0" fontId="35" fillId="0" borderId="0" xfId="1" applyFont="1">
      <alignment vertical="center"/>
    </xf>
    <xf numFmtId="0" fontId="36" fillId="0" borderId="0" xfId="1" applyFont="1">
      <alignment vertical="center"/>
    </xf>
    <xf numFmtId="0" fontId="37" fillId="5" borderId="0" xfId="1" applyFont="1" applyFill="1">
      <alignment vertical="center"/>
    </xf>
    <xf numFmtId="0" fontId="1" fillId="0" borderId="0" xfId="1" quotePrefix="1">
      <alignment vertical="center"/>
    </xf>
    <xf numFmtId="176" fontId="1" fillId="0" borderId="0" xfId="1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2">
    <cellStyle name="표준" xfId="0" builtinId="0"/>
    <cellStyle name="표준 2" xfId="1" xr:uid="{C036222C-A7ED-4B88-A764-C2DE1A549D4A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662214</xdr:colOff>
      <xdr:row>11</xdr:row>
      <xdr:rowOff>1052286</xdr:rowOff>
    </xdr:from>
    <xdr:to>
      <xdr:col>26</xdr:col>
      <xdr:colOff>660021</xdr:colOff>
      <xdr:row>12</xdr:row>
      <xdr:rowOff>1546792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DFC3B4-C1D3-4732-A981-8385915EC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9214" y="9670143"/>
          <a:ext cx="10293879" cy="219086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28</xdr:row>
      <xdr:rowOff>0</xdr:rowOff>
    </xdr:from>
    <xdr:ext cx="8674546" cy="5112013"/>
    <xdr:pic>
      <xdr:nvPicPr>
        <xdr:cNvPr id="2" name="그림 1">
          <a:extLst>
            <a:ext uri="{FF2B5EF4-FFF2-40B4-BE49-F238E27FC236}">
              <a16:creationId xmlns:a16="http://schemas.microsoft.com/office/drawing/2014/main" id="{AC2158D6-6AB7-402F-B930-807CD908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600" y="6819900"/>
          <a:ext cx="8674546" cy="51120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3"/>
  <sheetViews>
    <sheetView tabSelected="1" topLeftCell="A30" zoomScale="70" zoomScaleNormal="70" workbookViewId="0">
      <selection activeCell="F31" sqref="F31"/>
    </sheetView>
  </sheetViews>
  <sheetFormatPr defaultRowHeight="17" x14ac:dyDescent="0.45"/>
  <cols>
    <col min="1" max="1" width="12.33203125" customWidth="1"/>
    <col min="2" max="2" width="18.1640625" bestFit="1" customWidth="1"/>
    <col min="3" max="3" width="16.25" customWidth="1"/>
    <col min="4" max="4" width="27.1640625" bestFit="1" customWidth="1"/>
    <col min="5" max="5" width="16.25" customWidth="1"/>
    <col min="6" max="6" width="33.6640625" customWidth="1"/>
    <col min="7" max="7" width="14.4140625" customWidth="1"/>
    <col min="8" max="8" width="24.4140625" bestFit="1" customWidth="1"/>
    <col min="9" max="9" width="17.33203125" customWidth="1"/>
    <col min="10" max="10" width="41.08203125" customWidth="1"/>
    <col min="11" max="11" width="25.5" customWidth="1"/>
    <col min="12" max="12" width="31.5" customWidth="1"/>
    <col min="13" max="13" width="51.16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123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124"/>
      <c r="C4" s="5"/>
      <c r="D4" s="6" t="s">
        <v>12</v>
      </c>
      <c r="E4" s="7"/>
      <c r="F4" s="7"/>
      <c r="G4" s="7"/>
      <c r="H4" s="7"/>
      <c r="I4" s="7"/>
      <c r="J4" s="70" t="s">
        <v>13</v>
      </c>
      <c r="K4" s="7"/>
      <c r="L4" s="7"/>
      <c r="M4" s="8"/>
    </row>
    <row r="5" spans="1:13" ht="110" customHeight="1" thickBot="1" x14ac:dyDescent="0.5">
      <c r="B5" s="124"/>
      <c r="C5" s="5" t="s">
        <v>14</v>
      </c>
      <c r="D5" s="6" t="s">
        <v>15</v>
      </c>
      <c r="E5" s="7"/>
      <c r="F5" s="7"/>
      <c r="G5" s="7"/>
      <c r="H5" s="7"/>
      <c r="I5" s="7"/>
      <c r="J5" s="70" t="s">
        <v>106</v>
      </c>
      <c r="K5" s="7"/>
      <c r="L5" s="7"/>
      <c r="M5" s="8"/>
    </row>
    <row r="6" spans="1:13" ht="37" customHeight="1" x14ac:dyDescent="0.45">
      <c r="B6" s="124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1" t="s">
        <v>14</v>
      </c>
      <c r="K6" s="12" t="s">
        <v>21</v>
      </c>
      <c r="L6" s="11" t="s">
        <v>22</v>
      </c>
      <c r="M6" s="13" t="s">
        <v>23</v>
      </c>
    </row>
    <row r="7" spans="1:13" ht="86" customHeight="1" x14ac:dyDescent="0.45">
      <c r="A7" s="14"/>
      <c r="B7" s="124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2" t="s">
        <v>28</v>
      </c>
      <c r="K7" s="17" t="s">
        <v>29</v>
      </c>
      <c r="L7" s="16" t="s">
        <v>30</v>
      </c>
      <c r="M7" s="97" t="s">
        <v>129</v>
      </c>
    </row>
    <row r="8" spans="1:13" ht="101.5" x14ac:dyDescent="0.45">
      <c r="A8" s="14"/>
      <c r="B8" s="124"/>
      <c r="C8" s="15">
        <v>3</v>
      </c>
      <c r="D8" s="16" t="s">
        <v>31</v>
      </c>
      <c r="E8" s="16" t="s">
        <v>25</v>
      </c>
      <c r="F8" s="16" t="s">
        <v>32</v>
      </c>
      <c r="G8" s="16">
        <v>3.3</v>
      </c>
      <c r="H8" s="74" t="s">
        <v>140</v>
      </c>
      <c r="I8" s="16" t="s">
        <v>20</v>
      </c>
      <c r="J8" s="72" t="s">
        <v>99</v>
      </c>
      <c r="K8" s="17" t="s">
        <v>33</v>
      </c>
      <c r="L8" s="17" t="s">
        <v>34</v>
      </c>
      <c r="M8" s="99" t="s">
        <v>219</v>
      </c>
    </row>
    <row r="9" spans="1:13" ht="101.5" x14ac:dyDescent="0.45">
      <c r="A9" s="14"/>
      <c r="B9" s="124"/>
      <c r="C9" s="15">
        <v>4</v>
      </c>
      <c r="D9" s="16" t="s">
        <v>35</v>
      </c>
      <c r="E9" s="16" t="s">
        <v>36</v>
      </c>
      <c r="F9" s="16" t="s">
        <v>32</v>
      </c>
      <c r="G9" s="16">
        <v>3.3</v>
      </c>
      <c r="H9" s="74" t="s">
        <v>140</v>
      </c>
      <c r="I9" s="16" t="s">
        <v>20</v>
      </c>
      <c r="J9" s="72" t="s">
        <v>100</v>
      </c>
      <c r="K9" s="17" t="s">
        <v>37</v>
      </c>
      <c r="L9" s="17" t="s">
        <v>34</v>
      </c>
      <c r="M9" s="99" t="s">
        <v>219</v>
      </c>
    </row>
    <row r="10" spans="1:13" ht="101.5" x14ac:dyDescent="0.45">
      <c r="A10" s="14"/>
      <c r="B10" s="124"/>
      <c r="C10" s="15">
        <v>5</v>
      </c>
      <c r="D10" s="16" t="s">
        <v>38</v>
      </c>
      <c r="E10" s="16" t="s">
        <v>39</v>
      </c>
      <c r="F10" s="16" t="s">
        <v>32</v>
      </c>
      <c r="G10" s="16">
        <v>3.3</v>
      </c>
      <c r="H10" s="74" t="s">
        <v>140</v>
      </c>
      <c r="I10" s="16" t="s">
        <v>20</v>
      </c>
      <c r="J10" s="72" t="s">
        <v>101</v>
      </c>
      <c r="K10" s="17" t="s">
        <v>40</v>
      </c>
      <c r="L10" s="17" t="s">
        <v>41</v>
      </c>
      <c r="M10" s="99" t="s">
        <v>219</v>
      </c>
    </row>
    <row r="11" spans="1:13" ht="58" x14ac:dyDescent="0.45">
      <c r="A11" s="14"/>
      <c r="B11" s="124"/>
      <c r="C11" s="15">
        <v>6</v>
      </c>
      <c r="D11" s="16" t="s">
        <v>42</v>
      </c>
      <c r="E11" s="16" t="s">
        <v>43</v>
      </c>
      <c r="F11" s="16" t="s">
        <v>18</v>
      </c>
      <c r="G11" s="16">
        <v>3.3</v>
      </c>
      <c r="H11" s="16" t="s">
        <v>27</v>
      </c>
      <c r="I11" s="16" t="s">
        <v>20</v>
      </c>
      <c r="J11" s="72" t="s">
        <v>102</v>
      </c>
      <c r="K11" s="17" t="s">
        <v>44</v>
      </c>
      <c r="L11" s="16" t="s">
        <v>22</v>
      </c>
      <c r="M11" s="18"/>
    </row>
    <row r="12" spans="1:13" ht="133.5" customHeight="1" x14ac:dyDescent="0.45">
      <c r="A12" s="14"/>
      <c r="B12" s="124"/>
      <c r="C12" s="106">
        <v>7</v>
      </c>
      <c r="D12" s="107" t="s">
        <v>45</v>
      </c>
      <c r="E12" s="107" t="s">
        <v>98</v>
      </c>
      <c r="F12" s="107" t="s">
        <v>138</v>
      </c>
      <c r="G12" s="107">
        <v>3.3</v>
      </c>
      <c r="H12" s="107" t="s">
        <v>146</v>
      </c>
      <c r="I12" s="107" t="s">
        <v>46</v>
      </c>
      <c r="J12" s="110" t="s">
        <v>147</v>
      </c>
      <c r="K12" s="108" t="s">
        <v>148</v>
      </c>
      <c r="L12" s="108" t="s">
        <v>149</v>
      </c>
      <c r="M12" s="109" t="s">
        <v>150</v>
      </c>
    </row>
    <row r="13" spans="1:13" ht="156.5" customHeight="1" x14ac:dyDescent="0.45">
      <c r="A13" s="14"/>
      <c r="B13" s="124"/>
      <c r="C13" s="15">
        <v>8</v>
      </c>
      <c r="D13" s="16" t="s">
        <v>47</v>
      </c>
      <c r="E13" s="16" t="s">
        <v>98</v>
      </c>
      <c r="F13" s="48" t="s">
        <v>216</v>
      </c>
      <c r="G13" s="16">
        <v>3.3</v>
      </c>
      <c r="H13" s="74" t="s">
        <v>218</v>
      </c>
      <c r="I13" s="16" t="s">
        <v>46</v>
      </c>
      <c r="J13" s="72" t="s">
        <v>222</v>
      </c>
      <c r="K13" s="17" t="s">
        <v>48</v>
      </c>
      <c r="L13" s="108" t="s">
        <v>149</v>
      </c>
      <c r="M13" s="19" t="s">
        <v>221</v>
      </c>
    </row>
    <row r="14" spans="1:13" ht="17.5" thickBot="1" x14ac:dyDescent="0.5">
      <c r="B14" s="125"/>
      <c r="C14" s="20">
        <v>9</v>
      </c>
      <c r="D14" s="21" t="s">
        <v>49</v>
      </c>
      <c r="E14" s="21"/>
      <c r="F14" s="21"/>
      <c r="G14" s="22">
        <v>3.3</v>
      </c>
      <c r="H14" s="21"/>
      <c r="I14" s="21"/>
      <c r="J14" s="21" t="s">
        <v>50</v>
      </c>
      <c r="K14" s="21"/>
      <c r="L14" s="21"/>
      <c r="M14" s="104" t="s">
        <v>135</v>
      </c>
    </row>
    <row r="15" spans="1:13" x14ac:dyDescent="0.45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17.5" thickBot="1" x14ac:dyDescent="0.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 ht="17.5" customHeight="1" thickBot="1" x14ac:dyDescent="0.5">
      <c r="B17" s="123" t="s">
        <v>51</v>
      </c>
      <c r="C17" s="5" t="s">
        <v>1</v>
      </c>
      <c r="D17" s="25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52</v>
      </c>
      <c r="L17" s="7" t="s">
        <v>10</v>
      </c>
      <c r="M17" s="8" t="s">
        <v>11</v>
      </c>
    </row>
    <row r="18" spans="2:13" ht="80" customHeight="1" thickBot="1" x14ac:dyDescent="0.5">
      <c r="B18" s="124"/>
      <c r="C18" s="5" t="s">
        <v>14</v>
      </c>
      <c r="D18" s="6" t="s">
        <v>15</v>
      </c>
      <c r="E18" s="7"/>
      <c r="F18" s="7"/>
      <c r="G18" s="7"/>
      <c r="H18" s="7"/>
      <c r="I18" s="7"/>
      <c r="J18" s="70" t="s">
        <v>14</v>
      </c>
      <c r="K18" s="7"/>
      <c r="L18" s="7"/>
      <c r="M18" s="8"/>
    </row>
    <row r="19" spans="2:13" x14ac:dyDescent="0.45">
      <c r="B19" s="124"/>
      <c r="C19" s="9">
        <v>1</v>
      </c>
      <c r="D19" s="10" t="s">
        <v>53</v>
      </c>
      <c r="E19" s="10" t="s">
        <v>54</v>
      </c>
      <c r="F19" s="26"/>
      <c r="G19" s="10">
        <v>3.3</v>
      </c>
      <c r="H19" s="10"/>
      <c r="I19" s="10" t="s">
        <v>55</v>
      </c>
      <c r="J19" s="10"/>
      <c r="K19" s="26" t="s">
        <v>56</v>
      </c>
      <c r="L19" s="27"/>
      <c r="M19" s="28"/>
    </row>
    <row r="20" spans="2:13" x14ac:dyDescent="0.45">
      <c r="B20" s="124"/>
      <c r="C20" s="15">
        <v>2</v>
      </c>
      <c r="D20" s="16" t="s">
        <v>57</v>
      </c>
      <c r="E20" s="16" t="s">
        <v>5</v>
      </c>
      <c r="F20" s="29"/>
      <c r="G20" s="16">
        <v>3.3</v>
      </c>
      <c r="H20" s="16" t="s">
        <v>58</v>
      </c>
      <c r="I20" s="16" t="s">
        <v>55</v>
      </c>
      <c r="J20" s="16"/>
      <c r="K20" s="16"/>
      <c r="L20" s="30"/>
      <c r="M20" s="100" t="s">
        <v>127</v>
      </c>
    </row>
    <row r="21" spans="2:13" ht="17.5" thickBot="1" x14ac:dyDescent="0.5">
      <c r="B21" s="124"/>
      <c r="C21" s="31">
        <v>3</v>
      </c>
      <c r="D21" s="32" t="s">
        <v>59</v>
      </c>
      <c r="E21" s="32" t="s">
        <v>5</v>
      </c>
      <c r="F21" s="33"/>
      <c r="G21" s="32">
        <v>3.3</v>
      </c>
      <c r="H21" s="32" t="s">
        <v>60</v>
      </c>
      <c r="I21" s="32" t="s">
        <v>55</v>
      </c>
      <c r="J21" s="32"/>
      <c r="K21" s="32"/>
      <c r="L21" s="34"/>
      <c r="M21" s="105" t="s">
        <v>144</v>
      </c>
    </row>
    <row r="22" spans="2:13" ht="44" thickBot="1" x14ac:dyDescent="0.5">
      <c r="B22" s="124"/>
      <c r="C22" s="35"/>
      <c r="D22" s="36" t="s">
        <v>61</v>
      </c>
      <c r="E22" s="36"/>
      <c r="F22" s="37"/>
      <c r="G22" s="36">
        <v>3.3</v>
      </c>
      <c r="H22" s="38" t="s">
        <v>137</v>
      </c>
      <c r="I22" s="36"/>
      <c r="J22" s="69"/>
      <c r="K22" s="36"/>
      <c r="L22" s="39"/>
      <c r="M22" s="101"/>
    </row>
    <row r="23" spans="2:13" x14ac:dyDescent="0.45">
      <c r="B23" s="126"/>
      <c r="C23" s="9">
        <v>4</v>
      </c>
      <c r="D23" s="10" t="s">
        <v>63</v>
      </c>
      <c r="E23" s="10" t="s">
        <v>5</v>
      </c>
      <c r="F23" s="26"/>
      <c r="G23" s="10">
        <v>3.3</v>
      </c>
      <c r="H23" s="10" t="s">
        <v>61</v>
      </c>
      <c r="I23" s="10" t="s">
        <v>55</v>
      </c>
      <c r="J23" s="10"/>
      <c r="K23" s="10"/>
      <c r="L23" s="27"/>
      <c r="M23" s="102" t="s">
        <v>133</v>
      </c>
    </row>
    <row r="24" spans="2:13" x14ac:dyDescent="0.45">
      <c r="B24" s="126"/>
      <c r="C24" s="15">
        <v>5</v>
      </c>
      <c r="D24" s="32" t="s">
        <v>64</v>
      </c>
      <c r="E24" s="40" t="s">
        <v>65</v>
      </c>
      <c r="F24" s="29"/>
      <c r="G24" s="16">
        <v>1.5</v>
      </c>
      <c r="H24" s="16" t="s">
        <v>61</v>
      </c>
      <c r="I24" s="16" t="s">
        <v>55</v>
      </c>
      <c r="J24" s="16"/>
      <c r="K24" s="16" t="s">
        <v>66</v>
      </c>
      <c r="L24" s="30"/>
      <c r="M24" s="103" t="s">
        <v>134</v>
      </c>
    </row>
    <row r="25" spans="2:13" ht="37" customHeight="1" thickBot="1" x14ac:dyDescent="0.5">
      <c r="B25" s="126"/>
      <c r="C25" s="41"/>
      <c r="D25" s="42" t="s">
        <v>67</v>
      </c>
      <c r="E25" s="43"/>
      <c r="F25" s="44"/>
      <c r="G25" s="42">
        <v>3.3</v>
      </c>
      <c r="H25" s="43"/>
      <c r="I25" s="42"/>
      <c r="J25" s="73" t="s">
        <v>68</v>
      </c>
      <c r="K25" s="42"/>
      <c r="L25" s="45"/>
      <c r="M25" s="46"/>
    </row>
    <row r="26" spans="2:13" ht="37" customHeight="1" x14ac:dyDescent="0.45">
      <c r="B26" s="126"/>
      <c r="C26" s="91"/>
      <c r="D26" s="92" t="s">
        <v>69</v>
      </c>
      <c r="E26" s="92"/>
      <c r="F26" s="93"/>
      <c r="G26" s="92">
        <v>3.3</v>
      </c>
      <c r="H26" s="94" t="s">
        <v>136</v>
      </c>
      <c r="I26" s="92"/>
      <c r="J26" s="95"/>
      <c r="K26" s="92"/>
      <c r="L26" s="96"/>
      <c r="M26" s="78"/>
    </row>
    <row r="27" spans="2:13" ht="29" x14ac:dyDescent="0.45">
      <c r="B27" s="126"/>
      <c r="C27" s="15">
        <v>6</v>
      </c>
      <c r="D27" s="16" t="s">
        <v>16</v>
      </c>
      <c r="E27" s="47" t="s">
        <v>70</v>
      </c>
      <c r="F27" s="47" t="s">
        <v>71</v>
      </c>
      <c r="G27" s="47">
        <v>3.3</v>
      </c>
      <c r="H27" s="16" t="s">
        <v>72</v>
      </c>
      <c r="I27" s="47" t="s">
        <v>73</v>
      </c>
      <c r="J27" s="17" t="s">
        <v>74</v>
      </c>
      <c r="K27" s="48"/>
      <c r="L27" s="47" t="s">
        <v>75</v>
      </c>
      <c r="M27" s="49"/>
    </row>
    <row r="28" spans="2:13" ht="43.5" x14ac:dyDescent="0.45">
      <c r="B28" s="126"/>
      <c r="C28" s="15">
        <v>7</v>
      </c>
      <c r="D28" s="16" t="s">
        <v>76</v>
      </c>
      <c r="E28" s="16" t="s">
        <v>43</v>
      </c>
      <c r="F28" s="16" t="s">
        <v>18</v>
      </c>
      <c r="G28" s="16">
        <v>3.3</v>
      </c>
      <c r="H28" s="16" t="s">
        <v>27</v>
      </c>
      <c r="I28" s="16" t="s">
        <v>20</v>
      </c>
      <c r="J28" s="17" t="s">
        <v>77</v>
      </c>
      <c r="K28" s="48"/>
      <c r="L28" s="16"/>
      <c r="M28" s="18"/>
    </row>
    <row r="29" spans="2:13" ht="43.5" x14ac:dyDescent="0.45">
      <c r="B29" s="126"/>
      <c r="C29" s="15">
        <v>8</v>
      </c>
      <c r="D29" s="16" t="s">
        <v>78</v>
      </c>
      <c r="E29" s="16" t="s">
        <v>43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79</v>
      </c>
      <c r="K29" s="48"/>
      <c r="L29" s="16"/>
      <c r="M29" s="18"/>
    </row>
    <row r="30" spans="2:13" ht="280.5" customHeight="1" x14ac:dyDescent="0.45">
      <c r="B30" s="126"/>
      <c r="C30" s="106">
        <v>9</v>
      </c>
      <c r="D30" s="107" t="s">
        <v>80</v>
      </c>
      <c r="E30" s="107" t="s">
        <v>98</v>
      </c>
      <c r="F30" s="108" t="s">
        <v>139</v>
      </c>
      <c r="G30" s="107">
        <v>3.3</v>
      </c>
      <c r="H30" s="107" t="s">
        <v>140</v>
      </c>
      <c r="I30" s="107" t="s">
        <v>46</v>
      </c>
      <c r="J30" s="108" t="s">
        <v>215</v>
      </c>
      <c r="K30" s="107" t="s">
        <v>81</v>
      </c>
      <c r="L30" s="108" t="s">
        <v>145</v>
      </c>
      <c r="M30" s="109" t="s">
        <v>151</v>
      </c>
    </row>
    <row r="31" spans="2:13" ht="296" customHeight="1" x14ac:dyDescent="0.45">
      <c r="B31" s="126"/>
      <c r="C31" s="15">
        <v>10</v>
      </c>
      <c r="D31" s="16" t="s">
        <v>82</v>
      </c>
      <c r="E31" s="108" t="s">
        <v>217</v>
      </c>
      <c r="F31" s="75" t="s">
        <v>139</v>
      </c>
      <c r="G31" s="16">
        <v>3.3</v>
      </c>
      <c r="H31" s="74" t="s">
        <v>140</v>
      </c>
      <c r="I31" s="16" t="s">
        <v>46</v>
      </c>
      <c r="J31" s="17" t="s">
        <v>220</v>
      </c>
      <c r="K31" s="74" t="s">
        <v>81</v>
      </c>
      <c r="L31" s="17" t="s">
        <v>97</v>
      </c>
      <c r="M31" s="19" t="s">
        <v>143</v>
      </c>
    </row>
    <row r="32" spans="2:13" ht="214" customHeight="1" x14ac:dyDescent="0.45">
      <c r="B32" s="126"/>
      <c r="C32" s="15">
        <v>11</v>
      </c>
      <c r="D32" s="17" t="s">
        <v>107</v>
      </c>
      <c r="E32" s="17" t="s">
        <v>108</v>
      </c>
      <c r="F32" s="17" t="s">
        <v>111</v>
      </c>
      <c r="G32" s="16">
        <v>3.3</v>
      </c>
      <c r="H32" s="74" t="s">
        <v>140</v>
      </c>
      <c r="I32" s="16" t="s">
        <v>20</v>
      </c>
      <c r="J32" s="72" t="s">
        <v>112</v>
      </c>
      <c r="K32" s="16" t="s">
        <v>109</v>
      </c>
      <c r="L32" s="17" t="s">
        <v>110</v>
      </c>
      <c r="M32" s="98" t="s">
        <v>130</v>
      </c>
    </row>
    <row r="33" spans="2:13" ht="119" customHeight="1" x14ac:dyDescent="0.45">
      <c r="B33" s="126"/>
      <c r="C33" s="15">
        <v>12</v>
      </c>
      <c r="D33" s="17" t="s">
        <v>83</v>
      </c>
      <c r="E33" s="16" t="s">
        <v>96</v>
      </c>
      <c r="F33" s="17" t="s">
        <v>128</v>
      </c>
      <c r="G33" s="17">
        <v>3.3</v>
      </c>
      <c r="H33" s="17" t="s">
        <v>141</v>
      </c>
      <c r="I33" s="47" t="s">
        <v>84</v>
      </c>
      <c r="J33" s="17" t="s">
        <v>104</v>
      </c>
      <c r="K33" s="50"/>
      <c r="L33" s="17" t="s">
        <v>85</v>
      </c>
      <c r="M33" s="99" t="s">
        <v>131</v>
      </c>
    </row>
    <row r="34" spans="2:13" ht="125" customHeight="1" thickBot="1" x14ac:dyDescent="0.5">
      <c r="B34" s="127"/>
      <c r="C34" s="41">
        <v>13</v>
      </c>
      <c r="D34" s="43" t="s">
        <v>86</v>
      </c>
      <c r="E34" s="42" t="s">
        <v>43</v>
      </c>
      <c r="F34" s="75" t="s">
        <v>103</v>
      </c>
      <c r="G34" s="43">
        <v>3.3</v>
      </c>
      <c r="H34" s="75" t="s">
        <v>142</v>
      </c>
      <c r="I34" s="51" t="s">
        <v>84</v>
      </c>
      <c r="J34" s="43" t="s">
        <v>105</v>
      </c>
      <c r="K34" s="52"/>
      <c r="L34" s="43" t="s">
        <v>87</v>
      </c>
      <c r="M34" s="99" t="s">
        <v>132</v>
      </c>
    </row>
    <row r="35" spans="2:13" ht="48" customHeight="1" thickBot="1" x14ac:dyDescent="0.5">
      <c r="B35" s="53" t="s">
        <v>88</v>
      </c>
      <c r="C35" s="54">
        <v>14</v>
      </c>
      <c r="D35" s="55" t="s">
        <v>88</v>
      </c>
      <c r="E35" s="56"/>
      <c r="F35" s="57"/>
      <c r="G35" s="55"/>
      <c r="H35" s="58"/>
      <c r="I35" s="59"/>
      <c r="J35" s="60" t="s">
        <v>89</v>
      </c>
      <c r="K35" s="56"/>
      <c r="L35" s="55"/>
      <c r="M35" s="61"/>
    </row>
    <row r="36" spans="2:13" ht="23.5" customHeight="1" thickBot="1" x14ac:dyDescent="0.5">
      <c r="B36" s="62" t="s">
        <v>90</v>
      </c>
      <c r="C36" s="35">
        <v>15</v>
      </c>
      <c r="D36" s="38" t="s">
        <v>90</v>
      </c>
      <c r="E36" s="63"/>
      <c r="F36" s="64" t="s">
        <v>91</v>
      </c>
      <c r="G36" s="36">
        <v>5.5</v>
      </c>
      <c r="H36" s="65"/>
      <c r="I36" s="63"/>
      <c r="J36" s="66" t="s">
        <v>62</v>
      </c>
      <c r="K36" s="63"/>
      <c r="L36" s="63"/>
      <c r="M36" s="67"/>
    </row>
    <row r="37" spans="2:13" ht="17" customHeight="1" x14ac:dyDescent="0.45">
      <c r="B37" s="128" t="s">
        <v>92</v>
      </c>
      <c r="C37" s="9">
        <v>16</v>
      </c>
      <c r="D37" s="10" t="s">
        <v>53</v>
      </c>
      <c r="E37" s="10" t="s">
        <v>54</v>
      </c>
      <c r="F37" s="26"/>
      <c r="G37" s="10">
        <v>3.3</v>
      </c>
      <c r="H37" s="10"/>
      <c r="I37" s="10" t="s">
        <v>55</v>
      </c>
      <c r="J37" s="10"/>
      <c r="K37" s="68" t="s">
        <v>93</v>
      </c>
      <c r="L37" s="76" t="s">
        <v>94</v>
      </c>
      <c r="M37" s="129" t="s">
        <v>95</v>
      </c>
    </row>
    <row r="38" spans="2:13" x14ac:dyDescent="0.45">
      <c r="B38" s="126"/>
      <c r="C38" s="15">
        <v>17</v>
      </c>
      <c r="D38" s="16" t="s">
        <v>57</v>
      </c>
      <c r="E38" s="16" t="s">
        <v>5</v>
      </c>
      <c r="F38" s="29"/>
      <c r="G38" s="16">
        <v>3.3</v>
      </c>
      <c r="H38" s="16" t="s">
        <v>58</v>
      </c>
      <c r="I38" s="16" t="s">
        <v>55</v>
      </c>
      <c r="J38" s="16"/>
      <c r="K38" s="17" t="s">
        <v>93</v>
      </c>
      <c r="L38" s="74" t="s">
        <v>94</v>
      </c>
      <c r="M38" s="130"/>
    </row>
    <row r="39" spans="2:13" x14ac:dyDescent="0.45">
      <c r="B39" s="126"/>
      <c r="C39" s="15">
        <v>18</v>
      </c>
      <c r="D39" s="16" t="s">
        <v>59</v>
      </c>
      <c r="E39" s="16" t="s">
        <v>5</v>
      </c>
      <c r="F39" s="29"/>
      <c r="G39" s="16">
        <v>3.3</v>
      </c>
      <c r="H39" s="16" t="s">
        <v>60</v>
      </c>
      <c r="I39" s="16" t="s">
        <v>55</v>
      </c>
      <c r="J39" s="16"/>
      <c r="K39" s="17" t="s">
        <v>93</v>
      </c>
      <c r="L39" s="74" t="s">
        <v>94</v>
      </c>
      <c r="M39" s="130"/>
    </row>
    <row r="40" spans="2:13" ht="17" customHeight="1" x14ac:dyDescent="0.45">
      <c r="B40" s="126"/>
      <c r="C40" s="15">
        <v>19</v>
      </c>
      <c r="D40" s="16" t="s">
        <v>63</v>
      </c>
      <c r="E40" s="16" t="s">
        <v>5</v>
      </c>
      <c r="F40" s="29"/>
      <c r="G40" s="16">
        <v>3.3</v>
      </c>
      <c r="H40" s="16" t="s">
        <v>61</v>
      </c>
      <c r="I40" s="16" t="s">
        <v>55</v>
      </c>
      <c r="J40" s="16"/>
      <c r="K40" s="17" t="s">
        <v>93</v>
      </c>
      <c r="L40" s="74" t="s">
        <v>94</v>
      </c>
      <c r="M40" s="130"/>
    </row>
    <row r="41" spans="2:13" ht="17.5" thickBot="1" x14ac:dyDescent="0.5">
      <c r="B41" s="127"/>
      <c r="C41" s="41">
        <v>20</v>
      </c>
      <c r="D41" s="42" t="s">
        <v>64</v>
      </c>
      <c r="E41" s="43" t="s">
        <v>65</v>
      </c>
      <c r="F41" s="44"/>
      <c r="G41" s="42">
        <v>1.5</v>
      </c>
      <c r="H41" s="42" t="s">
        <v>61</v>
      </c>
      <c r="I41" s="42" t="s">
        <v>55</v>
      </c>
      <c r="J41" s="42"/>
      <c r="K41" s="43" t="s">
        <v>93</v>
      </c>
      <c r="L41" s="77" t="s">
        <v>94</v>
      </c>
      <c r="M41" s="131"/>
    </row>
    <row r="43" spans="2:13" ht="17.5" thickBot="1" x14ac:dyDescent="0.5"/>
    <row r="44" spans="2:13" ht="17.5" thickBot="1" x14ac:dyDescent="0.5">
      <c r="B44" s="85" t="s">
        <v>113</v>
      </c>
      <c r="C44" s="86" t="s">
        <v>120</v>
      </c>
      <c r="D44" s="87" t="s">
        <v>121</v>
      </c>
    </row>
    <row r="45" spans="2:13" x14ac:dyDescent="0.45">
      <c r="B45" s="88">
        <v>0</v>
      </c>
      <c r="C45" s="89" t="s">
        <v>114</v>
      </c>
      <c r="D45" s="90"/>
    </row>
    <row r="46" spans="2:13" x14ac:dyDescent="0.45">
      <c r="B46" s="80">
        <v>1</v>
      </c>
      <c r="C46" s="79" t="s">
        <v>114</v>
      </c>
      <c r="D46" s="81"/>
    </row>
    <row r="47" spans="2:13" x14ac:dyDescent="0.45">
      <c r="B47" s="80">
        <v>2</v>
      </c>
      <c r="C47" s="79" t="s">
        <v>115</v>
      </c>
      <c r="D47" s="81" t="s">
        <v>122</v>
      </c>
    </row>
    <row r="48" spans="2:13" x14ac:dyDescent="0.45">
      <c r="B48" s="80">
        <v>3</v>
      </c>
      <c r="C48" s="79" t="s">
        <v>116</v>
      </c>
      <c r="D48" s="81" t="s">
        <v>123</v>
      </c>
    </row>
    <row r="49" spans="2:4" x14ac:dyDescent="0.45">
      <c r="B49" s="80">
        <v>4</v>
      </c>
      <c r="C49" s="79" t="s">
        <v>117</v>
      </c>
      <c r="D49" s="81" t="s">
        <v>124</v>
      </c>
    </row>
    <row r="50" spans="2:4" x14ac:dyDescent="0.45">
      <c r="B50" s="80">
        <v>5</v>
      </c>
      <c r="C50" s="79" t="s">
        <v>118</v>
      </c>
      <c r="D50" s="81" t="s">
        <v>125</v>
      </c>
    </row>
    <row r="51" spans="2:4" x14ac:dyDescent="0.45">
      <c r="B51" s="80">
        <v>6</v>
      </c>
      <c r="C51" s="79" t="s">
        <v>119</v>
      </c>
      <c r="D51" s="81" t="s">
        <v>126</v>
      </c>
    </row>
    <row r="52" spans="2:4" ht="17.5" thickBot="1" x14ac:dyDescent="0.5">
      <c r="B52" s="82">
        <v>7</v>
      </c>
      <c r="C52" s="83" t="s">
        <v>114</v>
      </c>
      <c r="D52" s="84"/>
    </row>
    <row r="83" spans="3:15" ht="17.5" thickBot="1" x14ac:dyDescent="0.5">
      <c r="C83" s="132"/>
      <c r="D83" s="133"/>
      <c r="E83" s="133"/>
      <c r="F83" s="133"/>
      <c r="G83" s="133"/>
      <c r="H83" s="133"/>
      <c r="I83" s="133"/>
      <c r="J83" s="134"/>
      <c r="K83" s="23"/>
      <c r="L83" s="23"/>
      <c r="M83" s="23"/>
      <c r="N83" s="23"/>
      <c r="O83" s="23"/>
    </row>
  </sheetData>
  <mergeCells count="5">
    <mergeCell ref="B3:B14"/>
    <mergeCell ref="B17:B34"/>
    <mergeCell ref="B37:B41"/>
    <mergeCell ref="M37:M41"/>
    <mergeCell ref="C83:J8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D745-1412-4788-883B-399B84BB07B8}">
  <dimension ref="D3:M65"/>
  <sheetViews>
    <sheetView topLeftCell="A6" workbookViewId="0">
      <selection activeCell="R31" sqref="R31"/>
    </sheetView>
  </sheetViews>
  <sheetFormatPr defaultRowHeight="17" x14ac:dyDescent="0.45"/>
  <cols>
    <col min="1" max="4" width="8.6640625" style="111"/>
    <col min="5" max="5" width="20.75" style="111" customWidth="1"/>
    <col min="6" max="6" width="15.33203125" style="111" customWidth="1"/>
    <col min="7" max="7" width="8.6640625" style="111" customWidth="1"/>
    <col min="8" max="8" width="8.6640625" style="111"/>
    <col min="9" max="9" width="13.33203125" style="111" customWidth="1"/>
    <col min="10" max="10" width="8.6640625" style="111" customWidth="1"/>
    <col min="11" max="11" width="8.6640625" style="111"/>
    <col min="12" max="12" width="12.75" style="111" customWidth="1"/>
    <col min="13" max="13" width="16.4140625" style="111" customWidth="1"/>
    <col min="14" max="16384" width="8.6640625" style="111"/>
  </cols>
  <sheetData>
    <row r="3" spans="5:13" x14ac:dyDescent="0.45">
      <c r="J3" s="112" t="s">
        <v>152</v>
      </c>
    </row>
    <row r="4" spans="5:13" ht="78" customHeight="1" x14ac:dyDescent="0.45">
      <c r="E4" s="111" t="s">
        <v>153</v>
      </c>
      <c r="F4" s="111" t="s">
        <v>154</v>
      </c>
      <c r="G4" s="111">
        <v>0</v>
      </c>
      <c r="H4" s="111">
        <v>1</v>
      </c>
      <c r="I4" s="113" t="s">
        <v>155</v>
      </c>
      <c r="J4" s="114" t="s">
        <v>156</v>
      </c>
      <c r="K4" s="113" t="s">
        <v>157</v>
      </c>
      <c r="L4" s="113" t="s">
        <v>158</v>
      </c>
      <c r="M4" s="113"/>
    </row>
    <row r="5" spans="5:13" x14ac:dyDescent="0.45">
      <c r="E5" s="111" t="s">
        <v>159</v>
      </c>
      <c r="F5" s="111" t="s">
        <v>160</v>
      </c>
      <c r="J5" s="115"/>
    </row>
    <row r="6" spans="5:13" x14ac:dyDescent="0.45">
      <c r="E6" s="111" t="s">
        <v>161</v>
      </c>
      <c r="F6" s="111" t="s">
        <v>162</v>
      </c>
      <c r="J6" s="115"/>
    </row>
    <row r="7" spans="5:13" x14ac:dyDescent="0.45">
      <c r="E7" s="111" t="s">
        <v>163</v>
      </c>
      <c r="F7" s="111" t="s">
        <v>160</v>
      </c>
      <c r="J7" s="115"/>
    </row>
    <row r="8" spans="5:13" x14ac:dyDescent="0.45">
      <c r="E8" s="111" t="s">
        <v>164</v>
      </c>
      <c r="F8" s="111" t="s">
        <v>162</v>
      </c>
      <c r="J8" s="115"/>
    </row>
    <row r="9" spans="5:13" x14ac:dyDescent="0.45">
      <c r="E9" s="111" t="s">
        <v>165</v>
      </c>
      <c r="F9" s="111" t="s">
        <v>160</v>
      </c>
      <c r="J9" s="115"/>
    </row>
    <row r="10" spans="5:13" x14ac:dyDescent="0.45">
      <c r="E10" s="111" t="s">
        <v>166</v>
      </c>
      <c r="F10" s="111" t="s">
        <v>162</v>
      </c>
      <c r="J10" s="115"/>
    </row>
    <row r="11" spans="5:13" x14ac:dyDescent="0.45">
      <c r="E11" s="111" t="s">
        <v>167</v>
      </c>
      <c r="F11" s="116" t="s">
        <v>168</v>
      </c>
      <c r="G11" s="111" t="s">
        <v>169</v>
      </c>
      <c r="H11" s="111" t="s">
        <v>170</v>
      </c>
      <c r="I11" s="111">
        <v>1</v>
      </c>
      <c r="J11" s="115">
        <v>0</v>
      </c>
      <c r="K11" s="117" t="s">
        <v>171</v>
      </c>
      <c r="L11" s="111">
        <v>0</v>
      </c>
    </row>
    <row r="12" spans="5:13" x14ac:dyDescent="0.45">
      <c r="E12" s="111" t="s">
        <v>172</v>
      </c>
      <c r="F12" s="111" t="s">
        <v>173</v>
      </c>
      <c r="G12" s="118" t="s">
        <v>168</v>
      </c>
      <c r="H12" s="111" t="s">
        <v>174</v>
      </c>
      <c r="I12" s="119">
        <v>1</v>
      </c>
      <c r="J12" s="120">
        <v>0</v>
      </c>
      <c r="K12" s="117" t="s">
        <v>171</v>
      </c>
      <c r="L12" s="111">
        <v>1</v>
      </c>
      <c r="M12" s="119"/>
    </row>
    <row r="13" spans="5:13" x14ac:dyDescent="0.45">
      <c r="E13" s="111" t="s">
        <v>175</v>
      </c>
      <c r="F13" s="111" t="s">
        <v>176</v>
      </c>
      <c r="G13" s="118" t="s">
        <v>168</v>
      </c>
      <c r="H13" s="111" t="s">
        <v>174</v>
      </c>
      <c r="I13" s="119">
        <v>1</v>
      </c>
      <c r="J13" s="120">
        <v>0</v>
      </c>
      <c r="K13" s="117" t="s">
        <v>171</v>
      </c>
      <c r="L13" s="111">
        <v>1</v>
      </c>
      <c r="M13" s="119"/>
    </row>
    <row r="14" spans="5:13" x14ac:dyDescent="0.45">
      <c r="E14" s="111" t="s">
        <v>177</v>
      </c>
      <c r="F14" s="111" t="s">
        <v>178</v>
      </c>
      <c r="G14" s="118" t="s">
        <v>168</v>
      </c>
      <c r="H14" s="111" t="s">
        <v>174</v>
      </c>
      <c r="I14" s="111">
        <v>0</v>
      </c>
      <c r="J14" s="115">
        <v>1</v>
      </c>
      <c r="K14" s="117" t="s">
        <v>171</v>
      </c>
      <c r="L14" s="111">
        <v>0</v>
      </c>
    </row>
    <row r="17" spans="4:13" x14ac:dyDescent="0.45">
      <c r="E17" s="111" t="s">
        <v>179</v>
      </c>
    </row>
    <row r="18" spans="4:13" x14ac:dyDescent="0.45">
      <c r="J18" s="111" t="s">
        <v>180</v>
      </c>
      <c r="K18" s="111" t="s">
        <v>181</v>
      </c>
    </row>
    <row r="19" spans="4:13" x14ac:dyDescent="0.45">
      <c r="D19" s="111">
        <v>1</v>
      </c>
      <c r="E19" s="111" t="s">
        <v>182</v>
      </c>
      <c r="J19" s="121" t="s">
        <v>183</v>
      </c>
      <c r="K19" s="121" t="s">
        <v>183</v>
      </c>
    </row>
    <row r="20" spans="4:13" x14ac:dyDescent="0.45">
      <c r="D20" s="111">
        <v>2</v>
      </c>
      <c r="E20" s="111" t="s">
        <v>184</v>
      </c>
      <c r="J20" s="111" t="s">
        <v>185</v>
      </c>
      <c r="K20" s="111" t="s">
        <v>186</v>
      </c>
      <c r="L20" s="117" t="s">
        <v>187</v>
      </c>
      <c r="M20" s="111" t="s">
        <v>188</v>
      </c>
    </row>
    <row r="21" spans="4:13" x14ac:dyDescent="0.45">
      <c r="D21" s="111">
        <v>3</v>
      </c>
      <c r="E21" s="111" t="s">
        <v>189</v>
      </c>
      <c r="J21" s="111" t="s">
        <v>190</v>
      </c>
      <c r="K21" s="111" t="s">
        <v>191</v>
      </c>
      <c r="L21" s="111">
        <v>35</v>
      </c>
      <c r="M21" s="122">
        <f>(1/L21)*(1/32)*10^6</f>
        <v>892.85714285714278</v>
      </c>
    </row>
    <row r="22" spans="4:13" x14ac:dyDescent="0.45">
      <c r="D22" s="111">
        <v>4</v>
      </c>
      <c r="E22" s="111" t="s">
        <v>192</v>
      </c>
      <c r="J22" s="111" t="s">
        <v>193</v>
      </c>
      <c r="K22" s="111" t="s">
        <v>194</v>
      </c>
    </row>
    <row r="23" spans="4:13" x14ac:dyDescent="0.45">
      <c r="D23" s="111">
        <v>5</v>
      </c>
      <c r="E23" s="111" t="s">
        <v>195</v>
      </c>
      <c r="J23" s="111" t="s">
        <v>196</v>
      </c>
      <c r="K23" s="111" t="s">
        <v>197</v>
      </c>
    </row>
    <row r="24" spans="4:13" x14ac:dyDescent="0.45">
      <c r="D24" s="111">
        <v>6</v>
      </c>
      <c r="E24" s="111" t="s">
        <v>198</v>
      </c>
      <c r="J24" s="111" t="s">
        <v>199</v>
      </c>
      <c r="K24" s="111" t="s">
        <v>200</v>
      </c>
    </row>
    <row r="25" spans="4:13" x14ac:dyDescent="0.45">
      <c r="D25" s="111">
        <v>7</v>
      </c>
      <c r="E25" s="111" t="s">
        <v>201</v>
      </c>
      <c r="J25" s="111" t="s">
        <v>202</v>
      </c>
      <c r="K25" s="111" t="s">
        <v>203</v>
      </c>
      <c r="L25" s="111" t="s">
        <v>204</v>
      </c>
    </row>
    <row r="26" spans="4:13" x14ac:dyDescent="0.45">
      <c r="D26" s="111">
        <v>8</v>
      </c>
      <c r="E26" s="111" t="s">
        <v>205</v>
      </c>
      <c r="L26" s="111" t="s">
        <v>206</v>
      </c>
    </row>
    <row r="28" spans="4:13" x14ac:dyDescent="0.45">
      <c r="E28" s="111" t="s">
        <v>207</v>
      </c>
    </row>
    <row r="57" spans="5:5" x14ac:dyDescent="0.45">
      <c r="E57" s="111" t="s">
        <v>208</v>
      </c>
    </row>
    <row r="59" spans="5:5" x14ac:dyDescent="0.45">
      <c r="E59" s="111" t="s">
        <v>209</v>
      </c>
    </row>
    <row r="60" spans="5:5" x14ac:dyDescent="0.45">
      <c r="E60" s="111" t="s">
        <v>210</v>
      </c>
    </row>
    <row r="61" spans="5:5" x14ac:dyDescent="0.45">
      <c r="E61" s="111" t="s">
        <v>211</v>
      </c>
    </row>
    <row r="63" spans="5:5" x14ac:dyDescent="0.45">
      <c r="E63" s="111" t="s">
        <v>212</v>
      </c>
    </row>
    <row r="64" spans="5:5" x14ac:dyDescent="0.45">
      <c r="E64" s="111" t="s">
        <v>213</v>
      </c>
    </row>
    <row r="65" spans="5:5" x14ac:dyDescent="0.45">
      <c r="E65" s="111" t="s">
        <v>214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Test_Plan</vt:lpstr>
      <vt:lpstr>Clk_설정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2026-07-23T04:30:40Z</dcterms:modified>
</cp:coreProperties>
</file>