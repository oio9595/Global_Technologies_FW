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"/>
    </mc:Choice>
  </mc:AlternateContent>
  <xr:revisionPtr revIDLastSave="0" documentId="13_ncr:1_{3205E7ED-3E87-4DDF-B0D1-6D139533BF17}" xr6:coauthVersionLast="47" xr6:coauthVersionMax="47" xr10:uidLastSave="{00000000-0000-0000-0000-000000000000}"/>
  <bookViews>
    <workbookView xWindow="71880" yWindow="2160" windowWidth="29040" windowHeight="15720" activeTab="1" xr2:uid="{00000000-000D-0000-FFFF-FFFF00000000}"/>
  </bookViews>
  <sheets>
    <sheet name="PIN_PAD" sheetId="3" r:id="rId1"/>
    <sheet name="FT_Test" sheetId="2" r:id="rId2"/>
    <sheet name="Sheet1" sheetId="12" r:id="rId3"/>
    <sheet name="BASIC SETTING" sheetId="4" r:id="rId4"/>
    <sheet name="SVSYNC INPUT" sheetId="5" r:id="rId5"/>
    <sheet name="func. test seqeunce" sheetId="6" r:id="rId6"/>
    <sheet name="PWM_DIV 계산식" sheetId="7" r:id="rId7"/>
    <sheet name="eFUSE" sheetId="8" r:id="rId8"/>
    <sheet name="Serial Communication Protocol" sheetId="9" r:id="rId9"/>
    <sheet name="MIRROR REG. CHECK" sheetId="10" r:id="rId10"/>
    <sheet name="FUNCTION TE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<sst xmlns="http://schemas.openxmlformats.org/spreadsheetml/2006/main" count="954" uniqueCount="628">
  <si>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</si>
  <si>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</si>
  <si>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</si>
  <si>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</si>
  <si>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</si>
  <si>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</si>
  <si>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</si>
  <si>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</si>
  <si>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</si>
  <si>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</si>
  <si>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</si>
  <si>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</si>
  <si>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</si>
  <si>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</si>
  <si>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</si>
  <si>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</si>
  <si>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</si>
  <si>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</si>
  <si>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</si>
  <si>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</si>
  <si>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</si>
  <si>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</si>
  <si>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</si>
  <si>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</si>
  <si>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</si>
  <si>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</si>
  <si>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</si>
  <si>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40/64 = 0.625MHz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</si>
  <si>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</si>
  <si>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</si>
  <si>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</si>
  <si>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</si>
  <si>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</si>
  <si>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P2 - P1 = 4.688mA</t>
    <phoneticPr fontId="3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</si>
  <si>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</si>
  <si>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Current (Sink)</t>
    <phoneticPr fontId="3" type="noConversion"/>
  </si>
  <si>
    <t>Gain trimming</t>
    <phoneticPr fontId="3" type="noConversion"/>
  </si>
  <si>
    <t>* MAX 16mA Setting</t>
    <phoneticPr fontId="3" type="noConversion"/>
  </si>
  <si>
    <t>CH_OFFSET</t>
    <phoneticPr fontId="3" type="noConversion"/>
  </si>
  <si>
    <t>(P3+P4)/2 = 1.172mA</t>
    <phoneticPr fontId="3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</si>
  <si>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</si>
  <si>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</si>
  <si>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</si>
  <si>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</si>
  <si>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</si>
  <si>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</si>
  <si>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</si>
  <si>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</si>
  <si>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</si>
  <si>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</si>
  <si>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</si>
  <si>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</si>
  <si>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</si>
  <si>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</si>
  <si>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</si>
  <si>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</si>
  <si>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</si>
  <si>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</si>
  <si>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</si>
  <si>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</si>
  <si>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</si>
  <si>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</si>
  <si>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</si>
  <si>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</si>
  <si>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</si>
  <si>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</si>
  <si>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</si>
  <si>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</si>
  <si>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</si>
  <si>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</si>
  <si>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</si>
  <si>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</si>
  <si>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</si>
  <si>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</si>
  <si>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</si>
  <si>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</si>
  <si>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</si>
  <si>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</si>
  <si>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</si>
  <si>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</si>
  <si>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</si>
  <si>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r>
      <t xml:space="preserve">T0 : Open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rgb="FFFF0000"/>
        <rFont val="Calibri"/>
        <family val="2"/>
      </rPr>
      <t>H</t>
    </r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</si>
  <si>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</si>
  <si>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</si>
  <si>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DIN or TEST</t>
    <phoneticPr fontId="3" type="noConversion"/>
  </si>
  <si>
    <t>OV_TEMP = L &gt; H
or
TEST = L &gt; H</t>
    <phoneticPr fontId="3" type="noConversion"/>
  </si>
  <si>
    <t>OV_SWAP_EN = 1'd 1</t>
    <phoneticPr fontId="3" type="noConversion"/>
  </si>
  <si>
    <t>Data Read
or
Voltage</t>
    <phoneticPr fontId="3" type="noConversion"/>
  </si>
  <si>
    <t>Fault Flag : 'H' Check
or
Voltage = 3.3V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</si>
  <si>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</si>
  <si>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</si>
  <si>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</si>
  <si>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</si>
  <si>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3" type="noConversion"/>
  </si>
  <si>
    <t>GT1009A(N)R(N)</t>
    <phoneticPr fontId="3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</si>
  <si>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</si>
  <si>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</si>
  <si>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</si>
  <si>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</si>
  <si>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Y</t>
    <phoneticPr fontId="13" type="noConversion"/>
  </si>
  <si>
    <t>A</t>
    <phoneticPr fontId="13" type="noConversion"/>
  </si>
  <si>
    <t>EN</t>
    <phoneticPr fontId="13" type="noConversion"/>
  </si>
  <si>
    <t>I/O</t>
  </si>
  <si>
    <t>Type</t>
  </si>
  <si>
    <t>Description</t>
  </si>
  <si>
    <t>LEFT</t>
    <phoneticPr fontId="13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</si>
  <si>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</si>
  <si>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</si>
  <si>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</si>
  <si>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</si>
  <si>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3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</si>
  <si>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</si>
  <si>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</si>
  <si>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</si>
  <si>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</si>
  <si>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</si>
  <si>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</si>
  <si>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</si>
  <si>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</si>
  <si>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</si>
  <si>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</si>
  <si>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3" type="noConversion"/>
  </si>
  <si>
    <t>BOT</t>
    <phoneticPr fontId="3" type="noConversion"/>
  </si>
  <si>
    <t>IOUT_CH12</t>
    <phoneticPr fontId="13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</si>
  <si>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</si>
  <si>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</si>
  <si>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</si>
  <si>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</si>
  <si>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</si>
  <si>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</si>
  <si>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</si>
  <si>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</si>
  <si>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</si>
  <si>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</si>
  <si>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3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</si>
  <si>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</si>
  <si>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</si>
  <si>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</si>
  <si>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</si>
  <si>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</si>
  <si>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</si>
  <si>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</si>
  <si>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</si>
  <si>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</si>
  <si>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</si>
  <si>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</si>
  <si>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</si>
  <si>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</si>
  <si>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</si>
  <si>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</si>
  <si>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</si>
  <si>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TOP</t>
    <phoneticPr fontId="3" type="noConversion"/>
  </si>
  <si>
    <t>IOUT_CH6</t>
    <phoneticPr fontId="13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</si>
  <si>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</si>
  <si>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</si>
  <si>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</si>
  <si>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3" type="noConversion"/>
  </si>
  <si>
    <t>SVO</t>
    <phoneticPr fontId="13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</si>
  <si>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</si>
  <si>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</si>
  <si>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</si>
  <si>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</si>
  <si>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</si>
  <si>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</si>
  <si>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</si>
  <si>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</si>
  <si>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</si>
  <si>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</si>
  <si>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</si>
  <si>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</si>
  <si>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</si>
  <si>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</si>
  <si>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0x3E  A5A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</si>
  <si>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</si>
  <si>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</si>
  <si>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</si>
  <si>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CHOP EN
0x26 : 3F
WR PROTECT
0x24 : 555</t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</si>
  <si>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</si>
  <si>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</si>
  <si>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</si>
  <si>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</si>
  <si>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</si>
  <si>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</si>
  <si>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</si>
  <si>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</si>
  <si>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</si>
  <si>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</si>
  <si>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</si>
  <si>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</si>
  <si>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</si>
  <si>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</si>
  <si>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</si>
  <si>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</si>
  <si>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</si>
  <si>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</si>
  <si>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50M/64 = 0.781MHz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</si>
  <si>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 = 1'd 0
</t>
    </r>
    <r>
      <rPr>
        <b/>
        <sz val="11"/>
        <color theme="1"/>
        <rFont val="Calibri"/>
        <family val="2"/>
      </rPr>
      <t>0x29 : 0</t>
    </r>
    <r>
      <rPr>
        <sz val="11"/>
        <color theme="1"/>
        <rFont val="Calibri"/>
        <family val="2"/>
      </rPr>
      <t xml:space="preserve">
FLL_EN = 1'd 1
MCLK_LOCK_CNT[19:0] x 60 = 40M
</t>
    </r>
    <r>
      <rPr>
        <b/>
        <sz val="11"/>
        <color theme="1"/>
        <rFont val="Calibri"/>
        <family val="2"/>
      </rPr>
      <t>0x22 : C2B , 0x23 : 8A2</t>
    </r>
    <r>
      <rPr>
        <sz val="11"/>
        <color theme="1"/>
        <rFont val="Calibri"/>
        <family val="2"/>
      </rPr>
      <t xml:space="preserve">
MCLK_LOCK_CNT[19:0] x 60 = 50M
</t>
    </r>
    <r>
      <rPr>
        <b/>
        <sz val="11"/>
        <color theme="1"/>
        <rFont val="Calibri"/>
        <family val="2"/>
      </rPr>
      <t>0x22 : C2B , 0x23 :  8A2</t>
    </r>
    <r>
      <rPr>
        <sz val="11"/>
        <color theme="1"/>
        <rFont val="Calibri"/>
        <family val="2"/>
      </rPr>
      <t xml:space="preserve">
MCLK_LOCK_CNT[19:0] x 60 = 60M
</t>
    </r>
    <r>
      <rPr>
        <b/>
        <sz val="11"/>
        <color theme="1"/>
        <rFont val="Calibri"/>
        <family val="2"/>
      </rPr>
      <t>0x22 : C2B , 0x23 : 8A2</t>
    </r>
    <phoneticPr fontId="3" type="noConversion"/>
  </si>
  <si>
    <t>BAIC setting value</t>
  </si>
  <si>
    <t>register</t>
    <phoneticPr fontId="13" type="noConversion"/>
  </si>
  <si>
    <t>address</t>
    <phoneticPr fontId="13" type="noConversion"/>
  </si>
  <si>
    <t>default</t>
    <phoneticPr fontId="13" type="noConversion"/>
  </si>
  <si>
    <t>bit11</t>
    <phoneticPr fontId="13" type="noConversion"/>
  </si>
  <si>
    <t>bit10</t>
    <phoneticPr fontId="13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</si>
  <si>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</si>
  <si>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</si>
  <si>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</si>
  <si>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</si>
  <si>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</si>
  <si>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</si>
  <si>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</si>
  <si>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</si>
  <si>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</si>
  <si>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</si>
  <si>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3" type="noConversion"/>
  </si>
  <si>
    <t>0x00</t>
    <phoneticPr fontId="13" type="noConversion"/>
  </si>
  <si>
    <t>0x100</t>
    <phoneticPr fontId="13" type="noConversion"/>
  </si>
  <si>
    <t>RST</t>
    <phoneticPr fontId="13" type="noConversion"/>
  </si>
  <si>
    <t>VS_RST</t>
    <phoneticPr fontId="13" type="noConversion"/>
  </si>
  <si>
    <t>E_RST</t>
    <phoneticPr fontId="13" type="noConversion"/>
  </si>
  <si>
    <t>LKG_E</t>
    <phoneticPr fontId="13" type="noConversion"/>
  </si>
  <si>
    <t>ID [4:0]</t>
    <phoneticPr fontId="13" type="noConversion"/>
  </si>
  <si>
    <t>default value 유지</t>
    <phoneticPr fontId="3" type="noConversion"/>
  </si>
  <si>
    <t>LD CONTROL</t>
    <phoneticPr fontId="13" type="noConversion"/>
  </si>
  <si>
    <t>0x01</t>
  </si>
  <si>
    <t>0x000</t>
    <phoneticPr fontId="13" type="noConversion"/>
  </si>
  <si>
    <t>SV_NO [5:0]</t>
    <phoneticPr fontId="13" type="noConversion"/>
  </si>
  <si>
    <t>DELAY_MODE_EN</t>
    <phoneticPr fontId="13" type="noConversion"/>
  </si>
  <si>
    <t>SYNCMODE</t>
    <phoneticPr fontId="13" type="noConversion"/>
  </si>
  <si>
    <t>LD_RES</t>
    <phoneticPr fontId="13" type="noConversion"/>
  </si>
  <si>
    <t>LD_DIR</t>
    <phoneticPr fontId="13" type="noConversion"/>
  </si>
  <si>
    <t>LD_MODE</t>
    <phoneticPr fontId="13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</si>
  <si>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</si>
  <si>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</si>
  <si>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3" type="noConversion"/>
  </si>
  <si>
    <t>0x02</t>
  </si>
  <si>
    <t>LD_SIZE [4:0]</t>
    <phoneticPr fontId="13" type="noConversion"/>
  </si>
  <si>
    <t>LD_SIZE = R+GB</t>
    <phoneticPr fontId="3" type="noConversion"/>
  </si>
  <si>
    <t>0x012</t>
    <phoneticPr fontId="3" type="noConversion"/>
  </si>
  <si>
    <t>PWMCLK_DIV1/2</t>
    <phoneticPr fontId="13" type="noConversion"/>
  </si>
  <si>
    <t>0x03</t>
  </si>
  <si>
    <t>PWMCLK_DIV2 [3:0]</t>
    <phoneticPr fontId="13" type="noConversion"/>
  </si>
  <si>
    <t>PWMCLK_DIV1 [7:0]</t>
    <phoneticPr fontId="13" type="noConversion"/>
  </si>
  <si>
    <t>PWM_DIV 계산 tap 참조</t>
    <phoneticPr fontId="3" type="noConversion"/>
  </si>
  <si>
    <t>0x511</t>
    <phoneticPr fontId="3" type="noConversion"/>
  </si>
  <si>
    <t>PWMCLK_DIV2/3</t>
    <phoneticPr fontId="13" type="noConversion"/>
  </si>
  <si>
    <t>0x04</t>
  </si>
  <si>
    <t>PWMCLK_DIV3 [7:0]</t>
    <phoneticPr fontId="13" type="noConversion"/>
  </si>
  <si>
    <t>PWMCLK_DIV2 [7:4]</t>
    <phoneticPr fontId="13" type="noConversion"/>
  </si>
  <si>
    <t>0x050</t>
    <phoneticPr fontId="3" type="noConversion"/>
  </si>
  <si>
    <t>CHANNEL ENABLE</t>
    <phoneticPr fontId="13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</si>
  <si>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</si>
  <si>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</si>
  <si>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</si>
  <si>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</si>
  <si>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</si>
  <si>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</si>
  <si>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</si>
  <si>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</si>
  <si>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</si>
  <si>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</si>
  <si>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</si>
  <si>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</si>
  <si>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</si>
  <si>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</si>
  <si>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</si>
  <si>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3" type="noConversion"/>
  </si>
  <si>
    <t>0x06</t>
  </si>
  <si>
    <t>AUTO_FAULT_FB_NO [1:0]</t>
    <phoneticPr fontId="13" type="noConversion"/>
  </si>
  <si>
    <t>FB_MODE [3:0]</t>
    <phoneticPr fontId="13" type="noConversion"/>
  </si>
  <si>
    <t>O_FB_E</t>
    <phoneticPr fontId="13" type="noConversion"/>
  </si>
  <si>
    <t>S_DET_E</t>
    <phoneticPr fontId="13" type="noConversion"/>
  </si>
  <si>
    <t>O_DET_E</t>
    <phoneticPr fontId="13" type="noConversion"/>
  </si>
  <si>
    <t>T_OFF_E</t>
    <phoneticPr fontId="13" type="noConversion"/>
  </si>
  <si>
    <t>S_OFF_E</t>
    <phoneticPr fontId="13" type="noConversion"/>
  </si>
  <si>
    <t>O_OFF_E</t>
    <phoneticPr fontId="13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</si>
  <si>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</si>
  <si>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</si>
  <si>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3" type="noConversion"/>
  </si>
  <si>
    <t>0x07</t>
    <phoneticPr fontId="13" type="noConversion"/>
  </si>
  <si>
    <t>0x000</t>
  </si>
  <si>
    <t>CH12_LD_TYPE[1:0]</t>
    <phoneticPr fontId="13" type="noConversion"/>
  </si>
  <si>
    <t>CH11_LD_TYPE[1:0]</t>
    <phoneticPr fontId="13" type="noConversion"/>
  </si>
  <si>
    <t>CH10_LD_TYPE[1:0]</t>
    <phoneticPr fontId="13" type="noConversion"/>
  </si>
  <si>
    <t>CH9_LD_TYPE[1:0]</t>
    <phoneticPr fontId="13" type="noConversion"/>
  </si>
  <si>
    <t>CH8_LD_TYPE[1:0]</t>
    <phoneticPr fontId="13" type="noConversion"/>
  </si>
  <si>
    <t>CH7_LD_TYPE[1:0]</t>
    <phoneticPr fontId="13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</si>
  <si>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</si>
  <si>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</si>
  <si>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3" type="noConversion"/>
  </si>
  <si>
    <t>0x08</t>
    <phoneticPr fontId="13" type="noConversion"/>
  </si>
  <si>
    <t>CH6_LD_TYPE[1:0]</t>
    <phoneticPr fontId="13" type="noConversion"/>
  </si>
  <si>
    <t>CH5_LD_TYPE[1:0]</t>
    <phoneticPr fontId="13" type="noConversion"/>
  </si>
  <si>
    <t>CH4_LD_TYPE[1:0]</t>
    <phoneticPr fontId="13" type="noConversion"/>
  </si>
  <si>
    <t>CH3_LD_TYPE[1:0]</t>
    <phoneticPr fontId="13" type="noConversion"/>
  </si>
  <si>
    <t>CH2_LD_TYPE[1:0]</t>
    <phoneticPr fontId="13" type="noConversion"/>
  </si>
  <si>
    <t>CH1_LD_TYPE[1:0]</t>
    <phoneticPr fontId="13" type="noConversion"/>
  </si>
  <si>
    <t>FAULT STATUS0</t>
    <phoneticPr fontId="13" type="noConversion"/>
  </si>
  <si>
    <t>0x09</t>
  </si>
  <si>
    <t>TIMEOUT_ERR</t>
    <phoneticPr fontId="13" type="noConversion"/>
  </si>
  <si>
    <t>PARITY_ERR</t>
    <phoneticPr fontId="13" type="noConversion"/>
  </si>
  <si>
    <t>VDD_OV</t>
    <phoneticPr fontId="13" type="noConversion"/>
  </si>
  <si>
    <t>VDD_UV</t>
    <phoneticPr fontId="13" type="noConversion"/>
  </si>
  <si>
    <t>LDO_OV</t>
    <phoneticPr fontId="13" type="noConversion"/>
  </si>
  <si>
    <t>LDO_UV</t>
    <phoneticPr fontId="13" type="noConversion"/>
  </si>
  <si>
    <t>THERMAL</t>
    <phoneticPr fontId="13" type="noConversion"/>
  </si>
  <si>
    <t>SHORT</t>
    <phoneticPr fontId="13" type="noConversion"/>
  </si>
  <si>
    <t>OPEN</t>
    <phoneticPr fontId="13" type="noConversion"/>
  </si>
  <si>
    <t>FB3</t>
    <phoneticPr fontId="13" type="noConversion"/>
  </si>
  <si>
    <t>FB2</t>
    <phoneticPr fontId="13" type="noConversion"/>
  </si>
  <si>
    <t>FB1</t>
    <phoneticPr fontId="13" type="noConversion"/>
  </si>
  <si>
    <t>MAX_CURR_VREF1</t>
    <phoneticPr fontId="13" type="noConversion"/>
  </si>
  <si>
    <t>0x0A</t>
    <phoneticPr fontId="13" type="noConversion"/>
  </si>
  <si>
    <t>MAX_CURR1_VREF [11:0]</t>
    <phoneticPr fontId="13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</si>
  <si>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</si>
  <si>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</si>
  <si>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</si>
  <si>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3" type="noConversion"/>
  </si>
  <si>
    <t>MAX_CURR2_VREF [11:0]</t>
    <phoneticPr fontId="13" type="noConversion"/>
  </si>
  <si>
    <t>GRN 의 VREF</t>
    <phoneticPr fontId="3" type="noConversion"/>
  </si>
  <si>
    <t>MAX_CURR_VREF3</t>
  </si>
  <si>
    <t>0x0C</t>
    <phoneticPr fontId="13" type="noConversion"/>
  </si>
  <si>
    <t>MAX_CURR3_VREF [11:0]</t>
    <phoneticPr fontId="13" type="noConversion"/>
  </si>
  <si>
    <t>BLU 의 VREF</t>
    <phoneticPr fontId="3" type="noConversion"/>
  </si>
  <si>
    <t>MAX_CURR_VREF4</t>
    <phoneticPr fontId="13" type="noConversion"/>
  </si>
  <si>
    <t>0x0D</t>
    <phoneticPr fontId="13" type="noConversion"/>
  </si>
  <si>
    <t>MAX_CURR4_VREF [11:0]</t>
    <phoneticPr fontId="13" type="noConversion"/>
  </si>
  <si>
    <t>0x000</t>
    <phoneticPr fontId="3" type="noConversion"/>
  </si>
  <si>
    <t>MAX_CURR_VREF5</t>
    <phoneticPr fontId="13" type="noConversion"/>
  </si>
  <si>
    <t>0x0E</t>
    <phoneticPr fontId="13" type="noConversion"/>
  </si>
  <si>
    <t>MAX_CURR5_VREF [11:0]</t>
    <phoneticPr fontId="13" type="noConversion"/>
  </si>
  <si>
    <t>reserved</t>
    <phoneticPr fontId="13" type="noConversion"/>
  </si>
  <si>
    <t>0x0F</t>
    <phoneticPr fontId="13" type="noConversion"/>
  </si>
  <si>
    <t>DELAY_CH1/2</t>
    <phoneticPr fontId="13" type="noConversion"/>
  </si>
  <si>
    <t>0x10</t>
    <phoneticPr fontId="13" type="noConversion"/>
  </si>
  <si>
    <t>DELAY_CH2 [4:0]</t>
    <phoneticPr fontId="13" type="noConversion"/>
  </si>
  <si>
    <t>DELAY_CH1 [4:0]</t>
    <phoneticPr fontId="13" type="noConversion"/>
  </si>
  <si>
    <t>CH DELAY</t>
    <phoneticPr fontId="3" type="noConversion"/>
  </si>
  <si>
    <t>0x010</t>
    <phoneticPr fontId="3" type="noConversion"/>
  </si>
  <si>
    <t>DELAY_CH3/4</t>
    <phoneticPr fontId="13" type="noConversion"/>
  </si>
  <si>
    <t>0x11</t>
  </si>
  <si>
    <t>DELAY_CH4 [4:0]</t>
    <phoneticPr fontId="13" type="noConversion"/>
  </si>
  <si>
    <t>DELAY_CH3 [4:0]</t>
    <phoneticPr fontId="13" type="noConversion"/>
  </si>
  <si>
    <t>0x062</t>
    <phoneticPr fontId="3" type="noConversion"/>
  </si>
  <si>
    <t>DELAY_CH5/6</t>
    <phoneticPr fontId="13" type="noConversion"/>
  </si>
  <si>
    <t>0x12</t>
  </si>
  <si>
    <t>DELAY_CH6 [4:0]</t>
    <phoneticPr fontId="13" type="noConversion"/>
  </si>
  <si>
    <t>DELAY_CH5 [4:0]</t>
    <phoneticPr fontId="13" type="noConversion"/>
  </si>
  <si>
    <t>0x0A4</t>
    <phoneticPr fontId="3" type="noConversion"/>
  </si>
  <si>
    <t>DELAY_CH7/8</t>
    <phoneticPr fontId="13" type="noConversion"/>
  </si>
  <si>
    <t>0x13</t>
  </si>
  <si>
    <t>DELAY_CH8 [4:0]</t>
    <phoneticPr fontId="13" type="noConversion"/>
  </si>
  <si>
    <t>DELAY_CH7 [4:0]</t>
    <phoneticPr fontId="13" type="noConversion"/>
  </si>
  <si>
    <t>0x0E6</t>
    <phoneticPr fontId="3" type="noConversion"/>
  </si>
  <si>
    <t>DELAY_CH9/10</t>
    <phoneticPr fontId="13" type="noConversion"/>
  </si>
  <si>
    <t>0x14</t>
  </si>
  <si>
    <t>DELAY_CH10 [4:0]</t>
    <phoneticPr fontId="13" type="noConversion"/>
  </si>
  <si>
    <t>DELAY_CH9 [4:0]</t>
    <phoneticPr fontId="13" type="noConversion"/>
  </si>
  <si>
    <t>0x128</t>
    <phoneticPr fontId="3" type="noConversion"/>
  </si>
  <si>
    <t>DELAY_CH11/12</t>
    <phoneticPr fontId="13" type="noConversion"/>
  </si>
  <si>
    <t>0x15</t>
  </si>
  <si>
    <t>DELAY_CH12 [4:0]</t>
    <phoneticPr fontId="13" type="noConversion"/>
  </si>
  <si>
    <t>DELAY_CH11 [4:0]</t>
    <phoneticPr fontId="13" type="noConversion"/>
  </si>
  <si>
    <t>0x18A</t>
    <phoneticPr fontId="3" type="noConversion"/>
  </si>
  <si>
    <t>FB LEVEL</t>
    <phoneticPr fontId="13" type="noConversion"/>
  </si>
  <si>
    <t>0x16</t>
    <phoneticPr fontId="13" type="noConversion"/>
  </si>
  <si>
    <t>FB4_LEVEL [2:0]</t>
    <phoneticPr fontId="13" type="noConversion"/>
  </si>
  <si>
    <t>FB3_LEVEL [2:0]</t>
    <phoneticPr fontId="13" type="noConversion"/>
  </si>
  <si>
    <t>FB2_LEVEL [2:0]</t>
    <phoneticPr fontId="13" type="noConversion"/>
  </si>
  <si>
    <t>FB1_LEVEL [2:0]</t>
    <phoneticPr fontId="13" type="noConversion"/>
  </si>
  <si>
    <t>FB1/2/3 만 유효, SHORT1/2/3 만 유효</t>
    <phoneticPr fontId="3" type="noConversion"/>
  </si>
  <si>
    <t>FB/SHORT LEVEL</t>
    <phoneticPr fontId="13" type="noConversion"/>
  </si>
  <si>
    <t>0x17</t>
    <phoneticPr fontId="13" type="noConversion"/>
  </si>
  <si>
    <t>SHORT3_LEVEL [2:0]</t>
    <phoneticPr fontId="13" type="noConversion"/>
  </si>
  <si>
    <t>SHORT2_LEVEL [2:0]</t>
    <phoneticPr fontId="13" type="noConversion"/>
  </si>
  <si>
    <t>SHORT1_LEVEL [2:0]</t>
    <phoneticPr fontId="13" type="noConversion"/>
  </si>
  <si>
    <t>FB5_LEVEL [2:0]</t>
    <phoneticPr fontId="13" type="noConversion"/>
  </si>
  <si>
    <t>0x1C0</t>
    <phoneticPr fontId="3" type="noConversion"/>
  </si>
  <si>
    <t>SHORT LEVEL</t>
    <phoneticPr fontId="13" type="noConversion"/>
  </si>
  <si>
    <t>0x18</t>
    <phoneticPr fontId="13" type="noConversion"/>
  </si>
  <si>
    <t>SHORT5_LEVEL [2:0]</t>
    <phoneticPr fontId="13" type="noConversion"/>
  </si>
  <si>
    <t>SHORT4_LEVEL [2:0]</t>
    <phoneticPr fontId="13" type="noConversion"/>
  </si>
  <si>
    <t>0x007</t>
    <phoneticPr fontId="3" type="noConversion"/>
  </si>
  <si>
    <t>MAX CURRENT LEVEL0</t>
    <phoneticPr fontId="13" type="noConversion"/>
  </si>
  <si>
    <t>0x19</t>
    <phoneticPr fontId="13" type="noConversion"/>
  </si>
  <si>
    <t>MAX_CURR3_LEVEL [3:0]</t>
    <phoneticPr fontId="13" type="noConversion"/>
  </si>
  <si>
    <t>MAX_CURR2_LEVEL [3:0]</t>
    <phoneticPr fontId="13" type="noConversion"/>
  </si>
  <si>
    <t>MAX_CURR1_LEVEL [3:0]</t>
    <phoneticPr fontId="13" type="noConversion"/>
  </si>
  <si>
    <t>MAX_CURR1/2/3 만 유효</t>
    <phoneticPr fontId="3" type="noConversion"/>
  </si>
  <si>
    <t>0x111</t>
    <phoneticPr fontId="3" type="noConversion"/>
  </si>
  <si>
    <t>MAX CURRENT LEVEL1</t>
    <phoneticPr fontId="13" type="noConversion"/>
  </si>
  <si>
    <t>0x1A</t>
    <phoneticPr fontId="13" type="noConversion"/>
  </si>
  <si>
    <t>MAX_CURR5_LEVEL [3:0]</t>
    <phoneticPr fontId="13" type="noConversion"/>
  </si>
  <si>
    <t>MAX_CURR4_LEVEL [3:0]</t>
    <phoneticPr fontId="13" type="noConversion"/>
  </si>
  <si>
    <t>PARITY &amp; RD_EN</t>
    <phoneticPr fontId="13" type="noConversion"/>
  </si>
  <si>
    <t>0x1B</t>
    <phoneticPr fontId="13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</si>
  <si>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3" type="noConversion"/>
  </si>
  <si>
    <t>PARITY_E</t>
    <phoneticPr fontId="13" type="noConversion"/>
  </si>
  <si>
    <t>REG_RD_EN</t>
  </si>
  <si>
    <t>SERIAL CLK GEN</t>
    <phoneticPr fontId="13" type="noConversion"/>
  </si>
  <si>
    <t>0x1C</t>
    <phoneticPr fontId="13" type="noConversion"/>
  </si>
  <si>
    <t>0x318</t>
    <phoneticPr fontId="13" type="noConversion"/>
  </si>
  <si>
    <t>SCLK_LOW [5:0] default 12ea</t>
    <phoneticPr fontId="13" type="noConversion"/>
  </si>
  <si>
    <t>SCLK_HIGH [5:0] default 24ea</t>
    <phoneticPr fontId="13" type="noConversion"/>
  </si>
  <si>
    <t>SERIAL_LATENCY</t>
    <phoneticPr fontId="13" type="noConversion"/>
  </si>
  <si>
    <t>0x1D</t>
    <phoneticPr fontId="13" type="noConversion"/>
  </si>
  <si>
    <t>0x080</t>
    <phoneticPr fontId="13" type="noConversion"/>
  </si>
  <si>
    <t>SERIAL_LATENCY [8:0] default 128ea</t>
    <phoneticPr fontId="13" type="noConversion"/>
  </si>
  <si>
    <t>V_MASK</t>
    <phoneticPr fontId="13" type="noConversion"/>
  </si>
  <si>
    <t>0x1E</t>
    <phoneticPr fontId="13" type="noConversion"/>
  </si>
  <si>
    <t>V_MASK [9:0]</t>
    <phoneticPr fontId="13" type="noConversion"/>
  </si>
  <si>
    <t>SV_MASK</t>
    <phoneticPr fontId="13" type="noConversion"/>
  </si>
  <si>
    <t>0x1F</t>
    <phoneticPr fontId="13" type="noConversion"/>
  </si>
  <si>
    <t>SV_MASK_EN</t>
    <phoneticPr fontId="13" type="noConversion"/>
  </si>
  <si>
    <t>SV_MASK [9:0]</t>
    <phoneticPr fontId="13" type="noConversion"/>
  </si>
  <si>
    <t>default value 유지 ( SV_MASK_EN off )</t>
    <phoneticPr fontId="3" type="noConversion"/>
  </si>
  <si>
    <t>RSTCNT</t>
    <phoneticPr fontId="13" type="noConversion"/>
  </si>
  <si>
    <t>0x20</t>
    <phoneticPr fontId="13" type="noConversion"/>
  </si>
  <si>
    <t>RSTCNT [9:0]</t>
    <phoneticPr fontId="13" type="noConversion"/>
  </si>
  <si>
    <t>TIMEOUT</t>
    <phoneticPr fontId="13" type="noConversion"/>
  </si>
  <si>
    <t>0x21</t>
  </si>
  <si>
    <t>0x7FF</t>
    <phoneticPr fontId="13" type="noConversion"/>
  </si>
  <si>
    <t>TIMEOUT [10:0] (default 2562us)</t>
    <phoneticPr fontId="13" type="noConversion"/>
  </si>
  <si>
    <t>FLLCNT1</t>
    <phoneticPr fontId="13" type="noConversion"/>
  </si>
  <si>
    <t>0x22</t>
  </si>
  <si>
    <t>FLLCNT [11:0]</t>
    <phoneticPr fontId="13" type="noConversion"/>
  </si>
  <si>
    <t>50MHz 입력 기준</t>
    <phoneticPr fontId="3" type="noConversion"/>
  </si>
  <si>
    <t>0xDD0</t>
    <phoneticPr fontId="3" type="noConversion"/>
  </si>
  <si>
    <t>FLLCNT2</t>
    <phoneticPr fontId="13" type="noConversion"/>
  </si>
  <si>
    <t>0x23</t>
  </si>
  <si>
    <t>0xC32</t>
    <phoneticPr fontId="13" type="noConversion"/>
  </si>
  <si>
    <t>FLL_EN</t>
    <phoneticPr fontId="13" type="noConversion"/>
  </si>
  <si>
    <t>FLL_RANGE [1:0]</t>
    <phoneticPr fontId="13" type="noConversion"/>
  </si>
  <si>
    <t>FLLCNT [19:12]</t>
    <phoneticPr fontId="13" type="noConversion"/>
  </si>
  <si>
    <t>0xE6D</t>
    <phoneticPr fontId="3" type="noConversion"/>
  </si>
  <si>
    <t>WR_PROTECT</t>
    <phoneticPr fontId="13" type="noConversion"/>
  </si>
  <si>
    <t>0x24</t>
    <phoneticPr fontId="13" type="noConversion"/>
  </si>
  <si>
    <t>0x555</t>
    <phoneticPr fontId="13" type="noConversion"/>
  </si>
  <si>
    <t>WR_PROTECT [9:0]</t>
    <phoneticPr fontId="13" type="noConversion"/>
  </si>
  <si>
    <t>NF CONTROL</t>
    <phoneticPr fontId="13" type="noConversion"/>
  </si>
  <si>
    <t>0x25</t>
    <phoneticPr fontId="13" type="noConversion"/>
  </si>
  <si>
    <t>BBKN_TH [5:0]</t>
    <phoneticPr fontId="13" type="noConversion"/>
  </si>
  <si>
    <t>O_EMI_REJ_EN</t>
  </si>
  <si>
    <t>SGRJT_EN2</t>
    <phoneticPr fontId="13" type="noConversion"/>
  </si>
  <si>
    <t>SGRJT_EN1</t>
    <phoneticPr fontId="13" type="noConversion"/>
  </si>
  <si>
    <t>BBKN_EN</t>
    <phoneticPr fontId="13" type="noConversion"/>
  </si>
  <si>
    <t>DGRJT_EN2</t>
    <phoneticPr fontId="13" type="noConversion"/>
  </si>
  <si>
    <t>DGRJT_EN1</t>
    <phoneticPr fontId="13" type="noConversion"/>
  </si>
  <si>
    <t>CHOP_EN</t>
    <phoneticPr fontId="13" type="noConversion"/>
  </si>
  <si>
    <t>0x26</t>
    <phoneticPr fontId="13" type="noConversion"/>
  </si>
  <si>
    <t>CHOP_DRV_EN</t>
    <phoneticPr fontId="13" type="noConversion"/>
  </si>
  <si>
    <t>CHOP_OSCLDO_EN</t>
    <phoneticPr fontId="13" type="noConversion"/>
  </si>
  <si>
    <t>CHOP_OSC_EN</t>
    <phoneticPr fontId="13" type="noConversion"/>
  </si>
  <si>
    <t>CHOP_DAC_EN</t>
    <phoneticPr fontId="13" type="noConversion"/>
  </si>
  <si>
    <t>CHOP_BGR_EN</t>
    <phoneticPr fontId="13" type="noConversion"/>
  </si>
  <si>
    <t>CHOP setting</t>
    <phoneticPr fontId="3" type="noConversion"/>
  </si>
  <si>
    <t>0x03F</t>
    <phoneticPr fontId="3" type="noConversion"/>
  </si>
  <si>
    <t>TEMP</t>
    <phoneticPr fontId="13" type="noConversion"/>
  </si>
  <si>
    <t>0x27</t>
    <phoneticPr fontId="13" type="noConversion"/>
  </si>
  <si>
    <t>0x829</t>
    <phoneticPr fontId="13" type="noConversion"/>
  </si>
  <si>
    <t>OFS_TEMP [3:0]</t>
    <phoneticPr fontId="13" type="noConversion"/>
  </si>
  <si>
    <t>OV_SWAP_EN</t>
    <phoneticPr fontId="13" type="noConversion"/>
  </si>
  <si>
    <t>DAC_RNG</t>
    <phoneticPr fontId="13" type="noConversion"/>
  </si>
  <si>
    <t>FLT_CTL [1:0]</t>
    <phoneticPr fontId="13" type="noConversion"/>
  </si>
  <si>
    <t>O_SLEW [1:0]</t>
    <phoneticPr fontId="13" type="noConversion"/>
  </si>
  <si>
    <t>FLT_GAIN [1:0]</t>
    <phoneticPr fontId="13" type="noConversion"/>
  </si>
  <si>
    <t>OSC_FLL_MAN1</t>
    <phoneticPr fontId="13" type="noConversion"/>
  </si>
  <si>
    <t>0x28</t>
    <phoneticPr fontId="13" type="noConversion"/>
  </si>
  <si>
    <t>OSC_FLL_MAN [11:0]</t>
    <phoneticPr fontId="13" type="noConversion"/>
  </si>
  <si>
    <t>OSC_FLL_MAN2</t>
  </si>
  <si>
    <t>0x29</t>
    <phoneticPr fontId="13" type="noConversion"/>
  </si>
  <si>
    <t>0x808</t>
    <phoneticPr fontId="13" type="noConversion"/>
  </si>
  <si>
    <t>OSC_MAN_EN</t>
    <phoneticPr fontId="13" type="noConversion"/>
  </si>
  <si>
    <t>OSC_FLL_ERR_RANGE [1:0]</t>
    <phoneticPr fontId="13" type="noConversion"/>
  </si>
  <si>
    <t>OSC_FLL_MAN [15:12]</t>
    <phoneticPr fontId="13" type="noConversion"/>
  </si>
  <si>
    <t>OSC_MAN_OFF</t>
    <phoneticPr fontId="3" type="noConversion"/>
  </si>
  <si>
    <t>0x008</t>
    <phoneticPr fontId="3" type="noConversion"/>
  </si>
  <si>
    <t>OSC SPREAD</t>
    <phoneticPr fontId="13" type="noConversion"/>
  </si>
  <si>
    <t>0x2A</t>
    <phoneticPr fontId="13" type="noConversion"/>
  </si>
  <si>
    <t>SPRD_EN</t>
    <phoneticPr fontId="13" type="noConversion"/>
  </si>
  <si>
    <t>SPRD_SPD[2:0]</t>
    <phoneticPr fontId="13" type="noConversion"/>
  </si>
  <si>
    <t>SPRD_GAIN[2:0]</t>
    <phoneticPr fontId="13" type="noConversion"/>
  </si>
  <si>
    <t>CLOCK GATE EN</t>
    <phoneticPr fontId="13" type="noConversion"/>
  </si>
  <si>
    <t>0x2B</t>
    <phoneticPr fontId="13" type="noConversion"/>
  </si>
  <si>
    <t>0x017</t>
    <phoneticPr fontId="13" type="noConversion"/>
  </si>
  <si>
    <t>OTP_MCLK_EN</t>
    <phoneticPr fontId="13" type="noConversion"/>
  </si>
  <si>
    <t>FR2_MCLK_EN</t>
    <phoneticPr fontId="13" type="noConversion"/>
  </si>
  <si>
    <t>FR1_MCLK_EN</t>
    <phoneticPr fontId="13" type="noConversion"/>
  </si>
  <si>
    <t>DC_MCLK_EN</t>
    <phoneticPr fontId="13" type="noConversion"/>
  </si>
  <si>
    <t>OTP CONTROL</t>
    <phoneticPr fontId="13" type="noConversion"/>
  </si>
  <si>
    <t>OP MODE</t>
    <phoneticPr fontId="13" type="noConversion"/>
  </si>
  <si>
    <t>0x3F</t>
    <phoneticPr fontId="13" type="noConversion"/>
  </si>
  <si>
    <t>TEST_EN</t>
    <phoneticPr fontId="13" type="noConversion"/>
  </si>
  <si>
    <t>TEST_ANA_EN [2:0]</t>
    <phoneticPr fontId="13" type="noConversion"/>
  </si>
  <si>
    <t>SW_SEL [2:0]</t>
    <phoneticPr fontId="13" type="noConversion"/>
  </si>
  <si>
    <t>PWMOUT_FULL</t>
    <phoneticPr fontId="13" type="noConversion"/>
  </si>
  <si>
    <t>MCLK64_O</t>
    <phoneticPr fontId="13" type="noConversion"/>
  </si>
  <si>
    <t>DTEST_MUX_EN</t>
    <phoneticPr fontId="13" type="noConversion"/>
  </si>
  <si>
    <t>EXT_CLKIN</t>
    <phoneticPr fontId="13" type="noConversion"/>
  </si>
  <si>
    <t>ADDR_EXT</t>
    <phoneticPr fontId="13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</si>
  <si>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</si>
  <si>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</si>
  <si>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</si>
  <si>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3" type="noConversion"/>
  </si>
  <si>
    <t>OTP_PG_ACC_CYCLE [15:12]</t>
    <phoneticPr fontId="13" type="noConversion"/>
  </si>
  <si>
    <t>OTP ACCESS2</t>
    <phoneticPr fontId="13" type="noConversion"/>
  </si>
  <si>
    <t>0x3B</t>
    <phoneticPr fontId="13" type="noConversion"/>
  </si>
  <si>
    <t>0x3FF</t>
    <phoneticPr fontId="13" type="noConversion"/>
  </si>
  <si>
    <t>OTP_PG_ACC_CYCLE [11:0] (default : decimal 320)</t>
    <phoneticPr fontId="13" type="noConversion"/>
  </si>
  <si>
    <t>OTP WRITE</t>
    <phoneticPr fontId="13" type="noConversion"/>
  </si>
  <si>
    <t>0x3C</t>
    <phoneticPr fontId="13" type="noConversion"/>
  </si>
  <si>
    <t>0x004</t>
    <phoneticPr fontId="13" type="noConversion"/>
  </si>
  <si>
    <t>OTP_RD [1:0]</t>
    <phoneticPr fontId="13" type="noConversion"/>
  </si>
  <si>
    <t>OTP_WSEL [3:0]</t>
    <phoneticPr fontId="13" type="noConversion"/>
  </si>
  <si>
    <t>OTP RD/PROG</t>
    <phoneticPr fontId="13" type="noConversion"/>
  </si>
  <si>
    <t>0x3D</t>
    <phoneticPr fontId="13" type="noConversion"/>
  </si>
  <si>
    <t>OTP_PG_DONE</t>
    <phoneticPr fontId="13" type="noConversion"/>
  </si>
  <si>
    <t>OTP_RD_S</t>
    <phoneticPr fontId="13" type="noConversion"/>
  </si>
  <si>
    <t>OTP_PG_S</t>
    <phoneticPr fontId="13" type="noConversion"/>
  </si>
  <si>
    <t>OTP PROTECT</t>
    <phoneticPr fontId="13" type="noConversion"/>
  </si>
  <si>
    <t>0x3E</t>
    <phoneticPr fontId="13" type="noConversion"/>
  </si>
  <si>
    <t>0x5A5</t>
    <phoneticPr fontId="13" type="noConversion"/>
  </si>
  <si>
    <t>PROTECT_EN (0x5A5=not accessible), PROTECT_DIS (0xA5A=accessible)</t>
    <phoneticPr fontId="13" type="noConversion"/>
  </si>
  <si>
    <t>OTP MIRROR</t>
    <phoneticPr fontId="13" type="noConversion"/>
  </si>
  <si>
    <t>OTP_CRC_CHECKSUM [7:0]</t>
    <phoneticPr fontId="13" type="noConversion"/>
  </si>
  <si>
    <t>0x210</t>
    <phoneticPr fontId="13" type="noConversion"/>
  </si>
  <si>
    <t>IREF_CTL [4:0]</t>
    <phoneticPr fontId="13" type="noConversion"/>
  </si>
  <si>
    <t>BGR_TC [4:0]</t>
    <phoneticPr fontId="13" type="noConversion"/>
  </si>
  <si>
    <t>0x810</t>
    <phoneticPr fontId="13" type="noConversion"/>
  </si>
  <si>
    <t>LDO_DAC_CTL [4:0]</t>
    <phoneticPr fontId="13" type="noConversion"/>
  </si>
  <si>
    <t>OSC_RCTL [4:0]</t>
    <phoneticPr fontId="13" type="noConversion"/>
  </si>
  <si>
    <t>LDO_OSC_CTL [3:0]</t>
    <phoneticPr fontId="13" type="noConversion"/>
  </si>
  <si>
    <t>LDO_CTL [3:0]</t>
    <phoneticPr fontId="13" type="noConversion"/>
  </si>
  <si>
    <t>OFS_CH1 [8:0]</t>
    <phoneticPr fontId="13" type="noConversion"/>
  </si>
  <si>
    <t>OFS_CH2 [8:0]</t>
    <phoneticPr fontId="13" type="noConversion"/>
  </si>
  <si>
    <t>OFS_CH3 [8:0]</t>
    <phoneticPr fontId="13" type="noConversion"/>
  </si>
  <si>
    <t>0x07</t>
  </si>
  <si>
    <t>OFS_CH4 [8:0]</t>
    <phoneticPr fontId="13" type="noConversion"/>
  </si>
  <si>
    <t>0x08</t>
  </si>
  <si>
    <t>OFS_CH5 [8:0]</t>
    <phoneticPr fontId="13" type="noConversion"/>
  </si>
  <si>
    <t>OFS_CH6 [8:0]</t>
    <phoneticPr fontId="13" type="noConversion"/>
  </si>
  <si>
    <t>OFS_CH7 [8:0]</t>
    <phoneticPr fontId="13" type="noConversion"/>
  </si>
  <si>
    <t>OFS_CH8 [8:0]</t>
    <phoneticPr fontId="13" type="noConversion"/>
  </si>
  <si>
    <t>OFS_CH9 [8:0]</t>
    <phoneticPr fontId="13" type="noConversion"/>
  </si>
  <si>
    <t>OFS_CH10 [8:0]</t>
    <phoneticPr fontId="13" type="noConversion"/>
  </si>
  <si>
    <t>OFS_CH11 [8:0]</t>
    <phoneticPr fontId="13" type="noConversion"/>
  </si>
  <si>
    <t>OFS_CH12 [8:0]</t>
    <phoneticPr fontId="13" type="noConversion"/>
  </si>
  <si>
    <t>0x040</t>
    <phoneticPr fontId="13" type="noConversion"/>
  </si>
  <si>
    <t>GAIN_CH1 [6:0]</t>
    <phoneticPr fontId="13" type="noConversion"/>
  </si>
  <si>
    <t>GAIN_CH2 [6:0]</t>
    <phoneticPr fontId="13" type="noConversion"/>
  </si>
  <si>
    <t>0x040</t>
  </si>
  <si>
    <t>GAIN_CH3 [6:0]</t>
    <phoneticPr fontId="13" type="noConversion"/>
  </si>
  <si>
    <t>GAIN_CH4 [6:0]</t>
    <phoneticPr fontId="13" type="noConversion"/>
  </si>
  <si>
    <t>GAIN_CH5 [6:0]</t>
    <phoneticPr fontId="13" type="noConversion"/>
  </si>
  <si>
    <t>GAIN_CH6 [6:0]</t>
    <phoneticPr fontId="13" type="noConversion"/>
  </si>
  <si>
    <t>0x16</t>
  </si>
  <si>
    <t>GAIN_CH7 [6:0]</t>
    <phoneticPr fontId="13" type="noConversion"/>
  </si>
  <si>
    <t>0x17</t>
  </si>
  <si>
    <t>GAIN_CH8 [6:0]</t>
    <phoneticPr fontId="13" type="noConversion"/>
  </si>
  <si>
    <t>0x18</t>
  </si>
  <si>
    <t>GAIN_CH9 [6:0]</t>
    <phoneticPr fontId="13" type="noConversion"/>
  </si>
  <si>
    <t>0x19</t>
  </si>
  <si>
    <t>GAIN_CH10 [6:0]</t>
    <phoneticPr fontId="13" type="noConversion"/>
  </si>
  <si>
    <t>GAIN_CH11 [6:0]</t>
    <phoneticPr fontId="13" type="noConversion"/>
  </si>
  <si>
    <t>GAIN_CH12 [6:0]</t>
    <phoneticPr fontId="13" type="noConversion"/>
  </si>
  <si>
    <t>VERSION0 [11:0]</t>
    <phoneticPr fontId="13" type="noConversion"/>
  </si>
  <si>
    <t>VERSION1 [11:0]</t>
    <phoneticPr fontId="1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</si>
  <si>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</si>
  <si>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</si>
  <si>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</si>
  <si>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</si>
  <si>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</si>
  <si>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</si>
  <si>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</si>
  <si>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</si>
  <si>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</si>
  <si>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</si>
  <si>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3" type="noConversion"/>
  </si>
  <si>
    <t>ns</t>
    <phoneticPr fontId="13" type="noConversion"/>
  </si>
  <si>
    <t>SV_NO</t>
    <phoneticPr fontId="13" type="noConversion"/>
  </si>
  <si>
    <t>#</t>
    <phoneticPr fontId="13" type="noConversion"/>
  </si>
  <si>
    <t>SV_width(high)</t>
    <phoneticPr fontId="13" type="noConversion"/>
  </si>
  <si>
    <t>ms</t>
    <phoneticPr fontId="13" type="noConversion"/>
  </si>
  <si>
    <t>1-frame time</t>
    <phoneticPr fontId="13" type="noConversion"/>
  </si>
  <si>
    <t xml:space="preserve">active total (time-div.) </t>
    <phoneticPr fontId="13" type="noConversion"/>
  </si>
  <si>
    <t xml:space="preserve">active total (no-time-div.) </t>
    <phoneticPr fontId="13" type="noConversion"/>
  </si>
  <si>
    <t xml:space="preserve">1-time division active time
(time-div.) </t>
    <phoneticPr fontId="13" type="noConversion"/>
  </si>
  <si>
    <t xml:space="preserve">1-time division active time
(no-time-div.) </t>
    <phoneticPr fontId="13" type="noConversion"/>
  </si>
  <si>
    <t>FPWM_DIV2/3 resolution</t>
    <phoneticPr fontId="13" type="noConversion"/>
  </si>
  <si>
    <t>us</t>
    <phoneticPr fontId="13" type="noConversion"/>
  </si>
  <si>
    <t>FPWM_DIV1 resolution</t>
    <phoneticPr fontId="13" type="noConversion"/>
  </si>
  <si>
    <t>FPWM_DIV2 개수</t>
    <phoneticPr fontId="13" type="noConversion"/>
  </si>
  <si>
    <t>FPWM_DIV3 개수</t>
    <phoneticPr fontId="13" type="noConversion"/>
  </si>
  <si>
    <t>FPWM_DIV1 개수</t>
    <phoneticPr fontId="13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</si>
  <si>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</si>
  <si>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</si>
  <si>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</si>
  <si>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</si>
  <si>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</si>
  <si>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</si>
  <si>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</si>
  <si>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</si>
  <si>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</si>
  <si>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</si>
  <si>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</si>
  <si>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</si>
  <si>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</si>
  <si>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</si>
  <si>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</si>
  <si>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</si>
  <si>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</si>
  <si>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</si>
  <si>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</si>
  <si>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</si>
  <si>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</si>
  <si>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</si>
  <si>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</si>
  <si>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</si>
  <si>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</si>
  <si>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</si>
  <si>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</si>
  <si>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t>* MAX 16mA Setting
**signed binary**
[8] = signed bit
[7:0] = data</t>
    <phoneticPr fontId="3" type="noConversion"/>
  </si>
  <si>
    <r>
      <t xml:space="preserve">**signed binary**
[2] = signed bit
[1:0] = data
</t>
    </r>
    <r>
      <rPr>
        <sz val="11"/>
        <color rgb="FFFF00FF"/>
        <rFont val="Calibri"/>
        <family val="2"/>
      </rPr>
      <t>**signed binary**
[3] = signed bit
[2:0] = data</t>
    </r>
    <phoneticPr fontId="3" type="noConversion"/>
  </si>
  <si>
    <t>LDO_DIG</t>
    <phoneticPr fontId="3" type="noConversion"/>
  </si>
  <si>
    <t>Sub_Val</t>
    <phoneticPr fontId="3" type="noConversion"/>
  </si>
  <si>
    <t>Reg [Table]</t>
    <phoneticPr fontId="3" type="noConversion"/>
  </si>
  <si>
    <r>
      <t xml:space="preserve">TEST_EN = 1'd : 1
</t>
    </r>
    <r>
      <rPr>
        <sz val="11"/>
        <color rgb="FFFF00FF"/>
        <rFont val="Calibri"/>
        <family val="2"/>
      </rPr>
      <t>TEST_ANA_EN[2:0] = 3'd : ????</t>
    </r>
    <r>
      <rPr>
        <sz val="11"/>
        <color theme="1"/>
        <rFont val="Calibri"/>
        <family val="2"/>
      </rPr>
      <t xml:space="preserve">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</si>
  <si>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</t>
    </r>
    <r>
      <rPr>
        <sz val="11"/>
        <color rgb="FFFF00FF"/>
        <rFont val="Calibri"/>
        <family val="2"/>
      </rPr>
      <t>TEST_ANA_EN[2:0] = 3'd : ????</t>
    </r>
    <r>
      <rPr>
        <sz val="11"/>
        <color theme="1"/>
        <rFont val="Calibri"/>
        <family val="2"/>
      </rPr>
      <t xml:space="preserve">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FFF , 0x1A : FF
</t>
    </r>
    <r>
      <rPr>
        <b/>
        <sz val="11"/>
        <color rgb="FFFF00FF"/>
        <rFont val="Calibri"/>
        <family val="2"/>
      </rPr>
      <t>0x19 : 333 , 0x1A : 33??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5DC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</si>
  <si>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</t>
    </r>
    <r>
      <rPr>
        <sz val="11"/>
        <color rgb="FFFF00FF"/>
        <rFont val="Calibri"/>
        <family val="2"/>
      </rPr>
      <t xml:space="preserve">TEST_ANA_EN[2:0] = 3'd : ????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FFF , 0x1A : FF
</t>
    </r>
    <r>
      <rPr>
        <b/>
        <sz val="11"/>
        <color rgb="FFFF00FF"/>
        <rFont val="Calibri"/>
        <family val="2"/>
      </rPr>
      <t>0x19 : 333 , 0x1A : 33??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>0x0A / 0x0B / 0x0C / 0x0D / 0x0E : 190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</si>
</sst>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3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rgb="FFFF00FF"/>
      <name val="Calibri"/>
      <family val="2"/>
    </font>
    <font>
      <b/>
      <sz val="11"/>
      <color rgb="FFFF00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2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 wrapText="1" readingOrder="1"/>
    </xf>
    <xf numFmtId="0" fontId="14" fillId="0" borderId="12" xfId="1" applyFont="1" applyBorder="1" applyAlignment="1">
      <alignment horizontal="center" vertical="center" wrapText="1" readingOrder="1"/>
    </xf>
    <xf numFmtId="0" fontId="14" fillId="0" borderId="12" xfId="2" applyFont="1" applyBorder="1" applyAlignment="1">
      <alignment horizontal="center" vertical="center" wrapText="1" readingOrder="1"/>
    </xf>
    <xf numFmtId="0" fontId="17" fillId="0" borderId="12" xfId="1" applyFont="1" applyBorder="1" applyAlignment="1">
      <alignment horizontal="center" vertical="center" wrapText="1" readingOrder="1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22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15" fillId="12" borderId="0" xfId="0" applyFont="1" applyFill="1" applyAlignment="1">
      <alignment vertical="center"/>
    </xf>
    <xf numFmtId="0" fontId="22" fillId="12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vertical="center" shrinkToFit="1"/>
    </xf>
    <xf numFmtId="0" fontId="15" fillId="0" borderId="0" xfId="0" applyFo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/>
    <xf numFmtId="0" fontId="15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15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4" fillId="4" borderId="12" xfId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2" fillId="13" borderId="43" xfId="0" applyFont="1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top" wrapText="1"/>
    </xf>
    <xf numFmtId="0" fontId="22" fillId="0" borderId="43" xfId="0" applyFont="1" applyBorder="1" applyAlignment="1">
      <alignment horizontal="center" vertical="top" wrapText="1"/>
    </xf>
    <xf numFmtId="0" fontId="22" fillId="0" borderId="44" xfId="0" applyFont="1" applyBorder="1" applyAlignment="1">
      <alignment horizontal="center" vertical="top" wrapText="1"/>
    </xf>
    <xf numFmtId="0" fontId="22" fillId="14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wrapText="1"/>
    </xf>
    <xf numFmtId="0" fontId="22" fillId="16" borderId="12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16" borderId="42" xfId="0" applyFont="1" applyFill="1" applyBorder="1" applyAlignment="1">
      <alignment horizontal="center" vertical="center" shrinkToFit="1"/>
    </xf>
    <xf numFmtId="0" fontId="22" fillId="16" borderId="43" xfId="0" applyFont="1" applyFill="1" applyBorder="1" applyAlignment="1">
      <alignment horizontal="center" vertical="center" shrinkToFit="1"/>
    </xf>
    <xf numFmtId="0" fontId="22" fillId="16" borderId="44" xfId="0" applyFont="1" applyFill="1" applyBorder="1" applyAlignment="1">
      <alignment horizontal="center" vertical="center" shrinkToFit="1"/>
    </xf>
    <xf numFmtId="0" fontId="6" fillId="18" borderId="10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</cellXfs>
  <cellStyles count="3">
    <cellStyle name="표준" xfId="0" builtinId="0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657225" y="219075"/>
          <a:ext cx="7972425" cy="407670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740025" y="3619500"/>
          <a:ext cx="3002825" cy="21314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9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9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9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9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9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9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9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9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9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9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9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9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9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9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9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9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9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9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9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9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9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9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9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9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9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9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9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9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9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9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9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9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9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9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 x14ac:dyDescent="0.45"/>
  <cols>
    <col min="1" max="1" width="10.58203125" style="55" customWidth="1"/>
    <col min="2" max="16" width="6.58203125" style="55" customWidth="1"/>
    <col min="17" max="17" width="10.58203125" style="55" customWidth="1"/>
    <col min="18" max="27" width="15" style="55" customWidth="1"/>
    <col min="28" max="16384" width="8.58203125" style="55"/>
  </cols>
  <sheetData>
    <row r="1" spans="1:27" ht="17.5" thickBot="1" x14ac:dyDescent="0.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7" x14ac:dyDescent="0.45">
      <c r="A2" s="54"/>
      <c r="B2" s="56"/>
      <c r="C2" s="57"/>
      <c r="D2" s="58" t="s">
        <v>93</v>
      </c>
      <c r="E2" s="57"/>
      <c r="F2" s="58" t="s">
        <v>93</v>
      </c>
      <c r="G2" s="57"/>
      <c r="H2" s="58" t="s">
        <v>93</v>
      </c>
      <c r="I2" s="57"/>
      <c r="J2" s="58" t="s">
        <v>93</v>
      </c>
      <c r="K2" s="57"/>
      <c r="L2" s="58" t="s">
        <v>93</v>
      </c>
      <c r="M2" s="57"/>
      <c r="N2" s="58" t="s">
        <v>93</v>
      </c>
      <c r="O2" s="57"/>
      <c r="P2" s="59"/>
      <c r="Q2" s="54"/>
      <c r="R2" s="180" t="s">
        <v>94</v>
      </c>
      <c r="S2" s="180"/>
      <c r="T2" s="180"/>
      <c r="U2" s="180"/>
      <c r="V2" s="180"/>
      <c r="W2" s="180"/>
      <c r="X2" s="180"/>
      <c r="Y2" s="180"/>
      <c r="Z2" s="180"/>
      <c r="AA2" s="180"/>
    </row>
    <row r="3" spans="1:27" ht="17.5" thickBot="1" x14ac:dyDescent="0.5">
      <c r="A3" s="54"/>
      <c r="B3" s="60"/>
      <c r="C3" s="61"/>
      <c r="D3" s="62">
        <v>1</v>
      </c>
      <c r="E3" s="63"/>
      <c r="F3" s="62">
        <v>2</v>
      </c>
      <c r="G3" s="63"/>
      <c r="H3" s="62">
        <v>3</v>
      </c>
      <c r="I3" s="63"/>
      <c r="J3" s="62">
        <v>4</v>
      </c>
      <c r="K3" s="63"/>
      <c r="L3" s="62">
        <v>5</v>
      </c>
      <c r="M3" s="63"/>
      <c r="N3" s="62">
        <v>6</v>
      </c>
      <c r="O3" s="61"/>
      <c r="P3" s="64"/>
      <c r="Q3" s="54"/>
      <c r="R3" s="65" t="s">
        <v>95</v>
      </c>
      <c r="S3" s="65" t="s">
        <v>96</v>
      </c>
      <c r="T3" s="65" t="s">
        <v>97</v>
      </c>
      <c r="U3" s="65" t="s">
        <v>98</v>
      </c>
      <c r="V3" s="65" t="s">
        <v>99</v>
      </c>
      <c r="W3" s="65" t="s">
        <v>100</v>
      </c>
      <c r="X3" s="65" t="s">
        <v>101</v>
      </c>
      <c r="Y3" s="65" t="s">
        <v>102</v>
      </c>
      <c r="Z3" s="65" t="s">
        <v>103</v>
      </c>
      <c r="AA3" s="65" t="s">
        <v>104</v>
      </c>
    </row>
    <row r="4" spans="1:27" x14ac:dyDescent="0.45">
      <c r="A4" s="54"/>
      <c r="B4" s="60"/>
      <c r="C4" s="61"/>
      <c r="D4" s="61">
        <v>24</v>
      </c>
      <c r="E4" s="61"/>
      <c r="F4" s="61">
        <v>23</v>
      </c>
      <c r="G4" s="61"/>
      <c r="H4" s="61">
        <v>22</v>
      </c>
      <c r="I4" s="61"/>
      <c r="J4" s="61">
        <v>21</v>
      </c>
      <c r="K4" s="61"/>
      <c r="L4" s="61">
        <v>20</v>
      </c>
      <c r="M4" s="61"/>
      <c r="N4" s="61">
        <v>19</v>
      </c>
      <c r="O4" s="61"/>
      <c r="P4" s="64"/>
      <c r="Q4" s="54"/>
      <c r="R4" s="181" t="s">
        <v>105</v>
      </c>
      <c r="S4" s="66">
        <v>1</v>
      </c>
      <c r="T4" s="66" t="s">
        <v>5</v>
      </c>
      <c r="U4" s="66" t="s">
        <v>106</v>
      </c>
      <c r="V4" s="66"/>
      <c r="W4" s="66"/>
      <c r="X4" s="66"/>
      <c r="Y4" s="67" t="s">
        <v>102</v>
      </c>
      <c r="Z4" s="66" t="s">
        <v>107</v>
      </c>
      <c r="AA4" s="66"/>
    </row>
    <row r="5" spans="1:27" ht="17.5" thickBot="1" x14ac:dyDescent="0.5">
      <c r="A5" s="54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4"/>
      <c r="Q5" s="54"/>
      <c r="R5" s="182"/>
      <c r="S5" s="66">
        <v>2</v>
      </c>
      <c r="T5" s="66" t="s">
        <v>108</v>
      </c>
      <c r="U5" s="66" t="s">
        <v>109</v>
      </c>
      <c r="V5" s="66"/>
      <c r="W5" s="66"/>
      <c r="X5" s="66"/>
      <c r="Y5" s="67" t="s">
        <v>102</v>
      </c>
      <c r="Z5" s="66" t="s">
        <v>107</v>
      </c>
      <c r="AA5" s="68"/>
    </row>
    <row r="6" spans="1:27" x14ac:dyDescent="0.45">
      <c r="A6" s="54"/>
      <c r="B6" s="69" t="s">
        <v>110</v>
      </c>
      <c r="C6" s="70">
        <v>1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71">
        <v>18</v>
      </c>
      <c r="P6" s="69" t="s">
        <v>110</v>
      </c>
      <c r="Q6" s="54"/>
      <c r="R6" s="182"/>
      <c r="S6" s="66">
        <v>3</v>
      </c>
      <c r="T6" s="66" t="s">
        <v>108</v>
      </c>
      <c r="U6" s="66" t="s">
        <v>111</v>
      </c>
      <c r="V6" s="66"/>
      <c r="W6" s="66"/>
      <c r="X6" s="66"/>
      <c r="Y6" s="67" t="s">
        <v>102</v>
      </c>
      <c r="Z6" s="66" t="s">
        <v>107</v>
      </c>
      <c r="AA6" s="68"/>
    </row>
    <row r="7" spans="1:27" ht="17.5" thickBot="1" x14ac:dyDescent="0.5">
      <c r="A7" s="54"/>
      <c r="B7" s="72"/>
      <c r="C7" s="7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71"/>
      <c r="P7" s="72"/>
      <c r="Q7" s="54"/>
      <c r="R7" s="182"/>
      <c r="S7" s="66">
        <v>4</v>
      </c>
      <c r="T7" s="66" t="s">
        <v>108</v>
      </c>
      <c r="U7" s="66" t="s">
        <v>111</v>
      </c>
      <c r="V7" s="66"/>
      <c r="W7" s="66"/>
      <c r="X7" s="66"/>
      <c r="Y7" s="67" t="s">
        <v>102</v>
      </c>
      <c r="Z7" s="66" t="s">
        <v>107</v>
      </c>
      <c r="AA7" s="68"/>
    </row>
    <row r="8" spans="1:27" x14ac:dyDescent="0.45">
      <c r="A8" s="54"/>
      <c r="B8" s="60"/>
      <c r="C8" s="70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71"/>
      <c r="P8" s="64"/>
      <c r="Q8" s="54"/>
      <c r="R8" s="182"/>
      <c r="S8" s="66">
        <v>5</v>
      </c>
      <c r="T8" s="66" t="s">
        <v>80</v>
      </c>
      <c r="U8" s="66" t="s">
        <v>112</v>
      </c>
      <c r="V8" s="66" t="s">
        <v>113</v>
      </c>
      <c r="W8" s="66" t="s">
        <v>114</v>
      </c>
      <c r="X8" s="66" t="s">
        <v>115</v>
      </c>
      <c r="Y8" s="67" t="s">
        <v>116</v>
      </c>
      <c r="Z8" s="66" t="s">
        <v>117</v>
      </c>
      <c r="AA8" s="68"/>
    </row>
    <row r="9" spans="1:27" ht="17.5" thickBot="1" x14ac:dyDescent="0.5">
      <c r="A9" s="54"/>
      <c r="B9" s="60"/>
      <c r="C9" s="7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71"/>
      <c r="P9" s="64"/>
      <c r="Q9" s="54"/>
      <c r="R9" s="183"/>
      <c r="S9" s="66">
        <v>6</v>
      </c>
      <c r="T9" s="66" t="s">
        <v>118</v>
      </c>
      <c r="U9" s="66" t="s">
        <v>119</v>
      </c>
      <c r="V9" s="66" t="s">
        <v>120</v>
      </c>
      <c r="W9" s="66"/>
      <c r="X9" s="66"/>
      <c r="Y9" s="67" t="s">
        <v>116</v>
      </c>
      <c r="Z9" s="66" t="s">
        <v>117</v>
      </c>
      <c r="AA9" s="68"/>
    </row>
    <row r="10" spans="1:27" x14ac:dyDescent="0.45">
      <c r="A10" s="54"/>
      <c r="B10" s="73" t="s">
        <v>121</v>
      </c>
      <c r="C10" s="70">
        <v>2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71">
        <v>17</v>
      </c>
      <c r="P10" s="73" t="s">
        <v>121</v>
      </c>
      <c r="Q10" s="54"/>
      <c r="R10" s="181" t="s">
        <v>122</v>
      </c>
      <c r="S10" s="66">
        <v>7</v>
      </c>
      <c r="T10" s="66" t="s">
        <v>123</v>
      </c>
      <c r="U10" s="66" t="s">
        <v>124</v>
      </c>
      <c r="V10" s="66"/>
      <c r="W10" s="66"/>
      <c r="X10" s="66"/>
      <c r="Y10" s="66" t="s">
        <v>125</v>
      </c>
      <c r="Z10" s="66" t="s">
        <v>126</v>
      </c>
      <c r="AA10" s="68"/>
    </row>
    <row r="11" spans="1:27" ht="17.5" thickBot="1" x14ac:dyDescent="0.5">
      <c r="A11" s="54"/>
      <c r="B11" s="74" t="s">
        <v>127</v>
      </c>
      <c r="C11" s="70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71"/>
      <c r="P11" s="75" t="s">
        <v>13</v>
      </c>
      <c r="Q11" s="54"/>
      <c r="R11" s="182"/>
      <c r="S11" s="66">
        <v>8</v>
      </c>
      <c r="T11" s="66" t="s">
        <v>128</v>
      </c>
      <c r="U11" s="66" t="s">
        <v>124</v>
      </c>
      <c r="V11" s="66"/>
      <c r="W11" s="66"/>
      <c r="X11" s="66"/>
      <c r="Y11" s="66" t="s">
        <v>125</v>
      </c>
      <c r="Z11" s="66" t="s">
        <v>126</v>
      </c>
      <c r="AA11" s="68"/>
    </row>
    <row r="12" spans="1:27" x14ac:dyDescent="0.45">
      <c r="A12" s="54"/>
      <c r="B12" s="60"/>
      <c r="C12" s="7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71"/>
      <c r="P12" s="64"/>
      <c r="Q12" s="54"/>
      <c r="R12" s="182"/>
      <c r="S12" s="66">
        <v>9</v>
      </c>
      <c r="T12" s="66" t="s">
        <v>129</v>
      </c>
      <c r="U12" s="66" t="s">
        <v>124</v>
      </c>
      <c r="V12" s="66"/>
      <c r="W12" s="66"/>
      <c r="X12" s="66"/>
      <c r="Y12" s="66" t="s">
        <v>125</v>
      </c>
      <c r="Z12" s="66" t="s">
        <v>126</v>
      </c>
      <c r="AA12" s="68"/>
    </row>
    <row r="13" spans="1:27" ht="17.5" thickBot="1" x14ac:dyDescent="0.5">
      <c r="A13" s="54"/>
      <c r="B13" s="60"/>
      <c r="C13" s="70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71"/>
      <c r="P13" s="64"/>
      <c r="Q13" s="54"/>
      <c r="R13" s="182"/>
      <c r="S13" s="66">
        <v>10</v>
      </c>
      <c r="T13" s="66" t="s">
        <v>130</v>
      </c>
      <c r="U13" s="66" t="s">
        <v>124</v>
      </c>
      <c r="V13" s="66"/>
      <c r="W13" s="66"/>
      <c r="X13" s="66"/>
      <c r="Y13" s="66" t="s">
        <v>125</v>
      </c>
      <c r="Z13" s="66" t="s">
        <v>126</v>
      </c>
      <c r="AA13" s="68"/>
    </row>
    <row r="14" spans="1:27" x14ac:dyDescent="0.45">
      <c r="A14" s="54"/>
      <c r="B14" s="73" t="s">
        <v>121</v>
      </c>
      <c r="C14" s="70">
        <v>3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71">
        <v>16</v>
      </c>
      <c r="P14" s="73" t="s">
        <v>121</v>
      </c>
      <c r="Q14" s="54"/>
      <c r="R14" s="182"/>
      <c r="S14" s="66">
        <v>11</v>
      </c>
      <c r="T14" s="66" t="s">
        <v>131</v>
      </c>
      <c r="U14" s="66" t="s">
        <v>124</v>
      </c>
      <c r="V14" s="66"/>
      <c r="W14" s="66"/>
      <c r="X14" s="66"/>
      <c r="Y14" s="66" t="s">
        <v>125</v>
      </c>
      <c r="Z14" s="66" t="s">
        <v>126</v>
      </c>
      <c r="AA14" s="68"/>
    </row>
    <row r="15" spans="1:27" ht="17.5" thickBot="1" x14ac:dyDescent="0.5">
      <c r="A15" s="54"/>
      <c r="B15" s="76"/>
      <c r="C15" s="7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71"/>
      <c r="P15" s="75" t="s">
        <v>132</v>
      </c>
      <c r="Q15" s="54"/>
      <c r="R15" s="183"/>
      <c r="S15" s="66">
        <v>12</v>
      </c>
      <c r="T15" s="66" t="s">
        <v>133</v>
      </c>
      <c r="U15" s="66" t="s">
        <v>124</v>
      </c>
      <c r="V15" s="66"/>
      <c r="W15" s="66"/>
      <c r="X15" s="66"/>
      <c r="Y15" s="66" t="s">
        <v>125</v>
      </c>
      <c r="Z15" s="66" t="s">
        <v>126</v>
      </c>
      <c r="AA15" s="68"/>
    </row>
    <row r="16" spans="1:27" x14ac:dyDescent="0.45">
      <c r="A16" s="54"/>
      <c r="B16" s="60"/>
      <c r="C16" s="7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71"/>
      <c r="P16" s="64"/>
      <c r="Q16" s="54"/>
      <c r="R16" s="181" t="s">
        <v>134</v>
      </c>
      <c r="S16" s="66">
        <v>13</v>
      </c>
      <c r="T16" s="77" t="s">
        <v>63</v>
      </c>
      <c r="U16" s="66" t="s">
        <v>135</v>
      </c>
      <c r="V16" s="77" t="s">
        <v>136</v>
      </c>
      <c r="W16" s="77" t="s">
        <v>137</v>
      </c>
      <c r="X16" s="77" t="s">
        <v>138</v>
      </c>
      <c r="Y16" s="67" t="s">
        <v>125</v>
      </c>
      <c r="Z16" s="66" t="s">
        <v>117</v>
      </c>
      <c r="AA16" s="68"/>
    </row>
    <row r="17" spans="1:27" ht="17.5" thickBot="1" x14ac:dyDescent="0.5">
      <c r="A17" s="54"/>
      <c r="B17" s="60"/>
      <c r="C17" s="7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71"/>
      <c r="P17" s="64"/>
      <c r="Q17" s="54"/>
      <c r="R17" s="182"/>
      <c r="S17" s="66">
        <v>14</v>
      </c>
      <c r="T17" s="77" t="s">
        <v>26</v>
      </c>
      <c r="U17" s="66" t="s">
        <v>139</v>
      </c>
      <c r="V17" s="77" t="s">
        <v>140</v>
      </c>
      <c r="W17" s="77" t="s">
        <v>141</v>
      </c>
      <c r="X17" s="77" t="s">
        <v>142</v>
      </c>
      <c r="Y17" s="67" t="s">
        <v>143</v>
      </c>
      <c r="Z17" s="66" t="s">
        <v>117</v>
      </c>
      <c r="AA17" s="68"/>
    </row>
    <row r="18" spans="1:27" x14ac:dyDescent="0.45">
      <c r="A18" s="54"/>
      <c r="B18" s="73" t="s">
        <v>121</v>
      </c>
      <c r="C18" s="70">
        <v>4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71">
        <v>15</v>
      </c>
      <c r="P18" s="73" t="s">
        <v>121</v>
      </c>
      <c r="Q18" s="54"/>
      <c r="R18" s="182"/>
      <c r="S18" s="66">
        <v>15</v>
      </c>
      <c r="T18" s="77" t="s">
        <v>108</v>
      </c>
      <c r="U18" s="66" t="s">
        <v>111</v>
      </c>
      <c r="V18" s="77"/>
      <c r="W18" s="77"/>
      <c r="X18" s="77"/>
      <c r="Y18" s="67" t="s">
        <v>143</v>
      </c>
      <c r="Z18" s="66" t="s">
        <v>107</v>
      </c>
      <c r="AA18" s="68"/>
    </row>
    <row r="19" spans="1:27" ht="17.5" thickBot="1" x14ac:dyDescent="0.5">
      <c r="A19" s="54"/>
      <c r="B19" s="76"/>
      <c r="C19" s="7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71"/>
      <c r="P19" s="75" t="s">
        <v>144</v>
      </c>
      <c r="Q19" s="54"/>
      <c r="R19" s="182"/>
      <c r="S19" s="66">
        <v>16</v>
      </c>
      <c r="T19" s="77" t="s">
        <v>108</v>
      </c>
      <c r="U19" s="66" t="s">
        <v>111</v>
      </c>
      <c r="V19" s="77"/>
      <c r="W19" s="77"/>
      <c r="X19" s="77"/>
      <c r="Y19" s="67" t="s">
        <v>102</v>
      </c>
      <c r="Z19" s="66" t="s">
        <v>107</v>
      </c>
      <c r="AA19" s="68"/>
    </row>
    <row r="20" spans="1:27" x14ac:dyDescent="0.45">
      <c r="A20" s="54"/>
      <c r="B20" s="60"/>
      <c r="C20" s="7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71"/>
      <c r="P20" s="64"/>
      <c r="Q20" s="54"/>
      <c r="R20" s="182"/>
      <c r="S20" s="66">
        <v>17</v>
      </c>
      <c r="T20" s="77" t="s">
        <v>145</v>
      </c>
      <c r="U20" s="66" t="s">
        <v>146</v>
      </c>
      <c r="V20" s="77"/>
      <c r="W20" s="77"/>
      <c r="X20" s="77"/>
      <c r="Y20" s="67" t="s">
        <v>102</v>
      </c>
      <c r="Z20" s="66" t="s">
        <v>13</v>
      </c>
      <c r="AA20" s="68"/>
    </row>
    <row r="21" spans="1:27" ht="17.5" thickBot="1" x14ac:dyDescent="0.5">
      <c r="A21" s="54"/>
      <c r="B21" s="78" t="s">
        <v>147</v>
      </c>
      <c r="C21" s="7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71"/>
      <c r="P21" s="79" t="s">
        <v>147</v>
      </c>
      <c r="Q21" s="54"/>
      <c r="R21" s="183"/>
      <c r="S21" s="66">
        <v>18</v>
      </c>
      <c r="T21" s="77" t="s">
        <v>5</v>
      </c>
      <c r="U21" s="77" t="s">
        <v>148</v>
      </c>
      <c r="V21" s="77"/>
      <c r="W21" s="77"/>
      <c r="X21" s="77"/>
      <c r="Y21" s="67" t="s">
        <v>102</v>
      </c>
      <c r="Z21" s="66" t="s">
        <v>107</v>
      </c>
      <c r="AA21" s="68"/>
    </row>
    <row r="22" spans="1:27" x14ac:dyDescent="0.45">
      <c r="A22" s="54"/>
      <c r="B22" s="80" t="s">
        <v>149</v>
      </c>
      <c r="C22" s="70">
        <v>5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71">
        <v>14</v>
      </c>
      <c r="P22" s="80" t="s">
        <v>150</v>
      </c>
      <c r="Q22" s="54"/>
      <c r="R22" s="181" t="s">
        <v>151</v>
      </c>
      <c r="S22" s="66">
        <v>19</v>
      </c>
      <c r="T22" s="66" t="s">
        <v>152</v>
      </c>
      <c r="U22" s="66" t="s">
        <v>124</v>
      </c>
      <c r="V22" s="77"/>
      <c r="W22" s="77"/>
      <c r="X22" s="77"/>
      <c r="Y22" s="66" t="s">
        <v>125</v>
      </c>
      <c r="Z22" s="66" t="s">
        <v>126</v>
      </c>
      <c r="AA22" s="68"/>
    </row>
    <row r="23" spans="1:27" ht="17.5" thickBot="1" x14ac:dyDescent="0.5">
      <c r="A23" s="54"/>
      <c r="B23" s="81"/>
      <c r="C23" s="7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71"/>
      <c r="P23" s="81"/>
      <c r="Q23" s="54"/>
      <c r="R23" s="182"/>
      <c r="S23" s="66">
        <v>20</v>
      </c>
      <c r="T23" s="66" t="s">
        <v>153</v>
      </c>
      <c r="U23" s="66" t="s">
        <v>124</v>
      </c>
      <c r="V23" s="77"/>
      <c r="W23" s="77"/>
      <c r="X23" s="77"/>
      <c r="Y23" s="66" t="s">
        <v>125</v>
      </c>
      <c r="Z23" s="66" t="s">
        <v>126</v>
      </c>
      <c r="AA23" s="68"/>
    </row>
    <row r="24" spans="1:27" x14ac:dyDescent="0.45">
      <c r="A24" s="54"/>
      <c r="B24" s="60"/>
      <c r="C24" s="7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71"/>
      <c r="P24" s="64"/>
      <c r="Q24" s="54"/>
      <c r="R24" s="182"/>
      <c r="S24" s="66">
        <v>21</v>
      </c>
      <c r="T24" s="66" t="s">
        <v>154</v>
      </c>
      <c r="U24" s="66" t="s">
        <v>124</v>
      </c>
      <c r="V24" s="77"/>
      <c r="W24" s="77"/>
      <c r="X24" s="77"/>
      <c r="Y24" s="66" t="s">
        <v>125</v>
      </c>
      <c r="Z24" s="66" t="s">
        <v>126</v>
      </c>
      <c r="AA24" s="68"/>
    </row>
    <row r="25" spans="1:27" ht="17.5" thickBot="1" x14ac:dyDescent="0.5">
      <c r="A25" s="54"/>
      <c r="B25" s="60"/>
      <c r="C25" s="7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71"/>
      <c r="P25" s="64"/>
      <c r="Q25" s="54"/>
      <c r="R25" s="182"/>
      <c r="S25" s="66">
        <v>22</v>
      </c>
      <c r="T25" s="66" t="s">
        <v>155</v>
      </c>
      <c r="U25" s="66" t="s">
        <v>124</v>
      </c>
      <c r="V25" s="77"/>
      <c r="W25" s="77"/>
      <c r="X25" s="77"/>
      <c r="Y25" s="66" t="s">
        <v>125</v>
      </c>
      <c r="Z25" s="66" t="s">
        <v>126</v>
      </c>
      <c r="AA25" s="68"/>
    </row>
    <row r="26" spans="1:27" x14ac:dyDescent="0.45">
      <c r="A26" s="54"/>
      <c r="B26" s="82" t="s">
        <v>156</v>
      </c>
      <c r="C26" s="70">
        <v>6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71">
        <v>13</v>
      </c>
      <c r="P26" s="82" t="s">
        <v>157</v>
      </c>
      <c r="Q26" s="54"/>
      <c r="R26" s="182"/>
      <c r="S26" s="66">
        <v>23</v>
      </c>
      <c r="T26" s="66" t="s">
        <v>158</v>
      </c>
      <c r="U26" s="66" t="s">
        <v>124</v>
      </c>
      <c r="V26" s="77"/>
      <c r="W26" s="77"/>
      <c r="X26" s="77"/>
      <c r="Y26" s="66" t="s">
        <v>125</v>
      </c>
      <c r="Z26" s="66" t="s">
        <v>126</v>
      </c>
      <c r="AA26" s="68"/>
    </row>
    <row r="27" spans="1:27" ht="17.5" thickBot="1" x14ac:dyDescent="0.5">
      <c r="A27" s="54"/>
      <c r="B27" s="83"/>
      <c r="C27" s="7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71"/>
      <c r="P27" s="83"/>
      <c r="Q27" s="54"/>
      <c r="R27" s="183"/>
      <c r="S27" s="66">
        <v>24</v>
      </c>
      <c r="T27" s="66" t="s">
        <v>159</v>
      </c>
      <c r="U27" s="66" t="s">
        <v>124</v>
      </c>
      <c r="V27" s="77"/>
      <c r="W27" s="77"/>
      <c r="X27" s="77"/>
      <c r="Y27" s="66" t="s">
        <v>125</v>
      </c>
      <c r="Z27" s="66" t="s">
        <v>126</v>
      </c>
      <c r="AA27" s="68"/>
    </row>
    <row r="28" spans="1:27" x14ac:dyDescent="0.45">
      <c r="A28" s="54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4"/>
      <c r="Q28" s="54"/>
    </row>
    <row r="29" spans="1:27" ht="17.5" thickBot="1" x14ac:dyDescent="0.5">
      <c r="A29" s="54"/>
      <c r="B29" s="60"/>
      <c r="C29" s="61"/>
      <c r="D29" s="61">
        <v>7</v>
      </c>
      <c r="E29" s="61"/>
      <c r="F29" s="61">
        <v>8</v>
      </c>
      <c r="G29" s="61"/>
      <c r="H29" s="61">
        <v>9</v>
      </c>
      <c r="I29" s="61"/>
      <c r="J29" s="61">
        <v>10</v>
      </c>
      <c r="K29" s="61"/>
      <c r="L29" s="61">
        <v>11</v>
      </c>
      <c r="M29" s="61"/>
      <c r="N29" s="61">
        <v>12</v>
      </c>
      <c r="O29" s="61"/>
      <c r="P29" s="64"/>
      <c r="Q29" s="54"/>
    </row>
    <row r="30" spans="1:27" x14ac:dyDescent="0.45">
      <c r="A30" s="54"/>
      <c r="B30" s="60"/>
      <c r="C30" s="61"/>
      <c r="D30" s="58" t="s">
        <v>93</v>
      </c>
      <c r="E30" s="61"/>
      <c r="F30" s="58" t="s">
        <v>93</v>
      </c>
      <c r="G30" s="61"/>
      <c r="H30" s="58" t="s">
        <v>93</v>
      </c>
      <c r="I30" s="61"/>
      <c r="J30" s="58" t="s">
        <v>93</v>
      </c>
      <c r="K30" s="61"/>
      <c r="L30" s="58" t="s">
        <v>93</v>
      </c>
      <c r="M30" s="61"/>
      <c r="N30" s="58" t="s">
        <v>93</v>
      </c>
      <c r="O30" s="61"/>
      <c r="P30" s="64"/>
      <c r="Q30" s="54"/>
    </row>
    <row r="31" spans="1:27" ht="17.5" thickBot="1" x14ac:dyDescent="0.5">
      <c r="A31" s="54"/>
      <c r="B31" s="84"/>
      <c r="C31" s="85"/>
      <c r="D31" s="62">
        <v>12</v>
      </c>
      <c r="E31" s="86"/>
      <c r="F31" s="62">
        <v>11</v>
      </c>
      <c r="G31" s="86"/>
      <c r="H31" s="62">
        <v>10</v>
      </c>
      <c r="I31" s="86"/>
      <c r="J31" s="62">
        <v>9</v>
      </c>
      <c r="K31" s="86"/>
      <c r="L31" s="62">
        <v>8</v>
      </c>
      <c r="M31" s="86"/>
      <c r="N31" s="62">
        <v>7</v>
      </c>
      <c r="O31" s="85"/>
      <c r="P31" s="87"/>
      <c r="R31" s="88" t="s">
        <v>160</v>
      </c>
    </row>
    <row r="32" spans="1:27" x14ac:dyDescent="0.45">
      <c r="A32" s="54"/>
      <c r="B32" s="54"/>
      <c r="C32" s="54"/>
      <c r="D32" s="54"/>
      <c r="E32" s="54"/>
      <c r="F32" s="54"/>
      <c r="G32" s="54"/>
      <c r="H32" s="54"/>
      <c r="I32" s="54"/>
      <c r="J32" s="54"/>
    </row>
    <row r="42" ht="25" customHeight="1" x14ac:dyDescent="0.45"/>
    <row r="43" ht="17.5" customHeight="1" x14ac:dyDescent="0.45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zoomScale="70" zoomScaleNormal="70" workbookViewId="0"/>
  </sheetViews>
  <sheetFormatPr defaultRowHeight="17" x14ac:dyDescent="0.45"/>
  <cols>
    <col min="1" max="1" width="12.332031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32.1640625" customWidth="1"/>
    <col min="12" max="12" width="30.58203125" customWidth="1"/>
    <col min="13" max="13" width="41.83203125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 x14ac:dyDescent="0.5"/>
    <row r="3" spans="2:13" ht="17.5" thickBot="1" x14ac:dyDescent="0.5">
      <c r="B3" s="169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 x14ac:dyDescent="0.5">
      <c r="B4" s="170"/>
      <c r="C4" s="22"/>
      <c r="D4" s="89" t="s">
        <v>191</v>
      </c>
      <c r="E4" s="24"/>
      <c r="F4" s="24"/>
      <c r="G4" s="24"/>
      <c r="H4" s="24"/>
      <c r="I4" s="24"/>
      <c r="J4" s="155" t="s">
        <v>170</v>
      </c>
      <c r="K4" s="24"/>
      <c r="L4" s="24"/>
      <c r="M4" s="25"/>
    </row>
    <row r="5" spans="2:13" ht="114" customHeight="1" thickBot="1" x14ac:dyDescent="0.5">
      <c r="B5" s="170"/>
      <c r="C5" s="22" t="s">
        <v>161</v>
      </c>
      <c r="D5" s="89" t="s">
        <v>162</v>
      </c>
      <c r="E5" s="24"/>
      <c r="F5" s="24"/>
      <c r="G5" s="24"/>
      <c r="H5" s="24"/>
      <c r="I5" s="24"/>
      <c r="J5" s="155" t="s">
        <v>172</v>
      </c>
      <c r="K5" s="24"/>
      <c r="L5" s="24"/>
      <c r="M5" s="25"/>
    </row>
    <row r="6" spans="2:13" ht="43.5" x14ac:dyDescent="0.45">
      <c r="B6" s="170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163</v>
      </c>
      <c r="K6" s="7" t="s">
        <v>167</v>
      </c>
      <c r="L6" s="7" t="s">
        <v>17</v>
      </c>
      <c r="M6" s="9"/>
    </row>
    <row r="7" spans="2:13" ht="101.5" x14ac:dyDescent="0.45">
      <c r="B7" s="170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3" t="s">
        <v>164</v>
      </c>
      <c r="K7" s="12" t="s">
        <v>168</v>
      </c>
      <c r="L7" s="12" t="s">
        <v>20</v>
      </c>
      <c r="M7" s="160" t="s">
        <v>621</v>
      </c>
    </row>
    <row r="8" spans="2:13" ht="43.5" x14ac:dyDescent="0.45">
      <c r="B8" s="170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3" t="s">
        <v>165</v>
      </c>
      <c r="K8" s="159" t="s">
        <v>619</v>
      </c>
      <c r="L8" s="12" t="s">
        <v>22</v>
      </c>
      <c r="M8" s="14"/>
    </row>
    <row r="9" spans="2:13" ht="43.5" x14ac:dyDescent="0.45">
      <c r="B9" s="170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3" t="s">
        <v>166</v>
      </c>
      <c r="K9" s="12" t="s">
        <v>169</v>
      </c>
      <c r="L9" s="12" t="s">
        <v>24</v>
      </c>
      <c r="M9" s="14"/>
    </row>
    <row r="10" spans="2:13" ht="116" x14ac:dyDescent="0.45">
      <c r="B10" s="170"/>
      <c r="C10" s="10">
        <v>5</v>
      </c>
      <c r="D10" s="11" t="s">
        <v>25</v>
      </c>
      <c r="E10" s="12" t="s">
        <v>26</v>
      </c>
      <c r="F10" s="12" t="s">
        <v>27</v>
      </c>
      <c r="G10" s="15">
        <v>3.3</v>
      </c>
      <c r="H10" s="11"/>
      <c r="I10" s="12" t="s">
        <v>28</v>
      </c>
      <c r="J10" s="212" t="s">
        <v>625</v>
      </c>
      <c r="K10" s="159" t="s">
        <v>618</v>
      </c>
      <c r="L10" s="12" t="s">
        <v>29</v>
      </c>
      <c r="M10" s="14" t="s">
        <v>30</v>
      </c>
    </row>
    <row r="11" spans="2:13" ht="226.5" customHeight="1" x14ac:dyDescent="0.45">
      <c r="B11" s="170"/>
      <c r="C11" s="16">
        <v>6</v>
      </c>
      <c r="D11" s="15" t="s">
        <v>31</v>
      </c>
      <c r="E11" s="15" t="s">
        <v>32</v>
      </c>
      <c r="F11" s="17" t="s">
        <v>33</v>
      </c>
      <c r="G11" s="18">
        <v>3.3</v>
      </c>
      <c r="H11" s="18" t="s">
        <v>34</v>
      </c>
      <c r="I11" s="19" t="s">
        <v>35</v>
      </c>
      <c r="J11" s="213" t="s">
        <v>626</v>
      </c>
      <c r="K11" s="18" t="s">
        <v>173</v>
      </c>
      <c r="L11" s="15" t="s">
        <v>36</v>
      </c>
      <c r="M11" s="20" t="s">
        <v>37</v>
      </c>
    </row>
    <row r="12" spans="2:13" ht="227.5" customHeight="1" x14ac:dyDescent="0.45">
      <c r="B12" s="170"/>
      <c r="C12" s="16">
        <v>7</v>
      </c>
      <c r="D12" s="15" t="s">
        <v>38</v>
      </c>
      <c r="E12" s="15" t="s">
        <v>32</v>
      </c>
      <c r="F12" s="17" t="s">
        <v>39</v>
      </c>
      <c r="G12" s="18">
        <v>3.3</v>
      </c>
      <c r="H12" s="18" t="s">
        <v>40</v>
      </c>
      <c r="I12" s="19" t="s">
        <v>35</v>
      </c>
      <c r="J12" s="213" t="s">
        <v>627</v>
      </c>
      <c r="K12" s="18" t="s">
        <v>174</v>
      </c>
      <c r="L12" s="15" t="s">
        <v>41</v>
      </c>
      <c r="M12" s="158" t="s">
        <v>620</v>
      </c>
    </row>
    <row r="13" spans="2:13" ht="63.5" customHeight="1" thickBot="1" x14ac:dyDescent="0.5">
      <c r="B13" s="171"/>
      <c r="C13" s="47">
        <v>8</v>
      </c>
      <c r="D13" s="48" t="s">
        <v>42</v>
      </c>
      <c r="E13" s="48"/>
      <c r="F13" s="48"/>
      <c r="G13" s="90">
        <v>5.5</v>
      </c>
      <c r="H13" s="48"/>
      <c r="I13" s="48"/>
      <c r="J13" s="156" t="s">
        <v>175</v>
      </c>
      <c r="K13" s="48"/>
      <c r="L13" s="48"/>
      <c r="M13" s="48"/>
    </row>
    <row r="14" spans="2:13" x14ac:dyDescent="0.45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2:13" ht="17.5" thickBot="1" x14ac:dyDescent="0.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2:13" ht="17.5" customHeight="1" thickBot="1" x14ac:dyDescent="0.5">
      <c r="B16" s="169" t="s">
        <v>43</v>
      </c>
      <c r="C16" s="22" t="s">
        <v>1</v>
      </c>
      <c r="D16" s="23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7</v>
      </c>
      <c r="J16" s="24" t="s">
        <v>8</v>
      </c>
      <c r="K16" s="24" t="s">
        <v>44</v>
      </c>
      <c r="L16" s="24" t="s">
        <v>10</v>
      </c>
      <c r="M16" s="25" t="s">
        <v>11</v>
      </c>
    </row>
    <row r="17" spans="2:15" ht="82" customHeight="1" thickBot="1" x14ac:dyDescent="0.5">
      <c r="B17" s="172"/>
      <c r="C17" s="22" t="s">
        <v>161</v>
      </c>
      <c r="D17" s="89" t="s">
        <v>162</v>
      </c>
      <c r="E17" s="24"/>
      <c r="F17" s="24"/>
      <c r="G17" s="24"/>
      <c r="H17" s="24"/>
      <c r="I17" s="24"/>
      <c r="J17" s="155" t="s">
        <v>176</v>
      </c>
      <c r="K17" s="24"/>
      <c r="L17" s="24"/>
      <c r="M17" s="25"/>
    </row>
    <row r="18" spans="2:15" ht="17.5" customHeight="1" x14ac:dyDescent="0.45">
      <c r="B18" s="172"/>
      <c r="C18" s="5">
        <v>1</v>
      </c>
      <c r="D18" s="6" t="s">
        <v>45</v>
      </c>
      <c r="E18" s="6" t="s">
        <v>32</v>
      </c>
      <c r="F18" s="27"/>
      <c r="G18" s="6">
        <v>3.3</v>
      </c>
      <c r="H18" s="6"/>
      <c r="I18" s="6" t="s">
        <v>46</v>
      </c>
      <c r="J18" s="6"/>
      <c r="K18" s="27" t="s">
        <v>47</v>
      </c>
      <c r="L18" s="28"/>
      <c r="M18" s="29"/>
    </row>
    <row r="19" spans="2:15" ht="17.5" customHeight="1" x14ac:dyDescent="0.45">
      <c r="B19" s="172"/>
      <c r="C19" s="16">
        <v>2</v>
      </c>
      <c r="D19" s="15" t="s">
        <v>48</v>
      </c>
      <c r="E19" s="15" t="s">
        <v>32</v>
      </c>
      <c r="F19" s="30" t="s">
        <v>49</v>
      </c>
      <c r="G19" s="15">
        <v>3.3</v>
      </c>
      <c r="H19" s="15"/>
      <c r="I19" s="15" t="s">
        <v>46</v>
      </c>
      <c r="J19" s="15"/>
      <c r="K19" s="15" t="s">
        <v>50</v>
      </c>
      <c r="L19" s="31"/>
      <c r="M19" s="32"/>
    </row>
    <row r="20" spans="2:15" ht="17.5" customHeight="1" x14ac:dyDescent="0.45">
      <c r="B20" s="172"/>
      <c r="C20" s="16">
        <v>3</v>
      </c>
      <c r="D20" s="15" t="s">
        <v>51</v>
      </c>
      <c r="E20" s="15" t="s">
        <v>5</v>
      </c>
      <c r="F20" s="30"/>
      <c r="G20" s="15">
        <v>3.3</v>
      </c>
      <c r="H20" s="15" t="s">
        <v>52</v>
      </c>
      <c r="I20" s="15" t="s">
        <v>46</v>
      </c>
      <c r="J20" s="15"/>
      <c r="K20" s="15"/>
      <c r="L20" s="31"/>
      <c r="M20" s="32"/>
    </row>
    <row r="21" spans="2:15" ht="17.5" customHeight="1" thickBot="1" x14ac:dyDescent="0.5">
      <c r="B21" s="172"/>
      <c r="C21" s="93">
        <v>4</v>
      </c>
      <c r="D21" s="33" t="s">
        <v>53</v>
      </c>
      <c r="E21" s="33" t="s">
        <v>5</v>
      </c>
      <c r="F21" s="46"/>
      <c r="G21" s="33">
        <v>3.3</v>
      </c>
      <c r="H21" s="33" t="s">
        <v>54</v>
      </c>
      <c r="I21" s="33" t="s">
        <v>46</v>
      </c>
      <c r="J21" s="33"/>
      <c r="K21" s="33"/>
      <c r="L21" s="94"/>
      <c r="M21" s="95"/>
    </row>
    <row r="22" spans="2:15" ht="49.5" customHeight="1" thickBot="1" x14ac:dyDescent="0.5">
      <c r="B22" s="172"/>
      <c r="C22" s="99"/>
      <c r="D22" s="100" t="s">
        <v>56</v>
      </c>
      <c r="E22" s="100"/>
      <c r="F22" s="101"/>
      <c r="G22" s="100">
        <v>3.3</v>
      </c>
      <c r="H22" s="107" t="s">
        <v>192</v>
      </c>
      <c r="I22" s="100"/>
      <c r="J22" s="100"/>
      <c r="K22" s="100"/>
      <c r="L22" s="102"/>
      <c r="M22" s="103"/>
    </row>
    <row r="23" spans="2:15" ht="17.5" customHeight="1" x14ac:dyDescent="0.45">
      <c r="B23" s="172"/>
      <c r="C23" s="5">
        <v>5</v>
      </c>
      <c r="D23" s="6" t="s">
        <v>55</v>
      </c>
      <c r="E23" s="6" t="s">
        <v>5</v>
      </c>
      <c r="F23" s="27"/>
      <c r="G23" s="6">
        <v>3.3</v>
      </c>
      <c r="H23" s="6" t="s">
        <v>56</v>
      </c>
      <c r="I23" s="6" t="s">
        <v>46</v>
      </c>
      <c r="J23" s="6" t="s">
        <v>57</v>
      </c>
      <c r="K23" s="6"/>
      <c r="L23" s="28"/>
      <c r="M23" s="29"/>
    </row>
    <row r="24" spans="2:15" ht="29" x14ac:dyDescent="0.45">
      <c r="B24" s="172"/>
      <c r="C24" s="16">
        <v>6</v>
      </c>
      <c r="D24" s="33" t="s">
        <v>58</v>
      </c>
      <c r="E24" s="34" t="s">
        <v>59</v>
      </c>
      <c r="F24" s="30"/>
      <c r="G24" s="15">
        <v>1.5</v>
      </c>
      <c r="H24" s="15" t="s">
        <v>56</v>
      </c>
      <c r="I24" s="15" t="s">
        <v>46</v>
      </c>
      <c r="J24" s="15"/>
      <c r="K24" s="15" t="s">
        <v>60</v>
      </c>
      <c r="L24" s="31"/>
      <c r="M24" s="32"/>
    </row>
    <row r="25" spans="2:15" ht="59" customHeight="1" thickBot="1" x14ac:dyDescent="0.5">
      <c r="B25" s="172"/>
      <c r="C25" s="47"/>
      <c r="D25" s="48" t="s">
        <v>188</v>
      </c>
      <c r="E25" s="49"/>
      <c r="F25" s="106"/>
      <c r="G25" s="48">
        <v>3.3</v>
      </c>
      <c r="H25" s="49"/>
      <c r="I25" s="48"/>
      <c r="J25" s="154" t="s">
        <v>193</v>
      </c>
      <c r="K25" s="48"/>
      <c r="L25" s="51"/>
      <c r="M25" s="91"/>
    </row>
    <row r="26" spans="2:15" ht="59" customHeight="1" x14ac:dyDescent="0.45">
      <c r="B26" s="172"/>
      <c r="C26" s="10"/>
      <c r="D26" s="104" t="s">
        <v>189</v>
      </c>
      <c r="E26" s="105"/>
      <c r="F26" s="96"/>
      <c r="G26" s="11">
        <v>3.3</v>
      </c>
      <c r="H26" s="13" t="s">
        <v>190</v>
      </c>
      <c r="I26" s="11"/>
      <c r="J26" s="11"/>
      <c r="K26" s="11"/>
      <c r="L26" s="97"/>
      <c r="M26" s="98"/>
    </row>
    <row r="27" spans="2:15" ht="43.5" x14ac:dyDescent="0.45">
      <c r="B27" s="172"/>
      <c r="C27" s="16">
        <v>7</v>
      </c>
      <c r="D27" s="15" t="s">
        <v>12</v>
      </c>
      <c r="E27" s="19" t="s">
        <v>13</v>
      </c>
      <c r="F27" s="19" t="s">
        <v>14</v>
      </c>
      <c r="G27" s="19">
        <v>3.3</v>
      </c>
      <c r="H27" s="11" t="s">
        <v>15</v>
      </c>
      <c r="I27" s="19" t="s">
        <v>16</v>
      </c>
      <c r="J27" s="18" t="s">
        <v>163</v>
      </c>
      <c r="K27" s="15" t="s">
        <v>61</v>
      </c>
      <c r="L27" s="19"/>
      <c r="M27" s="35"/>
    </row>
    <row r="28" spans="2:15" ht="43.5" x14ac:dyDescent="0.45">
      <c r="B28" s="172"/>
      <c r="C28" s="16">
        <v>8</v>
      </c>
      <c r="D28" s="15" t="s">
        <v>18</v>
      </c>
      <c r="E28" s="19" t="s">
        <v>13</v>
      </c>
      <c r="F28" s="19" t="s">
        <v>19</v>
      </c>
      <c r="G28" s="19">
        <v>3.3</v>
      </c>
      <c r="H28" s="15" t="s">
        <v>15</v>
      </c>
      <c r="I28" s="19" t="s">
        <v>16</v>
      </c>
      <c r="J28" s="18" t="s">
        <v>164</v>
      </c>
      <c r="K28" s="15" t="s">
        <v>61</v>
      </c>
      <c r="L28" s="19"/>
      <c r="M28" s="35"/>
    </row>
    <row r="29" spans="2:15" ht="43.5" x14ac:dyDescent="0.45">
      <c r="B29" s="172"/>
      <c r="C29" s="16">
        <v>9</v>
      </c>
      <c r="D29" s="15" t="s">
        <v>21</v>
      </c>
      <c r="E29" s="19" t="s">
        <v>13</v>
      </c>
      <c r="F29" s="19" t="s">
        <v>19</v>
      </c>
      <c r="G29" s="19">
        <v>3.3</v>
      </c>
      <c r="H29" s="15" t="s">
        <v>15</v>
      </c>
      <c r="I29" s="19" t="s">
        <v>16</v>
      </c>
      <c r="J29" s="18" t="s">
        <v>165</v>
      </c>
      <c r="K29" s="15" t="s">
        <v>61</v>
      </c>
      <c r="L29" s="19"/>
      <c r="M29" s="35"/>
    </row>
    <row r="30" spans="2:15" ht="43.5" x14ac:dyDescent="0.45">
      <c r="B30" s="172"/>
      <c r="C30" s="16">
        <v>10</v>
      </c>
      <c r="D30" s="15" t="s">
        <v>23</v>
      </c>
      <c r="E30" s="19" t="s">
        <v>13</v>
      </c>
      <c r="F30" s="19" t="s">
        <v>19</v>
      </c>
      <c r="G30" s="19">
        <v>3.3</v>
      </c>
      <c r="H30" s="15" t="s">
        <v>15</v>
      </c>
      <c r="I30" s="19" t="s">
        <v>16</v>
      </c>
      <c r="J30" s="18" t="s">
        <v>166</v>
      </c>
      <c r="K30" s="15" t="s">
        <v>61</v>
      </c>
      <c r="L30" s="19"/>
      <c r="M30" s="35"/>
    </row>
    <row r="31" spans="2:15" ht="101.5" x14ac:dyDescent="0.45">
      <c r="B31" s="172"/>
      <c r="C31" s="16">
        <v>11</v>
      </c>
      <c r="D31" s="15" t="s">
        <v>62</v>
      </c>
      <c r="E31" s="15" t="s">
        <v>63</v>
      </c>
      <c r="F31" s="15" t="s">
        <v>195</v>
      </c>
      <c r="G31" s="15">
        <v>3.3</v>
      </c>
      <c r="H31" s="15"/>
      <c r="I31" s="15" t="s">
        <v>28</v>
      </c>
      <c r="J31" s="18" t="s">
        <v>171</v>
      </c>
      <c r="K31" s="15" t="s">
        <v>64</v>
      </c>
      <c r="L31" s="15"/>
      <c r="M31" s="32" t="s">
        <v>30</v>
      </c>
      <c r="O31" s="108"/>
    </row>
    <row r="32" spans="2:15" ht="197.5" customHeight="1" x14ac:dyDescent="0.45">
      <c r="B32" s="172"/>
      <c r="C32" s="16">
        <v>12</v>
      </c>
      <c r="D32" s="15" t="s">
        <v>65</v>
      </c>
      <c r="E32" s="15" t="s">
        <v>63</v>
      </c>
      <c r="F32" s="18" t="s">
        <v>194</v>
      </c>
      <c r="G32" s="15">
        <v>3.3</v>
      </c>
      <c r="H32" s="15" t="s">
        <v>177</v>
      </c>
      <c r="I32" s="15" t="s">
        <v>28</v>
      </c>
      <c r="J32" s="18" t="s">
        <v>196</v>
      </c>
      <c r="K32" s="15" t="s">
        <v>66</v>
      </c>
      <c r="L32" s="36"/>
      <c r="M32" s="32"/>
    </row>
    <row r="33" spans="2:13" ht="291.5" customHeight="1" x14ac:dyDescent="0.45">
      <c r="B33" s="172"/>
      <c r="C33" s="16">
        <v>13</v>
      </c>
      <c r="D33" s="15" t="s">
        <v>67</v>
      </c>
      <c r="E33" s="15" t="s">
        <v>32</v>
      </c>
      <c r="F33" s="18" t="s">
        <v>68</v>
      </c>
      <c r="G33" s="18">
        <v>3.3</v>
      </c>
      <c r="H33" s="18" t="s">
        <v>69</v>
      </c>
      <c r="I33" s="19" t="s">
        <v>35</v>
      </c>
      <c r="J33" s="18" t="s">
        <v>566</v>
      </c>
      <c r="K33" s="15" t="s">
        <v>70</v>
      </c>
      <c r="L33" s="18" t="s">
        <v>71</v>
      </c>
      <c r="M33" s="37"/>
    </row>
    <row r="34" spans="2:13" ht="409.5" customHeight="1" x14ac:dyDescent="0.45">
      <c r="B34" s="172"/>
      <c r="C34" s="16">
        <v>14</v>
      </c>
      <c r="D34" s="18" t="s">
        <v>72</v>
      </c>
      <c r="E34" s="15" t="s">
        <v>32</v>
      </c>
      <c r="F34" s="18" t="s">
        <v>184</v>
      </c>
      <c r="G34" s="18">
        <v>3.3</v>
      </c>
      <c r="H34" s="18" t="s">
        <v>178</v>
      </c>
      <c r="I34" s="19" t="s">
        <v>35</v>
      </c>
      <c r="J34" s="18" t="s">
        <v>567</v>
      </c>
      <c r="K34" s="15" t="s">
        <v>70</v>
      </c>
      <c r="L34" s="18" t="s">
        <v>71</v>
      </c>
      <c r="M34" s="37"/>
    </row>
    <row r="35" spans="2:13" ht="70" customHeight="1" x14ac:dyDescent="0.45">
      <c r="B35" s="172"/>
      <c r="C35" s="16">
        <v>15</v>
      </c>
      <c r="D35" s="18" t="s">
        <v>73</v>
      </c>
      <c r="E35" s="15" t="s">
        <v>26</v>
      </c>
      <c r="F35" s="18" t="s">
        <v>74</v>
      </c>
      <c r="G35" s="18">
        <v>3.3</v>
      </c>
      <c r="H35" s="18" t="s">
        <v>75</v>
      </c>
      <c r="I35" s="19" t="s">
        <v>76</v>
      </c>
      <c r="J35" s="18" t="s">
        <v>179</v>
      </c>
      <c r="K35" s="15"/>
      <c r="L35" s="18" t="s">
        <v>183</v>
      </c>
      <c r="M35" s="32"/>
    </row>
    <row r="36" spans="2:13" ht="58" x14ac:dyDescent="0.45">
      <c r="B36" s="172"/>
      <c r="C36" s="16">
        <v>16</v>
      </c>
      <c r="D36" s="18" t="s">
        <v>77</v>
      </c>
      <c r="E36" s="15" t="s">
        <v>26</v>
      </c>
      <c r="F36" s="18" t="s">
        <v>74</v>
      </c>
      <c r="G36" s="18">
        <v>3.3</v>
      </c>
      <c r="H36" s="18" t="s">
        <v>78</v>
      </c>
      <c r="I36" s="19" t="s">
        <v>76</v>
      </c>
      <c r="J36" s="18" t="s">
        <v>185</v>
      </c>
      <c r="K36" s="15"/>
      <c r="L36" s="18" t="s">
        <v>182</v>
      </c>
      <c r="M36" s="32"/>
    </row>
    <row r="37" spans="2:13" ht="132" customHeight="1" x14ac:dyDescent="0.45">
      <c r="B37" s="172"/>
      <c r="C37" s="16">
        <v>17</v>
      </c>
      <c r="D37" s="18" t="s">
        <v>79</v>
      </c>
      <c r="E37" s="15" t="s">
        <v>80</v>
      </c>
      <c r="F37" s="18" t="s">
        <v>81</v>
      </c>
      <c r="G37" s="18">
        <v>3.3</v>
      </c>
      <c r="H37" s="18" t="s">
        <v>82</v>
      </c>
      <c r="I37" s="19" t="s">
        <v>76</v>
      </c>
      <c r="J37" s="18" t="s">
        <v>181</v>
      </c>
      <c r="K37" s="15"/>
      <c r="L37" s="18" t="s">
        <v>180</v>
      </c>
      <c r="M37" s="38"/>
    </row>
    <row r="38" spans="2:13" ht="82.5" customHeight="1" thickBot="1" x14ac:dyDescent="0.5">
      <c r="B38" s="26"/>
      <c r="C38" s="143">
        <v>18</v>
      </c>
      <c r="D38" s="105" t="s">
        <v>83</v>
      </c>
      <c r="E38" s="104" t="s">
        <v>84</v>
      </c>
      <c r="F38" s="144" t="s">
        <v>85</v>
      </c>
      <c r="G38" s="105">
        <v>3.3</v>
      </c>
      <c r="H38" s="145" t="s">
        <v>86</v>
      </c>
      <c r="I38" s="146" t="s">
        <v>87</v>
      </c>
      <c r="J38" s="105" t="s">
        <v>186</v>
      </c>
      <c r="K38" s="104"/>
      <c r="L38" s="34" t="s">
        <v>88</v>
      </c>
      <c r="M38" s="147"/>
    </row>
    <row r="39" spans="2:13" ht="82.5" customHeight="1" thickBot="1" x14ac:dyDescent="0.5">
      <c r="B39" s="148" t="s">
        <v>614</v>
      </c>
      <c r="C39" s="99">
        <v>19</v>
      </c>
      <c r="D39" s="107" t="s">
        <v>614</v>
      </c>
      <c r="E39" s="100"/>
      <c r="F39" s="149"/>
      <c r="G39" s="107"/>
      <c r="H39" s="150"/>
      <c r="I39" s="151"/>
      <c r="J39" s="153" t="s">
        <v>617</v>
      </c>
      <c r="K39" s="100"/>
      <c r="L39" s="107"/>
      <c r="M39" s="152"/>
    </row>
    <row r="40" spans="2:13" ht="57" customHeight="1" thickBot="1" x14ac:dyDescent="0.5">
      <c r="B40" s="39" t="s">
        <v>615</v>
      </c>
      <c r="C40" s="40">
        <v>20</v>
      </c>
      <c r="D40" s="41" t="s">
        <v>615</v>
      </c>
      <c r="E40" s="42"/>
      <c r="F40" s="43" t="s">
        <v>89</v>
      </c>
      <c r="G40" s="44">
        <v>5.5</v>
      </c>
      <c r="H40" s="92"/>
      <c r="I40" s="42"/>
      <c r="J40" s="157" t="s">
        <v>187</v>
      </c>
      <c r="K40" s="42"/>
      <c r="L40" s="42"/>
      <c r="M40" s="45"/>
    </row>
    <row r="41" spans="2:13" x14ac:dyDescent="0.45">
      <c r="B41" s="172" t="s">
        <v>90</v>
      </c>
      <c r="C41" s="5">
        <v>21</v>
      </c>
      <c r="D41" s="6" t="s">
        <v>45</v>
      </c>
      <c r="E41" s="6" t="s">
        <v>32</v>
      </c>
      <c r="F41" s="27"/>
      <c r="G41" s="6">
        <v>3.3</v>
      </c>
      <c r="H41" s="6"/>
      <c r="I41" s="6" t="s">
        <v>46</v>
      </c>
      <c r="J41" s="6"/>
      <c r="K41" s="8" t="s">
        <v>91</v>
      </c>
      <c r="L41" s="28" t="s">
        <v>92</v>
      </c>
      <c r="M41" s="174" t="s">
        <v>616</v>
      </c>
    </row>
    <row r="42" spans="2:13" ht="17" customHeight="1" x14ac:dyDescent="0.45">
      <c r="B42" s="172"/>
      <c r="C42" s="16">
        <v>22</v>
      </c>
      <c r="D42" s="15" t="s">
        <v>48</v>
      </c>
      <c r="E42" s="15" t="s">
        <v>32</v>
      </c>
      <c r="F42" s="30"/>
      <c r="G42" s="15">
        <v>3.3</v>
      </c>
      <c r="H42" s="15"/>
      <c r="I42" s="15" t="s">
        <v>46</v>
      </c>
      <c r="J42" s="15"/>
      <c r="K42" s="18" t="s">
        <v>91</v>
      </c>
      <c r="L42" s="31" t="s">
        <v>92</v>
      </c>
      <c r="M42" s="175"/>
    </row>
    <row r="43" spans="2:13" x14ac:dyDescent="0.45">
      <c r="B43" s="172"/>
      <c r="C43" s="16">
        <v>23</v>
      </c>
      <c r="D43" s="15" t="s">
        <v>51</v>
      </c>
      <c r="E43" s="15" t="s">
        <v>5</v>
      </c>
      <c r="F43" s="30"/>
      <c r="G43" s="15">
        <v>3.3</v>
      </c>
      <c r="H43" s="15" t="s">
        <v>52</v>
      </c>
      <c r="I43" s="15" t="s">
        <v>46</v>
      </c>
      <c r="J43" s="15"/>
      <c r="K43" s="18" t="s">
        <v>91</v>
      </c>
      <c r="L43" s="31" t="s">
        <v>92</v>
      </c>
      <c r="M43" s="175"/>
    </row>
    <row r="44" spans="2:13" x14ac:dyDescent="0.45">
      <c r="B44" s="172"/>
      <c r="C44" s="16">
        <v>24</v>
      </c>
      <c r="D44" s="15" t="s">
        <v>53</v>
      </c>
      <c r="E44" s="15" t="s">
        <v>5</v>
      </c>
      <c r="F44" s="30"/>
      <c r="G44" s="15">
        <v>3.3</v>
      </c>
      <c r="H44" s="15" t="s">
        <v>54</v>
      </c>
      <c r="I44" s="15" t="s">
        <v>46</v>
      </c>
      <c r="J44" s="15"/>
      <c r="K44" s="18" t="s">
        <v>91</v>
      </c>
      <c r="L44" s="31" t="s">
        <v>92</v>
      </c>
      <c r="M44" s="175"/>
    </row>
    <row r="45" spans="2:13" x14ac:dyDescent="0.45">
      <c r="B45" s="172"/>
      <c r="C45" s="16">
        <v>25</v>
      </c>
      <c r="D45" s="15" t="s">
        <v>55</v>
      </c>
      <c r="E45" s="15" t="s">
        <v>5</v>
      </c>
      <c r="F45" s="30"/>
      <c r="G45" s="15">
        <v>3.3</v>
      </c>
      <c r="H45" s="15" t="s">
        <v>56</v>
      </c>
      <c r="I45" s="15" t="s">
        <v>46</v>
      </c>
      <c r="J45" s="15" t="s">
        <v>57</v>
      </c>
      <c r="K45" s="18" t="s">
        <v>91</v>
      </c>
      <c r="L45" s="31" t="s">
        <v>92</v>
      </c>
      <c r="M45" s="175"/>
    </row>
    <row r="46" spans="2:13" ht="29" x14ac:dyDescent="0.45">
      <c r="B46" s="172"/>
      <c r="C46" s="16">
        <v>26</v>
      </c>
      <c r="D46" s="33" t="s">
        <v>58</v>
      </c>
      <c r="E46" s="34" t="s">
        <v>59</v>
      </c>
      <c r="F46" s="46"/>
      <c r="G46" s="33">
        <v>1.5</v>
      </c>
      <c r="H46" s="15" t="s">
        <v>56</v>
      </c>
      <c r="I46" s="15" t="s">
        <v>46</v>
      </c>
      <c r="J46" s="33"/>
      <c r="K46" s="18" t="s">
        <v>91</v>
      </c>
      <c r="L46" s="31" t="s">
        <v>92</v>
      </c>
      <c r="M46" s="175"/>
    </row>
    <row r="47" spans="2:13" ht="281" customHeight="1" thickBot="1" x14ac:dyDescent="0.5">
      <c r="B47" s="173"/>
      <c r="C47" s="47">
        <v>27</v>
      </c>
      <c r="D47" s="48" t="s">
        <v>67</v>
      </c>
      <c r="E47" s="48" t="s">
        <v>32</v>
      </c>
      <c r="F47" s="49" t="s">
        <v>68</v>
      </c>
      <c r="G47" s="49">
        <v>3.3</v>
      </c>
      <c r="H47" s="49" t="s">
        <v>69</v>
      </c>
      <c r="I47" s="50" t="s">
        <v>35</v>
      </c>
      <c r="J47" s="49" t="s">
        <v>566</v>
      </c>
      <c r="K47" s="49" t="s">
        <v>91</v>
      </c>
      <c r="L47" s="51" t="s">
        <v>92</v>
      </c>
      <c r="M47" s="176"/>
    </row>
    <row r="48" spans="2:13" ht="65" customHeight="1" x14ac:dyDescent="0.45">
      <c r="G48" s="52"/>
    </row>
    <row r="49" spans="7:7" x14ac:dyDescent="0.45">
      <c r="G49" s="52"/>
    </row>
    <row r="50" spans="7:7" x14ac:dyDescent="0.45">
      <c r="G50" s="52"/>
    </row>
    <row r="51" spans="7:7" x14ac:dyDescent="0.45">
      <c r="G51" s="52"/>
    </row>
    <row r="52" spans="7:7" x14ac:dyDescent="0.45">
      <c r="G52" s="52"/>
    </row>
    <row r="94" spans="3:15" x14ac:dyDescent="0.45">
      <c r="C94" s="177"/>
      <c r="D94" s="178"/>
      <c r="E94" s="178"/>
      <c r="F94" s="178"/>
      <c r="G94" s="178"/>
      <c r="H94" s="178"/>
      <c r="I94" s="178"/>
      <c r="J94" s="179"/>
      <c r="K94" s="53"/>
      <c r="L94" s="53"/>
      <c r="M94" s="53"/>
      <c r="N94" s="53"/>
      <c r="O94" s="53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1:C19"/>
  <sheetViews>
    <sheetView workbookViewId="0">
      <selection activeCell="B3" sqref="B3:C19"/>
    </sheetView>
  </sheetViews>
  <sheetFormatPr defaultRowHeight="17" x14ac:dyDescent="0.45"/>
  <cols>
    <col min="3" max="3" width="11.33203125" bestFit="1" customWidth="1"/>
  </cols>
  <sheetData>
    <row r="1" spans="2:3" ht="17.5" thickBot="1" x14ac:dyDescent="0.5"/>
    <row r="2" spans="2:3" ht="17.5" thickBot="1" x14ac:dyDescent="0.5">
      <c r="B2" s="184" t="s">
        <v>622</v>
      </c>
      <c r="C2" s="185"/>
    </row>
    <row r="3" spans="2:3" ht="17.5" thickBot="1" x14ac:dyDescent="0.5">
      <c r="B3" s="167" t="s">
        <v>623</v>
      </c>
      <c r="C3" s="168" t="s">
        <v>624</v>
      </c>
    </row>
    <row r="4" spans="2:3" x14ac:dyDescent="0.45">
      <c r="B4" s="165">
        <v>0</v>
      </c>
      <c r="C4" s="166">
        <v>15</v>
      </c>
    </row>
    <row r="5" spans="2:3" x14ac:dyDescent="0.45">
      <c r="B5" s="161">
        <v>1</v>
      </c>
      <c r="C5" s="162">
        <v>14</v>
      </c>
    </row>
    <row r="6" spans="2:3" x14ac:dyDescent="0.45">
      <c r="B6" s="161">
        <v>2</v>
      </c>
      <c r="C6" s="162">
        <v>13</v>
      </c>
    </row>
    <row r="7" spans="2:3" x14ac:dyDescent="0.45">
      <c r="B7" s="161">
        <v>3</v>
      </c>
      <c r="C7" s="162">
        <v>12</v>
      </c>
    </row>
    <row r="8" spans="2:3" x14ac:dyDescent="0.45">
      <c r="B8" s="161">
        <v>4</v>
      </c>
      <c r="C8" s="162">
        <v>11</v>
      </c>
    </row>
    <row r="9" spans="2:3" x14ac:dyDescent="0.45">
      <c r="B9" s="161">
        <v>5</v>
      </c>
      <c r="C9" s="162">
        <v>10</v>
      </c>
    </row>
    <row r="10" spans="2:3" x14ac:dyDescent="0.45">
      <c r="B10" s="161">
        <v>6</v>
      </c>
      <c r="C10" s="162">
        <v>9</v>
      </c>
    </row>
    <row r="11" spans="2:3" x14ac:dyDescent="0.45">
      <c r="B11" s="161">
        <v>7</v>
      </c>
      <c r="C11" s="162">
        <v>8</v>
      </c>
    </row>
    <row r="12" spans="2:3" x14ac:dyDescent="0.45">
      <c r="B12" s="161">
        <v>8</v>
      </c>
      <c r="C12" s="162">
        <v>0</v>
      </c>
    </row>
    <row r="13" spans="2:3" x14ac:dyDescent="0.45">
      <c r="B13" s="161">
        <v>9</v>
      </c>
      <c r="C13" s="162">
        <v>1</v>
      </c>
    </row>
    <row r="14" spans="2:3" x14ac:dyDescent="0.45">
      <c r="B14" s="161">
        <v>10</v>
      </c>
      <c r="C14" s="162">
        <v>2</v>
      </c>
    </row>
    <row r="15" spans="2:3" x14ac:dyDescent="0.45">
      <c r="B15" s="161">
        <v>11</v>
      </c>
      <c r="C15" s="162">
        <v>3</v>
      </c>
    </row>
    <row r="16" spans="2:3" x14ac:dyDescent="0.45">
      <c r="B16" s="161">
        <v>12</v>
      </c>
      <c r="C16" s="162">
        <v>4</v>
      </c>
    </row>
    <row r="17" spans="2:3" x14ac:dyDescent="0.45">
      <c r="B17" s="161">
        <v>13</v>
      </c>
      <c r="C17" s="162">
        <v>5</v>
      </c>
    </row>
    <row r="18" spans="2:3" x14ac:dyDescent="0.45">
      <c r="B18" s="161">
        <v>14</v>
      </c>
      <c r="C18" s="162">
        <v>6</v>
      </c>
    </row>
    <row r="19" spans="2:3" ht="17.5" thickBot="1" x14ac:dyDescent="0.5">
      <c r="B19" s="163">
        <v>15</v>
      </c>
      <c r="C19" s="164">
        <v>7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 x14ac:dyDescent="0.45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9" customWidth="1"/>
    <col min="19" max="19" width="39" style="109" customWidth="1"/>
  </cols>
  <sheetData>
    <row r="2" spans="2:19" x14ac:dyDescent="0.45">
      <c r="S2" s="110" t="s">
        <v>197</v>
      </c>
    </row>
    <row r="3" spans="2:19" x14ac:dyDescent="0.45">
      <c r="B3" s="111" t="s">
        <v>198</v>
      </c>
      <c r="C3" s="112" t="s">
        <v>199</v>
      </c>
      <c r="D3" s="112" t="s">
        <v>200</v>
      </c>
      <c r="E3" s="112"/>
      <c r="F3" s="112" t="s">
        <v>201</v>
      </c>
      <c r="G3" s="112" t="s">
        <v>202</v>
      </c>
      <c r="H3" s="112" t="s">
        <v>203</v>
      </c>
      <c r="I3" s="112" t="s">
        <v>204</v>
      </c>
      <c r="J3" s="112" t="s">
        <v>205</v>
      </c>
      <c r="K3" s="112" t="s">
        <v>206</v>
      </c>
      <c r="L3" s="112" t="s">
        <v>207</v>
      </c>
      <c r="M3" s="112" t="s">
        <v>208</v>
      </c>
      <c r="N3" s="112" t="s">
        <v>209</v>
      </c>
      <c r="O3" s="112" t="s">
        <v>210</v>
      </c>
      <c r="P3" s="112" t="s">
        <v>211</v>
      </c>
      <c r="Q3" s="112" t="s">
        <v>212</v>
      </c>
      <c r="S3" s="113"/>
    </row>
    <row r="4" spans="2:19" x14ac:dyDescent="0.45">
      <c r="B4" s="114" t="s">
        <v>213</v>
      </c>
      <c r="C4" s="115" t="s">
        <v>214</v>
      </c>
      <c r="D4" s="115" t="s">
        <v>215</v>
      </c>
      <c r="E4" s="115"/>
      <c r="F4" s="116" t="s">
        <v>216</v>
      </c>
      <c r="G4" s="116" t="s">
        <v>217</v>
      </c>
      <c r="H4" s="116" t="s">
        <v>218</v>
      </c>
      <c r="I4" s="116" t="s">
        <v>219</v>
      </c>
      <c r="J4" s="117"/>
      <c r="K4" s="118"/>
      <c r="L4" s="118"/>
      <c r="M4" s="186" t="s">
        <v>220</v>
      </c>
      <c r="N4" s="186"/>
      <c r="O4" s="186"/>
      <c r="P4" s="186"/>
      <c r="Q4" s="186"/>
      <c r="R4" s="109" t="s">
        <v>221</v>
      </c>
      <c r="S4" s="113"/>
    </row>
    <row r="5" spans="2:19" ht="34" x14ac:dyDescent="0.45">
      <c r="B5" s="114" t="s">
        <v>222</v>
      </c>
      <c r="C5" s="115" t="s">
        <v>223</v>
      </c>
      <c r="D5" s="115" t="s">
        <v>224</v>
      </c>
      <c r="E5" s="115"/>
      <c r="F5" s="117"/>
      <c r="G5" s="187" t="s">
        <v>225</v>
      </c>
      <c r="H5" s="188"/>
      <c r="I5" s="188"/>
      <c r="J5" s="188"/>
      <c r="K5" s="188"/>
      <c r="L5" s="189"/>
      <c r="M5" s="116" t="s">
        <v>226</v>
      </c>
      <c r="N5" s="120" t="s">
        <v>227</v>
      </c>
      <c r="O5" s="121" t="s">
        <v>228</v>
      </c>
      <c r="P5" s="121" t="s">
        <v>229</v>
      </c>
      <c r="Q5" s="120" t="s">
        <v>230</v>
      </c>
      <c r="R5" s="122" t="s">
        <v>231</v>
      </c>
      <c r="S5" s="113" t="s">
        <v>232</v>
      </c>
    </row>
    <row r="6" spans="2:19" x14ac:dyDescent="0.45">
      <c r="B6" s="114" t="s">
        <v>233</v>
      </c>
      <c r="C6" s="115" t="s">
        <v>234</v>
      </c>
      <c r="D6" s="115" t="s">
        <v>224</v>
      </c>
      <c r="E6" s="115"/>
      <c r="F6" s="123"/>
      <c r="G6" s="123"/>
      <c r="H6" s="123"/>
      <c r="I6" s="123"/>
      <c r="J6" s="123"/>
      <c r="K6" s="123"/>
      <c r="L6" s="123"/>
      <c r="M6" s="190" t="s">
        <v>235</v>
      </c>
      <c r="N6" s="190"/>
      <c r="O6" s="190"/>
      <c r="P6" s="190"/>
      <c r="Q6" s="190"/>
      <c r="R6" s="109" t="s">
        <v>236</v>
      </c>
      <c r="S6" s="113" t="s">
        <v>237</v>
      </c>
    </row>
    <row r="7" spans="2:19" x14ac:dyDescent="0.45">
      <c r="B7" s="114" t="s">
        <v>238</v>
      </c>
      <c r="C7" s="115" t="s">
        <v>239</v>
      </c>
      <c r="D7" s="115" t="s">
        <v>224</v>
      </c>
      <c r="E7" s="115"/>
      <c r="F7" s="191" t="s">
        <v>240</v>
      </c>
      <c r="G7" s="191"/>
      <c r="H7" s="191"/>
      <c r="I7" s="191"/>
      <c r="J7" s="191" t="s">
        <v>241</v>
      </c>
      <c r="K7" s="191"/>
      <c r="L7" s="191"/>
      <c r="M7" s="191"/>
      <c r="N7" s="191"/>
      <c r="O7" s="191"/>
      <c r="P7" s="191"/>
      <c r="Q7" s="191"/>
      <c r="R7" s="109" t="s">
        <v>242</v>
      </c>
      <c r="S7" s="113" t="s">
        <v>243</v>
      </c>
    </row>
    <row r="8" spans="2:19" x14ac:dyDescent="0.45">
      <c r="B8" s="114" t="s">
        <v>244</v>
      </c>
      <c r="C8" s="115" t="s">
        <v>245</v>
      </c>
      <c r="D8" s="115" t="s">
        <v>224</v>
      </c>
      <c r="E8" s="115"/>
      <c r="F8" s="191" t="s">
        <v>246</v>
      </c>
      <c r="G8" s="191"/>
      <c r="H8" s="191"/>
      <c r="I8" s="191"/>
      <c r="J8" s="191"/>
      <c r="K8" s="191"/>
      <c r="L8" s="191"/>
      <c r="M8" s="191"/>
      <c r="N8" s="191" t="s">
        <v>247</v>
      </c>
      <c r="O8" s="191"/>
      <c r="P8" s="191"/>
      <c r="Q8" s="191"/>
      <c r="S8" s="113" t="s">
        <v>248</v>
      </c>
    </row>
    <row r="9" spans="2:19" x14ac:dyDescent="0.45">
      <c r="B9" s="114" t="s">
        <v>249</v>
      </c>
      <c r="C9" s="115" t="s">
        <v>250</v>
      </c>
      <c r="D9" s="115" t="s">
        <v>224</v>
      </c>
      <c r="E9" s="115"/>
      <c r="F9" s="119" t="s">
        <v>251</v>
      </c>
      <c r="G9" s="119" t="s">
        <v>252</v>
      </c>
      <c r="H9" s="119" t="s">
        <v>253</v>
      </c>
      <c r="I9" s="119" t="s">
        <v>254</v>
      </c>
      <c r="J9" s="119" t="s">
        <v>255</v>
      </c>
      <c r="K9" s="119" t="s">
        <v>256</v>
      </c>
      <c r="L9" s="119" t="s">
        <v>257</v>
      </c>
      <c r="M9" s="119" t="s">
        <v>258</v>
      </c>
      <c r="N9" s="119" t="s">
        <v>259</v>
      </c>
      <c r="O9" s="119" t="s">
        <v>260</v>
      </c>
      <c r="P9" s="119" t="s">
        <v>261</v>
      </c>
      <c r="Q9" s="119" t="s">
        <v>262</v>
      </c>
      <c r="R9" s="109" t="s">
        <v>263</v>
      </c>
      <c r="S9" s="113" t="s">
        <v>264</v>
      </c>
    </row>
    <row r="10" spans="2:19" x14ac:dyDescent="0.45">
      <c r="B10" s="114" t="s">
        <v>265</v>
      </c>
      <c r="C10" s="115" t="s">
        <v>266</v>
      </c>
      <c r="D10" s="115" t="s">
        <v>224</v>
      </c>
      <c r="E10" s="115"/>
      <c r="F10" s="194" t="s">
        <v>267</v>
      </c>
      <c r="G10" s="195"/>
      <c r="H10" s="196" t="s">
        <v>268</v>
      </c>
      <c r="I10" s="197"/>
      <c r="J10" s="197"/>
      <c r="K10" s="195"/>
      <c r="L10" s="116" t="s">
        <v>269</v>
      </c>
      <c r="M10" s="116" t="s">
        <v>270</v>
      </c>
      <c r="N10" s="120" t="s">
        <v>271</v>
      </c>
      <c r="O10" s="119" t="s">
        <v>272</v>
      </c>
      <c r="P10" s="119" t="s">
        <v>273</v>
      </c>
      <c r="Q10" s="116" t="s">
        <v>274</v>
      </c>
      <c r="R10" s="109" t="s">
        <v>275</v>
      </c>
      <c r="S10" s="113" t="s">
        <v>276</v>
      </c>
    </row>
    <row r="11" spans="2:19" x14ac:dyDescent="0.45">
      <c r="B11" s="114" t="s">
        <v>277</v>
      </c>
      <c r="C11" s="115" t="s">
        <v>278</v>
      </c>
      <c r="D11" s="115" t="s">
        <v>279</v>
      </c>
      <c r="E11" s="115"/>
      <c r="F11" s="192" t="s">
        <v>280</v>
      </c>
      <c r="G11" s="193"/>
      <c r="H11" s="192" t="s">
        <v>281</v>
      </c>
      <c r="I11" s="193"/>
      <c r="J11" s="192" t="s">
        <v>282</v>
      </c>
      <c r="K11" s="193"/>
      <c r="L11" s="192" t="s">
        <v>283</v>
      </c>
      <c r="M11" s="193"/>
      <c r="N11" s="192" t="s">
        <v>284</v>
      </c>
      <c r="O11" s="193"/>
      <c r="P11" s="192" t="s">
        <v>285</v>
      </c>
      <c r="Q11" s="193"/>
      <c r="R11" s="109" t="s">
        <v>286</v>
      </c>
      <c r="S11" s="113" t="s">
        <v>287</v>
      </c>
    </row>
    <row r="12" spans="2:19" x14ac:dyDescent="0.45">
      <c r="B12" s="114" t="s">
        <v>288</v>
      </c>
      <c r="C12" s="115" t="s">
        <v>289</v>
      </c>
      <c r="D12" s="115" t="s">
        <v>279</v>
      </c>
      <c r="E12" s="115"/>
      <c r="F12" s="192" t="s">
        <v>290</v>
      </c>
      <c r="G12" s="193"/>
      <c r="H12" s="192" t="s">
        <v>291</v>
      </c>
      <c r="I12" s="193"/>
      <c r="J12" s="192" t="s">
        <v>292</v>
      </c>
      <c r="K12" s="193"/>
      <c r="L12" s="192" t="s">
        <v>293</v>
      </c>
      <c r="M12" s="193"/>
      <c r="N12" s="192" t="s">
        <v>294</v>
      </c>
      <c r="O12" s="193"/>
      <c r="P12" s="192" t="s">
        <v>295</v>
      </c>
      <c r="Q12" s="193"/>
      <c r="S12" s="113" t="s">
        <v>287</v>
      </c>
    </row>
    <row r="13" spans="2:19" x14ac:dyDescent="0.45">
      <c r="B13" s="114"/>
      <c r="C13" s="115"/>
      <c r="D13" s="115"/>
      <c r="E13" s="115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S13" s="113"/>
    </row>
    <row r="14" spans="2:19" x14ac:dyDescent="0.45">
      <c r="B14" s="114" t="s">
        <v>296</v>
      </c>
      <c r="C14" s="115" t="s">
        <v>297</v>
      </c>
      <c r="D14" s="115" t="s">
        <v>279</v>
      </c>
      <c r="E14" s="115"/>
      <c r="F14" s="116" t="s">
        <v>298</v>
      </c>
      <c r="G14" s="116" t="s">
        <v>299</v>
      </c>
      <c r="H14" s="116" t="s">
        <v>300</v>
      </c>
      <c r="I14" s="116" t="s">
        <v>301</v>
      </c>
      <c r="J14" s="116" t="s">
        <v>302</v>
      </c>
      <c r="K14" s="116" t="s">
        <v>303</v>
      </c>
      <c r="L14" s="119" t="s">
        <v>304</v>
      </c>
      <c r="M14" s="116" t="s">
        <v>305</v>
      </c>
      <c r="N14" s="116" t="s">
        <v>306</v>
      </c>
      <c r="O14" s="119" t="s">
        <v>307</v>
      </c>
      <c r="P14" s="119" t="s">
        <v>308</v>
      </c>
      <c r="Q14" s="119" t="s">
        <v>309</v>
      </c>
      <c r="S14" s="113"/>
    </row>
    <row r="15" spans="2:19" x14ac:dyDescent="0.45">
      <c r="B15" s="114" t="s">
        <v>310</v>
      </c>
      <c r="C15" s="115" t="s">
        <v>311</v>
      </c>
      <c r="D15" s="115" t="s">
        <v>279</v>
      </c>
      <c r="E15" s="115"/>
      <c r="F15" s="198" t="s">
        <v>312</v>
      </c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3"/>
      <c r="R15" s="109" t="s">
        <v>313</v>
      </c>
      <c r="S15" s="113" t="s">
        <v>314</v>
      </c>
    </row>
    <row r="16" spans="2:19" x14ac:dyDescent="0.45">
      <c r="B16" s="114" t="s">
        <v>315</v>
      </c>
      <c r="C16" s="115" t="s">
        <v>316</v>
      </c>
      <c r="D16" s="115" t="s">
        <v>279</v>
      </c>
      <c r="E16" s="115"/>
      <c r="F16" s="198" t="s">
        <v>317</v>
      </c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3"/>
      <c r="R16" s="109" t="s">
        <v>318</v>
      </c>
      <c r="S16" s="113" t="s">
        <v>314</v>
      </c>
    </row>
    <row r="17" spans="2:19" x14ac:dyDescent="0.45">
      <c r="B17" s="114" t="s">
        <v>319</v>
      </c>
      <c r="C17" s="115" t="s">
        <v>320</v>
      </c>
      <c r="D17" s="115" t="s">
        <v>279</v>
      </c>
      <c r="E17" s="115"/>
      <c r="F17" s="186" t="s">
        <v>321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09" t="s">
        <v>322</v>
      </c>
      <c r="S17" s="113" t="s">
        <v>314</v>
      </c>
    </row>
    <row r="18" spans="2:19" x14ac:dyDescent="0.45">
      <c r="B18" s="114" t="s">
        <v>323</v>
      </c>
      <c r="C18" s="115" t="s">
        <v>324</v>
      </c>
      <c r="D18" s="115" t="s">
        <v>279</v>
      </c>
      <c r="E18" s="115"/>
      <c r="F18" s="186" t="s">
        <v>325</v>
      </c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S18" s="113" t="s">
        <v>326</v>
      </c>
    </row>
    <row r="19" spans="2:19" x14ac:dyDescent="0.45">
      <c r="B19" s="114" t="s">
        <v>327</v>
      </c>
      <c r="C19" s="115" t="s">
        <v>328</v>
      </c>
      <c r="D19" s="115" t="s">
        <v>279</v>
      </c>
      <c r="E19" s="115"/>
      <c r="F19" s="186" t="s">
        <v>329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S19" s="113" t="s">
        <v>326</v>
      </c>
    </row>
    <row r="20" spans="2:19" x14ac:dyDescent="0.45">
      <c r="B20" s="114" t="s">
        <v>330</v>
      </c>
      <c r="C20" s="115" t="s">
        <v>331</v>
      </c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S20" s="113"/>
    </row>
    <row r="21" spans="2:19" x14ac:dyDescent="0.45">
      <c r="B21" s="114" t="s">
        <v>332</v>
      </c>
      <c r="C21" s="115" t="s">
        <v>333</v>
      </c>
      <c r="D21" s="115" t="s">
        <v>279</v>
      </c>
      <c r="E21" s="115"/>
      <c r="F21" s="125"/>
      <c r="G21" s="125"/>
      <c r="H21" s="191" t="s">
        <v>334</v>
      </c>
      <c r="I21" s="191"/>
      <c r="J21" s="191"/>
      <c r="K21" s="191"/>
      <c r="L21" s="191"/>
      <c r="M21" s="191" t="s">
        <v>335</v>
      </c>
      <c r="N21" s="191"/>
      <c r="O21" s="191"/>
      <c r="P21" s="191"/>
      <c r="Q21" s="191"/>
      <c r="R21" s="109" t="s">
        <v>336</v>
      </c>
      <c r="S21" s="113" t="s">
        <v>337</v>
      </c>
    </row>
    <row r="22" spans="2:19" x14ac:dyDescent="0.45">
      <c r="B22" s="114" t="s">
        <v>338</v>
      </c>
      <c r="C22" s="115" t="s">
        <v>339</v>
      </c>
      <c r="D22" s="115" t="s">
        <v>279</v>
      </c>
      <c r="E22" s="115"/>
      <c r="F22" s="125"/>
      <c r="G22" s="125"/>
      <c r="H22" s="191" t="s">
        <v>340</v>
      </c>
      <c r="I22" s="191"/>
      <c r="J22" s="191"/>
      <c r="K22" s="191"/>
      <c r="L22" s="191"/>
      <c r="M22" s="191" t="s">
        <v>341</v>
      </c>
      <c r="N22" s="191"/>
      <c r="O22" s="191"/>
      <c r="P22" s="191"/>
      <c r="Q22" s="191"/>
      <c r="S22" s="113" t="s">
        <v>342</v>
      </c>
    </row>
    <row r="23" spans="2:19" x14ac:dyDescent="0.45">
      <c r="B23" s="114" t="s">
        <v>343</v>
      </c>
      <c r="C23" s="115" t="s">
        <v>344</v>
      </c>
      <c r="D23" s="115" t="s">
        <v>279</v>
      </c>
      <c r="E23" s="115"/>
      <c r="F23" s="125"/>
      <c r="G23" s="125"/>
      <c r="H23" s="191" t="s">
        <v>345</v>
      </c>
      <c r="I23" s="191"/>
      <c r="J23" s="191"/>
      <c r="K23" s="191"/>
      <c r="L23" s="191"/>
      <c r="M23" s="191" t="s">
        <v>346</v>
      </c>
      <c r="N23" s="191"/>
      <c r="O23" s="191"/>
      <c r="P23" s="191"/>
      <c r="Q23" s="191"/>
      <c r="S23" s="113" t="s">
        <v>347</v>
      </c>
    </row>
    <row r="24" spans="2:19" x14ac:dyDescent="0.45">
      <c r="B24" s="114" t="s">
        <v>348</v>
      </c>
      <c r="C24" s="115" t="s">
        <v>349</v>
      </c>
      <c r="D24" s="115" t="s">
        <v>279</v>
      </c>
      <c r="E24" s="115"/>
      <c r="F24" s="125"/>
      <c r="G24" s="125"/>
      <c r="H24" s="191" t="s">
        <v>350</v>
      </c>
      <c r="I24" s="191"/>
      <c r="J24" s="191"/>
      <c r="K24" s="191"/>
      <c r="L24" s="191"/>
      <c r="M24" s="191" t="s">
        <v>351</v>
      </c>
      <c r="N24" s="191"/>
      <c r="O24" s="191"/>
      <c r="P24" s="191"/>
      <c r="Q24" s="191"/>
      <c r="S24" s="113" t="s">
        <v>352</v>
      </c>
    </row>
    <row r="25" spans="2:19" x14ac:dyDescent="0.45">
      <c r="B25" s="114" t="s">
        <v>353</v>
      </c>
      <c r="C25" s="115" t="s">
        <v>354</v>
      </c>
      <c r="D25" s="115" t="s">
        <v>279</v>
      </c>
      <c r="E25" s="115"/>
      <c r="F25" s="125"/>
      <c r="G25" s="125"/>
      <c r="H25" s="191" t="s">
        <v>355</v>
      </c>
      <c r="I25" s="191"/>
      <c r="J25" s="191"/>
      <c r="K25" s="191"/>
      <c r="L25" s="191"/>
      <c r="M25" s="191" t="s">
        <v>356</v>
      </c>
      <c r="N25" s="191"/>
      <c r="O25" s="191"/>
      <c r="P25" s="191"/>
      <c r="Q25" s="191"/>
      <c r="S25" s="113" t="s">
        <v>357</v>
      </c>
    </row>
    <row r="26" spans="2:19" x14ac:dyDescent="0.45">
      <c r="B26" s="114" t="s">
        <v>358</v>
      </c>
      <c r="C26" s="115" t="s">
        <v>359</v>
      </c>
      <c r="D26" s="115" t="s">
        <v>279</v>
      </c>
      <c r="E26" s="115"/>
      <c r="F26" s="125"/>
      <c r="G26" s="125"/>
      <c r="H26" s="191" t="s">
        <v>360</v>
      </c>
      <c r="I26" s="191"/>
      <c r="J26" s="191"/>
      <c r="K26" s="191"/>
      <c r="L26" s="191"/>
      <c r="M26" s="191" t="s">
        <v>361</v>
      </c>
      <c r="N26" s="191"/>
      <c r="O26" s="191"/>
      <c r="P26" s="191"/>
      <c r="Q26" s="191"/>
      <c r="S26" s="113" t="s">
        <v>362</v>
      </c>
    </row>
    <row r="27" spans="2:19" x14ac:dyDescent="0.45">
      <c r="B27" s="114" t="s">
        <v>363</v>
      </c>
      <c r="C27" s="115" t="s">
        <v>364</v>
      </c>
      <c r="D27" s="115" t="s">
        <v>224</v>
      </c>
      <c r="E27" s="115"/>
      <c r="F27" s="200" t="s">
        <v>365</v>
      </c>
      <c r="G27" s="200"/>
      <c r="H27" s="200"/>
      <c r="I27" s="200" t="s">
        <v>366</v>
      </c>
      <c r="J27" s="200"/>
      <c r="K27" s="200"/>
      <c r="L27" s="200" t="s">
        <v>367</v>
      </c>
      <c r="M27" s="200"/>
      <c r="N27" s="200"/>
      <c r="O27" s="200" t="s">
        <v>368</v>
      </c>
      <c r="P27" s="200"/>
      <c r="Q27" s="200"/>
      <c r="R27" s="109" t="s">
        <v>369</v>
      </c>
      <c r="S27" s="113" t="s">
        <v>326</v>
      </c>
    </row>
    <row r="28" spans="2:19" x14ac:dyDescent="0.45">
      <c r="B28" s="114" t="s">
        <v>370</v>
      </c>
      <c r="C28" s="115" t="s">
        <v>371</v>
      </c>
      <c r="D28" s="115" t="s">
        <v>224</v>
      </c>
      <c r="E28" s="115"/>
      <c r="F28" s="200" t="s">
        <v>372</v>
      </c>
      <c r="G28" s="200"/>
      <c r="H28" s="200"/>
      <c r="I28" s="201" t="s">
        <v>373</v>
      </c>
      <c r="J28" s="202"/>
      <c r="K28" s="203"/>
      <c r="L28" s="200" t="s">
        <v>374</v>
      </c>
      <c r="M28" s="200"/>
      <c r="N28" s="200"/>
      <c r="O28" s="200" t="s">
        <v>375</v>
      </c>
      <c r="P28" s="200"/>
      <c r="Q28" s="200"/>
      <c r="S28" s="113" t="s">
        <v>376</v>
      </c>
    </row>
    <row r="29" spans="2:19" x14ac:dyDescent="0.45">
      <c r="B29" s="114" t="s">
        <v>377</v>
      </c>
      <c r="C29" s="115" t="s">
        <v>378</v>
      </c>
      <c r="D29" s="115" t="s">
        <v>224</v>
      </c>
      <c r="E29" s="115"/>
      <c r="F29" s="117"/>
      <c r="G29" s="117"/>
      <c r="H29" s="117"/>
      <c r="I29" s="117"/>
      <c r="J29" s="117"/>
      <c r="K29" s="117"/>
      <c r="L29" s="200" t="s">
        <v>379</v>
      </c>
      <c r="M29" s="200"/>
      <c r="N29" s="200"/>
      <c r="O29" s="200" t="s">
        <v>380</v>
      </c>
      <c r="P29" s="200"/>
      <c r="Q29" s="200"/>
      <c r="S29" s="113" t="s">
        <v>381</v>
      </c>
    </row>
    <row r="30" spans="2:19" x14ac:dyDescent="0.45">
      <c r="B30" s="114" t="s">
        <v>382</v>
      </c>
      <c r="C30" s="115" t="s">
        <v>383</v>
      </c>
      <c r="D30" s="115" t="s">
        <v>279</v>
      </c>
      <c r="E30" s="115"/>
      <c r="F30" s="204" t="s">
        <v>384</v>
      </c>
      <c r="G30" s="204"/>
      <c r="H30" s="204"/>
      <c r="I30" s="204"/>
      <c r="J30" s="204" t="s">
        <v>385</v>
      </c>
      <c r="K30" s="204"/>
      <c r="L30" s="204"/>
      <c r="M30" s="204"/>
      <c r="N30" s="204" t="s">
        <v>386</v>
      </c>
      <c r="O30" s="204"/>
      <c r="P30" s="204"/>
      <c r="Q30" s="204"/>
      <c r="R30" s="109" t="s">
        <v>387</v>
      </c>
      <c r="S30" s="113" t="s">
        <v>388</v>
      </c>
    </row>
    <row r="31" spans="2:19" x14ac:dyDescent="0.45">
      <c r="B31" s="114" t="s">
        <v>389</v>
      </c>
      <c r="C31" s="115" t="s">
        <v>390</v>
      </c>
      <c r="D31" s="115" t="s">
        <v>279</v>
      </c>
      <c r="E31" s="115"/>
      <c r="F31" s="117"/>
      <c r="G31" s="117"/>
      <c r="H31" s="117"/>
      <c r="I31" s="117"/>
      <c r="J31" s="204" t="s">
        <v>391</v>
      </c>
      <c r="K31" s="204"/>
      <c r="L31" s="204"/>
      <c r="M31" s="204"/>
      <c r="N31" s="204" t="s">
        <v>392</v>
      </c>
      <c r="O31" s="204"/>
      <c r="P31" s="204"/>
      <c r="Q31" s="204"/>
      <c r="S31" s="113" t="s">
        <v>326</v>
      </c>
    </row>
    <row r="32" spans="2:19" x14ac:dyDescent="0.45">
      <c r="B32" s="114" t="s">
        <v>393</v>
      </c>
      <c r="C32" s="115" t="s">
        <v>394</v>
      </c>
      <c r="D32" s="115" t="s">
        <v>395</v>
      </c>
      <c r="E32" s="115"/>
      <c r="F32" s="116" t="s">
        <v>396</v>
      </c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6" t="s">
        <v>397</v>
      </c>
      <c r="R32" s="109" t="s">
        <v>221</v>
      </c>
      <c r="S32" s="113"/>
    </row>
    <row r="33" spans="2:19" x14ac:dyDescent="0.45">
      <c r="B33" s="114" t="s">
        <v>398</v>
      </c>
      <c r="C33" s="115" t="s">
        <v>399</v>
      </c>
      <c r="D33" s="115" t="s">
        <v>400</v>
      </c>
      <c r="E33" s="115"/>
      <c r="F33" s="191" t="s">
        <v>401</v>
      </c>
      <c r="G33" s="191"/>
      <c r="H33" s="191"/>
      <c r="I33" s="191"/>
      <c r="J33" s="191"/>
      <c r="K33" s="191"/>
      <c r="L33" s="191" t="s">
        <v>402</v>
      </c>
      <c r="M33" s="191"/>
      <c r="N33" s="191"/>
      <c r="O33" s="191"/>
      <c r="P33" s="191"/>
      <c r="Q33" s="191"/>
      <c r="R33" s="109" t="s">
        <v>221</v>
      </c>
      <c r="S33" s="113"/>
    </row>
    <row r="34" spans="2:19" x14ac:dyDescent="0.45">
      <c r="B34" s="114" t="s">
        <v>403</v>
      </c>
      <c r="C34" s="115" t="s">
        <v>404</v>
      </c>
      <c r="D34" s="115" t="s">
        <v>405</v>
      </c>
      <c r="E34" s="115"/>
      <c r="F34" s="117"/>
      <c r="G34" s="117"/>
      <c r="H34" s="117"/>
      <c r="I34" s="191" t="s">
        <v>406</v>
      </c>
      <c r="J34" s="191"/>
      <c r="K34" s="191"/>
      <c r="L34" s="191"/>
      <c r="M34" s="191"/>
      <c r="N34" s="191"/>
      <c r="O34" s="191"/>
      <c r="P34" s="191"/>
      <c r="Q34" s="191"/>
      <c r="R34" s="109" t="s">
        <v>221</v>
      </c>
      <c r="S34" s="113"/>
    </row>
    <row r="35" spans="2:19" x14ac:dyDescent="0.45">
      <c r="B35" s="114" t="s">
        <v>407</v>
      </c>
      <c r="C35" s="115" t="s">
        <v>408</v>
      </c>
      <c r="D35" s="115" t="s">
        <v>224</v>
      </c>
      <c r="E35" s="115"/>
      <c r="F35" s="117"/>
      <c r="G35" s="117"/>
      <c r="H35" s="191" t="s">
        <v>409</v>
      </c>
      <c r="I35" s="191"/>
      <c r="J35" s="191"/>
      <c r="K35" s="191"/>
      <c r="L35" s="191"/>
      <c r="M35" s="191"/>
      <c r="N35" s="191"/>
      <c r="O35" s="191"/>
      <c r="P35" s="191"/>
      <c r="Q35" s="191"/>
      <c r="R35" s="109" t="s">
        <v>221</v>
      </c>
      <c r="S35" s="113"/>
    </row>
    <row r="36" spans="2:19" x14ac:dyDescent="0.45">
      <c r="B36" s="114" t="s">
        <v>410</v>
      </c>
      <c r="C36" s="115" t="s">
        <v>411</v>
      </c>
      <c r="D36" s="115" t="s">
        <v>224</v>
      </c>
      <c r="E36" s="115"/>
      <c r="F36" s="116" t="s">
        <v>412</v>
      </c>
      <c r="G36" s="117"/>
      <c r="H36" s="191" t="s">
        <v>413</v>
      </c>
      <c r="I36" s="191"/>
      <c r="J36" s="191"/>
      <c r="K36" s="191"/>
      <c r="L36" s="191"/>
      <c r="M36" s="191"/>
      <c r="N36" s="191"/>
      <c r="O36" s="191"/>
      <c r="P36" s="191"/>
      <c r="Q36" s="191"/>
      <c r="R36" s="109" t="s">
        <v>414</v>
      </c>
      <c r="S36" s="113"/>
    </row>
    <row r="37" spans="2:19" x14ac:dyDescent="0.45">
      <c r="B37" s="114" t="s">
        <v>415</v>
      </c>
      <c r="C37" s="115" t="s">
        <v>416</v>
      </c>
      <c r="D37" s="115" t="s">
        <v>224</v>
      </c>
      <c r="E37" s="115"/>
      <c r="F37" s="125"/>
      <c r="G37" s="125"/>
      <c r="H37" s="191" t="s">
        <v>417</v>
      </c>
      <c r="I37" s="191"/>
      <c r="J37" s="191"/>
      <c r="K37" s="191"/>
      <c r="L37" s="191"/>
      <c r="M37" s="191"/>
      <c r="N37" s="191"/>
      <c r="O37" s="191"/>
      <c r="P37" s="191"/>
      <c r="Q37" s="191"/>
      <c r="R37" s="109" t="s">
        <v>221</v>
      </c>
      <c r="S37" s="113"/>
    </row>
    <row r="38" spans="2:19" x14ac:dyDescent="0.45">
      <c r="B38" s="114" t="s">
        <v>418</v>
      </c>
      <c r="C38" s="115" t="s">
        <v>419</v>
      </c>
      <c r="D38" s="115" t="s">
        <v>420</v>
      </c>
      <c r="E38" s="115"/>
      <c r="F38" s="125"/>
      <c r="G38" s="191" t="s">
        <v>421</v>
      </c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09" t="s">
        <v>221</v>
      </c>
      <c r="S38" s="113"/>
    </row>
    <row r="39" spans="2:19" x14ac:dyDescent="0.45">
      <c r="B39" s="114" t="s">
        <v>422</v>
      </c>
      <c r="C39" s="115" t="s">
        <v>423</v>
      </c>
      <c r="D39" s="115" t="s">
        <v>224</v>
      </c>
      <c r="E39" s="115"/>
      <c r="F39" s="191" t="s">
        <v>424</v>
      </c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09" t="s">
        <v>425</v>
      </c>
      <c r="S39" s="113" t="s">
        <v>426</v>
      </c>
    </row>
    <row r="40" spans="2:19" x14ac:dyDescent="0.45">
      <c r="B40" s="114" t="s">
        <v>427</v>
      </c>
      <c r="C40" s="115" t="s">
        <v>428</v>
      </c>
      <c r="D40" s="115" t="s">
        <v>429</v>
      </c>
      <c r="E40" s="115"/>
      <c r="F40" s="116" t="s">
        <v>430</v>
      </c>
      <c r="G40" s="191" t="s">
        <v>431</v>
      </c>
      <c r="H40" s="191"/>
      <c r="I40" s="117"/>
      <c r="J40" s="191" t="s">
        <v>432</v>
      </c>
      <c r="K40" s="191"/>
      <c r="L40" s="191"/>
      <c r="M40" s="191"/>
      <c r="N40" s="191"/>
      <c r="O40" s="191"/>
      <c r="P40" s="191"/>
      <c r="Q40" s="191"/>
      <c r="S40" s="113" t="s">
        <v>433</v>
      </c>
    </row>
    <row r="41" spans="2:19" x14ac:dyDescent="0.45">
      <c r="B41" s="114"/>
      <c r="C41" s="115"/>
      <c r="D41" s="115"/>
      <c r="E41" s="115"/>
      <c r="F41" s="126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S41" s="113"/>
    </row>
    <row r="42" spans="2:19" x14ac:dyDescent="0.45">
      <c r="B42" s="114" t="s">
        <v>434</v>
      </c>
      <c r="C42" s="115" t="s">
        <v>435</v>
      </c>
      <c r="D42" s="115" t="s">
        <v>436</v>
      </c>
      <c r="E42" s="115"/>
      <c r="F42" s="206" t="s">
        <v>437</v>
      </c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09" t="s">
        <v>221</v>
      </c>
      <c r="S42" s="113"/>
    </row>
    <row r="43" spans="2:19" x14ac:dyDescent="0.45">
      <c r="B43" s="114" t="s">
        <v>438</v>
      </c>
      <c r="C43" s="115" t="s">
        <v>439</v>
      </c>
      <c r="D43" s="115" t="s">
        <v>224</v>
      </c>
      <c r="E43" s="115"/>
      <c r="F43" s="191" t="s">
        <v>440</v>
      </c>
      <c r="G43" s="191"/>
      <c r="H43" s="191"/>
      <c r="I43" s="191"/>
      <c r="J43" s="191"/>
      <c r="K43" s="191"/>
      <c r="L43" s="116" t="s">
        <v>441</v>
      </c>
      <c r="M43" s="119" t="s">
        <v>442</v>
      </c>
      <c r="N43" s="119" t="s">
        <v>443</v>
      </c>
      <c r="O43" s="116" t="s">
        <v>444</v>
      </c>
      <c r="P43" s="116" t="s">
        <v>445</v>
      </c>
      <c r="Q43" s="116" t="s">
        <v>446</v>
      </c>
      <c r="R43" s="109" t="s">
        <v>221</v>
      </c>
      <c r="S43" s="113"/>
    </row>
    <row r="44" spans="2:19" x14ac:dyDescent="0.45">
      <c r="B44" s="114" t="s">
        <v>447</v>
      </c>
      <c r="C44" s="115" t="s">
        <v>448</v>
      </c>
      <c r="D44" s="115" t="s">
        <v>224</v>
      </c>
      <c r="E44" s="115"/>
      <c r="F44" s="117"/>
      <c r="G44" s="117"/>
      <c r="H44" s="117"/>
      <c r="I44" s="117"/>
      <c r="J44" s="117"/>
      <c r="K44" s="117"/>
      <c r="L44" s="116" t="s">
        <v>447</v>
      </c>
      <c r="M44" s="116" t="s">
        <v>449</v>
      </c>
      <c r="N44" s="116" t="s">
        <v>450</v>
      </c>
      <c r="O44" s="116" t="s">
        <v>451</v>
      </c>
      <c r="P44" s="116" t="s">
        <v>452</v>
      </c>
      <c r="Q44" s="116" t="s">
        <v>453</v>
      </c>
      <c r="R44" s="109" t="s">
        <v>454</v>
      </c>
      <c r="S44" s="113" t="s">
        <v>455</v>
      </c>
    </row>
    <row r="45" spans="2:19" x14ac:dyDescent="0.45">
      <c r="B45" s="114" t="s">
        <v>456</v>
      </c>
      <c r="C45" s="115" t="s">
        <v>457</v>
      </c>
      <c r="D45" s="115" t="s">
        <v>458</v>
      </c>
      <c r="E45" s="115"/>
      <c r="F45" s="191" t="s">
        <v>459</v>
      </c>
      <c r="G45" s="191"/>
      <c r="H45" s="191"/>
      <c r="I45" s="191"/>
      <c r="J45" s="116" t="s">
        <v>460</v>
      </c>
      <c r="K45" s="116" t="s">
        <v>461</v>
      </c>
      <c r="L45" s="191" t="s">
        <v>462</v>
      </c>
      <c r="M45" s="191"/>
      <c r="N45" s="206" t="s">
        <v>463</v>
      </c>
      <c r="O45" s="206"/>
      <c r="P45" s="191" t="s">
        <v>464</v>
      </c>
      <c r="Q45" s="191"/>
      <c r="R45" s="109" t="s">
        <v>221</v>
      </c>
      <c r="S45" s="113"/>
    </row>
    <row r="46" spans="2:19" x14ac:dyDescent="0.45">
      <c r="B46" s="114" t="s">
        <v>465</v>
      </c>
      <c r="C46" s="115" t="s">
        <v>466</v>
      </c>
      <c r="D46" s="115" t="s">
        <v>224</v>
      </c>
      <c r="E46" s="115"/>
      <c r="F46" s="191" t="s">
        <v>467</v>
      </c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09" t="s">
        <v>221</v>
      </c>
      <c r="S46" s="113"/>
    </row>
    <row r="47" spans="2:19" x14ac:dyDescent="0.45">
      <c r="B47" s="114" t="s">
        <v>468</v>
      </c>
      <c r="C47" s="115" t="s">
        <v>469</v>
      </c>
      <c r="D47" s="115" t="s">
        <v>470</v>
      </c>
      <c r="E47" s="115"/>
      <c r="F47" s="116" t="s">
        <v>471</v>
      </c>
      <c r="G47" s="117"/>
      <c r="H47" s="117"/>
      <c r="I47" s="117"/>
      <c r="J47" s="117"/>
      <c r="K47" s="117"/>
      <c r="L47" s="190" t="s">
        <v>472</v>
      </c>
      <c r="M47" s="190"/>
      <c r="N47" s="191" t="s">
        <v>473</v>
      </c>
      <c r="O47" s="191"/>
      <c r="P47" s="191"/>
      <c r="Q47" s="191"/>
      <c r="R47" s="109" t="s">
        <v>474</v>
      </c>
      <c r="S47" s="113" t="s">
        <v>475</v>
      </c>
    </row>
    <row r="48" spans="2:19" x14ac:dyDescent="0.45">
      <c r="B48" s="114" t="s">
        <v>476</v>
      </c>
      <c r="C48" s="115" t="s">
        <v>477</v>
      </c>
      <c r="D48" s="115" t="s">
        <v>224</v>
      </c>
      <c r="E48" s="127"/>
      <c r="F48" s="121" t="s">
        <v>478</v>
      </c>
      <c r="G48" s="123"/>
      <c r="H48" s="123"/>
      <c r="I48" s="123"/>
      <c r="J48" s="123"/>
      <c r="K48" s="190" t="s">
        <v>479</v>
      </c>
      <c r="L48" s="190"/>
      <c r="M48" s="190"/>
      <c r="N48" s="123"/>
      <c r="O48" s="190" t="s">
        <v>480</v>
      </c>
      <c r="P48" s="190"/>
      <c r="Q48" s="190"/>
      <c r="R48" s="109" t="s">
        <v>221</v>
      </c>
      <c r="S48" s="113"/>
    </row>
    <row r="49" spans="2:19" x14ac:dyDescent="0.45">
      <c r="B49" s="114" t="s">
        <v>481</v>
      </c>
      <c r="C49" s="115" t="s">
        <v>482</v>
      </c>
      <c r="D49" s="115" t="s">
        <v>483</v>
      </c>
      <c r="E49" s="128"/>
      <c r="F49" s="129"/>
      <c r="G49" s="129"/>
      <c r="H49" s="129"/>
      <c r="I49" s="129"/>
      <c r="J49" s="130"/>
      <c r="K49" s="129"/>
      <c r="L49" s="130"/>
      <c r="M49" s="121" t="s">
        <v>484</v>
      </c>
      <c r="N49" s="123"/>
      <c r="O49" s="121" t="s">
        <v>485</v>
      </c>
      <c r="P49" s="121" t="s">
        <v>486</v>
      </c>
      <c r="Q49" s="121" t="s">
        <v>487</v>
      </c>
      <c r="R49" s="109" t="s">
        <v>221</v>
      </c>
      <c r="S49" s="113"/>
    </row>
    <row r="50" spans="2:19" x14ac:dyDescent="0.45">
      <c r="B50" s="114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S50" s="113"/>
    </row>
    <row r="51" spans="2:19" x14ac:dyDescent="0.45">
      <c r="B51" s="131" t="s">
        <v>488</v>
      </c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S51" s="113"/>
    </row>
    <row r="52" spans="2:19" x14ac:dyDescent="0.45">
      <c r="B52" s="114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S52" s="113"/>
    </row>
    <row r="53" spans="2:19" x14ac:dyDescent="0.45">
      <c r="B53" s="114" t="s">
        <v>489</v>
      </c>
      <c r="C53" s="133" t="s">
        <v>490</v>
      </c>
      <c r="D53" s="115" t="s">
        <v>224</v>
      </c>
      <c r="E53" s="115"/>
      <c r="F53" s="116" t="s">
        <v>491</v>
      </c>
      <c r="G53" s="190" t="s">
        <v>492</v>
      </c>
      <c r="H53" s="190"/>
      <c r="I53" s="190"/>
      <c r="J53" s="205" t="s">
        <v>493</v>
      </c>
      <c r="K53" s="196"/>
      <c r="L53" s="195"/>
      <c r="M53" s="116" t="s">
        <v>494</v>
      </c>
      <c r="N53" s="116" t="s">
        <v>495</v>
      </c>
      <c r="O53" s="116" t="s">
        <v>496</v>
      </c>
      <c r="P53" s="116" t="s">
        <v>497</v>
      </c>
      <c r="Q53" s="116" t="s">
        <v>498</v>
      </c>
      <c r="R53" s="109" t="s">
        <v>499</v>
      </c>
      <c r="S53" s="113" t="s">
        <v>500</v>
      </c>
    </row>
    <row r="54" spans="2:19" x14ac:dyDescent="0.45">
      <c r="B54" s="114" t="s">
        <v>501</v>
      </c>
      <c r="C54" s="133" t="s">
        <v>502</v>
      </c>
      <c r="D54" s="115" t="s">
        <v>224</v>
      </c>
      <c r="E54" s="115"/>
      <c r="F54" s="115"/>
      <c r="G54" s="117"/>
      <c r="H54" s="117"/>
      <c r="I54" s="117"/>
      <c r="J54" s="117"/>
      <c r="K54" s="117"/>
      <c r="L54" s="117"/>
      <c r="M54" s="117"/>
      <c r="N54" s="191" t="s">
        <v>503</v>
      </c>
      <c r="O54" s="191"/>
      <c r="P54" s="191"/>
      <c r="Q54" s="191"/>
      <c r="R54" s="109" t="s">
        <v>221</v>
      </c>
      <c r="S54" s="113"/>
    </row>
    <row r="55" spans="2:19" x14ac:dyDescent="0.45">
      <c r="B55" s="114" t="s">
        <v>504</v>
      </c>
      <c r="C55" s="133" t="s">
        <v>505</v>
      </c>
      <c r="D55" s="115" t="s">
        <v>506</v>
      </c>
      <c r="E55" s="115"/>
      <c r="F55" s="191" t="s">
        <v>507</v>
      </c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09" t="s">
        <v>221</v>
      </c>
      <c r="S55" s="113"/>
    </row>
    <row r="56" spans="2:19" x14ac:dyDescent="0.45">
      <c r="B56" s="114" t="s">
        <v>508</v>
      </c>
      <c r="C56" s="133" t="s">
        <v>509</v>
      </c>
      <c r="D56" s="115" t="s">
        <v>510</v>
      </c>
      <c r="E56" s="115"/>
      <c r="F56" s="117"/>
      <c r="G56" s="117"/>
      <c r="H56" s="117"/>
      <c r="I56" s="117"/>
      <c r="J56" s="117"/>
      <c r="K56" s="117"/>
      <c r="L56" s="191" t="s">
        <v>511</v>
      </c>
      <c r="M56" s="191"/>
      <c r="N56" s="191" t="s">
        <v>512</v>
      </c>
      <c r="O56" s="191"/>
      <c r="P56" s="191"/>
      <c r="Q56" s="191"/>
      <c r="R56" s="109" t="s">
        <v>221</v>
      </c>
      <c r="S56" s="113"/>
    </row>
    <row r="57" spans="2:19" x14ac:dyDescent="0.45">
      <c r="B57" s="114" t="s">
        <v>513</v>
      </c>
      <c r="C57" s="133" t="s">
        <v>514</v>
      </c>
      <c r="D57" s="115" t="s">
        <v>224</v>
      </c>
      <c r="E57" s="115"/>
      <c r="F57" s="134" t="s">
        <v>515</v>
      </c>
      <c r="G57" s="117"/>
      <c r="H57" s="117"/>
      <c r="I57" s="117"/>
      <c r="J57" s="117"/>
      <c r="K57" s="117"/>
      <c r="L57" s="117"/>
      <c r="M57" s="117"/>
      <c r="N57" s="117"/>
      <c r="O57" s="117"/>
      <c r="P57" s="116" t="s">
        <v>516</v>
      </c>
      <c r="Q57" s="116" t="s">
        <v>517</v>
      </c>
      <c r="R57" s="109" t="s">
        <v>221</v>
      </c>
      <c r="S57" s="113"/>
    </row>
    <row r="58" spans="2:19" x14ac:dyDescent="0.45">
      <c r="B58" s="114" t="s">
        <v>518</v>
      </c>
      <c r="C58" s="133" t="s">
        <v>519</v>
      </c>
      <c r="D58" s="115" t="s">
        <v>520</v>
      </c>
      <c r="E58" s="115"/>
      <c r="F58" s="191" t="s">
        <v>521</v>
      </c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09" t="s">
        <v>221</v>
      </c>
      <c r="S58" s="113"/>
    </row>
    <row r="59" spans="2:19" x14ac:dyDescent="0.45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S59" s="113"/>
    </row>
    <row r="60" spans="2:19" x14ac:dyDescent="0.45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S60" s="113"/>
    </row>
    <row r="61" spans="2:19" x14ac:dyDescent="0.45">
      <c r="B61" s="131" t="s">
        <v>522</v>
      </c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S61" s="113"/>
    </row>
    <row r="62" spans="2:19" x14ac:dyDescent="0.45"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S62" s="113"/>
    </row>
    <row r="63" spans="2:19" x14ac:dyDescent="0.45">
      <c r="B63" s="114"/>
      <c r="C63" s="115" t="s">
        <v>214</v>
      </c>
      <c r="D63" s="115" t="s">
        <v>224</v>
      </c>
      <c r="E63" s="115"/>
      <c r="F63" s="123"/>
      <c r="G63" s="123"/>
      <c r="H63" s="123"/>
      <c r="I63" s="123"/>
      <c r="J63" s="207" t="s">
        <v>523</v>
      </c>
      <c r="K63" s="207"/>
      <c r="L63" s="207"/>
      <c r="M63" s="207"/>
      <c r="N63" s="207"/>
      <c r="O63" s="207"/>
      <c r="P63" s="207"/>
      <c r="Q63" s="207"/>
      <c r="S63" s="113"/>
    </row>
    <row r="64" spans="2:19" x14ac:dyDescent="0.45">
      <c r="B64" s="114"/>
      <c r="C64" s="115" t="s">
        <v>223</v>
      </c>
      <c r="D64" s="115" t="s">
        <v>524</v>
      </c>
      <c r="E64" s="115"/>
      <c r="F64" s="135"/>
      <c r="G64" s="135"/>
      <c r="H64" s="207" t="s">
        <v>525</v>
      </c>
      <c r="I64" s="208"/>
      <c r="J64" s="208"/>
      <c r="K64" s="208"/>
      <c r="L64" s="208"/>
      <c r="M64" s="207" t="s">
        <v>526</v>
      </c>
      <c r="N64" s="208"/>
      <c r="O64" s="208"/>
      <c r="P64" s="208"/>
      <c r="Q64" s="208"/>
      <c r="S64" s="113"/>
    </row>
    <row r="65" spans="2:19" x14ac:dyDescent="0.45">
      <c r="B65" s="114"/>
      <c r="C65" s="115" t="s">
        <v>234</v>
      </c>
      <c r="D65" s="115" t="s">
        <v>527</v>
      </c>
      <c r="E65" s="115"/>
      <c r="F65" s="209" t="s">
        <v>528</v>
      </c>
      <c r="G65" s="210"/>
      <c r="H65" s="210"/>
      <c r="I65" s="210"/>
      <c r="J65" s="211"/>
      <c r="K65" s="123"/>
      <c r="L65" s="123"/>
      <c r="M65" s="209" t="s">
        <v>529</v>
      </c>
      <c r="N65" s="210"/>
      <c r="O65" s="210"/>
      <c r="P65" s="210"/>
      <c r="Q65" s="211"/>
      <c r="S65" s="113"/>
    </row>
    <row r="66" spans="2:19" x14ac:dyDescent="0.45">
      <c r="B66" s="114"/>
      <c r="C66" s="115" t="s">
        <v>239</v>
      </c>
      <c r="D66" s="115" t="s">
        <v>405</v>
      </c>
      <c r="E66" s="115"/>
      <c r="F66" s="123"/>
      <c r="G66" s="123"/>
      <c r="H66" s="123"/>
      <c r="I66" s="123"/>
      <c r="J66" s="207" t="s">
        <v>530</v>
      </c>
      <c r="K66" s="207"/>
      <c r="L66" s="207"/>
      <c r="M66" s="207"/>
      <c r="N66" s="207" t="s">
        <v>531</v>
      </c>
      <c r="O66" s="207"/>
      <c r="P66" s="207"/>
      <c r="Q66" s="207"/>
      <c r="S66" s="113"/>
    </row>
    <row r="67" spans="2:19" x14ac:dyDescent="0.45">
      <c r="B67" s="114"/>
      <c r="C67" s="115" t="s">
        <v>245</v>
      </c>
      <c r="D67" s="115" t="s">
        <v>224</v>
      </c>
      <c r="E67" s="115"/>
      <c r="F67" s="123"/>
      <c r="G67" s="123"/>
      <c r="H67" s="123"/>
      <c r="I67" s="209" t="s">
        <v>532</v>
      </c>
      <c r="J67" s="210"/>
      <c r="K67" s="210"/>
      <c r="L67" s="210"/>
      <c r="M67" s="210"/>
      <c r="N67" s="210"/>
      <c r="O67" s="210"/>
      <c r="P67" s="210"/>
      <c r="Q67" s="211"/>
      <c r="S67" s="113"/>
    </row>
    <row r="68" spans="2:19" x14ac:dyDescent="0.45">
      <c r="B68" s="114"/>
      <c r="C68" s="115" t="s">
        <v>250</v>
      </c>
      <c r="D68" s="115" t="s">
        <v>224</v>
      </c>
      <c r="E68" s="115"/>
      <c r="F68" s="123"/>
      <c r="G68" s="123"/>
      <c r="H68" s="123"/>
      <c r="I68" s="209" t="s">
        <v>533</v>
      </c>
      <c r="J68" s="210"/>
      <c r="K68" s="210"/>
      <c r="L68" s="210"/>
      <c r="M68" s="210"/>
      <c r="N68" s="210"/>
      <c r="O68" s="210"/>
      <c r="P68" s="210"/>
      <c r="Q68" s="211"/>
      <c r="S68" s="113"/>
    </row>
    <row r="69" spans="2:19" x14ac:dyDescent="0.45">
      <c r="B69" s="114"/>
      <c r="C69" s="115" t="s">
        <v>266</v>
      </c>
      <c r="D69" s="115" t="s">
        <v>224</v>
      </c>
      <c r="E69" s="115"/>
      <c r="F69" s="123"/>
      <c r="G69" s="123"/>
      <c r="H69" s="123"/>
      <c r="I69" s="209" t="s">
        <v>534</v>
      </c>
      <c r="J69" s="210"/>
      <c r="K69" s="210"/>
      <c r="L69" s="210"/>
      <c r="M69" s="210"/>
      <c r="N69" s="210"/>
      <c r="O69" s="210"/>
      <c r="P69" s="210"/>
      <c r="Q69" s="211"/>
      <c r="S69" s="113"/>
    </row>
    <row r="70" spans="2:19" x14ac:dyDescent="0.45">
      <c r="B70" s="114"/>
      <c r="C70" s="115" t="s">
        <v>535</v>
      </c>
      <c r="D70" s="115" t="s">
        <v>224</v>
      </c>
      <c r="E70" s="115"/>
      <c r="F70" s="123"/>
      <c r="G70" s="123"/>
      <c r="H70" s="123"/>
      <c r="I70" s="209" t="s">
        <v>536</v>
      </c>
      <c r="J70" s="210"/>
      <c r="K70" s="210"/>
      <c r="L70" s="210"/>
      <c r="M70" s="210"/>
      <c r="N70" s="210"/>
      <c r="O70" s="210"/>
      <c r="P70" s="210"/>
      <c r="Q70" s="211"/>
      <c r="S70" s="113"/>
    </row>
    <row r="71" spans="2:19" x14ac:dyDescent="0.45">
      <c r="B71" s="114"/>
      <c r="C71" s="115" t="s">
        <v>537</v>
      </c>
      <c r="D71" s="115" t="s">
        <v>224</v>
      </c>
      <c r="E71" s="115"/>
      <c r="F71" s="123"/>
      <c r="G71" s="123"/>
      <c r="H71" s="123"/>
      <c r="I71" s="209" t="s">
        <v>538</v>
      </c>
      <c r="J71" s="210"/>
      <c r="K71" s="210"/>
      <c r="L71" s="210"/>
      <c r="M71" s="210"/>
      <c r="N71" s="210"/>
      <c r="O71" s="210"/>
      <c r="P71" s="210"/>
      <c r="Q71" s="211"/>
      <c r="S71" s="113"/>
    </row>
    <row r="72" spans="2:19" x14ac:dyDescent="0.45">
      <c r="B72" s="114"/>
      <c r="C72" s="115" t="s">
        <v>297</v>
      </c>
      <c r="D72" s="115" t="s">
        <v>224</v>
      </c>
      <c r="E72" s="115"/>
      <c r="F72" s="123"/>
      <c r="G72" s="123"/>
      <c r="H72" s="123"/>
      <c r="I72" s="209" t="s">
        <v>539</v>
      </c>
      <c r="J72" s="210"/>
      <c r="K72" s="210"/>
      <c r="L72" s="210"/>
      <c r="M72" s="210"/>
      <c r="N72" s="210"/>
      <c r="O72" s="210"/>
      <c r="P72" s="210"/>
      <c r="Q72" s="211"/>
      <c r="S72" s="113"/>
    </row>
    <row r="73" spans="2:19" x14ac:dyDescent="0.45">
      <c r="B73" s="114"/>
      <c r="C73" s="115" t="s">
        <v>311</v>
      </c>
      <c r="D73" s="115" t="s">
        <v>224</v>
      </c>
      <c r="E73" s="115"/>
      <c r="F73" s="123"/>
      <c r="G73" s="123"/>
      <c r="H73" s="123"/>
      <c r="I73" s="209" t="s">
        <v>540</v>
      </c>
      <c r="J73" s="210"/>
      <c r="K73" s="210"/>
      <c r="L73" s="210"/>
      <c r="M73" s="210"/>
      <c r="N73" s="210"/>
      <c r="O73" s="210"/>
      <c r="P73" s="210"/>
      <c r="Q73" s="211"/>
      <c r="S73" s="113"/>
    </row>
    <row r="74" spans="2:19" x14ac:dyDescent="0.45">
      <c r="B74" s="114"/>
      <c r="C74" s="115" t="s">
        <v>316</v>
      </c>
      <c r="D74" s="115" t="s">
        <v>224</v>
      </c>
      <c r="E74" s="115"/>
      <c r="F74" s="123"/>
      <c r="G74" s="123"/>
      <c r="H74" s="123"/>
      <c r="I74" s="209" t="s">
        <v>541</v>
      </c>
      <c r="J74" s="210"/>
      <c r="K74" s="210"/>
      <c r="L74" s="210"/>
      <c r="M74" s="210"/>
      <c r="N74" s="210"/>
      <c r="O74" s="210"/>
      <c r="P74" s="210"/>
      <c r="Q74" s="211"/>
      <c r="S74" s="113"/>
    </row>
    <row r="75" spans="2:19" x14ac:dyDescent="0.45">
      <c r="B75" s="114"/>
      <c r="C75" s="115" t="s">
        <v>320</v>
      </c>
      <c r="D75" s="115" t="s">
        <v>224</v>
      </c>
      <c r="E75" s="115"/>
      <c r="F75" s="123"/>
      <c r="G75" s="123"/>
      <c r="H75" s="123"/>
      <c r="I75" s="209" t="s">
        <v>542</v>
      </c>
      <c r="J75" s="210"/>
      <c r="K75" s="210"/>
      <c r="L75" s="210"/>
      <c r="M75" s="210"/>
      <c r="N75" s="210"/>
      <c r="O75" s="210"/>
      <c r="P75" s="210"/>
      <c r="Q75" s="211"/>
      <c r="S75" s="113"/>
    </row>
    <row r="76" spans="2:19" x14ac:dyDescent="0.45">
      <c r="B76" s="114"/>
      <c r="C76" s="115" t="s">
        <v>324</v>
      </c>
      <c r="D76" s="115" t="s">
        <v>224</v>
      </c>
      <c r="E76" s="115"/>
      <c r="F76" s="123"/>
      <c r="G76" s="123"/>
      <c r="H76" s="123"/>
      <c r="I76" s="209" t="s">
        <v>543</v>
      </c>
      <c r="J76" s="210"/>
      <c r="K76" s="210"/>
      <c r="L76" s="210"/>
      <c r="M76" s="210"/>
      <c r="N76" s="210"/>
      <c r="O76" s="210"/>
      <c r="P76" s="210"/>
      <c r="Q76" s="211"/>
      <c r="S76" s="113"/>
    </row>
    <row r="77" spans="2:19" x14ac:dyDescent="0.45">
      <c r="B77" s="114"/>
      <c r="C77" s="115" t="s">
        <v>328</v>
      </c>
      <c r="D77" s="115" t="s">
        <v>224</v>
      </c>
      <c r="E77" s="114"/>
      <c r="F77" s="123"/>
      <c r="G77" s="123"/>
      <c r="H77" s="123"/>
      <c r="I77" s="209" t="s">
        <v>544</v>
      </c>
      <c r="J77" s="210"/>
      <c r="K77" s="210"/>
      <c r="L77" s="210"/>
      <c r="M77" s="210"/>
      <c r="N77" s="210"/>
      <c r="O77" s="210"/>
      <c r="P77" s="210"/>
      <c r="Q77" s="211"/>
      <c r="S77" s="113"/>
    </row>
    <row r="78" spans="2:19" x14ac:dyDescent="0.45">
      <c r="B78" s="114"/>
      <c r="C78" s="115" t="s">
        <v>331</v>
      </c>
      <c r="D78" s="115" t="s">
        <v>224</v>
      </c>
      <c r="E78" s="115"/>
      <c r="F78" s="123"/>
      <c r="G78" s="123"/>
      <c r="H78" s="123"/>
      <c r="I78" s="209" t="s">
        <v>545</v>
      </c>
      <c r="J78" s="210"/>
      <c r="K78" s="210"/>
      <c r="L78" s="210"/>
      <c r="M78" s="210"/>
      <c r="N78" s="210"/>
      <c r="O78" s="210"/>
      <c r="P78" s="210"/>
      <c r="Q78" s="211"/>
      <c r="S78" s="113"/>
    </row>
    <row r="79" spans="2:19" x14ac:dyDescent="0.45">
      <c r="B79" s="114"/>
      <c r="C79" s="115" t="s">
        <v>333</v>
      </c>
      <c r="D79" s="115" t="s">
        <v>546</v>
      </c>
      <c r="E79" s="115"/>
      <c r="F79" s="123"/>
      <c r="G79" s="123"/>
      <c r="H79" s="123"/>
      <c r="I79" s="123"/>
      <c r="J79" s="123"/>
      <c r="K79" s="209" t="s">
        <v>547</v>
      </c>
      <c r="L79" s="210"/>
      <c r="M79" s="210"/>
      <c r="N79" s="210"/>
      <c r="O79" s="210"/>
      <c r="P79" s="210"/>
      <c r="Q79" s="211"/>
      <c r="S79" s="113"/>
    </row>
    <row r="80" spans="2:19" x14ac:dyDescent="0.45">
      <c r="B80" s="114"/>
      <c r="C80" s="115" t="s">
        <v>339</v>
      </c>
      <c r="D80" s="115" t="s">
        <v>546</v>
      </c>
      <c r="E80" s="115"/>
      <c r="F80" s="123"/>
      <c r="G80" s="123"/>
      <c r="H80" s="123"/>
      <c r="I80" s="123"/>
      <c r="J80" s="123"/>
      <c r="K80" s="209" t="s">
        <v>548</v>
      </c>
      <c r="L80" s="210"/>
      <c r="M80" s="210"/>
      <c r="N80" s="210"/>
      <c r="O80" s="210"/>
      <c r="P80" s="210"/>
      <c r="Q80" s="211"/>
      <c r="S80" s="113"/>
    </row>
    <row r="81" spans="2:19" x14ac:dyDescent="0.45">
      <c r="B81" s="114"/>
      <c r="C81" s="115" t="s">
        <v>344</v>
      </c>
      <c r="D81" s="115" t="s">
        <v>549</v>
      </c>
      <c r="E81" s="115"/>
      <c r="F81" s="123"/>
      <c r="G81" s="123"/>
      <c r="H81" s="123"/>
      <c r="I81" s="123"/>
      <c r="J81" s="123"/>
      <c r="K81" s="209" t="s">
        <v>550</v>
      </c>
      <c r="L81" s="210"/>
      <c r="M81" s="210"/>
      <c r="N81" s="210"/>
      <c r="O81" s="210"/>
      <c r="P81" s="210"/>
      <c r="Q81" s="211"/>
      <c r="S81" s="113"/>
    </row>
    <row r="82" spans="2:19" x14ac:dyDescent="0.45">
      <c r="B82" s="114"/>
      <c r="C82" s="115" t="s">
        <v>349</v>
      </c>
      <c r="D82" s="115" t="s">
        <v>549</v>
      </c>
      <c r="E82" s="115"/>
      <c r="F82" s="123"/>
      <c r="G82" s="123"/>
      <c r="H82" s="123"/>
      <c r="I82" s="123"/>
      <c r="J82" s="123"/>
      <c r="K82" s="209" t="s">
        <v>551</v>
      </c>
      <c r="L82" s="210"/>
      <c r="M82" s="210"/>
      <c r="N82" s="210"/>
      <c r="O82" s="210"/>
      <c r="P82" s="210"/>
      <c r="Q82" s="211"/>
      <c r="S82" s="113"/>
    </row>
    <row r="83" spans="2:19" x14ac:dyDescent="0.45">
      <c r="B83" s="114"/>
      <c r="C83" s="115" t="s">
        <v>354</v>
      </c>
      <c r="D83" s="115" t="s">
        <v>549</v>
      </c>
      <c r="E83" s="115"/>
      <c r="F83" s="123"/>
      <c r="G83" s="123"/>
      <c r="H83" s="123"/>
      <c r="I83" s="123"/>
      <c r="J83" s="123"/>
      <c r="K83" s="209" t="s">
        <v>552</v>
      </c>
      <c r="L83" s="210"/>
      <c r="M83" s="210"/>
      <c r="N83" s="210"/>
      <c r="O83" s="210"/>
      <c r="P83" s="210"/>
      <c r="Q83" s="211"/>
      <c r="S83" s="113"/>
    </row>
    <row r="84" spans="2:19" x14ac:dyDescent="0.45">
      <c r="B84" s="114"/>
      <c r="C84" s="115" t="s">
        <v>359</v>
      </c>
      <c r="D84" s="115" t="s">
        <v>549</v>
      </c>
      <c r="E84" s="115"/>
      <c r="F84" s="123"/>
      <c r="G84" s="123"/>
      <c r="H84" s="123"/>
      <c r="I84" s="123"/>
      <c r="J84" s="123"/>
      <c r="K84" s="209" t="s">
        <v>553</v>
      </c>
      <c r="L84" s="210"/>
      <c r="M84" s="210"/>
      <c r="N84" s="210"/>
      <c r="O84" s="210"/>
      <c r="P84" s="210"/>
      <c r="Q84" s="211"/>
      <c r="S84" s="113"/>
    </row>
    <row r="85" spans="2:19" x14ac:dyDescent="0.45">
      <c r="B85" s="114"/>
      <c r="C85" s="115" t="s">
        <v>554</v>
      </c>
      <c r="D85" s="115" t="s">
        <v>549</v>
      </c>
      <c r="E85" s="115"/>
      <c r="F85" s="123"/>
      <c r="G85" s="123"/>
      <c r="H85" s="123"/>
      <c r="I85" s="123"/>
      <c r="J85" s="123"/>
      <c r="K85" s="209" t="s">
        <v>555</v>
      </c>
      <c r="L85" s="210"/>
      <c r="M85" s="210"/>
      <c r="N85" s="210"/>
      <c r="O85" s="210"/>
      <c r="P85" s="210"/>
      <c r="Q85" s="211"/>
      <c r="S85" s="113"/>
    </row>
    <row r="86" spans="2:19" x14ac:dyDescent="0.45">
      <c r="B86" s="114"/>
      <c r="C86" s="115" t="s">
        <v>556</v>
      </c>
      <c r="D86" s="115" t="s">
        <v>549</v>
      </c>
      <c r="E86" s="115"/>
      <c r="F86" s="123"/>
      <c r="G86" s="123"/>
      <c r="H86" s="123"/>
      <c r="I86" s="123"/>
      <c r="J86" s="123"/>
      <c r="K86" s="209" t="s">
        <v>557</v>
      </c>
      <c r="L86" s="210"/>
      <c r="M86" s="210"/>
      <c r="N86" s="210"/>
      <c r="O86" s="210"/>
      <c r="P86" s="210"/>
      <c r="Q86" s="211"/>
      <c r="S86" s="113"/>
    </row>
    <row r="87" spans="2:19" x14ac:dyDescent="0.45">
      <c r="B87" s="114"/>
      <c r="C87" s="115" t="s">
        <v>558</v>
      </c>
      <c r="D87" s="115" t="s">
        <v>549</v>
      </c>
      <c r="E87" s="115"/>
      <c r="F87" s="123"/>
      <c r="G87" s="123"/>
      <c r="H87" s="123"/>
      <c r="I87" s="123"/>
      <c r="J87" s="123"/>
      <c r="K87" s="209" t="s">
        <v>559</v>
      </c>
      <c r="L87" s="210"/>
      <c r="M87" s="210"/>
      <c r="N87" s="210"/>
      <c r="O87" s="210"/>
      <c r="P87" s="210"/>
      <c r="Q87" s="211"/>
      <c r="S87" s="113"/>
    </row>
    <row r="88" spans="2:19" x14ac:dyDescent="0.45">
      <c r="B88" s="114"/>
      <c r="C88" s="115" t="s">
        <v>560</v>
      </c>
      <c r="D88" s="115" t="s">
        <v>549</v>
      </c>
      <c r="E88" s="115"/>
      <c r="F88" s="123"/>
      <c r="G88" s="123"/>
      <c r="H88" s="123"/>
      <c r="I88" s="123"/>
      <c r="J88" s="123"/>
      <c r="K88" s="209" t="s">
        <v>561</v>
      </c>
      <c r="L88" s="210"/>
      <c r="M88" s="210"/>
      <c r="N88" s="210"/>
      <c r="O88" s="210"/>
      <c r="P88" s="210"/>
      <c r="Q88" s="211"/>
      <c r="S88" s="113"/>
    </row>
    <row r="89" spans="2:19" x14ac:dyDescent="0.45">
      <c r="B89" s="114"/>
      <c r="C89" s="115" t="s">
        <v>390</v>
      </c>
      <c r="D89" s="115" t="s">
        <v>549</v>
      </c>
      <c r="E89" s="115"/>
      <c r="F89" s="123"/>
      <c r="G89" s="123"/>
      <c r="H89" s="123"/>
      <c r="I89" s="123"/>
      <c r="J89" s="123"/>
      <c r="K89" s="209" t="s">
        <v>562</v>
      </c>
      <c r="L89" s="210"/>
      <c r="M89" s="210"/>
      <c r="N89" s="210"/>
      <c r="O89" s="210"/>
      <c r="P89" s="210"/>
      <c r="Q89" s="211"/>
      <c r="S89" s="113"/>
    </row>
    <row r="90" spans="2:19" x14ac:dyDescent="0.45">
      <c r="B90" s="114"/>
      <c r="C90" s="115" t="s">
        <v>394</v>
      </c>
      <c r="D90" s="115" t="s">
        <v>549</v>
      </c>
      <c r="E90" s="115"/>
      <c r="F90" s="123"/>
      <c r="G90" s="123"/>
      <c r="H90" s="123"/>
      <c r="I90" s="123"/>
      <c r="J90" s="123"/>
      <c r="K90" s="209" t="s">
        <v>563</v>
      </c>
      <c r="L90" s="210"/>
      <c r="M90" s="210"/>
      <c r="N90" s="210"/>
      <c r="O90" s="210"/>
      <c r="P90" s="210"/>
      <c r="Q90" s="211"/>
      <c r="S90" s="113"/>
    </row>
    <row r="91" spans="2:19" x14ac:dyDescent="0.45">
      <c r="B91" s="114"/>
      <c r="C91" s="115" t="s">
        <v>399</v>
      </c>
      <c r="D91" s="115" t="s">
        <v>224</v>
      </c>
      <c r="E91" s="115"/>
      <c r="F91" s="207" t="s">
        <v>564</v>
      </c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S91" s="113"/>
    </row>
    <row r="92" spans="2:19" x14ac:dyDescent="0.45">
      <c r="B92" s="114"/>
      <c r="C92" s="115" t="s">
        <v>404</v>
      </c>
      <c r="D92" s="115" t="s">
        <v>224</v>
      </c>
      <c r="E92" s="115"/>
      <c r="F92" s="207" t="s">
        <v>565</v>
      </c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S92" s="113"/>
    </row>
  </sheetData>
  <mergeCells count="114"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M4:Q4"/>
    <mergeCell ref="G5:L5"/>
    <mergeCell ref="M6:Q6"/>
    <mergeCell ref="F7:I7"/>
    <mergeCell ref="J7:Q7"/>
    <mergeCell ref="F8:M8"/>
    <mergeCell ref="N8:Q8"/>
    <mergeCell ref="N11:O11"/>
    <mergeCell ref="P11:Q11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 x14ac:dyDescent="0.45"/>
  <cols>
    <col min="3" max="3" width="15.4140625" customWidth="1"/>
    <col min="4" max="4" width="19.75" customWidth="1"/>
    <col min="5" max="5" width="15.33203125" customWidth="1"/>
  </cols>
  <sheetData>
    <row r="24" spans="3:4" x14ac:dyDescent="0.45">
      <c r="C24" s="136" t="s">
        <v>568</v>
      </c>
      <c r="D24" s="136" t="s">
        <v>569</v>
      </c>
    </row>
    <row r="25" spans="3:4" x14ac:dyDescent="0.45">
      <c r="C25" s="136" t="s">
        <v>570</v>
      </c>
      <c r="D25" s="136" t="s">
        <v>571</v>
      </c>
    </row>
    <row r="26" spans="3:4" x14ac:dyDescent="0.45">
      <c r="C26" s="136" t="s">
        <v>572</v>
      </c>
      <c r="D26" s="136" t="s">
        <v>573</v>
      </c>
    </row>
    <row r="27" spans="3:4" x14ac:dyDescent="0.45">
      <c r="C27" s="136" t="s">
        <v>574</v>
      </c>
      <c r="D27" s="136" t="s">
        <v>575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 x14ac:dyDescent="0.45"/>
  <cols>
    <col min="3" max="3" width="24.08203125" customWidth="1"/>
    <col min="5" max="5" width="12.4140625" customWidth="1"/>
  </cols>
  <sheetData>
    <row r="3" spans="3:5" x14ac:dyDescent="0.45">
      <c r="C3" s="137" t="s">
        <v>576</v>
      </c>
      <c r="D3" s="113">
        <v>20</v>
      </c>
      <c r="E3" s="113" t="s">
        <v>577</v>
      </c>
    </row>
    <row r="4" spans="3:5" x14ac:dyDescent="0.45">
      <c r="C4" s="137" t="s">
        <v>578</v>
      </c>
      <c r="D4" s="113">
        <v>16</v>
      </c>
      <c r="E4" s="113" t="s">
        <v>579</v>
      </c>
    </row>
    <row r="5" spans="3:5" x14ac:dyDescent="0.45">
      <c r="C5" s="137" t="s">
        <v>580</v>
      </c>
      <c r="D5" s="113">
        <v>5.0000000000000001E-3</v>
      </c>
      <c r="E5" s="113" t="s">
        <v>581</v>
      </c>
    </row>
    <row r="6" spans="3:5" x14ac:dyDescent="0.45">
      <c r="C6" s="137" t="s">
        <v>582</v>
      </c>
      <c r="D6" s="113">
        <v>8.3332999999999995</v>
      </c>
      <c r="E6" s="113" t="s">
        <v>581</v>
      </c>
    </row>
    <row r="7" spans="3:5" x14ac:dyDescent="0.45">
      <c r="C7" s="137"/>
      <c r="D7" s="113"/>
      <c r="E7" s="113"/>
    </row>
    <row r="8" spans="3:5" x14ac:dyDescent="0.45">
      <c r="C8" s="137" t="s">
        <v>583</v>
      </c>
      <c r="D8" s="113">
        <f>D6-D4*D5*2</f>
        <v>8.1732999999999993</v>
      </c>
      <c r="E8" s="113" t="s">
        <v>581</v>
      </c>
    </row>
    <row r="9" spans="3:5" x14ac:dyDescent="0.45">
      <c r="C9" s="137" t="s">
        <v>584</v>
      </c>
      <c r="D9" s="113">
        <f>D6-D4*D5</f>
        <v>8.2532999999999994</v>
      </c>
      <c r="E9" s="113" t="s">
        <v>581</v>
      </c>
    </row>
    <row r="10" spans="3:5" ht="34" x14ac:dyDescent="0.45">
      <c r="C10" s="138" t="s">
        <v>585</v>
      </c>
      <c r="D10" s="113">
        <f>D8/(D4*2)</f>
        <v>0.25541562499999998</v>
      </c>
      <c r="E10" s="113" t="s">
        <v>581</v>
      </c>
    </row>
    <row r="11" spans="3:5" ht="34" x14ac:dyDescent="0.45">
      <c r="C11" s="138" t="s">
        <v>586</v>
      </c>
      <c r="D11" s="113">
        <f>D9/(D4)</f>
        <v>0.51583124999999996</v>
      </c>
      <c r="E11" s="113" t="s">
        <v>581</v>
      </c>
    </row>
    <row r="12" spans="3:5" x14ac:dyDescent="0.45">
      <c r="C12" s="137" t="s">
        <v>587</v>
      </c>
      <c r="D12" s="113">
        <f>D10/2048*1000</f>
        <v>0.12471466064453124</v>
      </c>
      <c r="E12" s="113" t="s">
        <v>588</v>
      </c>
    </row>
    <row r="13" spans="3:5" x14ac:dyDescent="0.45">
      <c r="C13" s="137" t="s">
        <v>589</v>
      </c>
      <c r="D13" s="113">
        <f>D11/2048*1000</f>
        <v>0.25187072753906248</v>
      </c>
      <c r="E13" s="113" t="s">
        <v>588</v>
      </c>
    </row>
    <row r="14" spans="3:5" x14ac:dyDescent="0.45">
      <c r="C14" s="137" t="s">
        <v>590</v>
      </c>
      <c r="D14" s="113">
        <f>INT(D12*1000/D3)-1</f>
        <v>5</v>
      </c>
      <c r="E14" s="113"/>
    </row>
    <row r="15" spans="3:5" x14ac:dyDescent="0.45">
      <c r="C15" s="137" t="s">
        <v>591</v>
      </c>
      <c r="D15" s="113">
        <f>D14</f>
        <v>5</v>
      </c>
      <c r="E15" s="113"/>
    </row>
    <row r="16" spans="3:5" x14ac:dyDescent="0.45">
      <c r="C16" s="137" t="s">
        <v>592</v>
      </c>
      <c r="D16" s="113">
        <f>INT(D13*1000/D3)-1</f>
        <v>11</v>
      </c>
      <c r="E16" s="113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 x14ac:dyDescent="0.45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 x14ac:dyDescent="0.45">
      <c r="C3" s="142" t="s">
        <v>593</v>
      </c>
      <c r="D3" s="142"/>
      <c r="E3" s="142" t="s">
        <v>603</v>
      </c>
      <c r="I3" s="139" t="s">
        <v>610</v>
      </c>
    </row>
    <row r="4" spans="3:9" x14ac:dyDescent="0.45">
      <c r="C4" s="140" t="s">
        <v>594</v>
      </c>
      <c r="D4" s="139" t="s">
        <v>595</v>
      </c>
      <c r="E4" s="139" t="s">
        <v>602</v>
      </c>
      <c r="I4" s="139" t="s">
        <v>611</v>
      </c>
    </row>
    <row r="5" spans="3:9" x14ac:dyDescent="0.45">
      <c r="C5" s="140" t="s">
        <v>596</v>
      </c>
      <c r="D5" s="139" t="s">
        <v>597</v>
      </c>
      <c r="E5" s="139" t="s">
        <v>604</v>
      </c>
      <c r="I5" s="139" t="s">
        <v>612</v>
      </c>
    </row>
    <row r="6" spans="3:9" x14ac:dyDescent="0.45">
      <c r="C6" s="140" t="s">
        <v>598</v>
      </c>
      <c r="D6" s="139" t="s">
        <v>599</v>
      </c>
      <c r="E6" s="139" t="s">
        <v>604</v>
      </c>
      <c r="I6" s="139" t="s">
        <v>613</v>
      </c>
    </row>
    <row r="7" spans="3:9" x14ac:dyDescent="0.45">
      <c r="C7" s="140" t="s">
        <v>600</v>
      </c>
      <c r="D7" s="139" t="s">
        <v>601</v>
      </c>
      <c r="E7" s="139" t="s">
        <v>604</v>
      </c>
    </row>
    <row r="8" spans="3:9" x14ac:dyDescent="0.45">
      <c r="C8" s="140" t="s">
        <v>605</v>
      </c>
      <c r="D8" s="139" t="s">
        <v>606</v>
      </c>
      <c r="E8" s="139" t="s">
        <v>604</v>
      </c>
    </row>
    <row r="9" spans="3:9" x14ac:dyDescent="0.45">
      <c r="C9" s="140" t="s">
        <v>607</v>
      </c>
      <c r="D9" s="139"/>
      <c r="E9" s="139" t="s">
        <v>604</v>
      </c>
    </row>
    <row r="10" spans="3:9" x14ac:dyDescent="0.45">
      <c r="C10" s="140" t="s">
        <v>608</v>
      </c>
      <c r="D10" s="139"/>
      <c r="E10" s="139" t="s">
        <v>604</v>
      </c>
    </row>
    <row r="11" spans="3:9" ht="61" x14ac:dyDescent="0.45">
      <c r="C11" s="141" t="s">
        <v>609</v>
      </c>
      <c r="D11" s="139"/>
      <c r="E11" s="139" t="s">
        <v>604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PIN_PAD</vt:lpstr>
      <vt:lpstr>FT_Test</vt:lpstr>
      <vt:lpstr>Sheet1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2026-06-18T09:01:49Z</dcterms:modified>
</cp:coreProperties>
</file>