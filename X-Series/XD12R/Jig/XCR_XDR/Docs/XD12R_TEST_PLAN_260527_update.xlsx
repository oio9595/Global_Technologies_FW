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winse\OneDrive\바탕 화면\"/>
    </mc:Choice>
  </mc:AlternateContent>
  <xr:revisionPtr revIDLastSave="0" documentId="8_{623E0481-D985-49B8-8F77-FC68506F1050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PIN_PAD" sheetId="3" r:id="rId1"/>
    <sheet name="FT_Test" sheetId="2" r:id="rId2"/>
    <sheet name="BASIC SETTING" sheetId="4" r:id="rId3"/>
    <sheet name="SVSYNC INPUT" sheetId="5" r:id="rId4"/>
    <sheet name="func. test seqeunce" sheetId="6" r:id="rId5"/>
    <sheet name="PWM_DIV 계산식" sheetId="7" r:id="rId6"/>
    <sheet name="eFUSE" sheetId="8" r:id="rId7"/>
    <sheet name="Serial Communication Protocol" sheetId="9" r:id="rId8"/>
    <sheet name="MIRROR REG. CHECK" sheetId="10" r:id="rId9"/>
    <sheet name="FUNCTION TEST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D11" i="7" s="1"/>
  <c r="D13" i="7" s="1"/>
  <c r="D16" i="7" s="1"/>
  <c r="D8" i="7"/>
  <c r="D10" i="7" s="1"/>
  <c r="D12" i="7" s="1"/>
  <c r="D14" i="7" s="1"/>
  <c r="D1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M5" authorId="0" shapeId="0" xr:uid="{CB6D2244-C32F-4C42-ABBC-D43DD518900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F32" authorId="0" shapeId="0" xr:uid="{34F056EA-B273-4667-9007-EA6AADBDCD7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Q32" authorId="0" shapeId="0" xr:uid="{7B6CA438-A068-47A9-8183-7C5EA0F1B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무관함</t>
        </r>
      </text>
    </comment>
    <comment ref="B34" authorId="0" shapeId="0" xr:uid="{0EB65338-B2A1-47F9-A3BC-289BEDA394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F36" authorId="0" shapeId="0" xr:uid="{C4866209-CEF5-40D1-BA7F-30B36AD3ED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G38" authorId="0" shapeId="0" xr:uid="{66423A4B-A091-4524-8CCB-AB709DD3E2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N45" authorId="0" shapeId="0" xr:uid="{E02F1FA8-12E4-4A39-B17E-9B5EB34F252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F47" authorId="0" shapeId="0" xr:uid="{4BAFD062-14DD-4D4E-9D44-2D1B2FBD3B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K48" authorId="0" shapeId="0" xr:uid="{3E6ADB3F-C45C-4671-BCF0-9CBEF4148B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O48" authorId="0" shapeId="0" xr:uid="{4716F55C-4914-47B5-B27B-2A6374DDC8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G53" authorId="0" shapeId="0" xr:uid="{934C9444-4F33-43FB-82EC-AE630D7803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J53" authorId="0" shapeId="0" xr:uid="{BBC60799-F688-42AE-B485-84B1DEE318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sharedStrings.xml><?xml version="1.0" encoding="utf-8"?>
<sst xmlns="http://schemas.openxmlformats.org/spreadsheetml/2006/main" count="950" uniqueCount="623">
  <si>
    <t>Trimming</t>
    <phoneticPr fontId="3" type="noConversion"/>
  </si>
  <si>
    <t>TEST NO</t>
    <phoneticPr fontId="3" type="noConversion"/>
  </si>
  <si>
    <t>TEST NAME</t>
    <phoneticPr fontId="3" type="noConversion"/>
  </si>
  <si>
    <t>TEST PIN</t>
    <phoneticPr fontId="3" type="noConversion"/>
  </si>
  <si>
    <t>TARGET</t>
    <phoneticPr fontId="3" type="noConversion"/>
  </si>
  <si>
    <t>VDD</t>
    <phoneticPr fontId="3" type="noConversion"/>
  </si>
  <si>
    <t>TEST CONDITION</t>
    <phoneticPr fontId="3" type="noConversion"/>
  </si>
  <si>
    <t>TEST TYPE</t>
    <phoneticPr fontId="3" type="noConversion"/>
  </si>
  <si>
    <t>SET REG</t>
    <phoneticPr fontId="3" type="noConversion"/>
  </si>
  <si>
    <t>TRIM REG</t>
    <phoneticPr fontId="3" type="noConversion"/>
  </si>
  <si>
    <t>DESCRIPTION</t>
    <phoneticPr fontId="3" type="noConversion"/>
  </si>
  <si>
    <t>NOTE</t>
    <phoneticPr fontId="3" type="noConversion"/>
  </si>
  <si>
    <t>Current REF</t>
    <phoneticPr fontId="3" type="noConversion"/>
  </si>
  <si>
    <t>TEST</t>
    <phoneticPr fontId="3" type="noConversion"/>
  </si>
  <si>
    <t>1.4V</t>
    <phoneticPr fontId="3" type="noConversion"/>
  </si>
  <si>
    <t>High - Z</t>
    <phoneticPr fontId="3" type="noConversion"/>
  </si>
  <si>
    <t>Voltage</t>
    <phoneticPr fontId="3" type="noConversion"/>
  </si>
  <si>
    <t>Current reference Voltage trimming</t>
    <phoneticPr fontId="3" type="noConversion"/>
  </si>
  <si>
    <t>LDO(Digital)</t>
    <phoneticPr fontId="3" type="noConversion"/>
  </si>
  <si>
    <t>1.5V</t>
    <phoneticPr fontId="3" type="noConversion"/>
  </si>
  <si>
    <t>Digital LDO Voltage trimming</t>
    <phoneticPr fontId="3" type="noConversion"/>
  </si>
  <si>
    <t>**signed binary**</t>
    <phoneticPr fontId="3" type="noConversion"/>
  </si>
  <si>
    <t>LDO(DAC)</t>
    <phoneticPr fontId="3" type="noConversion"/>
  </si>
  <si>
    <t>DAC LDO Voltage trimming</t>
    <phoneticPr fontId="3" type="noConversion"/>
  </si>
  <si>
    <t>LDO(FLL)</t>
    <phoneticPr fontId="3" type="noConversion"/>
  </si>
  <si>
    <t>FLL LDO Voltage trimming</t>
    <phoneticPr fontId="3" type="noConversion"/>
  </si>
  <si>
    <t>OSC Frequency</t>
    <phoneticPr fontId="3" type="noConversion"/>
  </si>
  <si>
    <t>DOUT</t>
    <phoneticPr fontId="3" type="noConversion"/>
  </si>
  <si>
    <t>40/64 = 0.625MHz</t>
    <phoneticPr fontId="3" type="noConversion"/>
  </si>
  <si>
    <t>Frequency</t>
    <phoneticPr fontId="3" type="noConversion"/>
  </si>
  <si>
    <t>Frequency trimming</t>
    <phoneticPr fontId="3" type="noConversion"/>
  </si>
  <si>
    <t>* 1/64 Divided out *</t>
    <phoneticPr fontId="3" type="noConversion"/>
  </si>
  <si>
    <t>CH_GAIN</t>
    <phoneticPr fontId="3" type="noConversion"/>
  </si>
  <si>
    <t>IOUT CH(N)</t>
    <phoneticPr fontId="3" type="noConversion"/>
  </si>
  <si>
    <t>P2 - P1 = 4.688mA</t>
    <phoneticPr fontId="3" type="noConversion"/>
  </si>
  <si>
    <r>
      <rPr>
        <b/>
        <sz val="11"/>
        <color theme="1"/>
        <rFont val="Calibri"/>
        <family val="2"/>
      </rPr>
      <t>P1 : 300 , P2 : 1500</t>
    </r>
    <r>
      <rPr>
        <sz val="11"/>
        <color theme="1"/>
        <rFont val="Calibri"/>
        <family val="2"/>
      </rPr>
      <t xml:space="preserve">
VLED = 1V</t>
    </r>
    <phoneticPr fontId="3" type="noConversion"/>
  </si>
  <si>
    <t>Current (Sink)</t>
    <phoneticPr fontId="3" type="noConversion"/>
  </si>
  <si>
    <t>Gain trimming</t>
    <phoneticPr fontId="3" type="noConversion"/>
  </si>
  <si>
    <t>* MAX 16mA Setting</t>
    <phoneticPr fontId="3" type="noConversion"/>
  </si>
  <si>
    <t>CH_OFFSET</t>
    <phoneticPr fontId="3" type="noConversion"/>
  </si>
  <si>
    <t>(P3+P4)/2 = 1.172mA</t>
    <phoneticPr fontId="3" type="noConversion"/>
  </si>
  <si>
    <r>
      <rPr>
        <b/>
        <sz val="11"/>
        <color theme="1"/>
        <rFont val="Calibri"/>
        <family val="2"/>
      </rPr>
      <t>P3 : 200 , P4 : 400</t>
    </r>
    <r>
      <rPr>
        <sz val="11"/>
        <color theme="1"/>
        <rFont val="Calibri"/>
        <family val="2"/>
      </rPr>
      <t xml:space="preserve">
VLED = 1V</t>
    </r>
    <phoneticPr fontId="3" type="noConversion"/>
  </si>
  <si>
    <t>Offset trimming</t>
    <phoneticPr fontId="3" type="noConversion"/>
  </si>
  <si>
    <t>eFuse Write</t>
    <phoneticPr fontId="3" type="noConversion"/>
  </si>
  <si>
    <t>1ST TEST</t>
    <phoneticPr fontId="3" type="noConversion"/>
  </si>
  <si>
    <t>TEST LIMIT</t>
    <phoneticPr fontId="3" type="noConversion"/>
  </si>
  <si>
    <t>LKG</t>
    <phoneticPr fontId="3" type="noConversion"/>
  </si>
  <si>
    <t>Current</t>
    <phoneticPr fontId="3" type="noConversion"/>
  </si>
  <si>
    <t>+10nA / - 2nA</t>
    <phoneticPr fontId="3" type="noConversion"/>
  </si>
  <si>
    <t>LKG(LKG MODE)</t>
    <phoneticPr fontId="3" type="noConversion"/>
  </si>
  <si>
    <t>100nA</t>
    <phoneticPr fontId="3" type="noConversion"/>
  </si>
  <si>
    <t>± 10%</t>
    <phoneticPr fontId="3" type="noConversion"/>
  </si>
  <si>
    <t>IDDS</t>
    <phoneticPr fontId="3" type="noConversion"/>
  </si>
  <si>
    <t>STANDBY MODE</t>
    <phoneticPr fontId="3" type="noConversion"/>
  </si>
  <si>
    <t>IDDD</t>
    <phoneticPr fontId="3" type="noConversion"/>
  </si>
  <si>
    <t>ACTIVE MODE</t>
    <phoneticPr fontId="3" type="noConversion"/>
  </si>
  <si>
    <t>IDDQ_A</t>
    <phoneticPr fontId="3" type="noConversion"/>
  </si>
  <si>
    <t>SCAN MODE</t>
    <phoneticPr fontId="3" type="noConversion"/>
  </si>
  <si>
    <t>PIN : STEST = 3.3V</t>
    <phoneticPr fontId="3" type="noConversion"/>
  </si>
  <si>
    <t>IDDQ_D</t>
    <phoneticPr fontId="3" type="noConversion"/>
  </si>
  <si>
    <t>VDD1P5
(OPEN PAD)</t>
    <phoneticPr fontId="3" type="noConversion"/>
  </si>
  <si>
    <t>TBD</t>
    <phoneticPr fontId="3" type="noConversion"/>
  </si>
  <si>
    <t>± 3%</t>
    <phoneticPr fontId="3" type="noConversion"/>
  </si>
  <si>
    <t>OSC</t>
    <phoneticPr fontId="3" type="noConversion"/>
  </si>
  <si>
    <t>SVOUT</t>
    <phoneticPr fontId="3" type="noConversion"/>
  </si>
  <si>
    <t>± 5%</t>
    <phoneticPr fontId="3" type="noConversion"/>
  </si>
  <si>
    <t>FLL</t>
    <phoneticPr fontId="3" type="noConversion"/>
  </si>
  <si>
    <t>± 0.5%</t>
    <phoneticPr fontId="3" type="noConversion"/>
  </si>
  <si>
    <t>IOUT_3POINT</t>
    <phoneticPr fontId="3" type="noConversion"/>
  </si>
  <si>
    <t>P1 = 1.172mA
P2 = 2.735mA
P3 = 11.721mA</t>
    <phoneticPr fontId="3" type="noConversion"/>
  </si>
  <si>
    <t>MAX_CURR_VREF_CH(N)[11:0]
P1 : 300
P2 : 700
P3 : 3000</t>
    <phoneticPr fontId="3" type="noConversion"/>
  </si>
  <si>
    <t>± 1.5%</t>
    <phoneticPr fontId="3" type="noConversion"/>
  </si>
  <si>
    <t>VLED = 1V</t>
    <phoneticPr fontId="3" type="noConversion"/>
  </si>
  <si>
    <t>IOUT_1POINT
(MAX SWEEP)</t>
    <phoneticPr fontId="3" type="noConversion"/>
  </si>
  <si>
    <t>UVOV(1P5)</t>
    <phoneticPr fontId="3" type="noConversion"/>
  </si>
  <si>
    <r>
      <t xml:space="preserve">T0 : UV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rgb="FFFF0000"/>
        <rFont val="Calibri"/>
        <family val="2"/>
      </rPr>
      <t>H</t>
    </r>
    <phoneticPr fontId="3" type="noConversion"/>
  </si>
  <si>
    <t>**TEST PIN**
T0 = 1V
T1 = 1.5V
T2 = 2V</t>
    <phoneticPr fontId="3" type="noConversion"/>
  </si>
  <si>
    <t>Data Read</t>
    <phoneticPr fontId="3" type="noConversion"/>
  </si>
  <si>
    <t>UVOV(VDD)</t>
    <phoneticPr fontId="3" type="noConversion"/>
  </si>
  <si>
    <r>
      <t xml:space="preserve">**TEST PIN**
T0 = 2.5V
T1 = 3.3V
T2 = 3.3V + </t>
    </r>
    <r>
      <rPr>
        <b/>
        <sz val="11"/>
        <color theme="1"/>
        <rFont val="Calibri"/>
        <family val="2"/>
      </rPr>
      <t>OV_SWAP_EN = 1'd 1</t>
    </r>
    <phoneticPr fontId="3" type="noConversion"/>
  </si>
  <si>
    <t>Fault Flag Test</t>
    <phoneticPr fontId="3" type="noConversion"/>
  </si>
  <si>
    <t>DIN</t>
    <phoneticPr fontId="3" type="noConversion"/>
  </si>
  <si>
    <r>
      <t xml:space="preserve">T0 : Open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FB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T1 : Open = L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 FB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T2 : Open = L / FB = L / Short = L
T3 : Open = L / FB = L / Short = </t>
    </r>
    <r>
      <rPr>
        <b/>
        <sz val="11"/>
        <color rgb="FFFF0000"/>
        <rFont val="Calibri"/>
        <family val="2"/>
      </rPr>
      <t>H</t>
    </r>
    <phoneticPr fontId="3" type="noConversion"/>
  </si>
  <si>
    <t>**VLED**
T0 = 0.05V
T1 = 0.7V
T2 = 2V
T3 = 5V</t>
    <phoneticPr fontId="3" type="noConversion"/>
  </si>
  <si>
    <t>Temp Flag Test</t>
    <phoneticPr fontId="3" type="noConversion"/>
  </si>
  <si>
    <t>DIN or TEST</t>
    <phoneticPr fontId="3" type="noConversion"/>
  </si>
  <si>
    <t>OV_TEMP = L &gt; H
or
TEST = L &gt; H</t>
    <phoneticPr fontId="3" type="noConversion"/>
  </si>
  <si>
    <t>OV_SWAP_EN = 1'd 1</t>
    <phoneticPr fontId="3" type="noConversion"/>
  </si>
  <si>
    <t>Data Read
or
Voltage</t>
    <phoneticPr fontId="3" type="noConversion"/>
  </si>
  <si>
    <t>Fault Flag : 'H' Check
or
Voltage = 3.3V</t>
    <phoneticPr fontId="3" type="noConversion"/>
  </si>
  <si>
    <t>HPS_PWM</t>
    <phoneticPr fontId="3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</si>
  <si>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3" type="noConversion"/>
  </si>
  <si>
    <t>2ND TEST</t>
    <phoneticPr fontId="3" type="noConversion"/>
  </si>
  <si>
    <t>&lt; Delta 0.5%</t>
    <phoneticPr fontId="3" type="noConversion"/>
  </si>
  <si>
    <t>* 1ST TEST - 2ND TEST*</t>
    <phoneticPr fontId="3" type="noConversion"/>
  </si>
  <si>
    <r>
      <t xml:space="preserve">HPS_PWM
</t>
    </r>
    <r>
      <rPr>
        <sz val="11"/>
        <color theme="1"/>
        <rFont val="맑은 고딕"/>
        <family val="2"/>
        <charset val="129"/>
      </rPr>
      <t xml:space="preserve">이후 온도 상황 고려해
</t>
    </r>
    <r>
      <rPr>
        <sz val="11"/>
        <color theme="1"/>
        <rFont val="Calibri"/>
        <family val="2"/>
      </rP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3" type="noConversion"/>
  </si>
  <si>
    <t>ch</t>
    <phoneticPr fontId="13" type="noConversion"/>
  </si>
  <si>
    <t>GT1009A(N)R(N)</t>
    <phoneticPr fontId="3" type="noConversion"/>
  </si>
  <si>
    <t>PKG</t>
    <phoneticPr fontId="13" type="noConversion"/>
  </si>
  <si>
    <t>Pin No.</t>
  </si>
  <si>
    <t>Pad Pin Name</t>
    <phoneticPr fontId="13" type="noConversion"/>
  </si>
  <si>
    <t>Pad Cell Name</t>
    <phoneticPr fontId="13" type="noConversion"/>
  </si>
  <si>
    <t>Y</t>
    <phoneticPr fontId="13" type="noConversion"/>
  </si>
  <si>
    <t>A</t>
    <phoneticPr fontId="13" type="noConversion"/>
  </si>
  <si>
    <t>EN</t>
    <phoneticPr fontId="13" type="noConversion"/>
  </si>
  <si>
    <t>I/O</t>
  </si>
  <si>
    <t>Type</t>
  </si>
  <si>
    <t>Description</t>
  </si>
  <si>
    <t>LEFT</t>
    <phoneticPr fontId="13" type="noConversion"/>
  </si>
  <si>
    <t>PVDD50C</t>
    <phoneticPr fontId="3" type="noConversion"/>
  </si>
  <si>
    <t>Power</t>
    <phoneticPr fontId="3" type="noConversion"/>
  </si>
  <si>
    <t>VSS</t>
    <phoneticPr fontId="3" type="noConversion"/>
  </si>
  <si>
    <t>PVSSAS</t>
    <phoneticPr fontId="3" type="noConversion"/>
  </si>
  <si>
    <t>VDD</t>
    <phoneticPr fontId="13" type="noConversion"/>
  </si>
  <si>
    <t>down bonding</t>
    <phoneticPr fontId="3" type="noConversion"/>
  </si>
  <si>
    <t>PHBSDT8</t>
    <phoneticPr fontId="3" type="noConversion"/>
  </si>
  <si>
    <t>I_DIN</t>
    <phoneticPr fontId="3" type="noConversion"/>
  </si>
  <si>
    <t>O_DOUT</t>
    <phoneticPr fontId="3" type="noConversion"/>
  </si>
  <si>
    <t>O_DOUT_OEN</t>
    <phoneticPr fontId="3" type="noConversion"/>
  </si>
  <si>
    <t>I</t>
    <phoneticPr fontId="3" type="noConversion"/>
  </si>
  <si>
    <t>Digital</t>
    <phoneticPr fontId="3" type="noConversion"/>
  </si>
  <si>
    <t>SVIN</t>
    <phoneticPr fontId="3" type="noConversion"/>
  </si>
  <si>
    <t>PHISD</t>
  </si>
  <si>
    <t>I_SVSYNC</t>
    <phoneticPr fontId="3" type="noConversion"/>
  </si>
  <si>
    <t>VSS</t>
    <phoneticPr fontId="13" type="noConversion"/>
  </si>
  <si>
    <t>BOT</t>
    <phoneticPr fontId="3" type="noConversion"/>
  </si>
  <si>
    <t>IOUT_CH12</t>
    <phoneticPr fontId="13" type="noConversion"/>
  </si>
  <si>
    <t>x</t>
    <phoneticPr fontId="3" type="noConversion"/>
  </si>
  <si>
    <t>O</t>
    <phoneticPr fontId="3" type="noConversion"/>
  </si>
  <si>
    <t>HV Analog</t>
    <phoneticPr fontId="3" type="noConversion"/>
  </si>
  <si>
    <t>VDD1P5</t>
    <phoneticPr fontId="3" type="noConversion"/>
  </si>
  <si>
    <t>IOUT_CH11</t>
    <phoneticPr fontId="3" type="noConversion"/>
  </si>
  <si>
    <t>IOUT_CH10</t>
    <phoneticPr fontId="3" type="noConversion"/>
  </si>
  <si>
    <t>IOUT_CH9</t>
    <phoneticPr fontId="3" type="noConversion"/>
  </si>
  <si>
    <t>IOUT_CH8</t>
    <phoneticPr fontId="3" type="noConversion"/>
  </si>
  <si>
    <t>SRSTN</t>
    <phoneticPr fontId="3" type="noConversion"/>
  </si>
  <si>
    <t>IOUT_CH7</t>
    <phoneticPr fontId="3" type="noConversion"/>
  </si>
  <si>
    <t>RIGHT</t>
    <phoneticPr fontId="13" type="noConversion"/>
  </si>
  <si>
    <t>PHOB8</t>
  </si>
  <si>
    <t>I_SVSYNC_IN</t>
  </si>
  <si>
    <t>O_SVSYNC</t>
  </si>
  <si>
    <t>O_SVSYNC_OEN</t>
  </si>
  <si>
    <t>PHBSDT8</t>
  </si>
  <si>
    <t>I_DIN_NEXT</t>
    <phoneticPr fontId="3" type="noConversion"/>
  </si>
  <si>
    <t>O_DOUT_NEXT</t>
    <phoneticPr fontId="3" type="noConversion"/>
  </si>
  <si>
    <t>O_DOUT_NEXT_OEN</t>
    <phoneticPr fontId="3" type="noConversion"/>
  </si>
  <si>
    <t>I/O</t>
    <phoneticPr fontId="3" type="noConversion"/>
  </si>
  <si>
    <t>STEST</t>
    <phoneticPr fontId="3" type="noConversion"/>
  </si>
  <si>
    <t>TEST/VSS</t>
    <phoneticPr fontId="3" type="noConversion"/>
  </si>
  <si>
    <t>PA5</t>
  </si>
  <si>
    <t>20K PD</t>
    <phoneticPr fontId="3" type="noConversion"/>
  </si>
  <si>
    <t>PVDDAS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</si>
  <si>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13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</si>
  <si>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13" type="noConversion"/>
  </si>
  <si>
    <t>TOP</t>
    <phoneticPr fontId="3" type="noConversion"/>
  </si>
  <si>
    <t>IOUT_CH6</t>
    <phoneticPr fontId="13" type="noConversion"/>
  </si>
  <si>
    <t>IOUT_CH5</t>
    <phoneticPr fontId="3" type="noConversion"/>
  </si>
  <si>
    <t>IOUT_CH4</t>
    <phoneticPr fontId="3" type="noConversion"/>
  </si>
  <si>
    <t>IOUT_CH3</t>
    <phoneticPr fontId="3" type="noConversion"/>
  </si>
  <si>
    <t>SVI</t>
    <phoneticPr fontId="13" type="noConversion"/>
  </si>
  <si>
    <t>SVO</t>
    <phoneticPr fontId="13" type="noConversion"/>
  </si>
  <si>
    <t>IOUT_CH2</t>
    <phoneticPr fontId="3" type="noConversion"/>
  </si>
  <si>
    <t>IOUT_CH1</t>
    <phoneticPr fontId="3" type="noConversion"/>
  </si>
  <si>
    <t>** VDD1P5 / TEST / SRSTN / STEST = open PAD</t>
    <phoneticPr fontId="3" type="noConversion"/>
  </si>
  <si>
    <t>-</t>
    <phoneticPr fontId="3" type="noConversion"/>
  </si>
  <si>
    <t>Common 
Register setting</t>
    <phoneticPr fontId="3" type="noConversion"/>
  </si>
  <si>
    <r>
      <t xml:space="preserve">TEST_EN = 1'd : 1
TEST_ANA_EN[2:0] = 3'd : 0
</t>
    </r>
    <r>
      <rPr>
        <b/>
        <sz val="11"/>
        <color theme="1"/>
        <rFont val="Calibri"/>
        <family val="2"/>
      </rPr>
      <t>0x3F : 800</t>
    </r>
    <phoneticPr fontId="3" type="noConversion"/>
  </si>
  <si>
    <r>
      <t xml:space="preserve">TEST_EN = 1'd : 1
TEST_ANA_EN[2:0] = 3'd : 2
</t>
    </r>
    <r>
      <rPr>
        <b/>
        <sz val="11"/>
        <color theme="1"/>
        <rFont val="Calibri"/>
        <family val="2"/>
      </rPr>
      <t>0x3F : A00</t>
    </r>
    <phoneticPr fontId="3" type="noConversion"/>
  </si>
  <si>
    <r>
      <t xml:space="preserve">TEST_EN = 1'd : 1
TEST_ANA_EN[2:0] = 3'd : 1
</t>
    </r>
    <r>
      <rPr>
        <b/>
        <sz val="11"/>
        <color theme="1"/>
        <rFont val="Calibri"/>
        <family val="2"/>
      </rPr>
      <t>0x3F : 900</t>
    </r>
    <phoneticPr fontId="3" type="noConversion"/>
  </si>
  <si>
    <r>
      <t xml:space="preserve">TEST_EN = 1'd : 1
TEST_ANA_EN[2:0] = 3'd : 5
</t>
    </r>
    <r>
      <rPr>
        <b/>
        <sz val="11"/>
        <color theme="1"/>
        <rFont val="Calibri"/>
        <family val="2"/>
      </rPr>
      <t>0x3F : D00</t>
    </r>
    <phoneticPr fontId="3" type="noConversion"/>
  </si>
  <si>
    <r>
      <t xml:space="preserve">IREF_CTL[4:0]
</t>
    </r>
    <r>
      <rPr>
        <b/>
        <sz val="11"/>
        <color rgb="FF000000"/>
        <rFont val="Calibri"/>
        <family val="2"/>
      </rPr>
      <t>mirror 0x01 [9:5]</t>
    </r>
    <phoneticPr fontId="3" type="noConversion"/>
  </si>
  <si>
    <r>
      <t xml:space="preserve">LDO_CTL[3:0]
</t>
    </r>
    <r>
      <rPr>
        <b/>
        <sz val="11"/>
        <color rgb="FF000000"/>
        <rFont val="Calibri"/>
        <family val="2"/>
      </rPr>
      <t>mirror 0x03 [3:0]</t>
    </r>
    <phoneticPr fontId="3" type="noConversion"/>
  </si>
  <si>
    <r>
      <t xml:space="preserve">LDO_DAC_CTL[4:0]
</t>
    </r>
    <r>
      <rPr>
        <b/>
        <sz val="11"/>
        <color rgb="FF000000"/>
        <rFont val="Calibri"/>
        <family val="2"/>
      </rPr>
      <t>mirror 0x03 [11:7]</t>
    </r>
    <phoneticPr fontId="3" type="noConversion"/>
  </si>
  <si>
    <r>
      <t xml:space="preserve">LDO_OSC_CTL[3:0]
</t>
    </r>
    <r>
      <rPr>
        <b/>
        <sz val="11"/>
        <color rgb="FF000000"/>
        <rFont val="Calibri"/>
        <family val="2"/>
      </rPr>
      <t>mirror 0x03 [7:4]</t>
    </r>
    <phoneticPr fontId="3" type="noConversion"/>
  </si>
  <si>
    <t>VDD 0 -&gt; 3.3V
wait time &gt; 20msec</t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</si>
  <si>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OSC_MAN_EN = 1'd : 1
OSC_FLL_MAN [15:0] = 
16'b : 1000000000000000
</t>
    </r>
    <r>
      <rPr>
        <b/>
        <sz val="11"/>
        <color theme="1"/>
        <rFont val="Calibri"/>
        <family val="2"/>
      </rPr>
      <t>0x29 : 808</t>
    </r>
    <phoneticPr fontId="3" type="noConversion"/>
  </si>
  <si>
    <r>
      <rPr>
        <sz val="11"/>
        <color rgb="FF000000"/>
        <rFont val="Calibri"/>
        <family val="2"/>
      </rPr>
      <t>CHOP EN</t>
    </r>
    <r>
      <rPr>
        <b/>
        <sz val="11"/>
        <color rgb="FF000000"/>
        <rFont val="Calibri"/>
        <family val="2"/>
      </rPr>
      <t xml:space="preserve">
0x26 : 3F
</t>
    </r>
    <r>
      <rPr>
        <sz val="11"/>
        <color rgb="FF000000"/>
        <rFont val="Calibri"/>
        <family val="2"/>
      </rPr>
      <t>WR PROTECT</t>
    </r>
    <r>
      <rPr>
        <b/>
        <sz val="11"/>
        <color rgb="FF000000"/>
        <rFont val="Calibri"/>
        <family val="2"/>
      </rPr>
      <t xml:space="preserve">
0x24 : 555
</t>
    </r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0x3E  A5A</t>
    </r>
    <phoneticPr fontId="3" type="noConversion"/>
  </si>
  <si>
    <r>
      <t xml:space="preserve">OSC_RCTL[3:0]
</t>
    </r>
    <r>
      <rPr>
        <b/>
        <sz val="11"/>
        <color rgb="FF000000"/>
        <rFont val="Calibri"/>
        <family val="2"/>
      </rPr>
      <t>mirror 0x02 [4:0]</t>
    </r>
    <phoneticPr fontId="3" type="noConversion"/>
  </si>
  <si>
    <r>
      <t xml:space="preserve">GAIN_CH(N)[6:0]
</t>
    </r>
    <r>
      <rPr>
        <b/>
        <sz val="11"/>
        <color theme="1"/>
        <rFont val="Calibri"/>
        <family val="2"/>
      </rPr>
      <t>mirror 0x10
mirror 0x11
mirror 0x12
.
.
mirror 0x19
mirror 0x1A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mirror 0x1B</t>
    </r>
    <phoneticPr fontId="3" type="noConversion"/>
  </si>
  <si>
    <r>
      <t xml:space="preserve">OFS_CH(N)[8:0]
</t>
    </r>
    <r>
      <rPr>
        <b/>
        <sz val="11"/>
        <color theme="1"/>
        <rFont val="Calibri"/>
        <family val="2"/>
      </rPr>
      <t xml:space="preserve">mirror 0x04
mirror 0x05
mirror 0x06
.
.
mirror 0x0D
mirror 0x0E
mirror 0x0F
</t>
    </r>
    <phoneticPr fontId="3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</si>
  <si>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phoneticPr fontId="3" type="noConversion"/>
  </si>
  <si>
    <t>CHOP EN
0x26 : 3F
WR PROTECT
0x24 : 555</t>
    <phoneticPr fontId="3" type="noConversion"/>
  </si>
  <si>
    <t>VSYNC = 120Hz</t>
    <phoneticPr fontId="3" type="noConversion"/>
  </si>
  <si>
    <t>MAX_CURR_VREF_CH(N)[11:0]
P1 ~ P8 = 300
MAX_CURR_LEVEL[3:0]
P1 = 0
P2 = 1
P3 = 2
.
.
P14 = 13
P15 = 14
P16 = 15</t>
    <phoneticPr fontId="3" type="noConversion"/>
  </si>
  <si>
    <r>
      <t xml:space="preserve">TEST_EN = 1'd : 1
TEST_ANA_EN[2:0] = 3'd : 6
</t>
    </r>
    <r>
      <rPr>
        <b/>
        <sz val="11"/>
        <color theme="1"/>
        <rFont val="Calibri"/>
        <family val="2"/>
      </rPr>
      <t>0x3F : E00</t>
    </r>
    <phoneticPr fontId="3" type="noConversion"/>
  </si>
  <si>
    <t>Fault Flag : 'H' Check
SHORT = 0x09[4]
OPEN = 0x09[3]
FB3 = 0x09[2]
FB2 = 0x09[1]
FB1 = 0x09[0]</t>
    <phoneticPr fontId="3" type="noConversion"/>
  </si>
  <si>
    <r>
      <t xml:space="preserve">CH(N)_EN : All Enable
</t>
    </r>
    <r>
      <rPr>
        <b/>
        <sz val="11"/>
        <color theme="1"/>
        <rFont val="Calibri"/>
        <family val="2"/>
      </rPr>
      <t>0x05 : FFF</t>
    </r>
    <r>
      <rPr>
        <sz val="11"/>
        <color theme="1"/>
        <rFont val="Calibri"/>
        <family val="2"/>
      </rPr>
      <t xml:space="preserve">
FB(N)_LEVEL[2:0] : 3'd 5
SHORT(N)_LEVEL[2:0] = 3'd 0
</t>
    </r>
    <r>
      <rPr>
        <b/>
        <sz val="11"/>
        <color theme="1"/>
        <rFont val="Calibri"/>
        <family val="2"/>
      </rPr>
      <t>0x16 : B6D
0x17 : 5</t>
    </r>
    <phoneticPr fontId="3" type="noConversion"/>
  </si>
  <si>
    <t>VDD_UV / VDD_OV : 'H' Check
VDD_OV = 0x09[9]
VDD_UV = 0x09[8]</t>
    <phoneticPr fontId="3" type="noConversion"/>
  </si>
  <si>
    <t>LDO_UV / LDO_OV : 'H' Check
LDO_OV = 0x09[7]
LDO_UV = 0x09[6]</t>
    <phoneticPr fontId="3" type="noConversion"/>
  </si>
  <si>
    <t>P1 = 0.293mA
P2 = 0.586mA
P3 = 0.879mA
P4 = 1.172mA
P5 = 1.465mA
P6 = 1.758mA
P7 = 2.051mA
P8 = 2.344mA
P9 = 2.637mA
P10 = 2.930mA
P11 = 3.223mA
P12 = 3.516mA
P13 = 3.810mA
P14 = 4.103mA
P15 = 4.396mA
P16 = 4.689mA</t>
    <phoneticPr fontId="3" type="noConversion"/>
  </si>
  <si>
    <r>
      <t xml:space="preserve">TEST_EN = 1'd : 1
TEST_ANA_EN[2:0] = 3'd : 7
</t>
    </r>
    <r>
      <rPr>
        <b/>
        <sz val="11"/>
        <color theme="1"/>
        <rFont val="Calibri"/>
        <family val="2"/>
      </rPr>
      <t>0x3F : F00</t>
    </r>
    <r>
      <rPr>
        <sz val="11"/>
        <color theme="1"/>
        <rFont val="Calibri"/>
        <family val="2"/>
      </rPr>
      <t xml:space="preserve">
OV_SWP_EN = 0x27[7]</t>
    </r>
    <phoneticPr fontId="3" type="noConversion"/>
  </si>
  <si>
    <t>OV_SWP_EN = 0x27[7]</t>
    <phoneticPr fontId="3" type="noConversion"/>
  </si>
  <si>
    <t>VDD = 5.5V</t>
    <phoneticPr fontId="3" type="noConversion"/>
  </si>
  <si>
    <t>HVS_TEST
(PWM)</t>
    <phoneticPr fontId="3" type="noConversion"/>
  </si>
  <si>
    <t>별도조건</t>
    <phoneticPr fontId="3" type="noConversion"/>
  </si>
  <si>
    <t>SCAN TEST</t>
    <phoneticPr fontId="3" type="noConversion"/>
  </si>
  <si>
    <t>NORMAL MODE</t>
    <phoneticPr fontId="3" type="noConversion"/>
  </si>
  <si>
    <t>VDD1P5 = Floating
STEST (PIN) = Floating
SRSTN = Floating</t>
    <phoneticPr fontId="3" type="noConversion"/>
  </si>
  <si>
    <t>VDD OFF/ON wait time</t>
    <phoneticPr fontId="3" type="noConversion"/>
  </si>
  <si>
    <t>VDD1P5 = 1.5V input
STEST (PIN) = VDD
SRSTN = 0 -&gt; VDD</t>
    <phoneticPr fontId="3" type="noConversion"/>
  </si>
  <si>
    <t>별도 조건</t>
    <phoneticPr fontId="3" type="noConversion"/>
  </si>
  <si>
    <t>40M/64 = 0.625M
50M/64 = 0.781M
60M/64 = 0.9375M</t>
    <phoneticPr fontId="3" type="noConversion"/>
  </si>
  <si>
    <t>50M/64 = 0.781MHz</t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</si>
  <si>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 = 1'd 0
</t>
    </r>
    <r>
      <rPr>
        <b/>
        <sz val="11"/>
        <color theme="1"/>
        <rFont val="Calibri"/>
        <family val="2"/>
      </rPr>
      <t>0x29 : 0</t>
    </r>
    <r>
      <rPr>
        <sz val="11"/>
        <color theme="1"/>
        <rFont val="Calibri"/>
        <family val="2"/>
      </rPr>
      <t xml:space="preserve">
FLL_EN = 1'd 1
MCLK_LOCK_CNT[19:0] x 60 = 40M
</t>
    </r>
    <r>
      <rPr>
        <b/>
        <sz val="11"/>
        <color theme="1"/>
        <rFont val="Calibri"/>
        <family val="2"/>
      </rPr>
      <t>0x22 : C2B , 0x23 : 8A2</t>
    </r>
    <r>
      <rPr>
        <sz val="11"/>
        <color theme="1"/>
        <rFont val="Calibri"/>
        <family val="2"/>
      </rPr>
      <t xml:space="preserve">
MCLK_LOCK_CNT[19:0] x 60 = 50M
</t>
    </r>
    <r>
      <rPr>
        <b/>
        <sz val="11"/>
        <color theme="1"/>
        <rFont val="Calibri"/>
        <family val="2"/>
      </rPr>
      <t>0x22 : C2B , 0x23 :  8A2</t>
    </r>
    <r>
      <rPr>
        <sz val="11"/>
        <color theme="1"/>
        <rFont val="Calibri"/>
        <family val="2"/>
      </rPr>
      <t xml:space="preserve">
MCLK_LOCK_CNT[19:0] x 60 = 60M
</t>
    </r>
    <r>
      <rPr>
        <b/>
        <sz val="11"/>
        <color theme="1"/>
        <rFont val="Calibri"/>
        <family val="2"/>
      </rPr>
      <t>0x22 : C2B , 0x23 : 8A2</t>
    </r>
    <phoneticPr fontId="3" type="noConversion"/>
  </si>
  <si>
    <t>BAIC setting value</t>
  </si>
  <si>
    <t>register</t>
    <phoneticPr fontId="13" type="noConversion"/>
  </si>
  <si>
    <t>address</t>
    <phoneticPr fontId="13" type="noConversion"/>
  </si>
  <si>
    <t>default</t>
    <phoneticPr fontId="13" type="noConversion"/>
  </si>
  <si>
    <t>bit11</t>
    <phoneticPr fontId="13" type="noConversion"/>
  </si>
  <si>
    <t>bit10</t>
    <phoneticPr fontId="13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</si>
  <si>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</si>
  <si>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</si>
  <si>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</si>
  <si>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</si>
  <si>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</si>
  <si>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</si>
  <si>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</si>
  <si>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</si>
  <si>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</si>
  <si>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</si>
  <si>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RST &amp; ID</t>
    <phoneticPr fontId="13" type="noConversion"/>
  </si>
  <si>
    <t>0x00</t>
    <phoneticPr fontId="13" type="noConversion"/>
  </si>
  <si>
    <t>0x100</t>
    <phoneticPr fontId="13" type="noConversion"/>
  </si>
  <si>
    <t>RST</t>
    <phoneticPr fontId="13" type="noConversion"/>
  </si>
  <si>
    <t>VS_RST</t>
    <phoneticPr fontId="13" type="noConversion"/>
  </si>
  <si>
    <t>E_RST</t>
    <phoneticPr fontId="13" type="noConversion"/>
  </si>
  <si>
    <t>LKG_E</t>
    <phoneticPr fontId="13" type="noConversion"/>
  </si>
  <si>
    <t>ID [4:0]</t>
    <phoneticPr fontId="13" type="noConversion"/>
  </si>
  <si>
    <t>default value 유지</t>
    <phoneticPr fontId="3" type="noConversion"/>
  </si>
  <si>
    <t>LD CONTROL</t>
    <phoneticPr fontId="13" type="noConversion"/>
  </si>
  <si>
    <t>0x01</t>
  </si>
  <si>
    <t>0x000</t>
    <phoneticPr fontId="13" type="noConversion"/>
  </si>
  <si>
    <t>SV_NO [5:0]</t>
    <phoneticPr fontId="13" type="noConversion"/>
  </si>
  <si>
    <t>DELAY_MODE_EN</t>
    <phoneticPr fontId="13" type="noConversion"/>
  </si>
  <si>
    <t>SYNCMODE</t>
    <phoneticPr fontId="13" type="noConversion"/>
  </si>
  <si>
    <t>LD_RES</t>
    <phoneticPr fontId="13" type="noConversion"/>
  </si>
  <si>
    <t>LD_DIR</t>
    <phoneticPr fontId="13" type="noConversion"/>
  </si>
  <si>
    <t>LD_MODE</t>
    <phoneticPr fontId="13" type="noConversion"/>
  </si>
  <si>
    <t>SV_NO = 16, SYNC_MODE = 0,
LD_RES = 1, LD_DIR = 1, LD_MODE = 0</t>
    <phoneticPr fontId="3" type="noConversion"/>
  </si>
  <si>
    <t>0x216</t>
    <phoneticPr fontId="3" type="noConversion"/>
  </si>
  <si>
    <t>LD_SIZE</t>
    <phoneticPr fontId="13" type="noConversion"/>
  </si>
  <si>
    <t>0x02</t>
  </si>
  <si>
    <t>LD_SIZE [4:0]</t>
    <phoneticPr fontId="13" type="noConversion"/>
  </si>
  <si>
    <t>LD_SIZE = R+GB</t>
    <phoneticPr fontId="3" type="noConversion"/>
  </si>
  <si>
    <t>0x012</t>
    <phoneticPr fontId="3" type="noConversion"/>
  </si>
  <si>
    <t>PWMCLK_DIV1/2</t>
    <phoneticPr fontId="13" type="noConversion"/>
  </si>
  <si>
    <t>0x03</t>
  </si>
  <si>
    <t>PWMCLK_DIV2 [3:0]</t>
    <phoneticPr fontId="13" type="noConversion"/>
  </si>
  <si>
    <t>PWMCLK_DIV1 [7:0]</t>
    <phoneticPr fontId="13" type="noConversion"/>
  </si>
  <si>
    <t>PWM_DIV 계산 tap 참조</t>
    <phoneticPr fontId="3" type="noConversion"/>
  </si>
  <si>
    <t>0x511</t>
    <phoneticPr fontId="3" type="noConversion"/>
  </si>
  <si>
    <t>PWMCLK_DIV2/3</t>
    <phoneticPr fontId="13" type="noConversion"/>
  </si>
  <si>
    <t>0x04</t>
  </si>
  <si>
    <t>PWMCLK_DIV3 [7:0]</t>
    <phoneticPr fontId="13" type="noConversion"/>
  </si>
  <si>
    <t>PWMCLK_DIV2 [7:4]</t>
    <phoneticPr fontId="13" type="noConversion"/>
  </si>
  <si>
    <t>0x050</t>
    <phoneticPr fontId="3" type="noConversion"/>
  </si>
  <si>
    <t>CHANNEL ENABLE</t>
    <phoneticPr fontId="13" type="noConversion"/>
  </si>
  <si>
    <t>0x05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</si>
  <si>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</si>
  <si>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</si>
  <si>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</si>
  <si>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</si>
  <si>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</si>
  <si>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</si>
  <si>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</si>
  <si>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</si>
  <si>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</si>
  <si>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</si>
  <si>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</si>
  <si>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</si>
  <si>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CH EN ( all )</t>
    <phoneticPr fontId="3" type="noConversion"/>
  </si>
  <si>
    <t>0xFFF</t>
    <phoneticPr fontId="3" type="noConversion"/>
  </si>
  <si>
    <t>FAULT CONTROL</t>
    <phoneticPr fontId="13" type="noConversion"/>
  </si>
  <si>
    <t>0x06</t>
  </si>
  <si>
    <t>AUTO_FAULT_FB_NO [1:0]</t>
    <phoneticPr fontId="13" type="noConversion"/>
  </si>
  <si>
    <t>FB_MODE [3:0]</t>
    <phoneticPr fontId="13" type="noConversion"/>
  </si>
  <si>
    <t>O_FB_E</t>
    <phoneticPr fontId="13" type="noConversion"/>
  </si>
  <si>
    <t>S_DET_E</t>
    <phoneticPr fontId="13" type="noConversion"/>
  </si>
  <si>
    <t>O_DET_E</t>
    <phoneticPr fontId="13" type="noConversion"/>
  </si>
  <si>
    <t>T_OFF_E</t>
    <phoneticPr fontId="13" type="noConversion"/>
  </si>
  <si>
    <t>S_OFF_E</t>
    <phoneticPr fontId="13" type="noConversion"/>
  </si>
  <si>
    <t>O_OFF_E</t>
    <phoneticPr fontId="13" type="noConversion"/>
  </si>
  <si>
    <t>FB_NO=1, FB_MODE = 4'h0, others = all 1</t>
    <phoneticPr fontId="3" type="noConversion"/>
  </si>
  <si>
    <t>0x43F</t>
    <phoneticPr fontId="3" type="noConversion"/>
  </si>
  <si>
    <t>CHx_LD_TYPE0</t>
    <phoneticPr fontId="13" type="noConversion"/>
  </si>
  <si>
    <t>0x07</t>
    <phoneticPr fontId="13" type="noConversion"/>
  </si>
  <si>
    <t>0x000</t>
  </si>
  <si>
    <t>CH12_LD_TYPE[1:0]</t>
    <phoneticPr fontId="13" type="noConversion"/>
  </si>
  <si>
    <t>CH11_LD_TYPE[1:0]</t>
    <phoneticPr fontId="13" type="noConversion"/>
  </si>
  <si>
    <t>CH10_LD_TYPE[1:0]</t>
    <phoneticPr fontId="13" type="noConversion"/>
  </si>
  <si>
    <t>CH9_LD_TYPE[1:0]</t>
    <phoneticPr fontId="13" type="noConversion"/>
  </si>
  <si>
    <t>CH8_LD_TYPE[1:0]</t>
    <phoneticPr fontId="13" type="noConversion"/>
  </si>
  <si>
    <t>CH7_LD_TYPE[1:0]</t>
    <phoneticPr fontId="13" type="noConversion"/>
  </si>
  <si>
    <t>홀수 ch. = 0(R), 찾수 ch. = 2(G/B)</t>
    <phoneticPr fontId="3" type="noConversion"/>
  </si>
  <si>
    <t>0x888</t>
    <phoneticPr fontId="3" type="noConversion"/>
  </si>
  <si>
    <t>CHx_LD_TYPE1</t>
    <phoneticPr fontId="13" type="noConversion"/>
  </si>
  <si>
    <t>0x08</t>
    <phoneticPr fontId="13" type="noConversion"/>
  </si>
  <si>
    <t>CH6_LD_TYPE[1:0]</t>
    <phoneticPr fontId="13" type="noConversion"/>
  </si>
  <si>
    <t>CH5_LD_TYPE[1:0]</t>
    <phoneticPr fontId="13" type="noConversion"/>
  </si>
  <si>
    <t>CH4_LD_TYPE[1:0]</t>
    <phoneticPr fontId="13" type="noConversion"/>
  </si>
  <si>
    <t>CH3_LD_TYPE[1:0]</t>
    <phoneticPr fontId="13" type="noConversion"/>
  </si>
  <si>
    <t>CH2_LD_TYPE[1:0]</t>
    <phoneticPr fontId="13" type="noConversion"/>
  </si>
  <si>
    <t>CH1_LD_TYPE[1:0]</t>
    <phoneticPr fontId="13" type="noConversion"/>
  </si>
  <si>
    <t>FAULT STATUS0</t>
    <phoneticPr fontId="13" type="noConversion"/>
  </si>
  <si>
    <t>0x09</t>
  </si>
  <si>
    <t>TIMEOUT_ERR</t>
    <phoneticPr fontId="13" type="noConversion"/>
  </si>
  <si>
    <t>PARITY_ERR</t>
    <phoneticPr fontId="13" type="noConversion"/>
  </si>
  <si>
    <t>VDD_OV</t>
    <phoneticPr fontId="13" type="noConversion"/>
  </si>
  <si>
    <t>VDD_UV</t>
    <phoneticPr fontId="13" type="noConversion"/>
  </si>
  <si>
    <t>LDO_OV</t>
    <phoneticPr fontId="13" type="noConversion"/>
  </si>
  <si>
    <t>LDO_UV</t>
    <phoneticPr fontId="13" type="noConversion"/>
  </si>
  <si>
    <t>THERMAL</t>
    <phoneticPr fontId="13" type="noConversion"/>
  </si>
  <si>
    <t>SHORT</t>
    <phoneticPr fontId="13" type="noConversion"/>
  </si>
  <si>
    <t>OPEN</t>
    <phoneticPr fontId="13" type="noConversion"/>
  </si>
  <si>
    <t>FB3</t>
    <phoneticPr fontId="13" type="noConversion"/>
  </si>
  <si>
    <t>FB2</t>
    <phoneticPr fontId="13" type="noConversion"/>
  </si>
  <si>
    <t>FB1</t>
    <phoneticPr fontId="13" type="noConversion"/>
  </si>
  <si>
    <t>MAX_CURR_VREF1</t>
    <phoneticPr fontId="13" type="noConversion"/>
  </si>
  <si>
    <t>0x0A</t>
    <phoneticPr fontId="13" type="noConversion"/>
  </si>
  <si>
    <t>MAX_CURR1_VREF [11:0]</t>
    <phoneticPr fontId="13" type="noConversion"/>
  </si>
  <si>
    <t>CURR1/2/3 만 유효, RED 의 VREF</t>
    <phoneticPr fontId="3" type="noConversion"/>
  </si>
  <si>
    <t>0xBB8</t>
    <phoneticPr fontId="3" type="noConversion"/>
  </si>
  <si>
    <t>MAX_CURR_VREF2</t>
  </si>
  <si>
    <t>0x0B</t>
    <phoneticPr fontId="13" type="noConversion"/>
  </si>
  <si>
    <t>MAX_CURR2_VREF [11:0]</t>
    <phoneticPr fontId="13" type="noConversion"/>
  </si>
  <si>
    <t>GRN 의 VREF</t>
    <phoneticPr fontId="3" type="noConversion"/>
  </si>
  <si>
    <t>MAX_CURR_VREF3</t>
  </si>
  <si>
    <t>0x0C</t>
    <phoneticPr fontId="13" type="noConversion"/>
  </si>
  <si>
    <t>MAX_CURR3_VREF [11:0]</t>
    <phoneticPr fontId="13" type="noConversion"/>
  </si>
  <si>
    <t>BLU 의 VREF</t>
    <phoneticPr fontId="3" type="noConversion"/>
  </si>
  <si>
    <t>MAX_CURR_VREF4</t>
    <phoneticPr fontId="13" type="noConversion"/>
  </si>
  <si>
    <t>0x0D</t>
    <phoneticPr fontId="13" type="noConversion"/>
  </si>
  <si>
    <t>MAX_CURR4_VREF [11:0]</t>
    <phoneticPr fontId="13" type="noConversion"/>
  </si>
  <si>
    <t>0x000</t>
    <phoneticPr fontId="3" type="noConversion"/>
  </si>
  <si>
    <t>MAX_CURR_VREF5</t>
    <phoneticPr fontId="13" type="noConversion"/>
  </si>
  <si>
    <t>0x0E</t>
    <phoneticPr fontId="13" type="noConversion"/>
  </si>
  <si>
    <t>MAX_CURR5_VREF [11:0]</t>
    <phoneticPr fontId="13" type="noConversion"/>
  </si>
  <si>
    <t>reserved</t>
    <phoneticPr fontId="13" type="noConversion"/>
  </si>
  <si>
    <t>0x0F</t>
    <phoneticPr fontId="13" type="noConversion"/>
  </si>
  <si>
    <t>DELAY_CH1/2</t>
    <phoneticPr fontId="13" type="noConversion"/>
  </si>
  <si>
    <t>0x10</t>
    <phoneticPr fontId="13" type="noConversion"/>
  </si>
  <si>
    <t>DELAY_CH2 [4:0]</t>
    <phoneticPr fontId="13" type="noConversion"/>
  </si>
  <si>
    <t>DELAY_CH1 [4:0]</t>
    <phoneticPr fontId="13" type="noConversion"/>
  </si>
  <si>
    <t>CH DELAY</t>
    <phoneticPr fontId="3" type="noConversion"/>
  </si>
  <si>
    <t>0x010</t>
    <phoneticPr fontId="3" type="noConversion"/>
  </si>
  <si>
    <t>DELAY_CH3/4</t>
    <phoneticPr fontId="13" type="noConversion"/>
  </si>
  <si>
    <t>0x11</t>
  </si>
  <si>
    <t>DELAY_CH4 [4:0]</t>
    <phoneticPr fontId="13" type="noConversion"/>
  </si>
  <si>
    <t>DELAY_CH3 [4:0]</t>
    <phoneticPr fontId="13" type="noConversion"/>
  </si>
  <si>
    <t>0x062</t>
    <phoneticPr fontId="3" type="noConversion"/>
  </si>
  <si>
    <t>DELAY_CH5/6</t>
    <phoneticPr fontId="13" type="noConversion"/>
  </si>
  <si>
    <t>0x12</t>
  </si>
  <si>
    <t>DELAY_CH6 [4:0]</t>
    <phoneticPr fontId="13" type="noConversion"/>
  </si>
  <si>
    <t>DELAY_CH5 [4:0]</t>
    <phoneticPr fontId="13" type="noConversion"/>
  </si>
  <si>
    <t>0x0A4</t>
    <phoneticPr fontId="3" type="noConversion"/>
  </si>
  <si>
    <t>DELAY_CH7/8</t>
    <phoneticPr fontId="13" type="noConversion"/>
  </si>
  <si>
    <t>0x13</t>
  </si>
  <si>
    <t>DELAY_CH8 [4:0]</t>
    <phoneticPr fontId="13" type="noConversion"/>
  </si>
  <si>
    <t>DELAY_CH7 [4:0]</t>
    <phoneticPr fontId="13" type="noConversion"/>
  </si>
  <si>
    <t>0x0E6</t>
    <phoneticPr fontId="3" type="noConversion"/>
  </si>
  <si>
    <t>DELAY_CH9/10</t>
    <phoneticPr fontId="13" type="noConversion"/>
  </si>
  <si>
    <t>0x14</t>
  </si>
  <si>
    <t>DELAY_CH10 [4:0]</t>
    <phoneticPr fontId="13" type="noConversion"/>
  </si>
  <si>
    <t>DELAY_CH9 [4:0]</t>
    <phoneticPr fontId="13" type="noConversion"/>
  </si>
  <si>
    <t>0x128</t>
    <phoneticPr fontId="3" type="noConversion"/>
  </si>
  <si>
    <t>DELAY_CH11/12</t>
    <phoneticPr fontId="13" type="noConversion"/>
  </si>
  <si>
    <t>0x15</t>
  </si>
  <si>
    <t>DELAY_CH12 [4:0]</t>
    <phoneticPr fontId="13" type="noConversion"/>
  </si>
  <si>
    <t>DELAY_CH11 [4:0]</t>
    <phoneticPr fontId="13" type="noConversion"/>
  </si>
  <si>
    <t>0x18A</t>
    <phoneticPr fontId="3" type="noConversion"/>
  </si>
  <si>
    <t>FB LEVEL</t>
    <phoneticPr fontId="13" type="noConversion"/>
  </si>
  <si>
    <t>0x16</t>
    <phoneticPr fontId="13" type="noConversion"/>
  </si>
  <si>
    <t>FB4_LEVEL [2:0]</t>
    <phoneticPr fontId="13" type="noConversion"/>
  </si>
  <si>
    <t>FB3_LEVEL [2:0]</t>
    <phoneticPr fontId="13" type="noConversion"/>
  </si>
  <si>
    <t>FB2_LEVEL [2:0]</t>
    <phoneticPr fontId="13" type="noConversion"/>
  </si>
  <si>
    <t>FB1_LEVEL [2:0]</t>
    <phoneticPr fontId="13" type="noConversion"/>
  </si>
  <si>
    <t>FB1/2/3 만 유효, SHORT1/2/3 만 유효</t>
    <phoneticPr fontId="3" type="noConversion"/>
  </si>
  <si>
    <t>FB/SHORT LEVEL</t>
    <phoneticPr fontId="13" type="noConversion"/>
  </si>
  <si>
    <t>0x17</t>
    <phoneticPr fontId="13" type="noConversion"/>
  </si>
  <si>
    <t>SHORT3_LEVEL [2:0]</t>
    <phoneticPr fontId="13" type="noConversion"/>
  </si>
  <si>
    <t>SHORT2_LEVEL [2:0]</t>
    <phoneticPr fontId="13" type="noConversion"/>
  </si>
  <si>
    <t>SHORT1_LEVEL [2:0]</t>
    <phoneticPr fontId="13" type="noConversion"/>
  </si>
  <si>
    <t>FB5_LEVEL [2:0]</t>
    <phoneticPr fontId="13" type="noConversion"/>
  </si>
  <si>
    <t>0x1C0</t>
    <phoneticPr fontId="3" type="noConversion"/>
  </si>
  <si>
    <t>SHORT LEVEL</t>
    <phoneticPr fontId="13" type="noConversion"/>
  </si>
  <si>
    <t>0x18</t>
    <phoneticPr fontId="13" type="noConversion"/>
  </si>
  <si>
    <t>SHORT5_LEVEL [2:0]</t>
    <phoneticPr fontId="13" type="noConversion"/>
  </si>
  <si>
    <t>SHORT4_LEVEL [2:0]</t>
    <phoneticPr fontId="13" type="noConversion"/>
  </si>
  <si>
    <t>0x007</t>
    <phoneticPr fontId="3" type="noConversion"/>
  </si>
  <si>
    <t>MAX CURRENT LEVEL0</t>
    <phoneticPr fontId="13" type="noConversion"/>
  </si>
  <si>
    <t>0x19</t>
    <phoneticPr fontId="13" type="noConversion"/>
  </si>
  <si>
    <t>MAX_CURR3_LEVEL [3:0]</t>
    <phoneticPr fontId="13" type="noConversion"/>
  </si>
  <si>
    <t>MAX_CURR2_LEVEL [3:0]</t>
    <phoneticPr fontId="13" type="noConversion"/>
  </si>
  <si>
    <t>MAX_CURR1_LEVEL [3:0]</t>
    <phoneticPr fontId="13" type="noConversion"/>
  </si>
  <si>
    <t>MAX_CURR1/2/3 만 유효</t>
    <phoneticPr fontId="3" type="noConversion"/>
  </si>
  <si>
    <t>0x111</t>
    <phoneticPr fontId="3" type="noConversion"/>
  </si>
  <si>
    <t>MAX CURRENT LEVEL1</t>
    <phoneticPr fontId="13" type="noConversion"/>
  </si>
  <si>
    <t>0x1A</t>
    <phoneticPr fontId="13" type="noConversion"/>
  </si>
  <si>
    <t>MAX_CURR5_LEVEL [3:0]</t>
    <phoneticPr fontId="13" type="noConversion"/>
  </si>
  <si>
    <t>MAX_CURR4_LEVEL [3:0]</t>
    <phoneticPr fontId="13" type="noConversion"/>
  </si>
  <si>
    <t>PARITY &amp; RD_EN</t>
    <phoneticPr fontId="13" type="noConversion"/>
  </si>
  <si>
    <t>0x1B</t>
    <phoneticPr fontId="13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</si>
  <si>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13" type="noConversion"/>
  </si>
  <si>
    <t>PARITY_E</t>
    <phoneticPr fontId="13" type="noConversion"/>
  </si>
  <si>
    <t>REG_RD_EN</t>
  </si>
  <si>
    <t>SERIAL CLK GEN</t>
    <phoneticPr fontId="13" type="noConversion"/>
  </si>
  <si>
    <t>0x1C</t>
    <phoneticPr fontId="13" type="noConversion"/>
  </si>
  <si>
    <t>0x318</t>
    <phoneticPr fontId="13" type="noConversion"/>
  </si>
  <si>
    <t>SCLK_LOW [5:0] default 12ea</t>
    <phoneticPr fontId="13" type="noConversion"/>
  </si>
  <si>
    <t>SCLK_HIGH [5:0] default 24ea</t>
    <phoneticPr fontId="13" type="noConversion"/>
  </si>
  <si>
    <t>SERIAL_LATENCY</t>
    <phoneticPr fontId="13" type="noConversion"/>
  </si>
  <si>
    <t>0x1D</t>
    <phoneticPr fontId="13" type="noConversion"/>
  </si>
  <si>
    <t>0x080</t>
    <phoneticPr fontId="13" type="noConversion"/>
  </si>
  <si>
    <t>SERIAL_LATENCY [8:0] default 128ea</t>
    <phoneticPr fontId="13" type="noConversion"/>
  </si>
  <si>
    <t>V_MASK</t>
    <phoneticPr fontId="13" type="noConversion"/>
  </si>
  <si>
    <t>0x1E</t>
    <phoneticPr fontId="13" type="noConversion"/>
  </si>
  <si>
    <t>V_MASK [9:0]</t>
    <phoneticPr fontId="13" type="noConversion"/>
  </si>
  <si>
    <t>SV_MASK</t>
    <phoneticPr fontId="13" type="noConversion"/>
  </si>
  <si>
    <t>0x1F</t>
    <phoneticPr fontId="13" type="noConversion"/>
  </si>
  <si>
    <t>SV_MASK_EN</t>
    <phoneticPr fontId="13" type="noConversion"/>
  </si>
  <si>
    <t>SV_MASK [9:0]</t>
    <phoneticPr fontId="13" type="noConversion"/>
  </si>
  <si>
    <t>default value 유지 ( SV_MASK_EN off )</t>
    <phoneticPr fontId="3" type="noConversion"/>
  </si>
  <si>
    <t>RSTCNT</t>
    <phoneticPr fontId="13" type="noConversion"/>
  </si>
  <si>
    <t>0x20</t>
    <phoneticPr fontId="13" type="noConversion"/>
  </si>
  <si>
    <t>RSTCNT [9:0]</t>
    <phoneticPr fontId="13" type="noConversion"/>
  </si>
  <si>
    <t>TIMEOUT</t>
    <phoneticPr fontId="13" type="noConversion"/>
  </si>
  <si>
    <t>0x21</t>
  </si>
  <si>
    <t>0x7FF</t>
    <phoneticPr fontId="13" type="noConversion"/>
  </si>
  <si>
    <t>TIMEOUT [10:0] (default 2562us)</t>
    <phoneticPr fontId="13" type="noConversion"/>
  </si>
  <si>
    <t>FLLCNT1</t>
    <phoneticPr fontId="13" type="noConversion"/>
  </si>
  <si>
    <t>0x22</t>
  </si>
  <si>
    <t>FLLCNT [11:0]</t>
    <phoneticPr fontId="13" type="noConversion"/>
  </si>
  <si>
    <t>50MHz 입력 기준</t>
    <phoneticPr fontId="3" type="noConversion"/>
  </si>
  <si>
    <t>0xDD0</t>
    <phoneticPr fontId="3" type="noConversion"/>
  </si>
  <si>
    <t>FLLCNT2</t>
    <phoneticPr fontId="13" type="noConversion"/>
  </si>
  <si>
    <t>0x23</t>
  </si>
  <si>
    <t>0xC32</t>
    <phoneticPr fontId="13" type="noConversion"/>
  </si>
  <si>
    <t>FLL_EN</t>
    <phoneticPr fontId="13" type="noConversion"/>
  </si>
  <si>
    <t>FLL_RANGE [1:0]</t>
    <phoneticPr fontId="13" type="noConversion"/>
  </si>
  <si>
    <t>FLLCNT [19:12]</t>
    <phoneticPr fontId="13" type="noConversion"/>
  </si>
  <si>
    <t>0xE6D</t>
    <phoneticPr fontId="3" type="noConversion"/>
  </si>
  <si>
    <t>WR_PROTECT</t>
    <phoneticPr fontId="13" type="noConversion"/>
  </si>
  <si>
    <t>0x24</t>
    <phoneticPr fontId="13" type="noConversion"/>
  </si>
  <si>
    <t>0x555</t>
    <phoneticPr fontId="13" type="noConversion"/>
  </si>
  <si>
    <t>WR_PROTECT [9:0]</t>
    <phoneticPr fontId="13" type="noConversion"/>
  </si>
  <si>
    <t>NF CONTROL</t>
    <phoneticPr fontId="13" type="noConversion"/>
  </si>
  <si>
    <t>0x25</t>
    <phoneticPr fontId="13" type="noConversion"/>
  </si>
  <si>
    <t>BBKN_TH [5:0]</t>
    <phoneticPr fontId="13" type="noConversion"/>
  </si>
  <si>
    <t>O_EMI_REJ_EN</t>
  </si>
  <si>
    <t>SGRJT_EN2</t>
    <phoneticPr fontId="13" type="noConversion"/>
  </si>
  <si>
    <t>SGRJT_EN1</t>
    <phoneticPr fontId="13" type="noConversion"/>
  </si>
  <si>
    <t>BBKN_EN</t>
    <phoneticPr fontId="13" type="noConversion"/>
  </si>
  <si>
    <t>DGRJT_EN2</t>
    <phoneticPr fontId="13" type="noConversion"/>
  </si>
  <si>
    <t>DGRJT_EN1</t>
    <phoneticPr fontId="13" type="noConversion"/>
  </si>
  <si>
    <t>CHOP_EN</t>
    <phoneticPr fontId="13" type="noConversion"/>
  </si>
  <si>
    <t>0x26</t>
    <phoneticPr fontId="13" type="noConversion"/>
  </si>
  <si>
    <t>CHOP_DRV_EN</t>
    <phoneticPr fontId="13" type="noConversion"/>
  </si>
  <si>
    <t>CHOP_OSCLDO_EN</t>
    <phoneticPr fontId="13" type="noConversion"/>
  </si>
  <si>
    <t>CHOP_OSC_EN</t>
    <phoneticPr fontId="13" type="noConversion"/>
  </si>
  <si>
    <t>CHOP_DAC_EN</t>
    <phoneticPr fontId="13" type="noConversion"/>
  </si>
  <si>
    <t>CHOP_BGR_EN</t>
    <phoneticPr fontId="13" type="noConversion"/>
  </si>
  <si>
    <t>CHOP setting</t>
    <phoneticPr fontId="3" type="noConversion"/>
  </si>
  <si>
    <t>0x03F</t>
    <phoneticPr fontId="3" type="noConversion"/>
  </si>
  <si>
    <t>TEMP</t>
    <phoneticPr fontId="13" type="noConversion"/>
  </si>
  <si>
    <t>0x27</t>
    <phoneticPr fontId="13" type="noConversion"/>
  </si>
  <si>
    <t>0x829</t>
    <phoneticPr fontId="13" type="noConversion"/>
  </si>
  <si>
    <t>OFS_TEMP [3:0]</t>
    <phoneticPr fontId="13" type="noConversion"/>
  </si>
  <si>
    <t>OV_SWAP_EN</t>
    <phoneticPr fontId="13" type="noConversion"/>
  </si>
  <si>
    <t>DAC_RNG</t>
    <phoneticPr fontId="13" type="noConversion"/>
  </si>
  <si>
    <t>FLT_CTL [1:0]</t>
    <phoneticPr fontId="13" type="noConversion"/>
  </si>
  <si>
    <t>O_SLEW [1:0]</t>
    <phoneticPr fontId="13" type="noConversion"/>
  </si>
  <si>
    <t>FLT_GAIN [1:0]</t>
    <phoneticPr fontId="13" type="noConversion"/>
  </si>
  <si>
    <t>OSC_FLL_MAN1</t>
    <phoneticPr fontId="13" type="noConversion"/>
  </si>
  <si>
    <t>0x28</t>
    <phoneticPr fontId="13" type="noConversion"/>
  </si>
  <si>
    <t>OSC_FLL_MAN [11:0]</t>
    <phoneticPr fontId="13" type="noConversion"/>
  </si>
  <si>
    <t>OSC_FLL_MAN2</t>
  </si>
  <si>
    <t>0x29</t>
    <phoneticPr fontId="13" type="noConversion"/>
  </si>
  <si>
    <t>0x808</t>
    <phoneticPr fontId="13" type="noConversion"/>
  </si>
  <si>
    <t>OSC_MAN_EN</t>
    <phoneticPr fontId="13" type="noConversion"/>
  </si>
  <si>
    <t>OSC_FLL_ERR_RANGE [1:0]</t>
    <phoneticPr fontId="13" type="noConversion"/>
  </si>
  <si>
    <t>OSC_FLL_MAN [15:12]</t>
    <phoneticPr fontId="13" type="noConversion"/>
  </si>
  <si>
    <t>OSC_MAN_OFF</t>
    <phoneticPr fontId="3" type="noConversion"/>
  </si>
  <si>
    <t>0x008</t>
    <phoneticPr fontId="3" type="noConversion"/>
  </si>
  <si>
    <t>OSC SPREAD</t>
    <phoneticPr fontId="13" type="noConversion"/>
  </si>
  <si>
    <t>0x2A</t>
    <phoneticPr fontId="13" type="noConversion"/>
  </si>
  <si>
    <t>SPRD_EN</t>
    <phoneticPr fontId="13" type="noConversion"/>
  </si>
  <si>
    <t>SPRD_SPD[2:0]</t>
    <phoneticPr fontId="13" type="noConversion"/>
  </si>
  <si>
    <t>SPRD_GAIN[2:0]</t>
    <phoneticPr fontId="13" type="noConversion"/>
  </si>
  <si>
    <t>CLOCK GATE EN</t>
    <phoneticPr fontId="13" type="noConversion"/>
  </si>
  <si>
    <t>0x2B</t>
    <phoneticPr fontId="13" type="noConversion"/>
  </si>
  <si>
    <t>0x017</t>
    <phoneticPr fontId="13" type="noConversion"/>
  </si>
  <si>
    <t>OTP_MCLK_EN</t>
    <phoneticPr fontId="13" type="noConversion"/>
  </si>
  <si>
    <t>FR2_MCLK_EN</t>
    <phoneticPr fontId="13" type="noConversion"/>
  </si>
  <si>
    <t>FR1_MCLK_EN</t>
    <phoneticPr fontId="13" type="noConversion"/>
  </si>
  <si>
    <t>DC_MCLK_EN</t>
    <phoneticPr fontId="13" type="noConversion"/>
  </si>
  <si>
    <t>OTP CONTROL</t>
    <phoneticPr fontId="13" type="noConversion"/>
  </si>
  <si>
    <t>OP MODE</t>
    <phoneticPr fontId="13" type="noConversion"/>
  </si>
  <si>
    <t>0x3F</t>
    <phoneticPr fontId="13" type="noConversion"/>
  </si>
  <si>
    <t>TEST_EN</t>
    <phoneticPr fontId="13" type="noConversion"/>
  </si>
  <si>
    <t>TEST_ANA_EN [2:0]</t>
    <phoneticPr fontId="13" type="noConversion"/>
  </si>
  <si>
    <t>SW_SEL [2:0]</t>
    <phoneticPr fontId="13" type="noConversion"/>
  </si>
  <si>
    <t>PWMOUT_FULL</t>
    <phoneticPr fontId="13" type="noConversion"/>
  </si>
  <si>
    <t>MCLK64_O</t>
    <phoneticPr fontId="13" type="noConversion"/>
  </si>
  <si>
    <t>DTEST_MUX_EN</t>
    <phoneticPr fontId="13" type="noConversion"/>
  </si>
  <si>
    <t>EXT_CLKIN</t>
    <phoneticPr fontId="13" type="noConversion"/>
  </si>
  <si>
    <t>ADDR_EXT</t>
    <phoneticPr fontId="13" type="noConversion"/>
  </si>
  <si>
    <t>TEST_EN, EXT_CLKIN setting</t>
    <phoneticPr fontId="3" type="noConversion"/>
  </si>
  <si>
    <t>0x802</t>
    <phoneticPr fontId="3" type="noConversion"/>
  </si>
  <si>
    <t>OTP ACCESS1</t>
  </si>
  <si>
    <t>0x3A</t>
    <phoneticPr fontId="13" type="noConversion"/>
  </si>
  <si>
    <t>OTP_PG_ACC_CYCLE [15:12]</t>
    <phoneticPr fontId="13" type="noConversion"/>
  </si>
  <si>
    <t>OTP ACCESS2</t>
    <phoneticPr fontId="13" type="noConversion"/>
  </si>
  <si>
    <t>0x3B</t>
    <phoneticPr fontId="13" type="noConversion"/>
  </si>
  <si>
    <t>0x3FF</t>
    <phoneticPr fontId="13" type="noConversion"/>
  </si>
  <si>
    <t>OTP_PG_ACC_CYCLE [11:0] (default : decimal 320)</t>
    <phoneticPr fontId="13" type="noConversion"/>
  </si>
  <si>
    <t>OTP WRITE</t>
    <phoneticPr fontId="13" type="noConversion"/>
  </si>
  <si>
    <t>0x3C</t>
    <phoneticPr fontId="13" type="noConversion"/>
  </si>
  <si>
    <t>0x004</t>
    <phoneticPr fontId="13" type="noConversion"/>
  </si>
  <si>
    <t>OTP_RD [1:0]</t>
    <phoneticPr fontId="13" type="noConversion"/>
  </si>
  <si>
    <t>OTP_WSEL [3:0]</t>
    <phoneticPr fontId="13" type="noConversion"/>
  </si>
  <si>
    <t>OTP RD/PROG</t>
    <phoneticPr fontId="13" type="noConversion"/>
  </si>
  <si>
    <t>0x3D</t>
    <phoneticPr fontId="13" type="noConversion"/>
  </si>
  <si>
    <t>OTP_PG_DONE</t>
    <phoneticPr fontId="13" type="noConversion"/>
  </si>
  <si>
    <t>OTP_RD_S</t>
    <phoneticPr fontId="13" type="noConversion"/>
  </si>
  <si>
    <t>OTP_PG_S</t>
    <phoneticPr fontId="13" type="noConversion"/>
  </si>
  <si>
    <t>OTP PROTECT</t>
    <phoneticPr fontId="13" type="noConversion"/>
  </si>
  <si>
    <t>0x3E</t>
    <phoneticPr fontId="13" type="noConversion"/>
  </si>
  <si>
    <t>0x5A5</t>
    <phoneticPr fontId="13" type="noConversion"/>
  </si>
  <si>
    <t>PROTECT_EN (0x5A5=not accessible), PROTECT_DIS (0xA5A=accessible)</t>
    <phoneticPr fontId="13" type="noConversion"/>
  </si>
  <si>
    <t>OTP MIRROR</t>
    <phoneticPr fontId="13" type="noConversion"/>
  </si>
  <si>
    <t>OTP_CRC_CHECKSUM [7:0]</t>
    <phoneticPr fontId="13" type="noConversion"/>
  </si>
  <si>
    <t>0x210</t>
    <phoneticPr fontId="13" type="noConversion"/>
  </si>
  <si>
    <t>IREF_CTL [4:0]</t>
    <phoneticPr fontId="13" type="noConversion"/>
  </si>
  <si>
    <t>BGR_TC [4:0]</t>
    <phoneticPr fontId="13" type="noConversion"/>
  </si>
  <si>
    <t>0x810</t>
    <phoneticPr fontId="13" type="noConversion"/>
  </si>
  <si>
    <t>LDO_DAC_CTL [4:0]</t>
    <phoneticPr fontId="13" type="noConversion"/>
  </si>
  <si>
    <t>OSC_RCTL [4:0]</t>
    <phoneticPr fontId="13" type="noConversion"/>
  </si>
  <si>
    <t>LDO_OSC_CTL [3:0]</t>
    <phoneticPr fontId="13" type="noConversion"/>
  </si>
  <si>
    <t>LDO_CTL [3:0]</t>
    <phoneticPr fontId="13" type="noConversion"/>
  </si>
  <si>
    <t>OFS_CH1 [8:0]</t>
    <phoneticPr fontId="13" type="noConversion"/>
  </si>
  <si>
    <t>OFS_CH2 [8:0]</t>
    <phoneticPr fontId="13" type="noConversion"/>
  </si>
  <si>
    <t>OFS_CH3 [8:0]</t>
    <phoneticPr fontId="13" type="noConversion"/>
  </si>
  <si>
    <t>0x07</t>
  </si>
  <si>
    <t>OFS_CH4 [8:0]</t>
    <phoneticPr fontId="13" type="noConversion"/>
  </si>
  <si>
    <t>0x08</t>
  </si>
  <si>
    <t>OFS_CH5 [8:0]</t>
    <phoneticPr fontId="13" type="noConversion"/>
  </si>
  <si>
    <t>OFS_CH6 [8:0]</t>
    <phoneticPr fontId="13" type="noConversion"/>
  </si>
  <si>
    <t>OFS_CH7 [8:0]</t>
    <phoneticPr fontId="13" type="noConversion"/>
  </si>
  <si>
    <t>OFS_CH8 [8:0]</t>
    <phoneticPr fontId="13" type="noConversion"/>
  </si>
  <si>
    <t>OFS_CH9 [8:0]</t>
    <phoneticPr fontId="13" type="noConversion"/>
  </si>
  <si>
    <t>OFS_CH10 [8:0]</t>
    <phoneticPr fontId="13" type="noConversion"/>
  </si>
  <si>
    <t>OFS_CH11 [8:0]</t>
    <phoneticPr fontId="13" type="noConversion"/>
  </si>
  <si>
    <t>OFS_CH12 [8:0]</t>
    <phoneticPr fontId="13" type="noConversion"/>
  </si>
  <si>
    <t>0x040</t>
    <phoneticPr fontId="13" type="noConversion"/>
  </si>
  <si>
    <t>GAIN_CH1 [6:0]</t>
    <phoneticPr fontId="13" type="noConversion"/>
  </si>
  <si>
    <t>GAIN_CH2 [6:0]</t>
    <phoneticPr fontId="13" type="noConversion"/>
  </si>
  <si>
    <t>0x040</t>
  </si>
  <si>
    <t>GAIN_CH3 [6:0]</t>
    <phoneticPr fontId="13" type="noConversion"/>
  </si>
  <si>
    <t>GAIN_CH4 [6:0]</t>
    <phoneticPr fontId="13" type="noConversion"/>
  </si>
  <si>
    <t>GAIN_CH5 [6:0]</t>
    <phoneticPr fontId="13" type="noConversion"/>
  </si>
  <si>
    <t>GAIN_CH6 [6:0]</t>
    <phoneticPr fontId="13" type="noConversion"/>
  </si>
  <si>
    <t>0x16</t>
  </si>
  <si>
    <t>GAIN_CH7 [6:0]</t>
    <phoneticPr fontId="13" type="noConversion"/>
  </si>
  <si>
    <t>0x17</t>
  </si>
  <si>
    <t>GAIN_CH8 [6:0]</t>
    <phoneticPr fontId="13" type="noConversion"/>
  </si>
  <si>
    <t>0x18</t>
  </si>
  <si>
    <t>GAIN_CH9 [6:0]</t>
    <phoneticPr fontId="13" type="noConversion"/>
  </si>
  <si>
    <t>0x19</t>
  </si>
  <si>
    <t>GAIN_CH10 [6:0]</t>
    <phoneticPr fontId="13" type="noConversion"/>
  </si>
  <si>
    <t>GAIN_CH11 [6:0]</t>
    <phoneticPr fontId="13" type="noConversion"/>
  </si>
  <si>
    <t>GAIN_CH12 [6:0]</t>
    <phoneticPr fontId="13" type="noConversion"/>
  </si>
  <si>
    <t>VERSION0 [11:0]</t>
    <phoneticPr fontId="13" type="noConversion"/>
  </si>
  <si>
    <t>VERSION1 [11:0]</t>
    <phoneticPr fontId="1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</si>
  <si>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 EN :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>0x19 : FFF , 0x1A : FF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5DC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</si>
  <si>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 EN :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>0x19 : FFF , 0x1A : FF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---P3---</t>
    </r>
    <r>
      <rPr>
        <sz val="11"/>
        <color theme="1"/>
        <rFont val="Calibri"/>
        <family val="2"/>
      </rPr>
      <t xml:space="preserve">
MAX_CURR_VREF_(N)[11:0] = 12'd : (P3)
</t>
    </r>
    <r>
      <rPr>
        <b/>
        <sz val="11"/>
        <color theme="1"/>
        <rFont val="Calibri"/>
        <family val="2"/>
      </rPr>
      <t>0x0A / 0x0B / 0x0C / 0x0D / 0x0E : C8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---P4---</t>
    </r>
    <r>
      <rPr>
        <sz val="11"/>
        <color theme="1"/>
        <rFont val="Calibri"/>
        <family val="2"/>
      </rPr>
      <t xml:space="preserve">
MAX_CURR_VREF_(N)[11:0] = 12'd : (P4)
</t>
    </r>
    <r>
      <rPr>
        <b/>
        <sz val="11"/>
        <color theme="1"/>
        <rFont val="Calibri"/>
        <family val="2"/>
      </rPr>
      <t>0x0A / 0x0B / 0x0C / 0x0D / 0x0E : 190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</si>
  <si>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theme="1"/>
        <rFont val="Calibri"/>
        <family val="2"/>
      </rPr>
      <t>0x19 : FFF , 0x1A : FF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</si>
  <si>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 xml:space="preserve">CH(N)_EN : 1'd : 1
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MAX_CURR_VREF_(N)[11:0] = 12'd  : 300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 ~ P15---</t>
    </r>
    <r>
      <rPr>
        <sz val="11"/>
        <color theme="1"/>
        <rFont val="Calibri"/>
        <family val="2"/>
      </rPr>
      <t xml:space="preserve">
MAX_CURR_LEVEL3[3:0] = 4'd : (P1 ~ P15)
MAX_CURR_LEVEL2[3:0] = 4'd : (P1 ~ P15)
MAX_CURR_LEVEL1[3:0] = 4'd : (P1 ~ P15)
</t>
    </r>
    <r>
      <rPr>
        <b/>
        <sz val="11"/>
        <color theme="1"/>
        <rFont val="Calibri"/>
        <family val="2"/>
      </rPr>
      <t>P1 = 0x19 : 0 / 0x1A : 0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P2 = 0x19 : 111 / 0x1A : 11
P3 = 0x19 : 222 / 0x1A : 22
P4 = 0x19 : 333 / 0x1A : 33
P5 = 0x19 : 444 / 0x1A : 44
P6 = 0x19 : 555 / 0x1A : 55
P7 = 0x19 : 666 / 0x1A : 66
P8 = 0x19 : 777 / 0x1A : 77
P9 = 0x19 : 888 / 0x1A : 88
P10 = 0x19 : 999 / 0x1A : 99
P11 = 0x19 : AAA / 0x1A : AA
P12 = 0x19 : BBB / 0x1A : BB
P13 = 0x19 : CCC / 0x1A : CC
P14 = 0x19 : DDD / 0x1A : DD
P15 = 0x19 : EEE / 0x1A : EE
P16 = 0x19 : FFF / 0x1A : FF</t>
    </r>
    <phoneticPr fontId="3" type="noConversion"/>
  </si>
  <si>
    <t>LD DATA</t>
    <phoneticPr fontId="3" type="noConversion"/>
  </si>
  <si>
    <t>50% 만 진행</t>
    <phoneticPr fontId="3" type="noConversion"/>
  </si>
  <si>
    <t>DAISY test</t>
    <phoneticPr fontId="3" type="noConversion"/>
  </si>
  <si>
    <t>진행 필요.</t>
    <phoneticPr fontId="3" type="noConversion"/>
  </si>
  <si>
    <t>X8 mode</t>
    <phoneticPr fontId="3" type="noConversion"/>
  </si>
  <si>
    <t>추후 진행 필요</t>
    <phoneticPr fontId="3" type="noConversion"/>
  </si>
  <si>
    <t>external clock</t>
    <phoneticPr fontId="3" type="noConversion"/>
  </si>
  <si>
    <t>test 반영 필요</t>
    <phoneticPr fontId="3" type="noConversion"/>
  </si>
  <si>
    <t>OSC 주파수</t>
    <phoneticPr fontId="13" type="noConversion"/>
  </si>
  <si>
    <t>ns</t>
    <phoneticPr fontId="13" type="noConversion"/>
  </si>
  <si>
    <t>SV_NO</t>
    <phoneticPr fontId="13" type="noConversion"/>
  </si>
  <si>
    <t>#</t>
    <phoneticPr fontId="13" type="noConversion"/>
  </si>
  <si>
    <t>SV_width(high)</t>
    <phoneticPr fontId="13" type="noConversion"/>
  </si>
  <si>
    <t>ms</t>
    <phoneticPr fontId="13" type="noConversion"/>
  </si>
  <si>
    <t>1-frame time</t>
    <phoneticPr fontId="13" type="noConversion"/>
  </si>
  <si>
    <t xml:space="preserve">active total (time-div.) </t>
    <phoneticPr fontId="13" type="noConversion"/>
  </si>
  <si>
    <t xml:space="preserve">active total (no-time-div.) </t>
    <phoneticPr fontId="13" type="noConversion"/>
  </si>
  <si>
    <t xml:space="preserve">1-time division active time
(time-div.) </t>
    <phoneticPr fontId="13" type="noConversion"/>
  </si>
  <si>
    <t xml:space="preserve">1-time division active time
(no-time-div.) </t>
    <phoneticPr fontId="13" type="noConversion"/>
  </si>
  <si>
    <t>FPWM_DIV2/3 resolution</t>
    <phoneticPr fontId="13" type="noConversion"/>
  </si>
  <si>
    <t>us</t>
    <phoneticPr fontId="13" type="noConversion"/>
  </si>
  <si>
    <t>FPWM_DIV1 resolution</t>
    <phoneticPr fontId="13" type="noConversion"/>
  </si>
  <si>
    <t>FPWM_DIV2 개수</t>
    <phoneticPr fontId="13" type="noConversion"/>
  </si>
  <si>
    <t>FPWM_DIV3 개수</t>
    <phoneticPr fontId="13" type="noConversion"/>
  </si>
  <si>
    <t>FPWM_DIV1 개수</t>
    <phoneticPr fontId="13" type="noConversion"/>
  </si>
  <si>
    <t>TEST 조건</t>
    <phoneticPr fontId="3" type="noConversion"/>
  </si>
  <si>
    <t>clock</t>
    <phoneticPr fontId="3" type="noConversion"/>
  </si>
  <si>
    <t>external clock 입력 (50MHz)</t>
    <phoneticPr fontId="3" type="noConversion"/>
  </si>
  <si>
    <t>SVSYNC</t>
    <phoneticPr fontId="3" type="noConversion"/>
  </si>
  <si>
    <t># 16 sub-frame</t>
    <phoneticPr fontId="3" type="noConversion"/>
  </si>
  <si>
    <t>LD_DIR</t>
  </si>
  <si>
    <t>TAIL</t>
    <phoneticPr fontId="3" type="noConversion"/>
  </si>
  <si>
    <t>LD_TYPE</t>
    <phoneticPr fontId="3" type="noConversion"/>
  </si>
  <si>
    <t>R+GB</t>
    <phoneticPr fontId="3" type="noConversion"/>
  </si>
  <si>
    <t>0x3F 번지, 12'802</t>
    <phoneticPr fontId="3" type="noConversion"/>
  </si>
  <si>
    <t>register setting</t>
    <phoneticPr fontId="3" type="noConversion"/>
  </si>
  <si>
    <t xml:space="preserve">basic setting </t>
    <phoneticPr fontId="3" type="noConversion"/>
  </si>
  <si>
    <t>LD_SIZE</t>
    <phoneticPr fontId="3" type="noConversion"/>
  </si>
  <si>
    <t>18 ea</t>
    <phoneticPr fontId="3" type="noConversion"/>
  </si>
  <si>
    <t>PWM DIV</t>
    <phoneticPr fontId="3" type="noConversion"/>
  </si>
  <si>
    <t>CHx_LD_TYPE</t>
    <phoneticPr fontId="3" type="noConversion"/>
  </si>
  <si>
    <r>
      <t xml:space="preserve">MAX_CURR_VREF, 
</t>
    </r>
    <r>
      <rPr>
        <b/>
        <sz val="10"/>
        <color rgb="FF000000"/>
        <rFont val="맑은 고딕"/>
        <family val="3"/>
        <charset val="129"/>
        <scheme val="minor"/>
      </rPr>
      <t>SHORT_LEVEL, 
FB_LEVEL, 
MAX_CURR_LEVEL</t>
    </r>
    <phoneticPr fontId="3" type="noConversion"/>
  </si>
  <si>
    <t>ID_GEN</t>
    <phoneticPr fontId="3" type="noConversion"/>
  </si>
  <si>
    <t>BASIC setting</t>
    <phoneticPr fontId="3" type="noConversion"/>
  </si>
  <si>
    <t>VSYNC command, SVSYNC input</t>
    <phoneticPr fontId="3" type="noConversion"/>
  </si>
  <si>
    <t>2 번째 vsync 이후 R/G/B PWM dimming compare ( 전 ch. 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</si>
</sst>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3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color rgb="FF0000FF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195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6" fillId="0" borderId="3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49" fontId="6" fillId="0" borderId="2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176" fontId="0" fillId="0" borderId="0" xfId="0" applyNumberFormat="1"/>
    <xf numFmtId="0" fontId="6" fillId="0" borderId="0" xfId="0" applyFont="1"/>
    <xf numFmtId="0" fontId="12" fillId="0" borderId="0" xfId="1" applyFont="1" applyAlignment="1">
      <alignment horizontal="center" vertical="center" wrapText="1" readingOrder="1"/>
    </xf>
    <xf numFmtId="0" fontId="1" fillId="0" borderId="0" xfId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6" fillId="5" borderId="12" xfId="1" applyFont="1" applyFill="1" applyBorder="1" applyAlignment="1">
      <alignment horizontal="center" vertical="center" wrapText="1" readingOrder="1"/>
    </xf>
    <xf numFmtId="0" fontId="14" fillId="0" borderId="12" xfId="1" applyFont="1" applyBorder="1" applyAlignment="1">
      <alignment horizontal="center" vertical="center" wrapText="1" readingOrder="1"/>
    </xf>
    <xf numFmtId="0" fontId="14" fillId="0" borderId="12" xfId="2" applyFont="1" applyBorder="1" applyAlignment="1">
      <alignment horizontal="center" vertical="center" wrapText="1" readingOrder="1"/>
    </xf>
    <xf numFmtId="0" fontId="17" fillId="0" borderId="12" xfId="1" applyFont="1" applyBorder="1" applyAlignment="1">
      <alignment horizontal="center" vertical="center" wrapText="1" readingOrder="1"/>
    </xf>
    <xf numFmtId="0" fontId="18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8" fillId="6" borderId="15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9" fillId="8" borderId="15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4" fillId="9" borderId="12" xfId="1" applyFont="1" applyFill="1" applyBorder="1" applyAlignment="1">
      <alignment horizontal="center" vertical="center" wrapText="1" readingOrder="1"/>
    </xf>
    <xf numFmtId="0" fontId="20" fillId="0" borderId="22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3" fillId="11" borderId="15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0" xfId="1" applyFo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5" fillId="8" borderId="20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/>
    </xf>
    <xf numFmtId="177" fontId="0" fillId="0" borderId="0" xfId="0" applyNumberFormat="1"/>
    <xf numFmtId="0" fontId="14" fillId="4" borderId="12" xfId="1" applyFont="1" applyFill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0" fontId="14" fillId="0" borderId="41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0" fillId="0" borderId="0" xfId="0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22" fillId="12" borderId="0" xfId="0" applyFont="1" applyFill="1" applyAlignment="1">
      <alignment horizontal="right" vertical="center"/>
    </xf>
    <xf numFmtId="0" fontId="22" fillId="12" borderId="0" xfId="0" applyFont="1" applyFill="1" applyAlignment="1">
      <alignment horizontal="center" vertical="center"/>
    </xf>
    <xf numFmtId="0" fontId="0" fillId="0" borderId="12" xfId="0" applyBorder="1" applyAlignment="1">
      <alignment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13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2" fillId="14" borderId="12" xfId="0" applyFont="1" applyFill="1" applyBorder="1" applyAlignment="1">
      <alignment horizontal="center" vertical="center"/>
    </xf>
    <xf numFmtId="0" fontId="22" fillId="13" borderId="46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center" wrapText="1"/>
    </xf>
    <xf numFmtId="0" fontId="22" fillId="13" borderId="12" xfId="0" applyFont="1" applyFill="1" applyBorder="1" applyAlignment="1">
      <alignment horizontal="center" vertical="center" shrinkToFit="1"/>
    </xf>
    <xf numFmtId="0" fontId="0" fillId="0" borderId="0" xfId="0" applyAlignment="1">
      <alignment vertical="center" wrapText="1"/>
    </xf>
    <xf numFmtId="0" fontId="22" fillId="0" borderId="12" xfId="0" applyFont="1" applyBorder="1" applyAlignment="1">
      <alignment horizontal="center" vertical="center" shrinkToFit="1"/>
    </xf>
    <xf numFmtId="0" fontId="22" fillId="13" borderId="12" xfId="0" applyFont="1" applyFill="1" applyBorder="1" applyAlignment="1">
      <alignment horizontal="center" vertical="center" shrinkToFit="1"/>
    </xf>
    <xf numFmtId="0" fontId="22" fillId="13" borderId="12" xfId="0" applyFont="1" applyFill="1" applyBorder="1" applyAlignment="1">
      <alignment horizontal="center" vertical="center"/>
    </xf>
    <xf numFmtId="0" fontId="22" fillId="14" borderId="12" xfId="0" applyFont="1" applyFill="1" applyBorder="1" applyAlignment="1">
      <alignment horizontal="center" vertical="center"/>
    </xf>
    <xf numFmtId="0" fontId="0" fillId="13" borderId="46" xfId="0" applyFill="1" applyBorder="1" applyAlignment="1">
      <alignment horizontal="center" vertical="center"/>
    </xf>
    <xf numFmtId="0" fontId="0" fillId="13" borderId="48" xfId="0" applyFill="1" applyBorder="1" applyAlignment="1">
      <alignment horizontal="center" vertical="center"/>
    </xf>
    <xf numFmtId="0" fontId="22" fillId="13" borderId="47" xfId="0" applyFont="1" applyFill="1" applyBorder="1" applyAlignment="1">
      <alignment horizontal="center" vertical="center"/>
    </xf>
    <xf numFmtId="0" fontId="0" fillId="13" borderId="47" xfId="0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14" borderId="46" xfId="0" applyFont="1" applyFill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12" xfId="0" applyFont="1" applyBorder="1" applyAlignment="1">
      <alignment vertical="center"/>
    </xf>
    <xf numFmtId="0" fontId="22" fillId="13" borderId="12" xfId="0" applyFont="1" applyFill="1" applyBorder="1" applyAlignment="1">
      <alignment horizontal="center" vertical="top" wrapText="1"/>
    </xf>
    <xf numFmtId="0" fontId="22" fillId="13" borderId="46" xfId="0" applyFont="1" applyFill="1" applyBorder="1" applyAlignment="1">
      <alignment horizontal="center" vertical="top" wrapText="1"/>
    </xf>
    <xf numFmtId="0" fontId="22" fillId="0" borderId="47" xfId="0" applyFont="1" applyBorder="1" applyAlignment="1">
      <alignment horizontal="center" vertical="top" wrapText="1"/>
    </xf>
    <xf numFmtId="0" fontId="22" fillId="0" borderId="48" xfId="0" applyFont="1" applyBorder="1" applyAlignment="1">
      <alignment horizontal="center" vertical="top" wrapText="1"/>
    </xf>
    <xf numFmtId="0" fontId="22" fillId="14" borderId="12" xfId="0" applyFont="1" applyFill="1" applyBorder="1" applyAlignment="1">
      <alignment horizontal="center" vertical="top" wrapText="1"/>
    </xf>
    <xf numFmtId="0" fontId="24" fillId="0" borderId="0" xfId="0" applyFont="1" applyAlignment="1">
      <alignment horizontal="left" vertical="center"/>
    </xf>
    <xf numFmtId="0" fontId="22" fillId="13" borderId="1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15" fillId="12" borderId="0" xfId="0" applyFont="1" applyFill="1" applyAlignment="1">
      <alignment vertical="center"/>
    </xf>
    <xf numFmtId="0" fontId="22" fillId="12" borderId="0" xfId="0" applyFont="1" applyFill="1" applyAlignment="1">
      <alignment vertical="center"/>
    </xf>
    <xf numFmtId="0" fontId="22" fillId="15" borderId="0" xfId="0" applyFont="1" applyFill="1" applyAlignment="1">
      <alignment horizontal="center" vertical="center"/>
    </xf>
    <xf numFmtId="0" fontId="22" fillId="13" borderId="46" xfId="0" applyFont="1" applyFill="1" applyBorder="1" applyAlignment="1">
      <alignment horizontal="center" vertical="center" wrapText="1"/>
    </xf>
    <xf numFmtId="0" fontId="22" fillId="16" borderId="12" xfId="0" applyFont="1" applyFill="1" applyBorder="1" applyAlignment="1">
      <alignment horizontal="center" vertical="center"/>
    </xf>
    <xf numFmtId="0" fontId="22" fillId="16" borderId="12" xfId="0" applyFont="1" applyFill="1" applyBorder="1" applyAlignment="1">
      <alignment horizontal="center" vertical="center" shrinkToFit="1"/>
    </xf>
    <xf numFmtId="0" fontId="22" fillId="0" borderId="12" xfId="0" applyFont="1" applyBorder="1" applyAlignment="1">
      <alignment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16" borderId="46" xfId="0" applyFont="1" applyFill="1" applyBorder="1" applyAlignment="1">
      <alignment horizontal="center" vertical="center" shrinkToFit="1"/>
    </xf>
    <xf numFmtId="0" fontId="22" fillId="16" borderId="47" xfId="0" applyFont="1" applyFill="1" applyBorder="1" applyAlignment="1">
      <alignment horizontal="center" vertical="center" shrinkToFit="1"/>
    </xf>
    <xf numFmtId="0" fontId="22" fillId="16" borderId="48" xfId="0" applyFont="1" applyFill="1" applyBorder="1" applyAlignment="1">
      <alignment horizontal="center" vertical="center" shrinkToFit="1"/>
    </xf>
    <xf numFmtId="0" fontId="15" fillId="0" borderId="0" xfId="0" applyFont="1"/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vertical="center" wrapText="1"/>
    </xf>
    <xf numFmtId="0" fontId="0" fillId="0" borderId="12" xfId="0" applyBorder="1"/>
    <xf numFmtId="0" fontId="15" fillId="0" borderId="12" xfId="0" applyFont="1" applyBorder="1" applyAlignment="1">
      <alignment horizontal="center"/>
    </xf>
    <xf numFmtId="0" fontId="30" fillId="0" borderId="12" xfId="0" applyFont="1" applyBorder="1" applyAlignment="1">
      <alignment horizontal="center" wrapText="1"/>
    </xf>
    <xf numFmtId="0" fontId="15" fillId="17" borderId="12" xfId="0" applyFont="1" applyFill="1" applyBorder="1" applyAlignment="1">
      <alignment horizontal="center"/>
    </xf>
  </cellXfs>
  <cellStyles count="3">
    <cellStyle name="표준" xfId="0" builtinId="0"/>
    <cellStyle name="표준 2 2" xfId="1" xr:uid="{F26C2D7A-6790-4518-9DCB-93A438F83499}"/>
    <cellStyle name="표준 2 3" xfId="2" xr:uid="{60E5170C-FBC3-47A1-8C6B-88DD447071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408752</xdr:colOff>
      <xdr:row>6</xdr:row>
      <xdr:rowOff>21654</xdr:rowOff>
    </xdr:from>
    <xdr:to>
      <xdr:col>13</xdr:col>
      <xdr:colOff>80434</xdr:colOff>
      <xdr:row>25</xdr:row>
      <xdr:rowOff>7996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75A7F24-DFC6-460E-A038-5DAEA41AF1B6}"/>
            </a:ext>
          </a:extLst>
        </xdr:cNvPr>
        <xdr:cNvSpPr/>
      </xdr:nvSpPr>
      <xdr:spPr>
        <a:xfrm>
          <a:off x="2218502" y="1336104"/>
          <a:ext cx="4688182" cy="4151942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182269</xdr:colOff>
      <xdr:row>2</xdr:row>
      <xdr:rowOff>5880</xdr:rowOff>
    </xdr:from>
    <xdr:to>
      <xdr:col>1</xdr:col>
      <xdr:colOff>326269</xdr:colOff>
      <xdr:row>2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D93D460C-62D6-48EF-A2FF-9AA95F3106E2}"/>
            </a:ext>
          </a:extLst>
        </xdr:cNvPr>
        <xdr:cNvSpPr/>
      </xdr:nvSpPr>
      <xdr:spPr>
        <a:xfrm>
          <a:off x="988719" y="4440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409836</xdr:colOff>
      <xdr:row>5</xdr:row>
      <xdr:rowOff>177764</xdr:rowOff>
    </xdr:from>
    <xdr:to>
      <xdr:col>4</xdr:col>
      <xdr:colOff>343520</xdr:colOff>
      <xdr:row>7</xdr:row>
      <xdr:rowOff>65292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A1315A35-EB98-414B-9779-F1A0ADED6B24}"/>
            </a:ext>
          </a:extLst>
        </xdr:cNvPr>
        <xdr:cNvSpPr/>
      </xdr:nvSpPr>
      <xdr:spPr>
        <a:xfrm rot="5400000">
          <a:off x="2274414" y="1221486"/>
          <a:ext cx="32567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320936</xdr:colOff>
      <xdr:row>41</xdr:row>
      <xdr:rowOff>12664</xdr:rowOff>
    </xdr:from>
    <xdr:to>
      <xdr:col>4</xdr:col>
      <xdr:colOff>254620</xdr:colOff>
      <xdr:row>42</xdr:row>
      <xdr:rowOff>116092</xdr:rowOff>
    </xdr:to>
    <xdr:sp macro="" textlink="">
      <xdr:nvSpPr>
        <xdr:cNvPr id="5" name="직각 삼각형 4">
          <a:extLst>
            <a:ext uri="{FF2B5EF4-FFF2-40B4-BE49-F238E27FC236}">
              <a16:creationId xmlns:a16="http://schemas.microsoft.com/office/drawing/2014/main" id="{136FD27E-2531-4982-9BB3-242FBE87D486}"/>
            </a:ext>
          </a:extLst>
        </xdr:cNvPr>
        <xdr:cNvSpPr/>
      </xdr:nvSpPr>
      <xdr:spPr>
        <a:xfrm rot="5400000">
          <a:off x="2137889" y="8958961"/>
          <a:ext cx="42092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336550</xdr:colOff>
          <xdr:row>3</xdr:row>
          <xdr:rowOff>25399</xdr:rowOff>
        </xdr:from>
        <xdr:to>
          <xdr:col>16</xdr:col>
          <xdr:colOff>273050</xdr:colOff>
          <xdr:row>22</xdr:row>
          <xdr:rowOff>8912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91EE863F-DE69-49E7-8F97-462E412983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622300</xdr:colOff>
      <xdr:row>26</xdr:row>
      <xdr:rowOff>38100</xdr:rowOff>
    </xdr:from>
    <xdr:to>
      <xdr:col>21</xdr:col>
      <xdr:colOff>152400</xdr:colOff>
      <xdr:row>33</xdr:row>
      <xdr:rowOff>29709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D5F9CDC-8518-40E7-A14D-4A80B7EED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7850" y="5651500"/>
          <a:ext cx="12769850" cy="1502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1085850</xdr:colOff>
      <xdr:row>27</xdr:row>
      <xdr:rowOff>69850</xdr:rowOff>
    </xdr:from>
    <xdr:to>
      <xdr:col>3</xdr:col>
      <xdr:colOff>1485900</xdr:colOff>
      <xdr:row>28</xdr:row>
      <xdr:rowOff>146050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35316607-BACE-4FF4-8ADA-2F028270EC9B}"/>
            </a:ext>
          </a:extLst>
        </xdr:cNvPr>
        <xdr:cNvCxnSpPr/>
      </xdr:nvCxnSpPr>
      <xdr:spPr>
        <a:xfrm>
          <a:off x="3581400" y="5899150"/>
          <a:ext cx="400050" cy="29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17</xdr:col>
          <xdr:colOff>209550</xdr:colOff>
          <xdr:row>19</xdr:row>
          <xdr:rowOff>190500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CF1725BB-1509-431A-A244-18BCCA61AF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139700</xdr:colOff>
      <xdr:row>38</xdr:row>
      <xdr:rowOff>95250</xdr:rowOff>
    </xdr:from>
    <xdr:to>
      <xdr:col>10</xdr:col>
      <xdr:colOff>476137</xdr:colOff>
      <xdr:row>67</xdr:row>
      <xdr:rowOff>137960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1113BD4-FC91-2B05-D591-8C9452889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0500" y="8299450"/>
          <a:ext cx="7486537" cy="6303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159192</xdr:colOff>
      <xdr:row>4</xdr:row>
      <xdr:rowOff>6102</xdr:rowOff>
    </xdr:from>
    <xdr:to>
      <xdr:col>10</xdr:col>
      <xdr:colOff>125519</xdr:colOff>
      <xdr:row>26</xdr:row>
      <xdr:rowOff>95235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5CFDE8D5-D86F-CBAE-8882-056322A1F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0392" y="869702"/>
          <a:ext cx="4589127" cy="483893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6</xdr:col>
      <xdr:colOff>544196</xdr:colOff>
      <xdr:row>2</xdr:row>
      <xdr:rowOff>153432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DD4CE661-9BC9-27EB-F20B-59B0C1F7E9AC}"/>
            </a:ext>
          </a:extLst>
        </xdr:cNvPr>
        <xdr:cNvSpPr txBox="1"/>
      </xdr:nvSpPr>
      <xdr:spPr>
        <a:xfrm>
          <a:off x="660400" y="2159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eFuse</a:t>
          </a:r>
          <a:r>
            <a:rPr lang="ko-KR" altLang="en-US"/>
            <a:t> </a:t>
          </a:r>
          <a:r>
            <a:rPr lang="en-US" altLang="ko-KR"/>
            <a:t>Trimming Signal (128 x 2)</a:t>
          </a:r>
          <a:endParaRPr lang="ko-KR" altLang="en-US"/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6</xdr:col>
      <xdr:colOff>544196</xdr:colOff>
      <xdr:row>33</xdr:row>
      <xdr:rowOff>153432</xdr:rowOff>
    </xdr:to>
    <xdr:sp macro="" textlink="">
      <xdr:nvSpPr>
        <xdr:cNvPr id="4" name="TextBox 10">
          <a:extLst>
            <a:ext uri="{FF2B5EF4-FFF2-40B4-BE49-F238E27FC236}">
              <a16:creationId xmlns:a16="http://schemas.microsoft.com/office/drawing/2014/main" id="{0AF97A06-1F72-4EA3-2D3B-71E0B79BB7E9}"/>
            </a:ext>
          </a:extLst>
        </xdr:cNvPr>
        <xdr:cNvSpPr txBox="1"/>
      </xdr:nvSpPr>
      <xdr:spPr>
        <a:xfrm>
          <a:off x="660400" y="69088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Trimming Sequence</a:t>
          </a:r>
          <a:endParaRPr lang="ko-KR" altLang="en-US"/>
        </a:p>
      </xdr:txBody>
    </xdr:sp>
    <xdr:clientData/>
  </xdr:twoCellAnchor>
  <xdr:twoCellAnchor>
    <xdr:from>
      <xdr:col>1</xdr:col>
      <xdr:colOff>400050</xdr:colOff>
      <xdr:row>34</xdr:row>
      <xdr:rowOff>158718</xdr:rowOff>
    </xdr:from>
    <xdr:to>
      <xdr:col>17</xdr:col>
      <xdr:colOff>543560</xdr:colOff>
      <xdr:row>42</xdr:row>
      <xdr:rowOff>145577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A1F37546-A29A-9A98-929F-70F27953FE64}"/>
            </a:ext>
          </a:extLst>
        </xdr:cNvPr>
        <xdr:cNvSpPr txBox="1"/>
      </xdr:nvSpPr>
      <xdr:spPr>
        <a:xfrm>
          <a:off x="1060450" y="7499318"/>
          <a:ext cx="10709910" cy="17140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Tx/>
            <a:buChar char="-"/>
          </a:pPr>
          <a:r>
            <a:rPr lang="en-US" altLang="ko-KR" sz="1100"/>
            <a:t>When TEST_EN = 1, SW_SEL</a:t>
          </a:r>
          <a:r>
            <a:rPr lang="en-US" altLang="ko-KR" sz="1100" baseline="0"/>
            <a:t> = 3'd1 ( </a:t>
          </a:r>
          <a:r>
            <a:rPr lang="ko-KR" altLang="en-US" sz="1100" baseline="0"/>
            <a:t>모든 </a:t>
          </a:r>
          <a:r>
            <a:rPr lang="en-US" altLang="ko-KR" sz="1100" baseline="0"/>
            <a:t>ch. </a:t>
          </a:r>
          <a:r>
            <a:rPr lang="ko-KR" altLang="en-US" sz="1100" baseline="0"/>
            <a:t>에 동일한 </a:t>
          </a:r>
          <a:r>
            <a:rPr lang="en-US" altLang="ko-KR" sz="1100" baseline="0"/>
            <a:t>VREF </a:t>
          </a:r>
          <a:r>
            <a:rPr lang="ko-KR" altLang="en-US" sz="1100" baseline="0"/>
            <a:t>입력 </a:t>
          </a:r>
          <a:r>
            <a:rPr lang="en-US" altLang="ko-KR" sz="1100" baseline="0"/>
            <a:t>)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DAC trimming</a:t>
          </a:r>
          <a:r>
            <a:rPr lang="ko-KR" altLang="en-US" sz="1100"/>
            <a:t> 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MCLK64_O = 1, mclk/64 clock out to DDIO.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PWMOUT_FULL = 1, PWM_OUT_CHx = 1 (@CHx_EN=1) driving a high-active level to analog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using test equipment, set the EXT_CLKIN = 1 and use an external clock.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82550</xdr:colOff>
      <xdr:row>19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BF24786-C3B7-AA17-CD36-C7114FE6D489}"/>
            </a:ext>
          </a:extLst>
        </xdr:cNvPr>
        <xdr:cNvGrpSpPr/>
      </xdr:nvGrpSpPr>
      <xdr:grpSpPr>
        <a:xfrm>
          <a:off x="660400" y="215900"/>
          <a:ext cx="8007350" cy="4019550"/>
          <a:chOff x="645291" y="1818641"/>
          <a:chExt cx="5911073" cy="275448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D3E6B624-B65C-C207-1E0C-A92822BA9D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45291" y="1818641"/>
            <a:ext cx="5911073" cy="2754488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4C36EE7E-B412-B20E-0A27-78E1006A8E99}"/>
              </a:ext>
            </a:extLst>
          </xdr:cNvPr>
          <xdr:cNvSpPr/>
        </xdr:nvSpPr>
        <xdr:spPr>
          <a:xfrm>
            <a:off x="3685671" y="3997065"/>
            <a:ext cx="1955800" cy="5291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1</xdr:col>
      <xdr:colOff>0</xdr:colOff>
      <xdr:row>22</xdr:row>
      <xdr:rowOff>0</xdr:rowOff>
    </xdr:from>
    <xdr:to>
      <xdr:col>9</xdr:col>
      <xdr:colOff>193192</xdr:colOff>
      <xdr:row>26</xdr:row>
      <xdr:rowOff>211782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493D08E-8EB0-1408-1C12-C68DB6723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4749800"/>
          <a:ext cx="5476392" cy="1075382"/>
        </a:xfrm>
        <a:prstGeom prst="rect">
          <a:avLst/>
        </a:prstGeom>
      </xdr:spPr>
    </xdr:pic>
    <xdr:clientData/>
  </xdr:twoCellAnchor>
  <xdr:twoCellAnchor>
    <xdr:from>
      <xdr:col>1</xdr:col>
      <xdr:colOff>39905</xdr:colOff>
      <xdr:row>27</xdr:row>
      <xdr:rowOff>162489</xdr:rowOff>
    </xdr:from>
    <xdr:to>
      <xdr:col>10</xdr:col>
      <xdr:colOff>223492</xdr:colOff>
      <xdr:row>34</xdr:row>
      <xdr:rowOff>97739</xdr:rowOff>
    </xdr:to>
    <xdr:sp macro="" textlink="">
      <xdr:nvSpPr>
        <xdr:cNvPr id="6" name="TextBox 11">
          <a:extLst>
            <a:ext uri="{FF2B5EF4-FFF2-40B4-BE49-F238E27FC236}">
              <a16:creationId xmlns:a16="http://schemas.microsoft.com/office/drawing/2014/main" id="{D2FBCC96-FE7B-3424-6392-C342232BB282}"/>
            </a:ext>
          </a:extLst>
        </xdr:cNvPr>
        <xdr:cNvSpPr txBox="1"/>
      </xdr:nvSpPr>
      <xdr:spPr>
        <a:xfrm>
          <a:off x="700305" y="5991789"/>
          <a:ext cx="6127187" cy="144655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As shown in the above figure, 'DIN' input high (1), input low (0) waveforms must be applied.</a:t>
          </a:r>
        </a:p>
        <a:p>
          <a:r>
            <a:rPr lang="en-US" altLang="ko-KR" sz="1100"/>
            <a:t>Since it is difficult to process input '1' or '0' in one line of the test vector, </a:t>
          </a:r>
        </a:p>
        <a:p>
          <a:r>
            <a:rPr lang="en-US" altLang="ko-KR" sz="1100"/>
            <a:t>it should be processed in multiple lines within the test vector according to the ratio.</a:t>
          </a:r>
        </a:p>
        <a:p>
          <a:endParaRPr lang="en-US" altLang="ko-KR" sz="1100"/>
        </a:p>
        <a:p>
          <a:r>
            <a:rPr lang="en-US" altLang="ko-KR" sz="1100"/>
            <a:t>- input high (1) : 110</a:t>
          </a:r>
        </a:p>
        <a:p>
          <a:r>
            <a:rPr lang="en-US" altLang="ko-KR" sz="1100"/>
            <a:t>- input low (0) : 100</a:t>
          </a:r>
        </a:p>
        <a:p>
          <a:endParaRPr lang="en-US" altLang="ko-KR" sz="1100"/>
        </a:p>
        <a:p>
          <a:r>
            <a:rPr lang="en-US" altLang="ko-KR" sz="1100"/>
            <a:t>When one line of the test vector represents 1 cycle length, set one line to 3MHz.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227635</xdr:colOff>
      <xdr:row>2</xdr:row>
      <xdr:rowOff>113191</xdr:rowOff>
    </xdr:from>
    <xdr:to>
      <xdr:col>6</xdr:col>
      <xdr:colOff>523870</xdr:colOff>
      <xdr:row>7</xdr:row>
      <xdr:rowOff>30824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C6050678-B3B0-21D2-1947-9DBFB533D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035" y="544991"/>
          <a:ext cx="3598235" cy="997133"/>
        </a:xfrm>
        <a:prstGeom prst="rect">
          <a:avLst/>
        </a:prstGeom>
      </xdr:spPr>
    </xdr:pic>
    <xdr:clientData/>
  </xdr:twoCellAnchor>
  <xdr:twoCellAnchor>
    <xdr:from>
      <xdr:col>6</xdr:col>
      <xdr:colOff>523870</xdr:colOff>
      <xdr:row>5</xdr:row>
      <xdr:rowOff>104347</xdr:rowOff>
    </xdr:from>
    <xdr:to>
      <xdr:col>11</xdr:col>
      <xdr:colOff>316340</xdr:colOff>
      <xdr:row>7</xdr:row>
      <xdr:rowOff>98305</xdr:rowOff>
    </xdr:to>
    <xdr:sp macro="" textlink="">
      <xdr:nvSpPr>
        <xdr:cNvPr id="3" name="TextBox 46">
          <a:extLst>
            <a:ext uri="{FF2B5EF4-FFF2-40B4-BE49-F238E27FC236}">
              <a16:creationId xmlns:a16="http://schemas.microsoft.com/office/drawing/2014/main" id="{EF8AB655-44B0-69CA-D637-C9869453C84C}"/>
            </a:ext>
          </a:extLst>
        </xdr:cNvPr>
        <xdr:cNvSpPr txBox="1"/>
      </xdr:nvSpPr>
      <xdr:spPr>
        <a:xfrm>
          <a:off x="4486270" y="1183847"/>
          <a:ext cx="3094470" cy="4257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Address to check : 0x00 ~ 0x26 </a:t>
          </a:r>
        </a:p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  (refer to lower block in next page)</a:t>
          </a:r>
          <a:endParaRPr lang="en-US" altLang="ko-KR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4</xdr:col>
      <xdr:colOff>167144</xdr:colOff>
      <xdr:row>2</xdr:row>
      <xdr:rowOff>45710</xdr:rowOff>
    </xdr:to>
    <xdr:sp macro="" textlink="">
      <xdr:nvSpPr>
        <xdr:cNvPr id="4" name="TextBox 47">
          <a:extLst>
            <a:ext uri="{FF2B5EF4-FFF2-40B4-BE49-F238E27FC236}">
              <a16:creationId xmlns:a16="http://schemas.microsoft.com/office/drawing/2014/main" id="{D8858CA1-64FF-332B-007C-9686333CA859}"/>
            </a:ext>
          </a:extLst>
        </xdr:cNvPr>
        <xdr:cNvSpPr txBox="1"/>
      </xdr:nvSpPr>
      <xdr:spPr>
        <a:xfrm>
          <a:off x="660400" y="215900"/>
          <a:ext cx="2148344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100" i="0" u="sng" strike="noStrike">
              <a:solidFill>
                <a:srgbClr val="00206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Check</a:t>
          </a:r>
          <a:endParaRPr lang="en-US" altLang="ko-KR" sz="1100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480367</xdr:colOff>
      <xdr:row>11</xdr:row>
      <xdr:rowOff>0</xdr:rowOff>
    </xdr:from>
    <xdr:to>
      <xdr:col>7</xdr:col>
      <xdr:colOff>647701</xdr:colOff>
      <xdr:row>47</xdr:row>
      <xdr:rowOff>98362</xdr:rowOff>
    </xdr:to>
    <xdr:pic>
      <xdr:nvPicPr>
        <xdr:cNvPr id="6" name="table">
          <a:extLst>
            <a:ext uri="{FF2B5EF4-FFF2-40B4-BE49-F238E27FC236}">
              <a16:creationId xmlns:a16="http://schemas.microsoft.com/office/drawing/2014/main" id="{CF96CC54-3CC8-F27F-CE08-96280DF4A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1167" y="2374900"/>
          <a:ext cx="3469334" cy="7870762"/>
        </a:xfrm>
        <a:prstGeom prst="rect">
          <a:avLst/>
        </a:prstGeom>
      </xdr:spPr>
    </xdr:pic>
    <xdr:clientData/>
  </xdr:twoCellAnchor>
  <xdr:twoCellAnchor editAs="oneCell">
    <xdr:from>
      <xdr:col>8</xdr:col>
      <xdr:colOff>387349</xdr:colOff>
      <xdr:row>11</xdr:row>
      <xdr:rowOff>0</xdr:rowOff>
    </xdr:from>
    <xdr:to>
      <xdr:col>13</xdr:col>
      <xdr:colOff>52977</xdr:colOff>
      <xdr:row>41</xdr:row>
      <xdr:rowOff>197452</xdr:rowOff>
    </xdr:to>
    <xdr:pic>
      <xdr:nvPicPr>
        <xdr:cNvPr id="7" name="table">
          <a:extLst>
            <a:ext uri="{FF2B5EF4-FFF2-40B4-BE49-F238E27FC236}">
              <a16:creationId xmlns:a16="http://schemas.microsoft.com/office/drawing/2014/main" id="{0BB84DBE-B83E-47D6-D9BA-AA335F281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0549" y="2374900"/>
          <a:ext cx="2967628" cy="66744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197868</xdr:rowOff>
    </xdr:from>
    <xdr:to>
      <xdr:col>10</xdr:col>
      <xdr:colOff>341290</xdr:colOff>
      <xdr:row>51</xdr:row>
      <xdr:rowOff>102363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1307010-6A09-6C24-8CD5-A67ADA5A6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10345168"/>
          <a:ext cx="6284890" cy="768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1425575</xdr:colOff>
      <xdr:row>14</xdr:row>
      <xdr:rowOff>0</xdr:rowOff>
    </xdr:from>
    <xdr:to>
      <xdr:col>4</xdr:col>
      <xdr:colOff>621575</xdr:colOff>
      <xdr:row>23</xdr:row>
      <xdr:rowOff>162900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60C0091-85F3-44A6-1025-62F76A13B977}"/>
            </a:ext>
          </a:extLst>
        </xdr:cNvPr>
        <xdr:cNvGrpSpPr/>
      </xdr:nvGrpSpPr>
      <xdr:grpSpPr>
        <a:xfrm>
          <a:off x="2746375" y="3581400"/>
          <a:ext cx="3006000" cy="2106000"/>
          <a:chOff x="1864615" y="3049000"/>
          <a:chExt cx="3006000" cy="2106000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46BFAB29-D4BA-55F7-0ADB-9309D32F30D5}"/>
              </a:ext>
            </a:extLst>
          </xdr:cNvPr>
          <xdr:cNvSpPr/>
        </xdr:nvSpPr>
        <xdr:spPr>
          <a:xfrm>
            <a:off x="3280068" y="4451193"/>
            <a:ext cx="1412909" cy="529332"/>
          </a:xfrm>
          <a:prstGeom prst="rect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6511CAD8-4010-3525-6A0F-CEE5F0BADA8D}"/>
              </a:ext>
            </a:extLst>
          </xdr:cNvPr>
          <xdr:cNvCxnSpPr>
            <a:cxnSpLocks/>
          </xdr:cNvCxnSpPr>
        </xdr:nvCxnSpPr>
        <xdr:spPr>
          <a:xfrm>
            <a:off x="3090244" y="4041260"/>
            <a:ext cx="0" cy="324365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B54ABC1-87B4-0780-26A7-4F262B9C580F}"/>
              </a:ext>
            </a:extLst>
          </xdr:cNvPr>
          <xdr:cNvCxnSpPr/>
        </xdr:nvCxnSpPr>
        <xdr:spPr>
          <a:xfrm>
            <a:off x="3337763" y="4120859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A20355-969C-88CB-FF9F-56A44FB5D879}"/>
              </a:ext>
            </a:extLst>
          </xdr:cNvPr>
          <xdr:cNvCxnSpPr/>
        </xdr:nvCxnSpPr>
        <xdr:spPr>
          <a:xfrm>
            <a:off x="3534308" y="412085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FF3FB78B-F2D5-3BD9-5DDA-5FA638089DC3}"/>
              </a:ext>
            </a:extLst>
          </xdr:cNvPr>
          <xdr:cNvCxnSpPr/>
        </xdr:nvCxnSpPr>
        <xdr:spPr>
          <a:xfrm>
            <a:off x="3732696" y="4117441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F60F7BB9-9018-FD04-1C85-C804DD171FB5}"/>
              </a:ext>
            </a:extLst>
          </xdr:cNvPr>
          <xdr:cNvCxnSpPr>
            <a:cxnSpLocks/>
          </xdr:cNvCxnSpPr>
        </xdr:nvCxnSpPr>
        <xdr:spPr>
          <a:xfrm>
            <a:off x="3136900" y="3897471"/>
            <a:ext cx="1407584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13F26B89-D759-4E3F-421F-A029BEC7065C}"/>
              </a:ext>
            </a:extLst>
          </xdr:cNvPr>
          <xdr:cNvCxnSpPr/>
        </xdr:nvCxnSpPr>
        <xdr:spPr>
          <a:xfrm>
            <a:off x="1986006" y="3318458"/>
            <a:ext cx="21833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BDE9F0EB-2A01-C244-516F-4C2BE0996BEA}"/>
              </a:ext>
            </a:extLst>
          </xdr:cNvPr>
          <xdr:cNvCxnSpPr/>
        </xdr:nvCxnSpPr>
        <xdr:spPr>
          <a:xfrm>
            <a:off x="2957351" y="3968796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F20B15F9-5D33-31F5-849C-6001EDC94473}"/>
              </a:ext>
            </a:extLst>
          </xdr:cNvPr>
          <xdr:cNvCxnSpPr/>
        </xdr:nvCxnSpPr>
        <xdr:spPr>
          <a:xfrm>
            <a:off x="3022371" y="4031665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B3B0BE39-77BC-3098-02E8-3234E00A7D82}"/>
              </a:ext>
            </a:extLst>
          </xdr:cNvPr>
          <xdr:cNvCxnSpPr/>
        </xdr:nvCxnSpPr>
        <xdr:spPr>
          <a:xfrm flipV="1">
            <a:off x="3031368" y="3898485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A6BDE737-9527-8B3F-A934-5DE2964BEADA}"/>
              </a:ext>
            </a:extLst>
          </xdr:cNvPr>
          <xdr:cNvCxnSpPr/>
        </xdr:nvCxnSpPr>
        <xdr:spPr>
          <a:xfrm>
            <a:off x="3142235" y="3896893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EA3A248F-69DA-07DB-8E9D-8A3CC88F4ECB}"/>
              </a:ext>
            </a:extLst>
          </xdr:cNvPr>
          <xdr:cNvCxnSpPr/>
        </xdr:nvCxnSpPr>
        <xdr:spPr>
          <a:xfrm>
            <a:off x="3137277" y="3897985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6" name="직선 연결선 15">
            <a:extLst>
              <a:ext uri="{FF2B5EF4-FFF2-40B4-BE49-F238E27FC236}">
                <a16:creationId xmlns:a16="http://schemas.microsoft.com/office/drawing/2014/main" id="{D617BC85-0075-B7E4-A449-93DACD219C4C}"/>
              </a:ext>
            </a:extLst>
          </xdr:cNvPr>
          <xdr:cNvCxnSpPr/>
        </xdr:nvCxnSpPr>
        <xdr:spPr>
          <a:xfrm>
            <a:off x="2909358" y="3900372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EE544B1D-62B2-C8AE-C4E2-CE0B65323313}"/>
              </a:ext>
            </a:extLst>
          </xdr:cNvPr>
          <xdr:cNvCxnSpPr/>
        </xdr:nvCxnSpPr>
        <xdr:spPr>
          <a:xfrm>
            <a:off x="2632026" y="3693673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7DAAB495-687C-AFF2-2F33-2B2A12F75FD2}"/>
              </a:ext>
            </a:extLst>
          </xdr:cNvPr>
          <xdr:cNvCxnSpPr/>
        </xdr:nvCxnSpPr>
        <xdr:spPr>
          <a:xfrm>
            <a:off x="2697046" y="3754161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7F38329-6806-8938-86BC-CB4BAF13005E}"/>
              </a:ext>
            </a:extLst>
          </xdr:cNvPr>
          <xdr:cNvCxnSpPr/>
        </xdr:nvCxnSpPr>
        <xdr:spPr>
          <a:xfrm flipV="1">
            <a:off x="2706043" y="3620980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C832F221-F1C3-6D46-DC1F-661A4B5F3720}"/>
              </a:ext>
            </a:extLst>
          </xdr:cNvPr>
          <xdr:cNvCxnSpPr/>
        </xdr:nvCxnSpPr>
        <xdr:spPr>
          <a:xfrm>
            <a:off x="2816910" y="3619388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F14FDC6E-3EA7-F149-E73E-7947EF60C75F}"/>
              </a:ext>
            </a:extLst>
          </xdr:cNvPr>
          <xdr:cNvCxnSpPr/>
        </xdr:nvCxnSpPr>
        <xdr:spPr>
          <a:xfrm>
            <a:off x="2809572" y="3620480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3115075A-8E2B-3EAE-9821-023FA107C00F}"/>
              </a:ext>
            </a:extLst>
          </xdr:cNvPr>
          <xdr:cNvCxnSpPr/>
        </xdr:nvCxnSpPr>
        <xdr:spPr>
          <a:xfrm>
            <a:off x="2584033" y="3622868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090E6EA9-7D6C-F2C9-0C4F-DBD1067F963D}"/>
              </a:ext>
            </a:extLst>
          </xdr:cNvPr>
          <xdr:cNvCxnSpPr/>
        </xdr:nvCxnSpPr>
        <xdr:spPr>
          <a:xfrm flipV="1">
            <a:off x="3430947" y="4126388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8E2E4081-BA68-4846-9B81-5C5FED90C396}"/>
              </a:ext>
            </a:extLst>
          </xdr:cNvPr>
          <xdr:cNvCxnSpPr/>
        </xdr:nvCxnSpPr>
        <xdr:spPr>
          <a:xfrm flipV="1">
            <a:off x="3621000" y="4128776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CF8C7D33-A0D2-C8AF-CFA2-935CFA4B5224}"/>
              </a:ext>
            </a:extLst>
          </xdr:cNvPr>
          <xdr:cNvCxnSpPr/>
        </xdr:nvCxnSpPr>
        <xdr:spPr>
          <a:xfrm flipV="1">
            <a:off x="3815223" y="4123202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15A90E97-A94A-2A5F-CE52-CF2DA0C60B10}"/>
              </a:ext>
            </a:extLst>
          </xdr:cNvPr>
          <xdr:cNvCxnSpPr/>
        </xdr:nvCxnSpPr>
        <xdr:spPr>
          <a:xfrm flipV="1">
            <a:off x="3430113" y="3316913"/>
            <a:ext cx="0" cy="699422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58DBECC9-D06B-3C40-57BF-B0119F68DF27}"/>
              </a:ext>
            </a:extLst>
          </xdr:cNvPr>
          <xdr:cNvCxnSpPr/>
        </xdr:nvCxnSpPr>
        <xdr:spPr>
          <a:xfrm flipV="1">
            <a:off x="3623501" y="360581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487BD0EF-027A-30F6-963F-40849F5D80E3}"/>
              </a:ext>
            </a:extLst>
          </xdr:cNvPr>
          <xdr:cNvCxnSpPr/>
        </xdr:nvCxnSpPr>
        <xdr:spPr>
          <a:xfrm flipV="1">
            <a:off x="3809388" y="3886043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9" name="직선 연결선 28">
            <a:extLst>
              <a:ext uri="{FF2B5EF4-FFF2-40B4-BE49-F238E27FC236}">
                <a16:creationId xmlns:a16="http://schemas.microsoft.com/office/drawing/2014/main" id="{09824B09-E74E-DC44-3C5E-54415E748FE8}"/>
              </a:ext>
            </a:extLst>
          </xdr:cNvPr>
          <xdr:cNvCxnSpPr/>
        </xdr:nvCxnSpPr>
        <xdr:spPr>
          <a:xfrm>
            <a:off x="2923769" y="3619110"/>
            <a:ext cx="142245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13942FD3-62D8-B14B-4D25-9992A2D34FAE}"/>
              </a:ext>
            </a:extLst>
          </xdr:cNvPr>
          <xdr:cNvCxnSpPr>
            <a:cxnSpLocks/>
          </xdr:cNvCxnSpPr>
        </xdr:nvCxnSpPr>
        <xdr:spPr>
          <a:xfrm>
            <a:off x="2000250" y="3897938"/>
            <a:ext cx="908366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445E29A3-1ACE-7245-9A8F-4E43CDAA2B31}"/>
              </a:ext>
            </a:extLst>
          </xdr:cNvPr>
          <xdr:cNvCxnSpPr/>
        </xdr:nvCxnSpPr>
        <xdr:spPr>
          <a:xfrm>
            <a:off x="1995176" y="3622059"/>
            <a:ext cx="6616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2" name="직선 연결선 31">
            <a:extLst>
              <a:ext uri="{FF2B5EF4-FFF2-40B4-BE49-F238E27FC236}">
                <a16:creationId xmlns:a16="http://schemas.microsoft.com/office/drawing/2014/main" id="{56D9EDB2-89B1-51F6-51B9-65F39C33612B}"/>
              </a:ext>
            </a:extLst>
          </xdr:cNvPr>
          <xdr:cNvCxnSpPr/>
        </xdr:nvCxnSpPr>
        <xdr:spPr>
          <a:xfrm>
            <a:off x="3619813" y="4249766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D55C844E-341A-DE67-9F0A-8E3D19DE63C6}"/>
              </a:ext>
            </a:extLst>
          </xdr:cNvPr>
          <xdr:cNvCxnSpPr>
            <a:cxnSpLocks/>
          </xdr:cNvCxnSpPr>
        </xdr:nvCxnSpPr>
        <xdr:spPr>
          <a:xfrm>
            <a:off x="2757416" y="3749132"/>
            <a:ext cx="0" cy="421231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7F9F6627-AE78-D767-AEE9-F511E08F3283}"/>
              </a:ext>
            </a:extLst>
          </xdr:cNvPr>
          <xdr:cNvCxnSpPr>
            <a:cxnSpLocks/>
          </xdr:cNvCxnSpPr>
        </xdr:nvCxnSpPr>
        <xdr:spPr>
          <a:xfrm>
            <a:off x="2001838" y="4366026"/>
            <a:ext cx="108902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5" name="직선 연결선 34">
            <a:extLst>
              <a:ext uri="{FF2B5EF4-FFF2-40B4-BE49-F238E27FC236}">
                <a16:creationId xmlns:a16="http://schemas.microsoft.com/office/drawing/2014/main" id="{2C616C54-E0D9-23FF-91CF-AB81C8B0BE3E}"/>
              </a:ext>
            </a:extLst>
          </xdr:cNvPr>
          <xdr:cNvCxnSpPr>
            <a:cxnSpLocks/>
          </xdr:cNvCxnSpPr>
        </xdr:nvCxnSpPr>
        <xdr:spPr>
          <a:xfrm>
            <a:off x="2008188" y="4169416"/>
            <a:ext cx="75247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36" name="TextBox 121">
            <a:extLst>
              <a:ext uri="{FF2B5EF4-FFF2-40B4-BE49-F238E27FC236}">
                <a16:creationId xmlns:a16="http://schemas.microsoft.com/office/drawing/2014/main" id="{14F1BB84-52FE-EAAD-ADC4-2B9DE0A3FE4D}"/>
              </a:ext>
            </a:extLst>
          </xdr:cNvPr>
          <xdr:cNvSpPr txBox="1"/>
        </xdr:nvSpPr>
        <xdr:spPr>
          <a:xfrm>
            <a:off x="2021376" y="4042357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7" name="TextBox 122">
            <a:extLst>
              <a:ext uri="{FF2B5EF4-FFF2-40B4-BE49-F238E27FC236}">
                <a16:creationId xmlns:a16="http://schemas.microsoft.com/office/drawing/2014/main" id="{85675E54-42F4-588E-B3B0-7DBD2AE3DB65}"/>
              </a:ext>
            </a:extLst>
          </xdr:cNvPr>
          <xdr:cNvSpPr txBox="1"/>
        </xdr:nvSpPr>
        <xdr:spPr>
          <a:xfrm>
            <a:off x="2019114" y="4239761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8" name="TextBox 123">
            <a:extLst>
              <a:ext uri="{FF2B5EF4-FFF2-40B4-BE49-F238E27FC236}">
                <a16:creationId xmlns:a16="http://schemas.microsoft.com/office/drawing/2014/main" id="{F0A4FBAF-3F95-F247-59D9-A80FA1450E74}"/>
              </a:ext>
            </a:extLst>
          </xdr:cNvPr>
          <xdr:cNvSpPr txBox="1"/>
        </xdr:nvSpPr>
        <xdr:spPr>
          <a:xfrm>
            <a:off x="2019704" y="3185080"/>
            <a:ext cx="717146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VLED1 (: GATE1)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9" name="TextBox 124">
            <a:extLst>
              <a:ext uri="{FF2B5EF4-FFF2-40B4-BE49-F238E27FC236}">
                <a16:creationId xmlns:a16="http://schemas.microsoft.com/office/drawing/2014/main" id="{E7AD8590-E2F6-D8E0-1660-9F2F3E0C7582}"/>
              </a:ext>
            </a:extLst>
          </xdr:cNvPr>
          <xdr:cNvSpPr txBox="1"/>
        </xdr:nvSpPr>
        <xdr:spPr>
          <a:xfrm>
            <a:off x="2022204" y="3478005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0" name="TextBox 125">
            <a:extLst>
              <a:ext uri="{FF2B5EF4-FFF2-40B4-BE49-F238E27FC236}">
                <a16:creationId xmlns:a16="http://schemas.microsoft.com/office/drawing/2014/main" id="{44E10AE5-B66C-3F7E-B9BC-2F818FBD2A1C}"/>
              </a:ext>
            </a:extLst>
          </xdr:cNvPr>
          <xdr:cNvSpPr txBox="1"/>
        </xdr:nvSpPr>
        <xdr:spPr>
          <a:xfrm>
            <a:off x="2033040" y="3758987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1" name="TextBox 126">
            <a:extLst>
              <a:ext uri="{FF2B5EF4-FFF2-40B4-BE49-F238E27FC236}">
                <a16:creationId xmlns:a16="http://schemas.microsoft.com/office/drawing/2014/main" id="{36E4F808-8A26-139A-B1B3-59C536200B47}"/>
              </a:ext>
            </a:extLst>
          </xdr:cNvPr>
          <xdr:cNvSpPr txBox="1"/>
        </xdr:nvSpPr>
        <xdr:spPr>
          <a:xfrm>
            <a:off x="3368429" y="4476964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89D7D101-752C-A8D1-8D75-DCE553BBA448}"/>
              </a:ext>
            </a:extLst>
          </xdr:cNvPr>
          <xdr:cNvCxnSpPr/>
        </xdr:nvCxnSpPr>
        <xdr:spPr>
          <a:xfrm>
            <a:off x="4069642" y="411528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457BF8CE-3DC3-9406-B072-E47D34C2A7D9}"/>
              </a:ext>
            </a:extLst>
          </xdr:cNvPr>
          <xdr:cNvCxnSpPr/>
        </xdr:nvCxnSpPr>
        <xdr:spPr>
          <a:xfrm>
            <a:off x="4266186" y="4115287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0DF4A3A2-9A95-954C-681A-4962F33C92CF}"/>
              </a:ext>
            </a:extLst>
          </xdr:cNvPr>
          <xdr:cNvCxnSpPr/>
        </xdr:nvCxnSpPr>
        <xdr:spPr>
          <a:xfrm>
            <a:off x="4464574" y="4111868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B63EB05B-F81E-3875-39DD-DCD4668D15DF}"/>
              </a:ext>
            </a:extLst>
          </xdr:cNvPr>
          <xdr:cNvCxnSpPr/>
        </xdr:nvCxnSpPr>
        <xdr:spPr>
          <a:xfrm flipV="1">
            <a:off x="4162825" y="4124796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FA88DA8B-8D0F-BF08-73A2-36E7E770C690}"/>
              </a:ext>
            </a:extLst>
          </xdr:cNvPr>
          <xdr:cNvCxnSpPr/>
        </xdr:nvCxnSpPr>
        <xdr:spPr>
          <a:xfrm flipV="1">
            <a:off x="4352878" y="4123203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A5E491F3-7177-EDED-7F74-110A11BB2E79}"/>
              </a:ext>
            </a:extLst>
          </xdr:cNvPr>
          <xdr:cNvCxnSpPr/>
        </xdr:nvCxnSpPr>
        <xdr:spPr>
          <a:xfrm flipV="1">
            <a:off x="4551597" y="4117631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F734198A-3F55-133E-52D6-266F0838F50B}"/>
              </a:ext>
            </a:extLst>
          </xdr:cNvPr>
          <xdr:cNvCxnSpPr/>
        </xdr:nvCxnSpPr>
        <xdr:spPr>
          <a:xfrm flipV="1">
            <a:off x="4161738" y="3317570"/>
            <a:ext cx="0" cy="70181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9" name="직선 연결선 48">
            <a:extLst>
              <a:ext uri="{FF2B5EF4-FFF2-40B4-BE49-F238E27FC236}">
                <a16:creationId xmlns:a16="http://schemas.microsoft.com/office/drawing/2014/main" id="{BC5BD35C-ABB2-90E1-3469-C914608FB418}"/>
              </a:ext>
            </a:extLst>
          </xdr:cNvPr>
          <xdr:cNvCxnSpPr/>
        </xdr:nvCxnSpPr>
        <xdr:spPr>
          <a:xfrm flipV="1">
            <a:off x="4355380" y="361499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68902A2-A916-3FEF-DB3E-931681EF930E}"/>
              </a:ext>
            </a:extLst>
          </xdr:cNvPr>
          <xdr:cNvCxnSpPr/>
        </xdr:nvCxnSpPr>
        <xdr:spPr>
          <a:xfrm>
            <a:off x="4360029" y="4244193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51" name="TextBox 136">
            <a:extLst>
              <a:ext uri="{FF2B5EF4-FFF2-40B4-BE49-F238E27FC236}">
                <a16:creationId xmlns:a16="http://schemas.microsoft.com/office/drawing/2014/main" id="{AE4FA7D4-CAD6-F329-DD8A-970EEEA019A4}"/>
              </a:ext>
            </a:extLst>
          </xdr:cNvPr>
          <xdr:cNvSpPr txBox="1"/>
        </xdr:nvSpPr>
        <xdr:spPr>
          <a:xfrm>
            <a:off x="3625169" y="4475373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52" name="타원 51">
            <a:extLst>
              <a:ext uri="{FF2B5EF4-FFF2-40B4-BE49-F238E27FC236}">
                <a16:creationId xmlns:a16="http://schemas.microsoft.com/office/drawing/2014/main" id="{547AD960-2396-74E0-F8C8-56CFD2F6892B}"/>
              </a:ext>
            </a:extLst>
          </xdr:cNvPr>
          <xdr:cNvSpPr/>
        </xdr:nvSpPr>
        <xdr:spPr>
          <a:xfrm>
            <a:off x="3780213" y="3870124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3" name="타원 52">
            <a:extLst>
              <a:ext uri="{FF2B5EF4-FFF2-40B4-BE49-F238E27FC236}">
                <a16:creationId xmlns:a16="http://schemas.microsoft.com/office/drawing/2014/main" id="{51AD9590-53CD-FE9B-DD25-A168F1BD2400}"/>
              </a:ext>
            </a:extLst>
          </xdr:cNvPr>
          <xdr:cNvSpPr/>
        </xdr:nvSpPr>
        <xdr:spPr>
          <a:xfrm>
            <a:off x="3590992" y="3593917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4" name="타원 53">
            <a:extLst>
              <a:ext uri="{FF2B5EF4-FFF2-40B4-BE49-F238E27FC236}">
                <a16:creationId xmlns:a16="http://schemas.microsoft.com/office/drawing/2014/main" id="{21E514A3-3C47-E3F1-B01A-B090628D695B}"/>
              </a:ext>
            </a:extLst>
          </xdr:cNvPr>
          <xdr:cNvSpPr/>
        </xdr:nvSpPr>
        <xdr:spPr>
          <a:xfrm>
            <a:off x="3397604" y="3281890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5" name="타원 54">
            <a:extLst>
              <a:ext uri="{FF2B5EF4-FFF2-40B4-BE49-F238E27FC236}">
                <a16:creationId xmlns:a16="http://schemas.microsoft.com/office/drawing/2014/main" id="{97B58634-5B4E-FEBB-F877-007B5B3609AA}"/>
              </a:ext>
            </a:extLst>
          </xdr:cNvPr>
          <xdr:cNvSpPr/>
        </xdr:nvSpPr>
        <xdr:spPr>
          <a:xfrm>
            <a:off x="3686853" y="4222746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6" name="타원 55">
            <a:extLst>
              <a:ext uri="{FF2B5EF4-FFF2-40B4-BE49-F238E27FC236}">
                <a16:creationId xmlns:a16="http://schemas.microsoft.com/office/drawing/2014/main" id="{7A4E8F25-23DF-5151-F278-B106CDDC5674}"/>
              </a:ext>
            </a:extLst>
          </xdr:cNvPr>
          <xdr:cNvSpPr/>
        </xdr:nvSpPr>
        <xdr:spPr>
          <a:xfrm>
            <a:off x="4427069" y="4221153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7" name="직선 연결선 56">
            <a:extLst>
              <a:ext uri="{FF2B5EF4-FFF2-40B4-BE49-F238E27FC236}">
                <a16:creationId xmlns:a16="http://schemas.microsoft.com/office/drawing/2014/main" id="{F4659DBB-4735-410A-EE94-A1F08343EDB4}"/>
              </a:ext>
            </a:extLst>
          </xdr:cNvPr>
          <xdr:cNvCxnSpPr/>
        </xdr:nvCxnSpPr>
        <xdr:spPr>
          <a:xfrm flipV="1">
            <a:off x="4545762" y="3891755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6622F106-5548-6797-513D-FB8784085553}"/>
              </a:ext>
            </a:extLst>
          </xdr:cNvPr>
          <xdr:cNvCxnSpPr/>
        </xdr:nvCxnSpPr>
        <xdr:spPr>
          <a:xfrm flipV="1">
            <a:off x="4463744" y="4252949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9" name="직선 연결선 58">
            <a:extLst>
              <a:ext uri="{FF2B5EF4-FFF2-40B4-BE49-F238E27FC236}">
                <a16:creationId xmlns:a16="http://schemas.microsoft.com/office/drawing/2014/main" id="{A4ED6BC2-D70E-32CD-F7C3-DCA0F0A510BA}"/>
              </a:ext>
            </a:extLst>
          </xdr:cNvPr>
          <xdr:cNvCxnSpPr/>
        </xdr:nvCxnSpPr>
        <xdr:spPr>
          <a:xfrm flipV="1">
            <a:off x="3724363" y="4251357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60" name="TextBox 145">
            <a:extLst>
              <a:ext uri="{FF2B5EF4-FFF2-40B4-BE49-F238E27FC236}">
                <a16:creationId xmlns:a16="http://schemas.microsoft.com/office/drawing/2014/main" id="{3E7CEEBB-DA42-3005-058B-99228B77543C}"/>
              </a:ext>
            </a:extLst>
          </xdr:cNvPr>
          <xdr:cNvSpPr txBox="1"/>
        </xdr:nvSpPr>
        <xdr:spPr>
          <a:xfrm>
            <a:off x="4071131" y="4479351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1" name="TextBox 146">
            <a:extLst>
              <a:ext uri="{FF2B5EF4-FFF2-40B4-BE49-F238E27FC236}">
                <a16:creationId xmlns:a16="http://schemas.microsoft.com/office/drawing/2014/main" id="{A7C4E61D-F22F-6BA8-F45F-AB2FA259B266}"/>
              </a:ext>
            </a:extLst>
          </xdr:cNvPr>
          <xdr:cNvSpPr txBox="1"/>
        </xdr:nvSpPr>
        <xdr:spPr>
          <a:xfrm>
            <a:off x="4327872" y="4477760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1AF25A92-7C12-F902-EE27-6FD381E93CB9}"/>
              </a:ext>
            </a:extLst>
          </xdr:cNvPr>
          <xdr:cNvSpPr/>
        </xdr:nvSpPr>
        <xdr:spPr>
          <a:xfrm>
            <a:off x="1864615" y="3049000"/>
            <a:ext cx="3006000" cy="2106000"/>
          </a:xfrm>
          <a:prstGeom prst="rect">
            <a:avLst/>
          </a:prstGeom>
          <a:noFill/>
          <a:ln w="3175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3" name="TextBox 263">
            <a:extLst>
              <a:ext uri="{FF2B5EF4-FFF2-40B4-BE49-F238E27FC236}">
                <a16:creationId xmlns:a16="http://schemas.microsoft.com/office/drawing/2014/main" id="{838EDE67-770D-1A07-80A0-79A31B3D2602}"/>
              </a:ext>
            </a:extLst>
          </xdr:cNvPr>
          <xdr:cNvSpPr txBox="1"/>
        </xdr:nvSpPr>
        <xdr:spPr>
          <a:xfrm>
            <a:off x="3794526" y="4727562"/>
            <a:ext cx="323575" cy="136149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1000" b="1" kern="0">
                <a:solidFill>
                  <a:sysClr val="windowText" lastClr="000000"/>
                </a:solidFill>
                <a:latin typeface="Aptos Narrow" panose="02110004020202020204"/>
              </a:rPr>
              <a:t>XD12R</a:t>
            </a:r>
            <a:endParaRPr lang="ko-KR" altLang="en-US" sz="1000" b="1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4" name="이등변 삼각형 63">
            <a:extLst>
              <a:ext uri="{FF2B5EF4-FFF2-40B4-BE49-F238E27FC236}">
                <a16:creationId xmlns:a16="http://schemas.microsoft.com/office/drawing/2014/main" id="{94FB8A87-3059-7F33-AD88-64D5CABD91C2}"/>
              </a:ext>
            </a:extLst>
          </xdr:cNvPr>
          <xdr:cNvSpPr/>
        </xdr:nvSpPr>
        <xdr:spPr>
          <a:xfrm rot="10800000">
            <a:off x="3345464" y="4015634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5" name="이등변 삼각형 64">
            <a:extLst>
              <a:ext uri="{FF2B5EF4-FFF2-40B4-BE49-F238E27FC236}">
                <a16:creationId xmlns:a16="http://schemas.microsoft.com/office/drawing/2014/main" id="{9CB70E71-9673-53DF-7592-A568F64BB4D7}"/>
              </a:ext>
            </a:extLst>
          </xdr:cNvPr>
          <xdr:cNvSpPr/>
        </xdr:nvSpPr>
        <xdr:spPr>
          <a:xfrm rot="10800000">
            <a:off x="3540845" y="4015635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6" name="이등변 삼각형 65">
            <a:extLst>
              <a:ext uri="{FF2B5EF4-FFF2-40B4-BE49-F238E27FC236}">
                <a16:creationId xmlns:a16="http://schemas.microsoft.com/office/drawing/2014/main" id="{14D56814-370C-5FBF-2EF3-4560FA33E04D}"/>
              </a:ext>
            </a:extLst>
          </xdr:cNvPr>
          <xdr:cNvSpPr/>
        </xdr:nvSpPr>
        <xdr:spPr>
          <a:xfrm rot="10800000">
            <a:off x="3729875" y="4015634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7" name="이등변 삼각형 66">
            <a:extLst>
              <a:ext uri="{FF2B5EF4-FFF2-40B4-BE49-F238E27FC236}">
                <a16:creationId xmlns:a16="http://schemas.microsoft.com/office/drawing/2014/main" id="{D2A39197-1A7B-68DC-C5C3-137BB219BFE8}"/>
              </a:ext>
            </a:extLst>
          </xdr:cNvPr>
          <xdr:cNvSpPr/>
        </xdr:nvSpPr>
        <xdr:spPr>
          <a:xfrm rot="10800000">
            <a:off x="4086291" y="4011399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8" name="이등변 삼각형 67">
            <a:extLst>
              <a:ext uri="{FF2B5EF4-FFF2-40B4-BE49-F238E27FC236}">
                <a16:creationId xmlns:a16="http://schemas.microsoft.com/office/drawing/2014/main" id="{1CA3D195-5EFC-0C28-567F-5E12D8313347}"/>
              </a:ext>
            </a:extLst>
          </xdr:cNvPr>
          <xdr:cNvSpPr/>
        </xdr:nvSpPr>
        <xdr:spPr>
          <a:xfrm rot="10800000">
            <a:off x="4275322" y="4011400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9" name="이등변 삼각형 68">
            <a:extLst>
              <a:ext uri="{FF2B5EF4-FFF2-40B4-BE49-F238E27FC236}">
                <a16:creationId xmlns:a16="http://schemas.microsoft.com/office/drawing/2014/main" id="{F99E2AB7-81BD-3E48-E051-2ABE0D6FFC92}"/>
              </a:ext>
            </a:extLst>
          </xdr:cNvPr>
          <xdr:cNvSpPr/>
        </xdr:nvSpPr>
        <xdr:spPr>
          <a:xfrm rot="10800000">
            <a:off x="4467527" y="4011399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</xdr:grpSp>
    <xdr:clientData/>
  </xdr:twoCellAnchor>
  <xdr:twoCellAnchor editAs="oneCell">
    <xdr:from>
      <xdr:col>2</xdr:col>
      <xdr:colOff>0</xdr:colOff>
      <xdr:row>24</xdr:row>
      <xdr:rowOff>172363</xdr:rowOff>
    </xdr:from>
    <xdr:to>
      <xdr:col>5</xdr:col>
      <xdr:colOff>303199</xdr:colOff>
      <xdr:row>38</xdr:row>
      <xdr:rowOff>47869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5265096-0D38-8BA6-E39B-FF842FF8E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5912763"/>
          <a:ext cx="5573699" cy="2898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1.vsd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AC03-17A0-47C5-98AF-4A30AF15DB46}">
  <dimension ref="A1:AA43"/>
  <sheetViews>
    <sheetView zoomScaleNormal="100" workbookViewId="0">
      <selection activeCell="V33" sqref="V33"/>
    </sheetView>
  </sheetViews>
  <sheetFormatPr defaultColWidth="8.58203125" defaultRowHeight="17"/>
  <cols>
    <col min="1" max="1" width="10.58203125" style="62" customWidth="1"/>
    <col min="2" max="16" width="6.58203125" style="62" customWidth="1"/>
    <col min="17" max="17" width="10.58203125" style="62" customWidth="1"/>
    <col min="18" max="27" width="15" style="62" customWidth="1"/>
    <col min="28" max="16384" width="8.58203125" style="62"/>
  </cols>
  <sheetData>
    <row r="1" spans="1:27" ht="17.5" thickBo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7">
      <c r="A2" s="61"/>
      <c r="B2" s="63"/>
      <c r="C2" s="64"/>
      <c r="D2" s="65" t="s">
        <v>96</v>
      </c>
      <c r="E2" s="64"/>
      <c r="F2" s="65" t="s">
        <v>96</v>
      </c>
      <c r="G2" s="64"/>
      <c r="H2" s="65" t="s">
        <v>96</v>
      </c>
      <c r="I2" s="64"/>
      <c r="J2" s="65" t="s">
        <v>96</v>
      </c>
      <c r="K2" s="64"/>
      <c r="L2" s="65" t="s">
        <v>96</v>
      </c>
      <c r="M2" s="64"/>
      <c r="N2" s="65" t="s">
        <v>96</v>
      </c>
      <c r="O2" s="64"/>
      <c r="P2" s="66"/>
      <c r="Q2" s="61"/>
      <c r="R2" s="120" t="s">
        <v>97</v>
      </c>
      <c r="S2" s="120"/>
      <c r="T2" s="120"/>
      <c r="U2" s="120"/>
      <c r="V2" s="120"/>
      <c r="W2" s="120"/>
      <c r="X2" s="120"/>
      <c r="Y2" s="120"/>
      <c r="Z2" s="120"/>
      <c r="AA2" s="120"/>
    </row>
    <row r="3" spans="1:27" ht="17.5" thickBot="1">
      <c r="A3" s="61"/>
      <c r="B3" s="67"/>
      <c r="C3" s="68"/>
      <c r="D3" s="69">
        <v>1</v>
      </c>
      <c r="E3" s="70"/>
      <c r="F3" s="69">
        <v>2</v>
      </c>
      <c r="G3" s="70"/>
      <c r="H3" s="69">
        <v>3</v>
      </c>
      <c r="I3" s="70"/>
      <c r="J3" s="69">
        <v>4</v>
      </c>
      <c r="K3" s="70"/>
      <c r="L3" s="69">
        <v>5</v>
      </c>
      <c r="M3" s="70"/>
      <c r="N3" s="69">
        <v>6</v>
      </c>
      <c r="O3" s="68"/>
      <c r="P3" s="71"/>
      <c r="Q3" s="61"/>
      <c r="R3" s="72" t="s">
        <v>98</v>
      </c>
      <c r="S3" s="72" t="s">
        <v>99</v>
      </c>
      <c r="T3" s="72" t="s">
        <v>100</v>
      </c>
      <c r="U3" s="72" t="s">
        <v>101</v>
      </c>
      <c r="V3" s="72" t="s">
        <v>102</v>
      </c>
      <c r="W3" s="72" t="s">
        <v>103</v>
      </c>
      <c r="X3" s="72" t="s">
        <v>104</v>
      </c>
      <c r="Y3" s="72" t="s">
        <v>105</v>
      </c>
      <c r="Z3" s="72" t="s">
        <v>106</v>
      </c>
      <c r="AA3" s="72" t="s">
        <v>107</v>
      </c>
    </row>
    <row r="4" spans="1:27">
      <c r="A4" s="61"/>
      <c r="B4" s="67"/>
      <c r="C4" s="68"/>
      <c r="D4" s="68">
        <v>24</v>
      </c>
      <c r="E4" s="68"/>
      <c r="F4" s="68">
        <v>23</v>
      </c>
      <c r="G4" s="68"/>
      <c r="H4" s="68">
        <v>22</v>
      </c>
      <c r="I4" s="68"/>
      <c r="J4" s="68">
        <v>21</v>
      </c>
      <c r="K4" s="68"/>
      <c r="L4" s="68">
        <v>20</v>
      </c>
      <c r="M4" s="68"/>
      <c r="N4" s="68">
        <v>19</v>
      </c>
      <c r="O4" s="68"/>
      <c r="P4" s="71"/>
      <c r="Q4" s="61"/>
      <c r="R4" s="121" t="s">
        <v>108</v>
      </c>
      <c r="S4" s="73">
        <v>1</v>
      </c>
      <c r="T4" s="73" t="s">
        <v>5</v>
      </c>
      <c r="U4" s="73" t="s">
        <v>109</v>
      </c>
      <c r="V4" s="73"/>
      <c r="W4" s="73"/>
      <c r="X4" s="73"/>
      <c r="Y4" s="74" t="s">
        <v>105</v>
      </c>
      <c r="Z4" s="73" t="s">
        <v>110</v>
      </c>
      <c r="AA4" s="73"/>
    </row>
    <row r="5" spans="1:27" ht="17.5" thickBot="1">
      <c r="A5" s="61"/>
      <c r="B5" s="67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71"/>
      <c r="Q5" s="61"/>
      <c r="R5" s="122"/>
      <c r="S5" s="73">
        <v>2</v>
      </c>
      <c r="T5" s="73" t="s">
        <v>111</v>
      </c>
      <c r="U5" s="73" t="s">
        <v>112</v>
      </c>
      <c r="V5" s="73"/>
      <c r="W5" s="73"/>
      <c r="X5" s="73"/>
      <c r="Y5" s="74" t="s">
        <v>105</v>
      </c>
      <c r="Z5" s="73" t="s">
        <v>110</v>
      </c>
      <c r="AA5" s="75"/>
    </row>
    <row r="6" spans="1:27">
      <c r="A6" s="61"/>
      <c r="B6" s="76" t="s">
        <v>113</v>
      </c>
      <c r="C6" s="77">
        <v>1</v>
      </c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78">
        <v>18</v>
      </c>
      <c r="P6" s="76" t="s">
        <v>113</v>
      </c>
      <c r="Q6" s="61"/>
      <c r="R6" s="122"/>
      <c r="S6" s="73">
        <v>3</v>
      </c>
      <c r="T6" s="73" t="s">
        <v>111</v>
      </c>
      <c r="U6" s="73" t="s">
        <v>114</v>
      </c>
      <c r="V6" s="73"/>
      <c r="W6" s="73"/>
      <c r="X6" s="73"/>
      <c r="Y6" s="74" t="s">
        <v>105</v>
      </c>
      <c r="Z6" s="73" t="s">
        <v>110</v>
      </c>
      <c r="AA6" s="75"/>
    </row>
    <row r="7" spans="1:27" ht="17.5" thickBot="1">
      <c r="A7" s="61"/>
      <c r="B7" s="79"/>
      <c r="C7" s="77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78"/>
      <c r="P7" s="79"/>
      <c r="Q7" s="61"/>
      <c r="R7" s="122"/>
      <c r="S7" s="73">
        <v>4</v>
      </c>
      <c r="T7" s="73" t="s">
        <v>111</v>
      </c>
      <c r="U7" s="73" t="s">
        <v>114</v>
      </c>
      <c r="V7" s="73"/>
      <c r="W7" s="73"/>
      <c r="X7" s="73"/>
      <c r="Y7" s="74" t="s">
        <v>105</v>
      </c>
      <c r="Z7" s="73" t="s">
        <v>110</v>
      </c>
      <c r="AA7" s="75"/>
    </row>
    <row r="8" spans="1:27">
      <c r="A8" s="61"/>
      <c r="B8" s="67"/>
      <c r="C8" s="77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78"/>
      <c r="P8" s="71"/>
      <c r="Q8" s="61"/>
      <c r="R8" s="122"/>
      <c r="S8" s="73">
        <v>5</v>
      </c>
      <c r="T8" s="73" t="s">
        <v>81</v>
      </c>
      <c r="U8" s="73" t="s">
        <v>115</v>
      </c>
      <c r="V8" s="73" t="s">
        <v>116</v>
      </c>
      <c r="W8" s="73" t="s">
        <v>117</v>
      </c>
      <c r="X8" s="73" t="s">
        <v>118</v>
      </c>
      <c r="Y8" s="74" t="s">
        <v>119</v>
      </c>
      <c r="Z8" s="73" t="s">
        <v>120</v>
      </c>
      <c r="AA8" s="75"/>
    </row>
    <row r="9" spans="1:27" ht="17.5" thickBot="1">
      <c r="A9" s="61"/>
      <c r="B9" s="67"/>
      <c r="C9" s="77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78"/>
      <c r="P9" s="71"/>
      <c r="Q9" s="61"/>
      <c r="R9" s="123"/>
      <c r="S9" s="73">
        <v>6</v>
      </c>
      <c r="T9" s="73" t="s">
        <v>121</v>
      </c>
      <c r="U9" s="73" t="s">
        <v>122</v>
      </c>
      <c r="V9" s="73" t="s">
        <v>123</v>
      </c>
      <c r="W9" s="73"/>
      <c r="X9" s="73"/>
      <c r="Y9" s="74" t="s">
        <v>119</v>
      </c>
      <c r="Z9" s="73" t="s">
        <v>120</v>
      </c>
      <c r="AA9" s="75"/>
    </row>
    <row r="10" spans="1:27">
      <c r="A10" s="61"/>
      <c r="B10" s="80" t="s">
        <v>124</v>
      </c>
      <c r="C10" s="77">
        <v>2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78">
        <v>17</v>
      </c>
      <c r="P10" s="80" t="s">
        <v>124</v>
      </c>
      <c r="Q10" s="61"/>
      <c r="R10" s="121" t="s">
        <v>125</v>
      </c>
      <c r="S10" s="73">
        <v>7</v>
      </c>
      <c r="T10" s="73" t="s">
        <v>126</v>
      </c>
      <c r="U10" s="73" t="s">
        <v>127</v>
      </c>
      <c r="V10" s="73"/>
      <c r="W10" s="73"/>
      <c r="X10" s="73"/>
      <c r="Y10" s="73" t="s">
        <v>128</v>
      </c>
      <c r="Z10" s="73" t="s">
        <v>129</v>
      </c>
      <c r="AA10" s="75"/>
    </row>
    <row r="11" spans="1:27" ht="17.5" thickBot="1">
      <c r="A11" s="61"/>
      <c r="B11" s="81" t="s">
        <v>130</v>
      </c>
      <c r="C11" s="77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78"/>
      <c r="P11" s="82" t="s">
        <v>13</v>
      </c>
      <c r="Q11" s="61"/>
      <c r="R11" s="122"/>
      <c r="S11" s="73">
        <v>8</v>
      </c>
      <c r="T11" s="73" t="s">
        <v>131</v>
      </c>
      <c r="U11" s="73" t="s">
        <v>127</v>
      </c>
      <c r="V11" s="73"/>
      <c r="W11" s="73"/>
      <c r="X11" s="73"/>
      <c r="Y11" s="73" t="s">
        <v>128</v>
      </c>
      <c r="Z11" s="73" t="s">
        <v>129</v>
      </c>
      <c r="AA11" s="75"/>
    </row>
    <row r="12" spans="1:27">
      <c r="A12" s="61"/>
      <c r="B12" s="67"/>
      <c r="C12" s="77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78"/>
      <c r="P12" s="71"/>
      <c r="Q12" s="61"/>
      <c r="R12" s="122"/>
      <c r="S12" s="73">
        <v>9</v>
      </c>
      <c r="T12" s="73" t="s">
        <v>132</v>
      </c>
      <c r="U12" s="73" t="s">
        <v>127</v>
      </c>
      <c r="V12" s="73"/>
      <c r="W12" s="73"/>
      <c r="X12" s="73"/>
      <c r="Y12" s="73" t="s">
        <v>128</v>
      </c>
      <c r="Z12" s="73" t="s">
        <v>129</v>
      </c>
      <c r="AA12" s="75"/>
    </row>
    <row r="13" spans="1:27" ht="17.5" thickBot="1">
      <c r="A13" s="61"/>
      <c r="B13" s="67"/>
      <c r="C13" s="77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78"/>
      <c r="P13" s="71"/>
      <c r="Q13" s="61"/>
      <c r="R13" s="122"/>
      <c r="S13" s="73">
        <v>10</v>
      </c>
      <c r="T13" s="73" t="s">
        <v>133</v>
      </c>
      <c r="U13" s="73" t="s">
        <v>127</v>
      </c>
      <c r="V13" s="73"/>
      <c r="W13" s="73"/>
      <c r="X13" s="73"/>
      <c r="Y13" s="73" t="s">
        <v>128</v>
      </c>
      <c r="Z13" s="73" t="s">
        <v>129</v>
      </c>
      <c r="AA13" s="75"/>
    </row>
    <row r="14" spans="1:27">
      <c r="A14" s="61"/>
      <c r="B14" s="80" t="s">
        <v>124</v>
      </c>
      <c r="C14" s="77">
        <v>3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78">
        <v>16</v>
      </c>
      <c r="P14" s="80" t="s">
        <v>124</v>
      </c>
      <c r="Q14" s="61"/>
      <c r="R14" s="122"/>
      <c r="S14" s="73">
        <v>11</v>
      </c>
      <c r="T14" s="73" t="s">
        <v>134</v>
      </c>
      <c r="U14" s="73" t="s">
        <v>127</v>
      </c>
      <c r="V14" s="73"/>
      <c r="W14" s="73"/>
      <c r="X14" s="73"/>
      <c r="Y14" s="73" t="s">
        <v>128</v>
      </c>
      <c r="Z14" s="73" t="s">
        <v>129</v>
      </c>
      <c r="AA14" s="75"/>
    </row>
    <row r="15" spans="1:27" ht="17.5" thickBot="1">
      <c r="A15" s="61"/>
      <c r="B15" s="83"/>
      <c r="C15" s="77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78"/>
      <c r="P15" s="82" t="s">
        <v>135</v>
      </c>
      <c r="Q15" s="61"/>
      <c r="R15" s="123"/>
      <c r="S15" s="73">
        <v>12</v>
      </c>
      <c r="T15" s="73" t="s">
        <v>136</v>
      </c>
      <c r="U15" s="73" t="s">
        <v>127</v>
      </c>
      <c r="V15" s="73"/>
      <c r="W15" s="73"/>
      <c r="X15" s="73"/>
      <c r="Y15" s="73" t="s">
        <v>128</v>
      </c>
      <c r="Z15" s="73" t="s">
        <v>129</v>
      </c>
      <c r="AA15" s="75"/>
    </row>
    <row r="16" spans="1:27">
      <c r="A16" s="61"/>
      <c r="B16" s="67"/>
      <c r="C16" s="77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78"/>
      <c r="P16" s="71"/>
      <c r="Q16" s="61"/>
      <c r="R16" s="121" t="s">
        <v>137</v>
      </c>
      <c r="S16" s="73">
        <v>13</v>
      </c>
      <c r="T16" s="84" t="s">
        <v>64</v>
      </c>
      <c r="U16" s="73" t="s">
        <v>138</v>
      </c>
      <c r="V16" s="84" t="s">
        <v>139</v>
      </c>
      <c r="W16" s="84" t="s">
        <v>140</v>
      </c>
      <c r="X16" s="84" t="s">
        <v>141</v>
      </c>
      <c r="Y16" s="74" t="s">
        <v>128</v>
      </c>
      <c r="Z16" s="73" t="s">
        <v>120</v>
      </c>
      <c r="AA16" s="75"/>
    </row>
    <row r="17" spans="1:27" ht="17.5" thickBot="1">
      <c r="A17" s="61"/>
      <c r="B17" s="67"/>
      <c r="C17" s="77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78"/>
      <c r="P17" s="71"/>
      <c r="Q17" s="61"/>
      <c r="R17" s="122"/>
      <c r="S17" s="73">
        <v>14</v>
      </c>
      <c r="T17" s="84" t="s">
        <v>27</v>
      </c>
      <c r="U17" s="73" t="s">
        <v>142</v>
      </c>
      <c r="V17" s="84" t="s">
        <v>143</v>
      </c>
      <c r="W17" s="84" t="s">
        <v>144</v>
      </c>
      <c r="X17" s="84" t="s">
        <v>145</v>
      </c>
      <c r="Y17" s="74" t="s">
        <v>146</v>
      </c>
      <c r="Z17" s="73" t="s">
        <v>120</v>
      </c>
      <c r="AA17" s="75"/>
    </row>
    <row r="18" spans="1:27">
      <c r="A18" s="61"/>
      <c r="B18" s="80" t="s">
        <v>124</v>
      </c>
      <c r="C18" s="77">
        <v>4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78">
        <v>15</v>
      </c>
      <c r="P18" s="80" t="s">
        <v>124</v>
      </c>
      <c r="Q18" s="61"/>
      <c r="R18" s="122"/>
      <c r="S18" s="73">
        <v>15</v>
      </c>
      <c r="T18" s="84" t="s">
        <v>111</v>
      </c>
      <c r="U18" s="73" t="s">
        <v>114</v>
      </c>
      <c r="V18" s="84"/>
      <c r="W18" s="84"/>
      <c r="X18" s="84"/>
      <c r="Y18" s="74" t="s">
        <v>146</v>
      </c>
      <c r="Z18" s="73" t="s">
        <v>110</v>
      </c>
      <c r="AA18" s="75"/>
    </row>
    <row r="19" spans="1:27" ht="17.5" thickBot="1">
      <c r="A19" s="61"/>
      <c r="B19" s="83"/>
      <c r="C19" s="77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78"/>
      <c r="P19" s="82" t="s">
        <v>147</v>
      </c>
      <c r="Q19" s="61"/>
      <c r="R19" s="122"/>
      <c r="S19" s="73">
        <v>16</v>
      </c>
      <c r="T19" s="84" t="s">
        <v>111</v>
      </c>
      <c r="U19" s="73" t="s">
        <v>114</v>
      </c>
      <c r="V19" s="84"/>
      <c r="W19" s="84"/>
      <c r="X19" s="84"/>
      <c r="Y19" s="74" t="s">
        <v>105</v>
      </c>
      <c r="Z19" s="73" t="s">
        <v>110</v>
      </c>
      <c r="AA19" s="75"/>
    </row>
    <row r="20" spans="1:27">
      <c r="A20" s="61"/>
      <c r="B20" s="67"/>
      <c r="C20" s="77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78"/>
      <c r="P20" s="71"/>
      <c r="Q20" s="61"/>
      <c r="R20" s="122"/>
      <c r="S20" s="73">
        <v>17</v>
      </c>
      <c r="T20" s="84" t="s">
        <v>148</v>
      </c>
      <c r="U20" s="73" t="s">
        <v>149</v>
      </c>
      <c r="V20" s="84"/>
      <c r="W20" s="84"/>
      <c r="X20" s="84"/>
      <c r="Y20" s="74" t="s">
        <v>105</v>
      </c>
      <c r="Z20" s="73" t="s">
        <v>13</v>
      </c>
      <c r="AA20" s="75"/>
    </row>
    <row r="21" spans="1:27" ht="17.5" thickBot="1">
      <c r="A21" s="61"/>
      <c r="B21" s="85" t="s">
        <v>150</v>
      </c>
      <c r="C21" s="77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78"/>
      <c r="P21" s="86" t="s">
        <v>150</v>
      </c>
      <c r="Q21" s="61"/>
      <c r="R21" s="123"/>
      <c r="S21" s="73">
        <v>18</v>
      </c>
      <c r="T21" s="84" t="s">
        <v>5</v>
      </c>
      <c r="U21" s="84" t="s">
        <v>151</v>
      </c>
      <c r="V21" s="84"/>
      <c r="W21" s="84"/>
      <c r="X21" s="84"/>
      <c r="Y21" s="74" t="s">
        <v>105</v>
      </c>
      <c r="Z21" s="73" t="s">
        <v>110</v>
      </c>
      <c r="AA21" s="75"/>
    </row>
    <row r="22" spans="1:27">
      <c r="A22" s="61"/>
      <c r="B22" s="87" t="s">
        <v>152</v>
      </c>
      <c r="C22" s="77">
        <v>5</v>
      </c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78">
        <v>14</v>
      </c>
      <c r="P22" s="87" t="s">
        <v>153</v>
      </c>
      <c r="Q22" s="61"/>
      <c r="R22" s="121" t="s">
        <v>154</v>
      </c>
      <c r="S22" s="73">
        <v>19</v>
      </c>
      <c r="T22" s="73" t="s">
        <v>155</v>
      </c>
      <c r="U22" s="73" t="s">
        <v>127</v>
      </c>
      <c r="V22" s="84"/>
      <c r="W22" s="84"/>
      <c r="X22" s="84"/>
      <c r="Y22" s="73" t="s">
        <v>128</v>
      </c>
      <c r="Z22" s="73" t="s">
        <v>129</v>
      </c>
      <c r="AA22" s="75"/>
    </row>
    <row r="23" spans="1:27" ht="17.5" thickBot="1">
      <c r="A23" s="61"/>
      <c r="B23" s="88"/>
      <c r="C23" s="77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78"/>
      <c r="P23" s="88"/>
      <c r="Q23" s="61"/>
      <c r="R23" s="122"/>
      <c r="S23" s="73">
        <v>20</v>
      </c>
      <c r="T23" s="73" t="s">
        <v>156</v>
      </c>
      <c r="U23" s="73" t="s">
        <v>127</v>
      </c>
      <c r="V23" s="84"/>
      <c r="W23" s="84"/>
      <c r="X23" s="84"/>
      <c r="Y23" s="73" t="s">
        <v>128</v>
      </c>
      <c r="Z23" s="73" t="s">
        <v>129</v>
      </c>
      <c r="AA23" s="75"/>
    </row>
    <row r="24" spans="1:27">
      <c r="A24" s="61"/>
      <c r="B24" s="67"/>
      <c r="C24" s="77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78"/>
      <c r="P24" s="71"/>
      <c r="Q24" s="61"/>
      <c r="R24" s="122"/>
      <c r="S24" s="73">
        <v>21</v>
      </c>
      <c r="T24" s="73" t="s">
        <v>157</v>
      </c>
      <c r="U24" s="73" t="s">
        <v>127</v>
      </c>
      <c r="V24" s="84"/>
      <c r="W24" s="84"/>
      <c r="X24" s="84"/>
      <c r="Y24" s="73" t="s">
        <v>128</v>
      </c>
      <c r="Z24" s="73" t="s">
        <v>129</v>
      </c>
      <c r="AA24" s="75"/>
    </row>
    <row r="25" spans="1:27" ht="17.5" thickBot="1">
      <c r="A25" s="61"/>
      <c r="B25" s="67"/>
      <c r="C25" s="77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78"/>
      <c r="P25" s="71"/>
      <c r="Q25" s="61"/>
      <c r="R25" s="122"/>
      <c r="S25" s="73">
        <v>22</v>
      </c>
      <c r="T25" s="73" t="s">
        <v>158</v>
      </c>
      <c r="U25" s="73" t="s">
        <v>127</v>
      </c>
      <c r="V25" s="84"/>
      <c r="W25" s="84"/>
      <c r="X25" s="84"/>
      <c r="Y25" s="73" t="s">
        <v>128</v>
      </c>
      <c r="Z25" s="73" t="s">
        <v>129</v>
      </c>
      <c r="AA25" s="75"/>
    </row>
    <row r="26" spans="1:27">
      <c r="A26" s="61"/>
      <c r="B26" s="89" t="s">
        <v>159</v>
      </c>
      <c r="C26" s="77">
        <v>6</v>
      </c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78">
        <v>13</v>
      </c>
      <c r="P26" s="89" t="s">
        <v>160</v>
      </c>
      <c r="Q26" s="61"/>
      <c r="R26" s="122"/>
      <c r="S26" s="73">
        <v>23</v>
      </c>
      <c r="T26" s="73" t="s">
        <v>161</v>
      </c>
      <c r="U26" s="73" t="s">
        <v>127</v>
      </c>
      <c r="V26" s="84"/>
      <c r="W26" s="84"/>
      <c r="X26" s="84"/>
      <c r="Y26" s="73" t="s">
        <v>128</v>
      </c>
      <c r="Z26" s="73" t="s">
        <v>129</v>
      </c>
      <c r="AA26" s="75"/>
    </row>
    <row r="27" spans="1:27" ht="17.5" thickBot="1">
      <c r="A27" s="61"/>
      <c r="B27" s="90"/>
      <c r="C27" s="77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78"/>
      <c r="P27" s="90"/>
      <c r="Q27" s="61"/>
      <c r="R27" s="123"/>
      <c r="S27" s="73">
        <v>24</v>
      </c>
      <c r="T27" s="73" t="s">
        <v>162</v>
      </c>
      <c r="U27" s="73" t="s">
        <v>127</v>
      </c>
      <c r="V27" s="84"/>
      <c r="W27" s="84"/>
      <c r="X27" s="84"/>
      <c r="Y27" s="73" t="s">
        <v>128</v>
      </c>
      <c r="Z27" s="73" t="s">
        <v>129</v>
      </c>
      <c r="AA27" s="75"/>
    </row>
    <row r="28" spans="1:27">
      <c r="A28" s="61"/>
      <c r="B28" s="67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71"/>
      <c r="Q28" s="61"/>
    </row>
    <row r="29" spans="1:27" ht="17.5" thickBot="1">
      <c r="A29" s="61"/>
      <c r="B29" s="67"/>
      <c r="C29" s="68"/>
      <c r="D29" s="68">
        <v>7</v>
      </c>
      <c r="E29" s="68"/>
      <c r="F29" s="68">
        <v>8</v>
      </c>
      <c r="G29" s="68"/>
      <c r="H29" s="68">
        <v>9</v>
      </c>
      <c r="I29" s="68"/>
      <c r="J29" s="68">
        <v>10</v>
      </c>
      <c r="K29" s="68"/>
      <c r="L29" s="68">
        <v>11</v>
      </c>
      <c r="M29" s="68"/>
      <c r="N29" s="68">
        <v>12</v>
      </c>
      <c r="O29" s="68"/>
      <c r="P29" s="71"/>
      <c r="Q29" s="61"/>
    </row>
    <row r="30" spans="1:27">
      <c r="A30" s="61"/>
      <c r="B30" s="67"/>
      <c r="C30" s="68"/>
      <c r="D30" s="65" t="s">
        <v>96</v>
      </c>
      <c r="E30" s="68"/>
      <c r="F30" s="65" t="s">
        <v>96</v>
      </c>
      <c r="G30" s="68"/>
      <c r="H30" s="65" t="s">
        <v>96</v>
      </c>
      <c r="I30" s="68"/>
      <c r="J30" s="65" t="s">
        <v>96</v>
      </c>
      <c r="K30" s="68"/>
      <c r="L30" s="65" t="s">
        <v>96</v>
      </c>
      <c r="M30" s="68"/>
      <c r="N30" s="65" t="s">
        <v>96</v>
      </c>
      <c r="O30" s="68"/>
      <c r="P30" s="71"/>
      <c r="Q30" s="61"/>
    </row>
    <row r="31" spans="1:27" ht="17.5" thickBot="1">
      <c r="A31" s="61"/>
      <c r="B31" s="91"/>
      <c r="C31" s="92"/>
      <c r="D31" s="69">
        <v>12</v>
      </c>
      <c r="E31" s="93"/>
      <c r="F31" s="69">
        <v>11</v>
      </c>
      <c r="G31" s="93"/>
      <c r="H31" s="69">
        <v>10</v>
      </c>
      <c r="I31" s="93"/>
      <c r="J31" s="69">
        <v>9</v>
      </c>
      <c r="K31" s="93"/>
      <c r="L31" s="69">
        <v>8</v>
      </c>
      <c r="M31" s="93"/>
      <c r="N31" s="69">
        <v>7</v>
      </c>
      <c r="O31" s="92"/>
      <c r="P31" s="94"/>
      <c r="R31" s="95" t="s">
        <v>163</v>
      </c>
    </row>
    <row r="32" spans="1:27">
      <c r="A32" s="61"/>
      <c r="B32" s="61"/>
      <c r="C32" s="61"/>
      <c r="D32" s="61"/>
      <c r="E32" s="61"/>
      <c r="F32" s="61"/>
      <c r="G32" s="61"/>
      <c r="H32" s="61"/>
      <c r="I32" s="61"/>
      <c r="J32" s="61"/>
    </row>
    <row r="42" ht="25" customHeight="1"/>
    <row r="43" ht="17.5" customHeight="1"/>
  </sheetData>
  <mergeCells count="5">
    <mergeCell ref="R2:AA2"/>
    <mergeCell ref="R4:R9"/>
    <mergeCell ref="R10:R15"/>
    <mergeCell ref="R16:R21"/>
    <mergeCell ref="R22:R27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E04B-3B3E-4A51-B94A-F3FBE85B0ED3}">
  <dimension ref="B2:O93"/>
  <sheetViews>
    <sheetView tabSelected="1" topLeftCell="A34" zoomScale="70" zoomScaleNormal="70" workbookViewId="0">
      <selection activeCell="O35" sqref="O35"/>
    </sheetView>
  </sheetViews>
  <sheetFormatPr defaultRowHeight="17"/>
  <cols>
    <col min="1" max="1" width="12.33203125" customWidth="1"/>
    <col min="2" max="2" width="19.5" customWidth="1"/>
    <col min="3" max="3" width="16.25" customWidth="1"/>
    <col min="4" max="4" width="17.58203125" customWidth="1"/>
    <col min="5" max="5" width="16.25" customWidth="1"/>
    <col min="6" max="6" width="31.75" customWidth="1"/>
    <col min="7" max="7" width="14.4140625" customWidth="1"/>
    <col min="8" max="8" width="29.75" customWidth="1"/>
    <col min="9" max="9" width="17.33203125" customWidth="1"/>
    <col min="10" max="10" width="38.75" customWidth="1"/>
    <col min="11" max="11" width="32.1640625" customWidth="1"/>
    <col min="12" max="12" width="30.58203125" customWidth="1"/>
    <col min="13" max="13" width="41.83203125" customWidth="1"/>
    <col min="14" max="14" width="9.58203125" customWidth="1"/>
    <col min="15" max="15" width="26.58203125" customWidth="1"/>
    <col min="16" max="27" width="9.58203125" customWidth="1"/>
  </cols>
  <sheetData>
    <row r="2" spans="2:13" ht="19" customHeight="1" thickBot="1"/>
    <row r="3" spans="2:13" ht="17.5" thickBot="1">
      <c r="B3" s="124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2:13" ht="29.5" thickBot="1">
      <c r="B4" s="125"/>
      <c r="C4" s="22"/>
      <c r="D4" s="96" t="s">
        <v>198</v>
      </c>
      <c r="E4" s="24"/>
      <c r="F4" s="24"/>
      <c r="G4" s="24"/>
      <c r="H4" s="24"/>
      <c r="I4" s="24"/>
      <c r="J4" s="97" t="s">
        <v>174</v>
      </c>
      <c r="K4" s="24"/>
      <c r="L4" s="24"/>
      <c r="M4" s="25"/>
    </row>
    <row r="5" spans="2:13" ht="114" customHeight="1" thickBot="1">
      <c r="B5" s="125"/>
      <c r="C5" s="22" t="s">
        <v>164</v>
      </c>
      <c r="D5" s="96" t="s">
        <v>165</v>
      </c>
      <c r="E5" s="24"/>
      <c r="F5" s="24"/>
      <c r="G5" s="24"/>
      <c r="H5" s="24"/>
      <c r="I5" s="24"/>
      <c r="J5" s="97" t="s">
        <v>176</v>
      </c>
      <c r="K5" s="24"/>
      <c r="L5" s="24"/>
      <c r="M5" s="25"/>
    </row>
    <row r="6" spans="2:13" ht="43.5">
      <c r="B6" s="125"/>
      <c r="C6" s="5">
        <v>1</v>
      </c>
      <c r="D6" s="6" t="s">
        <v>12</v>
      </c>
      <c r="E6" s="7" t="s">
        <v>13</v>
      </c>
      <c r="F6" s="7" t="s">
        <v>14</v>
      </c>
      <c r="G6" s="7">
        <v>3.3</v>
      </c>
      <c r="H6" s="6" t="s">
        <v>15</v>
      </c>
      <c r="I6" s="7" t="s">
        <v>16</v>
      </c>
      <c r="J6" s="8" t="s">
        <v>166</v>
      </c>
      <c r="K6" s="7" t="s">
        <v>170</v>
      </c>
      <c r="L6" s="7" t="s">
        <v>17</v>
      </c>
      <c r="M6" s="9"/>
    </row>
    <row r="7" spans="2:13" ht="43.5">
      <c r="B7" s="125"/>
      <c r="C7" s="10">
        <v>2</v>
      </c>
      <c r="D7" s="11" t="s">
        <v>18</v>
      </c>
      <c r="E7" s="12" t="s">
        <v>13</v>
      </c>
      <c r="F7" s="12" t="s">
        <v>19</v>
      </c>
      <c r="G7" s="12">
        <v>3.3</v>
      </c>
      <c r="H7" s="11" t="s">
        <v>15</v>
      </c>
      <c r="I7" s="12" t="s">
        <v>16</v>
      </c>
      <c r="J7" s="13" t="s">
        <v>167</v>
      </c>
      <c r="K7" s="12" t="s">
        <v>171</v>
      </c>
      <c r="L7" s="12" t="s">
        <v>20</v>
      </c>
      <c r="M7" s="14" t="s">
        <v>21</v>
      </c>
    </row>
    <row r="8" spans="2:13" ht="43.5">
      <c r="B8" s="125"/>
      <c r="C8" s="10">
        <v>3</v>
      </c>
      <c r="D8" s="11" t="s">
        <v>22</v>
      </c>
      <c r="E8" s="12" t="s">
        <v>13</v>
      </c>
      <c r="F8" s="12" t="s">
        <v>19</v>
      </c>
      <c r="G8" s="12">
        <v>3.3</v>
      </c>
      <c r="H8" s="11" t="s">
        <v>15</v>
      </c>
      <c r="I8" s="12" t="s">
        <v>16</v>
      </c>
      <c r="J8" s="13" t="s">
        <v>168</v>
      </c>
      <c r="K8" s="12" t="s">
        <v>172</v>
      </c>
      <c r="L8" s="12" t="s">
        <v>23</v>
      </c>
      <c r="M8" s="14"/>
    </row>
    <row r="9" spans="2:13" ht="43.5">
      <c r="B9" s="125"/>
      <c r="C9" s="10">
        <v>4</v>
      </c>
      <c r="D9" s="11" t="s">
        <v>24</v>
      </c>
      <c r="E9" s="12" t="s">
        <v>13</v>
      </c>
      <c r="F9" s="12" t="s">
        <v>19</v>
      </c>
      <c r="G9" s="12">
        <v>3.3</v>
      </c>
      <c r="H9" s="11" t="s">
        <v>15</v>
      </c>
      <c r="I9" s="12" t="s">
        <v>16</v>
      </c>
      <c r="J9" s="13" t="s">
        <v>169</v>
      </c>
      <c r="K9" s="12" t="s">
        <v>173</v>
      </c>
      <c r="L9" s="12" t="s">
        <v>25</v>
      </c>
      <c r="M9" s="14"/>
    </row>
    <row r="10" spans="2:13" ht="101.5">
      <c r="B10" s="125"/>
      <c r="C10" s="10">
        <v>5</v>
      </c>
      <c r="D10" s="11" t="s">
        <v>26</v>
      </c>
      <c r="E10" s="12" t="s">
        <v>27</v>
      </c>
      <c r="F10" s="12" t="s">
        <v>28</v>
      </c>
      <c r="G10" s="15">
        <v>3.3</v>
      </c>
      <c r="H10" s="11"/>
      <c r="I10" s="12" t="s">
        <v>29</v>
      </c>
      <c r="J10" s="13" t="s">
        <v>175</v>
      </c>
      <c r="K10" s="12" t="s">
        <v>177</v>
      </c>
      <c r="L10" s="12" t="s">
        <v>30</v>
      </c>
      <c r="M10" s="14" t="s">
        <v>31</v>
      </c>
    </row>
    <row r="11" spans="2:13" ht="226.5" customHeight="1">
      <c r="B11" s="125"/>
      <c r="C11" s="16">
        <v>6</v>
      </c>
      <c r="D11" s="15" t="s">
        <v>32</v>
      </c>
      <c r="E11" s="15" t="s">
        <v>33</v>
      </c>
      <c r="F11" s="17" t="s">
        <v>34</v>
      </c>
      <c r="G11" s="18">
        <v>3.3</v>
      </c>
      <c r="H11" s="18" t="s">
        <v>35</v>
      </c>
      <c r="I11" s="19" t="s">
        <v>36</v>
      </c>
      <c r="J11" s="18" t="s">
        <v>573</v>
      </c>
      <c r="K11" s="18" t="s">
        <v>178</v>
      </c>
      <c r="L11" s="15" t="s">
        <v>37</v>
      </c>
      <c r="M11" s="20" t="s">
        <v>38</v>
      </c>
    </row>
    <row r="12" spans="2:13" ht="227.5" customHeight="1">
      <c r="B12" s="125"/>
      <c r="C12" s="16">
        <v>7</v>
      </c>
      <c r="D12" s="15" t="s">
        <v>39</v>
      </c>
      <c r="E12" s="15" t="s">
        <v>33</v>
      </c>
      <c r="F12" s="17" t="s">
        <v>40</v>
      </c>
      <c r="G12" s="18">
        <v>3.3</v>
      </c>
      <c r="H12" s="18" t="s">
        <v>41</v>
      </c>
      <c r="I12" s="19" t="s">
        <v>36</v>
      </c>
      <c r="J12" s="18" t="s">
        <v>574</v>
      </c>
      <c r="K12" s="18" t="s">
        <v>179</v>
      </c>
      <c r="L12" s="15" t="s">
        <v>42</v>
      </c>
      <c r="M12" s="20" t="s">
        <v>38</v>
      </c>
    </row>
    <row r="13" spans="2:13" ht="63.5" customHeight="1" thickBot="1">
      <c r="B13" s="126"/>
      <c r="C13" s="54">
        <v>8</v>
      </c>
      <c r="D13" s="55" t="s">
        <v>43</v>
      </c>
      <c r="E13" s="55"/>
      <c r="F13" s="55"/>
      <c r="G13" s="98">
        <v>5.5</v>
      </c>
      <c r="H13" s="55"/>
      <c r="I13" s="55"/>
      <c r="J13" s="99" t="s">
        <v>180</v>
      </c>
      <c r="K13" s="55"/>
      <c r="L13" s="55"/>
      <c r="M13" s="100"/>
    </row>
    <row r="14" spans="2:13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2:13" ht="17.5" thickBot="1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2:13" ht="17.5" customHeight="1" thickBot="1">
      <c r="B16" s="124" t="s">
        <v>44</v>
      </c>
      <c r="C16" s="22" t="s">
        <v>1</v>
      </c>
      <c r="D16" s="23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7</v>
      </c>
      <c r="J16" s="24" t="s">
        <v>8</v>
      </c>
      <c r="K16" s="24" t="s">
        <v>45</v>
      </c>
      <c r="L16" s="24" t="s">
        <v>10</v>
      </c>
      <c r="M16" s="25" t="s">
        <v>11</v>
      </c>
    </row>
    <row r="17" spans="2:15" ht="82" customHeight="1" thickBot="1">
      <c r="B17" s="127"/>
      <c r="C17" s="22" t="s">
        <v>164</v>
      </c>
      <c r="D17" s="96" t="s">
        <v>165</v>
      </c>
      <c r="E17" s="24"/>
      <c r="F17" s="24"/>
      <c r="G17" s="24"/>
      <c r="H17" s="24"/>
      <c r="I17" s="24"/>
      <c r="J17" s="97" t="s">
        <v>181</v>
      </c>
      <c r="K17" s="24"/>
      <c r="L17" s="24"/>
      <c r="M17" s="25"/>
    </row>
    <row r="18" spans="2:15" ht="17.5" customHeight="1">
      <c r="B18" s="127"/>
      <c r="C18" s="5">
        <v>1</v>
      </c>
      <c r="D18" s="6" t="s">
        <v>46</v>
      </c>
      <c r="E18" s="6" t="s">
        <v>33</v>
      </c>
      <c r="F18" s="27"/>
      <c r="G18" s="6">
        <v>3.3</v>
      </c>
      <c r="H18" s="6"/>
      <c r="I18" s="6" t="s">
        <v>47</v>
      </c>
      <c r="J18" s="6"/>
      <c r="K18" s="27" t="s">
        <v>48</v>
      </c>
      <c r="L18" s="28"/>
      <c r="M18" s="29"/>
    </row>
    <row r="19" spans="2:15" ht="17.5" customHeight="1">
      <c r="B19" s="127"/>
      <c r="C19" s="16">
        <v>2</v>
      </c>
      <c r="D19" s="15" t="s">
        <v>49</v>
      </c>
      <c r="E19" s="15" t="s">
        <v>33</v>
      </c>
      <c r="F19" s="30" t="s">
        <v>50</v>
      </c>
      <c r="G19" s="15">
        <v>3.3</v>
      </c>
      <c r="H19" s="15"/>
      <c r="I19" s="15" t="s">
        <v>47</v>
      </c>
      <c r="J19" s="15"/>
      <c r="K19" s="15" t="s">
        <v>51</v>
      </c>
      <c r="L19" s="31"/>
      <c r="M19" s="32"/>
    </row>
    <row r="20" spans="2:15" ht="17.5" customHeight="1">
      <c r="B20" s="127"/>
      <c r="C20" s="16">
        <v>3</v>
      </c>
      <c r="D20" s="15" t="s">
        <v>52</v>
      </c>
      <c r="E20" s="15" t="s">
        <v>5</v>
      </c>
      <c r="F20" s="30"/>
      <c r="G20" s="15">
        <v>3.3</v>
      </c>
      <c r="H20" s="15" t="s">
        <v>53</v>
      </c>
      <c r="I20" s="15" t="s">
        <v>47</v>
      </c>
      <c r="J20" s="15"/>
      <c r="K20" s="15"/>
      <c r="L20" s="31"/>
      <c r="M20" s="32"/>
    </row>
    <row r="21" spans="2:15" ht="17.5" customHeight="1" thickBot="1">
      <c r="B21" s="127"/>
      <c r="C21" s="103">
        <v>4</v>
      </c>
      <c r="D21" s="33" t="s">
        <v>54</v>
      </c>
      <c r="E21" s="33" t="s">
        <v>5</v>
      </c>
      <c r="F21" s="53"/>
      <c r="G21" s="33">
        <v>3.3</v>
      </c>
      <c r="H21" s="33" t="s">
        <v>55</v>
      </c>
      <c r="I21" s="33" t="s">
        <v>47</v>
      </c>
      <c r="J21" s="33"/>
      <c r="K21" s="33"/>
      <c r="L21" s="104"/>
      <c r="M21" s="105"/>
    </row>
    <row r="22" spans="2:15" ht="49.5" customHeight="1" thickBot="1">
      <c r="B22" s="127"/>
      <c r="C22" s="109"/>
      <c r="D22" s="110" t="s">
        <v>57</v>
      </c>
      <c r="E22" s="110"/>
      <c r="F22" s="111"/>
      <c r="G22" s="110">
        <v>3.3</v>
      </c>
      <c r="H22" s="117" t="s">
        <v>199</v>
      </c>
      <c r="I22" s="110"/>
      <c r="J22" s="110"/>
      <c r="K22" s="110"/>
      <c r="L22" s="112"/>
      <c r="M22" s="113"/>
    </row>
    <row r="23" spans="2:15" ht="17.5" customHeight="1">
      <c r="B23" s="127"/>
      <c r="C23" s="5">
        <v>5</v>
      </c>
      <c r="D23" s="6" t="s">
        <v>56</v>
      </c>
      <c r="E23" s="6" t="s">
        <v>5</v>
      </c>
      <c r="F23" s="27"/>
      <c r="G23" s="6">
        <v>3.3</v>
      </c>
      <c r="H23" s="6" t="s">
        <v>57</v>
      </c>
      <c r="I23" s="6" t="s">
        <v>47</v>
      </c>
      <c r="J23" s="6" t="s">
        <v>58</v>
      </c>
      <c r="K23" s="6"/>
      <c r="L23" s="28"/>
      <c r="M23" s="29"/>
    </row>
    <row r="24" spans="2:15" ht="29">
      <c r="B24" s="127"/>
      <c r="C24" s="16">
        <v>6</v>
      </c>
      <c r="D24" s="33" t="s">
        <v>59</v>
      </c>
      <c r="E24" s="34" t="s">
        <v>60</v>
      </c>
      <c r="F24" s="30"/>
      <c r="G24" s="15">
        <v>1.5</v>
      </c>
      <c r="H24" s="15" t="s">
        <v>57</v>
      </c>
      <c r="I24" s="15" t="s">
        <v>47</v>
      </c>
      <c r="J24" s="15"/>
      <c r="K24" s="15" t="s">
        <v>61</v>
      </c>
      <c r="L24" s="31"/>
      <c r="M24" s="32"/>
    </row>
    <row r="25" spans="2:15" ht="59" customHeight="1" thickBot="1">
      <c r="B25" s="127"/>
      <c r="C25" s="54"/>
      <c r="D25" s="55" t="s">
        <v>195</v>
      </c>
      <c r="E25" s="56"/>
      <c r="F25" s="116"/>
      <c r="G25" s="55">
        <v>3.3</v>
      </c>
      <c r="H25" s="56"/>
      <c r="I25" s="55"/>
      <c r="J25" s="118" t="s">
        <v>200</v>
      </c>
      <c r="K25" s="55"/>
      <c r="L25" s="58"/>
      <c r="M25" s="100"/>
    </row>
    <row r="26" spans="2:15" ht="59" customHeight="1">
      <c r="B26" s="127"/>
      <c r="C26" s="10"/>
      <c r="D26" s="114" t="s">
        <v>196</v>
      </c>
      <c r="E26" s="115"/>
      <c r="F26" s="106"/>
      <c r="G26" s="11">
        <v>3.3</v>
      </c>
      <c r="H26" s="13" t="s">
        <v>197</v>
      </c>
      <c r="I26" s="11"/>
      <c r="J26" s="11"/>
      <c r="K26" s="11"/>
      <c r="L26" s="107"/>
      <c r="M26" s="108"/>
    </row>
    <row r="27" spans="2:15" ht="43.5">
      <c r="B27" s="127"/>
      <c r="C27" s="16">
        <v>7</v>
      </c>
      <c r="D27" s="15" t="s">
        <v>12</v>
      </c>
      <c r="E27" s="19" t="s">
        <v>13</v>
      </c>
      <c r="F27" s="19" t="s">
        <v>14</v>
      </c>
      <c r="G27" s="19">
        <v>3.3</v>
      </c>
      <c r="H27" s="11" t="s">
        <v>15</v>
      </c>
      <c r="I27" s="19" t="s">
        <v>16</v>
      </c>
      <c r="J27" s="18" t="s">
        <v>166</v>
      </c>
      <c r="K27" s="15" t="s">
        <v>62</v>
      </c>
      <c r="L27" s="19"/>
      <c r="M27" s="35"/>
    </row>
    <row r="28" spans="2:15" ht="43.5">
      <c r="B28" s="127"/>
      <c r="C28" s="16">
        <v>8</v>
      </c>
      <c r="D28" s="15" t="s">
        <v>18</v>
      </c>
      <c r="E28" s="19" t="s">
        <v>13</v>
      </c>
      <c r="F28" s="19" t="s">
        <v>19</v>
      </c>
      <c r="G28" s="19">
        <v>3.3</v>
      </c>
      <c r="H28" s="15" t="s">
        <v>15</v>
      </c>
      <c r="I28" s="19" t="s">
        <v>16</v>
      </c>
      <c r="J28" s="18" t="s">
        <v>167</v>
      </c>
      <c r="K28" s="15" t="s">
        <v>62</v>
      </c>
      <c r="L28" s="19"/>
      <c r="M28" s="35" t="s">
        <v>21</v>
      </c>
    </row>
    <row r="29" spans="2:15" ht="43.5">
      <c r="B29" s="127"/>
      <c r="C29" s="16">
        <v>9</v>
      </c>
      <c r="D29" s="15" t="s">
        <v>22</v>
      </c>
      <c r="E29" s="19" t="s">
        <v>13</v>
      </c>
      <c r="F29" s="19" t="s">
        <v>19</v>
      </c>
      <c r="G29" s="19">
        <v>3.3</v>
      </c>
      <c r="H29" s="15" t="s">
        <v>15</v>
      </c>
      <c r="I29" s="19" t="s">
        <v>16</v>
      </c>
      <c r="J29" s="18" t="s">
        <v>168</v>
      </c>
      <c r="K29" s="15" t="s">
        <v>62</v>
      </c>
      <c r="L29" s="19"/>
      <c r="M29" s="35"/>
    </row>
    <row r="30" spans="2:15" ht="43.5">
      <c r="B30" s="127"/>
      <c r="C30" s="16">
        <v>10</v>
      </c>
      <c r="D30" s="15" t="s">
        <v>24</v>
      </c>
      <c r="E30" s="19" t="s">
        <v>13</v>
      </c>
      <c r="F30" s="19" t="s">
        <v>19</v>
      </c>
      <c r="G30" s="19">
        <v>3.3</v>
      </c>
      <c r="H30" s="15" t="s">
        <v>15</v>
      </c>
      <c r="I30" s="19" t="s">
        <v>16</v>
      </c>
      <c r="J30" s="18" t="s">
        <v>169</v>
      </c>
      <c r="K30" s="15" t="s">
        <v>62</v>
      </c>
      <c r="L30" s="19"/>
      <c r="M30" s="35"/>
    </row>
    <row r="31" spans="2:15" ht="101.5">
      <c r="B31" s="127"/>
      <c r="C31" s="16">
        <v>11</v>
      </c>
      <c r="D31" s="15" t="s">
        <v>63</v>
      </c>
      <c r="E31" s="15" t="s">
        <v>64</v>
      </c>
      <c r="F31" s="15" t="s">
        <v>202</v>
      </c>
      <c r="G31" s="15">
        <v>3.3</v>
      </c>
      <c r="H31" s="15"/>
      <c r="I31" s="15" t="s">
        <v>29</v>
      </c>
      <c r="J31" s="18" t="s">
        <v>175</v>
      </c>
      <c r="K31" s="15" t="s">
        <v>65</v>
      </c>
      <c r="L31" s="15"/>
      <c r="M31" s="32" t="s">
        <v>31</v>
      </c>
      <c r="O31" s="119"/>
    </row>
    <row r="32" spans="2:15" ht="197.5" customHeight="1">
      <c r="B32" s="127"/>
      <c r="C32" s="16">
        <v>12</v>
      </c>
      <c r="D32" s="15" t="s">
        <v>66</v>
      </c>
      <c r="E32" s="15" t="s">
        <v>64</v>
      </c>
      <c r="F32" s="18" t="s">
        <v>201</v>
      </c>
      <c r="G32" s="15">
        <v>3.3</v>
      </c>
      <c r="H32" s="15" t="s">
        <v>182</v>
      </c>
      <c r="I32" s="15" t="s">
        <v>29</v>
      </c>
      <c r="J32" s="18" t="s">
        <v>203</v>
      </c>
      <c r="K32" s="15" t="s">
        <v>67</v>
      </c>
      <c r="L32" s="36"/>
      <c r="M32" s="32"/>
    </row>
    <row r="33" spans="2:13" ht="291.5" customHeight="1">
      <c r="B33" s="127"/>
      <c r="C33" s="16">
        <v>13</v>
      </c>
      <c r="D33" s="15" t="s">
        <v>68</v>
      </c>
      <c r="E33" s="15" t="s">
        <v>33</v>
      </c>
      <c r="F33" s="18" t="s">
        <v>69</v>
      </c>
      <c r="G33" s="18">
        <v>3.3</v>
      </c>
      <c r="H33" s="18" t="s">
        <v>70</v>
      </c>
      <c r="I33" s="19" t="s">
        <v>36</v>
      </c>
      <c r="J33" s="18" t="s">
        <v>575</v>
      </c>
      <c r="K33" s="15" t="s">
        <v>71</v>
      </c>
      <c r="L33" s="18" t="s">
        <v>72</v>
      </c>
      <c r="M33" s="37"/>
    </row>
    <row r="34" spans="2:13" ht="409.5" customHeight="1">
      <c r="B34" s="127"/>
      <c r="C34" s="16">
        <v>14</v>
      </c>
      <c r="D34" s="18" t="s">
        <v>73</v>
      </c>
      <c r="E34" s="15" t="s">
        <v>33</v>
      </c>
      <c r="F34" s="18" t="s">
        <v>189</v>
      </c>
      <c r="G34" s="18">
        <v>3.3</v>
      </c>
      <c r="H34" s="18" t="s">
        <v>183</v>
      </c>
      <c r="I34" s="19" t="s">
        <v>36</v>
      </c>
      <c r="J34" s="18" t="s">
        <v>576</v>
      </c>
      <c r="K34" s="15" t="s">
        <v>71</v>
      </c>
      <c r="L34" s="18" t="s">
        <v>72</v>
      </c>
      <c r="M34" s="37"/>
    </row>
    <row r="35" spans="2:13" ht="70" customHeight="1">
      <c r="B35" s="127"/>
      <c r="C35" s="16">
        <v>15</v>
      </c>
      <c r="D35" s="18" t="s">
        <v>74</v>
      </c>
      <c r="E35" s="15" t="s">
        <v>27</v>
      </c>
      <c r="F35" s="18" t="s">
        <v>75</v>
      </c>
      <c r="G35" s="18">
        <v>3.3</v>
      </c>
      <c r="H35" s="18" t="s">
        <v>76</v>
      </c>
      <c r="I35" s="19" t="s">
        <v>77</v>
      </c>
      <c r="J35" s="18" t="s">
        <v>184</v>
      </c>
      <c r="K35" s="15"/>
      <c r="L35" s="18" t="s">
        <v>188</v>
      </c>
      <c r="M35" s="32"/>
    </row>
    <row r="36" spans="2:13" ht="58">
      <c r="B36" s="127"/>
      <c r="C36" s="16">
        <v>16</v>
      </c>
      <c r="D36" s="18" t="s">
        <v>78</v>
      </c>
      <c r="E36" s="15" t="s">
        <v>27</v>
      </c>
      <c r="F36" s="18" t="s">
        <v>75</v>
      </c>
      <c r="G36" s="18">
        <v>3.3</v>
      </c>
      <c r="H36" s="18" t="s">
        <v>79</v>
      </c>
      <c r="I36" s="19" t="s">
        <v>77</v>
      </c>
      <c r="J36" s="18" t="s">
        <v>190</v>
      </c>
      <c r="K36" s="15"/>
      <c r="L36" s="18" t="s">
        <v>187</v>
      </c>
      <c r="M36" s="32"/>
    </row>
    <row r="37" spans="2:13" ht="132" customHeight="1">
      <c r="B37" s="127"/>
      <c r="C37" s="16">
        <v>17</v>
      </c>
      <c r="D37" s="18" t="s">
        <v>80</v>
      </c>
      <c r="E37" s="15" t="s">
        <v>81</v>
      </c>
      <c r="F37" s="18" t="s">
        <v>82</v>
      </c>
      <c r="G37" s="18">
        <v>3.3</v>
      </c>
      <c r="H37" s="18" t="s">
        <v>83</v>
      </c>
      <c r="I37" s="19" t="s">
        <v>77</v>
      </c>
      <c r="J37" s="18" t="s">
        <v>186</v>
      </c>
      <c r="K37" s="15"/>
      <c r="L37" s="18" t="s">
        <v>185</v>
      </c>
      <c r="M37" s="38"/>
    </row>
    <row r="38" spans="2:13" ht="82.5" customHeight="1" thickBot="1">
      <c r="B38" s="26"/>
      <c r="C38" s="39">
        <v>18</v>
      </c>
      <c r="D38" s="40" t="s">
        <v>84</v>
      </c>
      <c r="E38" s="41" t="s">
        <v>85</v>
      </c>
      <c r="F38" s="42" t="s">
        <v>86</v>
      </c>
      <c r="G38" s="40">
        <v>3.3</v>
      </c>
      <c r="H38" s="43" t="s">
        <v>87</v>
      </c>
      <c r="I38" s="44" t="s">
        <v>88</v>
      </c>
      <c r="J38" s="40" t="s">
        <v>191</v>
      </c>
      <c r="K38" s="41"/>
      <c r="L38" s="18" t="s">
        <v>89</v>
      </c>
      <c r="M38" s="45"/>
    </row>
    <row r="39" spans="2:13" ht="57" customHeight="1" thickBot="1">
      <c r="B39" s="46" t="s">
        <v>90</v>
      </c>
      <c r="C39" s="47">
        <v>19</v>
      </c>
      <c r="D39" s="48" t="s">
        <v>193</v>
      </c>
      <c r="E39" s="49"/>
      <c r="F39" s="50" t="s">
        <v>91</v>
      </c>
      <c r="G39" s="51">
        <v>5.5</v>
      </c>
      <c r="H39" s="101" t="s">
        <v>192</v>
      </c>
      <c r="I39" s="49"/>
      <c r="J39" s="102" t="s">
        <v>194</v>
      </c>
      <c r="K39" s="49"/>
      <c r="L39" s="49"/>
      <c r="M39" s="52"/>
    </row>
    <row r="40" spans="2:13">
      <c r="B40" s="127" t="s">
        <v>92</v>
      </c>
      <c r="C40" s="5">
        <v>20</v>
      </c>
      <c r="D40" s="6" t="s">
        <v>46</v>
      </c>
      <c r="E40" s="6" t="s">
        <v>33</v>
      </c>
      <c r="F40" s="27"/>
      <c r="G40" s="6">
        <v>3.3</v>
      </c>
      <c r="H40" s="6"/>
      <c r="I40" s="6" t="s">
        <v>47</v>
      </c>
      <c r="J40" s="6"/>
      <c r="K40" s="8" t="s">
        <v>93</v>
      </c>
      <c r="L40" s="28" t="s">
        <v>94</v>
      </c>
      <c r="M40" s="129" t="s">
        <v>95</v>
      </c>
    </row>
    <row r="41" spans="2:13" ht="17" customHeight="1">
      <c r="B41" s="127"/>
      <c r="C41" s="16">
        <v>21</v>
      </c>
      <c r="D41" s="15" t="s">
        <v>49</v>
      </c>
      <c r="E41" s="15" t="s">
        <v>33</v>
      </c>
      <c r="F41" s="30"/>
      <c r="G41" s="15">
        <v>3.3</v>
      </c>
      <c r="H41" s="15"/>
      <c r="I41" s="15" t="s">
        <v>47</v>
      </c>
      <c r="J41" s="15"/>
      <c r="K41" s="18" t="s">
        <v>93</v>
      </c>
      <c r="L41" s="31" t="s">
        <v>94</v>
      </c>
      <c r="M41" s="130"/>
    </row>
    <row r="42" spans="2:13">
      <c r="B42" s="127"/>
      <c r="C42" s="16">
        <v>22</v>
      </c>
      <c r="D42" s="15" t="s">
        <v>52</v>
      </c>
      <c r="E42" s="15" t="s">
        <v>5</v>
      </c>
      <c r="F42" s="30"/>
      <c r="G42" s="15">
        <v>3.3</v>
      </c>
      <c r="H42" s="15" t="s">
        <v>53</v>
      </c>
      <c r="I42" s="15" t="s">
        <v>47</v>
      </c>
      <c r="J42" s="15"/>
      <c r="K42" s="18" t="s">
        <v>93</v>
      </c>
      <c r="L42" s="31" t="s">
        <v>94</v>
      </c>
      <c r="M42" s="130"/>
    </row>
    <row r="43" spans="2:13">
      <c r="B43" s="127"/>
      <c r="C43" s="16">
        <v>23</v>
      </c>
      <c r="D43" s="15" t="s">
        <v>54</v>
      </c>
      <c r="E43" s="15" t="s">
        <v>5</v>
      </c>
      <c r="F43" s="30"/>
      <c r="G43" s="15">
        <v>3.3</v>
      </c>
      <c r="H43" s="15" t="s">
        <v>55</v>
      </c>
      <c r="I43" s="15" t="s">
        <v>47</v>
      </c>
      <c r="J43" s="15"/>
      <c r="K43" s="18" t="s">
        <v>93</v>
      </c>
      <c r="L43" s="31" t="s">
        <v>94</v>
      </c>
      <c r="M43" s="130"/>
    </row>
    <row r="44" spans="2:13">
      <c r="B44" s="127"/>
      <c r="C44" s="16">
        <v>24</v>
      </c>
      <c r="D44" s="15" t="s">
        <v>56</v>
      </c>
      <c r="E44" s="15" t="s">
        <v>5</v>
      </c>
      <c r="F44" s="30"/>
      <c r="G44" s="15">
        <v>3.3</v>
      </c>
      <c r="H44" s="15" t="s">
        <v>57</v>
      </c>
      <c r="I44" s="15" t="s">
        <v>47</v>
      </c>
      <c r="J44" s="15" t="s">
        <v>58</v>
      </c>
      <c r="K44" s="18" t="s">
        <v>93</v>
      </c>
      <c r="L44" s="31" t="s">
        <v>94</v>
      </c>
      <c r="M44" s="130"/>
    </row>
    <row r="45" spans="2:13" ht="29">
      <c r="B45" s="127"/>
      <c r="C45" s="16">
        <v>25</v>
      </c>
      <c r="D45" s="33" t="s">
        <v>59</v>
      </c>
      <c r="E45" s="34" t="s">
        <v>60</v>
      </c>
      <c r="F45" s="53"/>
      <c r="G45" s="33">
        <v>1.5</v>
      </c>
      <c r="H45" s="15" t="s">
        <v>57</v>
      </c>
      <c r="I45" s="15" t="s">
        <v>47</v>
      </c>
      <c r="J45" s="33"/>
      <c r="K45" s="18" t="s">
        <v>93</v>
      </c>
      <c r="L45" s="31" t="s">
        <v>94</v>
      </c>
      <c r="M45" s="130"/>
    </row>
    <row r="46" spans="2:13" ht="281" customHeight="1" thickBot="1">
      <c r="B46" s="128"/>
      <c r="C46" s="54">
        <v>26</v>
      </c>
      <c r="D46" s="55" t="s">
        <v>68</v>
      </c>
      <c r="E46" s="55" t="s">
        <v>33</v>
      </c>
      <c r="F46" s="56" t="s">
        <v>69</v>
      </c>
      <c r="G46" s="56">
        <v>3.3</v>
      </c>
      <c r="H46" s="56" t="s">
        <v>70</v>
      </c>
      <c r="I46" s="57" t="s">
        <v>36</v>
      </c>
      <c r="J46" s="56" t="s">
        <v>575</v>
      </c>
      <c r="K46" s="56" t="s">
        <v>93</v>
      </c>
      <c r="L46" s="58" t="s">
        <v>94</v>
      </c>
      <c r="M46" s="131"/>
    </row>
    <row r="47" spans="2:13" ht="65" customHeight="1">
      <c r="G47" s="59"/>
    </row>
    <row r="48" spans="2:13">
      <c r="G48" s="59"/>
    </row>
    <row r="49" spans="7:7">
      <c r="G49" s="59"/>
    </row>
    <row r="50" spans="7:7">
      <c r="G50" s="59"/>
    </row>
    <row r="51" spans="7:7">
      <c r="G51" s="59"/>
    </row>
    <row r="93" spans="3:15">
      <c r="C93" s="132"/>
      <c r="D93" s="133"/>
      <c r="E93" s="133"/>
      <c r="F93" s="133"/>
      <c r="G93" s="133"/>
      <c r="H93" s="133"/>
      <c r="I93" s="133"/>
      <c r="J93" s="134"/>
      <c r="K93" s="60"/>
      <c r="L93" s="60"/>
      <c r="M93" s="60"/>
      <c r="N93" s="60"/>
      <c r="O93" s="60"/>
    </row>
  </sheetData>
  <mergeCells count="5">
    <mergeCell ref="B3:B13"/>
    <mergeCell ref="B16:B37"/>
    <mergeCell ref="B40:B46"/>
    <mergeCell ref="M40:M46"/>
    <mergeCell ref="C93:J9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63BB-3B6E-47AC-A33F-3550900E167A}">
  <dimension ref="B2:S92"/>
  <sheetViews>
    <sheetView workbookViewId="0">
      <selection activeCell="B12" sqref="B12"/>
    </sheetView>
  </sheetViews>
  <sheetFormatPr defaultRowHeight="17"/>
  <cols>
    <col min="2" max="2" width="23.58203125" customWidth="1"/>
    <col min="6" max="6" width="13.5" customWidth="1"/>
    <col min="7" max="7" width="14.5" customWidth="1"/>
    <col min="8" max="8" width="12.1640625" customWidth="1"/>
    <col min="10" max="10" width="22.25" customWidth="1"/>
    <col min="11" max="11" width="12.4140625" customWidth="1"/>
    <col min="12" max="12" width="13.75" customWidth="1"/>
    <col min="13" max="13" width="17" customWidth="1"/>
    <col min="14" max="14" width="14.75" customWidth="1"/>
    <col min="15" max="15" width="15.1640625" customWidth="1"/>
    <col min="16" max="16" width="17.83203125" customWidth="1"/>
    <col min="17" max="17" width="13.1640625" customWidth="1"/>
    <col min="18" max="18" width="37.83203125" style="135" customWidth="1"/>
    <col min="19" max="19" width="39" style="135" customWidth="1"/>
  </cols>
  <sheetData>
    <row r="2" spans="2:19">
      <c r="S2" s="136" t="s">
        <v>204</v>
      </c>
    </row>
    <row r="3" spans="2:19">
      <c r="B3" s="137" t="s">
        <v>205</v>
      </c>
      <c r="C3" s="138" t="s">
        <v>206</v>
      </c>
      <c r="D3" s="138" t="s">
        <v>207</v>
      </c>
      <c r="E3" s="138"/>
      <c r="F3" s="138" t="s">
        <v>208</v>
      </c>
      <c r="G3" s="138" t="s">
        <v>209</v>
      </c>
      <c r="H3" s="138" t="s">
        <v>210</v>
      </c>
      <c r="I3" s="138" t="s">
        <v>211</v>
      </c>
      <c r="J3" s="138" t="s">
        <v>212</v>
      </c>
      <c r="K3" s="138" t="s">
        <v>213</v>
      </c>
      <c r="L3" s="138" t="s">
        <v>214</v>
      </c>
      <c r="M3" s="138" t="s">
        <v>215</v>
      </c>
      <c r="N3" s="138" t="s">
        <v>216</v>
      </c>
      <c r="O3" s="138" t="s">
        <v>217</v>
      </c>
      <c r="P3" s="138" t="s">
        <v>218</v>
      </c>
      <c r="Q3" s="138" t="s">
        <v>219</v>
      </c>
      <c r="S3" s="139"/>
    </row>
    <row r="4" spans="2:19">
      <c r="B4" s="140" t="s">
        <v>220</v>
      </c>
      <c r="C4" s="141" t="s">
        <v>221</v>
      </c>
      <c r="D4" s="141" t="s">
        <v>222</v>
      </c>
      <c r="E4" s="141"/>
      <c r="F4" s="142" t="s">
        <v>223</v>
      </c>
      <c r="G4" s="142" t="s">
        <v>224</v>
      </c>
      <c r="H4" s="142" t="s">
        <v>225</v>
      </c>
      <c r="I4" s="142" t="s">
        <v>226</v>
      </c>
      <c r="J4" s="143"/>
      <c r="K4" s="144"/>
      <c r="L4" s="144"/>
      <c r="M4" s="145" t="s">
        <v>227</v>
      </c>
      <c r="N4" s="145"/>
      <c r="O4" s="145"/>
      <c r="P4" s="145"/>
      <c r="Q4" s="145"/>
      <c r="R4" s="135" t="s">
        <v>228</v>
      </c>
      <c r="S4" s="139"/>
    </row>
    <row r="5" spans="2:19" ht="34">
      <c r="B5" s="140" t="s">
        <v>229</v>
      </c>
      <c r="C5" s="141" t="s">
        <v>230</v>
      </c>
      <c r="D5" s="141" t="s">
        <v>231</v>
      </c>
      <c r="E5" s="141"/>
      <c r="F5" s="143"/>
      <c r="G5" s="146" t="s">
        <v>232</v>
      </c>
      <c r="H5" s="147"/>
      <c r="I5" s="147"/>
      <c r="J5" s="147"/>
      <c r="K5" s="147"/>
      <c r="L5" s="148"/>
      <c r="M5" s="142" t="s">
        <v>233</v>
      </c>
      <c r="N5" s="149" t="s">
        <v>234</v>
      </c>
      <c r="O5" s="150" t="s">
        <v>235</v>
      </c>
      <c r="P5" s="150" t="s">
        <v>236</v>
      </c>
      <c r="Q5" s="149" t="s">
        <v>237</v>
      </c>
      <c r="R5" s="151" t="s">
        <v>238</v>
      </c>
      <c r="S5" s="139" t="s">
        <v>239</v>
      </c>
    </row>
    <row r="6" spans="2:19">
      <c r="B6" s="140" t="s">
        <v>240</v>
      </c>
      <c r="C6" s="141" t="s">
        <v>241</v>
      </c>
      <c r="D6" s="141" t="s">
        <v>231</v>
      </c>
      <c r="E6" s="141"/>
      <c r="F6" s="152"/>
      <c r="G6" s="152"/>
      <c r="H6" s="152"/>
      <c r="I6" s="152"/>
      <c r="J6" s="152"/>
      <c r="K6" s="152"/>
      <c r="L6" s="152"/>
      <c r="M6" s="153" t="s">
        <v>242</v>
      </c>
      <c r="N6" s="153"/>
      <c r="O6" s="153"/>
      <c r="P6" s="153"/>
      <c r="Q6" s="153"/>
      <c r="R6" s="135" t="s">
        <v>243</v>
      </c>
      <c r="S6" s="139" t="s">
        <v>244</v>
      </c>
    </row>
    <row r="7" spans="2:19">
      <c r="B7" s="140" t="s">
        <v>245</v>
      </c>
      <c r="C7" s="141" t="s">
        <v>246</v>
      </c>
      <c r="D7" s="141" t="s">
        <v>231</v>
      </c>
      <c r="E7" s="141"/>
      <c r="F7" s="154" t="s">
        <v>247</v>
      </c>
      <c r="G7" s="154"/>
      <c r="H7" s="154"/>
      <c r="I7" s="154"/>
      <c r="J7" s="154" t="s">
        <v>248</v>
      </c>
      <c r="K7" s="154"/>
      <c r="L7" s="154"/>
      <c r="M7" s="154"/>
      <c r="N7" s="154"/>
      <c r="O7" s="154"/>
      <c r="P7" s="154"/>
      <c r="Q7" s="154"/>
      <c r="R7" s="135" t="s">
        <v>249</v>
      </c>
      <c r="S7" s="139" t="s">
        <v>250</v>
      </c>
    </row>
    <row r="8" spans="2:19">
      <c r="B8" s="140" t="s">
        <v>251</v>
      </c>
      <c r="C8" s="141" t="s">
        <v>252</v>
      </c>
      <c r="D8" s="141" t="s">
        <v>231</v>
      </c>
      <c r="E8" s="141"/>
      <c r="F8" s="154" t="s">
        <v>253</v>
      </c>
      <c r="G8" s="154"/>
      <c r="H8" s="154"/>
      <c r="I8" s="154"/>
      <c r="J8" s="154"/>
      <c r="K8" s="154"/>
      <c r="L8" s="154"/>
      <c r="M8" s="154"/>
      <c r="N8" s="154" t="s">
        <v>254</v>
      </c>
      <c r="O8" s="154"/>
      <c r="P8" s="154"/>
      <c r="Q8" s="154"/>
      <c r="S8" s="139" t="s">
        <v>255</v>
      </c>
    </row>
    <row r="9" spans="2:19">
      <c r="B9" s="140" t="s">
        <v>256</v>
      </c>
      <c r="C9" s="141" t="s">
        <v>257</v>
      </c>
      <c r="D9" s="141" t="s">
        <v>231</v>
      </c>
      <c r="E9" s="141"/>
      <c r="F9" s="155" t="s">
        <v>258</v>
      </c>
      <c r="G9" s="155" t="s">
        <v>259</v>
      </c>
      <c r="H9" s="155" t="s">
        <v>260</v>
      </c>
      <c r="I9" s="155" t="s">
        <v>261</v>
      </c>
      <c r="J9" s="155" t="s">
        <v>262</v>
      </c>
      <c r="K9" s="155" t="s">
        <v>263</v>
      </c>
      <c r="L9" s="155" t="s">
        <v>264</v>
      </c>
      <c r="M9" s="155" t="s">
        <v>265</v>
      </c>
      <c r="N9" s="155" t="s">
        <v>266</v>
      </c>
      <c r="O9" s="155" t="s">
        <v>267</v>
      </c>
      <c r="P9" s="155" t="s">
        <v>268</v>
      </c>
      <c r="Q9" s="155" t="s">
        <v>269</v>
      </c>
      <c r="R9" s="135" t="s">
        <v>270</v>
      </c>
      <c r="S9" s="139" t="s">
        <v>271</v>
      </c>
    </row>
    <row r="10" spans="2:19">
      <c r="B10" s="140" t="s">
        <v>272</v>
      </c>
      <c r="C10" s="141" t="s">
        <v>273</v>
      </c>
      <c r="D10" s="141" t="s">
        <v>231</v>
      </c>
      <c r="E10" s="141"/>
      <c r="F10" s="156" t="s">
        <v>274</v>
      </c>
      <c r="G10" s="157"/>
      <c r="H10" s="158" t="s">
        <v>275</v>
      </c>
      <c r="I10" s="159"/>
      <c r="J10" s="159"/>
      <c r="K10" s="157"/>
      <c r="L10" s="142" t="s">
        <v>276</v>
      </c>
      <c r="M10" s="142" t="s">
        <v>277</v>
      </c>
      <c r="N10" s="149" t="s">
        <v>278</v>
      </c>
      <c r="O10" s="155" t="s">
        <v>279</v>
      </c>
      <c r="P10" s="155" t="s">
        <v>280</v>
      </c>
      <c r="Q10" s="142" t="s">
        <v>281</v>
      </c>
      <c r="R10" s="135" t="s">
        <v>282</v>
      </c>
      <c r="S10" s="139" t="s">
        <v>283</v>
      </c>
    </row>
    <row r="11" spans="2:19">
      <c r="B11" s="140" t="s">
        <v>284</v>
      </c>
      <c r="C11" s="141" t="s">
        <v>285</v>
      </c>
      <c r="D11" s="141" t="s">
        <v>286</v>
      </c>
      <c r="E11" s="141"/>
      <c r="F11" s="160" t="s">
        <v>287</v>
      </c>
      <c r="G11" s="161"/>
      <c r="H11" s="160" t="s">
        <v>288</v>
      </c>
      <c r="I11" s="161"/>
      <c r="J11" s="160" t="s">
        <v>289</v>
      </c>
      <c r="K11" s="161"/>
      <c r="L11" s="160" t="s">
        <v>290</v>
      </c>
      <c r="M11" s="161"/>
      <c r="N11" s="160" t="s">
        <v>291</v>
      </c>
      <c r="O11" s="161"/>
      <c r="P11" s="160" t="s">
        <v>292</v>
      </c>
      <c r="Q11" s="161"/>
      <c r="R11" s="135" t="s">
        <v>293</v>
      </c>
      <c r="S11" s="139" t="s">
        <v>294</v>
      </c>
    </row>
    <row r="12" spans="2:19">
      <c r="B12" s="140" t="s">
        <v>295</v>
      </c>
      <c r="C12" s="141" t="s">
        <v>296</v>
      </c>
      <c r="D12" s="141" t="s">
        <v>286</v>
      </c>
      <c r="E12" s="141"/>
      <c r="F12" s="160" t="s">
        <v>297</v>
      </c>
      <c r="G12" s="161"/>
      <c r="H12" s="160" t="s">
        <v>298</v>
      </c>
      <c r="I12" s="161"/>
      <c r="J12" s="160" t="s">
        <v>299</v>
      </c>
      <c r="K12" s="161"/>
      <c r="L12" s="160" t="s">
        <v>300</v>
      </c>
      <c r="M12" s="161"/>
      <c r="N12" s="160" t="s">
        <v>301</v>
      </c>
      <c r="O12" s="161"/>
      <c r="P12" s="160" t="s">
        <v>302</v>
      </c>
      <c r="Q12" s="161"/>
      <c r="S12" s="139" t="s">
        <v>294</v>
      </c>
    </row>
    <row r="13" spans="2:19">
      <c r="B13" s="140"/>
      <c r="C13" s="141"/>
      <c r="D13" s="141"/>
      <c r="E13" s="141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S13" s="139"/>
    </row>
    <row r="14" spans="2:19">
      <c r="B14" s="140" t="s">
        <v>303</v>
      </c>
      <c r="C14" s="141" t="s">
        <v>304</v>
      </c>
      <c r="D14" s="141" t="s">
        <v>286</v>
      </c>
      <c r="E14" s="141"/>
      <c r="F14" s="142" t="s">
        <v>305</v>
      </c>
      <c r="G14" s="142" t="s">
        <v>306</v>
      </c>
      <c r="H14" s="142" t="s">
        <v>307</v>
      </c>
      <c r="I14" s="142" t="s">
        <v>308</v>
      </c>
      <c r="J14" s="142" t="s">
        <v>309</v>
      </c>
      <c r="K14" s="142" t="s">
        <v>310</v>
      </c>
      <c r="L14" s="155" t="s">
        <v>311</v>
      </c>
      <c r="M14" s="142" t="s">
        <v>312</v>
      </c>
      <c r="N14" s="142" t="s">
        <v>313</v>
      </c>
      <c r="O14" s="155" t="s">
        <v>314</v>
      </c>
      <c r="P14" s="155" t="s">
        <v>315</v>
      </c>
      <c r="Q14" s="155" t="s">
        <v>316</v>
      </c>
      <c r="S14" s="139"/>
    </row>
    <row r="15" spans="2:19">
      <c r="B15" s="140" t="s">
        <v>317</v>
      </c>
      <c r="C15" s="141" t="s">
        <v>318</v>
      </c>
      <c r="D15" s="141" t="s">
        <v>286</v>
      </c>
      <c r="E15" s="141"/>
      <c r="F15" s="163" t="s">
        <v>319</v>
      </c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1"/>
      <c r="R15" s="135" t="s">
        <v>320</v>
      </c>
      <c r="S15" s="139" t="s">
        <v>321</v>
      </c>
    </row>
    <row r="16" spans="2:19">
      <c r="B16" s="140" t="s">
        <v>322</v>
      </c>
      <c r="C16" s="141" t="s">
        <v>323</v>
      </c>
      <c r="D16" s="141" t="s">
        <v>286</v>
      </c>
      <c r="E16" s="141"/>
      <c r="F16" s="163" t="s">
        <v>324</v>
      </c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1"/>
      <c r="R16" s="135" t="s">
        <v>325</v>
      </c>
      <c r="S16" s="139" t="s">
        <v>321</v>
      </c>
    </row>
    <row r="17" spans="2:19">
      <c r="B17" s="140" t="s">
        <v>326</v>
      </c>
      <c r="C17" s="141" t="s">
        <v>327</v>
      </c>
      <c r="D17" s="141" t="s">
        <v>286</v>
      </c>
      <c r="E17" s="141"/>
      <c r="F17" s="145" t="s">
        <v>328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35" t="s">
        <v>329</v>
      </c>
      <c r="S17" s="139" t="s">
        <v>321</v>
      </c>
    </row>
    <row r="18" spans="2:19">
      <c r="B18" s="140" t="s">
        <v>330</v>
      </c>
      <c r="C18" s="141" t="s">
        <v>331</v>
      </c>
      <c r="D18" s="141" t="s">
        <v>286</v>
      </c>
      <c r="E18" s="141"/>
      <c r="F18" s="145" t="s">
        <v>332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S18" s="139" t="s">
        <v>333</v>
      </c>
    </row>
    <row r="19" spans="2:19">
      <c r="B19" s="140" t="s">
        <v>334</v>
      </c>
      <c r="C19" s="141" t="s">
        <v>335</v>
      </c>
      <c r="D19" s="141" t="s">
        <v>286</v>
      </c>
      <c r="E19" s="141"/>
      <c r="F19" s="145" t="s">
        <v>336</v>
      </c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S19" s="139" t="s">
        <v>333</v>
      </c>
    </row>
    <row r="20" spans="2:19">
      <c r="B20" s="140" t="s">
        <v>337</v>
      </c>
      <c r="C20" s="141" t="s">
        <v>338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S20" s="139"/>
    </row>
    <row r="21" spans="2:19">
      <c r="B21" s="140" t="s">
        <v>339</v>
      </c>
      <c r="C21" s="141" t="s">
        <v>340</v>
      </c>
      <c r="D21" s="141" t="s">
        <v>286</v>
      </c>
      <c r="E21" s="141"/>
      <c r="F21" s="165"/>
      <c r="G21" s="165"/>
      <c r="H21" s="154" t="s">
        <v>341</v>
      </c>
      <c r="I21" s="154"/>
      <c r="J21" s="154"/>
      <c r="K21" s="154"/>
      <c r="L21" s="154"/>
      <c r="M21" s="154" t="s">
        <v>342</v>
      </c>
      <c r="N21" s="154"/>
      <c r="O21" s="154"/>
      <c r="P21" s="154"/>
      <c r="Q21" s="154"/>
      <c r="R21" s="135" t="s">
        <v>343</v>
      </c>
      <c r="S21" s="139" t="s">
        <v>344</v>
      </c>
    </row>
    <row r="22" spans="2:19">
      <c r="B22" s="140" t="s">
        <v>345</v>
      </c>
      <c r="C22" s="141" t="s">
        <v>346</v>
      </c>
      <c r="D22" s="141" t="s">
        <v>286</v>
      </c>
      <c r="E22" s="141"/>
      <c r="F22" s="165"/>
      <c r="G22" s="165"/>
      <c r="H22" s="154" t="s">
        <v>347</v>
      </c>
      <c r="I22" s="154"/>
      <c r="J22" s="154"/>
      <c r="K22" s="154"/>
      <c r="L22" s="154"/>
      <c r="M22" s="154" t="s">
        <v>348</v>
      </c>
      <c r="N22" s="154"/>
      <c r="O22" s="154"/>
      <c r="P22" s="154"/>
      <c r="Q22" s="154"/>
      <c r="S22" s="139" t="s">
        <v>349</v>
      </c>
    </row>
    <row r="23" spans="2:19">
      <c r="B23" s="140" t="s">
        <v>350</v>
      </c>
      <c r="C23" s="141" t="s">
        <v>351</v>
      </c>
      <c r="D23" s="141" t="s">
        <v>286</v>
      </c>
      <c r="E23" s="141"/>
      <c r="F23" s="165"/>
      <c r="G23" s="165"/>
      <c r="H23" s="154" t="s">
        <v>352</v>
      </c>
      <c r="I23" s="154"/>
      <c r="J23" s="154"/>
      <c r="K23" s="154"/>
      <c r="L23" s="154"/>
      <c r="M23" s="154" t="s">
        <v>353</v>
      </c>
      <c r="N23" s="154"/>
      <c r="O23" s="154"/>
      <c r="P23" s="154"/>
      <c r="Q23" s="154"/>
      <c r="S23" s="139" t="s">
        <v>354</v>
      </c>
    </row>
    <row r="24" spans="2:19">
      <c r="B24" s="140" t="s">
        <v>355</v>
      </c>
      <c r="C24" s="141" t="s">
        <v>356</v>
      </c>
      <c r="D24" s="141" t="s">
        <v>286</v>
      </c>
      <c r="E24" s="141"/>
      <c r="F24" s="165"/>
      <c r="G24" s="165"/>
      <c r="H24" s="154" t="s">
        <v>357</v>
      </c>
      <c r="I24" s="154"/>
      <c r="J24" s="154"/>
      <c r="K24" s="154"/>
      <c r="L24" s="154"/>
      <c r="M24" s="154" t="s">
        <v>358</v>
      </c>
      <c r="N24" s="154"/>
      <c r="O24" s="154"/>
      <c r="P24" s="154"/>
      <c r="Q24" s="154"/>
      <c r="S24" s="139" t="s">
        <v>359</v>
      </c>
    </row>
    <row r="25" spans="2:19">
      <c r="B25" s="140" t="s">
        <v>360</v>
      </c>
      <c r="C25" s="141" t="s">
        <v>361</v>
      </c>
      <c r="D25" s="141" t="s">
        <v>286</v>
      </c>
      <c r="E25" s="141"/>
      <c r="F25" s="165"/>
      <c r="G25" s="165"/>
      <c r="H25" s="154" t="s">
        <v>362</v>
      </c>
      <c r="I25" s="154"/>
      <c r="J25" s="154"/>
      <c r="K25" s="154"/>
      <c r="L25" s="154"/>
      <c r="M25" s="154" t="s">
        <v>363</v>
      </c>
      <c r="N25" s="154"/>
      <c r="O25" s="154"/>
      <c r="P25" s="154"/>
      <c r="Q25" s="154"/>
      <c r="S25" s="139" t="s">
        <v>364</v>
      </c>
    </row>
    <row r="26" spans="2:19">
      <c r="B26" s="140" t="s">
        <v>365</v>
      </c>
      <c r="C26" s="141" t="s">
        <v>366</v>
      </c>
      <c r="D26" s="141" t="s">
        <v>286</v>
      </c>
      <c r="E26" s="141"/>
      <c r="F26" s="165"/>
      <c r="G26" s="165"/>
      <c r="H26" s="154" t="s">
        <v>367</v>
      </c>
      <c r="I26" s="154"/>
      <c r="J26" s="154"/>
      <c r="K26" s="154"/>
      <c r="L26" s="154"/>
      <c r="M26" s="154" t="s">
        <v>368</v>
      </c>
      <c r="N26" s="154"/>
      <c r="O26" s="154"/>
      <c r="P26" s="154"/>
      <c r="Q26" s="154"/>
      <c r="S26" s="139" t="s">
        <v>369</v>
      </c>
    </row>
    <row r="27" spans="2:19">
      <c r="B27" s="140" t="s">
        <v>370</v>
      </c>
      <c r="C27" s="141" t="s">
        <v>371</v>
      </c>
      <c r="D27" s="141" t="s">
        <v>231</v>
      </c>
      <c r="E27" s="141"/>
      <c r="F27" s="166" t="s">
        <v>372</v>
      </c>
      <c r="G27" s="166"/>
      <c r="H27" s="166"/>
      <c r="I27" s="166" t="s">
        <v>373</v>
      </c>
      <c r="J27" s="166"/>
      <c r="K27" s="166"/>
      <c r="L27" s="166" t="s">
        <v>374</v>
      </c>
      <c r="M27" s="166"/>
      <c r="N27" s="166"/>
      <c r="O27" s="166" t="s">
        <v>375</v>
      </c>
      <c r="P27" s="166"/>
      <c r="Q27" s="166"/>
      <c r="R27" s="135" t="s">
        <v>376</v>
      </c>
      <c r="S27" s="139" t="s">
        <v>333</v>
      </c>
    </row>
    <row r="28" spans="2:19">
      <c r="B28" s="140" t="s">
        <v>377</v>
      </c>
      <c r="C28" s="141" t="s">
        <v>378</v>
      </c>
      <c r="D28" s="141" t="s">
        <v>231</v>
      </c>
      <c r="E28" s="141"/>
      <c r="F28" s="166" t="s">
        <v>379</v>
      </c>
      <c r="G28" s="166"/>
      <c r="H28" s="166"/>
      <c r="I28" s="167" t="s">
        <v>380</v>
      </c>
      <c r="J28" s="168"/>
      <c r="K28" s="169"/>
      <c r="L28" s="166" t="s">
        <v>381</v>
      </c>
      <c r="M28" s="166"/>
      <c r="N28" s="166"/>
      <c r="O28" s="166" t="s">
        <v>382</v>
      </c>
      <c r="P28" s="166"/>
      <c r="Q28" s="166"/>
      <c r="S28" s="139" t="s">
        <v>383</v>
      </c>
    </row>
    <row r="29" spans="2:19">
      <c r="B29" s="140" t="s">
        <v>384</v>
      </c>
      <c r="C29" s="141" t="s">
        <v>385</v>
      </c>
      <c r="D29" s="141" t="s">
        <v>231</v>
      </c>
      <c r="E29" s="141"/>
      <c r="F29" s="143"/>
      <c r="G29" s="143"/>
      <c r="H29" s="143"/>
      <c r="I29" s="143"/>
      <c r="J29" s="143"/>
      <c r="K29" s="143"/>
      <c r="L29" s="166" t="s">
        <v>386</v>
      </c>
      <c r="M29" s="166"/>
      <c r="N29" s="166"/>
      <c r="O29" s="166" t="s">
        <v>387</v>
      </c>
      <c r="P29" s="166"/>
      <c r="Q29" s="166"/>
      <c r="S29" s="139" t="s">
        <v>388</v>
      </c>
    </row>
    <row r="30" spans="2:19">
      <c r="B30" s="140" t="s">
        <v>389</v>
      </c>
      <c r="C30" s="141" t="s">
        <v>390</v>
      </c>
      <c r="D30" s="141" t="s">
        <v>286</v>
      </c>
      <c r="E30" s="141"/>
      <c r="F30" s="170" t="s">
        <v>391</v>
      </c>
      <c r="G30" s="170"/>
      <c r="H30" s="170"/>
      <c r="I30" s="170"/>
      <c r="J30" s="170" t="s">
        <v>392</v>
      </c>
      <c r="K30" s="170"/>
      <c r="L30" s="170"/>
      <c r="M30" s="170"/>
      <c r="N30" s="170" t="s">
        <v>393</v>
      </c>
      <c r="O30" s="170"/>
      <c r="P30" s="170"/>
      <c r="Q30" s="170"/>
      <c r="R30" s="135" t="s">
        <v>394</v>
      </c>
      <c r="S30" s="139" t="s">
        <v>395</v>
      </c>
    </row>
    <row r="31" spans="2:19">
      <c r="B31" s="140" t="s">
        <v>396</v>
      </c>
      <c r="C31" s="141" t="s">
        <v>397</v>
      </c>
      <c r="D31" s="141" t="s">
        <v>286</v>
      </c>
      <c r="E31" s="141"/>
      <c r="F31" s="143"/>
      <c r="G31" s="143"/>
      <c r="H31" s="143"/>
      <c r="I31" s="143"/>
      <c r="J31" s="170" t="s">
        <v>398</v>
      </c>
      <c r="K31" s="170"/>
      <c r="L31" s="170"/>
      <c r="M31" s="170"/>
      <c r="N31" s="170" t="s">
        <v>399</v>
      </c>
      <c r="O31" s="170"/>
      <c r="P31" s="170"/>
      <c r="Q31" s="170"/>
      <c r="S31" s="139" t="s">
        <v>333</v>
      </c>
    </row>
    <row r="32" spans="2:19">
      <c r="B32" s="140" t="s">
        <v>400</v>
      </c>
      <c r="C32" s="141" t="s">
        <v>401</v>
      </c>
      <c r="D32" s="141" t="s">
        <v>402</v>
      </c>
      <c r="E32" s="141"/>
      <c r="F32" s="142" t="s">
        <v>403</v>
      </c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2" t="s">
        <v>404</v>
      </c>
      <c r="R32" s="135" t="s">
        <v>228</v>
      </c>
      <c r="S32" s="139"/>
    </row>
    <row r="33" spans="2:19">
      <c r="B33" s="140" t="s">
        <v>405</v>
      </c>
      <c r="C33" s="141" t="s">
        <v>406</v>
      </c>
      <c r="D33" s="141" t="s">
        <v>407</v>
      </c>
      <c r="E33" s="141"/>
      <c r="F33" s="154" t="s">
        <v>408</v>
      </c>
      <c r="G33" s="154"/>
      <c r="H33" s="154"/>
      <c r="I33" s="154"/>
      <c r="J33" s="154"/>
      <c r="K33" s="154"/>
      <c r="L33" s="154" t="s">
        <v>409</v>
      </c>
      <c r="M33" s="154"/>
      <c r="N33" s="154"/>
      <c r="O33" s="154"/>
      <c r="P33" s="154"/>
      <c r="Q33" s="154"/>
      <c r="R33" s="135" t="s">
        <v>228</v>
      </c>
      <c r="S33" s="139"/>
    </row>
    <row r="34" spans="2:19">
      <c r="B34" s="140" t="s">
        <v>410</v>
      </c>
      <c r="C34" s="141" t="s">
        <v>411</v>
      </c>
      <c r="D34" s="141" t="s">
        <v>412</v>
      </c>
      <c r="E34" s="141"/>
      <c r="F34" s="143"/>
      <c r="G34" s="143"/>
      <c r="H34" s="143"/>
      <c r="I34" s="154" t="s">
        <v>413</v>
      </c>
      <c r="J34" s="154"/>
      <c r="K34" s="154"/>
      <c r="L34" s="154"/>
      <c r="M34" s="154"/>
      <c r="N34" s="154"/>
      <c r="O34" s="154"/>
      <c r="P34" s="154"/>
      <c r="Q34" s="154"/>
      <c r="R34" s="135" t="s">
        <v>228</v>
      </c>
      <c r="S34" s="139"/>
    </row>
    <row r="35" spans="2:19">
      <c r="B35" s="140" t="s">
        <v>414</v>
      </c>
      <c r="C35" s="141" t="s">
        <v>415</v>
      </c>
      <c r="D35" s="141" t="s">
        <v>231</v>
      </c>
      <c r="E35" s="141"/>
      <c r="F35" s="143"/>
      <c r="G35" s="143"/>
      <c r="H35" s="154" t="s">
        <v>416</v>
      </c>
      <c r="I35" s="154"/>
      <c r="J35" s="154"/>
      <c r="K35" s="154"/>
      <c r="L35" s="154"/>
      <c r="M35" s="154"/>
      <c r="N35" s="154"/>
      <c r="O35" s="154"/>
      <c r="P35" s="154"/>
      <c r="Q35" s="154"/>
      <c r="R35" s="135" t="s">
        <v>228</v>
      </c>
      <c r="S35" s="139"/>
    </row>
    <row r="36" spans="2:19">
      <c r="B36" s="140" t="s">
        <v>417</v>
      </c>
      <c r="C36" s="141" t="s">
        <v>418</v>
      </c>
      <c r="D36" s="141" t="s">
        <v>231</v>
      </c>
      <c r="E36" s="141"/>
      <c r="F36" s="142" t="s">
        <v>419</v>
      </c>
      <c r="G36" s="143"/>
      <c r="H36" s="154" t="s">
        <v>420</v>
      </c>
      <c r="I36" s="154"/>
      <c r="J36" s="154"/>
      <c r="K36" s="154"/>
      <c r="L36" s="154"/>
      <c r="M36" s="154"/>
      <c r="N36" s="154"/>
      <c r="O36" s="154"/>
      <c r="P36" s="154"/>
      <c r="Q36" s="154"/>
      <c r="R36" s="135" t="s">
        <v>421</v>
      </c>
      <c r="S36" s="139"/>
    </row>
    <row r="37" spans="2:19">
      <c r="B37" s="140" t="s">
        <v>422</v>
      </c>
      <c r="C37" s="141" t="s">
        <v>423</v>
      </c>
      <c r="D37" s="141" t="s">
        <v>231</v>
      </c>
      <c r="E37" s="141"/>
      <c r="F37" s="165"/>
      <c r="G37" s="165"/>
      <c r="H37" s="154" t="s">
        <v>424</v>
      </c>
      <c r="I37" s="154"/>
      <c r="J37" s="154"/>
      <c r="K37" s="154"/>
      <c r="L37" s="154"/>
      <c r="M37" s="154"/>
      <c r="N37" s="154"/>
      <c r="O37" s="154"/>
      <c r="P37" s="154"/>
      <c r="Q37" s="154"/>
      <c r="R37" s="135" t="s">
        <v>228</v>
      </c>
      <c r="S37" s="139"/>
    </row>
    <row r="38" spans="2:19">
      <c r="B38" s="140" t="s">
        <v>425</v>
      </c>
      <c r="C38" s="141" t="s">
        <v>426</v>
      </c>
      <c r="D38" s="141" t="s">
        <v>427</v>
      </c>
      <c r="E38" s="141"/>
      <c r="F38" s="165"/>
      <c r="G38" s="154" t="s">
        <v>428</v>
      </c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35" t="s">
        <v>228</v>
      </c>
      <c r="S38" s="139"/>
    </row>
    <row r="39" spans="2:19">
      <c r="B39" s="140" t="s">
        <v>429</v>
      </c>
      <c r="C39" s="141" t="s">
        <v>430</v>
      </c>
      <c r="D39" s="141" t="s">
        <v>231</v>
      </c>
      <c r="E39" s="141"/>
      <c r="F39" s="154" t="s">
        <v>431</v>
      </c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35" t="s">
        <v>432</v>
      </c>
      <c r="S39" s="139" t="s">
        <v>433</v>
      </c>
    </row>
    <row r="40" spans="2:19">
      <c r="B40" s="140" t="s">
        <v>434</v>
      </c>
      <c r="C40" s="141" t="s">
        <v>435</v>
      </c>
      <c r="D40" s="141" t="s">
        <v>436</v>
      </c>
      <c r="E40" s="141"/>
      <c r="F40" s="142" t="s">
        <v>437</v>
      </c>
      <c r="G40" s="154" t="s">
        <v>438</v>
      </c>
      <c r="H40" s="154"/>
      <c r="I40" s="143"/>
      <c r="J40" s="154" t="s">
        <v>439</v>
      </c>
      <c r="K40" s="154"/>
      <c r="L40" s="154"/>
      <c r="M40" s="154"/>
      <c r="N40" s="154"/>
      <c r="O40" s="154"/>
      <c r="P40" s="154"/>
      <c r="Q40" s="154"/>
      <c r="S40" s="139" t="s">
        <v>440</v>
      </c>
    </row>
    <row r="41" spans="2:19">
      <c r="B41" s="140"/>
      <c r="C41" s="141"/>
      <c r="D41" s="141"/>
      <c r="E41" s="141"/>
      <c r="F41" s="17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S41" s="139"/>
    </row>
    <row r="42" spans="2:19">
      <c r="B42" s="140" t="s">
        <v>441</v>
      </c>
      <c r="C42" s="141" t="s">
        <v>442</v>
      </c>
      <c r="D42" s="141" t="s">
        <v>443</v>
      </c>
      <c r="E42" s="141"/>
      <c r="F42" s="172" t="s">
        <v>444</v>
      </c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35" t="s">
        <v>228</v>
      </c>
      <c r="S42" s="139"/>
    </row>
    <row r="43" spans="2:19">
      <c r="B43" s="140" t="s">
        <v>445</v>
      </c>
      <c r="C43" s="141" t="s">
        <v>446</v>
      </c>
      <c r="D43" s="141" t="s">
        <v>231</v>
      </c>
      <c r="E43" s="141"/>
      <c r="F43" s="154" t="s">
        <v>447</v>
      </c>
      <c r="G43" s="154"/>
      <c r="H43" s="154"/>
      <c r="I43" s="154"/>
      <c r="J43" s="154"/>
      <c r="K43" s="154"/>
      <c r="L43" s="142" t="s">
        <v>448</v>
      </c>
      <c r="M43" s="155" t="s">
        <v>449</v>
      </c>
      <c r="N43" s="155" t="s">
        <v>450</v>
      </c>
      <c r="O43" s="142" t="s">
        <v>451</v>
      </c>
      <c r="P43" s="142" t="s">
        <v>452</v>
      </c>
      <c r="Q43" s="142" t="s">
        <v>453</v>
      </c>
      <c r="R43" s="135" t="s">
        <v>228</v>
      </c>
      <c r="S43" s="139"/>
    </row>
    <row r="44" spans="2:19">
      <c r="B44" s="140" t="s">
        <v>454</v>
      </c>
      <c r="C44" s="141" t="s">
        <v>455</v>
      </c>
      <c r="D44" s="141" t="s">
        <v>231</v>
      </c>
      <c r="E44" s="141"/>
      <c r="F44" s="143"/>
      <c r="G44" s="143"/>
      <c r="H44" s="143"/>
      <c r="I44" s="143"/>
      <c r="J44" s="143"/>
      <c r="K44" s="143"/>
      <c r="L44" s="142" t="s">
        <v>454</v>
      </c>
      <c r="M44" s="142" t="s">
        <v>456</v>
      </c>
      <c r="N44" s="142" t="s">
        <v>457</v>
      </c>
      <c r="O44" s="142" t="s">
        <v>458</v>
      </c>
      <c r="P44" s="142" t="s">
        <v>459</v>
      </c>
      <c r="Q44" s="142" t="s">
        <v>460</v>
      </c>
      <c r="R44" s="135" t="s">
        <v>461</v>
      </c>
      <c r="S44" s="139" t="s">
        <v>462</v>
      </c>
    </row>
    <row r="45" spans="2:19">
      <c r="B45" s="140" t="s">
        <v>463</v>
      </c>
      <c r="C45" s="141" t="s">
        <v>464</v>
      </c>
      <c r="D45" s="141" t="s">
        <v>465</v>
      </c>
      <c r="E45" s="141"/>
      <c r="F45" s="154" t="s">
        <v>466</v>
      </c>
      <c r="G45" s="154"/>
      <c r="H45" s="154"/>
      <c r="I45" s="154"/>
      <c r="J45" s="142" t="s">
        <v>467</v>
      </c>
      <c r="K45" s="142" t="s">
        <v>468</v>
      </c>
      <c r="L45" s="154" t="s">
        <v>469</v>
      </c>
      <c r="M45" s="154"/>
      <c r="N45" s="172" t="s">
        <v>470</v>
      </c>
      <c r="O45" s="172"/>
      <c r="P45" s="154" t="s">
        <v>471</v>
      </c>
      <c r="Q45" s="154"/>
      <c r="R45" s="135" t="s">
        <v>228</v>
      </c>
      <c r="S45" s="139"/>
    </row>
    <row r="46" spans="2:19">
      <c r="B46" s="140" t="s">
        <v>472</v>
      </c>
      <c r="C46" s="141" t="s">
        <v>473</v>
      </c>
      <c r="D46" s="141" t="s">
        <v>231</v>
      </c>
      <c r="E46" s="141"/>
      <c r="F46" s="154" t="s">
        <v>474</v>
      </c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35" t="s">
        <v>228</v>
      </c>
      <c r="S46" s="139"/>
    </row>
    <row r="47" spans="2:19">
      <c r="B47" s="140" t="s">
        <v>475</v>
      </c>
      <c r="C47" s="141" t="s">
        <v>476</v>
      </c>
      <c r="D47" s="141" t="s">
        <v>477</v>
      </c>
      <c r="E47" s="141"/>
      <c r="F47" s="142" t="s">
        <v>478</v>
      </c>
      <c r="G47" s="143"/>
      <c r="H47" s="143"/>
      <c r="I47" s="143"/>
      <c r="J47" s="143"/>
      <c r="K47" s="143"/>
      <c r="L47" s="153" t="s">
        <v>479</v>
      </c>
      <c r="M47" s="153"/>
      <c r="N47" s="154" t="s">
        <v>480</v>
      </c>
      <c r="O47" s="154"/>
      <c r="P47" s="154"/>
      <c r="Q47" s="154"/>
      <c r="R47" s="135" t="s">
        <v>481</v>
      </c>
      <c r="S47" s="139" t="s">
        <v>482</v>
      </c>
    </row>
    <row r="48" spans="2:19">
      <c r="B48" s="140" t="s">
        <v>483</v>
      </c>
      <c r="C48" s="141" t="s">
        <v>484</v>
      </c>
      <c r="D48" s="141" t="s">
        <v>231</v>
      </c>
      <c r="E48" s="173"/>
      <c r="F48" s="150" t="s">
        <v>485</v>
      </c>
      <c r="G48" s="152"/>
      <c r="H48" s="152"/>
      <c r="I48" s="152"/>
      <c r="J48" s="152"/>
      <c r="K48" s="153" t="s">
        <v>486</v>
      </c>
      <c r="L48" s="153"/>
      <c r="M48" s="153"/>
      <c r="N48" s="152"/>
      <c r="O48" s="153" t="s">
        <v>487</v>
      </c>
      <c r="P48" s="153"/>
      <c r="Q48" s="153"/>
      <c r="R48" s="135" t="s">
        <v>228</v>
      </c>
      <c r="S48" s="139"/>
    </row>
    <row r="49" spans="2:19">
      <c r="B49" s="140" t="s">
        <v>488</v>
      </c>
      <c r="C49" s="141" t="s">
        <v>489</v>
      </c>
      <c r="D49" s="141" t="s">
        <v>490</v>
      </c>
      <c r="E49" s="174"/>
      <c r="F49" s="175"/>
      <c r="G49" s="175"/>
      <c r="H49" s="175"/>
      <c r="I49" s="175"/>
      <c r="J49" s="176"/>
      <c r="K49" s="175"/>
      <c r="L49" s="176"/>
      <c r="M49" s="150" t="s">
        <v>491</v>
      </c>
      <c r="N49" s="152"/>
      <c r="O49" s="150" t="s">
        <v>492</v>
      </c>
      <c r="P49" s="150" t="s">
        <v>493</v>
      </c>
      <c r="Q49" s="150" t="s">
        <v>494</v>
      </c>
      <c r="R49" s="135" t="s">
        <v>228</v>
      </c>
      <c r="S49" s="139"/>
    </row>
    <row r="50" spans="2:19">
      <c r="B50" s="140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S50" s="139"/>
    </row>
    <row r="51" spans="2:19">
      <c r="B51" s="177" t="s">
        <v>495</v>
      </c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S51" s="139"/>
    </row>
    <row r="52" spans="2:19">
      <c r="B52" s="140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S52" s="139"/>
    </row>
    <row r="53" spans="2:19">
      <c r="B53" s="140" t="s">
        <v>496</v>
      </c>
      <c r="C53" s="179" t="s">
        <v>497</v>
      </c>
      <c r="D53" s="141" t="s">
        <v>231</v>
      </c>
      <c r="E53" s="141"/>
      <c r="F53" s="142" t="s">
        <v>498</v>
      </c>
      <c r="G53" s="153" t="s">
        <v>499</v>
      </c>
      <c r="H53" s="153"/>
      <c r="I53" s="153"/>
      <c r="J53" s="180" t="s">
        <v>500</v>
      </c>
      <c r="K53" s="158"/>
      <c r="L53" s="157"/>
      <c r="M53" s="142" t="s">
        <v>501</v>
      </c>
      <c r="N53" s="142" t="s">
        <v>502</v>
      </c>
      <c r="O53" s="142" t="s">
        <v>503</v>
      </c>
      <c r="P53" s="142" t="s">
        <v>504</v>
      </c>
      <c r="Q53" s="142" t="s">
        <v>505</v>
      </c>
      <c r="R53" s="135" t="s">
        <v>506</v>
      </c>
      <c r="S53" s="139" t="s">
        <v>507</v>
      </c>
    </row>
    <row r="54" spans="2:19">
      <c r="B54" s="140" t="s">
        <v>508</v>
      </c>
      <c r="C54" s="179" t="s">
        <v>509</v>
      </c>
      <c r="D54" s="141" t="s">
        <v>231</v>
      </c>
      <c r="E54" s="141"/>
      <c r="F54" s="141"/>
      <c r="G54" s="143"/>
      <c r="H54" s="143"/>
      <c r="I54" s="143"/>
      <c r="J54" s="143"/>
      <c r="K54" s="143"/>
      <c r="L54" s="143"/>
      <c r="M54" s="143"/>
      <c r="N54" s="154" t="s">
        <v>510</v>
      </c>
      <c r="O54" s="154"/>
      <c r="P54" s="154"/>
      <c r="Q54" s="154"/>
      <c r="R54" s="135" t="s">
        <v>228</v>
      </c>
      <c r="S54" s="139"/>
    </row>
    <row r="55" spans="2:19">
      <c r="B55" s="140" t="s">
        <v>511</v>
      </c>
      <c r="C55" s="179" t="s">
        <v>512</v>
      </c>
      <c r="D55" s="141" t="s">
        <v>513</v>
      </c>
      <c r="E55" s="141"/>
      <c r="F55" s="154" t="s">
        <v>514</v>
      </c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35" t="s">
        <v>228</v>
      </c>
      <c r="S55" s="139"/>
    </row>
    <row r="56" spans="2:19">
      <c r="B56" s="140" t="s">
        <v>515</v>
      </c>
      <c r="C56" s="179" t="s">
        <v>516</v>
      </c>
      <c r="D56" s="141" t="s">
        <v>517</v>
      </c>
      <c r="E56" s="141"/>
      <c r="F56" s="143"/>
      <c r="G56" s="143"/>
      <c r="H56" s="143"/>
      <c r="I56" s="143"/>
      <c r="J56" s="143"/>
      <c r="K56" s="143"/>
      <c r="L56" s="154" t="s">
        <v>518</v>
      </c>
      <c r="M56" s="154"/>
      <c r="N56" s="154" t="s">
        <v>519</v>
      </c>
      <c r="O56" s="154"/>
      <c r="P56" s="154"/>
      <c r="Q56" s="154"/>
      <c r="R56" s="135" t="s">
        <v>228</v>
      </c>
      <c r="S56" s="139"/>
    </row>
    <row r="57" spans="2:19">
      <c r="B57" s="140" t="s">
        <v>520</v>
      </c>
      <c r="C57" s="179" t="s">
        <v>521</v>
      </c>
      <c r="D57" s="141" t="s">
        <v>231</v>
      </c>
      <c r="E57" s="141"/>
      <c r="F57" s="181" t="s">
        <v>522</v>
      </c>
      <c r="G57" s="143"/>
      <c r="H57" s="143"/>
      <c r="I57" s="143"/>
      <c r="J57" s="143"/>
      <c r="K57" s="143"/>
      <c r="L57" s="143"/>
      <c r="M57" s="143"/>
      <c r="N57" s="143"/>
      <c r="O57" s="143"/>
      <c r="P57" s="142" t="s">
        <v>523</v>
      </c>
      <c r="Q57" s="142" t="s">
        <v>524</v>
      </c>
      <c r="R57" s="135" t="s">
        <v>228</v>
      </c>
      <c r="S57" s="139"/>
    </row>
    <row r="58" spans="2:19">
      <c r="B58" s="140" t="s">
        <v>525</v>
      </c>
      <c r="C58" s="179" t="s">
        <v>526</v>
      </c>
      <c r="D58" s="141" t="s">
        <v>527</v>
      </c>
      <c r="E58" s="141"/>
      <c r="F58" s="154" t="s">
        <v>528</v>
      </c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35" t="s">
        <v>228</v>
      </c>
      <c r="S58" s="139"/>
    </row>
    <row r="59" spans="2:19"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S59" s="139"/>
    </row>
    <row r="60" spans="2:19"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S60" s="139"/>
    </row>
    <row r="61" spans="2:19">
      <c r="B61" s="177" t="s">
        <v>529</v>
      </c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S61" s="139"/>
    </row>
    <row r="62" spans="2:19"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S62" s="139"/>
    </row>
    <row r="63" spans="2:19">
      <c r="B63" s="140"/>
      <c r="C63" s="141" t="s">
        <v>221</v>
      </c>
      <c r="D63" s="141" t="s">
        <v>231</v>
      </c>
      <c r="E63" s="141"/>
      <c r="F63" s="152"/>
      <c r="G63" s="152"/>
      <c r="H63" s="152"/>
      <c r="I63" s="152"/>
      <c r="J63" s="182" t="s">
        <v>530</v>
      </c>
      <c r="K63" s="182"/>
      <c r="L63" s="182"/>
      <c r="M63" s="182"/>
      <c r="N63" s="182"/>
      <c r="O63" s="182"/>
      <c r="P63" s="182"/>
      <c r="Q63" s="182"/>
      <c r="S63" s="139"/>
    </row>
    <row r="64" spans="2:19">
      <c r="B64" s="140"/>
      <c r="C64" s="141" t="s">
        <v>230</v>
      </c>
      <c r="D64" s="141" t="s">
        <v>531</v>
      </c>
      <c r="E64" s="141"/>
      <c r="F64" s="183"/>
      <c r="G64" s="183"/>
      <c r="H64" s="182" t="s">
        <v>532</v>
      </c>
      <c r="I64" s="184"/>
      <c r="J64" s="184"/>
      <c r="K64" s="184"/>
      <c r="L64" s="184"/>
      <c r="M64" s="182" t="s">
        <v>533</v>
      </c>
      <c r="N64" s="184"/>
      <c r="O64" s="184"/>
      <c r="P64" s="184"/>
      <c r="Q64" s="184"/>
      <c r="S64" s="139"/>
    </row>
    <row r="65" spans="2:19">
      <c r="B65" s="140"/>
      <c r="C65" s="141" t="s">
        <v>241</v>
      </c>
      <c r="D65" s="141" t="s">
        <v>534</v>
      </c>
      <c r="E65" s="141"/>
      <c r="F65" s="185" t="s">
        <v>535</v>
      </c>
      <c r="G65" s="186"/>
      <c r="H65" s="186"/>
      <c r="I65" s="186"/>
      <c r="J65" s="187"/>
      <c r="K65" s="152"/>
      <c r="L65" s="152"/>
      <c r="M65" s="185" t="s">
        <v>536</v>
      </c>
      <c r="N65" s="186"/>
      <c r="O65" s="186"/>
      <c r="P65" s="186"/>
      <c r="Q65" s="187"/>
      <c r="S65" s="139"/>
    </row>
    <row r="66" spans="2:19">
      <c r="B66" s="140"/>
      <c r="C66" s="141" t="s">
        <v>246</v>
      </c>
      <c r="D66" s="141" t="s">
        <v>412</v>
      </c>
      <c r="E66" s="141"/>
      <c r="F66" s="152"/>
      <c r="G66" s="152"/>
      <c r="H66" s="152"/>
      <c r="I66" s="152"/>
      <c r="J66" s="182" t="s">
        <v>537</v>
      </c>
      <c r="K66" s="182"/>
      <c r="L66" s="182"/>
      <c r="M66" s="182"/>
      <c r="N66" s="182" t="s">
        <v>538</v>
      </c>
      <c r="O66" s="182"/>
      <c r="P66" s="182"/>
      <c r="Q66" s="182"/>
      <c r="S66" s="139"/>
    </row>
    <row r="67" spans="2:19">
      <c r="B67" s="140"/>
      <c r="C67" s="141" t="s">
        <v>252</v>
      </c>
      <c r="D67" s="141" t="s">
        <v>231</v>
      </c>
      <c r="E67" s="141"/>
      <c r="F67" s="152"/>
      <c r="G67" s="152"/>
      <c r="H67" s="152"/>
      <c r="I67" s="185" t="s">
        <v>539</v>
      </c>
      <c r="J67" s="186"/>
      <c r="K67" s="186"/>
      <c r="L67" s="186"/>
      <c r="M67" s="186"/>
      <c r="N67" s="186"/>
      <c r="O67" s="186"/>
      <c r="P67" s="186"/>
      <c r="Q67" s="187"/>
      <c r="S67" s="139"/>
    </row>
    <row r="68" spans="2:19">
      <c r="B68" s="140"/>
      <c r="C68" s="141" t="s">
        <v>257</v>
      </c>
      <c r="D68" s="141" t="s">
        <v>231</v>
      </c>
      <c r="E68" s="141"/>
      <c r="F68" s="152"/>
      <c r="G68" s="152"/>
      <c r="H68" s="152"/>
      <c r="I68" s="185" t="s">
        <v>540</v>
      </c>
      <c r="J68" s="186"/>
      <c r="K68" s="186"/>
      <c r="L68" s="186"/>
      <c r="M68" s="186"/>
      <c r="N68" s="186"/>
      <c r="O68" s="186"/>
      <c r="P68" s="186"/>
      <c r="Q68" s="187"/>
      <c r="S68" s="139"/>
    </row>
    <row r="69" spans="2:19">
      <c r="B69" s="140"/>
      <c r="C69" s="141" t="s">
        <v>273</v>
      </c>
      <c r="D69" s="141" t="s">
        <v>231</v>
      </c>
      <c r="E69" s="141"/>
      <c r="F69" s="152"/>
      <c r="G69" s="152"/>
      <c r="H69" s="152"/>
      <c r="I69" s="185" t="s">
        <v>541</v>
      </c>
      <c r="J69" s="186"/>
      <c r="K69" s="186"/>
      <c r="L69" s="186"/>
      <c r="M69" s="186"/>
      <c r="N69" s="186"/>
      <c r="O69" s="186"/>
      <c r="P69" s="186"/>
      <c r="Q69" s="187"/>
      <c r="S69" s="139"/>
    </row>
    <row r="70" spans="2:19">
      <c r="B70" s="140"/>
      <c r="C70" s="141" t="s">
        <v>542</v>
      </c>
      <c r="D70" s="141" t="s">
        <v>231</v>
      </c>
      <c r="E70" s="141"/>
      <c r="F70" s="152"/>
      <c r="G70" s="152"/>
      <c r="H70" s="152"/>
      <c r="I70" s="185" t="s">
        <v>543</v>
      </c>
      <c r="J70" s="186"/>
      <c r="K70" s="186"/>
      <c r="L70" s="186"/>
      <c r="M70" s="186"/>
      <c r="N70" s="186"/>
      <c r="O70" s="186"/>
      <c r="P70" s="186"/>
      <c r="Q70" s="187"/>
      <c r="S70" s="139"/>
    </row>
    <row r="71" spans="2:19">
      <c r="B71" s="140"/>
      <c r="C71" s="141" t="s">
        <v>544</v>
      </c>
      <c r="D71" s="141" t="s">
        <v>231</v>
      </c>
      <c r="E71" s="141"/>
      <c r="F71" s="152"/>
      <c r="G71" s="152"/>
      <c r="H71" s="152"/>
      <c r="I71" s="185" t="s">
        <v>545</v>
      </c>
      <c r="J71" s="186"/>
      <c r="K71" s="186"/>
      <c r="L71" s="186"/>
      <c r="M71" s="186"/>
      <c r="N71" s="186"/>
      <c r="O71" s="186"/>
      <c r="P71" s="186"/>
      <c r="Q71" s="187"/>
      <c r="S71" s="139"/>
    </row>
    <row r="72" spans="2:19">
      <c r="B72" s="140"/>
      <c r="C72" s="141" t="s">
        <v>304</v>
      </c>
      <c r="D72" s="141" t="s">
        <v>231</v>
      </c>
      <c r="E72" s="141"/>
      <c r="F72" s="152"/>
      <c r="G72" s="152"/>
      <c r="H72" s="152"/>
      <c r="I72" s="185" t="s">
        <v>546</v>
      </c>
      <c r="J72" s="186"/>
      <c r="K72" s="186"/>
      <c r="L72" s="186"/>
      <c r="M72" s="186"/>
      <c r="N72" s="186"/>
      <c r="O72" s="186"/>
      <c r="P72" s="186"/>
      <c r="Q72" s="187"/>
      <c r="S72" s="139"/>
    </row>
    <row r="73" spans="2:19">
      <c r="B73" s="140"/>
      <c r="C73" s="141" t="s">
        <v>318</v>
      </c>
      <c r="D73" s="141" t="s">
        <v>231</v>
      </c>
      <c r="E73" s="141"/>
      <c r="F73" s="152"/>
      <c r="G73" s="152"/>
      <c r="H73" s="152"/>
      <c r="I73" s="185" t="s">
        <v>547</v>
      </c>
      <c r="J73" s="186"/>
      <c r="K73" s="186"/>
      <c r="L73" s="186"/>
      <c r="M73" s="186"/>
      <c r="N73" s="186"/>
      <c r="O73" s="186"/>
      <c r="P73" s="186"/>
      <c r="Q73" s="187"/>
      <c r="S73" s="139"/>
    </row>
    <row r="74" spans="2:19">
      <c r="B74" s="140"/>
      <c r="C74" s="141" t="s">
        <v>323</v>
      </c>
      <c r="D74" s="141" t="s">
        <v>231</v>
      </c>
      <c r="E74" s="141"/>
      <c r="F74" s="152"/>
      <c r="G74" s="152"/>
      <c r="H74" s="152"/>
      <c r="I74" s="185" t="s">
        <v>548</v>
      </c>
      <c r="J74" s="186"/>
      <c r="K74" s="186"/>
      <c r="L74" s="186"/>
      <c r="M74" s="186"/>
      <c r="N74" s="186"/>
      <c r="O74" s="186"/>
      <c r="P74" s="186"/>
      <c r="Q74" s="187"/>
      <c r="S74" s="139"/>
    </row>
    <row r="75" spans="2:19">
      <c r="B75" s="140"/>
      <c r="C75" s="141" t="s">
        <v>327</v>
      </c>
      <c r="D75" s="141" t="s">
        <v>231</v>
      </c>
      <c r="E75" s="141"/>
      <c r="F75" s="152"/>
      <c r="G75" s="152"/>
      <c r="H75" s="152"/>
      <c r="I75" s="185" t="s">
        <v>549</v>
      </c>
      <c r="J75" s="186"/>
      <c r="K75" s="186"/>
      <c r="L75" s="186"/>
      <c r="M75" s="186"/>
      <c r="N75" s="186"/>
      <c r="O75" s="186"/>
      <c r="P75" s="186"/>
      <c r="Q75" s="187"/>
      <c r="S75" s="139"/>
    </row>
    <row r="76" spans="2:19">
      <c r="B76" s="140"/>
      <c r="C76" s="141" t="s">
        <v>331</v>
      </c>
      <c r="D76" s="141" t="s">
        <v>231</v>
      </c>
      <c r="E76" s="141"/>
      <c r="F76" s="152"/>
      <c r="G76" s="152"/>
      <c r="H76" s="152"/>
      <c r="I76" s="185" t="s">
        <v>550</v>
      </c>
      <c r="J76" s="186"/>
      <c r="K76" s="186"/>
      <c r="L76" s="186"/>
      <c r="M76" s="186"/>
      <c r="N76" s="186"/>
      <c r="O76" s="186"/>
      <c r="P76" s="186"/>
      <c r="Q76" s="187"/>
      <c r="S76" s="139"/>
    </row>
    <row r="77" spans="2:19">
      <c r="B77" s="140"/>
      <c r="C77" s="141" t="s">
        <v>335</v>
      </c>
      <c r="D77" s="141" t="s">
        <v>231</v>
      </c>
      <c r="E77" s="140"/>
      <c r="F77" s="152"/>
      <c r="G77" s="152"/>
      <c r="H77" s="152"/>
      <c r="I77" s="185" t="s">
        <v>551</v>
      </c>
      <c r="J77" s="186"/>
      <c r="K77" s="186"/>
      <c r="L77" s="186"/>
      <c r="M77" s="186"/>
      <c r="N77" s="186"/>
      <c r="O77" s="186"/>
      <c r="P77" s="186"/>
      <c r="Q77" s="187"/>
      <c r="S77" s="139"/>
    </row>
    <row r="78" spans="2:19">
      <c r="B78" s="140"/>
      <c r="C78" s="141" t="s">
        <v>338</v>
      </c>
      <c r="D78" s="141" t="s">
        <v>231</v>
      </c>
      <c r="E78" s="141"/>
      <c r="F78" s="152"/>
      <c r="G78" s="152"/>
      <c r="H78" s="152"/>
      <c r="I78" s="185" t="s">
        <v>552</v>
      </c>
      <c r="J78" s="186"/>
      <c r="K78" s="186"/>
      <c r="L78" s="186"/>
      <c r="M78" s="186"/>
      <c r="N78" s="186"/>
      <c r="O78" s="186"/>
      <c r="P78" s="186"/>
      <c r="Q78" s="187"/>
      <c r="S78" s="139"/>
    </row>
    <row r="79" spans="2:19">
      <c r="B79" s="140"/>
      <c r="C79" s="141" t="s">
        <v>340</v>
      </c>
      <c r="D79" s="141" t="s">
        <v>553</v>
      </c>
      <c r="E79" s="141"/>
      <c r="F79" s="152"/>
      <c r="G79" s="152"/>
      <c r="H79" s="152"/>
      <c r="I79" s="152"/>
      <c r="J79" s="152"/>
      <c r="K79" s="185" t="s">
        <v>554</v>
      </c>
      <c r="L79" s="186"/>
      <c r="M79" s="186"/>
      <c r="N79" s="186"/>
      <c r="O79" s="186"/>
      <c r="P79" s="186"/>
      <c r="Q79" s="187"/>
      <c r="S79" s="139"/>
    </row>
    <row r="80" spans="2:19">
      <c r="B80" s="140"/>
      <c r="C80" s="141" t="s">
        <v>346</v>
      </c>
      <c r="D80" s="141" t="s">
        <v>553</v>
      </c>
      <c r="E80" s="141"/>
      <c r="F80" s="152"/>
      <c r="G80" s="152"/>
      <c r="H80" s="152"/>
      <c r="I80" s="152"/>
      <c r="J80" s="152"/>
      <c r="K80" s="185" t="s">
        <v>555</v>
      </c>
      <c r="L80" s="186"/>
      <c r="M80" s="186"/>
      <c r="N80" s="186"/>
      <c r="O80" s="186"/>
      <c r="P80" s="186"/>
      <c r="Q80" s="187"/>
      <c r="S80" s="139"/>
    </row>
    <row r="81" spans="2:19">
      <c r="B81" s="140"/>
      <c r="C81" s="141" t="s">
        <v>351</v>
      </c>
      <c r="D81" s="141" t="s">
        <v>556</v>
      </c>
      <c r="E81" s="141"/>
      <c r="F81" s="152"/>
      <c r="G81" s="152"/>
      <c r="H81" s="152"/>
      <c r="I81" s="152"/>
      <c r="J81" s="152"/>
      <c r="K81" s="185" t="s">
        <v>557</v>
      </c>
      <c r="L81" s="186"/>
      <c r="M81" s="186"/>
      <c r="N81" s="186"/>
      <c r="O81" s="186"/>
      <c r="P81" s="186"/>
      <c r="Q81" s="187"/>
      <c r="S81" s="139"/>
    </row>
    <row r="82" spans="2:19">
      <c r="B82" s="140"/>
      <c r="C82" s="141" t="s">
        <v>356</v>
      </c>
      <c r="D82" s="141" t="s">
        <v>556</v>
      </c>
      <c r="E82" s="141"/>
      <c r="F82" s="152"/>
      <c r="G82" s="152"/>
      <c r="H82" s="152"/>
      <c r="I82" s="152"/>
      <c r="J82" s="152"/>
      <c r="K82" s="185" t="s">
        <v>558</v>
      </c>
      <c r="L82" s="186"/>
      <c r="M82" s="186"/>
      <c r="N82" s="186"/>
      <c r="O82" s="186"/>
      <c r="P82" s="186"/>
      <c r="Q82" s="187"/>
      <c r="S82" s="139"/>
    </row>
    <row r="83" spans="2:19">
      <c r="B83" s="140"/>
      <c r="C83" s="141" t="s">
        <v>361</v>
      </c>
      <c r="D83" s="141" t="s">
        <v>556</v>
      </c>
      <c r="E83" s="141"/>
      <c r="F83" s="152"/>
      <c r="G83" s="152"/>
      <c r="H83" s="152"/>
      <c r="I83" s="152"/>
      <c r="J83" s="152"/>
      <c r="K83" s="185" t="s">
        <v>559</v>
      </c>
      <c r="L83" s="186"/>
      <c r="M83" s="186"/>
      <c r="N83" s="186"/>
      <c r="O83" s="186"/>
      <c r="P83" s="186"/>
      <c r="Q83" s="187"/>
      <c r="S83" s="139"/>
    </row>
    <row r="84" spans="2:19">
      <c r="B84" s="140"/>
      <c r="C84" s="141" t="s">
        <v>366</v>
      </c>
      <c r="D84" s="141" t="s">
        <v>556</v>
      </c>
      <c r="E84" s="141"/>
      <c r="F84" s="152"/>
      <c r="G84" s="152"/>
      <c r="H84" s="152"/>
      <c r="I84" s="152"/>
      <c r="J84" s="152"/>
      <c r="K84" s="185" t="s">
        <v>560</v>
      </c>
      <c r="L84" s="186"/>
      <c r="M84" s="186"/>
      <c r="N84" s="186"/>
      <c r="O84" s="186"/>
      <c r="P84" s="186"/>
      <c r="Q84" s="187"/>
      <c r="S84" s="139"/>
    </row>
    <row r="85" spans="2:19">
      <c r="B85" s="140"/>
      <c r="C85" s="141" t="s">
        <v>561</v>
      </c>
      <c r="D85" s="141" t="s">
        <v>556</v>
      </c>
      <c r="E85" s="141"/>
      <c r="F85" s="152"/>
      <c r="G85" s="152"/>
      <c r="H85" s="152"/>
      <c r="I85" s="152"/>
      <c r="J85" s="152"/>
      <c r="K85" s="185" t="s">
        <v>562</v>
      </c>
      <c r="L85" s="186"/>
      <c r="M85" s="186"/>
      <c r="N85" s="186"/>
      <c r="O85" s="186"/>
      <c r="P85" s="186"/>
      <c r="Q85" s="187"/>
      <c r="S85" s="139"/>
    </row>
    <row r="86" spans="2:19">
      <c r="B86" s="140"/>
      <c r="C86" s="141" t="s">
        <v>563</v>
      </c>
      <c r="D86" s="141" t="s">
        <v>556</v>
      </c>
      <c r="E86" s="141"/>
      <c r="F86" s="152"/>
      <c r="G86" s="152"/>
      <c r="H86" s="152"/>
      <c r="I86" s="152"/>
      <c r="J86" s="152"/>
      <c r="K86" s="185" t="s">
        <v>564</v>
      </c>
      <c r="L86" s="186"/>
      <c r="M86" s="186"/>
      <c r="N86" s="186"/>
      <c r="O86" s="186"/>
      <c r="P86" s="186"/>
      <c r="Q86" s="187"/>
      <c r="S86" s="139"/>
    </row>
    <row r="87" spans="2:19">
      <c r="B87" s="140"/>
      <c r="C87" s="141" t="s">
        <v>565</v>
      </c>
      <c r="D87" s="141" t="s">
        <v>556</v>
      </c>
      <c r="E87" s="141"/>
      <c r="F87" s="152"/>
      <c r="G87" s="152"/>
      <c r="H87" s="152"/>
      <c r="I87" s="152"/>
      <c r="J87" s="152"/>
      <c r="K87" s="185" t="s">
        <v>566</v>
      </c>
      <c r="L87" s="186"/>
      <c r="M87" s="186"/>
      <c r="N87" s="186"/>
      <c r="O87" s="186"/>
      <c r="P87" s="186"/>
      <c r="Q87" s="187"/>
      <c r="S87" s="139"/>
    </row>
    <row r="88" spans="2:19">
      <c r="B88" s="140"/>
      <c r="C88" s="141" t="s">
        <v>567</v>
      </c>
      <c r="D88" s="141" t="s">
        <v>556</v>
      </c>
      <c r="E88" s="141"/>
      <c r="F88" s="152"/>
      <c r="G88" s="152"/>
      <c r="H88" s="152"/>
      <c r="I88" s="152"/>
      <c r="J88" s="152"/>
      <c r="K88" s="185" t="s">
        <v>568</v>
      </c>
      <c r="L88" s="186"/>
      <c r="M88" s="186"/>
      <c r="N88" s="186"/>
      <c r="O88" s="186"/>
      <c r="P88" s="186"/>
      <c r="Q88" s="187"/>
      <c r="S88" s="139"/>
    </row>
    <row r="89" spans="2:19">
      <c r="B89" s="140"/>
      <c r="C89" s="141" t="s">
        <v>397</v>
      </c>
      <c r="D89" s="141" t="s">
        <v>556</v>
      </c>
      <c r="E89" s="141"/>
      <c r="F89" s="152"/>
      <c r="G89" s="152"/>
      <c r="H89" s="152"/>
      <c r="I89" s="152"/>
      <c r="J89" s="152"/>
      <c r="K89" s="185" t="s">
        <v>569</v>
      </c>
      <c r="L89" s="186"/>
      <c r="M89" s="186"/>
      <c r="N89" s="186"/>
      <c r="O89" s="186"/>
      <c r="P89" s="186"/>
      <c r="Q89" s="187"/>
      <c r="S89" s="139"/>
    </row>
    <row r="90" spans="2:19">
      <c r="B90" s="140"/>
      <c r="C90" s="141" t="s">
        <v>401</v>
      </c>
      <c r="D90" s="141" t="s">
        <v>556</v>
      </c>
      <c r="E90" s="141"/>
      <c r="F90" s="152"/>
      <c r="G90" s="152"/>
      <c r="H90" s="152"/>
      <c r="I90" s="152"/>
      <c r="J90" s="152"/>
      <c r="K90" s="185" t="s">
        <v>570</v>
      </c>
      <c r="L90" s="186"/>
      <c r="M90" s="186"/>
      <c r="N90" s="186"/>
      <c r="O90" s="186"/>
      <c r="P90" s="186"/>
      <c r="Q90" s="187"/>
      <c r="S90" s="139"/>
    </row>
    <row r="91" spans="2:19">
      <c r="B91" s="140"/>
      <c r="C91" s="141" t="s">
        <v>406</v>
      </c>
      <c r="D91" s="141" t="s">
        <v>231</v>
      </c>
      <c r="E91" s="141"/>
      <c r="F91" s="182" t="s">
        <v>571</v>
      </c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S91" s="139"/>
    </row>
    <row r="92" spans="2:19">
      <c r="B92" s="140"/>
      <c r="C92" s="141" t="s">
        <v>411</v>
      </c>
      <c r="D92" s="141" t="s">
        <v>231</v>
      </c>
      <c r="E92" s="141"/>
      <c r="F92" s="182" t="s">
        <v>572</v>
      </c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S92" s="139"/>
    </row>
  </sheetData>
  <mergeCells count="114">
    <mergeCell ref="F91:Q91"/>
    <mergeCell ref="F92:Q92"/>
    <mergeCell ref="K85:Q85"/>
    <mergeCell ref="K86:Q86"/>
    <mergeCell ref="K87:Q87"/>
    <mergeCell ref="K88:Q88"/>
    <mergeCell ref="K89:Q89"/>
    <mergeCell ref="K90:Q90"/>
    <mergeCell ref="K79:Q79"/>
    <mergeCell ref="K80:Q80"/>
    <mergeCell ref="K81:Q81"/>
    <mergeCell ref="K82:Q82"/>
    <mergeCell ref="K83:Q83"/>
    <mergeCell ref="K84:Q84"/>
    <mergeCell ref="I73:Q73"/>
    <mergeCell ref="I74:Q74"/>
    <mergeCell ref="I75:Q75"/>
    <mergeCell ref="I76:Q76"/>
    <mergeCell ref="I77:Q77"/>
    <mergeCell ref="I78:Q78"/>
    <mergeCell ref="I67:Q67"/>
    <mergeCell ref="I68:Q68"/>
    <mergeCell ref="I69:Q69"/>
    <mergeCell ref="I70:Q70"/>
    <mergeCell ref="I71:Q71"/>
    <mergeCell ref="I72:Q72"/>
    <mergeCell ref="H64:L64"/>
    <mergeCell ref="M64:Q64"/>
    <mergeCell ref="F65:J65"/>
    <mergeCell ref="M65:Q65"/>
    <mergeCell ref="J66:M66"/>
    <mergeCell ref="N66:Q66"/>
    <mergeCell ref="N54:Q54"/>
    <mergeCell ref="F55:Q55"/>
    <mergeCell ref="L56:M56"/>
    <mergeCell ref="N56:Q56"/>
    <mergeCell ref="F58:Q58"/>
    <mergeCell ref="J63:Q63"/>
    <mergeCell ref="F46:Q46"/>
    <mergeCell ref="L47:M47"/>
    <mergeCell ref="N47:Q47"/>
    <mergeCell ref="K48:M48"/>
    <mergeCell ref="O48:Q48"/>
    <mergeCell ref="G53:I53"/>
    <mergeCell ref="J53:L53"/>
    <mergeCell ref="G40:H40"/>
    <mergeCell ref="J40:Q40"/>
    <mergeCell ref="F42:Q42"/>
    <mergeCell ref="F43:K43"/>
    <mergeCell ref="F45:I45"/>
    <mergeCell ref="L45:M45"/>
    <mergeCell ref="N45:O45"/>
    <mergeCell ref="P45:Q45"/>
    <mergeCell ref="I34:Q34"/>
    <mergeCell ref="H35:Q35"/>
    <mergeCell ref="H36:Q36"/>
    <mergeCell ref="H37:Q37"/>
    <mergeCell ref="G38:Q38"/>
    <mergeCell ref="F39:Q39"/>
    <mergeCell ref="F30:I30"/>
    <mergeCell ref="J30:M30"/>
    <mergeCell ref="N30:Q30"/>
    <mergeCell ref="J31:M31"/>
    <mergeCell ref="N31:Q31"/>
    <mergeCell ref="F33:K33"/>
    <mergeCell ref="L33:Q33"/>
    <mergeCell ref="F28:H28"/>
    <mergeCell ref="I28:K28"/>
    <mergeCell ref="L28:N28"/>
    <mergeCell ref="O28:Q28"/>
    <mergeCell ref="L29:N29"/>
    <mergeCell ref="O29:Q29"/>
    <mergeCell ref="H25:L25"/>
    <mergeCell ref="M25:Q25"/>
    <mergeCell ref="H26:L26"/>
    <mergeCell ref="M26:Q26"/>
    <mergeCell ref="F27:H27"/>
    <mergeCell ref="I27:K27"/>
    <mergeCell ref="L27:N27"/>
    <mergeCell ref="O27:Q27"/>
    <mergeCell ref="H22:L22"/>
    <mergeCell ref="M22:Q22"/>
    <mergeCell ref="H23:L23"/>
    <mergeCell ref="M23:Q23"/>
    <mergeCell ref="H24:L24"/>
    <mergeCell ref="M24:Q24"/>
    <mergeCell ref="F15:Q15"/>
    <mergeCell ref="F16:Q16"/>
    <mergeCell ref="F17:Q17"/>
    <mergeCell ref="F18:Q18"/>
    <mergeCell ref="F19:Q19"/>
    <mergeCell ref="H21:L21"/>
    <mergeCell ref="M21:Q21"/>
    <mergeCell ref="N11:O11"/>
    <mergeCell ref="P11:Q11"/>
    <mergeCell ref="F12:G12"/>
    <mergeCell ref="H12:I12"/>
    <mergeCell ref="J12:K12"/>
    <mergeCell ref="L12:M12"/>
    <mergeCell ref="N12:O12"/>
    <mergeCell ref="P12:Q12"/>
    <mergeCell ref="F10:G10"/>
    <mergeCell ref="H10:K10"/>
    <mergeCell ref="F11:G11"/>
    <mergeCell ref="H11:I11"/>
    <mergeCell ref="J11:K11"/>
    <mergeCell ref="L11:M11"/>
    <mergeCell ref="M4:Q4"/>
    <mergeCell ref="G5:L5"/>
    <mergeCell ref="M6:Q6"/>
    <mergeCell ref="F7:I7"/>
    <mergeCell ref="J7:Q7"/>
    <mergeCell ref="F8:M8"/>
    <mergeCell ref="N8:Q8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C504-3FEB-499A-A6D9-660B7C48D170}">
  <dimension ref="A1"/>
  <sheetViews>
    <sheetView workbookViewId="0">
      <selection activeCell="I36" sqref="I36"/>
    </sheetView>
  </sheetViews>
  <sheetFormatPr defaultRowHeight="17"/>
  <sheetData/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3073" r:id="rId3">
          <objectPr defaultSize="0" autoPict="0" r:id="rId4">
            <anchor moveWithCells="1">
              <from>
                <xdr:col>2</xdr:col>
                <xdr:colOff>336550</xdr:colOff>
                <xdr:row>3</xdr:row>
                <xdr:rowOff>25400</xdr:rowOff>
              </from>
              <to>
                <xdr:col>16</xdr:col>
                <xdr:colOff>273050</xdr:colOff>
                <xdr:row>22</xdr:row>
                <xdr:rowOff>6350</xdr:rowOff>
              </to>
            </anchor>
          </objectPr>
        </oleObject>
      </mc:Choice>
      <mc:Fallback>
        <oleObject progId="Visio.Drawing.15" shapeId="3073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BB74-E718-448A-B466-1CBF5516D7A7}">
  <dimension ref="C24:D27"/>
  <sheetViews>
    <sheetView topLeftCell="A10" workbookViewId="0">
      <selection activeCell="C39" sqref="C39"/>
    </sheetView>
  </sheetViews>
  <sheetFormatPr defaultRowHeight="17"/>
  <cols>
    <col min="3" max="3" width="15.4140625" customWidth="1"/>
    <col min="4" max="4" width="19.75" customWidth="1"/>
    <col min="5" max="5" width="15.33203125" customWidth="1"/>
  </cols>
  <sheetData>
    <row r="24" spans="3:4">
      <c r="C24" s="188" t="s">
        <v>577</v>
      </c>
      <c r="D24" s="188" t="s">
        <v>578</v>
      </c>
    </row>
    <row r="25" spans="3:4">
      <c r="C25" s="188" t="s">
        <v>579</v>
      </c>
      <c r="D25" s="188" t="s">
        <v>580</v>
      </c>
    </row>
    <row r="26" spans="3:4">
      <c r="C26" s="188" t="s">
        <v>581</v>
      </c>
      <c r="D26" s="188" t="s">
        <v>582</v>
      </c>
    </row>
    <row r="27" spans="3:4">
      <c r="C27" s="188" t="s">
        <v>583</v>
      </c>
      <c r="D27" s="188" t="s">
        <v>584</v>
      </c>
    </row>
  </sheetData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4098" r:id="rId3">
          <object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17</xdr:col>
                <xdr:colOff>209550</xdr:colOff>
                <xdr:row>19</xdr:row>
                <xdr:rowOff>190500</xdr:rowOff>
              </to>
            </anchor>
          </objectPr>
        </oleObject>
      </mc:Choice>
      <mc:Fallback>
        <oleObject progId="Visio.Drawing.15" shapeId="4098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8790-74D9-4A6F-962A-C28A733F4069}">
  <dimension ref="C3:E16"/>
  <sheetViews>
    <sheetView workbookViewId="0">
      <selection activeCell="J33" sqref="J33"/>
    </sheetView>
  </sheetViews>
  <sheetFormatPr defaultRowHeight="17"/>
  <cols>
    <col min="3" max="3" width="24.08203125" customWidth="1"/>
    <col min="5" max="5" width="12.4140625" customWidth="1"/>
  </cols>
  <sheetData>
    <row r="3" spans="3:5">
      <c r="C3" s="189" t="s">
        <v>585</v>
      </c>
      <c r="D3" s="139">
        <v>20</v>
      </c>
      <c r="E3" s="139" t="s">
        <v>586</v>
      </c>
    </row>
    <row r="4" spans="3:5">
      <c r="C4" s="189" t="s">
        <v>587</v>
      </c>
      <c r="D4" s="139">
        <v>16</v>
      </c>
      <c r="E4" s="139" t="s">
        <v>588</v>
      </c>
    </row>
    <row r="5" spans="3:5">
      <c r="C5" s="189" t="s">
        <v>589</v>
      </c>
      <c r="D5" s="139">
        <v>5.0000000000000001E-3</v>
      </c>
      <c r="E5" s="139" t="s">
        <v>590</v>
      </c>
    </row>
    <row r="6" spans="3:5">
      <c r="C6" s="189" t="s">
        <v>591</v>
      </c>
      <c r="D6" s="139">
        <v>8.3332999999999995</v>
      </c>
      <c r="E6" s="139" t="s">
        <v>590</v>
      </c>
    </row>
    <row r="7" spans="3:5">
      <c r="C7" s="189"/>
      <c r="D7" s="139"/>
      <c r="E7" s="139"/>
    </row>
    <row r="8" spans="3:5">
      <c r="C8" s="189" t="s">
        <v>592</v>
      </c>
      <c r="D8" s="139">
        <f>D6-D4*D5*2</f>
        <v>8.1732999999999993</v>
      </c>
      <c r="E8" s="139" t="s">
        <v>590</v>
      </c>
    </row>
    <row r="9" spans="3:5">
      <c r="C9" s="189" t="s">
        <v>593</v>
      </c>
      <c r="D9" s="139">
        <f>D6-D4*D5</f>
        <v>8.2532999999999994</v>
      </c>
      <c r="E9" s="139" t="s">
        <v>590</v>
      </c>
    </row>
    <row r="10" spans="3:5" ht="34">
      <c r="C10" s="190" t="s">
        <v>594</v>
      </c>
      <c r="D10" s="139">
        <f>D8/(D4*2)</f>
        <v>0.25541562499999998</v>
      </c>
      <c r="E10" s="139" t="s">
        <v>590</v>
      </c>
    </row>
    <row r="11" spans="3:5" ht="34">
      <c r="C11" s="190" t="s">
        <v>595</v>
      </c>
      <c r="D11" s="139">
        <f>D9/(D4)</f>
        <v>0.51583124999999996</v>
      </c>
      <c r="E11" s="139" t="s">
        <v>590</v>
      </c>
    </row>
    <row r="12" spans="3:5">
      <c r="C12" s="189" t="s">
        <v>596</v>
      </c>
      <c r="D12" s="139">
        <f>D10/2048*1000</f>
        <v>0.12471466064453124</v>
      </c>
      <c r="E12" s="139" t="s">
        <v>597</v>
      </c>
    </row>
    <row r="13" spans="3:5">
      <c r="C13" s="189" t="s">
        <v>598</v>
      </c>
      <c r="D13" s="139">
        <f>D11/2048*1000</f>
        <v>0.25187072753906248</v>
      </c>
      <c r="E13" s="139" t="s">
        <v>597</v>
      </c>
    </row>
    <row r="14" spans="3:5">
      <c r="C14" s="189" t="s">
        <v>599</v>
      </c>
      <c r="D14" s="139">
        <f>INT(D12*1000/D3)-1</f>
        <v>5</v>
      </c>
      <c r="E14" s="139"/>
    </row>
    <row r="15" spans="3:5">
      <c r="C15" s="189" t="s">
        <v>600</v>
      </c>
      <c r="D15" s="139">
        <f>D14</f>
        <v>5</v>
      </c>
      <c r="E15" s="139"/>
    </row>
    <row r="16" spans="3:5">
      <c r="C16" s="189" t="s">
        <v>601</v>
      </c>
      <c r="D16" s="139">
        <f>INT(D13*1000/D3)-1</f>
        <v>11</v>
      </c>
      <c r="E16" s="139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6306-17E7-4384-B0DF-AD6EB71951D7}">
  <dimension ref="A1"/>
  <sheetViews>
    <sheetView topLeftCell="A13" workbookViewId="0">
      <selection activeCell="I55" sqref="I55"/>
    </sheetView>
  </sheetViews>
  <sheetFormatPr defaultRowHeight="17"/>
  <sheetData/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7CD4-6F93-4888-87F8-80C311E32BF1}">
  <dimension ref="A1"/>
  <sheetViews>
    <sheetView workbookViewId="0">
      <selection activeCell="Q26" sqref="Q26"/>
    </sheetView>
  </sheetViews>
  <sheetFormatPr defaultRowHeight="17"/>
  <sheetData/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53DC-F305-461A-B42D-7174635AF376}">
  <dimension ref="A1"/>
  <sheetViews>
    <sheetView workbookViewId="0">
      <selection activeCell="T19" sqref="T19"/>
    </sheetView>
  </sheetViews>
  <sheetFormatPr defaultRowHeight="17"/>
  <sheetData/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D2C-5422-41B3-894D-0063C8476470}">
  <dimension ref="C3:I11"/>
  <sheetViews>
    <sheetView workbookViewId="0">
      <selection activeCell="I23" sqref="I23"/>
    </sheetView>
  </sheetViews>
  <sheetFormatPr defaultRowHeight="17"/>
  <cols>
    <col min="3" max="3" width="23.33203125" customWidth="1"/>
    <col min="4" max="4" width="26.6640625" customWidth="1"/>
    <col min="5" max="5" width="19.1640625" customWidth="1"/>
    <col min="9" max="9" width="53.83203125" customWidth="1"/>
  </cols>
  <sheetData>
    <row r="3" spans="3:9">
      <c r="C3" s="194" t="s">
        <v>602</v>
      </c>
      <c r="D3" s="194"/>
      <c r="E3" s="194" t="s">
        <v>612</v>
      </c>
      <c r="I3" s="191" t="s">
        <v>619</v>
      </c>
    </row>
    <row r="4" spans="3:9">
      <c r="C4" s="192" t="s">
        <v>603</v>
      </c>
      <c r="D4" s="191" t="s">
        <v>604</v>
      </c>
      <c r="E4" s="191" t="s">
        <v>611</v>
      </c>
      <c r="I4" s="191" t="s">
        <v>620</v>
      </c>
    </row>
    <row r="5" spans="3:9">
      <c r="C5" s="192" t="s">
        <v>605</v>
      </c>
      <c r="D5" s="191" t="s">
        <v>606</v>
      </c>
      <c r="E5" s="191" t="s">
        <v>613</v>
      </c>
      <c r="I5" s="191" t="s">
        <v>621</v>
      </c>
    </row>
    <row r="6" spans="3:9">
      <c r="C6" s="192" t="s">
        <v>607</v>
      </c>
      <c r="D6" s="191" t="s">
        <v>608</v>
      </c>
      <c r="E6" s="191" t="s">
        <v>613</v>
      </c>
      <c r="I6" s="191" t="s">
        <v>622</v>
      </c>
    </row>
    <row r="7" spans="3:9">
      <c r="C7" s="192" t="s">
        <v>609</v>
      </c>
      <c r="D7" s="191" t="s">
        <v>610</v>
      </c>
      <c r="E7" s="191" t="s">
        <v>613</v>
      </c>
    </row>
    <row r="8" spans="3:9">
      <c r="C8" s="192" t="s">
        <v>614</v>
      </c>
      <c r="D8" s="191" t="s">
        <v>615</v>
      </c>
      <c r="E8" s="191" t="s">
        <v>613</v>
      </c>
    </row>
    <row r="9" spans="3:9">
      <c r="C9" s="192" t="s">
        <v>616</v>
      </c>
      <c r="D9" s="191"/>
      <c r="E9" s="191" t="s">
        <v>613</v>
      </c>
    </row>
    <row r="10" spans="3:9">
      <c r="C10" s="192" t="s">
        <v>617</v>
      </c>
      <c r="D10" s="191"/>
      <c r="E10" s="191" t="s">
        <v>613</v>
      </c>
    </row>
    <row r="11" spans="3:9" ht="61">
      <c r="C11" s="193" t="s">
        <v>618</v>
      </c>
      <c r="D11" s="191"/>
      <c r="E11" s="191" t="s">
        <v>613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PIN_PAD</vt:lpstr>
      <vt:lpstr>FT_Test</vt:lpstr>
      <vt:lpstr>BASIC SETTING</vt:lpstr>
      <vt:lpstr>SVSYNC INPUT</vt:lpstr>
      <vt:lpstr>func. test seqeunce</vt:lpstr>
      <vt:lpstr>PWM_DIV 계산식</vt:lpstr>
      <vt:lpstr>eFUSE</vt:lpstr>
      <vt:lpstr>Serial Communication Protocol</vt:lpstr>
      <vt:lpstr>MIRROR REG. CHECK</vt:lpstr>
      <vt:lpstr>FUNCTION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moonki cho</cp:lastModifiedBy>
  <dcterms:created xsi:type="dcterms:W3CDTF">2015-06-05T18:19:34Z</dcterms:created>
  <dcterms:modified xsi:type="dcterms:W3CDTF">2026-05-27T07:29:33Z</dcterms:modified>
</cp:coreProperties>
</file>