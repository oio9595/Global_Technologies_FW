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R_GT1009A0R0\Docs\"/>
    </mc:Choice>
  </mc:AlternateContent>
  <xr:revisionPtr revIDLastSave="0" documentId="13_ncr:1_{19604666-C85B-4472-A365-2DCF315810DE}" xr6:coauthVersionLast="47" xr6:coauthVersionMax="47" xr10:uidLastSave="{00000000-0000-0000-0000-000000000000}"/>
  <bookViews>
    <workbookView xWindow="48045" yWindow="5235" windowWidth="21600" windowHeight="11175" xr2:uid="{1EECCE5F-2B3C-4FB1-86A3-4A5E96E35C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J13" i="1"/>
  <c r="I14" i="1"/>
  <c r="I13" i="1"/>
  <c r="N5" i="1"/>
  <c r="F9" i="1"/>
  <c r="D10" i="1" s="1"/>
  <c r="D12" i="1" s="1"/>
  <c r="D9" i="1"/>
  <c r="F3" i="1"/>
  <c r="D11" i="1" l="1"/>
</calcChain>
</file>

<file path=xl/sharedStrings.xml><?xml version="1.0" encoding="utf-8"?>
<sst xmlns="http://schemas.openxmlformats.org/spreadsheetml/2006/main" count="22" uniqueCount="15">
  <si>
    <t>MHz</t>
    <phoneticPr fontId="2" type="noConversion"/>
  </si>
  <si>
    <t>us</t>
    <phoneticPr fontId="2" type="noConversion"/>
  </si>
  <si>
    <t>MCLK</t>
    <phoneticPr fontId="2" type="noConversion"/>
  </si>
  <si>
    <t>Vsync</t>
    <phoneticPr fontId="2" type="noConversion"/>
  </si>
  <si>
    <t>Hz</t>
    <phoneticPr fontId="2" type="noConversion"/>
  </si>
  <si>
    <t>V_MASK</t>
    <phoneticPr fontId="2" type="noConversion"/>
  </si>
  <si>
    <t>SV_MASK</t>
    <phoneticPr fontId="2" type="noConversion"/>
  </si>
  <si>
    <t>LD RGB Mode</t>
    <phoneticPr fontId="2" type="noConversion"/>
  </si>
  <si>
    <t>User Input</t>
    <phoneticPr fontId="2" type="noConversion"/>
  </si>
  <si>
    <t>SVSYNC</t>
    <phoneticPr fontId="2" type="noConversion"/>
  </si>
  <si>
    <t>ea</t>
    <phoneticPr fontId="2" type="noConversion"/>
  </si>
  <si>
    <t>FPWM_DIV</t>
    <phoneticPr fontId="2" type="noConversion"/>
  </si>
  <si>
    <t>MCLK_LOCK_CNT</t>
    <phoneticPr fontId="2" type="noConversion"/>
  </si>
  <si>
    <t>Calculate</t>
    <phoneticPr fontId="2" type="noConversion"/>
  </si>
  <si>
    <t>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</si>
</sst>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2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2" fontId="3" fillId="3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8A149-062A-4BD9-BCA8-F95A52D0EBAF}">
  <dimension ref="B2:O14"/>
  <sheetViews>
    <sheetView tabSelected="1" workbookViewId="0"/>
  </sheetViews>
  <sheetFormatPr defaultRowHeight="16" x14ac:dyDescent="0.45"/>
  <cols>
    <col min="1" max="1" width="2.58203125" style="2" customWidth="1"/>
    <col min="2" max="2" width="10.33203125" style="2" bestFit="1" customWidth="1"/>
    <col min="3" max="3" width="17.08203125" style="2" bestFit="1" customWidth="1"/>
    <col min="4" max="4" width="12.08203125" style="2" bestFit="1" customWidth="1"/>
    <col min="5" max="5" width="3.75" style="2" bestFit="1" customWidth="1"/>
    <col min="6" max="6" width="9.83203125" style="2" bestFit="1" customWidth="1"/>
    <col min="7" max="7" width="5.5" style="2" bestFit="1" customWidth="1"/>
    <col min="8" max="8" width="10.5" style="2" bestFit="1" customWidth="1"/>
    <col min="9" max="9" width="8.5" style="2" bestFit="1" customWidth="1"/>
    <col min="10" max="10" width="11" style="2" bestFit="1" customWidth="1"/>
    <col min="11" max="11" width="6.25" style="2" bestFit="1" customWidth="1"/>
    <col min="12" max="13" width="8.6640625" style="2"/>
    <col min="14" max="14" width="9.1640625" style="2" bestFit="1" customWidth="1"/>
    <col min="15" max="16384" width="8.6640625" style="2"/>
  </cols>
  <sheetData>
    <row r="2" spans="2:15" x14ac:dyDescent="0.45">
      <c r="B2" s="1" t="s">
        <v>7</v>
      </c>
      <c r="C2" s="1"/>
      <c r="D2" s="1"/>
      <c r="E2" s="1"/>
      <c r="F2" s="1"/>
      <c r="G2" s="1"/>
    </row>
    <row r="3" spans="2:15" x14ac:dyDescent="0.45">
      <c r="B3" s="1" t="s">
        <v>8</v>
      </c>
      <c r="C3" s="2" t="s">
        <v>3</v>
      </c>
      <c r="D3" s="2">
        <v>120</v>
      </c>
      <c r="E3" s="2" t="s">
        <v>4</v>
      </c>
      <c r="F3" s="3">
        <f>1000000/D3</f>
        <v>8333.3333333333339</v>
      </c>
      <c r="G3" s="2" t="s">
        <v>1</v>
      </c>
    </row>
    <row r="4" spans="2:15" x14ac:dyDescent="0.45">
      <c r="B4" s="1"/>
      <c r="C4" s="2" t="s">
        <v>5</v>
      </c>
      <c r="D4" s="2">
        <v>15</v>
      </c>
      <c r="E4" s="2" t="s">
        <v>1</v>
      </c>
      <c r="F4" s="3"/>
      <c r="N4" s="2">
        <v>500</v>
      </c>
      <c r="O4" s="2" t="s">
        <v>14</v>
      </c>
    </row>
    <row r="5" spans="2:15" x14ac:dyDescent="0.45">
      <c r="B5" s="1"/>
      <c r="C5" s="2" t="s">
        <v>6</v>
      </c>
      <c r="D5" s="2">
        <v>20.5</v>
      </c>
      <c r="E5" s="2" t="s">
        <v>1</v>
      </c>
      <c r="F5" s="3"/>
      <c r="N5" s="2">
        <f>1/N4</f>
        <v>2E-3</v>
      </c>
    </row>
    <row r="6" spans="2:15" x14ac:dyDescent="0.45">
      <c r="B6" s="1"/>
      <c r="C6" s="2" t="s">
        <v>9</v>
      </c>
      <c r="D6" s="2">
        <v>32</v>
      </c>
      <c r="E6" s="2" t="s">
        <v>10</v>
      </c>
    </row>
    <row r="7" spans="2:15" x14ac:dyDescent="0.45">
      <c r="B7" s="1"/>
      <c r="C7" s="2" t="s">
        <v>11</v>
      </c>
      <c r="D7" s="2">
        <v>8</v>
      </c>
      <c r="E7" s="2" t="s">
        <v>10</v>
      </c>
    </row>
    <row r="8" spans="2:15" x14ac:dyDescent="0.45">
      <c r="B8" s="4"/>
    </row>
    <row r="9" spans="2:15" x14ac:dyDescent="0.45">
      <c r="B9" s="1" t="s">
        <v>13</v>
      </c>
      <c r="C9" s="2" t="s">
        <v>12</v>
      </c>
      <c r="D9" s="2">
        <f>(D7+1)*2^14*3</f>
        <v>442368</v>
      </c>
      <c r="E9" s="2" t="s">
        <v>10</v>
      </c>
      <c r="F9" s="5">
        <f>ROUND(D9*1.001, 0)</f>
        <v>442810</v>
      </c>
    </row>
    <row r="10" spans="2:15" x14ac:dyDescent="0.45">
      <c r="B10" s="1"/>
      <c r="C10" s="2" t="s">
        <v>2</v>
      </c>
      <c r="D10" s="3">
        <f>D3*F9</f>
        <v>53137200</v>
      </c>
      <c r="E10" s="2" t="s">
        <v>4</v>
      </c>
      <c r="F10" s="3">
        <v>54</v>
      </c>
      <c r="G10" s="2" t="s">
        <v>0</v>
      </c>
    </row>
    <row r="11" spans="2:15" x14ac:dyDescent="0.45">
      <c r="B11" s="1"/>
      <c r="C11" s="2" t="s">
        <v>5</v>
      </c>
      <c r="D11" s="3">
        <f>D4*F10/2</f>
        <v>405</v>
      </c>
    </row>
    <row r="12" spans="2:15" x14ac:dyDescent="0.45">
      <c r="B12" s="1"/>
      <c r="C12" s="2" t="s">
        <v>6</v>
      </c>
      <c r="D12" s="3">
        <f>D5*F10/2</f>
        <v>553.5</v>
      </c>
      <c r="I12" s="2">
        <v>50</v>
      </c>
      <c r="J12" s="2">
        <v>51</v>
      </c>
    </row>
    <row r="13" spans="2:15" x14ac:dyDescent="0.45">
      <c r="I13" s="2">
        <f>I12*1000000/120</f>
        <v>416666.66666666669</v>
      </c>
      <c r="J13" s="2">
        <f>J12*1000000/120</f>
        <v>425000</v>
      </c>
    </row>
    <row r="14" spans="2:15" x14ac:dyDescent="0.45">
      <c r="I14" s="2">
        <f>I12/64*1000</f>
        <v>781.25</v>
      </c>
      <c r="J14" s="2">
        <f>J12/64*1000</f>
        <v>796.875</v>
      </c>
    </row>
  </sheetData>
  <mergeCells count="3">
    <mergeCell ref="B2:G2"/>
    <mergeCell ref="B3:B7"/>
    <mergeCell ref="B9:B1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2026-01-29T00:59:25Z</dcterms:created>
  <dcterms:modified xsi:type="dcterms:W3CDTF">2026-02-04T08:57:25Z</dcterms:modified>
</cp:coreProperties>
</file>