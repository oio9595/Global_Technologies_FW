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working\01_Project\FW\X-Series\XD12R\Jig\XD12R_GT1009A0R0_JIG\Docs\GT\"/>
    </mc:Choice>
  </mc:AlternateContent>
  <xr:revisionPtr revIDLastSave="0" documentId="13_ncr:1_{7C0B5BFA-29CD-44EE-AC6F-1860520CF3D5}" xr6:coauthVersionLast="47" xr6:coauthVersionMax="47" xr10:uidLastSave="{00000000-0000-0000-0000-000000000000}"/>
  <bookViews>
    <workbookView xWindow="71895" yWindow="2280" windowWidth="9210" windowHeight="15585" firstSheet="1" activeTab="1" xr2:uid="{00000000-000D-0000-FFFF-FFFF00000000}"/>
  </bookViews>
  <sheets>
    <sheet name="Test_Plan_Analog" sheetId="42" r:id="rId1"/>
    <sheet name="Caculator" sheetId="4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" i="43" l="1"/>
  <c r="E25" i="43"/>
  <c r="E27" i="43" s="1"/>
  <c r="E22" i="43"/>
  <c r="E21" i="43"/>
  <c r="E8" i="43"/>
  <c r="E7" i="43"/>
  <c r="E12" i="43"/>
  <c r="E11" i="43"/>
  <c r="E23" i="43" l="1"/>
  <c r="E13" i="43"/>
  <c r="E9" i="43"/>
</calcChain>
</file>

<file path=xl/sharedStrings.xml><?xml version="1.0" encoding="utf-8"?>
<sst xmlns="http://schemas.openxmlformats.org/spreadsheetml/2006/main" count="250" uniqueCount="118">
  <si>
    <t>VDD</t>
    <phoneticPr fontId="5" type="noConversion"/>
  </si>
  <si>
    <t>DOUT</t>
    <phoneticPr fontId="5" type="noConversion"/>
  </si>
  <si>
    <t>OSC</t>
    <phoneticPr fontId="5" type="noConversion"/>
  </si>
  <si>
    <t>TEST PIN</t>
    <phoneticPr fontId="5" type="noConversion"/>
  </si>
  <si>
    <t>SET REG</t>
    <phoneticPr fontId="5" type="noConversion"/>
  </si>
  <si>
    <t>TRIM REG</t>
    <phoneticPr fontId="5" type="noConversion"/>
  </si>
  <si>
    <t>TARGET</t>
    <phoneticPr fontId="5" type="noConversion"/>
  </si>
  <si>
    <t>FLL</t>
    <phoneticPr fontId="5" type="noConversion"/>
  </si>
  <si>
    <t>TEST</t>
    <phoneticPr fontId="5" type="noConversion"/>
  </si>
  <si>
    <t>1.5V</t>
    <phoneticPr fontId="5" type="noConversion"/>
  </si>
  <si>
    <t>IREF_CTL[4:0]</t>
    <phoneticPr fontId="5" type="noConversion"/>
  </si>
  <si>
    <t>LDO_DAC_CTL[4:0]</t>
    <phoneticPr fontId="5" type="noConversion"/>
  </si>
  <si>
    <t>LDO_CTL[3:0]</t>
    <phoneticPr fontId="5" type="noConversion"/>
  </si>
  <si>
    <t>OSC_RCTL[3:0]</t>
    <phoneticPr fontId="5" type="noConversion"/>
  </si>
  <si>
    <t>GAIN_CH(N)[5:0]</t>
    <phoneticPr fontId="5" type="noConversion"/>
  </si>
  <si>
    <t>OFS_CH(N)[7:0]</t>
    <phoneticPr fontId="5" type="noConversion"/>
  </si>
  <si>
    <t>TEST NO</t>
    <phoneticPr fontId="5" type="noConversion"/>
  </si>
  <si>
    <t>TEST NAME</t>
    <phoneticPr fontId="5" type="noConversion"/>
  </si>
  <si>
    <t>TEST_ANA_EN[2:0] = 3'd : 1</t>
    <phoneticPr fontId="5" type="noConversion"/>
  </si>
  <si>
    <t>DAC_LDO_1.5V</t>
    <phoneticPr fontId="5" type="noConversion"/>
  </si>
  <si>
    <t>IBN_2UA</t>
    <phoneticPr fontId="5" type="noConversion"/>
  </si>
  <si>
    <t>TEST TYPE</t>
    <phoneticPr fontId="5" type="noConversion"/>
  </si>
  <si>
    <t>2uA</t>
    <phoneticPr fontId="5" type="noConversion"/>
  </si>
  <si>
    <t>TEST_ANA_EN[2:0] = 3'd : 0</t>
    <phoneticPr fontId="5" type="noConversion"/>
  </si>
  <si>
    <t>DIG_LDO_1.5V</t>
    <phoneticPr fontId="5" type="noConversion"/>
  </si>
  <si>
    <t>Voltage</t>
    <phoneticPr fontId="5" type="noConversion"/>
  </si>
  <si>
    <t>TEST_ANA_EN[2:0] = 3'd : 2</t>
    <phoneticPr fontId="5" type="noConversion"/>
  </si>
  <si>
    <t>**signed binary**</t>
    <phoneticPr fontId="5" type="noConversion"/>
  </si>
  <si>
    <t>DACA_OFS</t>
    <phoneticPr fontId="5" type="noConversion"/>
  </si>
  <si>
    <t>DACB_OFS</t>
    <phoneticPr fontId="5" type="noConversion"/>
  </si>
  <si>
    <t>0.15V</t>
    <phoneticPr fontId="5" type="noConversion"/>
  </si>
  <si>
    <t>TEST_ANA_EN[2:0] = 3'd : 3</t>
    <phoneticPr fontId="5" type="noConversion"/>
  </si>
  <si>
    <t>TEST_ANA_EN[2:0] = 3'd : 4</t>
    <phoneticPr fontId="5" type="noConversion"/>
  </si>
  <si>
    <t>DACA_OFS[6:0]</t>
    <phoneticPr fontId="5" type="noConversion"/>
  </si>
  <si>
    <t>DACB_OFS[6:0]</t>
    <phoneticPr fontId="5" type="noConversion"/>
  </si>
  <si>
    <t>Frequency</t>
    <phoneticPr fontId="5" type="noConversion"/>
  </si>
  <si>
    <t>TEST_EN = 1'd : 1
MCLK64_O = 1'd : 1
OSC_MAN_EN = 1'd : 1
OSC_FLL_MAN [15:0] = 
16'b : 1000000000000000</t>
    <phoneticPr fontId="5" type="noConversion"/>
  </si>
  <si>
    <t>CH_GAIN</t>
    <phoneticPr fontId="5" type="noConversion"/>
  </si>
  <si>
    <t>IOUT CH1 ~ CH12</t>
    <phoneticPr fontId="5" type="noConversion"/>
  </si>
  <si>
    <t>Current (Sink)</t>
    <phoneticPr fontId="5" type="noConversion"/>
  </si>
  <si>
    <t>Current (Source)</t>
    <phoneticPr fontId="5" type="noConversion"/>
  </si>
  <si>
    <t>High - Z</t>
    <phoneticPr fontId="5" type="noConversion"/>
  </si>
  <si>
    <t>CH(N)_EN : 1'd : 1
PWMOUT_FULL : 1'd : 1
MAX_CURR_LEVEL3[3:0] = 4'd : 3
MAX_CURR_LEVEL2[3:0] = 4'd : 3
MAX_CURR_LEVEL1[3:0] = 4'd : 3
---P1---
MAX_CURR_VREF1[11:0] = 12'd : (P1)
MAX_CURR_VREF2[11:0] = 12'd : (P1)
MAX_CURR_VREF3[11:0] = 12'd : (P1)
---P2---
MAX_CURR_VREF1[11:0] = 12'd : (P2)
MAX_CURR_VREF2[11:0] = 12'd : (P2)
MAX_CURR_VREF3[11:0] = 12'd : (P2)</t>
    <phoneticPr fontId="5" type="noConversion"/>
  </si>
  <si>
    <t>CH(N)_EN : 1'd : 1
PWMOUT_FULL : 1'd : 1
MAX_CURR_LEVEL3[3:0] = 4'd : 3
MAX_CURR_LEVEL2[3:0] = 4'd : 3
MAX_CURR_LEVEL1[3:0] = 4'd : 3
---P3---
MAX_CURR_VREF1[11:0] = 12'd : (P3)
MAX_CURR_VREF2[11:0] = 12'd : (P3)
MAX_CURR_VREF3[11:0] = 12'd : (P3)
---P3---
MAX_CURR_VREF1[11:0] = 12'd : (P4)
MAX_CURR_VREF2[11:0] = 12'd : (P4)
MAX_CURR_VREF3[11:0] = 12'd : (P4)</t>
    <phoneticPr fontId="5" type="noConversion"/>
  </si>
  <si>
    <t>Current = Target</t>
    <phoneticPr fontId="5" type="noConversion"/>
  </si>
  <si>
    <t>Voltage = Target</t>
    <phoneticPr fontId="5" type="noConversion"/>
  </si>
  <si>
    <t>eFuse Write</t>
    <phoneticPr fontId="5" type="noConversion"/>
  </si>
  <si>
    <r>
      <t xml:space="preserve">eFuse </t>
    </r>
    <r>
      <rPr>
        <sz val="11"/>
        <color theme="1"/>
        <rFont val="맑은 고딕"/>
        <family val="2"/>
        <charset val="129"/>
      </rPr>
      <t>가이드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참조</t>
    </r>
    <phoneticPr fontId="5" type="noConversion"/>
  </si>
  <si>
    <t>Trimming</t>
    <phoneticPr fontId="5" type="noConversion"/>
  </si>
  <si>
    <t>40/64 = 0.625MHz</t>
    <phoneticPr fontId="5" type="noConversion"/>
  </si>
  <si>
    <t>* 1/64 Divided out *</t>
    <phoneticPr fontId="5" type="noConversion"/>
  </si>
  <si>
    <t>TEST LIMIT</t>
    <phoneticPr fontId="5" type="noConversion"/>
  </si>
  <si>
    <t>IOUT_3POINT</t>
    <phoneticPr fontId="5" type="noConversion"/>
  </si>
  <si>
    <t>IOUT_3POINT
(5V 1CH)</t>
    <phoneticPr fontId="5" type="noConversion"/>
  </si>
  <si>
    <t>IOUT CH1</t>
    <phoneticPr fontId="5" type="noConversion"/>
  </si>
  <si>
    <t>P1 : 300
P2 : 700
P3 : 3000</t>
    <phoneticPr fontId="5" type="noConversion"/>
  </si>
  <si>
    <t>38 / 40 / 42 M</t>
    <phoneticPr fontId="5" type="noConversion"/>
  </si>
  <si>
    <t>TEST CONDITION</t>
    <phoneticPr fontId="5" type="noConversion"/>
  </si>
  <si>
    <t>DESCRIPTION</t>
    <phoneticPr fontId="5" type="noConversion"/>
  </si>
  <si>
    <t>NOTE</t>
    <phoneticPr fontId="5" type="noConversion"/>
  </si>
  <si>
    <t>0.11V</t>
    <phoneticPr fontId="5" type="noConversion"/>
  </si>
  <si>
    <t>FLL_LDO_1.5V</t>
    <phoneticPr fontId="5" type="noConversion"/>
  </si>
  <si>
    <t>TEST_ANA_EN[2:0] = 3'd : 5</t>
    <phoneticPr fontId="5" type="noConversion"/>
  </si>
  <si>
    <t>LDO_OSC_CTL[3:0]</t>
    <phoneticPr fontId="5" type="noConversion"/>
  </si>
  <si>
    <t>Fault Flag Test</t>
    <phoneticPr fontId="5" type="noConversion"/>
  </si>
  <si>
    <t>UVOV(1P5)</t>
    <phoneticPr fontId="5" type="noConversion"/>
  </si>
  <si>
    <t>UVOV(VDD)</t>
    <phoneticPr fontId="5" type="noConversion"/>
  </si>
  <si>
    <t>3.3 / 5</t>
    <phoneticPr fontId="5" type="noConversion"/>
  </si>
  <si>
    <t>MIN : 3V/4.5V , MAX : 3.6V/5.5V</t>
    <phoneticPr fontId="5" type="noConversion"/>
  </si>
  <si>
    <t>MIN : 1.2V , MAX : 1.8V</t>
    <phoneticPr fontId="5" type="noConversion"/>
  </si>
  <si>
    <t>TEST_ANA_EN[2:0] = 3'd : 6</t>
    <phoneticPr fontId="5" type="noConversion"/>
  </si>
  <si>
    <t>TEST_ANA_EN[2:0] = 3'd : 7</t>
    <phoneticPr fontId="5" type="noConversion"/>
  </si>
  <si>
    <t>LDO_UV / LDO_OV : 'H' Check</t>
    <phoneticPr fontId="5" type="noConversion"/>
  </si>
  <si>
    <t>VDD_UV / VDD_OV : 'H' Check</t>
    <phoneticPr fontId="5" type="noConversion"/>
  </si>
  <si>
    <r>
      <rPr>
        <sz val="11"/>
        <color theme="1"/>
        <rFont val="맑은 고딕"/>
        <family val="2"/>
        <charset val="129"/>
      </rPr>
      <t xml:space="preserve">다수 </t>
    </r>
    <r>
      <rPr>
        <sz val="11"/>
        <color theme="1"/>
        <rFont val="Calibri"/>
        <family val="2"/>
      </rPr>
      <t>Sample</t>
    </r>
    <r>
      <rPr>
        <sz val="11"/>
        <color theme="1"/>
        <rFont val="맑은 고딕"/>
        <family val="2"/>
        <charset val="129"/>
      </rPr>
      <t xml:space="preserve">의 평균 값
</t>
    </r>
    <r>
      <rPr>
        <sz val="11"/>
        <color theme="1"/>
        <rFont val="Calibri"/>
        <family val="2"/>
      </rPr>
      <t>(</t>
    </r>
    <r>
      <rPr>
        <sz val="11"/>
        <color theme="1"/>
        <rFont val="맑은 고딕"/>
        <family val="2"/>
        <charset val="129"/>
      </rPr>
      <t xml:space="preserve">시점 1) </t>
    </r>
    <r>
      <rPr>
        <sz val="11"/>
        <color theme="1"/>
        <rFont val="Calibri"/>
        <family val="2"/>
      </rPr>
      <t>sim = 0.3V
(</t>
    </r>
    <r>
      <rPr>
        <sz val="11"/>
        <color theme="1"/>
        <rFont val="맑은 고딕"/>
        <family val="2"/>
        <charset val="129"/>
      </rPr>
      <t xml:space="preserve">시점 2) </t>
    </r>
    <r>
      <rPr>
        <sz val="11"/>
        <color theme="1"/>
        <rFont val="Calibri"/>
        <family val="2"/>
      </rPr>
      <t>sim = 0.45V
(</t>
    </r>
    <r>
      <rPr>
        <sz val="11"/>
        <color theme="1"/>
        <rFont val="맑은 고딕"/>
        <family val="2"/>
        <charset val="129"/>
      </rPr>
      <t xml:space="preserve">시점 3) </t>
    </r>
    <r>
      <rPr>
        <sz val="11"/>
        <color theme="1"/>
        <rFont val="Calibri"/>
        <family val="2"/>
      </rPr>
      <t>sim = 3.5V</t>
    </r>
    <r>
      <rPr>
        <sz val="11"/>
        <color theme="1"/>
        <rFont val="Calibri"/>
        <family val="2"/>
        <charset val="129"/>
      </rPr>
      <t xml:space="preserve">
A,B </t>
    </r>
    <r>
      <rPr>
        <sz val="11"/>
        <color theme="1"/>
        <rFont val="맑은 고딕"/>
        <family val="2"/>
        <charset val="129"/>
      </rPr>
      <t>별도</t>
    </r>
    <phoneticPr fontId="5" type="noConversion"/>
  </si>
  <si>
    <t>TEST_ANA_EN[2:0] = 3'd : 3
MAX_CURR_VREF1[11:0] = 12'd 300
MAX_CURR_VREF2[11:0] = 12'd 300
MAX_CURR_VREF3[11:0] = 12'd 300</t>
    <phoneticPr fontId="5" type="noConversion"/>
  </si>
  <si>
    <t>TEST_ANA_EN[2:0] = 3'd : 4
MAX_CURR_VREF1[11:0] = 12'd 300
MAX_CURR_VREF2[11:0] = 12'd 300
MAX_CURR_VREF3[11:0] = 12'd 300</t>
    <phoneticPr fontId="5" type="noConversion"/>
  </si>
  <si>
    <t>P2 - P1 = 4.688mA</t>
    <phoneticPr fontId="5" type="noConversion"/>
  </si>
  <si>
    <t>(P3+P4)/2 = 1.172mA</t>
    <phoneticPr fontId="5" type="noConversion"/>
  </si>
  <si>
    <t>Current = 2uA</t>
    <phoneticPr fontId="5" type="noConversion"/>
  </si>
  <si>
    <t>Voltage = 1.5V</t>
    <phoneticPr fontId="5" type="noConversion"/>
  </si>
  <si>
    <t>Voltage = 110mV</t>
    <phoneticPr fontId="5" type="noConversion"/>
  </si>
  <si>
    <t>Frequency = 0.625MHz</t>
    <phoneticPr fontId="5" type="noConversion"/>
  </si>
  <si>
    <t>40M/64 = 0.625MHz</t>
    <phoneticPr fontId="5" type="noConversion"/>
  </si>
  <si>
    <t>P1 = 1.172mA
P2 = 2.735mA
P3 = 11.721mA</t>
    <phoneticPr fontId="5" type="noConversion"/>
  </si>
  <si>
    <t>FB(N)_LEVEL[2:0] : 3'd 0
SHORT(N)_LEVEL[2:0] = 3'd 0</t>
    <phoneticPr fontId="5" type="noConversion"/>
  </si>
  <si>
    <t xml:space="preserve">P1 PASS :  1.154mA ~ 1.189mA   
P2 PASS : 2.693mA ~ 2.776mA
P3 PASS : 11.545mA ~ 11.896mA </t>
    <phoneticPr fontId="5" type="noConversion"/>
  </si>
  <si>
    <t>MAX_CURR_LEVEL[3:0] = 4'd : 3 , 
MAX_CURR_VREF{11:0] = 12'd4095 (@16mA)</t>
    <phoneticPr fontId="5" type="noConversion"/>
  </si>
  <si>
    <r>
      <rPr>
        <sz val="11"/>
        <color theme="1"/>
        <rFont val="맑은 고딕"/>
        <family val="3"/>
        <charset val="129"/>
      </rPr>
      <t>±</t>
    </r>
    <r>
      <rPr>
        <sz val="11"/>
        <color theme="1"/>
        <rFont val="Calibri"/>
        <family val="2"/>
      </rPr>
      <t xml:space="preserve"> 0.5%</t>
    </r>
    <phoneticPr fontId="5" type="noConversion"/>
  </si>
  <si>
    <r>
      <rPr>
        <sz val="11"/>
        <color theme="1"/>
        <rFont val="맑은 고딕"/>
        <family val="3"/>
        <charset val="129"/>
      </rPr>
      <t>±</t>
    </r>
    <r>
      <rPr>
        <sz val="11"/>
        <color theme="1"/>
        <rFont val="Calibri"/>
        <family val="2"/>
      </rPr>
      <t xml:space="preserve"> 1.5%</t>
    </r>
    <phoneticPr fontId="5" type="noConversion"/>
  </si>
  <si>
    <r>
      <t xml:space="preserve">TEST PIN : 1.05V ~ 1.95V </t>
    </r>
    <r>
      <rPr>
        <sz val="11"/>
        <color theme="1"/>
        <rFont val="맑은 고딕"/>
        <family val="2"/>
        <charset val="129"/>
      </rPr>
      <t>인가</t>
    </r>
    <phoneticPr fontId="5" type="noConversion"/>
  </si>
  <si>
    <r>
      <rPr>
        <sz val="11"/>
        <color theme="1"/>
        <rFont val="맑은 고딕"/>
        <family val="3"/>
        <charset val="129"/>
      </rPr>
      <t>±</t>
    </r>
    <r>
      <rPr>
        <sz val="11"/>
        <color theme="1"/>
        <rFont val="Calibri"/>
        <family val="2"/>
      </rPr>
      <t xml:space="preserve"> 30%</t>
    </r>
    <phoneticPr fontId="5" type="noConversion"/>
  </si>
  <si>
    <r>
      <rPr>
        <sz val="11"/>
        <color theme="1"/>
        <rFont val="맑은 고딕"/>
        <family val="3"/>
        <charset val="129"/>
      </rPr>
      <t>설계 범위 : ±</t>
    </r>
    <r>
      <rPr>
        <sz val="11"/>
        <color theme="1"/>
        <rFont val="Calibri"/>
        <family val="2"/>
      </rPr>
      <t xml:space="preserve"> 20% / 10% TEST MARGIN</t>
    </r>
    <phoneticPr fontId="5" type="noConversion"/>
  </si>
  <si>
    <r>
      <t xml:space="preserve">TEST PIN : 2.7V/4V ~ 3.9V/6V </t>
    </r>
    <r>
      <rPr>
        <sz val="11"/>
        <color theme="1"/>
        <rFont val="맑은 고딕"/>
        <family val="2"/>
        <charset val="129"/>
      </rPr>
      <t>인가</t>
    </r>
    <phoneticPr fontId="5" type="noConversion"/>
  </si>
  <si>
    <r>
      <rPr>
        <sz val="11"/>
        <color theme="1"/>
        <rFont val="맑은 고딕"/>
        <family val="3"/>
        <charset val="129"/>
      </rPr>
      <t>±</t>
    </r>
    <r>
      <rPr>
        <sz val="11"/>
        <color theme="1"/>
        <rFont val="Calibri"/>
        <family val="2"/>
      </rPr>
      <t xml:space="preserve"> 20%</t>
    </r>
    <phoneticPr fontId="5" type="noConversion"/>
  </si>
  <si>
    <r>
      <rPr>
        <sz val="11"/>
        <color theme="1"/>
        <rFont val="맑은 고딕"/>
        <family val="3"/>
        <charset val="129"/>
      </rPr>
      <t>설계 범위 : ±</t>
    </r>
    <r>
      <rPr>
        <sz val="11"/>
        <color theme="1"/>
        <rFont val="Calibri"/>
        <family val="2"/>
      </rPr>
      <t xml:space="preserve"> 10% / 10% TEST MARGIN</t>
    </r>
    <phoneticPr fontId="5" type="noConversion"/>
  </si>
  <si>
    <r>
      <t xml:space="preserve">IOUT CH(N) PIN : VLED </t>
    </r>
    <r>
      <rPr>
        <sz val="11"/>
        <color theme="1"/>
        <rFont val="맑은 고딕"/>
        <family val="2"/>
        <charset val="129"/>
      </rPr>
      <t>전압 증가</t>
    </r>
    <phoneticPr fontId="5" type="noConversion"/>
  </si>
  <si>
    <r>
      <rPr>
        <sz val="11"/>
        <color theme="1"/>
        <rFont val="맑은 고딕"/>
        <family val="3"/>
        <charset val="129"/>
      </rPr>
      <t>±</t>
    </r>
    <r>
      <rPr>
        <sz val="11"/>
        <color theme="1"/>
        <rFont val="Calibri"/>
        <family val="2"/>
      </rPr>
      <t xml:space="preserve"> 15%</t>
    </r>
    <phoneticPr fontId="5" type="noConversion"/>
  </si>
  <si>
    <r>
      <t xml:space="preserve">0V </t>
    </r>
    <r>
      <rPr>
        <sz val="11"/>
        <color theme="1"/>
        <rFont val="맑은 고딕"/>
        <family val="2"/>
        <charset val="129"/>
      </rPr>
      <t>부터</t>
    </r>
    <r>
      <rPr>
        <sz val="11"/>
        <color theme="1"/>
        <rFont val="Calibri"/>
        <family val="2"/>
      </rPr>
      <t xml:space="preserve"> IOUT </t>
    </r>
    <r>
      <rPr>
        <sz val="11"/>
        <color theme="1"/>
        <rFont val="맑은 고딕"/>
        <family val="2"/>
        <charset val="129"/>
      </rPr>
      <t>전압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증가</t>
    </r>
    <r>
      <rPr>
        <sz val="11"/>
        <color theme="1"/>
        <rFont val="Calibri"/>
        <family val="2"/>
      </rPr>
      <t xml:space="preserve">.
</t>
    </r>
    <r>
      <rPr>
        <sz val="11"/>
        <color theme="1"/>
        <rFont val="맑은 고딕"/>
        <family val="2"/>
        <charset val="129"/>
      </rPr>
      <t>최초</t>
    </r>
    <r>
      <rPr>
        <sz val="11"/>
        <color theme="1"/>
        <rFont val="Calibri"/>
        <family val="2"/>
      </rPr>
      <t xml:space="preserve">(0V) : Open = H / FB = H / Short = L
</t>
    </r>
    <r>
      <rPr>
        <sz val="11"/>
        <color theme="1"/>
        <rFont val="맑은 고딕"/>
        <family val="2"/>
        <charset val="129"/>
      </rPr>
      <t>시점</t>
    </r>
    <r>
      <rPr>
        <sz val="11"/>
        <color theme="1"/>
        <rFont val="Calibri"/>
        <family val="2"/>
      </rPr>
      <t xml:space="preserve"> 1 : Open = L / FB = H / Short = L
</t>
    </r>
    <r>
      <rPr>
        <sz val="11"/>
        <color theme="1"/>
        <rFont val="맑은 고딕"/>
        <family val="2"/>
        <charset val="129"/>
      </rPr>
      <t>시점</t>
    </r>
    <r>
      <rPr>
        <sz val="11"/>
        <color theme="1"/>
        <rFont val="Calibri"/>
        <family val="2"/>
      </rPr>
      <t xml:space="preserve"> 2 : Open = L / FB = L / Short = L
</t>
    </r>
    <r>
      <rPr>
        <sz val="11"/>
        <color theme="1"/>
        <rFont val="맑은 고딕"/>
        <family val="2"/>
        <charset val="129"/>
      </rPr>
      <t>시점</t>
    </r>
    <r>
      <rPr>
        <sz val="11"/>
        <color theme="1"/>
        <rFont val="Calibri"/>
        <family val="2"/>
      </rPr>
      <t xml:space="preserve"> 3 : Open = L / FB = L / Short = H</t>
    </r>
    <phoneticPr fontId="5" type="noConversion"/>
  </si>
  <si>
    <t>MAX_CURR_LEVEL[3:0] = 4'd : 3  (16mA)</t>
    <phoneticPr fontId="5" type="noConversion"/>
  </si>
  <si>
    <t>P1 : 300 , P2 : 1500
VLED = 1V</t>
    <phoneticPr fontId="5" type="noConversion"/>
  </si>
  <si>
    <t>P3 : 200 , P4 : 400
VLED = 1V</t>
    <phoneticPr fontId="5" type="noConversion"/>
  </si>
  <si>
    <r>
      <rPr>
        <sz val="11"/>
        <color theme="1"/>
        <rFont val="맑은 고딕"/>
        <family val="3"/>
        <charset val="129"/>
      </rPr>
      <t>±</t>
    </r>
    <r>
      <rPr>
        <sz val="11"/>
        <color theme="1"/>
        <rFont val="Calibri"/>
        <family val="2"/>
      </rPr>
      <t xml:space="preserve"> 2%</t>
    </r>
    <phoneticPr fontId="5" type="noConversion"/>
  </si>
  <si>
    <r>
      <rPr>
        <sz val="11"/>
        <color theme="1"/>
        <rFont val="맑은 고딕"/>
        <family val="3"/>
        <charset val="129"/>
      </rPr>
      <t>±</t>
    </r>
    <r>
      <rPr>
        <sz val="11"/>
        <color theme="1"/>
        <rFont val="Calibri"/>
        <family val="2"/>
      </rPr>
      <t xml:space="preserve"> 1%</t>
    </r>
    <phoneticPr fontId="5" type="noConversion"/>
  </si>
  <si>
    <r>
      <t xml:space="preserve">TEST_EN = 1'd : 1
MCLK64_O = 1'd : 1
** </t>
    </r>
    <r>
      <rPr>
        <sz val="11"/>
        <color theme="1"/>
        <rFont val="맑은 고딕"/>
        <family val="2"/>
        <charset val="129"/>
      </rPr>
      <t xml:space="preserve">주파수별 </t>
    </r>
    <r>
      <rPr>
        <sz val="11"/>
        <color theme="1"/>
        <rFont val="Calibri"/>
        <family val="2"/>
      </rPr>
      <t xml:space="preserve">FLL </t>
    </r>
    <r>
      <rPr>
        <sz val="11"/>
        <color theme="1"/>
        <rFont val="맑은 고딕"/>
        <family val="2"/>
        <charset val="129"/>
      </rPr>
      <t>세팅 추가 **</t>
    </r>
    <phoneticPr fontId="5" type="noConversion"/>
  </si>
  <si>
    <t>CH_OFS</t>
    <phoneticPr fontId="5" type="noConversion"/>
  </si>
  <si>
    <t>GAIN</t>
    <phoneticPr fontId="5" type="noConversion"/>
  </si>
  <si>
    <t>mA</t>
    <phoneticPr fontId="5" type="noConversion"/>
  </si>
  <si>
    <t>Bit</t>
    <phoneticPr fontId="5" type="noConversion"/>
  </si>
  <si>
    <t>Difference</t>
    <phoneticPr fontId="5" type="noConversion"/>
  </si>
  <si>
    <t>OFFSET</t>
    <phoneticPr fontId="5" type="noConversion"/>
  </si>
  <si>
    <t>P1</t>
    <phoneticPr fontId="5" type="noConversion"/>
  </si>
  <si>
    <t>P2</t>
    <phoneticPr fontId="5" type="noConversion"/>
  </si>
  <si>
    <t>MAX CURRENT</t>
    <phoneticPr fontId="5" type="noConversion"/>
  </si>
  <si>
    <t>CURRENT OFFSET</t>
    <phoneticPr fontId="5" type="noConversion"/>
  </si>
  <si>
    <t>(P1+P2)/2</t>
    <phoneticPr fontId="5" type="noConversion"/>
  </si>
  <si>
    <t>EVEN</t>
    <phoneticPr fontId="5" type="noConversion"/>
  </si>
  <si>
    <t>ODD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</si>
</sst>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E+00"/>
    <numFmt numFmtId="178" formatCode="0.000"/>
    <numFmt numFmtId="179" formatCode="0.000_ "/>
  </numFmts>
  <fonts count="19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2"/>
      <scheme val="minor"/>
    </font>
    <font>
      <sz val="11"/>
      <color theme="1"/>
      <name val="Calibri"/>
      <family val="2"/>
    </font>
    <font>
      <sz val="11"/>
      <color theme="1"/>
      <name val="맑은 고딕"/>
      <family val="3"/>
      <charset val="129"/>
    </font>
    <font>
      <b/>
      <sz val="11"/>
      <color theme="1"/>
      <name val="Calibri"/>
      <family val="2"/>
    </font>
    <font>
      <sz val="11"/>
      <color theme="1"/>
      <name val="맑은 고딕"/>
      <family val="2"/>
      <charset val="129"/>
    </font>
    <font>
      <sz val="11"/>
      <color rgb="FFFF0000"/>
      <name val="Calibri"/>
      <family val="2"/>
    </font>
    <font>
      <sz val="11"/>
      <color theme="1"/>
      <name val="Calibri"/>
      <family val="3"/>
      <charset val="129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charset val="129"/>
    </font>
    <font>
      <sz val="10"/>
      <color theme="1"/>
      <name val="Calibri"/>
      <family val="2"/>
    </font>
    <font>
      <b/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6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67">
    <xf numFmtId="0" fontId="0" fillId="0" borderId="0" xfId="0"/>
    <xf numFmtId="0" fontId="8" fillId="0" borderId="0" xfId="0" applyFont="1"/>
    <xf numFmtId="0" fontId="8" fillId="0" borderId="9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176" fontId="0" fillId="0" borderId="0" xfId="0" applyNumberFormat="1"/>
    <xf numFmtId="0" fontId="8" fillId="0" borderId="7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/>
    </xf>
    <xf numFmtId="0" fontId="17" fillId="3" borderId="4" xfId="0" applyFont="1" applyFill="1" applyBorder="1" applyAlignment="1">
      <alignment horizontal="center"/>
    </xf>
    <xf numFmtId="0" fontId="17" fillId="0" borderId="5" xfId="0" applyFont="1" applyBorder="1" applyAlignment="1">
      <alignment horizontal="center"/>
    </xf>
    <xf numFmtId="0" fontId="17" fillId="0" borderId="6" xfId="0" applyFont="1" applyBorder="1" applyAlignment="1">
      <alignment horizontal="center"/>
    </xf>
    <xf numFmtId="0" fontId="17" fillId="3" borderId="1" xfId="0" applyFont="1" applyFill="1" applyBorder="1" applyAlignment="1">
      <alignment horizontal="center"/>
    </xf>
    <xf numFmtId="0" fontId="17" fillId="0" borderId="1" xfId="0" applyFont="1" applyBorder="1" applyAlignment="1">
      <alignment horizontal="center"/>
    </xf>
    <xf numFmtId="178" fontId="17" fillId="4" borderId="1" xfId="0" applyNumberFormat="1" applyFont="1" applyFill="1" applyBorder="1" applyAlignment="1">
      <alignment horizontal="center"/>
    </xf>
    <xf numFmtId="0" fontId="17" fillId="0" borderId="7" xfId="0" applyFont="1" applyBorder="1" applyAlignment="1">
      <alignment horizontal="center"/>
    </xf>
    <xf numFmtId="0" fontId="17" fillId="0" borderId="9" xfId="0" applyFont="1" applyBorder="1" applyAlignment="1">
      <alignment horizontal="center"/>
    </xf>
    <xf numFmtId="0" fontId="17" fillId="0" borderId="10" xfId="0" applyFont="1" applyBorder="1" applyAlignment="1">
      <alignment horizontal="center"/>
    </xf>
    <xf numFmtId="0" fontId="17" fillId="0" borderId="8" xfId="0" applyFont="1" applyBorder="1" applyAlignment="1">
      <alignment horizontal="center"/>
    </xf>
    <xf numFmtId="0" fontId="17" fillId="3" borderId="9" xfId="0" applyFont="1" applyFill="1" applyBorder="1" applyAlignment="1">
      <alignment horizontal="center"/>
    </xf>
    <xf numFmtId="178" fontId="17" fillId="4" borderId="9" xfId="0" applyNumberFormat="1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7" fillId="0" borderId="13" xfId="0" applyFont="1" applyBorder="1" applyAlignment="1">
      <alignment horizontal="center"/>
    </xf>
    <xf numFmtId="0" fontId="17" fillId="0" borderId="2" xfId="0" applyFont="1" applyBorder="1" applyAlignment="1">
      <alignment horizontal="center"/>
    </xf>
    <xf numFmtId="179" fontId="17" fillId="4" borderId="2" xfId="0" applyNumberFormat="1" applyFont="1" applyFill="1" applyBorder="1" applyAlignment="1">
      <alignment horizontal="center"/>
    </xf>
    <xf numFmtId="0" fontId="17" fillId="0" borderId="21" xfId="0" applyFont="1" applyBorder="1" applyAlignment="1">
      <alignment horizontal="center"/>
    </xf>
    <xf numFmtId="0" fontId="17" fillId="0" borderId="22" xfId="0" applyFont="1" applyBorder="1" applyAlignment="1">
      <alignment horizontal="center"/>
    </xf>
    <xf numFmtId="0" fontId="17" fillId="3" borderId="23" xfId="0" applyFont="1" applyFill="1" applyBorder="1" applyAlignment="1">
      <alignment horizontal="center"/>
    </xf>
    <xf numFmtId="0" fontId="17" fillId="0" borderId="23" xfId="0" applyFont="1" applyBorder="1" applyAlignment="1">
      <alignment horizontal="center"/>
    </xf>
    <xf numFmtId="178" fontId="17" fillId="4" borderId="23" xfId="0" applyNumberFormat="1" applyFont="1" applyFill="1" applyBorder="1" applyAlignment="1">
      <alignment horizontal="center"/>
    </xf>
    <xf numFmtId="0" fontId="17" fillId="0" borderId="24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0" fillId="2" borderId="18" xfId="0" applyFont="1" applyFill="1" applyBorder="1" applyAlignment="1">
      <alignment horizontal="center" vertical="center"/>
    </xf>
    <xf numFmtId="0" fontId="10" fillId="2" borderId="20" xfId="0" applyFont="1" applyFill="1" applyBorder="1" applyAlignment="1">
      <alignment horizontal="center" vertical="center"/>
    </xf>
    <xf numFmtId="0" fontId="10" fillId="2" borderId="19" xfId="0" applyFont="1" applyFill="1" applyBorder="1" applyAlignment="1">
      <alignment horizontal="center" vertical="center"/>
    </xf>
  </cellXfs>
  <cellStyles count="7">
    <cellStyle name="표준" xfId="0" builtinId="0"/>
    <cellStyle name="표준 2" xfId="2" xr:uid="{9F4744C2-D004-4D65-AFD9-E324AE97E296}"/>
    <cellStyle name="표준 2 2" xfId="4" xr:uid="{D1D7FB55-9C68-4964-A871-7E14955AE00D}"/>
    <cellStyle name="표준 2 3" xfId="6" xr:uid="{0521440D-594A-4F95-B073-C18A55D4F19D}"/>
    <cellStyle name="표준 3" xfId="1" xr:uid="{13F5CB06-83C7-47F7-B37F-FD00C68A5D3A}"/>
    <cellStyle name="표준 4" xfId="3" xr:uid="{9A0B9DFA-B7DE-4598-9BCC-0B1565D6F6F6}"/>
    <cellStyle name="표준 5" xfId="5" xr:uid="{4B72B6C1-E729-4BCF-87B0-241533E92D43}"/>
  </cellStyles>
  <dxfs count="0"/>
  <tableStyles count="0" defaultTableStyle="TableStyleMedium2" defaultPivotStyle="PivotStyleLight16"/>
  <colors>
    <mruColors>
      <color rgb="FF0000FF"/>
      <color rgb="FF000000"/>
      <color rgb="FFFFFF00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3C894-9D6D-466A-B881-F5D1CFC1BC41}">
  <dimension ref="A2:Z83"/>
  <sheetViews>
    <sheetView zoomScaleNormal="100" workbookViewId="0">
      <selection activeCell="J15" sqref="J15"/>
    </sheetView>
  </sheetViews>
  <sheetFormatPr defaultRowHeight="17" x14ac:dyDescent="0.45"/>
  <cols>
    <col min="1" max="1" width="12.33203125" customWidth="1"/>
    <col min="2" max="3" width="16.25" customWidth="1"/>
    <col min="4" max="4" width="17.58203125" customWidth="1"/>
    <col min="5" max="5" width="16.25" customWidth="1"/>
    <col min="6" max="6" width="24.58203125" customWidth="1"/>
    <col min="7" max="7" width="14.4140625" customWidth="1"/>
    <col min="8" max="8" width="28.75" customWidth="1"/>
    <col min="9" max="9" width="17.33203125" customWidth="1"/>
    <col min="10" max="10" width="38.6640625" customWidth="1"/>
    <col min="11" max="11" width="25.5" customWidth="1"/>
    <col min="12" max="12" width="34.33203125" customWidth="1"/>
    <col min="13" max="13" width="35.25" customWidth="1"/>
    <col min="14" max="14" width="19.9140625" customWidth="1"/>
    <col min="15" max="15" width="18.33203125" customWidth="1"/>
    <col min="16" max="16" width="8.33203125" customWidth="1"/>
    <col min="17" max="17" width="10.83203125" customWidth="1"/>
    <col min="18" max="20" width="8.33203125" customWidth="1"/>
    <col min="26" max="26" width="9.25" bestFit="1" customWidth="1"/>
  </cols>
  <sheetData>
    <row r="2" spans="1:26" ht="19" customHeight="1" thickBot="1" x14ac:dyDescent="0.5"/>
    <row r="3" spans="1:26" ht="17.5" thickBot="1" x14ac:dyDescent="0.5">
      <c r="B3" s="64" t="s">
        <v>48</v>
      </c>
      <c r="C3" s="12" t="s">
        <v>16</v>
      </c>
      <c r="D3" s="13" t="s">
        <v>17</v>
      </c>
      <c r="E3" s="14" t="s">
        <v>3</v>
      </c>
      <c r="F3" s="14" t="s">
        <v>6</v>
      </c>
      <c r="G3" s="14" t="s">
        <v>0</v>
      </c>
      <c r="H3" s="14" t="s">
        <v>57</v>
      </c>
      <c r="I3" s="14" t="s">
        <v>21</v>
      </c>
      <c r="J3" s="14" t="s">
        <v>4</v>
      </c>
      <c r="K3" s="14" t="s">
        <v>5</v>
      </c>
      <c r="L3" s="14" t="s">
        <v>58</v>
      </c>
      <c r="M3" s="15" t="s">
        <v>59</v>
      </c>
    </row>
    <row r="4" spans="1:26" x14ac:dyDescent="0.45">
      <c r="B4" s="65"/>
      <c r="C4" s="16">
        <v>1</v>
      </c>
      <c r="D4" s="17" t="s">
        <v>20</v>
      </c>
      <c r="E4" s="24" t="s">
        <v>8</v>
      </c>
      <c r="F4" s="24" t="s">
        <v>22</v>
      </c>
      <c r="G4" s="24">
        <v>3.3</v>
      </c>
      <c r="H4" s="17"/>
      <c r="I4" s="24" t="s">
        <v>40</v>
      </c>
      <c r="J4" s="17" t="s">
        <v>23</v>
      </c>
      <c r="K4" s="24" t="s">
        <v>10</v>
      </c>
      <c r="L4" s="24" t="s">
        <v>79</v>
      </c>
      <c r="M4" s="25"/>
    </row>
    <row r="5" spans="1:26" x14ac:dyDescent="0.45">
      <c r="A5" s="4"/>
      <c r="B5" s="65"/>
      <c r="C5" s="19">
        <v>2</v>
      </c>
      <c r="D5" s="9" t="s">
        <v>19</v>
      </c>
      <c r="E5" s="9" t="s">
        <v>8</v>
      </c>
      <c r="F5" s="9" t="s">
        <v>9</v>
      </c>
      <c r="G5" s="9">
        <v>3.3</v>
      </c>
      <c r="H5" s="9" t="s">
        <v>41</v>
      </c>
      <c r="I5" s="9" t="s">
        <v>25</v>
      </c>
      <c r="J5" s="9" t="s">
        <v>18</v>
      </c>
      <c r="K5" s="9" t="s">
        <v>11</v>
      </c>
      <c r="L5" s="9" t="s">
        <v>80</v>
      </c>
      <c r="M5" s="8"/>
    </row>
    <row r="6" spans="1:26" x14ac:dyDescent="0.45">
      <c r="A6" s="4"/>
      <c r="B6" s="65"/>
      <c r="C6" s="19">
        <v>3</v>
      </c>
      <c r="D6" s="9" t="s">
        <v>24</v>
      </c>
      <c r="E6" s="9" t="s">
        <v>8</v>
      </c>
      <c r="F6" s="9" t="s">
        <v>9</v>
      </c>
      <c r="G6" s="9">
        <v>3.3</v>
      </c>
      <c r="H6" s="9" t="s">
        <v>41</v>
      </c>
      <c r="I6" s="9" t="s">
        <v>25</v>
      </c>
      <c r="J6" s="9" t="s">
        <v>26</v>
      </c>
      <c r="K6" s="9" t="s">
        <v>12</v>
      </c>
      <c r="L6" s="9" t="s">
        <v>80</v>
      </c>
      <c r="M6" s="8" t="s">
        <v>27</v>
      </c>
      <c r="Z6" s="7"/>
    </row>
    <row r="7" spans="1:26" ht="58" x14ac:dyDescent="0.45">
      <c r="B7" s="65"/>
      <c r="C7" s="19">
        <v>4</v>
      </c>
      <c r="D7" s="9" t="s">
        <v>28</v>
      </c>
      <c r="E7" s="9" t="s">
        <v>8</v>
      </c>
      <c r="F7" s="9" t="s">
        <v>60</v>
      </c>
      <c r="G7" s="9">
        <v>3.3</v>
      </c>
      <c r="H7" s="9" t="s">
        <v>41</v>
      </c>
      <c r="I7" s="9" t="s">
        <v>25</v>
      </c>
      <c r="J7" s="11" t="s">
        <v>75</v>
      </c>
      <c r="K7" s="9" t="s">
        <v>33</v>
      </c>
      <c r="L7" s="9" t="s">
        <v>81</v>
      </c>
      <c r="M7" s="8"/>
      <c r="Z7" s="7"/>
    </row>
    <row r="8" spans="1:26" ht="58" x14ac:dyDescent="0.45">
      <c r="B8" s="65"/>
      <c r="C8" s="19">
        <v>5</v>
      </c>
      <c r="D8" s="9" t="s">
        <v>29</v>
      </c>
      <c r="E8" s="9" t="s">
        <v>8</v>
      </c>
      <c r="F8" s="9" t="s">
        <v>60</v>
      </c>
      <c r="G8" s="9">
        <v>3.3</v>
      </c>
      <c r="H8" s="9" t="s">
        <v>41</v>
      </c>
      <c r="I8" s="9" t="s">
        <v>25</v>
      </c>
      <c r="J8" s="11" t="s">
        <v>76</v>
      </c>
      <c r="K8" s="9" t="s">
        <v>34</v>
      </c>
      <c r="L8" s="9" t="s">
        <v>81</v>
      </c>
      <c r="M8" s="8"/>
      <c r="Z8" s="7"/>
    </row>
    <row r="9" spans="1:26" x14ac:dyDescent="0.45">
      <c r="B9" s="65"/>
      <c r="C9" s="19">
        <v>6</v>
      </c>
      <c r="D9" s="9" t="s">
        <v>61</v>
      </c>
      <c r="E9" s="9" t="s">
        <v>8</v>
      </c>
      <c r="F9" s="9" t="s">
        <v>9</v>
      </c>
      <c r="G9" s="9">
        <v>3.3</v>
      </c>
      <c r="H9" s="9" t="s">
        <v>41</v>
      </c>
      <c r="I9" s="9" t="s">
        <v>25</v>
      </c>
      <c r="J9" s="11" t="s">
        <v>62</v>
      </c>
      <c r="K9" s="9" t="s">
        <v>63</v>
      </c>
      <c r="L9" s="9" t="s">
        <v>80</v>
      </c>
      <c r="M9" s="8"/>
      <c r="Z9" s="7"/>
    </row>
    <row r="10" spans="1:26" ht="76.5" customHeight="1" x14ac:dyDescent="0.45">
      <c r="B10" s="65"/>
      <c r="C10" s="19">
        <v>7</v>
      </c>
      <c r="D10" s="9" t="s">
        <v>2</v>
      </c>
      <c r="E10" s="9" t="s">
        <v>1</v>
      </c>
      <c r="F10" s="9" t="s">
        <v>83</v>
      </c>
      <c r="G10" s="9">
        <v>3.3</v>
      </c>
      <c r="H10" s="9"/>
      <c r="I10" s="9" t="s">
        <v>35</v>
      </c>
      <c r="J10" s="11" t="s">
        <v>36</v>
      </c>
      <c r="K10" s="9" t="s">
        <v>13</v>
      </c>
      <c r="L10" s="9" t="s">
        <v>82</v>
      </c>
      <c r="M10" s="8" t="s">
        <v>50</v>
      </c>
      <c r="Z10" s="7"/>
    </row>
    <row r="11" spans="1:26" ht="192" customHeight="1" x14ac:dyDescent="0.45">
      <c r="B11" s="65"/>
      <c r="C11" s="19">
        <v>8</v>
      </c>
      <c r="D11" s="9" t="s">
        <v>37</v>
      </c>
      <c r="E11" s="9" t="s">
        <v>38</v>
      </c>
      <c r="F11" s="11" t="s">
        <v>77</v>
      </c>
      <c r="G11" s="11">
        <v>3.3</v>
      </c>
      <c r="H11" s="11" t="s">
        <v>100</v>
      </c>
      <c r="I11" s="11" t="s">
        <v>39</v>
      </c>
      <c r="J11" s="11" t="s">
        <v>42</v>
      </c>
      <c r="K11" s="9" t="s">
        <v>14</v>
      </c>
      <c r="L11" s="9" t="s">
        <v>77</v>
      </c>
      <c r="M11" s="26" t="s">
        <v>99</v>
      </c>
    </row>
    <row r="12" spans="1:26" ht="193" customHeight="1" x14ac:dyDescent="0.45">
      <c r="B12" s="65"/>
      <c r="C12" s="19">
        <v>9</v>
      </c>
      <c r="D12" s="9" t="s">
        <v>105</v>
      </c>
      <c r="E12" s="9" t="s">
        <v>38</v>
      </c>
      <c r="F12" s="11" t="s">
        <v>78</v>
      </c>
      <c r="G12" s="11">
        <v>3.3</v>
      </c>
      <c r="H12" s="11" t="s">
        <v>101</v>
      </c>
      <c r="I12" s="11" t="s">
        <v>39</v>
      </c>
      <c r="J12" s="11" t="s">
        <v>43</v>
      </c>
      <c r="K12" s="9" t="s">
        <v>15</v>
      </c>
      <c r="L12" s="9" t="s">
        <v>78</v>
      </c>
      <c r="M12" s="26" t="s">
        <v>99</v>
      </c>
    </row>
    <row r="13" spans="1:26" ht="17.5" thickBot="1" x14ac:dyDescent="0.5">
      <c r="B13" s="66"/>
      <c r="C13" s="6">
        <v>10</v>
      </c>
      <c r="D13" s="2" t="s">
        <v>46</v>
      </c>
      <c r="E13" s="2"/>
      <c r="F13" s="2"/>
      <c r="G13" s="2">
        <v>5.5</v>
      </c>
      <c r="H13" s="2"/>
      <c r="I13" s="2"/>
      <c r="J13" s="2" t="s">
        <v>47</v>
      </c>
      <c r="K13" s="2"/>
      <c r="L13" s="2"/>
      <c r="M13" s="5"/>
    </row>
    <row r="14" spans="1:26" x14ac:dyDescent="0.45"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26" ht="17.5" thickBot="1" x14ac:dyDescent="0.5"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26" ht="17.5" customHeight="1" thickBot="1" x14ac:dyDescent="0.5">
      <c r="B16" s="64" t="s">
        <v>8</v>
      </c>
      <c r="C16" s="12" t="s">
        <v>16</v>
      </c>
      <c r="D16" s="13" t="s">
        <v>17</v>
      </c>
      <c r="E16" s="14" t="s">
        <v>3</v>
      </c>
      <c r="F16" s="14" t="s">
        <v>6</v>
      </c>
      <c r="G16" s="14" t="s">
        <v>0</v>
      </c>
      <c r="H16" s="14" t="s">
        <v>57</v>
      </c>
      <c r="I16" s="14" t="s">
        <v>21</v>
      </c>
      <c r="J16" s="14" t="s">
        <v>4</v>
      </c>
      <c r="K16" s="14" t="s">
        <v>51</v>
      </c>
      <c r="L16" s="14" t="s">
        <v>58</v>
      </c>
      <c r="M16" s="15" t="s">
        <v>59</v>
      </c>
    </row>
    <row r="17" spans="2:13" x14ac:dyDescent="0.45">
      <c r="B17" s="65"/>
      <c r="C17" s="16">
        <v>1</v>
      </c>
      <c r="D17" s="17" t="s">
        <v>20</v>
      </c>
      <c r="E17" s="18" t="s">
        <v>8</v>
      </c>
      <c r="F17" s="18" t="s">
        <v>22</v>
      </c>
      <c r="G17" s="18">
        <v>3.3</v>
      </c>
      <c r="H17" s="17"/>
      <c r="I17" s="18" t="s">
        <v>40</v>
      </c>
      <c r="J17" s="17" t="s">
        <v>23</v>
      </c>
      <c r="K17" s="27" t="s">
        <v>102</v>
      </c>
      <c r="L17" s="24" t="s">
        <v>44</v>
      </c>
      <c r="M17" s="25"/>
    </row>
    <row r="18" spans="2:13" x14ac:dyDescent="0.45">
      <c r="B18" s="65"/>
      <c r="C18" s="19">
        <v>2</v>
      </c>
      <c r="D18" s="9" t="s">
        <v>19</v>
      </c>
      <c r="E18" s="9" t="s">
        <v>8</v>
      </c>
      <c r="F18" s="9" t="s">
        <v>9</v>
      </c>
      <c r="G18" s="9">
        <v>3.3</v>
      </c>
      <c r="H18" s="9" t="s">
        <v>41</v>
      </c>
      <c r="I18" s="9" t="s">
        <v>25</v>
      </c>
      <c r="J18" s="9" t="s">
        <v>18</v>
      </c>
      <c r="K18" s="27" t="s">
        <v>102</v>
      </c>
      <c r="L18" s="9" t="s">
        <v>45</v>
      </c>
      <c r="M18" s="8"/>
    </row>
    <row r="19" spans="2:13" x14ac:dyDescent="0.45">
      <c r="B19" s="65"/>
      <c r="C19" s="19">
        <v>3</v>
      </c>
      <c r="D19" s="9" t="s">
        <v>24</v>
      </c>
      <c r="E19" s="9" t="s">
        <v>8</v>
      </c>
      <c r="F19" s="9" t="s">
        <v>9</v>
      </c>
      <c r="G19" s="9">
        <v>3.3</v>
      </c>
      <c r="H19" s="9" t="s">
        <v>41</v>
      </c>
      <c r="I19" s="9" t="s">
        <v>25</v>
      </c>
      <c r="J19" s="9" t="s">
        <v>26</v>
      </c>
      <c r="K19" s="27" t="s">
        <v>102</v>
      </c>
      <c r="L19" s="9" t="s">
        <v>45</v>
      </c>
      <c r="M19" s="8" t="s">
        <v>27</v>
      </c>
    </row>
    <row r="20" spans="2:13" x14ac:dyDescent="0.45">
      <c r="B20" s="65"/>
      <c r="C20" s="19">
        <v>6</v>
      </c>
      <c r="D20" s="9" t="s">
        <v>61</v>
      </c>
      <c r="E20" s="9" t="s">
        <v>8</v>
      </c>
      <c r="F20" s="9" t="s">
        <v>9</v>
      </c>
      <c r="G20" s="9">
        <v>3.3</v>
      </c>
      <c r="H20" s="9" t="s">
        <v>41</v>
      </c>
      <c r="I20" s="9" t="s">
        <v>25</v>
      </c>
      <c r="J20" s="11" t="s">
        <v>62</v>
      </c>
      <c r="K20" s="27" t="s">
        <v>102</v>
      </c>
      <c r="L20" s="9" t="s">
        <v>45</v>
      </c>
      <c r="M20" s="8"/>
    </row>
    <row r="21" spans="2:13" x14ac:dyDescent="0.45">
      <c r="B21" s="65"/>
      <c r="C21" s="19">
        <v>4</v>
      </c>
      <c r="D21" s="9" t="s">
        <v>28</v>
      </c>
      <c r="E21" s="9" t="s">
        <v>8</v>
      </c>
      <c r="F21" s="9" t="s">
        <v>30</v>
      </c>
      <c r="G21" s="9">
        <v>3.3</v>
      </c>
      <c r="H21" s="9" t="s">
        <v>41</v>
      </c>
      <c r="I21" s="9" t="s">
        <v>25</v>
      </c>
      <c r="J21" s="9" t="s">
        <v>31</v>
      </c>
      <c r="K21" s="27" t="s">
        <v>103</v>
      </c>
      <c r="L21" s="9" t="s">
        <v>45</v>
      </c>
      <c r="M21" s="8"/>
    </row>
    <row r="22" spans="2:13" x14ac:dyDescent="0.45">
      <c r="B22" s="65"/>
      <c r="C22" s="19">
        <v>5</v>
      </c>
      <c r="D22" s="9" t="s">
        <v>29</v>
      </c>
      <c r="E22" s="9" t="s">
        <v>8</v>
      </c>
      <c r="F22" s="9" t="s">
        <v>30</v>
      </c>
      <c r="G22" s="9">
        <v>3.3</v>
      </c>
      <c r="H22" s="9" t="s">
        <v>41</v>
      </c>
      <c r="I22" s="9" t="s">
        <v>25</v>
      </c>
      <c r="J22" s="9" t="s">
        <v>32</v>
      </c>
      <c r="K22" s="27" t="s">
        <v>103</v>
      </c>
      <c r="L22" s="9" t="s">
        <v>45</v>
      </c>
      <c r="M22" s="8"/>
    </row>
    <row r="23" spans="2:13" ht="72.5" x14ac:dyDescent="0.45">
      <c r="B23" s="65"/>
      <c r="C23" s="19">
        <v>7</v>
      </c>
      <c r="D23" s="9" t="s">
        <v>2</v>
      </c>
      <c r="E23" s="9" t="s">
        <v>1</v>
      </c>
      <c r="F23" s="9" t="s">
        <v>49</v>
      </c>
      <c r="G23" s="9">
        <v>3.3</v>
      </c>
      <c r="H23" s="9"/>
      <c r="I23" s="9" t="s">
        <v>35</v>
      </c>
      <c r="J23" s="11" t="s">
        <v>36</v>
      </c>
      <c r="K23" s="27" t="s">
        <v>102</v>
      </c>
      <c r="L23" s="9" t="s">
        <v>82</v>
      </c>
      <c r="M23" s="8"/>
    </row>
    <row r="24" spans="2:13" ht="55" customHeight="1" x14ac:dyDescent="0.45">
      <c r="B24" s="65"/>
      <c r="C24" s="19">
        <v>8</v>
      </c>
      <c r="D24" s="9" t="s">
        <v>7</v>
      </c>
      <c r="E24" s="9" t="s">
        <v>1</v>
      </c>
      <c r="F24" s="9" t="s">
        <v>56</v>
      </c>
      <c r="G24" s="9">
        <v>3.3</v>
      </c>
      <c r="H24" s="9"/>
      <c r="I24" s="9" t="s">
        <v>35</v>
      </c>
      <c r="J24" s="11" t="s">
        <v>104</v>
      </c>
      <c r="K24" s="27" t="s">
        <v>88</v>
      </c>
      <c r="L24" s="9"/>
      <c r="M24" s="8" t="s">
        <v>50</v>
      </c>
    </row>
    <row r="25" spans="2:13" ht="188.5" x14ac:dyDescent="0.45">
      <c r="B25" s="65"/>
      <c r="C25" s="19">
        <v>9</v>
      </c>
      <c r="D25" s="9" t="s">
        <v>52</v>
      </c>
      <c r="E25" s="9" t="s">
        <v>38</v>
      </c>
      <c r="F25" s="11" t="s">
        <v>84</v>
      </c>
      <c r="G25" s="11">
        <v>3.3</v>
      </c>
      <c r="H25" s="11" t="s">
        <v>55</v>
      </c>
      <c r="I25" s="10" t="s">
        <v>39</v>
      </c>
      <c r="J25" s="11" t="s">
        <v>42</v>
      </c>
      <c r="K25" s="27" t="s">
        <v>89</v>
      </c>
      <c r="L25" s="11" t="s">
        <v>86</v>
      </c>
      <c r="M25" s="26" t="s">
        <v>87</v>
      </c>
    </row>
    <row r="26" spans="2:13" ht="188.5" x14ac:dyDescent="0.45">
      <c r="B26" s="65"/>
      <c r="C26" s="19">
        <v>10</v>
      </c>
      <c r="D26" s="11" t="s">
        <v>53</v>
      </c>
      <c r="E26" s="9" t="s">
        <v>54</v>
      </c>
      <c r="F26" s="11" t="s">
        <v>84</v>
      </c>
      <c r="G26" s="11">
        <v>5</v>
      </c>
      <c r="H26" s="11" t="s">
        <v>55</v>
      </c>
      <c r="I26" s="10" t="s">
        <v>39</v>
      </c>
      <c r="J26" s="11" t="s">
        <v>43</v>
      </c>
      <c r="K26" s="27" t="s">
        <v>89</v>
      </c>
      <c r="L26" s="11" t="s">
        <v>84</v>
      </c>
      <c r="M26" s="26" t="s">
        <v>87</v>
      </c>
    </row>
    <row r="27" spans="2:13" x14ac:dyDescent="0.45">
      <c r="B27" s="65"/>
      <c r="C27" s="21">
        <v>11</v>
      </c>
      <c r="D27" s="22" t="s">
        <v>65</v>
      </c>
      <c r="E27" s="20" t="s">
        <v>8</v>
      </c>
      <c r="F27" s="22" t="s">
        <v>69</v>
      </c>
      <c r="G27" s="22">
        <v>3.3</v>
      </c>
      <c r="H27" s="22" t="s">
        <v>90</v>
      </c>
      <c r="I27" s="23"/>
      <c r="J27" s="22" t="s">
        <v>70</v>
      </c>
      <c r="K27" s="27" t="s">
        <v>91</v>
      </c>
      <c r="L27" s="20" t="s">
        <v>72</v>
      </c>
      <c r="M27" s="28" t="s">
        <v>92</v>
      </c>
    </row>
    <row r="28" spans="2:13" ht="29" x14ac:dyDescent="0.45">
      <c r="B28" s="65"/>
      <c r="C28" s="21">
        <v>12</v>
      </c>
      <c r="D28" s="22" t="s">
        <v>66</v>
      </c>
      <c r="E28" s="20" t="s">
        <v>1</v>
      </c>
      <c r="F28" s="22" t="s">
        <v>68</v>
      </c>
      <c r="G28" s="22" t="s">
        <v>67</v>
      </c>
      <c r="H28" s="22" t="s">
        <v>93</v>
      </c>
      <c r="I28" s="23"/>
      <c r="J28" s="22" t="s">
        <v>71</v>
      </c>
      <c r="K28" s="27" t="s">
        <v>94</v>
      </c>
      <c r="L28" s="20" t="s">
        <v>73</v>
      </c>
      <c r="M28" s="28" t="s">
        <v>95</v>
      </c>
    </row>
    <row r="29" spans="2:13" ht="100" thickBot="1" x14ac:dyDescent="0.5">
      <c r="B29" s="66"/>
      <c r="C29" s="29">
        <v>13</v>
      </c>
      <c r="D29" s="30" t="s">
        <v>64</v>
      </c>
      <c r="E29" s="31" t="s">
        <v>1</v>
      </c>
      <c r="F29" s="30"/>
      <c r="G29" s="30"/>
      <c r="H29" s="30" t="s">
        <v>96</v>
      </c>
      <c r="I29" s="32"/>
      <c r="J29" s="30" t="s">
        <v>85</v>
      </c>
      <c r="K29" s="33" t="s">
        <v>97</v>
      </c>
      <c r="L29" s="30" t="s">
        <v>98</v>
      </c>
      <c r="M29" s="34" t="s">
        <v>74</v>
      </c>
    </row>
    <row r="32" spans="2:13" ht="17" customHeight="1" x14ac:dyDescent="0.45"/>
    <row r="36" ht="17" customHeight="1" x14ac:dyDescent="0.45"/>
    <row r="83" spans="3:15" x14ac:dyDescent="0.45">
      <c r="C83" s="61"/>
      <c r="D83" s="62"/>
      <c r="E83" s="62"/>
      <c r="F83" s="62"/>
      <c r="G83" s="62"/>
      <c r="H83" s="62"/>
      <c r="I83" s="62"/>
      <c r="J83" s="63"/>
      <c r="K83" s="1"/>
      <c r="L83" s="1"/>
      <c r="M83" s="1"/>
      <c r="N83" s="1"/>
      <c r="O83" s="1"/>
    </row>
  </sheetData>
  <mergeCells count="3">
    <mergeCell ref="C83:J83"/>
    <mergeCell ref="B3:B13"/>
    <mergeCell ref="B16:B29"/>
  </mergeCells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0073A-4B03-43B6-8B2C-C152DF7E56E6}">
  <dimension ref="B2:F27"/>
  <sheetViews>
    <sheetView tabSelected="1" zoomScale="85" zoomScaleNormal="85" workbookViewId="0"/>
  </sheetViews>
  <sheetFormatPr defaultRowHeight="17" x14ac:dyDescent="0.45"/>
  <cols>
    <col min="2" max="2" width="15.25" customWidth="1"/>
    <col min="3" max="3" width="13.5" customWidth="1"/>
    <col min="4" max="4" width="11.75" customWidth="1"/>
    <col min="5" max="5" width="14.1640625" customWidth="1"/>
    <col min="6" max="6" width="13.1640625" customWidth="1"/>
    <col min="8" max="8" width="16.6640625" customWidth="1"/>
    <col min="9" max="9" width="17.1640625" customWidth="1"/>
  </cols>
  <sheetData>
    <row r="2" spans="2:6" ht="17.5" thickBot="1" x14ac:dyDescent="0.5">
      <c r="B2" t="s">
        <v>117</v>
      </c>
    </row>
    <row r="3" spans="2:6" x14ac:dyDescent="0.45">
      <c r="B3" s="35" t="s">
        <v>113</v>
      </c>
      <c r="C3" s="36">
        <v>32</v>
      </c>
      <c r="D3" s="37" t="s">
        <v>107</v>
      </c>
      <c r="E3" s="48"/>
      <c r="F3" s="48"/>
    </row>
    <row r="4" spans="2:6" ht="17.5" thickBot="1" x14ac:dyDescent="0.5">
      <c r="B4" s="45" t="s">
        <v>114</v>
      </c>
      <c r="C4" s="46">
        <v>1.6</v>
      </c>
      <c r="D4" s="44" t="s">
        <v>107</v>
      </c>
      <c r="E4" s="48"/>
      <c r="F4" s="48"/>
    </row>
    <row r="5" spans="2:6" ht="17.5" thickBot="1" x14ac:dyDescent="0.5">
      <c r="B5" s="48"/>
      <c r="C5" s="48"/>
      <c r="D5" s="48"/>
      <c r="E5" s="48"/>
      <c r="F5" s="48"/>
    </row>
    <row r="6" spans="2:6" ht="17.5" thickBot="1" x14ac:dyDescent="0.5">
      <c r="B6" s="58" t="s">
        <v>106</v>
      </c>
      <c r="C6" s="59"/>
      <c r="D6" s="59"/>
      <c r="E6" s="59"/>
      <c r="F6" s="60"/>
    </row>
    <row r="7" spans="2:6" x14ac:dyDescent="0.45">
      <c r="B7" s="53" t="s">
        <v>111</v>
      </c>
      <c r="C7" s="54">
        <v>500</v>
      </c>
      <c r="D7" s="55" t="s">
        <v>108</v>
      </c>
      <c r="E7" s="56">
        <f>(C3-C4)*(C7/4095)+C4</f>
        <v>5.3118437118437116</v>
      </c>
      <c r="F7" s="57" t="s">
        <v>107</v>
      </c>
    </row>
    <row r="8" spans="2:6" x14ac:dyDescent="0.45">
      <c r="B8" s="38" t="s">
        <v>112</v>
      </c>
      <c r="C8" s="39">
        <v>2000</v>
      </c>
      <c r="D8" s="40" t="s">
        <v>108</v>
      </c>
      <c r="E8" s="41">
        <f>(C3-C4)*(C8/4095)+C4</f>
        <v>16.447374847374846</v>
      </c>
      <c r="F8" s="42" t="s">
        <v>107</v>
      </c>
    </row>
    <row r="9" spans="2:6" ht="17.5" thickBot="1" x14ac:dyDescent="0.5">
      <c r="B9" s="49"/>
      <c r="C9" s="50"/>
      <c r="D9" s="50" t="s">
        <v>109</v>
      </c>
      <c r="E9" s="51">
        <f>E8-E7</f>
        <v>11.135531135531135</v>
      </c>
      <c r="F9" s="52" t="s">
        <v>107</v>
      </c>
    </row>
    <row r="10" spans="2:6" ht="17.5" thickBot="1" x14ac:dyDescent="0.5">
      <c r="B10" s="58" t="s">
        <v>110</v>
      </c>
      <c r="C10" s="59"/>
      <c r="D10" s="59"/>
      <c r="E10" s="59"/>
      <c r="F10" s="60"/>
    </row>
    <row r="11" spans="2:6" x14ac:dyDescent="0.45">
      <c r="B11" s="53" t="s">
        <v>111</v>
      </c>
      <c r="C11" s="54">
        <v>150</v>
      </c>
      <c r="D11" s="55" t="s">
        <v>108</v>
      </c>
      <c r="E11" s="56">
        <f>(C3-C4)*(C11/4095)+C4</f>
        <v>2.7135531135531137</v>
      </c>
      <c r="F11" s="57" t="s">
        <v>107</v>
      </c>
    </row>
    <row r="12" spans="2:6" x14ac:dyDescent="0.45">
      <c r="B12" s="38" t="s">
        <v>112</v>
      </c>
      <c r="C12" s="39">
        <v>250</v>
      </c>
      <c r="D12" s="40" t="s">
        <v>108</v>
      </c>
      <c r="E12" s="41">
        <f>(C3-C4)*(C12/4095)+C4</f>
        <v>3.4559218559218561</v>
      </c>
      <c r="F12" s="42" t="s">
        <v>107</v>
      </c>
    </row>
    <row r="13" spans="2:6" ht="17.5" thickBot="1" x14ac:dyDescent="0.5">
      <c r="B13" s="6"/>
      <c r="C13" s="2"/>
      <c r="D13" s="43" t="s">
        <v>115</v>
      </c>
      <c r="E13" s="47">
        <f>(E11+E12)/2</f>
        <v>3.0847374847374849</v>
      </c>
      <c r="F13" s="44" t="s">
        <v>107</v>
      </c>
    </row>
    <row r="14" spans="2:6" x14ac:dyDescent="0.45">
      <c r="C14" s="1"/>
      <c r="D14" s="1"/>
      <c r="E14" s="1"/>
      <c r="F14" s="1"/>
    </row>
    <row r="15" spans="2:6" x14ac:dyDescent="0.45">
      <c r="B15" s="1"/>
    </row>
    <row r="16" spans="2:6" ht="17.5" thickBot="1" x14ac:dyDescent="0.5">
      <c r="B16" t="s">
        <v>116</v>
      </c>
    </row>
    <row r="17" spans="2:6" x14ac:dyDescent="0.45">
      <c r="B17" s="35" t="s">
        <v>113</v>
      </c>
      <c r="C17" s="36">
        <v>16</v>
      </c>
      <c r="D17" s="37" t="s">
        <v>107</v>
      </c>
      <c r="E17" s="48"/>
      <c r="F17" s="48"/>
    </row>
    <row r="18" spans="2:6" ht="17.5" thickBot="1" x14ac:dyDescent="0.5">
      <c r="B18" s="45" t="s">
        <v>114</v>
      </c>
      <c r="C18" s="46">
        <v>0.85</v>
      </c>
      <c r="D18" s="44" t="s">
        <v>107</v>
      </c>
      <c r="E18" s="48"/>
      <c r="F18" s="48"/>
    </row>
    <row r="19" spans="2:6" ht="17.5" thickBot="1" x14ac:dyDescent="0.5">
      <c r="B19" s="48"/>
      <c r="C19" s="48"/>
      <c r="D19" s="48"/>
      <c r="E19" s="48"/>
      <c r="F19" s="48"/>
    </row>
    <row r="20" spans="2:6" ht="17.5" thickBot="1" x14ac:dyDescent="0.5">
      <c r="B20" s="58" t="s">
        <v>106</v>
      </c>
      <c r="C20" s="59"/>
      <c r="D20" s="59"/>
      <c r="E20" s="59"/>
      <c r="F20" s="60"/>
    </row>
    <row r="21" spans="2:6" x14ac:dyDescent="0.45">
      <c r="B21" s="53" t="s">
        <v>111</v>
      </c>
      <c r="C21" s="54">
        <v>500</v>
      </c>
      <c r="D21" s="55" t="s">
        <v>108</v>
      </c>
      <c r="E21" s="56">
        <f>(C17-C18)*(C21/4095)+C18</f>
        <v>2.69981684981685</v>
      </c>
      <c r="F21" s="57" t="s">
        <v>107</v>
      </c>
    </row>
    <row r="22" spans="2:6" x14ac:dyDescent="0.45">
      <c r="B22" s="38" t="s">
        <v>112</v>
      </c>
      <c r="C22" s="39">
        <v>2000</v>
      </c>
      <c r="D22" s="40" t="s">
        <v>108</v>
      </c>
      <c r="E22" s="41">
        <f>(C17-C18)*(C22/4095)+C18</f>
        <v>8.2492673992673993</v>
      </c>
      <c r="F22" s="42" t="s">
        <v>107</v>
      </c>
    </row>
    <row r="23" spans="2:6" ht="17.5" thickBot="1" x14ac:dyDescent="0.5">
      <c r="B23" s="49"/>
      <c r="C23" s="50"/>
      <c r="D23" s="50" t="s">
        <v>109</v>
      </c>
      <c r="E23" s="51">
        <f>E22-E21</f>
        <v>5.5494505494505493</v>
      </c>
      <c r="F23" s="52" t="s">
        <v>107</v>
      </c>
    </row>
    <row r="24" spans="2:6" ht="17.5" thickBot="1" x14ac:dyDescent="0.5">
      <c r="B24" s="58" t="s">
        <v>110</v>
      </c>
      <c r="C24" s="59"/>
      <c r="D24" s="59"/>
      <c r="E24" s="59"/>
      <c r="F24" s="60"/>
    </row>
    <row r="25" spans="2:6" x14ac:dyDescent="0.45">
      <c r="B25" s="53" t="s">
        <v>111</v>
      </c>
      <c r="C25" s="54">
        <v>150</v>
      </c>
      <c r="D25" s="55" t="s">
        <v>108</v>
      </c>
      <c r="E25" s="56">
        <f>(C17-C18)*(C25/4095)+C18</f>
        <v>1.4049450549450548</v>
      </c>
      <c r="F25" s="57" t="s">
        <v>107</v>
      </c>
    </row>
    <row r="26" spans="2:6" x14ac:dyDescent="0.45">
      <c r="B26" s="38" t="s">
        <v>112</v>
      </c>
      <c r="C26" s="39">
        <v>250</v>
      </c>
      <c r="D26" s="40" t="s">
        <v>108</v>
      </c>
      <c r="E26" s="41">
        <f>(C17-C18)*(C26/4095)+C18</f>
        <v>1.7749084249084248</v>
      </c>
      <c r="F26" s="42" t="s">
        <v>107</v>
      </c>
    </row>
    <row r="27" spans="2:6" ht="17.5" thickBot="1" x14ac:dyDescent="0.5">
      <c r="B27" s="6"/>
      <c r="C27" s="2"/>
      <c r="D27" s="43" t="s">
        <v>115</v>
      </c>
      <c r="E27" s="47">
        <f>(E25+E26)/2</f>
        <v>1.5899267399267398</v>
      </c>
      <c r="F27" s="44" t="s">
        <v>107</v>
      </c>
    </row>
  </sheetData>
  <mergeCells count="4">
    <mergeCell ref="B6:F6"/>
    <mergeCell ref="B10:F10"/>
    <mergeCell ref="B20:F20"/>
    <mergeCell ref="B24:F2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Test_Plan_Analog</vt:lpstr>
      <vt:lpstr>Caculator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김영훈</dc:creator>
  <cp:lastModifiedBy>이 준영</cp:lastModifiedBy>
  <dcterms:created xsi:type="dcterms:W3CDTF">2015-06-05T18:19:34Z</dcterms:created>
  <dcterms:modified xsi:type="dcterms:W3CDTF">2026-02-23T07:57:13Z</dcterms:modified>
</cp:coreProperties>
</file>