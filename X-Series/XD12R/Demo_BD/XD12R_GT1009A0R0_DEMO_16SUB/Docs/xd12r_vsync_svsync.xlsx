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Demo_BD\XD12R_GT1009A0R0_DEMO_16SUB\Docs\"/>
    </mc:Choice>
  </mc:AlternateContent>
  <xr:revisionPtr revIDLastSave="0" documentId="13_ncr:1_{B93E90B1-D360-453D-9040-967BE559B219}" xr6:coauthVersionLast="47" xr6:coauthVersionMax="47" xr10:uidLastSave="{00000000-0000-0000-0000-000000000000}"/>
  <bookViews>
    <workbookView xWindow="71880" yWindow="2160" windowWidth="29040" windowHeight="15720" activeTab="1" xr2:uid="{00000000-000D-0000-FFFF-FFFF00000000}"/>
  </bookViews>
  <sheets>
    <sheet name="RGB" sheetId="1" r:id="rId1"/>
    <sheet name="R+G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19" i="3"/>
  <c r="B10" i="3"/>
  <c r="B5" i="3"/>
  <c r="C24" i="1"/>
  <c r="C19" i="1"/>
  <c r="C14" i="1"/>
  <c r="B15" i="1" s="1"/>
  <c r="B10" i="1"/>
  <c r="B20" i="1" s="1"/>
  <c r="B22" i="1" s="1"/>
  <c r="B20" i="3" l="1"/>
  <c r="B21" i="3" s="1"/>
  <c r="B25" i="3"/>
  <c r="B11" i="3"/>
  <c r="B15" i="3"/>
  <c r="B25" i="1"/>
  <c r="B5" i="1"/>
  <c r="B22" i="3" l="1"/>
  <c r="B16" i="3"/>
  <c r="B17" i="3"/>
  <c r="B27" i="3"/>
  <c r="B26" i="3"/>
  <c r="B11" i="1"/>
  <c r="B26" i="1"/>
  <c r="B27" i="1"/>
  <c r="B16" i="1" l="1"/>
  <c r="B17" i="1"/>
  <c r="B21" i="1"/>
</calcChain>
</file>

<file path=xl/sharedStrings.xml><?xml version="1.0" encoding="utf-8"?>
<sst xmlns="http://schemas.openxmlformats.org/spreadsheetml/2006/main" count="42" uniqueCount="11">
  <si>
    <t>Main Vsync</t>
    <phoneticPr fontId="1" type="noConversion"/>
  </si>
  <si>
    <t>Svsync</t>
    <phoneticPr fontId="1" type="noConversion"/>
  </si>
  <si>
    <t>Hz</t>
    <phoneticPr fontId="1" type="noConversion"/>
  </si>
  <si>
    <t>R</t>
    <phoneticPr fontId="1" type="noConversion"/>
  </si>
  <si>
    <t>RGB Gating</t>
    <phoneticPr fontId="1" type="noConversion"/>
  </si>
  <si>
    <t>ms</t>
    <phoneticPr fontId="1" type="noConversion"/>
  </si>
  <si>
    <t>G</t>
    <phoneticPr fontId="1" type="noConversion"/>
  </si>
  <si>
    <t>B</t>
    <phoneticPr fontId="1" type="noConversion"/>
  </si>
  <si>
    <t>Timer Period</t>
    <phoneticPr fontId="1" type="noConversion"/>
  </si>
  <si>
    <t>TIM3</t>
    <phoneticPr fontId="1" type="noConversion"/>
  </si>
  <si>
    <t>90MHz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</si>
</sst>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9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Y27"/>
  <sheetViews>
    <sheetView zoomScale="70" zoomScaleNormal="70" workbookViewId="0">
      <selection activeCell="N16" sqref="N16"/>
    </sheetView>
  </sheetViews>
  <sheetFormatPr defaultRowHeight="17" x14ac:dyDescent="0.45"/>
  <cols>
    <col min="1" max="1" width="2.58203125" customWidth="1"/>
    <col min="3" max="3" width="11" bestFit="1" customWidth="1"/>
    <col min="4" max="77" width="3.9140625" customWidth="1"/>
  </cols>
  <sheetData>
    <row r="3" spans="2:77" x14ac:dyDescent="0.45">
      <c r="C3" t="s">
        <v>0</v>
      </c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/>
      <c r="AQ3" s="3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2:77" x14ac:dyDescent="0.45">
      <c r="B4">
        <v>120</v>
      </c>
      <c r="C4" t="s">
        <v>2</v>
      </c>
    </row>
    <row r="5" spans="2:77" x14ac:dyDescent="0.45">
      <c r="B5">
        <f>1000/B4</f>
        <v>8.3333333333333339</v>
      </c>
      <c r="C5" t="s">
        <v>5</v>
      </c>
    </row>
    <row r="8" spans="2:77" x14ac:dyDescent="0.45">
      <c r="B8" t="s">
        <v>9</v>
      </c>
      <c r="C8" t="s">
        <v>10</v>
      </c>
    </row>
    <row r="9" spans="2:77" x14ac:dyDescent="0.45">
      <c r="B9" s="4">
        <v>32</v>
      </c>
      <c r="C9" t="s">
        <v>1</v>
      </c>
      <c r="D9" s="1"/>
      <c r="E9" s="1"/>
      <c r="F9" s="2"/>
      <c r="G9" s="3"/>
      <c r="H9" s="1"/>
      <c r="I9" s="1"/>
      <c r="J9" s="1"/>
      <c r="K9" s="1"/>
      <c r="L9" s="1"/>
      <c r="M9" s="1"/>
      <c r="N9" s="1"/>
      <c r="O9" s="2"/>
      <c r="P9" s="3"/>
      <c r="Q9" s="1"/>
      <c r="R9" s="1"/>
      <c r="S9" s="1"/>
      <c r="T9" s="1"/>
      <c r="U9" s="1"/>
      <c r="V9" s="1"/>
      <c r="W9" s="1"/>
      <c r="X9" s="2"/>
      <c r="Y9" s="3"/>
      <c r="Z9" s="1"/>
      <c r="AA9" s="1"/>
      <c r="AB9" s="1"/>
      <c r="AC9" s="1"/>
      <c r="AD9" s="1"/>
      <c r="AE9" s="1"/>
      <c r="AF9" s="1"/>
      <c r="AG9" s="2"/>
      <c r="AH9" s="3"/>
      <c r="AI9" s="1"/>
      <c r="AJ9" s="1"/>
      <c r="AK9" s="1"/>
      <c r="AL9" s="1"/>
      <c r="AM9" s="1"/>
      <c r="AN9" s="1"/>
      <c r="AO9" s="1"/>
      <c r="AP9" s="2"/>
      <c r="AQ9" s="3"/>
      <c r="AR9" s="1"/>
      <c r="AS9" s="1"/>
      <c r="AT9" s="1"/>
      <c r="AU9" s="1"/>
      <c r="AV9" s="1"/>
      <c r="AW9" s="1"/>
      <c r="AX9" s="1"/>
      <c r="AY9" s="2"/>
      <c r="AZ9" s="3"/>
      <c r="BA9" s="1"/>
      <c r="BB9" s="1"/>
      <c r="BC9" s="1"/>
      <c r="BD9" s="1"/>
      <c r="BE9" s="1"/>
      <c r="BF9" s="1"/>
      <c r="BG9" s="1"/>
      <c r="BH9" s="2"/>
      <c r="BI9" s="3"/>
      <c r="BJ9" s="1"/>
      <c r="BK9" s="1"/>
      <c r="BL9" s="1"/>
      <c r="BM9" s="1"/>
      <c r="BN9" s="1"/>
      <c r="BO9" s="1"/>
      <c r="BP9" s="1"/>
      <c r="BQ9" s="2"/>
      <c r="BR9" s="3"/>
      <c r="BS9" s="1"/>
      <c r="BT9" s="1"/>
      <c r="BU9" s="1"/>
      <c r="BV9" s="1"/>
      <c r="BW9" s="1"/>
      <c r="BX9" s="1"/>
      <c r="BY9" s="1"/>
    </row>
    <row r="10" spans="2:77" x14ac:dyDescent="0.45">
      <c r="B10">
        <f>B4*B9</f>
        <v>3840</v>
      </c>
      <c r="C10" t="s">
        <v>2</v>
      </c>
    </row>
    <row r="11" spans="2:77" x14ac:dyDescent="0.45">
      <c r="B11">
        <f>1000/B10</f>
        <v>0.26041666666666669</v>
      </c>
      <c r="C11" t="s">
        <v>5</v>
      </c>
    </row>
    <row r="13" spans="2:77" x14ac:dyDescent="0.45">
      <c r="C13" t="s">
        <v>4</v>
      </c>
    </row>
    <row r="14" spans="2:77" x14ac:dyDescent="0.45">
      <c r="B14" t="s">
        <v>3</v>
      </c>
      <c r="C14" s="5">
        <f>1/3</f>
        <v>0.33333333333333331</v>
      </c>
      <c r="D14" s="1"/>
      <c r="E14" s="1"/>
      <c r="F14" s="2"/>
      <c r="G14" s="3"/>
      <c r="H14" s="1"/>
      <c r="I14" s="1"/>
      <c r="J14" s="1"/>
      <c r="K14" s="1"/>
      <c r="L14" s="1"/>
      <c r="M14" s="1"/>
      <c r="N14" s="1"/>
      <c r="O14" s="2"/>
      <c r="P14" s="3"/>
      <c r="Q14" s="1"/>
      <c r="R14" s="1"/>
      <c r="S14" s="1"/>
      <c r="T14" s="1"/>
      <c r="U14" s="1"/>
      <c r="V14" s="1"/>
      <c r="W14" s="1"/>
      <c r="X14" s="2"/>
      <c r="Y14" s="3"/>
      <c r="Z14" s="1"/>
      <c r="AA14" s="1"/>
      <c r="AB14" s="1"/>
      <c r="AC14" s="1"/>
      <c r="AD14" s="1"/>
      <c r="AE14" s="1"/>
      <c r="AF14" s="1"/>
      <c r="AG14" s="2"/>
      <c r="AH14" s="3"/>
      <c r="AI14" s="1"/>
      <c r="AJ14" s="1"/>
      <c r="AK14" s="1"/>
      <c r="AL14" s="1"/>
      <c r="AM14" s="1"/>
      <c r="AN14" s="1"/>
      <c r="AO14" s="1"/>
      <c r="AP14" s="2"/>
      <c r="AQ14" s="3"/>
      <c r="AR14" s="1"/>
      <c r="AS14" s="1"/>
      <c r="AT14" s="1"/>
      <c r="AU14" s="1"/>
      <c r="AV14" s="1"/>
      <c r="AW14" s="1"/>
      <c r="AX14" s="1"/>
      <c r="AY14" s="2"/>
      <c r="AZ14" s="3"/>
      <c r="BA14" s="1"/>
      <c r="BB14" s="1"/>
      <c r="BC14" s="1"/>
      <c r="BD14" s="1"/>
      <c r="BE14" s="1"/>
      <c r="BF14" s="1"/>
      <c r="BG14" s="1"/>
      <c r="BH14" s="2"/>
      <c r="BI14" s="3"/>
      <c r="BJ14" s="1"/>
      <c r="BK14" s="1"/>
      <c r="BL14" s="1"/>
      <c r="BM14" s="1"/>
      <c r="BN14" s="1"/>
      <c r="BO14" s="1"/>
      <c r="BP14" s="1"/>
      <c r="BQ14" s="2"/>
      <c r="BR14" s="3"/>
      <c r="BS14" s="1"/>
      <c r="BT14" s="1"/>
      <c r="BU14" s="1"/>
      <c r="BV14" s="1"/>
      <c r="BW14" s="1"/>
      <c r="BX14" s="1"/>
      <c r="BY14" s="1"/>
    </row>
    <row r="15" spans="2:77" x14ac:dyDescent="0.45">
      <c r="B15">
        <f>$B$10/C14</f>
        <v>11520</v>
      </c>
      <c r="C15" t="s">
        <v>2</v>
      </c>
    </row>
    <row r="16" spans="2:77" x14ac:dyDescent="0.45">
      <c r="B16">
        <f>1000/B15</f>
        <v>8.6805555555555552E-2</v>
      </c>
      <c r="C16" t="s">
        <v>5</v>
      </c>
    </row>
    <row r="17" spans="2:77" x14ac:dyDescent="0.45">
      <c r="B17">
        <f>90000000/B15</f>
        <v>7812.5</v>
      </c>
      <c r="C17" t="s">
        <v>8</v>
      </c>
    </row>
    <row r="19" spans="2:77" x14ac:dyDescent="0.45">
      <c r="B19" t="s">
        <v>6</v>
      </c>
      <c r="C19" s="5">
        <f>1/3</f>
        <v>0.33333333333333331</v>
      </c>
      <c r="D19" s="1"/>
      <c r="E19" s="1"/>
      <c r="F19" s="1"/>
      <c r="G19" s="1"/>
      <c r="H19" s="1"/>
      <c r="I19" s="2"/>
      <c r="J19" s="3"/>
      <c r="K19" s="1"/>
      <c r="L19" s="1"/>
      <c r="M19" s="1"/>
      <c r="N19" s="1"/>
      <c r="O19" s="1"/>
      <c r="P19" s="1"/>
      <c r="Q19" s="1"/>
      <c r="R19" s="2"/>
      <c r="S19" s="3"/>
      <c r="T19" s="1"/>
      <c r="U19" s="1"/>
      <c r="V19" s="1"/>
      <c r="W19" s="1"/>
      <c r="X19" s="1"/>
      <c r="Y19" s="1"/>
      <c r="Z19" s="1"/>
      <c r="AA19" s="2"/>
      <c r="AB19" s="3"/>
      <c r="AC19" s="1"/>
      <c r="AD19" s="1"/>
      <c r="AE19" s="1"/>
      <c r="AF19" s="1"/>
      <c r="AG19" s="1"/>
      <c r="AH19" s="1"/>
      <c r="AI19" s="1"/>
      <c r="AJ19" s="2"/>
      <c r="AK19" s="3"/>
      <c r="AL19" s="1"/>
      <c r="AM19" s="1"/>
      <c r="AN19" s="1"/>
      <c r="AO19" s="1"/>
      <c r="AP19" s="1"/>
      <c r="AQ19" s="1"/>
      <c r="AR19" s="1"/>
      <c r="AS19" s="2"/>
      <c r="AT19" s="3"/>
      <c r="AU19" s="1"/>
      <c r="AV19" s="1"/>
      <c r="AW19" s="1"/>
      <c r="AX19" s="1"/>
      <c r="AY19" s="1"/>
      <c r="AZ19" s="1"/>
      <c r="BA19" s="1"/>
      <c r="BB19" s="2"/>
      <c r="BC19" s="3"/>
      <c r="BD19" s="1"/>
      <c r="BE19" s="1"/>
      <c r="BF19" s="1"/>
      <c r="BG19" s="1"/>
      <c r="BH19" s="1"/>
      <c r="BI19" s="1"/>
      <c r="BJ19" s="1"/>
      <c r="BK19" s="2"/>
      <c r="BL19" s="3"/>
      <c r="BM19" s="1"/>
      <c r="BN19" s="1"/>
      <c r="BO19" s="1"/>
      <c r="BP19" s="1"/>
      <c r="BQ19" s="1"/>
      <c r="BR19" s="1"/>
      <c r="BS19" s="1"/>
      <c r="BT19" s="2"/>
      <c r="BU19" s="3"/>
      <c r="BV19" s="1"/>
      <c r="BW19" s="1"/>
      <c r="BX19" s="1"/>
      <c r="BY19" s="1"/>
    </row>
    <row r="20" spans="2:77" x14ac:dyDescent="0.45">
      <c r="B20">
        <f>$B$10/C19</f>
        <v>11520</v>
      </c>
      <c r="C20" t="s">
        <v>2</v>
      </c>
    </row>
    <row r="21" spans="2:77" x14ac:dyDescent="0.45">
      <c r="B21">
        <f>1000/B20</f>
        <v>8.6805555555555552E-2</v>
      </c>
      <c r="C21" t="s">
        <v>5</v>
      </c>
    </row>
    <row r="22" spans="2:77" x14ac:dyDescent="0.45">
      <c r="B22">
        <f>90000000/B20</f>
        <v>7812.5</v>
      </c>
      <c r="C22" t="s">
        <v>8</v>
      </c>
    </row>
    <row r="24" spans="2:77" x14ac:dyDescent="0.45">
      <c r="B24" t="s">
        <v>7</v>
      </c>
      <c r="C24" s="5">
        <f>1/3</f>
        <v>0.33333333333333331</v>
      </c>
      <c r="D24" s="1"/>
      <c r="E24" s="1"/>
      <c r="F24" s="1"/>
      <c r="G24" s="1"/>
      <c r="H24" s="1"/>
      <c r="I24" s="1"/>
      <c r="J24" s="1"/>
      <c r="K24" s="1"/>
      <c r="L24" s="2"/>
      <c r="M24" s="3"/>
      <c r="N24" s="1"/>
      <c r="O24" s="1"/>
      <c r="P24" s="1"/>
      <c r="Q24" s="1"/>
      <c r="R24" s="1"/>
      <c r="S24" s="1"/>
      <c r="T24" s="1"/>
      <c r="U24" s="2"/>
      <c r="V24" s="3"/>
      <c r="W24" s="1"/>
      <c r="X24" s="1"/>
      <c r="Y24" s="1"/>
      <c r="Z24" s="1"/>
      <c r="AA24" s="1"/>
      <c r="AB24" s="1"/>
      <c r="AC24" s="1"/>
      <c r="AD24" s="2"/>
      <c r="AE24" s="3"/>
      <c r="AF24" s="1"/>
      <c r="AG24" s="1"/>
      <c r="AH24" s="1"/>
      <c r="AI24" s="1"/>
      <c r="AJ24" s="1"/>
      <c r="AK24" s="1"/>
      <c r="AL24" s="1"/>
      <c r="AM24" s="2"/>
      <c r="AN24" s="3"/>
      <c r="AO24" s="1"/>
      <c r="AP24" s="1"/>
      <c r="AQ24" s="1"/>
      <c r="AR24" s="1"/>
      <c r="AS24" s="1"/>
      <c r="AT24" s="1"/>
      <c r="AU24" s="1"/>
      <c r="AV24" s="2"/>
      <c r="AW24" s="3"/>
      <c r="AX24" s="1"/>
      <c r="AY24" s="1"/>
      <c r="AZ24" s="1"/>
      <c r="BA24" s="1"/>
      <c r="BB24" s="1"/>
      <c r="BC24" s="1"/>
      <c r="BD24" s="1"/>
      <c r="BE24" s="2"/>
      <c r="BF24" s="3"/>
      <c r="BG24" s="1"/>
      <c r="BH24" s="1"/>
      <c r="BI24" s="1"/>
      <c r="BJ24" s="1"/>
      <c r="BK24" s="1"/>
      <c r="BL24" s="1"/>
      <c r="BM24" s="1"/>
      <c r="BN24" s="2"/>
      <c r="BO24" s="3"/>
      <c r="BP24" s="1"/>
      <c r="BQ24" s="1"/>
      <c r="BR24" s="1"/>
      <c r="BS24" s="1"/>
      <c r="BT24" s="1"/>
      <c r="BU24" s="1"/>
      <c r="BV24" s="1"/>
      <c r="BW24" s="2"/>
      <c r="BX24" s="3"/>
      <c r="BY24" s="1"/>
    </row>
    <row r="25" spans="2:77" x14ac:dyDescent="0.45">
      <c r="B25">
        <f>$B$10/C24</f>
        <v>11520</v>
      </c>
      <c r="C25" t="s">
        <v>2</v>
      </c>
    </row>
    <row r="26" spans="2:77" x14ac:dyDescent="0.45">
      <c r="B26">
        <f>1000/B25</f>
        <v>8.6805555555555552E-2</v>
      </c>
      <c r="C26" t="s">
        <v>5</v>
      </c>
    </row>
    <row r="27" spans="2:77" x14ac:dyDescent="0.45">
      <c r="B27">
        <f>90000000/B25</f>
        <v>7812.5</v>
      </c>
      <c r="C27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8020-6746-44B9-BB2A-24C50CF1C4F3}">
  <dimension ref="B3:CG27"/>
  <sheetViews>
    <sheetView tabSelected="1" zoomScale="70" zoomScaleNormal="70" workbookViewId="0"/>
  </sheetViews>
  <sheetFormatPr defaultRowHeight="17" x14ac:dyDescent="0.45"/>
  <cols>
    <col min="1" max="1" width="2.58203125" customWidth="1"/>
    <col min="3" max="3" width="11" bestFit="1" customWidth="1"/>
    <col min="4" max="85" width="3.58203125" customWidth="1"/>
  </cols>
  <sheetData>
    <row r="3" spans="2:85" x14ac:dyDescent="0.45">
      <c r="C3" t="s">
        <v>0</v>
      </c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2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2:85" x14ac:dyDescent="0.45">
      <c r="B4">
        <v>120</v>
      </c>
      <c r="C4" t="s">
        <v>2</v>
      </c>
    </row>
    <row r="5" spans="2:85" x14ac:dyDescent="0.45">
      <c r="B5">
        <f>1000/B4</f>
        <v>8.3333333333333339</v>
      </c>
      <c r="C5" t="s">
        <v>5</v>
      </c>
    </row>
    <row r="8" spans="2:85" x14ac:dyDescent="0.45">
      <c r="B8" t="s">
        <v>9</v>
      </c>
      <c r="C8" t="s">
        <v>10</v>
      </c>
    </row>
    <row r="9" spans="2:85" x14ac:dyDescent="0.45">
      <c r="B9" s="4">
        <v>16</v>
      </c>
      <c r="C9" t="s">
        <v>1</v>
      </c>
      <c r="D9" s="1"/>
      <c r="E9" s="1"/>
      <c r="F9" s="2"/>
      <c r="G9" s="3"/>
      <c r="H9" s="1"/>
      <c r="I9" s="1"/>
      <c r="J9" s="1"/>
      <c r="K9" s="1"/>
      <c r="L9" s="1"/>
      <c r="M9" s="1"/>
      <c r="N9" s="1"/>
      <c r="O9" s="1"/>
      <c r="P9" s="2"/>
      <c r="Q9" s="3"/>
      <c r="R9" s="1"/>
      <c r="S9" s="1"/>
      <c r="T9" s="1"/>
      <c r="U9" s="1"/>
      <c r="V9" s="1"/>
      <c r="W9" s="1"/>
      <c r="X9" s="1"/>
      <c r="Y9" s="1"/>
      <c r="Z9" s="2"/>
      <c r="AA9" s="3"/>
      <c r="AB9" s="1"/>
      <c r="AC9" s="1"/>
      <c r="AD9" s="1"/>
      <c r="AE9" s="1"/>
      <c r="AF9" s="1"/>
      <c r="AG9" s="1"/>
      <c r="AH9" s="1"/>
      <c r="AI9" s="1"/>
      <c r="AJ9" s="2"/>
      <c r="AK9" s="3"/>
      <c r="AL9" s="1"/>
      <c r="AM9" s="1"/>
      <c r="AN9" s="1"/>
      <c r="AO9" s="1"/>
      <c r="AP9" s="1"/>
      <c r="AQ9" s="1"/>
      <c r="AR9" s="1"/>
      <c r="AS9" s="1"/>
      <c r="AT9" s="2"/>
      <c r="AU9" s="3"/>
      <c r="AV9" s="1"/>
      <c r="AW9" s="1"/>
      <c r="AX9" s="1"/>
      <c r="AY9" s="1"/>
      <c r="AZ9" s="1"/>
      <c r="BA9" s="1"/>
      <c r="BB9" s="1"/>
      <c r="BC9" s="1"/>
      <c r="BD9" s="2"/>
      <c r="BE9" s="3"/>
      <c r="BF9" s="1"/>
      <c r="BG9" s="1"/>
      <c r="BH9" s="1"/>
      <c r="BI9" s="1"/>
      <c r="BJ9" s="1"/>
      <c r="BK9" s="1"/>
      <c r="BL9" s="1"/>
      <c r="BM9" s="1"/>
      <c r="BN9" s="2"/>
      <c r="BO9" s="3"/>
      <c r="BP9" s="1"/>
      <c r="BQ9" s="1"/>
      <c r="BR9" s="1"/>
      <c r="BS9" s="1"/>
      <c r="BT9" s="1"/>
      <c r="BU9" s="1"/>
      <c r="BV9" s="1"/>
      <c r="BW9" s="1"/>
      <c r="BX9" s="2"/>
      <c r="BY9" s="3"/>
      <c r="BZ9" s="1"/>
      <c r="CA9" s="1"/>
      <c r="CB9" s="1"/>
      <c r="CC9" s="1"/>
      <c r="CD9" s="1"/>
      <c r="CE9" s="1"/>
      <c r="CF9" s="1"/>
      <c r="CG9" s="1"/>
    </row>
    <row r="10" spans="2:85" x14ac:dyDescent="0.45">
      <c r="B10">
        <f>B4*B9</f>
        <v>1920</v>
      </c>
      <c r="C10" t="s">
        <v>2</v>
      </c>
    </row>
    <row r="11" spans="2:85" x14ac:dyDescent="0.45">
      <c r="B11">
        <f>1000/B10</f>
        <v>0.52083333333333337</v>
      </c>
      <c r="C11" t="s">
        <v>5</v>
      </c>
    </row>
    <row r="13" spans="2:85" x14ac:dyDescent="0.45">
      <c r="C13" t="s">
        <v>4</v>
      </c>
    </row>
    <row r="14" spans="2:85" x14ac:dyDescent="0.45">
      <c r="B14" t="s">
        <v>3</v>
      </c>
      <c r="C14" s="5"/>
      <c r="D14" s="1"/>
      <c r="E14" s="1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2"/>
      <c r="AU14" s="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2:85" x14ac:dyDescent="0.45">
      <c r="B15" t="e">
        <f>$B$10/C14</f>
        <v>#DIV/0!</v>
      </c>
      <c r="C15" t="s">
        <v>2</v>
      </c>
    </row>
    <row r="16" spans="2:85" x14ac:dyDescent="0.45">
      <c r="B16" t="e">
        <f>1000/B15</f>
        <v>#DIV/0!</v>
      </c>
      <c r="C16" t="s">
        <v>5</v>
      </c>
    </row>
    <row r="17" spans="2:85" x14ac:dyDescent="0.45">
      <c r="B17" t="e">
        <f>90000000/B15</f>
        <v>#DIV/0!</v>
      </c>
      <c r="C17" t="s">
        <v>8</v>
      </c>
    </row>
    <row r="19" spans="2:85" x14ac:dyDescent="0.45">
      <c r="B19" t="s">
        <v>6</v>
      </c>
      <c r="C19" s="5">
        <f>1/2</f>
        <v>0.5</v>
      </c>
      <c r="D19" s="1"/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2"/>
      <c r="Q19" s="3"/>
      <c r="R19" s="1"/>
      <c r="S19" s="1"/>
      <c r="T19" s="1"/>
      <c r="U19" s="1"/>
      <c r="V19" s="1"/>
      <c r="W19" s="1"/>
      <c r="X19" s="1"/>
      <c r="Y19" s="1"/>
      <c r="Z19" s="2"/>
      <c r="AA19" s="3"/>
      <c r="AB19" s="1"/>
      <c r="AC19" s="1"/>
      <c r="AD19" s="1"/>
      <c r="AE19" s="1"/>
      <c r="AF19" s="1"/>
      <c r="AG19" s="1"/>
      <c r="AH19" s="1"/>
      <c r="AI19" s="1"/>
      <c r="AJ19" s="2"/>
      <c r="AK19" s="3"/>
      <c r="AL19" s="1"/>
      <c r="AM19" s="1"/>
      <c r="AN19" s="1"/>
      <c r="AO19" s="1"/>
      <c r="AP19" s="1"/>
      <c r="AQ19" s="1"/>
      <c r="AR19" s="1"/>
      <c r="AS19" s="1"/>
      <c r="AT19" s="2"/>
      <c r="AU19" s="3"/>
      <c r="AV19" s="1"/>
      <c r="AW19" s="1"/>
      <c r="AX19" s="1"/>
      <c r="AY19" s="1"/>
      <c r="AZ19" s="1"/>
      <c r="BA19" s="1"/>
      <c r="BB19" s="1"/>
      <c r="BC19" s="1"/>
      <c r="BD19" s="2"/>
      <c r="BE19" s="3"/>
      <c r="BF19" s="1"/>
      <c r="BG19" s="1"/>
      <c r="BH19" s="1"/>
      <c r="BI19" s="1"/>
      <c r="BJ19" s="1"/>
      <c r="BK19" s="1"/>
      <c r="BL19" s="1"/>
      <c r="BM19" s="1"/>
      <c r="BN19" s="2"/>
      <c r="BO19" s="3"/>
      <c r="BP19" s="1"/>
      <c r="BQ19" s="1"/>
      <c r="BR19" s="1"/>
      <c r="BS19" s="1"/>
      <c r="BT19" s="1"/>
      <c r="BU19" s="1"/>
      <c r="BV19" s="1"/>
      <c r="BW19" s="1"/>
      <c r="BX19" s="2"/>
      <c r="BY19" s="3"/>
      <c r="BZ19" s="1"/>
      <c r="CA19" s="1"/>
      <c r="CB19" s="1"/>
      <c r="CC19" s="1"/>
      <c r="CD19" s="1"/>
      <c r="CE19" s="1"/>
      <c r="CF19" s="1"/>
      <c r="CG19" s="1"/>
    </row>
    <row r="20" spans="2:85" x14ac:dyDescent="0.45">
      <c r="B20">
        <f>$B$10/C19</f>
        <v>3840</v>
      </c>
      <c r="C20" t="s">
        <v>2</v>
      </c>
    </row>
    <row r="21" spans="2:85" x14ac:dyDescent="0.45">
      <c r="B21">
        <f>1000/B20</f>
        <v>0.26041666666666669</v>
      </c>
      <c r="C21" t="s">
        <v>5</v>
      </c>
    </row>
    <row r="22" spans="2:85" x14ac:dyDescent="0.45">
      <c r="B22">
        <f>90000000/B20</f>
        <v>23437.5</v>
      </c>
      <c r="C22" t="s">
        <v>8</v>
      </c>
    </row>
    <row r="24" spans="2:85" x14ac:dyDescent="0.45">
      <c r="B24" t="s">
        <v>7</v>
      </c>
      <c r="C24" s="5">
        <f>1/2</f>
        <v>0.5</v>
      </c>
      <c r="D24" s="1"/>
      <c r="E24" s="1"/>
      <c r="F24" s="1"/>
      <c r="G24" s="1"/>
      <c r="H24" s="1"/>
      <c r="I24" s="1"/>
      <c r="J24" s="1"/>
      <c r="K24" s="2"/>
      <c r="L24" s="3"/>
      <c r="M24" s="1"/>
      <c r="N24" s="1"/>
      <c r="O24" s="1"/>
      <c r="P24" s="1"/>
      <c r="Q24" s="1"/>
      <c r="R24" s="1"/>
      <c r="S24" s="1"/>
      <c r="T24" s="1"/>
      <c r="U24" s="2"/>
      <c r="V24" s="3"/>
      <c r="W24" s="1"/>
      <c r="X24" s="1"/>
      <c r="Y24" s="1"/>
      <c r="Z24" s="1"/>
      <c r="AA24" s="1"/>
      <c r="AB24" s="1"/>
      <c r="AC24" s="1"/>
      <c r="AD24" s="1"/>
      <c r="AE24" s="2"/>
      <c r="AF24" s="3"/>
      <c r="AG24" s="1"/>
      <c r="AH24" s="1"/>
      <c r="AI24" s="1"/>
      <c r="AJ24" s="1"/>
      <c r="AK24" s="1"/>
      <c r="AL24" s="1"/>
      <c r="AM24" s="1"/>
      <c r="AN24" s="1"/>
      <c r="AO24" s="2"/>
      <c r="AP24" s="3"/>
      <c r="AQ24" s="1"/>
      <c r="AR24" s="1"/>
      <c r="AS24" s="1"/>
      <c r="AT24" s="1"/>
      <c r="AU24" s="1"/>
      <c r="AV24" s="1"/>
      <c r="AW24" s="1"/>
      <c r="AX24" s="1"/>
      <c r="AY24" s="2"/>
      <c r="AZ24" s="3"/>
      <c r="BA24" s="1"/>
      <c r="BB24" s="1"/>
      <c r="BC24" s="1"/>
      <c r="BD24" s="1"/>
      <c r="BE24" s="1"/>
      <c r="BF24" s="1"/>
      <c r="BG24" s="1"/>
      <c r="BH24" s="1"/>
      <c r="BI24" s="2"/>
      <c r="BJ24" s="3"/>
      <c r="BK24" s="1"/>
      <c r="BL24" s="1"/>
      <c r="BM24" s="1"/>
      <c r="BN24" s="1"/>
      <c r="BO24" s="1"/>
      <c r="BP24" s="1"/>
      <c r="BQ24" s="1"/>
      <c r="BR24" s="1"/>
      <c r="BS24" s="2"/>
      <c r="BT24" s="3"/>
      <c r="BU24" s="1"/>
      <c r="BV24" s="1"/>
      <c r="BW24" s="1"/>
      <c r="BX24" s="1"/>
      <c r="BY24" s="1"/>
      <c r="BZ24" s="1"/>
      <c r="CA24" s="1"/>
      <c r="CB24" s="1"/>
      <c r="CC24" s="2"/>
      <c r="CD24" s="3"/>
      <c r="CE24" s="1"/>
      <c r="CF24" s="1"/>
      <c r="CG24" s="1"/>
    </row>
    <row r="25" spans="2:85" x14ac:dyDescent="0.45">
      <c r="B25">
        <f>$B$10/C24</f>
        <v>3840</v>
      </c>
      <c r="C25" t="s">
        <v>2</v>
      </c>
    </row>
    <row r="26" spans="2:85" x14ac:dyDescent="0.45">
      <c r="B26">
        <f>1000/B25</f>
        <v>0.26041666666666669</v>
      </c>
      <c r="C26" t="s">
        <v>5</v>
      </c>
    </row>
    <row r="27" spans="2:85" x14ac:dyDescent="0.45">
      <c r="B27">
        <f>90000000/B25</f>
        <v>23437.5</v>
      </c>
      <c r="C2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RGB</vt:lpstr>
      <vt:lpstr>R+GB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2026-03-19T00:16:03Z</dcterms:modified>
</cp:coreProperties>
</file>