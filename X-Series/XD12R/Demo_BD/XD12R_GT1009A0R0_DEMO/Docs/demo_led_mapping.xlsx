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working\01_Project\FW\X-Series\XD12R\Demo_BD\XD12R_GT1009A0R0_DEMO\Docs\"/>
    </mc:Choice>
  </mc:AlternateContent>
  <xr:revisionPtr revIDLastSave="0" documentId="13_ncr:1_{2BAD1A8E-9DB8-4780-8B44-DFE923E2CE80}" xr6:coauthVersionLast="47" xr6:coauthVersionMax="47" xr10:uidLastSave="{00000000-0000-0000-0000-000000000000}"/>
  <bookViews>
    <workbookView xWindow="71880" yWindow="216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5" i="1" l="1"/>
  <c r="AT6" i="1" s="1"/>
  <c r="AT7" i="1" s="1"/>
  <c r="AT8" i="1" s="1"/>
  <c r="AB4" i="1"/>
  <c r="AC4" i="1"/>
  <c r="AD4" i="1"/>
  <c r="AE4" i="1"/>
  <c r="AF4" i="1"/>
  <c r="AG4" i="1"/>
  <c r="AH4" i="1"/>
  <c r="AI4" i="1"/>
  <c r="AB5" i="1"/>
  <c r="AC5" i="1"/>
  <c r="AD5" i="1"/>
  <c r="AE5" i="1"/>
  <c r="AF5" i="1"/>
  <c r="AG5" i="1"/>
  <c r="AH5" i="1"/>
  <c r="AI5" i="1"/>
  <c r="AB6" i="1"/>
  <c r="AC6" i="1"/>
  <c r="AD6" i="1"/>
  <c r="AE6" i="1"/>
  <c r="AF6" i="1"/>
  <c r="AG6" i="1"/>
  <c r="AH6" i="1"/>
  <c r="AI6" i="1"/>
  <c r="AB7" i="1"/>
  <c r="AC7" i="1"/>
  <c r="AD7" i="1"/>
  <c r="AE7" i="1"/>
  <c r="AF7" i="1"/>
  <c r="AG7" i="1"/>
  <c r="AH7" i="1"/>
  <c r="AI7" i="1"/>
  <c r="AB8" i="1"/>
  <c r="AC8" i="1"/>
  <c r="AD8" i="1"/>
  <c r="AE8" i="1"/>
  <c r="AF8" i="1"/>
  <c r="AG8" i="1"/>
  <c r="AH8" i="1"/>
  <c r="AI8" i="1"/>
  <c r="AB12" i="1"/>
  <c r="AC12" i="1"/>
  <c r="AD12" i="1"/>
  <c r="AE12" i="1"/>
  <c r="AF12" i="1"/>
  <c r="AG12" i="1"/>
  <c r="AH12" i="1"/>
  <c r="AI12" i="1"/>
  <c r="AB13" i="1"/>
  <c r="AC13" i="1"/>
  <c r="AD13" i="1"/>
  <c r="AE13" i="1"/>
  <c r="AF13" i="1"/>
  <c r="AG13" i="1"/>
  <c r="AH13" i="1"/>
  <c r="AI13" i="1"/>
  <c r="AB14" i="1"/>
  <c r="AC14" i="1"/>
  <c r="AD14" i="1"/>
  <c r="AE14" i="1"/>
  <c r="AF14" i="1"/>
  <c r="AG14" i="1"/>
  <c r="AH14" i="1"/>
  <c r="AI14" i="1"/>
  <c r="AI3" i="1"/>
  <c r="AH3" i="1"/>
  <c r="AG3" i="1"/>
  <c r="AF3" i="1"/>
  <c r="AE3" i="1"/>
  <c r="AD3" i="1"/>
  <c r="AC3" i="1"/>
  <c r="AB3" i="1"/>
  <c r="K15" i="1"/>
  <c r="K18" i="1" s="1"/>
  <c r="L15" i="1"/>
  <c r="L18" i="1" s="1"/>
  <c r="R15" i="1"/>
  <c r="R18" i="1" s="1"/>
  <c r="M16" i="1"/>
  <c r="M19" i="1" s="1"/>
  <c r="N16" i="1"/>
  <c r="N19" i="1" s="1"/>
  <c r="O16" i="1"/>
  <c r="O19" i="1" s="1"/>
  <c r="P16" i="1"/>
  <c r="P19" i="1" s="1"/>
  <c r="W16" i="1"/>
  <c r="W19" i="1" s="1"/>
  <c r="X16" i="1"/>
  <c r="X19" i="1" s="1"/>
  <c r="Y16" i="1"/>
  <c r="Y19" i="1" s="1"/>
  <c r="Z16" i="1"/>
  <c r="Z19" i="1" s="1"/>
  <c r="K17" i="1"/>
  <c r="K20" i="1" s="1"/>
  <c r="L17" i="1"/>
  <c r="L20" i="1" s="1"/>
  <c r="M17" i="1"/>
  <c r="M20" i="1" s="1"/>
  <c r="N17" i="1"/>
  <c r="N20" i="1" s="1"/>
  <c r="O17" i="1"/>
  <c r="O20" i="1" s="1"/>
  <c r="P17" i="1"/>
  <c r="P20" i="1" s="1"/>
  <c r="Q17" i="1"/>
  <c r="Q20" i="1" s="1"/>
  <c r="R17" i="1"/>
  <c r="R20" i="1" s="1"/>
  <c r="S17" i="1"/>
  <c r="S20" i="1" s="1"/>
  <c r="T17" i="1"/>
  <c r="T20" i="1" s="1"/>
  <c r="U17" i="1"/>
  <c r="U20" i="1" s="1"/>
  <c r="V17" i="1"/>
  <c r="V20" i="1" s="1"/>
  <c r="M15" i="1"/>
  <c r="M18" i="1" s="1"/>
  <c r="N15" i="1"/>
  <c r="N18" i="1" s="1"/>
  <c r="O15" i="1"/>
  <c r="O18" i="1" s="1"/>
  <c r="P15" i="1"/>
  <c r="P18" i="1" s="1"/>
  <c r="Q15" i="1"/>
  <c r="Q18" i="1" s="1"/>
  <c r="S15" i="1"/>
  <c r="S18" i="1" s="1"/>
  <c r="T15" i="1"/>
  <c r="T18" i="1" s="1"/>
  <c r="U15" i="1"/>
  <c r="U18" i="1" s="1"/>
  <c r="V15" i="1"/>
  <c r="V18" i="1" s="1"/>
  <c r="W15" i="1"/>
  <c r="W18" i="1" s="1"/>
  <c r="X15" i="1"/>
  <c r="X18" i="1" s="1"/>
  <c r="Y15" i="1"/>
  <c r="Y18" i="1" s="1"/>
  <c r="Z15" i="1"/>
  <c r="Z18" i="1" s="1"/>
  <c r="K16" i="1"/>
  <c r="K19" i="1" s="1"/>
  <c r="L16" i="1"/>
  <c r="L19" i="1" s="1"/>
  <c r="Q16" i="1"/>
  <c r="Q19" i="1" s="1"/>
  <c r="R16" i="1"/>
  <c r="R19" i="1" s="1"/>
  <c r="S16" i="1"/>
  <c r="S19" i="1" s="1"/>
  <c r="T16" i="1"/>
  <c r="T19" i="1" s="1"/>
  <c r="U16" i="1"/>
  <c r="U19" i="1" s="1"/>
  <c r="V16" i="1"/>
  <c r="V19" i="1" s="1"/>
  <c r="W17" i="1"/>
  <c r="W20" i="1" s="1"/>
  <c r="X17" i="1"/>
  <c r="X20" i="1" s="1"/>
  <c r="Y17" i="1"/>
  <c r="Y20" i="1" s="1"/>
  <c r="Z17" i="1"/>
  <c r="Z20" i="1" s="1"/>
  <c r="K10" i="1"/>
  <c r="L10" i="1"/>
  <c r="M10" i="1"/>
  <c r="N10" i="1"/>
  <c r="O10" i="1"/>
  <c r="P10" i="1"/>
  <c r="Q10" i="1"/>
  <c r="R10" i="1"/>
  <c r="S10" i="1"/>
  <c r="AF10" i="1" s="1"/>
  <c r="T10" i="1"/>
  <c r="U10" i="1"/>
  <c r="AG10" i="1" s="1"/>
  <c r="V10" i="1"/>
  <c r="W10" i="1"/>
  <c r="AH10" i="1" s="1"/>
  <c r="X10" i="1"/>
  <c r="Y10" i="1"/>
  <c r="Z10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K9" i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AB9" i="1" l="1"/>
  <c r="AI11" i="1"/>
  <c r="AB19" i="1"/>
  <c r="AB20" i="1"/>
  <c r="AG18" i="1"/>
  <c r="AE20" i="1"/>
  <c r="AI18" i="1"/>
  <c r="AI19" i="1"/>
  <c r="AC10" i="1"/>
  <c r="AE18" i="1"/>
  <c r="AD19" i="1"/>
  <c r="AF9" i="1"/>
  <c r="AB11" i="1"/>
  <c r="AF19" i="1"/>
  <c r="AD20" i="1"/>
  <c r="AH11" i="1"/>
  <c r="AF11" i="1"/>
  <c r="AH9" i="1"/>
  <c r="AG9" i="1"/>
  <c r="AI9" i="1"/>
  <c r="AD11" i="1"/>
  <c r="AI10" i="1"/>
  <c r="AG11" i="1"/>
  <c r="AE10" i="1"/>
  <c r="AD18" i="1"/>
  <c r="AC18" i="1"/>
  <c r="AH20" i="1"/>
  <c r="AC20" i="1"/>
  <c r="AB18" i="1"/>
  <c r="AB17" i="1"/>
  <c r="AC19" i="1"/>
  <c r="AG19" i="1"/>
  <c r="AH18" i="1"/>
  <c r="AB16" i="1"/>
  <c r="AI15" i="1"/>
  <c r="AI20" i="1"/>
  <c r="AB15" i="1"/>
  <c r="AH19" i="1"/>
  <c r="AG20" i="1"/>
  <c r="AF18" i="1"/>
  <c r="AE11" i="1"/>
  <c r="AD9" i="1"/>
  <c r="AE9" i="1"/>
  <c r="AD10" i="1"/>
  <c r="AB10" i="1"/>
  <c r="AC11" i="1"/>
  <c r="AC9" i="1"/>
  <c r="AH17" i="1"/>
  <c r="AG17" i="1"/>
  <c r="AF20" i="1"/>
  <c r="AF17" i="1"/>
  <c r="AE19" i="1"/>
  <c r="AE17" i="1"/>
  <c r="AD17" i="1"/>
  <c r="AC17" i="1"/>
  <c r="AI16" i="1"/>
  <c r="AG16" i="1"/>
  <c r="AH16" i="1"/>
  <c r="AF16" i="1"/>
  <c r="AE16" i="1"/>
  <c r="AD16" i="1"/>
  <c r="AH15" i="1"/>
  <c r="AG15" i="1"/>
  <c r="AF15" i="1"/>
  <c r="AE15" i="1"/>
  <c r="AD15" i="1"/>
  <c r="AC16" i="1"/>
  <c r="AI17" i="1"/>
  <c r="AC15" i="1"/>
</calcChain>
</file>

<file path=xl/sharedStrings.xml><?xml version="1.0" encoding="utf-8"?>
<sst xmlns="http://schemas.openxmlformats.org/spreadsheetml/2006/main" count="185" uniqueCount="184">
  <si>
    <t>1-3</t>
    <phoneticPr fontId="1" type="noConversion"/>
  </si>
  <si>
    <t>1-4</t>
    <phoneticPr fontId="1" type="noConversion"/>
  </si>
  <si>
    <t>1-1</t>
    <phoneticPr fontId="1" type="noConversion"/>
  </si>
  <si>
    <t>1-2</t>
    <phoneticPr fontId="1" type="noConversion"/>
  </si>
  <si>
    <t>1-7</t>
    <phoneticPr fontId="1" type="noConversion"/>
  </si>
  <si>
    <t>1-8</t>
    <phoneticPr fontId="1" type="noConversion"/>
  </si>
  <si>
    <t>1-11</t>
    <phoneticPr fontId="1" type="noConversion"/>
  </si>
  <si>
    <t>1-12</t>
    <phoneticPr fontId="1" type="noConversion"/>
  </si>
  <si>
    <t>1-5</t>
    <phoneticPr fontId="1" type="noConversion"/>
  </si>
  <si>
    <t>1-6</t>
    <phoneticPr fontId="1" type="noConversion"/>
  </si>
  <si>
    <t>1-9</t>
    <phoneticPr fontId="1" type="noConversion"/>
  </si>
  <si>
    <t>1-10</t>
    <phoneticPr fontId="1" type="noConversion"/>
  </si>
  <si>
    <t>4-3</t>
    <phoneticPr fontId="1" type="noConversion"/>
  </si>
  <si>
    <t>4-4</t>
    <phoneticPr fontId="1" type="noConversion"/>
  </si>
  <si>
    <t>4-5</t>
    <phoneticPr fontId="1" type="noConversion"/>
  </si>
  <si>
    <t>4-6</t>
    <phoneticPr fontId="1" type="noConversion"/>
  </si>
  <si>
    <t>4-11</t>
    <phoneticPr fontId="1" type="noConversion"/>
  </si>
  <si>
    <t>4-12</t>
    <phoneticPr fontId="1" type="noConversion"/>
  </si>
  <si>
    <t>4-1</t>
    <phoneticPr fontId="1" type="noConversion"/>
  </si>
  <si>
    <t>4-2</t>
    <phoneticPr fontId="1" type="noConversion"/>
  </si>
  <si>
    <t>4-9</t>
    <phoneticPr fontId="1" type="noConversion"/>
  </si>
  <si>
    <t>4-10</t>
    <phoneticPr fontId="1" type="noConversion"/>
  </si>
  <si>
    <t>7-3</t>
    <phoneticPr fontId="1" type="noConversion"/>
  </si>
  <si>
    <t>7-4</t>
    <phoneticPr fontId="1" type="noConversion"/>
  </si>
  <si>
    <t>7-7</t>
    <phoneticPr fontId="1" type="noConversion"/>
  </si>
  <si>
    <t>7-8</t>
    <phoneticPr fontId="1" type="noConversion"/>
  </si>
  <si>
    <t>7-11</t>
    <phoneticPr fontId="1" type="noConversion"/>
  </si>
  <si>
    <t>7-12</t>
    <phoneticPr fontId="1" type="noConversion"/>
  </si>
  <si>
    <t>7-1</t>
    <phoneticPr fontId="1" type="noConversion"/>
  </si>
  <si>
    <t>7-2</t>
    <phoneticPr fontId="1" type="noConversion"/>
  </si>
  <si>
    <t>7-5</t>
    <phoneticPr fontId="1" type="noConversion"/>
  </si>
  <si>
    <t>7-6</t>
    <phoneticPr fontId="1" type="noConversion"/>
  </si>
  <si>
    <t>7-9</t>
    <phoneticPr fontId="1" type="noConversion"/>
  </si>
  <si>
    <t>7-10</t>
    <phoneticPr fontId="1" type="noConversion"/>
  </si>
  <si>
    <t>10-3</t>
    <phoneticPr fontId="1" type="noConversion"/>
  </si>
  <si>
    <t>10-4</t>
    <phoneticPr fontId="1" type="noConversion"/>
  </si>
  <si>
    <t>10-7</t>
    <phoneticPr fontId="1" type="noConversion"/>
  </si>
  <si>
    <t>10-8</t>
    <phoneticPr fontId="1" type="noConversion"/>
  </si>
  <si>
    <t>10-11</t>
    <phoneticPr fontId="1" type="noConversion"/>
  </si>
  <si>
    <t>10-12</t>
    <phoneticPr fontId="1" type="noConversion"/>
  </si>
  <si>
    <t>10-1</t>
    <phoneticPr fontId="1" type="noConversion"/>
  </si>
  <si>
    <t>10-2</t>
    <phoneticPr fontId="1" type="noConversion"/>
  </si>
  <si>
    <t>10-5</t>
    <phoneticPr fontId="1" type="noConversion"/>
  </si>
  <si>
    <t>10-6</t>
    <phoneticPr fontId="1" type="noConversion"/>
  </si>
  <si>
    <t>10-9</t>
    <phoneticPr fontId="1" type="noConversion"/>
  </si>
  <si>
    <t>10-10</t>
    <phoneticPr fontId="1" type="noConversion"/>
  </si>
  <si>
    <t>XDR Map</t>
    <phoneticPr fontId="1" type="noConversion"/>
  </si>
  <si>
    <t>4-7</t>
    <phoneticPr fontId="1" type="noConversion"/>
  </si>
  <si>
    <t>4-8</t>
    <phoneticPr fontId="1" type="noConversion"/>
  </si>
  <si>
    <t>2-3</t>
    <phoneticPr fontId="1" type="noConversion"/>
  </si>
  <si>
    <t>2-4</t>
    <phoneticPr fontId="1" type="noConversion"/>
  </si>
  <si>
    <t>2-7</t>
    <phoneticPr fontId="1" type="noConversion"/>
  </si>
  <si>
    <t>2-8</t>
    <phoneticPr fontId="1" type="noConversion"/>
  </si>
  <si>
    <t>2-11</t>
    <phoneticPr fontId="1" type="noConversion"/>
  </si>
  <si>
    <t>2-12</t>
    <phoneticPr fontId="1" type="noConversion"/>
  </si>
  <si>
    <t>2-1</t>
    <phoneticPr fontId="1" type="noConversion"/>
  </si>
  <si>
    <t>2-2</t>
    <phoneticPr fontId="1" type="noConversion"/>
  </si>
  <si>
    <t>2-5</t>
    <phoneticPr fontId="1" type="noConversion"/>
  </si>
  <si>
    <t>2-6</t>
    <phoneticPr fontId="1" type="noConversion"/>
  </si>
  <si>
    <t>2-9</t>
    <phoneticPr fontId="1" type="noConversion"/>
  </si>
  <si>
    <t>2-10</t>
    <phoneticPr fontId="1" type="noConversion"/>
  </si>
  <si>
    <t>5-3</t>
    <phoneticPr fontId="1" type="noConversion"/>
  </si>
  <si>
    <t>5-4</t>
    <phoneticPr fontId="1" type="noConversion"/>
  </si>
  <si>
    <t>5-7</t>
    <phoneticPr fontId="1" type="noConversion"/>
  </si>
  <si>
    <t>5-11</t>
    <phoneticPr fontId="1" type="noConversion"/>
  </si>
  <si>
    <t>5-8</t>
    <phoneticPr fontId="1" type="noConversion"/>
  </si>
  <si>
    <t>5-12</t>
    <phoneticPr fontId="1" type="noConversion"/>
  </si>
  <si>
    <t>5-1</t>
    <phoneticPr fontId="1" type="noConversion"/>
  </si>
  <si>
    <t>5-2</t>
    <phoneticPr fontId="1" type="noConversion"/>
  </si>
  <si>
    <t>5-5</t>
    <phoneticPr fontId="1" type="noConversion"/>
  </si>
  <si>
    <t>5-6</t>
    <phoneticPr fontId="1" type="noConversion"/>
  </si>
  <si>
    <t>5-9</t>
    <phoneticPr fontId="1" type="noConversion"/>
  </si>
  <si>
    <t>5-10</t>
    <phoneticPr fontId="1" type="noConversion"/>
  </si>
  <si>
    <t>8-3</t>
    <phoneticPr fontId="1" type="noConversion"/>
  </si>
  <si>
    <t>8-7</t>
    <phoneticPr fontId="1" type="noConversion"/>
  </si>
  <si>
    <t>8-11</t>
    <phoneticPr fontId="1" type="noConversion"/>
  </si>
  <si>
    <t>8-4</t>
    <phoneticPr fontId="1" type="noConversion"/>
  </si>
  <si>
    <t>8-8</t>
    <phoneticPr fontId="1" type="noConversion"/>
  </si>
  <si>
    <t>8-12</t>
    <phoneticPr fontId="1" type="noConversion"/>
  </si>
  <si>
    <t>8-1</t>
    <phoneticPr fontId="1" type="noConversion"/>
  </si>
  <si>
    <t>8-5</t>
    <phoneticPr fontId="1" type="noConversion"/>
  </si>
  <si>
    <t>8-9</t>
    <phoneticPr fontId="1" type="noConversion"/>
  </si>
  <si>
    <t>8-10</t>
    <phoneticPr fontId="1" type="noConversion"/>
  </si>
  <si>
    <t>8-6</t>
    <phoneticPr fontId="1" type="noConversion"/>
  </si>
  <si>
    <t>8-2</t>
    <phoneticPr fontId="1" type="noConversion"/>
  </si>
  <si>
    <t>11-3</t>
    <phoneticPr fontId="1" type="noConversion"/>
  </si>
  <si>
    <t>11-7</t>
    <phoneticPr fontId="1" type="noConversion"/>
  </si>
  <si>
    <t>11-11</t>
    <phoneticPr fontId="1" type="noConversion"/>
  </si>
  <si>
    <t>11-4</t>
    <phoneticPr fontId="1" type="noConversion"/>
  </si>
  <si>
    <t>11-8</t>
    <phoneticPr fontId="1" type="noConversion"/>
  </si>
  <si>
    <t>11-12</t>
    <phoneticPr fontId="1" type="noConversion"/>
  </si>
  <si>
    <t>11-1</t>
    <phoneticPr fontId="1" type="noConversion"/>
  </si>
  <si>
    <t>11-5</t>
    <phoneticPr fontId="1" type="noConversion"/>
  </si>
  <si>
    <t>11-9</t>
    <phoneticPr fontId="1" type="noConversion"/>
  </si>
  <si>
    <t>11-2</t>
    <phoneticPr fontId="1" type="noConversion"/>
  </si>
  <si>
    <t>11-6</t>
    <phoneticPr fontId="1" type="noConversion"/>
  </si>
  <si>
    <t>11-10</t>
    <phoneticPr fontId="1" type="noConversion"/>
  </si>
  <si>
    <t>13-3</t>
    <phoneticPr fontId="1" type="noConversion"/>
  </si>
  <si>
    <t>13-4</t>
    <phoneticPr fontId="1" type="noConversion"/>
  </si>
  <si>
    <t>13-1</t>
    <phoneticPr fontId="1" type="noConversion"/>
  </si>
  <si>
    <t>13-2</t>
    <phoneticPr fontId="1" type="noConversion"/>
  </si>
  <si>
    <t>16-3</t>
    <phoneticPr fontId="1" type="noConversion"/>
  </si>
  <si>
    <t>16-4</t>
    <phoneticPr fontId="1" type="noConversion"/>
  </si>
  <si>
    <t>16-1</t>
    <phoneticPr fontId="1" type="noConversion"/>
  </si>
  <si>
    <t>16-2</t>
    <phoneticPr fontId="1" type="noConversion"/>
  </si>
  <si>
    <t>19-3</t>
    <phoneticPr fontId="1" type="noConversion"/>
  </si>
  <si>
    <t>19-4</t>
    <phoneticPr fontId="1" type="noConversion"/>
  </si>
  <si>
    <t>19-1</t>
    <phoneticPr fontId="1" type="noConversion"/>
  </si>
  <si>
    <t>19-2</t>
    <phoneticPr fontId="1" type="noConversion"/>
  </si>
  <si>
    <t>22-3</t>
    <phoneticPr fontId="1" type="noConversion"/>
  </si>
  <si>
    <t>22-4</t>
    <phoneticPr fontId="1" type="noConversion"/>
  </si>
  <si>
    <t>22-1</t>
    <phoneticPr fontId="1" type="noConversion"/>
  </si>
  <si>
    <t>22-2</t>
    <phoneticPr fontId="1" type="noConversion"/>
  </si>
  <si>
    <t>13-7</t>
    <phoneticPr fontId="1" type="noConversion"/>
  </si>
  <si>
    <t>13-8</t>
    <phoneticPr fontId="1" type="noConversion"/>
  </si>
  <si>
    <t>13-5</t>
    <phoneticPr fontId="1" type="noConversion"/>
  </si>
  <si>
    <t>13-6</t>
    <phoneticPr fontId="1" type="noConversion"/>
  </si>
  <si>
    <t>16-7</t>
    <phoneticPr fontId="1" type="noConversion"/>
  </si>
  <si>
    <t>16-8</t>
    <phoneticPr fontId="1" type="noConversion"/>
  </si>
  <si>
    <t>16-5</t>
    <phoneticPr fontId="1" type="noConversion"/>
  </si>
  <si>
    <t>16-6</t>
    <phoneticPr fontId="1" type="noConversion"/>
  </si>
  <si>
    <t>19-7</t>
    <phoneticPr fontId="1" type="noConversion"/>
  </si>
  <si>
    <t>19-8</t>
    <phoneticPr fontId="1" type="noConversion"/>
  </si>
  <si>
    <t>19-5</t>
    <phoneticPr fontId="1" type="noConversion"/>
  </si>
  <si>
    <t>19-6</t>
    <phoneticPr fontId="1" type="noConversion"/>
  </si>
  <si>
    <t>22-7</t>
    <phoneticPr fontId="1" type="noConversion"/>
  </si>
  <si>
    <t>22-8</t>
    <phoneticPr fontId="1" type="noConversion"/>
  </si>
  <si>
    <t>22-5</t>
    <phoneticPr fontId="1" type="noConversion"/>
  </si>
  <si>
    <t>22-6</t>
    <phoneticPr fontId="1" type="noConversion"/>
  </si>
  <si>
    <t>13-11</t>
    <phoneticPr fontId="1" type="noConversion"/>
  </si>
  <si>
    <t>13-12</t>
    <phoneticPr fontId="1" type="noConversion"/>
  </si>
  <si>
    <t>13-9</t>
    <phoneticPr fontId="1" type="noConversion"/>
  </si>
  <si>
    <t>13-10</t>
    <phoneticPr fontId="1" type="noConversion"/>
  </si>
  <si>
    <t>16-11</t>
    <phoneticPr fontId="1" type="noConversion"/>
  </si>
  <si>
    <t>16-12</t>
    <phoneticPr fontId="1" type="noConversion"/>
  </si>
  <si>
    <t>16-9</t>
    <phoneticPr fontId="1" type="noConversion"/>
  </si>
  <si>
    <t>16-10</t>
    <phoneticPr fontId="1" type="noConversion"/>
  </si>
  <si>
    <t>19-11</t>
    <phoneticPr fontId="1" type="noConversion"/>
  </si>
  <si>
    <t>19-12</t>
    <phoneticPr fontId="1" type="noConversion"/>
  </si>
  <si>
    <t>19-9</t>
    <phoneticPr fontId="1" type="noConversion"/>
  </si>
  <si>
    <t>19-10</t>
    <phoneticPr fontId="1" type="noConversion"/>
  </si>
  <si>
    <t>22-11</t>
    <phoneticPr fontId="1" type="noConversion"/>
  </si>
  <si>
    <t>22-12</t>
    <phoneticPr fontId="1" type="noConversion"/>
  </si>
  <si>
    <t>22-9</t>
    <phoneticPr fontId="1" type="noConversion"/>
  </si>
  <si>
    <t>22-10</t>
    <phoneticPr fontId="1" type="noConversion"/>
  </si>
  <si>
    <t>Format { IC, CH, CH }</t>
    <phoneticPr fontId="1" type="noConversion"/>
  </si>
  <si>
    <t>LED Map Index</t>
    <phoneticPr fontId="1" type="noConversion"/>
  </si>
  <si>
    <t>LD Parsing LED Index Order</t>
    <phoneticPr fontId="1" type="noConversion"/>
  </si>
  <si>
    <t>IC #1</t>
    <phoneticPr fontId="1" type="noConversion"/>
  </si>
  <si>
    <t>IC #2</t>
  </si>
  <si>
    <t>IC #3</t>
  </si>
  <si>
    <t>IC #4</t>
  </si>
  <si>
    <t>IC #5</t>
  </si>
  <si>
    <t>IC #6</t>
  </si>
  <si>
    <t>IC #7</t>
  </si>
  <si>
    <t>IC #8</t>
  </si>
  <si>
    <t>IC #9</t>
  </si>
  <si>
    <t>IC #10</t>
  </si>
  <si>
    <t>IC #11</t>
  </si>
  <si>
    <t>IC #12</t>
  </si>
  <si>
    <t>IC #13</t>
  </si>
  <si>
    <t>IC #14</t>
  </si>
  <si>
    <t>IC #15</t>
  </si>
  <si>
    <t>IC #16</t>
  </si>
  <si>
    <t>IC #17</t>
  </si>
  <si>
    <t>IC #18</t>
  </si>
  <si>
    <t>IC #19</t>
  </si>
  <si>
    <t>IC #20</t>
  </si>
  <si>
    <t>IC Num</t>
    <phoneticPr fontId="1" type="noConversion"/>
  </si>
  <si>
    <t>CH1/2</t>
    <phoneticPr fontId="1" type="noConversion"/>
  </si>
  <si>
    <t>CH3/4</t>
    <phoneticPr fontId="1" type="noConversion"/>
  </si>
  <si>
    <t>CH5/6</t>
    <phoneticPr fontId="1" type="noConversion"/>
  </si>
  <si>
    <t>CH7/8</t>
    <phoneticPr fontId="1" type="noConversion"/>
  </si>
  <si>
    <t>CH9/10</t>
    <phoneticPr fontId="1" type="noConversion"/>
  </si>
  <si>
    <t>CH11/12</t>
    <phoneticPr fontId="1" type="noConversion"/>
  </si>
  <si>
    <t>IC #21</t>
  </si>
  <si>
    <t>IC #22</t>
  </si>
  <si>
    <t>IC #23</t>
  </si>
  <si>
    <t>IC #24</t>
  </si>
  <si>
    <t>CMD / 1-ic</t>
    <phoneticPr fontId="1" type="noConversion"/>
  </si>
  <si>
    <t>Payload / 2-ch</t>
    <phoneticPr fontId="1" type="noConversion"/>
  </si>
  <si>
    <t>Payload / 1-ic</t>
    <phoneticPr fontId="1" type="noConversion"/>
  </si>
  <si>
    <t>LD / 1-ic</t>
    <phoneticPr fontId="1" type="noConversion"/>
  </si>
  <si>
    <t>LD / 1-map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</si>
</sst>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6"/>
      <color theme="1"/>
      <name val="맑은 고딕"/>
      <family val="2"/>
      <scheme val="minor"/>
    </font>
    <font>
      <sz val="6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2" fillId="0" borderId="0" xfId="0" applyFont="1"/>
    <xf numFmtId="49" fontId="5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6" fillId="0" borderId="0" xfId="0" applyFont="1"/>
    <xf numFmtId="0" fontId="3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49" fontId="4" fillId="2" borderId="16" xfId="0" applyNumberFormat="1" applyFont="1" applyFill="1" applyBorder="1" applyAlignment="1">
      <alignment horizontal="center" vertical="center"/>
    </xf>
    <xf numFmtId="49" fontId="4" fillId="2" borderId="17" xfId="0" applyNumberFormat="1" applyFont="1" applyFill="1" applyBorder="1" applyAlignment="1">
      <alignment horizontal="center" vertical="center"/>
    </xf>
    <xf numFmtId="49" fontId="4" fillId="2" borderId="18" xfId="0" applyNumberFormat="1" applyFont="1" applyFill="1" applyBorder="1" applyAlignment="1">
      <alignment horizontal="center" vertical="center"/>
    </xf>
    <xf numFmtId="49" fontId="4" fillId="2" borderId="19" xfId="0" applyNumberFormat="1" applyFont="1" applyFill="1" applyBorder="1" applyAlignment="1">
      <alignment horizontal="center" vertical="center"/>
    </xf>
    <xf numFmtId="49" fontId="4" fillId="2" borderId="20" xfId="0" applyNumberFormat="1" applyFont="1" applyFill="1" applyBorder="1" applyAlignment="1">
      <alignment horizontal="center" vertical="center"/>
    </xf>
    <xf numFmtId="49" fontId="4" fillId="2" borderId="21" xfId="0" applyNumberFormat="1" applyFont="1" applyFill="1" applyBorder="1" applyAlignment="1">
      <alignment horizontal="center" vertical="center"/>
    </xf>
    <xf numFmtId="49" fontId="4" fillId="2" borderId="9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1" xfId="0" applyNumberFormat="1" applyFont="1" applyFill="1" applyBorder="1" applyAlignment="1">
      <alignment horizontal="center" vertical="center"/>
    </xf>
    <xf numFmtId="49" fontId="4" fillId="2" borderId="22" xfId="0" applyNumberFormat="1" applyFont="1" applyFill="1" applyBorder="1" applyAlignment="1">
      <alignment horizontal="center" vertical="center"/>
    </xf>
    <xf numFmtId="49" fontId="4" fillId="2" borderId="23" xfId="0" applyNumberFormat="1" applyFont="1" applyFill="1" applyBorder="1" applyAlignment="1">
      <alignment horizontal="center" vertical="center"/>
    </xf>
    <xf numFmtId="49" fontId="4" fillId="2" borderId="24" xfId="0" applyNumberFormat="1" applyFont="1" applyFill="1" applyBorder="1" applyAlignment="1">
      <alignment horizontal="center" vertical="center"/>
    </xf>
    <xf numFmtId="49" fontId="4" fillId="3" borderId="19" xfId="0" applyNumberFormat="1" applyFont="1" applyFill="1" applyBorder="1" applyAlignment="1">
      <alignment horizontal="center" vertical="center"/>
    </xf>
    <xf numFmtId="49" fontId="4" fillId="3" borderId="16" xfId="0" applyNumberFormat="1" applyFont="1" applyFill="1" applyBorder="1" applyAlignment="1">
      <alignment horizontal="center" vertical="center"/>
    </xf>
    <xf numFmtId="49" fontId="4" fillId="3" borderId="9" xfId="0" applyNumberFormat="1" applyFont="1" applyFill="1" applyBorder="1" applyAlignment="1">
      <alignment horizontal="center" vertical="center"/>
    </xf>
    <xf numFmtId="49" fontId="4" fillId="3" borderId="22" xfId="0" applyNumberFormat="1" applyFont="1" applyFill="1" applyBorder="1" applyAlignment="1">
      <alignment horizontal="center" vertical="center"/>
    </xf>
    <xf numFmtId="49" fontId="4" fillId="3" borderId="20" xfId="0" applyNumberFormat="1" applyFont="1" applyFill="1" applyBorder="1" applyAlignment="1">
      <alignment horizontal="center" vertical="center"/>
    </xf>
    <xf numFmtId="49" fontId="4" fillId="3" borderId="17" xfId="0" applyNumberFormat="1" applyFont="1" applyFill="1" applyBorder="1" applyAlignment="1">
      <alignment horizontal="center" vertical="center"/>
    </xf>
    <xf numFmtId="49" fontId="4" fillId="3" borderId="10" xfId="0" applyNumberFormat="1" applyFont="1" applyFill="1" applyBorder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 vertical="center"/>
    </xf>
    <xf numFmtId="49" fontId="4" fillId="3" borderId="18" xfId="0" applyNumberFormat="1" applyFont="1" applyFill="1" applyBorder="1" applyAlignment="1">
      <alignment horizontal="center" vertical="center"/>
    </xf>
    <xf numFmtId="49" fontId="4" fillId="3" borderId="11" xfId="0" applyNumberFormat="1" applyFont="1" applyFill="1" applyBorder="1" applyAlignment="1">
      <alignment horizontal="center" vertical="center"/>
    </xf>
    <xf numFmtId="49" fontId="4" fillId="3" borderId="24" xfId="0" applyNumberFormat="1" applyFont="1" applyFill="1" applyBorder="1" applyAlignment="1">
      <alignment horizontal="center" vertical="center"/>
    </xf>
    <xf numFmtId="49" fontId="4" fillId="4" borderId="19" xfId="0" applyNumberFormat="1" applyFont="1" applyFill="1" applyBorder="1" applyAlignment="1">
      <alignment horizontal="center" vertical="center"/>
    </xf>
    <xf numFmtId="49" fontId="4" fillId="4" borderId="16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9" fontId="4" fillId="4" borderId="22" xfId="0" applyNumberFormat="1" applyFont="1" applyFill="1" applyBorder="1" applyAlignment="1">
      <alignment horizontal="center" vertical="center"/>
    </xf>
    <xf numFmtId="49" fontId="4" fillId="4" borderId="20" xfId="0" applyNumberFormat="1" applyFont="1" applyFill="1" applyBorder="1" applyAlignment="1">
      <alignment horizontal="center" vertical="center"/>
    </xf>
    <xf numFmtId="49" fontId="4" fillId="4" borderId="17" xfId="0" applyNumberFormat="1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49" fontId="4" fillId="4" borderId="23" xfId="0" applyNumberFormat="1" applyFont="1" applyFill="1" applyBorder="1" applyAlignment="1">
      <alignment horizontal="center" vertical="center"/>
    </xf>
    <xf numFmtId="49" fontId="4" fillId="4" borderId="21" xfId="0" applyNumberFormat="1" applyFont="1" applyFill="1" applyBorder="1" applyAlignment="1">
      <alignment horizontal="center" vertical="center"/>
    </xf>
    <xf numFmtId="49" fontId="4" fillId="4" borderId="18" xfId="0" applyNumberFormat="1" applyFont="1" applyFill="1" applyBorder="1" applyAlignment="1">
      <alignment horizontal="center" vertical="center"/>
    </xf>
    <xf numFmtId="49" fontId="4" fillId="4" borderId="11" xfId="0" applyNumberFormat="1" applyFont="1" applyFill="1" applyBorder="1" applyAlignment="1">
      <alignment horizontal="center" vertical="center"/>
    </xf>
    <xf numFmtId="49" fontId="4" fillId="4" borderId="24" xfId="0" applyNumberFormat="1" applyFont="1" applyFill="1" applyBorder="1" applyAlignment="1">
      <alignment horizontal="center" vertical="center"/>
    </xf>
    <xf numFmtId="49" fontId="4" fillId="5" borderId="19" xfId="0" applyNumberFormat="1" applyFont="1" applyFill="1" applyBorder="1" applyAlignment="1">
      <alignment horizontal="center" vertical="center"/>
    </xf>
    <xf numFmtId="49" fontId="4" fillId="5" borderId="16" xfId="0" applyNumberFormat="1" applyFont="1" applyFill="1" applyBorder="1" applyAlignment="1">
      <alignment horizontal="center" vertical="center"/>
    </xf>
    <xf numFmtId="49" fontId="4" fillId="5" borderId="9" xfId="0" applyNumberFormat="1" applyFont="1" applyFill="1" applyBorder="1" applyAlignment="1">
      <alignment horizontal="center" vertical="center"/>
    </xf>
    <xf numFmtId="49" fontId="4" fillId="5" borderId="22" xfId="0" applyNumberFormat="1" applyFont="1" applyFill="1" applyBorder="1" applyAlignment="1">
      <alignment horizontal="center" vertical="center"/>
    </xf>
    <xf numFmtId="49" fontId="4" fillId="5" borderId="20" xfId="0" applyNumberFormat="1" applyFont="1" applyFill="1" applyBorder="1" applyAlignment="1">
      <alignment horizontal="center" vertical="center"/>
    </xf>
    <xf numFmtId="49" fontId="4" fillId="5" borderId="17" xfId="0" applyNumberFormat="1" applyFont="1" applyFill="1" applyBorder="1" applyAlignment="1">
      <alignment horizontal="center" vertical="center"/>
    </xf>
    <xf numFmtId="49" fontId="4" fillId="5" borderId="10" xfId="0" applyNumberFormat="1" applyFont="1" applyFill="1" applyBorder="1" applyAlignment="1">
      <alignment horizontal="center" vertical="center"/>
    </xf>
    <xf numFmtId="49" fontId="4" fillId="5" borderId="23" xfId="0" applyNumberFormat="1" applyFont="1" applyFill="1" applyBorder="1" applyAlignment="1">
      <alignment horizontal="center" vertical="center"/>
    </xf>
    <xf numFmtId="49" fontId="4" fillId="5" borderId="21" xfId="0" applyNumberFormat="1" applyFont="1" applyFill="1" applyBorder="1" applyAlignment="1">
      <alignment horizontal="center" vertical="center"/>
    </xf>
    <xf numFmtId="49" fontId="4" fillId="5" borderId="18" xfId="0" applyNumberFormat="1" applyFont="1" applyFill="1" applyBorder="1" applyAlignment="1">
      <alignment horizontal="center" vertical="center"/>
    </xf>
    <xf numFmtId="49" fontId="4" fillId="5" borderId="11" xfId="0" applyNumberFormat="1" applyFont="1" applyFill="1" applyBorder="1" applyAlignment="1">
      <alignment horizontal="center" vertical="center"/>
    </xf>
    <xf numFmtId="49" fontId="4" fillId="5" borderId="24" xfId="0" applyNumberFormat="1" applyFont="1" applyFill="1" applyBorder="1" applyAlignment="1">
      <alignment horizontal="center" vertical="center"/>
    </xf>
    <xf numFmtId="49" fontId="4" fillId="6" borderId="19" xfId="0" applyNumberFormat="1" applyFont="1" applyFill="1" applyBorder="1" applyAlignment="1">
      <alignment horizontal="center" vertical="center"/>
    </xf>
    <xf numFmtId="49" fontId="4" fillId="6" borderId="16" xfId="0" applyNumberFormat="1" applyFont="1" applyFill="1" applyBorder="1" applyAlignment="1">
      <alignment horizontal="center" vertical="center"/>
    </xf>
    <xf numFmtId="49" fontId="4" fillId="6" borderId="9" xfId="0" applyNumberFormat="1" applyFont="1" applyFill="1" applyBorder="1" applyAlignment="1">
      <alignment horizontal="center" vertical="center"/>
    </xf>
    <xf numFmtId="49" fontId="4" fillId="6" borderId="22" xfId="0" applyNumberFormat="1" applyFont="1" applyFill="1" applyBorder="1" applyAlignment="1">
      <alignment horizontal="center" vertical="center"/>
    </xf>
    <xf numFmtId="49" fontId="4" fillId="6" borderId="20" xfId="0" applyNumberFormat="1" applyFont="1" applyFill="1" applyBorder="1" applyAlignment="1">
      <alignment horizontal="center" vertical="center"/>
    </xf>
    <xf numFmtId="49" fontId="4" fillId="6" borderId="17" xfId="0" applyNumberFormat="1" applyFont="1" applyFill="1" applyBorder="1" applyAlignment="1">
      <alignment horizontal="center" vertical="center"/>
    </xf>
    <xf numFmtId="49" fontId="4" fillId="6" borderId="10" xfId="0" applyNumberFormat="1" applyFont="1" applyFill="1" applyBorder="1" applyAlignment="1">
      <alignment horizontal="center" vertical="center"/>
    </xf>
    <xf numFmtId="49" fontId="4" fillId="6" borderId="23" xfId="0" applyNumberFormat="1" applyFont="1" applyFill="1" applyBorder="1" applyAlignment="1">
      <alignment horizontal="center" vertical="center"/>
    </xf>
    <xf numFmtId="49" fontId="4" fillId="6" borderId="21" xfId="0" applyNumberFormat="1" applyFont="1" applyFill="1" applyBorder="1" applyAlignment="1">
      <alignment horizontal="center" vertical="center"/>
    </xf>
    <xf numFmtId="49" fontId="4" fillId="6" borderId="18" xfId="0" applyNumberFormat="1" applyFont="1" applyFill="1" applyBorder="1" applyAlignment="1">
      <alignment horizontal="center" vertical="center"/>
    </xf>
    <xf numFmtId="49" fontId="4" fillId="6" borderId="11" xfId="0" applyNumberFormat="1" applyFont="1" applyFill="1" applyBorder="1" applyAlignment="1">
      <alignment horizontal="center" vertical="center"/>
    </xf>
    <xf numFmtId="49" fontId="4" fillId="6" borderId="24" xfId="0" applyNumberFormat="1" applyFont="1" applyFill="1" applyBorder="1" applyAlignment="1">
      <alignment horizontal="center" vertical="center"/>
    </xf>
    <xf numFmtId="49" fontId="4" fillId="0" borderId="19" xfId="0" applyNumberFormat="1" applyFont="1" applyBorder="1" applyAlignment="1">
      <alignment horizontal="center" vertical="center"/>
    </xf>
    <xf numFmtId="49" fontId="4" fillId="0" borderId="16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22" xfId="0" applyNumberFormat="1" applyFont="1" applyBorder="1" applyAlignment="1">
      <alignment horizontal="center" vertical="center"/>
    </xf>
    <xf numFmtId="49" fontId="4" fillId="0" borderId="20" xfId="0" applyNumberFormat="1" applyFont="1" applyBorder="1" applyAlignment="1">
      <alignment horizontal="center" vertical="center"/>
    </xf>
    <xf numFmtId="49" fontId="4" fillId="0" borderId="17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4" fillId="0" borderId="21" xfId="0" applyNumberFormat="1" applyFont="1" applyBorder="1" applyAlignment="1">
      <alignment horizontal="center" vertical="center"/>
    </xf>
    <xf numFmtId="49" fontId="4" fillId="0" borderId="18" xfId="0" applyNumberFormat="1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7" borderId="27" xfId="0" applyFont="1" applyFill="1" applyBorder="1" applyAlignment="1">
      <alignment horizontal="center" vertical="center"/>
    </xf>
    <xf numFmtId="0" fontId="5" fillId="7" borderId="28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31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33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6" fillId="7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W27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9" width="6" customWidth="1"/>
    <col min="10" max="10" width="2.58203125" customWidth="1"/>
    <col min="11" max="26" width="3.25" customWidth="1"/>
    <col min="27" max="27" width="2.58203125" customWidth="1"/>
    <col min="28" max="35" width="6" customWidth="1"/>
    <col min="36" max="36" width="2.58203125" customWidth="1"/>
    <col min="37" max="43" width="6" customWidth="1"/>
    <col min="44" max="44" width="5.58203125" customWidth="1"/>
    <col min="45" max="45" width="13.08203125" bestFit="1" customWidth="1"/>
  </cols>
  <sheetData>
    <row r="2" spans="2:49" ht="17.5" thickBot="1" x14ac:dyDescent="0.5">
      <c r="B2" s="1" t="s">
        <v>146</v>
      </c>
      <c r="K2" s="1" t="s">
        <v>46</v>
      </c>
      <c r="L2" s="6"/>
      <c r="AB2" s="1" t="s">
        <v>145</v>
      </c>
      <c r="AK2" s="1" t="s">
        <v>147</v>
      </c>
      <c r="AR2" s="170"/>
      <c r="AS2" s="170"/>
      <c r="AT2" s="170"/>
      <c r="AU2" s="170"/>
      <c r="AV2" s="170"/>
      <c r="AW2" s="170"/>
    </row>
    <row r="3" spans="2:49" ht="17.5" thickBot="1" x14ac:dyDescent="0.5">
      <c r="B3" s="13">
        <v>0</v>
      </c>
      <c r="C3" s="17">
        <v>1</v>
      </c>
      <c r="D3" s="13">
        <v>2</v>
      </c>
      <c r="E3" s="17">
        <v>3</v>
      </c>
      <c r="F3" s="13">
        <v>4</v>
      </c>
      <c r="G3" s="17">
        <v>5</v>
      </c>
      <c r="H3" s="13">
        <v>6</v>
      </c>
      <c r="I3" s="14">
        <v>7</v>
      </c>
      <c r="K3" s="70" t="s">
        <v>0</v>
      </c>
      <c r="L3" s="67" t="s">
        <v>1</v>
      </c>
      <c r="M3" s="73" t="s">
        <v>2</v>
      </c>
      <c r="N3" s="76" t="s">
        <v>3</v>
      </c>
      <c r="O3" s="70" t="s">
        <v>12</v>
      </c>
      <c r="P3" s="67" t="s">
        <v>13</v>
      </c>
      <c r="Q3" s="73" t="s">
        <v>18</v>
      </c>
      <c r="R3" s="76" t="s">
        <v>19</v>
      </c>
      <c r="S3" s="70" t="s">
        <v>22</v>
      </c>
      <c r="T3" s="67" t="s">
        <v>23</v>
      </c>
      <c r="U3" s="73" t="s">
        <v>28</v>
      </c>
      <c r="V3" s="76" t="s">
        <v>29</v>
      </c>
      <c r="W3" s="70" t="s">
        <v>34</v>
      </c>
      <c r="X3" s="67" t="s">
        <v>35</v>
      </c>
      <c r="Y3" s="73" t="s">
        <v>40</v>
      </c>
      <c r="Z3" s="76" t="s">
        <v>41</v>
      </c>
      <c r="AA3" s="3"/>
      <c r="AB3" s="7" t="str">
        <f>_xlfn.CONCAT("{", LEFT(K3,FIND("-",K3)-1)&amp;", "&amp;MID(K3,FIND("-",K3)+1,99)&amp;", "&amp;MID(L3,FIND("-",L3)+1,99), "}", ",")</f>
        <v>{1, 3, 4},</v>
      </c>
      <c r="AC3" s="7" t="str">
        <f>_xlfn.CONCAT("{", LEFT(M3,FIND("-",M3)-1)&amp;", "&amp;MID(M3,FIND("-",M3)+1,99)&amp;", "&amp;MID(N3,FIND("-",N3)+1,99), "}", ",")</f>
        <v>{1, 1, 2},</v>
      </c>
      <c r="AD3" s="7" t="str">
        <f>_xlfn.CONCAT("{", LEFT(O3,FIND("-",O3)-1)&amp;", "&amp;MID(O3,FIND("-",O3)+1,99)&amp;", "&amp;MID(P3,FIND("-",P3)+1,99), "}", ",")</f>
        <v>{4, 3, 4},</v>
      </c>
      <c r="AE3" s="7" t="str">
        <f>_xlfn.CONCAT("{", LEFT(Q3,FIND("-",Q3)-1)&amp;", "&amp;MID(Q3,FIND("-",Q3)+1,99)&amp;", "&amp;MID(R3,FIND("-",R3)+1,99), "}", ",")</f>
        <v>{4, 1, 2},</v>
      </c>
      <c r="AF3" s="7" t="str">
        <f>_xlfn.CONCAT("{", LEFT(S3,FIND("-",S3)-1)&amp;", "&amp;MID(S3,FIND("-",S3)+1,99)&amp;", "&amp;MID(T3,FIND("-",T3)+1,99), "}", ",")</f>
        <v>{7, 3, 4},</v>
      </c>
      <c r="AG3" s="7" t="str">
        <f>_xlfn.CONCAT("{", LEFT(U3,FIND("-",U3)-1)&amp;", "&amp;MID(U3,FIND("-",U3)+1,99)&amp;", "&amp;MID(V3,FIND("-",V3)+1,99), "}", ",")</f>
        <v>{7, 1, 2},</v>
      </c>
      <c r="AH3" s="7" t="str">
        <f>_xlfn.CONCAT("{", LEFT(W3,FIND("-",W3)-1)&amp;", "&amp;MID(W3,FIND("-",W3)+1,99)&amp;", "&amp;MID(X3,FIND("-",X3)+1,99), "}", ",")</f>
        <v>{10, 3, 4},</v>
      </c>
      <c r="AI3" s="7" t="str">
        <f>_xlfn.CONCAT("{", LEFT(Y3,FIND("-",Y3)-1)&amp;", "&amp;MID(Y3,FIND("-",Y3)+1,99)&amp;", "&amp;MID(Z3,FIND("-",Z3)+1,99), "}", ",")</f>
        <v>{10, 1, 2},</v>
      </c>
      <c r="AK3" s="166" t="s">
        <v>168</v>
      </c>
      <c r="AL3" s="157" t="s">
        <v>169</v>
      </c>
      <c r="AM3" s="155" t="s">
        <v>170</v>
      </c>
      <c r="AN3" s="155" t="s">
        <v>171</v>
      </c>
      <c r="AO3" s="155" t="s">
        <v>172</v>
      </c>
      <c r="AP3" s="155" t="s">
        <v>173</v>
      </c>
      <c r="AQ3" s="156" t="s">
        <v>174</v>
      </c>
      <c r="AR3" s="170"/>
      <c r="AS3" s="172" t="s">
        <v>168</v>
      </c>
      <c r="AT3" s="170">
        <v>24</v>
      </c>
      <c r="AU3" s="170"/>
      <c r="AV3" s="170"/>
      <c r="AW3" s="170"/>
    </row>
    <row r="4" spans="2:49" ht="21" customHeight="1" thickBot="1" x14ac:dyDescent="0.5">
      <c r="B4" s="15">
        <f>B3+8</f>
        <v>8</v>
      </c>
      <c r="C4" s="18">
        <f t="shared" ref="C4:I4" si="0">C3+8</f>
        <v>9</v>
      </c>
      <c r="D4" s="15">
        <f t="shared" si="0"/>
        <v>10</v>
      </c>
      <c r="E4" s="18">
        <f t="shared" si="0"/>
        <v>11</v>
      </c>
      <c r="F4" s="15">
        <f t="shared" si="0"/>
        <v>12</v>
      </c>
      <c r="G4" s="18">
        <f t="shared" si="0"/>
        <v>13</v>
      </c>
      <c r="H4" s="15">
        <f t="shared" si="0"/>
        <v>14</v>
      </c>
      <c r="I4" s="16">
        <f t="shared" si="0"/>
        <v>15</v>
      </c>
      <c r="K4" s="71" t="s">
        <v>4</v>
      </c>
      <c r="L4" s="68" t="s">
        <v>5</v>
      </c>
      <c r="M4" s="74" t="s">
        <v>8</v>
      </c>
      <c r="N4" s="77" t="s">
        <v>9</v>
      </c>
      <c r="O4" s="71" t="s">
        <v>47</v>
      </c>
      <c r="P4" s="68" t="s">
        <v>48</v>
      </c>
      <c r="Q4" s="74" t="s">
        <v>14</v>
      </c>
      <c r="R4" s="77" t="s">
        <v>15</v>
      </c>
      <c r="S4" s="71" t="s">
        <v>24</v>
      </c>
      <c r="T4" s="68" t="s">
        <v>25</v>
      </c>
      <c r="U4" s="74" t="s">
        <v>30</v>
      </c>
      <c r="V4" s="77" t="s">
        <v>31</v>
      </c>
      <c r="W4" s="71" t="s">
        <v>36</v>
      </c>
      <c r="X4" s="68" t="s">
        <v>37</v>
      </c>
      <c r="Y4" s="74" t="s">
        <v>42</v>
      </c>
      <c r="Z4" s="77" t="s">
        <v>43</v>
      </c>
      <c r="AA4" s="3"/>
      <c r="AB4" s="7" t="str">
        <f t="shared" ref="AB4:AB20" si="1">_xlfn.CONCAT("{", LEFT(K4,FIND("-",K4)-1)&amp;", "&amp;MID(K4,FIND("-",K4)+1,99)&amp;", "&amp;MID(L4,FIND("-",L4)+1,99), "}", ",")</f>
        <v>{1, 7, 8},</v>
      </c>
      <c r="AC4" s="7" t="str">
        <f t="shared" ref="AC4:AC20" si="2">_xlfn.CONCAT("{", LEFT(M4,FIND("-",M4)-1)&amp;", "&amp;MID(M4,FIND("-",M4)+1,99)&amp;", "&amp;MID(N4,FIND("-",N4)+1,99), "}", ",")</f>
        <v>{1, 5, 6},</v>
      </c>
      <c r="AD4" s="7" t="str">
        <f t="shared" ref="AD4:AD20" si="3">_xlfn.CONCAT("{", LEFT(O4,FIND("-",O4)-1)&amp;", "&amp;MID(O4,FIND("-",O4)+1,99)&amp;", "&amp;MID(P4,FIND("-",P4)+1,99), "}", ",")</f>
        <v>{4, 7, 8},</v>
      </c>
      <c r="AE4" s="7" t="str">
        <f t="shared" ref="AE4:AE20" si="4">_xlfn.CONCAT("{", LEFT(Q4,FIND("-",Q4)-1)&amp;", "&amp;MID(Q4,FIND("-",Q4)+1,99)&amp;", "&amp;MID(R4,FIND("-",R4)+1,99), "}", ",")</f>
        <v>{4, 5, 6},</v>
      </c>
      <c r="AF4" s="7" t="str">
        <f t="shared" ref="AF4:AF20" si="5">_xlfn.CONCAT("{", LEFT(S4,FIND("-",S4)-1)&amp;", "&amp;MID(S4,FIND("-",S4)+1,99)&amp;", "&amp;MID(T4,FIND("-",T4)+1,99), "}", ",")</f>
        <v>{7, 7, 8},</v>
      </c>
      <c r="AG4" s="7" t="str">
        <f t="shared" ref="AG4:AG20" si="6">_xlfn.CONCAT("{", LEFT(U4,FIND("-",U4)-1)&amp;", "&amp;MID(U4,FIND("-",U4)+1,99)&amp;", "&amp;MID(V4,FIND("-",V4)+1,99), "}", ",")</f>
        <v>{7, 5, 6},</v>
      </c>
      <c r="AH4" s="7" t="str">
        <f t="shared" ref="AH4:AH20" si="7">_xlfn.CONCAT("{", LEFT(W4,FIND("-",W4)-1)&amp;", "&amp;MID(W4,FIND("-",W4)+1,99)&amp;", "&amp;MID(X4,FIND("-",X4)+1,99), "}", ",")</f>
        <v>{10, 7, 8},</v>
      </c>
      <c r="AI4" s="7" t="str">
        <f t="shared" ref="AI4:AI20" si="8">_xlfn.CONCAT("{", LEFT(Y4,FIND("-",Y4)-1)&amp;", "&amp;MID(Y4,FIND("-",Y4)+1,99)&amp;", "&amp;MID(Z4,FIND("-",Z4)+1,99), "}", ",")</f>
        <v>{10, 5, 6},</v>
      </c>
      <c r="AK4" s="167" t="s">
        <v>148</v>
      </c>
      <c r="AL4" s="158">
        <v>1</v>
      </c>
      <c r="AM4" s="153">
        <v>0</v>
      </c>
      <c r="AN4" s="153">
        <v>9</v>
      </c>
      <c r="AO4" s="153">
        <v>8</v>
      </c>
      <c r="AP4" s="153">
        <v>17</v>
      </c>
      <c r="AQ4" s="154">
        <v>16</v>
      </c>
      <c r="AR4" s="170"/>
      <c r="AS4" s="172" t="s">
        <v>179</v>
      </c>
      <c r="AT4" s="171">
        <v>4</v>
      </c>
      <c r="AU4" s="170"/>
      <c r="AV4" s="170"/>
      <c r="AW4" s="170"/>
    </row>
    <row r="5" spans="2:49" ht="21" customHeight="1" thickBot="1" x14ac:dyDescent="0.5">
      <c r="B5" s="19">
        <f t="shared" ref="B5:B12" si="9">B4+8</f>
        <v>16</v>
      </c>
      <c r="C5" s="20">
        <f t="shared" ref="C5:C12" si="10">C4+8</f>
        <v>17</v>
      </c>
      <c r="D5" s="19">
        <f t="shared" ref="D5:D12" si="11">D4+8</f>
        <v>18</v>
      </c>
      <c r="E5" s="20">
        <f t="shared" ref="E5:E12" si="12">E4+8</f>
        <v>19</v>
      </c>
      <c r="F5" s="19">
        <f t="shared" ref="F5:F12" si="13">F4+8</f>
        <v>20</v>
      </c>
      <c r="G5" s="20">
        <f t="shared" ref="G5:G12" si="14">G4+8</f>
        <v>21</v>
      </c>
      <c r="H5" s="19">
        <f t="shared" ref="H5:H12" si="15">H4+8</f>
        <v>22</v>
      </c>
      <c r="I5" s="27">
        <f t="shared" ref="I5:I12" si="16">I4+8</f>
        <v>23</v>
      </c>
      <c r="K5" s="72" t="s">
        <v>6</v>
      </c>
      <c r="L5" s="69" t="s">
        <v>7</v>
      </c>
      <c r="M5" s="75" t="s">
        <v>10</v>
      </c>
      <c r="N5" s="78" t="s">
        <v>11</v>
      </c>
      <c r="O5" s="72" t="s">
        <v>16</v>
      </c>
      <c r="P5" s="69" t="s">
        <v>17</v>
      </c>
      <c r="Q5" s="75" t="s">
        <v>20</v>
      </c>
      <c r="R5" s="78" t="s">
        <v>21</v>
      </c>
      <c r="S5" s="72" t="s">
        <v>26</v>
      </c>
      <c r="T5" s="69" t="s">
        <v>27</v>
      </c>
      <c r="U5" s="75" t="s">
        <v>32</v>
      </c>
      <c r="V5" s="78" t="s">
        <v>33</v>
      </c>
      <c r="W5" s="72" t="s">
        <v>38</v>
      </c>
      <c r="X5" s="69" t="s">
        <v>39</v>
      </c>
      <c r="Y5" s="75" t="s">
        <v>44</v>
      </c>
      <c r="Z5" s="78" t="s">
        <v>45</v>
      </c>
      <c r="AA5" s="3"/>
      <c r="AB5" s="7" t="str">
        <f t="shared" si="1"/>
        <v>{1, 11, 12},</v>
      </c>
      <c r="AC5" s="7" t="str">
        <f t="shared" si="2"/>
        <v>{1, 9, 10},</v>
      </c>
      <c r="AD5" s="7" t="str">
        <f t="shared" si="3"/>
        <v>{4, 11, 12},</v>
      </c>
      <c r="AE5" s="7" t="str">
        <f t="shared" si="4"/>
        <v>{4, 9, 10},</v>
      </c>
      <c r="AF5" s="7" t="str">
        <f t="shared" si="5"/>
        <v>{7, 11, 12},</v>
      </c>
      <c r="AG5" s="7" t="str">
        <f t="shared" si="6"/>
        <v>{7, 9, 10},</v>
      </c>
      <c r="AH5" s="7" t="str">
        <f t="shared" si="7"/>
        <v>{10, 11, 12},</v>
      </c>
      <c r="AI5" s="7" t="str">
        <f t="shared" si="8"/>
        <v>{10, 9, 10},</v>
      </c>
      <c r="AK5" s="168" t="s">
        <v>149</v>
      </c>
      <c r="AL5" s="159">
        <v>25</v>
      </c>
      <c r="AM5" s="140">
        <v>24</v>
      </c>
      <c r="AN5" s="140">
        <v>33</v>
      </c>
      <c r="AO5" s="140">
        <v>32</v>
      </c>
      <c r="AP5" s="140">
        <v>41</v>
      </c>
      <c r="AQ5" s="146">
        <v>40</v>
      </c>
      <c r="AR5" s="170"/>
      <c r="AS5" s="172" t="s">
        <v>180</v>
      </c>
      <c r="AT5" s="170">
        <f>14+28</f>
        <v>42</v>
      </c>
      <c r="AU5" s="170"/>
      <c r="AV5" s="170"/>
      <c r="AW5" s="170"/>
    </row>
    <row r="6" spans="2:49" ht="21" customHeight="1" thickBot="1" x14ac:dyDescent="0.5">
      <c r="B6" s="21">
        <f t="shared" si="9"/>
        <v>24</v>
      </c>
      <c r="C6" s="25">
        <f t="shared" si="10"/>
        <v>25</v>
      </c>
      <c r="D6" s="21">
        <f t="shared" si="11"/>
        <v>26</v>
      </c>
      <c r="E6" s="25">
        <f t="shared" si="12"/>
        <v>27</v>
      </c>
      <c r="F6" s="21">
        <f t="shared" si="13"/>
        <v>28</v>
      </c>
      <c r="G6" s="25">
        <f t="shared" si="14"/>
        <v>29</v>
      </c>
      <c r="H6" s="21">
        <f t="shared" si="15"/>
        <v>30</v>
      </c>
      <c r="I6" s="22">
        <f t="shared" si="16"/>
        <v>31</v>
      </c>
      <c r="K6" s="79" t="s">
        <v>49</v>
      </c>
      <c r="L6" s="80" t="s">
        <v>50</v>
      </c>
      <c r="M6" s="81" t="s">
        <v>55</v>
      </c>
      <c r="N6" s="82" t="s">
        <v>56</v>
      </c>
      <c r="O6" s="79" t="s">
        <v>61</v>
      </c>
      <c r="P6" s="80" t="s">
        <v>62</v>
      </c>
      <c r="Q6" s="81" t="s">
        <v>67</v>
      </c>
      <c r="R6" s="82" t="s">
        <v>68</v>
      </c>
      <c r="S6" s="79" t="s">
        <v>73</v>
      </c>
      <c r="T6" s="80" t="s">
        <v>76</v>
      </c>
      <c r="U6" s="81" t="s">
        <v>79</v>
      </c>
      <c r="V6" s="82" t="s">
        <v>84</v>
      </c>
      <c r="W6" s="79" t="s">
        <v>85</v>
      </c>
      <c r="X6" s="80" t="s">
        <v>88</v>
      </c>
      <c r="Y6" s="81" t="s">
        <v>91</v>
      </c>
      <c r="Z6" s="82" t="s">
        <v>94</v>
      </c>
      <c r="AA6" s="3"/>
      <c r="AB6" s="9" t="str">
        <f t="shared" si="1"/>
        <v>{2, 3, 4},</v>
      </c>
      <c r="AC6" s="9" t="str">
        <f t="shared" si="2"/>
        <v>{2, 1, 2},</v>
      </c>
      <c r="AD6" s="9" t="str">
        <f t="shared" si="3"/>
        <v>{5, 3, 4},</v>
      </c>
      <c r="AE6" s="9" t="str">
        <f t="shared" si="4"/>
        <v>{5, 1, 2},</v>
      </c>
      <c r="AF6" s="9" t="str">
        <f t="shared" si="5"/>
        <v>{8, 3, 4},</v>
      </c>
      <c r="AG6" s="9" t="str">
        <f t="shared" si="6"/>
        <v>{8, 1, 2},</v>
      </c>
      <c r="AH6" s="9" t="str">
        <f t="shared" si="7"/>
        <v>{11, 3, 4},</v>
      </c>
      <c r="AI6" s="9" t="str">
        <f t="shared" si="8"/>
        <v>{11, 1, 2},</v>
      </c>
      <c r="AK6" s="168" t="s">
        <v>150</v>
      </c>
      <c r="AL6" s="160">
        <v>49</v>
      </c>
      <c r="AM6" s="141">
        <v>48</v>
      </c>
      <c r="AN6" s="141">
        <v>57</v>
      </c>
      <c r="AO6" s="141">
        <v>56</v>
      </c>
      <c r="AP6" s="141">
        <v>65</v>
      </c>
      <c r="AQ6" s="147">
        <v>64</v>
      </c>
      <c r="AR6" s="170"/>
      <c r="AS6" s="172" t="s">
        <v>181</v>
      </c>
      <c r="AT6" s="170">
        <f>6*AT5</f>
        <v>252</v>
      </c>
      <c r="AU6" s="170"/>
      <c r="AV6" s="170"/>
      <c r="AW6" s="170"/>
    </row>
    <row r="7" spans="2:49" ht="21" customHeight="1" thickBot="1" x14ac:dyDescent="0.5">
      <c r="B7" s="23">
        <f t="shared" si="9"/>
        <v>32</v>
      </c>
      <c r="C7" s="26">
        <f t="shared" si="10"/>
        <v>33</v>
      </c>
      <c r="D7" s="23">
        <f t="shared" si="11"/>
        <v>34</v>
      </c>
      <c r="E7" s="26">
        <f t="shared" si="12"/>
        <v>35</v>
      </c>
      <c r="F7" s="23">
        <f t="shared" si="13"/>
        <v>36</v>
      </c>
      <c r="G7" s="26">
        <f t="shared" si="14"/>
        <v>37</v>
      </c>
      <c r="H7" s="23">
        <f t="shared" si="15"/>
        <v>38</v>
      </c>
      <c r="I7" s="24">
        <f t="shared" si="16"/>
        <v>39</v>
      </c>
      <c r="K7" s="83" t="s">
        <v>51</v>
      </c>
      <c r="L7" s="84" t="s">
        <v>52</v>
      </c>
      <c r="M7" s="85" t="s">
        <v>57</v>
      </c>
      <c r="N7" s="86" t="s">
        <v>58</v>
      </c>
      <c r="O7" s="83" t="s">
        <v>63</v>
      </c>
      <c r="P7" s="84" t="s">
        <v>65</v>
      </c>
      <c r="Q7" s="85" t="s">
        <v>69</v>
      </c>
      <c r="R7" s="86" t="s">
        <v>70</v>
      </c>
      <c r="S7" s="83" t="s">
        <v>74</v>
      </c>
      <c r="T7" s="84" t="s">
        <v>77</v>
      </c>
      <c r="U7" s="85" t="s">
        <v>80</v>
      </c>
      <c r="V7" s="86" t="s">
        <v>83</v>
      </c>
      <c r="W7" s="83" t="s">
        <v>86</v>
      </c>
      <c r="X7" s="84" t="s">
        <v>89</v>
      </c>
      <c r="Y7" s="85" t="s">
        <v>92</v>
      </c>
      <c r="Z7" s="86" t="s">
        <v>95</v>
      </c>
      <c r="AA7" s="3"/>
      <c r="AB7" s="9" t="str">
        <f t="shared" si="1"/>
        <v>{2, 7, 8},</v>
      </c>
      <c r="AC7" s="9" t="str">
        <f t="shared" si="2"/>
        <v>{2, 5, 6},</v>
      </c>
      <c r="AD7" s="9" t="str">
        <f t="shared" si="3"/>
        <v>{5, 7, 8},</v>
      </c>
      <c r="AE7" s="9" t="str">
        <f t="shared" si="4"/>
        <v>{5, 5, 6},</v>
      </c>
      <c r="AF7" s="9" t="str">
        <f t="shared" si="5"/>
        <v>{8, 7, 8},</v>
      </c>
      <c r="AG7" s="9" t="str">
        <f t="shared" si="6"/>
        <v>{8, 5, 6},</v>
      </c>
      <c r="AH7" s="9" t="str">
        <f t="shared" si="7"/>
        <v>{11, 7, 8},</v>
      </c>
      <c r="AI7" s="9" t="str">
        <f t="shared" si="8"/>
        <v>{11, 5, 6},</v>
      </c>
      <c r="AJ7" s="2"/>
      <c r="AK7" s="168" t="s">
        <v>151</v>
      </c>
      <c r="AL7" s="161">
        <v>3</v>
      </c>
      <c r="AM7" s="139">
        <v>2</v>
      </c>
      <c r="AN7" s="139">
        <v>11</v>
      </c>
      <c r="AO7" s="139">
        <v>10</v>
      </c>
      <c r="AP7" s="139">
        <v>19</v>
      </c>
      <c r="AQ7" s="145">
        <v>18</v>
      </c>
      <c r="AR7" s="170"/>
      <c r="AS7" s="172" t="s">
        <v>182</v>
      </c>
      <c r="AT7" s="170">
        <f>AT4+AT6</f>
        <v>256</v>
      </c>
      <c r="AU7" s="170"/>
      <c r="AV7" s="170"/>
      <c r="AW7" s="170"/>
    </row>
    <row r="8" spans="2:49" ht="21" customHeight="1" thickBot="1" x14ac:dyDescent="0.5">
      <c r="B8" s="28">
        <f t="shared" si="9"/>
        <v>40</v>
      </c>
      <c r="C8" s="29">
        <f t="shared" si="10"/>
        <v>41</v>
      </c>
      <c r="D8" s="28">
        <f t="shared" si="11"/>
        <v>42</v>
      </c>
      <c r="E8" s="29">
        <f t="shared" si="12"/>
        <v>43</v>
      </c>
      <c r="F8" s="28">
        <f t="shared" si="13"/>
        <v>44</v>
      </c>
      <c r="G8" s="29">
        <f t="shared" si="14"/>
        <v>45</v>
      </c>
      <c r="H8" s="28">
        <f t="shared" si="15"/>
        <v>46</v>
      </c>
      <c r="I8" s="36">
        <f t="shared" si="16"/>
        <v>47</v>
      </c>
      <c r="K8" s="87" t="s">
        <v>53</v>
      </c>
      <c r="L8" s="88" t="s">
        <v>54</v>
      </c>
      <c r="M8" s="89" t="s">
        <v>59</v>
      </c>
      <c r="N8" s="90" t="s">
        <v>60</v>
      </c>
      <c r="O8" s="87" t="s">
        <v>64</v>
      </c>
      <c r="P8" s="88" t="s">
        <v>66</v>
      </c>
      <c r="Q8" s="89" t="s">
        <v>71</v>
      </c>
      <c r="R8" s="90" t="s">
        <v>72</v>
      </c>
      <c r="S8" s="87" t="s">
        <v>75</v>
      </c>
      <c r="T8" s="88" t="s">
        <v>78</v>
      </c>
      <c r="U8" s="89" t="s">
        <v>81</v>
      </c>
      <c r="V8" s="90" t="s">
        <v>82</v>
      </c>
      <c r="W8" s="87" t="s">
        <v>87</v>
      </c>
      <c r="X8" s="88" t="s">
        <v>90</v>
      </c>
      <c r="Y8" s="89" t="s">
        <v>93</v>
      </c>
      <c r="Z8" s="90" t="s">
        <v>96</v>
      </c>
      <c r="AA8" s="3"/>
      <c r="AB8" s="9" t="str">
        <f t="shared" si="1"/>
        <v>{2, 11, 12},</v>
      </c>
      <c r="AC8" s="9" t="str">
        <f t="shared" si="2"/>
        <v>{2, 9, 10},</v>
      </c>
      <c r="AD8" s="9" t="str">
        <f t="shared" si="3"/>
        <v>{5, 11, 12},</v>
      </c>
      <c r="AE8" s="9" t="str">
        <f t="shared" si="4"/>
        <v>{5, 9, 10},</v>
      </c>
      <c r="AF8" s="9" t="str">
        <f t="shared" si="5"/>
        <v>{8, 11, 12},</v>
      </c>
      <c r="AG8" s="9" t="str">
        <f t="shared" si="6"/>
        <v>{8, 9, 10},</v>
      </c>
      <c r="AH8" s="9" t="str">
        <f t="shared" si="7"/>
        <v>{11, 11, 12},</v>
      </c>
      <c r="AI8" s="9" t="str">
        <f t="shared" si="8"/>
        <v>{11, 9, 10},</v>
      </c>
      <c r="AJ8" s="2"/>
      <c r="AK8" s="168" t="s">
        <v>152</v>
      </c>
      <c r="AL8" s="159">
        <v>27</v>
      </c>
      <c r="AM8" s="140">
        <v>26</v>
      </c>
      <c r="AN8" s="140">
        <v>35</v>
      </c>
      <c r="AO8" s="140">
        <v>34</v>
      </c>
      <c r="AP8" s="140">
        <v>43</v>
      </c>
      <c r="AQ8" s="146">
        <v>42</v>
      </c>
      <c r="AR8" s="170"/>
      <c r="AS8" s="172" t="s">
        <v>183</v>
      </c>
      <c r="AT8" s="173">
        <f>AT7*AT3</f>
        <v>6144</v>
      </c>
      <c r="AU8" s="170"/>
      <c r="AV8" s="170"/>
      <c r="AW8" s="170"/>
    </row>
    <row r="9" spans="2:49" ht="21" customHeight="1" thickBot="1" x14ac:dyDescent="0.5">
      <c r="B9" s="30">
        <f t="shared" si="9"/>
        <v>48</v>
      </c>
      <c r="C9" s="34">
        <f t="shared" si="10"/>
        <v>49</v>
      </c>
      <c r="D9" s="30">
        <f t="shared" si="11"/>
        <v>50</v>
      </c>
      <c r="E9" s="34">
        <f t="shared" si="12"/>
        <v>51</v>
      </c>
      <c r="F9" s="30">
        <f t="shared" si="13"/>
        <v>52</v>
      </c>
      <c r="G9" s="34">
        <f t="shared" si="14"/>
        <v>53</v>
      </c>
      <c r="H9" s="30">
        <f t="shared" si="15"/>
        <v>54</v>
      </c>
      <c r="I9" s="31">
        <f t="shared" si="16"/>
        <v>55</v>
      </c>
      <c r="K9" s="91" t="str">
        <f>TEXT(LEFT(K6,FIND("-",K6)-1)+1,"0")&amp;"-"&amp;MID(K6,FIND("-",K6)+1,99)</f>
        <v>3-3</v>
      </c>
      <c r="L9" s="92" t="str">
        <f t="shared" ref="L9:Z9" si="17">TEXT(LEFT(L6,FIND("-",L6)-1)+1,"0")&amp;"-"&amp;MID(L6,FIND("-",L6)+1,99)</f>
        <v>3-4</v>
      </c>
      <c r="M9" s="93" t="str">
        <f t="shared" si="17"/>
        <v>3-1</v>
      </c>
      <c r="N9" s="94" t="str">
        <f t="shared" si="17"/>
        <v>3-2</v>
      </c>
      <c r="O9" s="91" t="str">
        <f t="shared" si="17"/>
        <v>6-3</v>
      </c>
      <c r="P9" s="92" t="str">
        <f t="shared" si="17"/>
        <v>6-4</v>
      </c>
      <c r="Q9" s="93" t="str">
        <f t="shared" si="17"/>
        <v>6-1</v>
      </c>
      <c r="R9" s="94" t="str">
        <f t="shared" si="17"/>
        <v>6-2</v>
      </c>
      <c r="S9" s="91" t="str">
        <f t="shared" si="17"/>
        <v>9-3</v>
      </c>
      <c r="T9" s="92" t="str">
        <f t="shared" si="17"/>
        <v>9-4</v>
      </c>
      <c r="U9" s="93" t="str">
        <f t="shared" si="17"/>
        <v>9-1</v>
      </c>
      <c r="V9" s="94" t="str">
        <f t="shared" si="17"/>
        <v>9-2</v>
      </c>
      <c r="W9" s="91" t="str">
        <f t="shared" si="17"/>
        <v>12-3</v>
      </c>
      <c r="X9" s="92" t="str">
        <f t="shared" si="17"/>
        <v>12-4</v>
      </c>
      <c r="Y9" s="93" t="str">
        <f t="shared" si="17"/>
        <v>12-1</v>
      </c>
      <c r="Z9" s="94" t="str">
        <f t="shared" si="17"/>
        <v>12-2</v>
      </c>
      <c r="AA9" s="3"/>
      <c r="AB9" s="10" t="str">
        <f t="shared" si="1"/>
        <v>{3, 3, 4},</v>
      </c>
      <c r="AC9" s="10" t="str">
        <f t="shared" si="2"/>
        <v>{3, 1, 2},</v>
      </c>
      <c r="AD9" s="10" t="str">
        <f t="shared" si="3"/>
        <v>{6, 3, 4},</v>
      </c>
      <c r="AE9" s="10" t="str">
        <f t="shared" si="4"/>
        <v>{6, 1, 2},</v>
      </c>
      <c r="AF9" s="10" t="str">
        <f t="shared" si="5"/>
        <v>{9, 3, 4},</v>
      </c>
      <c r="AG9" s="10" t="str">
        <f t="shared" si="6"/>
        <v>{9, 1, 2},</v>
      </c>
      <c r="AH9" s="10" t="str">
        <f t="shared" si="7"/>
        <v>{12, 3, 4},</v>
      </c>
      <c r="AI9" s="10" t="str">
        <f t="shared" si="8"/>
        <v>{12, 1, 2},</v>
      </c>
      <c r="AJ9" s="2"/>
      <c r="AK9" s="168" t="s">
        <v>153</v>
      </c>
      <c r="AL9" s="160">
        <v>51</v>
      </c>
      <c r="AM9" s="141">
        <v>50</v>
      </c>
      <c r="AN9" s="141">
        <v>59</v>
      </c>
      <c r="AO9" s="141">
        <v>58</v>
      </c>
      <c r="AP9" s="141">
        <v>67</v>
      </c>
      <c r="AQ9" s="147">
        <v>66</v>
      </c>
      <c r="AR9" s="170"/>
      <c r="AS9" s="170"/>
      <c r="AT9" s="170"/>
      <c r="AU9" s="170"/>
      <c r="AV9" s="170"/>
      <c r="AW9" s="170"/>
    </row>
    <row r="10" spans="2:49" ht="21" customHeight="1" thickBot="1" x14ac:dyDescent="0.5">
      <c r="B10" s="32">
        <f t="shared" si="9"/>
        <v>56</v>
      </c>
      <c r="C10" s="35">
        <f t="shared" si="10"/>
        <v>57</v>
      </c>
      <c r="D10" s="32">
        <f t="shared" si="11"/>
        <v>58</v>
      </c>
      <c r="E10" s="35">
        <f t="shared" si="12"/>
        <v>59</v>
      </c>
      <c r="F10" s="32">
        <f t="shared" si="13"/>
        <v>60</v>
      </c>
      <c r="G10" s="35">
        <f t="shared" si="14"/>
        <v>61</v>
      </c>
      <c r="H10" s="32">
        <f t="shared" si="15"/>
        <v>62</v>
      </c>
      <c r="I10" s="33">
        <f t="shared" si="16"/>
        <v>63</v>
      </c>
      <c r="K10" s="95" t="str">
        <f t="shared" ref="K10:Z10" si="18">TEXT(LEFT(K7,FIND("-",K7)-1)+1,"0")&amp;"-"&amp;MID(K7,FIND("-",K7)+1,99)</f>
        <v>3-7</v>
      </c>
      <c r="L10" s="96" t="str">
        <f t="shared" si="18"/>
        <v>3-8</v>
      </c>
      <c r="M10" s="97" t="str">
        <f t="shared" si="18"/>
        <v>3-5</v>
      </c>
      <c r="N10" s="98" t="str">
        <f t="shared" si="18"/>
        <v>3-6</v>
      </c>
      <c r="O10" s="95" t="str">
        <f t="shared" si="18"/>
        <v>6-7</v>
      </c>
      <c r="P10" s="96" t="str">
        <f t="shared" si="18"/>
        <v>6-8</v>
      </c>
      <c r="Q10" s="97" t="str">
        <f t="shared" si="18"/>
        <v>6-5</v>
      </c>
      <c r="R10" s="98" t="str">
        <f t="shared" si="18"/>
        <v>6-6</v>
      </c>
      <c r="S10" s="95" t="str">
        <f t="shared" si="18"/>
        <v>9-7</v>
      </c>
      <c r="T10" s="96" t="str">
        <f t="shared" si="18"/>
        <v>9-8</v>
      </c>
      <c r="U10" s="97" t="str">
        <f t="shared" si="18"/>
        <v>9-5</v>
      </c>
      <c r="V10" s="98" t="str">
        <f t="shared" si="18"/>
        <v>9-6</v>
      </c>
      <c r="W10" s="95" t="str">
        <f t="shared" si="18"/>
        <v>12-7</v>
      </c>
      <c r="X10" s="96" t="str">
        <f t="shared" si="18"/>
        <v>12-8</v>
      </c>
      <c r="Y10" s="97" t="str">
        <f t="shared" si="18"/>
        <v>12-5</v>
      </c>
      <c r="Z10" s="98" t="str">
        <f t="shared" si="18"/>
        <v>12-6</v>
      </c>
      <c r="AA10" s="3"/>
      <c r="AB10" s="10" t="str">
        <f t="shared" si="1"/>
        <v>{3, 7, 8},</v>
      </c>
      <c r="AC10" s="10" t="str">
        <f t="shared" si="2"/>
        <v>{3, 5, 6},</v>
      </c>
      <c r="AD10" s="10" t="str">
        <f t="shared" si="3"/>
        <v>{6, 7, 8},</v>
      </c>
      <c r="AE10" s="10" t="str">
        <f t="shared" si="4"/>
        <v>{6, 5, 6},</v>
      </c>
      <c r="AF10" s="10" t="str">
        <f t="shared" si="5"/>
        <v>{9, 7, 8},</v>
      </c>
      <c r="AG10" s="10" t="str">
        <f t="shared" si="6"/>
        <v>{9, 5, 6},</v>
      </c>
      <c r="AH10" s="10" t="str">
        <f t="shared" si="7"/>
        <v>{12, 7, 8},</v>
      </c>
      <c r="AI10" s="10" t="str">
        <f t="shared" si="8"/>
        <v>{12, 5, 6},</v>
      </c>
      <c r="AJ10" s="2"/>
      <c r="AK10" s="168" t="s">
        <v>154</v>
      </c>
      <c r="AL10" s="161">
        <v>5</v>
      </c>
      <c r="AM10" s="139">
        <v>4</v>
      </c>
      <c r="AN10" s="139">
        <v>13</v>
      </c>
      <c r="AO10" s="139">
        <v>12</v>
      </c>
      <c r="AP10" s="139">
        <v>21</v>
      </c>
      <c r="AQ10" s="145">
        <v>20</v>
      </c>
      <c r="AR10" s="170"/>
      <c r="AS10" s="170"/>
      <c r="AT10" s="170"/>
      <c r="AU10" s="170"/>
      <c r="AV10" s="170"/>
      <c r="AW10" s="170"/>
    </row>
    <row r="11" spans="2:49" ht="21" customHeight="1" thickBot="1" x14ac:dyDescent="0.5">
      <c r="B11" s="37">
        <f t="shared" si="9"/>
        <v>64</v>
      </c>
      <c r="C11" s="38">
        <f t="shared" si="10"/>
        <v>65</v>
      </c>
      <c r="D11" s="37">
        <f t="shared" si="11"/>
        <v>66</v>
      </c>
      <c r="E11" s="38">
        <f t="shared" si="12"/>
        <v>67</v>
      </c>
      <c r="F11" s="37">
        <f t="shared" si="13"/>
        <v>68</v>
      </c>
      <c r="G11" s="38">
        <f t="shared" si="14"/>
        <v>69</v>
      </c>
      <c r="H11" s="37">
        <f t="shared" si="15"/>
        <v>70</v>
      </c>
      <c r="I11" s="45">
        <f t="shared" si="16"/>
        <v>71</v>
      </c>
      <c r="K11" s="99" t="str">
        <f t="shared" ref="K11:Z11" si="19">TEXT(LEFT(K8,FIND("-",K8)-1)+1,"0")&amp;"-"&amp;MID(K8,FIND("-",K8)+1,99)</f>
        <v>3-11</v>
      </c>
      <c r="L11" s="100" t="str">
        <f t="shared" si="19"/>
        <v>3-12</v>
      </c>
      <c r="M11" s="101" t="str">
        <f t="shared" si="19"/>
        <v>3-9</v>
      </c>
      <c r="N11" s="102" t="str">
        <f t="shared" si="19"/>
        <v>3-10</v>
      </c>
      <c r="O11" s="99" t="str">
        <f t="shared" si="19"/>
        <v>6-11</v>
      </c>
      <c r="P11" s="100" t="str">
        <f t="shared" si="19"/>
        <v>6-12</v>
      </c>
      <c r="Q11" s="101" t="str">
        <f t="shared" si="19"/>
        <v>6-9</v>
      </c>
      <c r="R11" s="102" t="str">
        <f t="shared" si="19"/>
        <v>6-10</v>
      </c>
      <c r="S11" s="99" t="str">
        <f t="shared" si="19"/>
        <v>9-11</v>
      </c>
      <c r="T11" s="100" t="str">
        <f t="shared" si="19"/>
        <v>9-12</v>
      </c>
      <c r="U11" s="101" t="str">
        <f t="shared" si="19"/>
        <v>9-9</v>
      </c>
      <c r="V11" s="102" t="str">
        <f t="shared" si="19"/>
        <v>9-10</v>
      </c>
      <c r="W11" s="99" t="str">
        <f t="shared" si="19"/>
        <v>12-11</v>
      </c>
      <c r="X11" s="100" t="str">
        <f t="shared" si="19"/>
        <v>12-12</v>
      </c>
      <c r="Y11" s="101" t="str">
        <f t="shared" si="19"/>
        <v>12-9</v>
      </c>
      <c r="Z11" s="102" t="str">
        <f t="shared" si="19"/>
        <v>12-10</v>
      </c>
      <c r="AA11" s="3"/>
      <c r="AB11" s="10" t="str">
        <f t="shared" si="1"/>
        <v>{3, 11, 12},</v>
      </c>
      <c r="AC11" s="10" t="str">
        <f t="shared" si="2"/>
        <v>{3, 9, 10},</v>
      </c>
      <c r="AD11" s="10" t="str">
        <f t="shared" si="3"/>
        <v>{6, 11, 12},</v>
      </c>
      <c r="AE11" s="10" t="str">
        <f t="shared" si="4"/>
        <v>{6, 9, 10},</v>
      </c>
      <c r="AF11" s="10" t="str">
        <f t="shared" si="5"/>
        <v>{9, 11, 12},</v>
      </c>
      <c r="AG11" s="10" t="str">
        <f t="shared" si="6"/>
        <v>{9, 9, 10},</v>
      </c>
      <c r="AH11" s="10" t="str">
        <f t="shared" si="7"/>
        <v>{12, 11, 12},</v>
      </c>
      <c r="AI11" s="10" t="str">
        <f t="shared" si="8"/>
        <v>{12, 9, 10},</v>
      </c>
      <c r="AJ11" s="2"/>
      <c r="AK11" s="168" t="s">
        <v>155</v>
      </c>
      <c r="AL11" s="159">
        <v>29</v>
      </c>
      <c r="AM11" s="140">
        <v>28</v>
      </c>
      <c r="AN11" s="140">
        <v>37</v>
      </c>
      <c r="AO11" s="140">
        <v>36</v>
      </c>
      <c r="AP11" s="140">
        <v>45</v>
      </c>
      <c r="AQ11" s="146">
        <v>44</v>
      </c>
      <c r="AR11" s="170"/>
      <c r="AS11" s="170"/>
      <c r="AT11" s="170"/>
      <c r="AU11" s="170"/>
      <c r="AV11" s="170"/>
      <c r="AW11" s="170"/>
    </row>
    <row r="12" spans="2:49" ht="21" customHeight="1" thickBot="1" x14ac:dyDescent="0.5">
      <c r="B12" s="39">
        <f t="shared" si="9"/>
        <v>72</v>
      </c>
      <c r="C12" s="43">
        <f t="shared" si="10"/>
        <v>73</v>
      </c>
      <c r="D12" s="39">
        <f t="shared" si="11"/>
        <v>74</v>
      </c>
      <c r="E12" s="43">
        <f t="shared" si="12"/>
        <v>75</v>
      </c>
      <c r="F12" s="39">
        <f t="shared" si="13"/>
        <v>76</v>
      </c>
      <c r="G12" s="43">
        <f t="shared" si="14"/>
        <v>77</v>
      </c>
      <c r="H12" s="39">
        <f t="shared" si="15"/>
        <v>78</v>
      </c>
      <c r="I12" s="40">
        <f t="shared" si="16"/>
        <v>79</v>
      </c>
      <c r="K12" s="103" t="s">
        <v>97</v>
      </c>
      <c r="L12" s="104" t="s">
        <v>98</v>
      </c>
      <c r="M12" s="105" t="s">
        <v>99</v>
      </c>
      <c r="N12" s="106" t="s">
        <v>100</v>
      </c>
      <c r="O12" s="103" t="s">
        <v>101</v>
      </c>
      <c r="P12" s="104" t="s">
        <v>102</v>
      </c>
      <c r="Q12" s="105" t="s">
        <v>103</v>
      </c>
      <c r="R12" s="106" t="s">
        <v>104</v>
      </c>
      <c r="S12" s="103" t="s">
        <v>105</v>
      </c>
      <c r="T12" s="104" t="s">
        <v>106</v>
      </c>
      <c r="U12" s="105" t="s">
        <v>107</v>
      </c>
      <c r="V12" s="106" t="s">
        <v>108</v>
      </c>
      <c r="W12" s="103" t="s">
        <v>109</v>
      </c>
      <c r="X12" s="104" t="s">
        <v>110</v>
      </c>
      <c r="Y12" s="105" t="s">
        <v>111</v>
      </c>
      <c r="Z12" s="106" t="s">
        <v>112</v>
      </c>
      <c r="AB12" s="11" t="str">
        <f t="shared" si="1"/>
        <v>{13, 3, 4},</v>
      </c>
      <c r="AC12" s="11" t="str">
        <f t="shared" si="2"/>
        <v>{13, 1, 2},</v>
      </c>
      <c r="AD12" s="11" t="str">
        <f t="shared" si="3"/>
        <v>{16, 3, 4},</v>
      </c>
      <c r="AE12" s="11" t="str">
        <f t="shared" si="4"/>
        <v>{16, 1, 2},</v>
      </c>
      <c r="AF12" s="11" t="str">
        <f t="shared" si="5"/>
        <v>{19, 3, 4},</v>
      </c>
      <c r="AG12" s="11" t="str">
        <f t="shared" si="6"/>
        <v>{19, 1, 2},</v>
      </c>
      <c r="AH12" s="11" t="str">
        <f t="shared" si="7"/>
        <v>{22, 3, 4},</v>
      </c>
      <c r="AI12" s="11" t="str">
        <f t="shared" si="8"/>
        <v>{22, 1, 2},</v>
      </c>
      <c r="AJ12" s="2"/>
      <c r="AK12" s="168" t="s">
        <v>156</v>
      </c>
      <c r="AL12" s="160">
        <v>53</v>
      </c>
      <c r="AM12" s="141">
        <v>52</v>
      </c>
      <c r="AN12" s="141">
        <v>61</v>
      </c>
      <c r="AO12" s="141">
        <v>60</v>
      </c>
      <c r="AP12" s="141">
        <v>69</v>
      </c>
      <c r="AQ12" s="147">
        <v>68</v>
      </c>
    </row>
    <row r="13" spans="2:49" ht="21" customHeight="1" thickBot="1" x14ac:dyDescent="0.5">
      <c r="B13" s="41">
        <f t="shared" ref="B13:B20" si="20">B12+8</f>
        <v>80</v>
      </c>
      <c r="C13" s="44">
        <f t="shared" ref="C13:C20" si="21">C12+8</f>
        <v>81</v>
      </c>
      <c r="D13" s="41">
        <f t="shared" ref="D13:D20" si="22">D12+8</f>
        <v>82</v>
      </c>
      <c r="E13" s="44">
        <f t="shared" ref="E13:E20" si="23">E12+8</f>
        <v>83</v>
      </c>
      <c r="F13" s="41">
        <f t="shared" ref="F13:F20" si="24">F12+8</f>
        <v>84</v>
      </c>
      <c r="G13" s="44">
        <f t="shared" ref="G13:G20" si="25">G12+8</f>
        <v>85</v>
      </c>
      <c r="H13" s="41">
        <f t="shared" ref="H13:H20" si="26">H12+8</f>
        <v>86</v>
      </c>
      <c r="I13" s="42">
        <f t="shared" ref="I13:I20" si="27">I12+8</f>
        <v>87</v>
      </c>
      <c r="K13" s="107" t="s">
        <v>113</v>
      </c>
      <c r="L13" s="108" t="s">
        <v>114</v>
      </c>
      <c r="M13" s="109" t="s">
        <v>115</v>
      </c>
      <c r="N13" s="110" t="s">
        <v>116</v>
      </c>
      <c r="O13" s="107" t="s">
        <v>117</v>
      </c>
      <c r="P13" s="108" t="s">
        <v>118</v>
      </c>
      <c r="Q13" s="109" t="s">
        <v>119</v>
      </c>
      <c r="R13" s="110" t="s">
        <v>120</v>
      </c>
      <c r="S13" s="107" t="s">
        <v>121</v>
      </c>
      <c r="T13" s="108" t="s">
        <v>122</v>
      </c>
      <c r="U13" s="109" t="s">
        <v>123</v>
      </c>
      <c r="V13" s="110" t="s">
        <v>124</v>
      </c>
      <c r="W13" s="107" t="s">
        <v>125</v>
      </c>
      <c r="X13" s="108" t="s">
        <v>126</v>
      </c>
      <c r="Y13" s="109" t="s">
        <v>127</v>
      </c>
      <c r="Z13" s="110" t="s">
        <v>128</v>
      </c>
      <c r="AB13" s="11" t="str">
        <f t="shared" si="1"/>
        <v>{13, 7, 8},</v>
      </c>
      <c r="AC13" s="11" t="str">
        <f t="shared" si="2"/>
        <v>{13, 5, 6},</v>
      </c>
      <c r="AD13" s="11" t="str">
        <f t="shared" si="3"/>
        <v>{16, 7, 8},</v>
      </c>
      <c r="AE13" s="11" t="str">
        <f t="shared" si="4"/>
        <v>{16, 5, 6},</v>
      </c>
      <c r="AF13" s="11" t="str">
        <f t="shared" si="5"/>
        <v>{19, 7, 8},</v>
      </c>
      <c r="AG13" s="11" t="str">
        <f t="shared" si="6"/>
        <v>{19, 5, 6},</v>
      </c>
      <c r="AH13" s="11" t="str">
        <f t="shared" si="7"/>
        <v>{22, 7, 8},</v>
      </c>
      <c r="AI13" s="11" t="str">
        <f t="shared" si="8"/>
        <v>{22, 5, 6},</v>
      </c>
      <c r="AK13" s="168" t="s">
        <v>157</v>
      </c>
      <c r="AL13" s="161">
        <v>7</v>
      </c>
      <c r="AM13" s="139">
        <v>6</v>
      </c>
      <c r="AN13" s="139">
        <v>15</v>
      </c>
      <c r="AO13" s="139">
        <v>14</v>
      </c>
      <c r="AP13" s="139">
        <v>23</v>
      </c>
      <c r="AQ13" s="145">
        <v>22</v>
      </c>
    </row>
    <row r="14" spans="2:49" ht="21" customHeight="1" thickBot="1" x14ac:dyDescent="0.5">
      <c r="B14" s="46">
        <f t="shared" si="20"/>
        <v>88</v>
      </c>
      <c r="C14" s="47">
        <f t="shared" si="21"/>
        <v>89</v>
      </c>
      <c r="D14" s="46">
        <f t="shared" si="22"/>
        <v>90</v>
      </c>
      <c r="E14" s="47">
        <f t="shared" si="23"/>
        <v>91</v>
      </c>
      <c r="F14" s="46">
        <f t="shared" si="24"/>
        <v>92</v>
      </c>
      <c r="G14" s="47">
        <f t="shared" si="25"/>
        <v>93</v>
      </c>
      <c r="H14" s="46">
        <f t="shared" si="26"/>
        <v>94</v>
      </c>
      <c r="I14" s="54">
        <f t="shared" si="27"/>
        <v>95</v>
      </c>
      <c r="K14" s="111" t="s">
        <v>129</v>
      </c>
      <c r="L14" s="112" t="s">
        <v>130</v>
      </c>
      <c r="M14" s="113" t="s">
        <v>131</v>
      </c>
      <c r="N14" s="114" t="s">
        <v>132</v>
      </c>
      <c r="O14" s="111" t="s">
        <v>133</v>
      </c>
      <c r="P14" s="112" t="s">
        <v>134</v>
      </c>
      <c r="Q14" s="113" t="s">
        <v>135</v>
      </c>
      <c r="R14" s="114" t="s">
        <v>136</v>
      </c>
      <c r="S14" s="111" t="s">
        <v>137</v>
      </c>
      <c r="T14" s="112" t="s">
        <v>138</v>
      </c>
      <c r="U14" s="113" t="s">
        <v>139</v>
      </c>
      <c r="V14" s="114" t="s">
        <v>140</v>
      </c>
      <c r="W14" s="111" t="s">
        <v>141</v>
      </c>
      <c r="X14" s="112" t="s">
        <v>142</v>
      </c>
      <c r="Y14" s="113" t="s">
        <v>143</v>
      </c>
      <c r="Z14" s="114" t="s">
        <v>144</v>
      </c>
      <c r="AB14" s="11" t="str">
        <f t="shared" si="1"/>
        <v>{13, 11, 12},</v>
      </c>
      <c r="AC14" s="11" t="str">
        <f t="shared" si="2"/>
        <v>{13, 9, 10},</v>
      </c>
      <c r="AD14" s="11" t="str">
        <f t="shared" si="3"/>
        <v>{16, 11, 12},</v>
      </c>
      <c r="AE14" s="11" t="str">
        <f t="shared" si="4"/>
        <v>{16, 9, 10},</v>
      </c>
      <c r="AF14" s="11" t="str">
        <f t="shared" si="5"/>
        <v>{19, 11, 12},</v>
      </c>
      <c r="AG14" s="11" t="str">
        <f t="shared" si="6"/>
        <v>{19, 9, 10},</v>
      </c>
      <c r="AH14" s="11" t="str">
        <f t="shared" si="7"/>
        <v>{22, 11, 12},</v>
      </c>
      <c r="AI14" s="11" t="str">
        <f t="shared" si="8"/>
        <v>{22, 9, 10},</v>
      </c>
      <c r="AJ14" s="2"/>
      <c r="AK14" s="168" t="s">
        <v>158</v>
      </c>
      <c r="AL14" s="159">
        <v>31</v>
      </c>
      <c r="AM14" s="140">
        <v>30</v>
      </c>
      <c r="AN14" s="140">
        <v>39</v>
      </c>
      <c r="AO14" s="140">
        <v>38</v>
      </c>
      <c r="AP14" s="140">
        <v>47</v>
      </c>
      <c r="AQ14" s="146">
        <v>46</v>
      </c>
    </row>
    <row r="15" spans="2:49" ht="21" customHeight="1" thickBot="1" x14ac:dyDescent="0.5">
      <c r="B15" s="48">
        <f t="shared" si="20"/>
        <v>96</v>
      </c>
      <c r="C15" s="52">
        <f t="shared" si="21"/>
        <v>97</v>
      </c>
      <c r="D15" s="48">
        <f t="shared" si="22"/>
        <v>98</v>
      </c>
      <c r="E15" s="52">
        <f t="shared" si="23"/>
        <v>99</v>
      </c>
      <c r="F15" s="48">
        <f t="shared" si="24"/>
        <v>100</v>
      </c>
      <c r="G15" s="52">
        <f t="shared" si="25"/>
        <v>101</v>
      </c>
      <c r="H15" s="48">
        <f t="shared" si="26"/>
        <v>102</v>
      </c>
      <c r="I15" s="49">
        <f t="shared" si="27"/>
        <v>103</v>
      </c>
      <c r="K15" s="115" t="str">
        <f t="shared" ref="K15:Z15" si="28">TEXT(LEFT(K12,FIND("-",K12)-1)+1,"0")&amp;"-"&amp;MID(K12,FIND("-",K12)+1,99)</f>
        <v>14-3</v>
      </c>
      <c r="L15" s="116" t="str">
        <f t="shared" si="28"/>
        <v>14-4</v>
      </c>
      <c r="M15" s="117" t="str">
        <f t="shared" si="28"/>
        <v>14-1</v>
      </c>
      <c r="N15" s="118" t="str">
        <f t="shared" si="28"/>
        <v>14-2</v>
      </c>
      <c r="O15" s="115" t="str">
        <f t="shared" si="28"/>
        <v>17-3</v>
      </c>
      <c r="P15" s="116" t="str">
        <f t="shared" si="28"/>
        <v>17-4</v>
      </c>
      <c r="Q15" s="117" t="str">
        <f t="shared" si="28"/>
        <v>17-1</v>
      </c>
      <c r="R15" s="118" t="str">
        <f t="shared" si="28"/>
        <v>17-2</v>
      </c>
      <c r="S15" s="115" t="str">
        <f t="shared" si="28"/>
        <v>20-3</v>
      </c>
      <c r="T15" s="116" t="str">
        <f t="shared" si="28"/>
        <v>20-4</v>
      </c>
      <c r="U15" s="117" t="str">
        <f t="shared" si="28"/>
        <v>20-1</v>
      </c>
      <c r="V15" s="118" t="str">
        <f t="shared" si="28"/>
        <v>20-2</v>
      </c>
      <c r="W15" s="115" t="str">
        <f t="shared" si="28"/>
        <v>23-3</v>
      </c>
      <c r="X15" s="116" t="str">
        <f t="shared" si="28"/>
        <v>23-4</v>
      </c>
      <c r="Y15" s="117" t="str">
        <f t="shared" si="28"/>
        <v>23-1</v>
      </c>
      <c r="Z15" s="118" t="str">
        <f t="shared" si="28"/>
        <v>23-2</v>
      </c>
      <c r="AB15" s="12" t="str">
        <f t="shared" si="1"/>
        <v>{14, 3, 4},</v>
      </c>
      <c r="AC15" s="12" t="str">
        <f t="shared" si="2"/>
        <v>{14, 1, 2},</v>
      </c>
      <c r="AD15" s="12" t="str">
        <f t="shared" si="3"/>
        <v>{17, 3, 4},</v>
      </c>
      <c r="AE15" s="12" t="str">
        <f t="shared" si="4"/>
        <v>{17, 1, 2},</v>
      </c>
      <c r="AF15" s="12" t="str">
        <f t="shared" si="5"/>
        <v>{20, 3, 4},</v>
      </c>
      <c r="AG15" s="12" t="str">
        <f t="shared" si="6"/>
        <v>{20, 1, 2},</v>
      </c>
      <c r="AH15" s="12" t="str">
        <f t="shared" si="7"/>
        <v>{23, 3, 4},</v>
      </c>
      <c r="AI15" s="12" t="str">
        <f t="shared" si="8"/>
        <v>{23, 1, 2},</v>
      </c>
      <c r="AJ15" s="2"/>
      <c r="AK15" s="168" t="s">
        <v>159</v>
      </c>
      <c r="AL15" s="160">
        <v>55</v>
      </c>
      <c r="AM15" s="141">
        <v>54</v>
      </c>
      <c r="AN15" s="141">
        <v>63</v>
      </c>
      <c r="AO15" s="141">
        <v>62</v>
      </c>
      <c r="AP15" s="141">
        <v>71</v>
      </c>
      <c r="AQ15" s="147">
        <v>70</v>
      </c>
    </row>
    <row r="16" spans="2:49" ht="21" customHeight="1" thickBot="1" x14ac:dyDescent="0.5">
      <c r="B16" s="50">
        <f t="shared" si="20"/>
        <v>104</v>
      </c>
      <c r="C16" s="53">
        <f t="shared" si="21"/>
        <v>105</v>
      </c>
      <c r="D16" s="50">
        <f t="shared" si="22"/>
        <v>106</v>
      </c>
      <c r="E16" s="53">
        <f t="shared" si="23"/>
        <v>107</v>
      </c>
      <c r="F16" s="50">
        <f t="shared" si="24"/>
        <v>108</v>
      </c>
      <c r="G16" s="53">
        <f t="shared" si="25"/>
        <v>109</v>
      </c>
      <c r="H16" s="50">
        <f t="shared" si="26"/>
        <v>110</v>
      </c>
      <c r="I16" s="51">
        <f t="shared" si="27"/>
        <v>111</v>
      </c>
      <c r="K16" s="119" t="str">
        <f t="shared" ref="K16:Z16" si="29">TEXT(LEFT(K13,FIND("-",K13)-1)+1,"0")&amp;"-"&amp;MID(K13,FIND("-",K13)+1,99)</f>
        <v>14-7</v>
      </c>
      <c r="L16" s="120" t="str">
        <f t="shared" si="29"/>
        <v>14-8</v>
      </c>
      <c r="M16" s="121" t="str">
        <f t="shared" si="29"/>
        <v>14-5</v>
      </c>
      <c r="N16" s="122" t="str">
        <f t="shared" si="29"/>
        <v>14-6</v>
      </c>
      <c r="O16" s="119" t="str">
        <f t="shared" si="29"/>
        <v>17-7</v>
      </c>
      <c r="P16" s="120" t="str">
        <f t="shared" si="29"/>
        <v>17-8</v>
      </c>
      <c r="Q16" s="121" t="str">
        <f t="shared" si="29"/>
        <v>17-5</v>
      </c>
      <c r="R16" s="122" t="str">
        <f t="shared" si="29"/>
        <v>17-6</v>
      </c>
      <c r="S16" s="119" t="str">
        <f t="shared" si="29"/>
        <v>20-7</v>
      </c>
      <c r="T16" s="120" t="str">
        <f t="shared" si="29"/>
        <v>20-8</v>
      </c>
      <c r="U16" s="121" t="str">
        <f t="shared" si="29"/>
        <v>20-5</v>
      </c>
      <c r="V16" s="122" t="str">
        <f t="shared" si="29"/>
        <v>20-6</v>
      </c>
      <c r="W16" s="119" t="str">
        <f t="shared" si="29"/>
        <v>23-7</v>
      </c>
      <c r="X16" s="120" t="str">
        <f t="shared" si="29"/>
        <v>23-8</v>
      </c>
      <c r="Y16" s="121" t="str">
        <f t="shared" si="29"/>
        <v>23-5</v>
      </c>
      <c r="Z16" s="122" t="str">
        <f t="shared" si="29"/>
        <v>23-6</v>
      </c>
      <c r="AB16" s="12" t="str">
        <f t="shared" si="1"/>
        <v>{14, 7, 8},</v>
      </c>
      <c r="AC16" s="12" t="str">
        <f t="shared" si="2"/>
        <v>{14, 5, 6},</v>
      </c>
      <c r="AD16" s="12" t="str">
        <f t="shared" si="3"/>
        <v>{17, 7, 8},</v>
      </c>
      <c r="AE16" s="12" t="str">
        <f t="shared" si="4"/>
        <v>{17, 5, 6},</v>
      </c>
      <c r="AF16" s="12" t="str">
        <f t="shared" si="5"/>
        <v>{20, 7, 8},</v>
      </c>
      <c r="AG16" s="12" t="str">
        <f t="shared" si="6"/>
        <v>{20, 5, 6},</v>
      </c>
      <c r="AH16" s="12" t="str">
        <f t="shared" si="7"/>
        <v>{23, 7, 8},</v>
      </c>
      <c r="AI16" s="12" t="str">
        <f t="shared" si="8"/>
        <v>{23, 5, 6},</v>
      </c>
      <c r="AJ16" s="2"/>
      <c r="AK16" s="168" t="s">
        <v>160</v>
      </c>
      <c r="AL16" s="162">
        <v>73</v>
      </c>
      <c r="AM16" s="142">
        <v>72</v>
      </c>
      <c r="AN16" s="142">
        <v>81</v>
      </c>
      <c r="AO16" s="142">
        <v>80</v>
      </c>
      <c r="AP16" s="142">
        <v>89</v>
      </c>
      <c r="AQ16" s="148">
        <v>88</v>
      </c>
    </row>
    <row r="17" spans="2:44" ht="21" customHeight="1" thickBot="1" x14ac:dyDescent="0.5">
      <c r="B17" s="55">
        <f t="shared" si="20"/>
        <v>112</v>
      </c>
      <c r="C17" s="56">
        <f t="shared" si="21"/>
        <v>113</v>
      </c>
      <c r="D17" s="55">
        <f t="shared" si="22"/>
        <v>114</v>
      </c>
      <c r="E17" s="56">
        <f t="shared" si="23"/>
        <v>115</v>
      </c>
      <c r="F17" s="55">
        <f t="shared" si="24"/>
        <v>116</v>
      </c>
      <c r="G17" s="56">
        <f t="shared" si="25"/>
        <v>117</v>
      </c>
      <c r="H17" s="55">
        <f t="shared" si="26"/>
        <v>118</v>
      </c>
      <c r="I17" s="66">
        <f t="shared" si="27"/>
        <v>119</v>
      </c>
      <c r="K17" s="123" t="str">
        <f t="shared" ref="K17:Z17" si="30">TEXT(LEFT(K14,FIND("-",K14)-1)+1,"0")&amp;"-"&amp;MID(K14,FIND("-",K14)+1,99)</f>
        <v>14-11</v>
      </c>
      <c r="L17" s="124" t="str">
        <f t="shared" si="30"/>
        <v>14-12</v>
      </c>
      <c r="M17" s="125" t="str">
        <f t="shared" si="30"/>
        <v>14-9</v>
      </c>
      <c r="N17" s="126" t="str">
        <f t="shared" si="30"/>
        <v>14-10</v>
      </c>
      <c r="O17" s="123" t="str">
        <f t="shared" si="30"/>
        <v>17-11</v>
      </c>
      <c r="P17" s="124" t="str">
        <f t="shared" si="30"/>
        <v>17-12</v>
      </c>
      <c r="Q17" s="125" t="str">
        <f t="shared" si="30"/>
        <v>17-9</v>
      </c>
      <c r="R17" s="126" t="str">
        <f t="shared" si="30"/>
        <v>17-10</v>
      </c>
      <c r="S17" s="123" t="str">
        <f t="shared" si="30"/>
        <v>20-11</v>
      </c>
      <c r="T17" s="124" t="str">
        <f t="shared" si="30"/>
        <v>20-12</v>
      </c>
      <c r="U17" s="125" t="str">
        <f t="shared" si="30"/>
        <v>20-9</v>
      </c>
      <c r="V17" s="126" t="str">
        <f t="shared" si="30"/>
        <v>20-10</v>
      </c>
      <c r="W17" s="123" t="str">
        <f t="shared" si="30"/>
        <v>23-11</v>
      </c>
      <c r="X17" s="124" t="str">
        <f t="shared" si="30"/>
        <v>23-12</v>
      </c>
      <c r="Y17" s="125" t="str">
        <f t="shared" si="30"/>
        <v>23-9</v>
      </c>
      <c r="Z17" s="126" t="str">
        <f t="shared" si="30"/>
        <v>23-10</v>
      </c>
      <c r="AB17" s="12" t="str">
        <f t="shared" si="1"/>
        <v>{14, 11, 12},</v>
      </c>
      <c r="AC17" s="12" t="str">
        <f t="shared" si="2"/>
        <v>{14, 9, 10},</v>
      </c>
      <c r="AD17" s="12" t="str">
        <f t="shared" si="3"/>
        <v>{17, 11, 12},</v>
      </c>
      <c r="AE17" s="12" t="str">
        <f t="shared" si="4"/>
        <v>{17, 9, 10},</v>
      </c>
      <c r="AF17" s="12" t="str">
        <f t="shared" si="5"/>
        <v>{20, 11, 12},</v>
      </c>
      <c r="AG17" s="12" t="str">
        <f t="shared" si="6"/>
        <v>{20, 9, 10},</v>
      </c>
      <c r="AH17" s="12" t="str">
        <f t="shared" si="7"/>
        <v>{23, 11, 12},</v>
      </c>
      <c r="AI17" s="12" t="str">
        <f t="shared" si="8"/>
        <v>{23, 9, 10},</v>
      </c>
      <c r="AJ17" s="2"/>
      <c r="AK17" s="168" t="s">
        <v>161</v>
      </c>
      <c r="AL17" s="163">
        <v>97</v>
      </c>
      <c r="AM17" s="143">
        <v>96</v>
      </c>
      <c r="AN17" s="143">
        <v>105</v>
      </c>
      <c r="AO17" s="143">
        <v>104</v>
      </c>
      <c r="AP17" s="143">
        <v>113</v>
      </c>
      <c r="AQ17" s="149">
        <v>112</v>
      </c>
    </row>
    <row r="18" spans="2:44" ht="21" customHeight="1" thickBot="1" x14ac:dyDescent="0.5">
      <c r="B18" s="57">
        <f t="shared" si="20"/>
        <v>120</v>
      </c>
      <c r="C18" s="63">
        <f t="shared" si="21"/>
        <v>121</v>
      </c>
      <c r="D18" s="57">
        <f t="shared" si="22"/>
        <v>122</v>
      </c>
      <c r="E18" s="63">
        <f t="shared" si="23"/>
        <v>123</v>
      </c>
      <c r="F18" s="57">
        <f t="shared" si="24"/>
        <v>124</v>
      </c>
      <c r="G18" s="63">
        <f t="shared" si="25"/>
        <v>125</v>
      </c>
      <c r="H18" s="57">
        <f t="shared" si="26"/>
        <v>126</v>
      </c>
      <c r="I18" s="58">
        <f t="shared" si="27"/>
        <v>127</v>
      </c>
      <c r="K18" s="127" t="str">
        <f t="shared" ref="K18:Z18" si="31">TEXT(LEFT(K15,FIND("-",K15)-1)+1,"0")&amp;"-"&amp;MID(K15,FIND("-",K15)+1,99)</f>
        <v>15-3</v>
      </c>
      <c r="L18" s="128" t="str">
        <f t="shared" si="31"/>
        <v>15-4</v>
      </c>
      <c r="M18" s="129" t="str">
        <f t="shared" si="31"/>
        <v>15-1</v>
      </c>
      <c r="N18" s="130" t="str">
        <f t="shared" si="31"/>
        <v>15-2</v>
      </c>
      <c r="O18" s="127" t="str">
        <f t="shared" si="31"/>
        <v>18-3</v>
      </c>
      <c r="P18" s="128" t="str">
        <f t="shared" si="31"/>
        <v>18-4</v>
      </c>
      <c r="Q18" s="129" t="str">
        <f t="shared" si="31"/>
        <v>18-1</v>
      </c>
      <c r="R18" s="130" t="str">
        <f t="shared" si="31"/>
        <v>18-2</v>
      </c>
      <c r="S18" s="127" t="str">
        <f t="shared" si="31"/>
        <v>21-3</v>
      </c>
      <c r="T18" s="128" t="str">
        <f t="shared" si="31"/>
        <v>21-4</v>
      </c>
      <c r="U18" s="129" t="str">
        <f t="shared" si="31"/>
        <v>21-1</v>
      </c>
      <c r="V18" s="130" t="str">
        <f t="shared" si="31"/>
        <v>21-2</v>
      </c>
      <c r="W18" s="127" t="str">
        <f t="shared" si="31"/>
        <v>24-3</v>
      </c>
      <c r="X18" s="128" t="str">
        <f t="shared" si="31"/>
        <v>24-4</v>
      </c>
      <c r="Y18" s="129" t="str">
        <f t="shared" si="31"/>
        <v>24-1</v>
      </c>
      <c r="Z18" s="130" t="str">
        <f t="shared" si="31"/>
        <v>24-2</v>
      </c>
      <c r="AB18" s="5" t="str">
        <f t="shared" si="1"/>
        <v>{15, 3, 4},</v>
      </c>
      <c r="AC18" s="5" t="str">
        <f t="shared" si="2"/>
        <v>{15, 1, 2},</v>
      </c>
      <c r="AD18" s="5" t="str">
        <f t="shared" si="3"/>
        <v>{18, 3, 4},</v>
      </c>
      <c r="AE18" s="5" t="str">
        <f t="shared" si="4"/>
        <v>{18, 1, 2},</v>
      </c>
      <c r="AF18" s="5" t="str">
        <f t="shared" si="5"/>
        <v>{21, 3, 4},</v>
      </c>
      <c r="AG18" s="5" t="str">
        <f t="shared" si="6"/>
        <v>{21, 1, 2},</v>
      </c>
      <c r="AH18" s="5" t="str">
        <f t="shared" si="7"/>
        <v>{24, 3, 4},</v>
      </c>
      <c r="AI18" s="5" t="str">
        <f t="shared" si="8"/>
        <v>{24, 1, 2},</v>
      </c>
      <c r="AJ18" s="2"/>
      <c r="AK18" s="168" t="s">
        <v>162</v>
      </c>
      <c r="AL18" s="164">
        <v>121</v>
      </c>
      <c r="AM18" s="144">
        <v>120</v>
      </c>
      <c r="AN18" s="144">
        <v>129</v>
      </c>
      <c r="AO18" s="144">
        <v>128</v>
      </c>
      <c r="AP18" s="144">
        <v>137</v>
      </c>
      <c r="AQ18" s="150">
        <v>136</v>
      </c>
    </row>
    <row r="19" spans="2:44" ht="21" customHeight="1" thickBot="1" x14ac:dyDescent="0.5">
      <c r="B19" s="59">
        <f t="shared" si="20"/>
        <v>128</v>
      </c>
      <c r="C19" s="64">
        <f t="shared" si="21"/>
        <v>129</v>
      </c>
      <c r="D19" s="59">
        <f t="shared" si="22"/>
        <v>130</v>
      </c>
      <c r="E19" s="64">
        <f t="shared" si="23"/>
        <v>131</v>
      </c>
      <c r="F19" s="59">
        <f t="shared" si="24"/>
        <v>132</v>
      </c>
      <c r="G19" s="64">
        <f t="shared" si="25"/>
        <v>133</v>
      </c>
      <c r="H19" s="59">
        <f t="shared" si="26"/>
        <v>134</v>
      </c>
      <c r="I19" s="60">
        <f t="shared" si="27"/>
        <v>135</v>
      </c>
      <c r="K19" s="131" t="str">
        <f t="shared" ref="K19:Z19" si="32">TEXT(LEFT(K16,FIND("-",K16)-1)+1,"0")&amp;"-"&amp;MID(K16,FIND("-",K16)+1,99)</f>
        <v>15-7</v>
      </c>
      <c r="L19" s="132" t="str">
        <f t="shared" si="32"/>
        <v>15-8</v>
      </c>
      <c r="M19" s="133" t="str">
        <f t="shared" si="32"/>
        <v>15-5</v>
      </c>
      <c r="N19" s="134" t="str">
        <f t="shared" si="32"/>
        <v>15-6</v>
      </c>
      <c r="O19" s="131" t="str">
        <f t="shared" si="32"/>
        <v>18-7</v>
      </c>
      <c r="P19" s="132" t="str">
        <f t="shared" si="32"/>
        <v>18-8</v>
      </c>
      <c r="Q19" s="133" t="str">
        <f t="shared" si="32"/>
        <v>18-5</v>
      </c>
      <c r="R19" s="134" t="str">
        <f t="shared" si="32"/>
        <v>18-6</v>
      </c>
      <c r="S19" s="131" t="str">
        <f t="shared" si="32"/>
        <v>21-7</v>
      </c>
      <c r="T19" s="132" t="str">
        <f t="shared" si="32"/>
        <v>21-8</v>
      </c>
      <c r="U19" s="133" t="str">
        <f t="shared" si="32"/>
        <v>21-5</v>
      </c>
      <c r="V19" s="134" t="str">
        <f t="shared" si="32"/>
        <v>21-6</v>
      </c>
      <c r="W19" s="131" t="str">
        <f t="shared" si="32"/>
        <v>24-7</v>
      </c>
      <c r="X19" s="132" t="str">
        <f t="shared" si="32"/>
        <v>24-8</v>
      </c>
      <c r="Y19" s="133" t="str">
        <f t="shared" si="32"/>
        <v>24-5</v>
      </c>
      <c r="Z19" s="134" t="str">
        <f t="shared" si="32"/>
        <v>24-6</v>
      </c>
      <c r="AB19" s="5" t="str">
        <f t="shared" si="1"/>
        <v>{15, 7, 8},</v>
      </c>
      <c r="AC19" s="5" t="str">
        <f t="shared" si="2"/>
        <v>{15, 5, 6},</v>
      </c>
      <c r="AD19" s="5" t="str">
        <f t="shared" si="3"/>
        <v>{18, 7, 8},</v>
      </c>
      <c r="AE19" s="5" t="str">
        <f t="shared" si="4"/>
        <v>{18, 5, 6},</v>
      </c>
      <c r="AF19" s="5" t="str">
        <f t="shared" si="5"/>
        <v>{21, 7, 8},</v>
      </c>
      <c r="AG19" s="5" t="str">
        <f t="shared" si="6"/>
        <v>{21, 5, 6},</v>
      </c>
      <c r="AH19" s="5" t="str">
        <f t="shared" si="7"/>
        <v>{24, 7, 8},</v>
      </c>
      <c r="AI19" s="5" t="str">
        <f t="shared" si="8"/>
        <v>{24, 5, 6},</v>
      </c>
      <c r="AJ19" s="2"/>
      <c r="AK19" s="168" t="s">
        <v>163</v>
      </c>
      <c r="AL19" s="162">
        <v>75</v>
      </c>
      <c r="AM19" s="142">
        <v>74</v>
      </c>
      <c r="AN19" s="142">
        <v>83</v>
      </c>
      <c r="AO19" s="142">
        <v>82</v>
      </c>
      <c r="AP19" s="142">
        <v>91</v>
      </c>
      <c r="AQ19" s="148">
        <v>90</v>
      </c>
    </row>
    <row r="20" spans="2:44" ht="21" customHeight="1" thickBot="1" x14ac:dyDescent="0.5">
      <c r="B20" s="61">
        <f t="shared" si="20"/>
        <v>136</v>
      </c>
      <c r="C20" s="65">
        <f t="shared" si="21"/>
        <v>137</v>
      </c>
      <c r="D20" s="61">
        <f t="shared" si="22"/>
        <v>138</v>
      </c>
      <c r="E20" s="65">
        <f t="shared" si="23"/>
        <v>139</v>
      </c>
      <c r="F20" s="61">
        <f t="shared" si="24"/>
        <v>140</v>
      </c>
      <c r="G20" s="65">
        <f t="shared" si="25"/>
        <v>141</v>
      </c>
      <c r="H20" s="61">
        <f t="shared" si="26"/>
        <v>142</v>
      </c>
      <c r="I20" s="62">
        <f t="shared" si="27"/>
        <v>143</v>
      </c>
      <c r="K20" s="135" t="str">
        <f t="shared" ref="K20:Z20" si="33">TEXT(LEFT(K17,FIND("-",K17)-1)+1,"0")&amp;"-"&amp;MID(K17,FIND("-",K17)+1,99)</f>
        <v>15-11</v>
      </c>
      <c r="L20" s="136" t="str">
        <f t="shared" si="33"/>
        <v>15-12</v>
      </c>
      <c r="M20" s="137" t="str">
        <f t="shared" si="33"/>
        <v>15-9</v>
      </c>
      <c r="N20" s="138" t="str">
        <f t="shared" si="33"/>
        <v>15-10</v>
      </c>
      <c r="O20" s="135" t="str">
        <f t="shared" si="33"/>
        <v>18-11</v>
      </c>
      <c r="P20" s="136" t="str">
        <f t="shared" si="33"/>
        <v>18-12</v>
      </c>
      <c r="Q20" s="137" t="str">
        <f t="shared" si="33"/>
        <v>18-9</v>
      </c>
      <c r="R20" s="138" t="str">
        <f t="shared" si="33"/>
        <v>18-10</v>
      </c>
      <c r="S20" s="135" t="str">
        <f t="shared" si="33"/>
        <v>21-11</v>
      </c>
      <c r="T20" s="136" t="str">
        <f t="shared" si="33"/>
        <v>21-12</v>
      </c>
      <c r="U20" s="137" t="str">
        <f t="shared" si="33"/>
        <v>21-9</v>
      </c>
      <c r="V20" s="138" t="str">
        <f t="shared" si="33"/>
        <v>21-10</v>
      </c>
      <c r="W20" s="135" t="str">
        <f t="shared" si="33"/>
        <v>24-11</v>
      </c>
      <c r="X20" s="136" t="str">
        <f t="shared" si="33"/>
        <v>24-12</v>
      </c>
      <c r="Y20" s="137" t="str">
        <f t="shared" si="33"/>
        <v>24-9</v>
      </c>
      <c r="Z20" s="138" t="str">
        <f t="shared" si="33"/>
        <v>24-10</v>
      </c>
      <c r="AB20" s="5" t="str">
        <f t="shared" si="1"/>
        <v>{15, 11, 12},</v>
      </c>
      <c r="AC20" s="5" t="str">
        <f t="shared" si="2"/>
        <v>{15, 9, 10},</v>
      </c>
      <c r="AD20" s="5" t="str">
        <f t="shared" si="3"/>
        <v>{18, 11, 12},</v>
      </c>
      <c r="AE20" s="5" t="str">
        <f t="shared" si="4"/>
        <v>{18, 9, 10},</v>
      </c>
      <c r="AF20" s="5" t="str">
        <f t="shared" si="5"/>
        <v>{21, 11, 12},</v>
      </c>
      <c r="AG20" s="5" t="str">
        <f t="shared" si="6"/>
        <v>{21, 9, 10},</v>
      </c>
      <c r="AH20" s="5" t="str">
        <f t="shared" si="7"/>
        <v>{24, 11, 12},</v>
      </c>
      <c r="AI20" s="5" t="str">
        <f t="shared" si="8"/>
        <v>{24, 9, 10},</v>
      </c>
      <c r="AJ20" s="2"/>
      <c r="AK20" s="168" t="s">
        <v>164</v>
      </c>
      <c r="AL20" s="163">
        <v>99</v>
      </c>
      <c r="AM20" s="143">
        <v>98</v>
      </c>
      <c r="AN20" s="143">
        <v>107</v>
      </c>
      <c r="AO20" s="143">
        <v>106</v>
      </c>
      <c r="AP20" s="143">
        <v>115</v>
      </c>
      <c r="AQ20" s="149">
        <v>114</v>
      </c>
    </row>
    <row r="21" spans="2:44" ht="21" customHeight="1" x14ac:dyDescent="0.45">
      <c r="AJ21" s="2"/>
      <c r="AK21" s="168" t="s">
        <v>165</v>
      </c>
      <c r="AL21" s="164">
        <v>123</v>
      </c>
      <c r="AM21" s="144">
        <v>122</v>
      </c>
      <c r="AN21" s="144">
        <v>131</v>
      </c>
      <c r="AO21" s="144">
        <v>130</v>
      </c>
      <c r="AP21" s="144">
        <v>139</v>
      </c>
      <c r="AQ21" s="150">
        <v>138</v>
      </c>
    </row>
    <row r="22" spans="2:44" ht="21" customHeight="1" x14ac:dyDescent="0.45"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4"/>
      <c r="Y22" s="4"/>
      <c r="AB22" s="2"/>
      <c r="AC22" s="2"/>
      <c r="AD22" s="2"/>
      <c r="AE22" s="2"/>
      <c r="AF22" s="2"/>
      <c r="AG22" s="2"/>
      <c r="AH22" s="2"/>
      <c r="AI22" s="2"/>
      <c r="AJ22" s="2"/>
      <c r="AK22" s="168" t="s">
        <v>166</v>
      </c>
      <c r="AL22" s="162">
        <v>77</v>
      </c>
      <c r="AM22" s="142">
        <v>76</v>
      </c>
      <c r="AN22" s="142">
        <v>85</v>
      </c>
      <c r="AO22" s="142">
        <v>84</v>
      </c>
      <c r="AP22" s="142">
        <v>93</v>
      </c>
      <c r="AQ22" s="148">
        <v>92</v>
      </c>
    </row>
    <row r="23" spans="2:44" ht="21" customHeight="1" x14ac:dyDescent="0.45"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4"/>
      <c r="Y23" s="4"/>
      <c r="AB23" s="2"/>
      <c r="AC23" s="2"/>
      <c r="AD23" s="2"/>
      <c r="AE23" s="2"/>
      <c r="AF23" s="2"/>
      <c r="AG23" s="2"/>
      <c r="AH23" s="2"/>
      <c r="AI23" s="2"/>
      <c r="AJ23" s="2"/>
      <c r="AK23" s="168" t="s">
        <v>167</v>
      </c>
      <c r="AL23" s="163">
        <v>101</v>
      </c>
      <c r="AM23" s="143">
        <v>100</v>
      </c>
      <c r="AN23" s="143">
        <v>109</v>
      </c>
      <c r="AO23" s="143">
        <v>108</v>
      </c>
      <c r="AP23" s="143">
        <v>117</v>
      </c>
      <c r="AQ23" s="149">
        <v>116</v>
      </c>
    </row>
    <row r="24" spans="2:44" ht="21" customHeight="1" x14ac:dyDescent="0.45">
      <c r="AK24" s="168" t="s">
        <v>175</v>
      </c>
      <c r="AL24" s="164">
        <v>125</v>
      </c>
      <c r="AM24" s="144">
        <v>124</v>
      </c>
      <c r="AN24" s="144">
        <v>133</v>
      </c>
      <c r="AO24" s="144">
        <v>132</v>
      </c>
      <c r="AP24" s="144">
        <v>141</v>
      </c>
      <c r="AQ24" s="150">
        <v>140</v>
      </c>
    </row>
    <row r="25" spans="2:44" ht="21" customHeight="1" x14ac:dyDescent="0.45">
      <c r="AK25" s="168" t="s">
        <v>176</v>
      </c>
      <c r="AL25" s="162">
        <v>79</v>
      </c>
      <c r="AM25" s="142">
        <v>78</v>
      </c>
      <c r="AN25" s="142">
        <v>87</v>
      </c>
      <c r="AO25" s="142">
        <v>86</v>
      </c>
      <c r="AP25" s="142">
        <v>95</v>
      </c>
      <c r="AQ25" s="148">
        <v>94</v>
      </c>
    </row>
    <row r="26" spans="2:44" ht="21" customHeight="1" x14ac:dyDescent="0.45">
      <c r="AK26" s="168" t="s">
        <v>177</v>
      </c>
      <c r="AL26" s="163">
        <v>103</v>
      </c>
      <c r="AM26" s="143">
        <v>102</v>
      </c>
      <c r="AN26" s="143">
        <v>111</v>
      </c>
      <c r="AO26" s="143">
        <v>110</v>
      </c>
      <c r="AP26" s="143">
        <v>119</v>
      </c>
      <c r="AQ26" s="149">
        <v>118</v>
      </c>
      <c r="AR26" s="8"/>
    </row>
    <row r="27" spans="2:44" ht="21" customHeight="1" thickBot="1" x14ac:dyDescent="0.5">
      <c r="AK27" s="169" t="s">
        <v>178</v>
      </c>
      <c r="AL27" s="165">
        <v>127</v>
      </c>
      <c r="AM27" s="151">
        <v>126</v>
      </c>
      <c r="AN27" s="151">
        <v>135</v>
      </c>
      <c r="AO27" s="151">
        <v>134</v>
      </c>
      <c r="AP27" s="151">
        <v>143</v>
      </c>
      <c r="AQ27" s="152">
        <v>142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2026-02-25T07:43:50Z</dcterms:modified>
</cp:coreProperties>
</file>