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12R\Demo_BD\XD12R_GT1009A0R0_DEMO\Docs\"/>
    </mc:Choice>
  </mc:AlternateContent>
  <xr:revisionPtr revIDLastSave="0" documentId="13_ncr:1_{3B41B58B-8E64-4341-B1C0-E28D5AD72F22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6" i="1" l="1"/>
  <c r="BF27" i="1" s="1"/>
  <c r="BE26" i="1"/>
  <c r="BE27" i="1" s="1"/>
  <c r="BD26" i="1"/>
  <c r="BD27" i="1" s="1"/>
  <c r="BC26" i="1"/>
  <c r="BC27" i="1" s="1"/>
  <c r="BB26" i="1"/>
  <c r="BB27" i="1" s="1"/>
  <c r="BA26" i="1"/>
  <c r="BA27" i="1" s="1"/>
  <c r="BF23" i="1"/>
  <c r="BF24" i="1" s="1"/>
  <c r="BE23" i="1"/>
  <c r="BE24" i="1" s="1"/>
  <c r="BD23" i="1"/>
  <c r="BD24" i="1" s="1"/>
  <c r="BC23" i="1"/>
  <c r="BC24" i="1" s="1"/>
  <c r="BB23" i="1"/>
  <c r="BB24" i="1" s="1"/>
  <c r="BA23" i="1"/>
  <c r="BA24" i="1" s="1"/>
  <c r="BF20" i="1"/>
  <c r="BF21" i="1" s="1"/>
  <c r="BE20" i="1"/>
  <c r="BE21" i="1" s="1"/>
  <c r="BD20" i="1"/>
  <c r="BD21" i="1" s="1"/>
  <c r="BC20" i="1"/>
  <c r="BC21" i="1" s="1"/>
  <c r="BB20" i="1"/>
  <c r="BB21" i="1" s="1"/>
  <c r="BA20" i="1"/>
  <c r="BA21" i="1" s="1"/>
  <c r="BF17" i="1"/>
  <c r="BF18" i="1" s="1"/>
  <c r="BE17" i="1"/>
  <c r="BE18" i="1" s="1"/>
  <c r="BD17" i="1"/>
  <c r="BD18" i="1" s="1"/>
  <c r="BC17" i="1"/>
  <c r="BC18" i="1" s="1"/>
  <c r="BB17" i="1"/>
  <c r="BB18" i="1" s="1"/>
  <c r="BA17" i="1"/>
  <c r="BA18" i="1"/>
  <c r="BF14" i="1"/>
  <c r="BF15" i="1" s="1"/>
  <c r="BE14" i="1"/>
  <c r="BE15" i="1" s="1"/>
  <c r="BD14" i="1"/>
  <c r="BD15" i="1" s="1"/>
  <c r="BC14" i="1"/>
  <c r="BC15" i="1" s="1"/>
  <c r="BB14" i="1"/>
  <c r="BB15" i="1" s="1"/>
  <c r="BA14" i="1"/>
  <c r="BA15" i="1" s="1"/>
  <c r="BF11" i="1"/>
  <c r="BF12" i="1" s="1"/>
  <c r="BE11" i="1"/>
  <c r="BE12" i="1" s="1"/>
  <c r="BD11" i="1"/>
  <c r="BD12" i="1" s="1"/>
  <c r="BC11" i="1"/>
  <c r="BC12" i="1" s="1"/>
  <c r="BB11" i="1"/>
  <c r="BB12" i="1" s="1"/>
  <c r="BA11" i="1"/>
  <c r="BA12" i="1" s="1"/>
  <c r="BF8" i="1"/>
  <c r="BF9" i="1" s="1"/>
  <c r="BE8" i="1"/>
  <c r="BE9" i="1" s="1"/>
  <c r="BD8" i="1"/>
  <c r="BD9" i="1" s="1"/>
  <c r="BC8" i="1"/>
  <c r="BC9" i="1" s="1"/>
  <c r="BB8" i="1"/>
  <c r="BB9" i="1" s="1"/>
  <c r="BA8" i="1"/>
  <c r="BA9" i="1" s="1"/>
  <c r="BF5" i="1"/>
  <c r="BF6" i="1" s="1"/>
  <c r="BE5" i="1"/>
  <c r="BE6" i="1" s="1"/>
  <c r="BD5" i="1"/>
  <c r="BD6" i="1" s="1"/>
  <c r="BC5" i="1"/>
  <c r="BC6" i="1" s="1"/>
  <c r="BB5" i="1"/>
  <c r="BB6" i="1" s="1"/>
  <c r="BA5" i="1"/>
  <c r="BA6" i="1" s="1"/>
  <c r="E5" i="1"/>
  <c r="F5" i="1"/>
  <c r="F6" i="1" s="1"/>
  <c r="F7" i="1" s="1"/>
  <c r="F8" i="1" s="1"/>
  <c r="F9" i="1" s="1"/>
  <c r="F10" i="1" s="1"/>
  <c r="F11" i="1" s="1"/>
  <c r="H5" i="1"/>
  <c r="H6" i="1" s="1"/>
  <c r="H7" i="1" s="1"/>
  <c r="H8" i="1" s="1"/>
  <c r="H9" i="1" s="1"/>
  <c r="H10" i="1" s="1"/>
  <c r="H11" i="1" s="1"/>
  <c r="I5" i="1"/>
  <c r="I6" i="1" s="1"/>
  <c r="I7" i="1" s="1"/>
  <c r="I8" i="1" s="1"/>
  <c r="I9" i="1" s="1"/>
  <c r="I10" i="1" s="1"/>
  <c r="I11" i="1" s="1"/>
  <c r="M5" i="1"/>
  <c r="M6" i="1" s="1"/>
  <c r="M7" i="1" s="1"/>
  <c r="M8" i="1" s="1"/>
  <c r="M9" i="1" s="1"/>
  <c r="M10" i="1" s="1"/>
  <c r="M11" i="1" s="1"/>
  <c r="N5" i="1"/>
  <c r="N6" i="1" s="1"/>
  <c r="N7" i="1" s="1"/>
  <c r="N8" i="1" s="1"/>
  <c r="N9" i="1" s="1"/>
  <c r="N10" i="1" s="1"/>
  <c r="N11" i="1" s="1"/>
  <c r="P5" i="1"/>
  <c r="P6" i="1" s="1"/>
  <c r="P7" i="1" s="1"/>
  <c r="P8" i="1" s="1"/>
  <c r="P9" i="1" s="1"/>
  <c r="P10" i="1" s="1"/>
  <c r="P11" i="1" s="1"/>
  <c r="Q5" i="1"/>
  <c r="Q6" i="1" s="1"/>
  <c r="Q7" i="1" s="1"/>
  <c r="Q8" i="1" s="1"/>
  <c r="Q9" i="1" s="1"/>
  <c r="Q10" i="1" s="1"/>
  <c r="Q11" i="1" s="1"/>
  <c r="E6" i="1"/>
  <c r="E7" i="1" s="1"/>
  <c r="E8" i="1" s="1"/>
  <c r="E9" i="1" s="1"/>
  <c r="E10" i="1" s="1"/>
  <c r="E11" i="1" s="1"/>
  <c r="C4" i="1"/>
  <c r="C5" i="1" s="1"/>
  <c r="C6" i="1" s="1"/>
  <c r="C7" i="1" s="1"/>
  <c r="C8" i="1" s="1"/>
  <c r="C9" i="1" s="1"/>
  <c r="C10" i="1" s="1"/>
  <c r="C11" i="1" s="1"/>
  <c r="D4" i="1"/>
  <c r="D5" i="1" s="1"/>
  <c r="D6" i="1" s="1"/>
  <c r="D7" i="1" s="1"/>
  <c r="D8" i="1" s="1"/>
  <c r="D9" i="1" s="1"/>
  <c r="D10" i="1" s="1"/>
  <c r="D11" i="1" s="1"/>
  <c r="E4" i="1"/>
  <c r="F4" i="1"/>
  <c r="G4" i="1"/>
  <c r="G5" i="1" s="1"/>
  <c r="G6" i="1" s="1"/>
  <c r="G7" i="1" s="1"/>
  <c r="G8" i="1" s="1"/>
  <c r="G9" i="1" s="1"/>
  <c r="G10" i="1" s="1"/>
  <c r="G11" i="1" s="1"/>
  <c r="H4" i="1"/>
  <c r="I4" i="1"/>
  <c r="J4" i="1"/>
  <c r="J5" i="1" s="1"/>
  <c r="J6" i="1" s="1"/>
  <c r="J7" i="1" s="1"/>
  <c r="J8" i="1" s="1"/>
  <c r="J9" i="1" s="1"/>
  <c r="J10" i="1" s="1"/>
  <c r="J11" i="1" s="1"/>
  <c r="K4" i="1"/>
  <c r="K5" i="1" s="1"/>
  <c r="K6" i="1" s="1"/>
  <c r="K7" i="1" s="1"/>
  <c r="K8" i="1" s="1"/>
  <c r="K9" i="1" s="1"/>
  <c r="K10" i="1" s="1"/>
  <c r="K11" i="1" s="1"/>
  <c r="L4" i="1"/>
  <c r="L5" i="1" s="1"/>
  <c r="L6" i="1" s="1"/>
  <c r="L7" i="1" s="1"/>
  <c r="L8" i="1" s="1"/>
  <c r="L9" i="1" s="1"/>
  <c r="L10" i="1" s="1"/>
  <c r="L11" i="1" s="1"/>
  <c r="M4" i="1"/>
  <c r="N4" i="1"/>
  <c r="O4" i="1"/>
  <c r="O5" i="1" s="1"/>
  <c r="O6" i="1" s="1"/>
  <c r="O7" i="1" s="1"/>
  <c r="O8" i="1" s="1"/>
  <c r="O9" i="1" s="1"/>
  <c r="O10" i="1" s="1"/>
  <c r="O11" i="1" s="1"/>
  <c r="P4" i="1"/>
  <c r="Q4" i="1"/>
  <c r="B4" i="1"/>
  <c r="B5" i="1" s="1"/>
  <c r="B6" i="1" s="1"/>
  <c r="B7" i="1" s="1"/>
  <c r="B8" i="1" s="1"/>
  <c r="B9" i="1" s="1"/>
  <c r="B10" i="1" s="1"/>
  <c r="B11" i="1" s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6" i="1"/>
  <c r="AJ6" i="1"/>
  <c r="AJ9" i="1" s="1"/>
  <c r="AK6" i="1"/>
  <c r="AL6" i="1"/>
  <c r="AL9" i="1" s="1"/>
  <c r="AM6" i="1"/>
  <c r="AM9" i="1" s="1"/>
  <c r="AN6" i="1"/>
  <c r="AN9" i="1" s="1"/>
  <c r="AO6" i="1"/>
  <c r="AO9" i="1" s="1"/>
  <c r="AP6" i="1"/>
  <c r="AP9" i="1" s="1"/>
  <c r="AQ6" i="1"/>
  <c r="AQ9" i="1" s="1"/>
  <c r="AR6" i="1"/>
  <c r="AR9" i="1" s="1"/>
  <c r="AS6" i="1"/>
  <c r="AS9" i="1" s="1"/>
  <c r="AT6" i="1"/>
  <c r="AT9" i="1" s="1"/>
  <c r="AU6" i="1"/>
  <c r="AU9" i="1" s="1"/>
  <c r="AV6" i="1"/>
  <c r="AV9" i="1" s="1"/>
  <c r="AW6" i="1"/>
  <c r="AW9" i="1" s="1"/>
  <c r="AX6" i="1"/>
  <c r="AX9" i="1" s="1"/>
  <c r="AI7" i="1"/>
  <c r="AJ7" i="1"/>
  <c r="AJ10" i="1" s="1"/>
  <c r="AK7" i="1"/>
  <c r="AK10" i="1" s="1"/>
  <c r="AL7" i="1"/>
  <c r="AL10" i="1" s="1"/>
  <c r="AM7" i="1"/>
  <c r="AM10" i="1" s="1"/>
  <c r="AN7" i="1"/>
  <c r="AN10" i="1" s="1"/>
  <c r="AO7" i="1"/>
  <c r="AP7" i="1"/>
  <c r="AP10" i="1" s="1"/>
  <c r="AQ7" i="1"/>
  <c r="AQ10" i="1" s="1"/>
  <c r="AR7" i="1"/>
  <c r="AR10" i="1" s="1"/>
  <c r="AS7" i="1"/>
  <c r="AS10" i="1" s="1"/>
  <c r="AT7" i="1"/>
  <c r="AT10" i="1" s="1"/>
  <c r="AU7" i="1"/>
  <c r="AV7" i="1"/>
  <c r="AV10" i="1" s="1"/>
  <c r="AW7" i="1"/>
  <c r="AW10" i="1" s="1"/>
  <c r="AX7" i="1"/>
  <c r="AX10" i="1" s="1"/>
  <c r="AI8" i="1"/>
  <c r="AI11" i="1" s="1"/>
  <c r="AJ8" i="1"/>
  <c r="AJ11" i="1" s="1"/>
  <c r="AK8" i="1"/>
  <c r="AK11" i="1" s="1"/>
  <c r="AL8" i="1"/>
  <c r="AL11" i="1" s="1"/>
  <c r="AM8" i="1"/>
  <c r="AN8" i="1"/>
  <c r="AN11" i="1" s="1"/>
  <c r="AO8" i="1"/>
  <c r="AO11" i="1" s="1"/>
  <c r="AP8" i="1"/>
  <c r="AQ8" i="1"/>
  <c r="AR8" i="1"/>
  <c r="AR11" i="1" s="1"/>
  <c r="AS8" i="1"/>
  <c r="AT8" i="1"/>
  <c r="AT11" i="1" s="1"/>
  <c r="AU8" i="1"/>
  <c r="AV8" i="1"/>
  <c r="AV11" i="1" s="1"/>
  <c r="AW8" i="1"/>
  <c r="AW11" i="1" s="1"/>
  <c r="AX8" i="1"/>
  <c r="BI5" i="1"/>
  <c r="BI6" i="1" s="1"/>
  <c r="BI7" i="1" s="1"/>
  <c r="BI8" i="1" s="1"/>
  <c r="AP11" i="1" l="1"/>
  <c r="AX11" i="1"/>
  <c r="AU10" i="1"/>
  <c r="AO10" i="1"/>
  <c r="AS11" i="1"/>
  <c r="AU11" i="1"/>
  <c r="AQ11" i="1"/>
  <c r="AM11" i="1"/>
  <c r="AI9" i="1"/>
  <c r="AI10" i="1"/>
  <c r="AK9" i="1"/>
</calcChain>
</file>

<file path=xl/sharedStrings.xml><?xml version="1.0" encoding="utf-8"?>
<sst xmlns="http://schemas.openxmlformats.org/spreadsheetml/2006/main" count="184" uniqueCount="183">
  <si>
    <t>1-3</t>
    <phoneticPr fontId="1" type="noConversion"/>
  </si>
  <si>
    <t>1-4</t>
    <phoneticPr fontId="1" type="noConversion"/>
  </si>
  <si>
    <t>1-1</t>
    <phoneticPr fontId="1" type="noConversion"/>
  </si>
  <si>
    <t>1-2</t>
    <phoneticPr fontId="1" type="noConversion"/>
  </si>
  <si>
    <t>1-7</t>
    <phoneticPr fontId="1" type="noConversion"/>
  </si>
  <si>
    <t>1-8</t>
    <phoneticPr fontId="1" type="noConversion"/>
  </si>
  <si>
    <t>1-11</t>
    <phoneticPr fontId="1" type="noConversion"/>
  </si>
  <si>
    <t>1-12</t>
    <phoneticPr fontId="1" type="noConversion"/>
  </si>
  <si>
    <t>1-5</t>
    <phoneticPr fontId="1" type="noConversion"/>
  </si>
  <si>
    <t>1-6</t>
    <phoneticPr fontId="1" type="noConversion"/>
  </si>
  <si>
    <t>1-9</t>
    <phoneticPr fontId="1" type="noConversion"/>
  </si>
  <si>
    <t>1-10</t>
    <phoneticPr fontId="1" type="noConversion"/>
  </si>
  <si>
    <t>4-3</t>
    <phoneticPr fontId="1" type="noConversion"/>
  </si>
  <si>
    <t>4-4</t>
    <phoneticPr fontId="1" type="noConversion"/>
  </si>
  <si>
    <t>4-5</t>
    <phoneticPr fontId="1" type="noConversion"/>
  </si>
  <si>
    <t>4-6</t>
    <phoneticPr fontId="1" type="noConversion"/>
  </si>
  <si>
    <t>4-11</t>
    <phoneticPr fontId="1" type="noConversion"/>
  </si>
  <si>
    <t>4-12</t>
    <phoneticPr fontId="1" type="noConversion"/>
  </si>
  <si>
    <t>4-1</t>
    <phoneticPr fontId="1" type="noConversion"/>
  </si>
  <si>
    <t>4-2</t>
    <phoneticPr fontId="1" type="noConversion"/>
  </si>
  <si>
    <t>4-9</t>
    <phoneticPr fontId="1" type="noConversion"/>
  </si>
  <si>
    <t>4-10</t>
    <phoneticPr fontId="1" type="noConversion"/>
  </si>
  <si>
    <t>7-3</t>
    <phoneticPr fontId="1" type="noConversion"/>
  </si>
  <si>
    <t>7-4</t>
    <phoneticPr fontId="1" type="noConversion"/>
  </si>
  <si>
    <t>7-7</t>
    <phoneticPr fontId="1" type="noConversion"/>
  </si>
  <si>
    <t>7-8</t>
    <phoneticPr fontId="1" type="noConversion"/>
  </si>
  <si>
    <t>7-11</t>
    <phoneticPr fontId="1" type="noConversion"/>
  </si>
  <si>
    <t>7-12</t>
    <phoneticPr fontId="1" type="noConversion"/>
  </si>
  <si>
    <t>7-1</t>
    <phoneticPr fontId="1" type="noConversion"/>
  </si>
  <si>
    <t>7-2</t>
    <phoneticPr fontId="1" type="noConversion"/>
  </si>
  <si>
    <t>7-5</t>
    <phoneticPr fontId="1" type="noConversion"/>
  </si>
  <si>
    <t>7-6</t>
    <phoneticPr fontId="1" type="noConversion"/>
  </si>
  <si>
    <t>7-9</t>
    <phoneticPr fontId="1" type="noConversion"/>
  </si>
  <si>
    <t>7-10</t>
    <phoneticPr fontId="1" type="noConversion"/>
  </si>
  <si>
    <t>10-3</t>
    <phoneticPr fontId="1" type="noConversion"/>
  </si>
  <si>
    <t>10-4</t>
    <phoneticPr fontId="1" type="noConversion"/>
  </si>
  <si>
    <t>10-7</t>
    <phoneticPr fontId="1" type="noConversion"/>
  </si>
  <si>
    <t>10-8</t>
    <phoneticPr fontId="1" type="noConversion"/>
  </si>
  <si>
    <t>10-11</t>
    <phoneticPr fontId="1" type="noConversion"/>
  </si>
  <si>
    <t>10-12</t>
    <phoneticPr fontId="1" type="noConversion"/>
  </si>
  <si>
    <t>10-1</t>
    <phoneticPr fontId="1" type="noConversion"/>
  </si>
  <si>
    <t>10-2</t>
    <phoneticPr fontId="1" type="noConversion"/>
  </si>
  <si>
    <t>10-5</t>
    <phoneticPr fontId="1" type="noConversion"/>
  </si>
  <si>
    <t>10-6</t>
    <phoneticPr fontId="1" type="noConversion"/>
  </si>
  <si>
    <t>10-9</t>
    <phoneticPr fontId="1" type="noConversion"/>
  </si>
  <si>
    <t>10-10</t>
    <phoneticPr fontId="1" type="noConversion"/>
  </si>
  <si>
    <t>XDR Map</t>
    <phoneticPr fontId="1" type="noConversion"/>
  </si>
  <si>
    <t>4-7</t>
    <phoneticPr fontId="1" type="noConversion"/>
  </si>
  <si>
    <t>4-8</t>
    <phoneticPr fontId="1" type="noConversion"/>
  </si>
  <si>
    <t>2-3</t>
    <phoneticPr fontId="1" type="noConversion"/>
  </si>
  <si>
    <t>2-4</t>
    <phoneticPr fontId="1" type="noConversion"/>
  </si>
  <si>
    <t>2-7</t>
    <phoneticPr fontId="1" type="noConversion"/>
  </si>
  <si>
    <t>2-8</t>
    <phoneticPr fontId="1" type="noConversion"/>
  </si>
  <si>
    <t>2-11</t>
    <phoneticPr fontId="1" type="noConversion"/>
  </si>
  <si>
    <t>2-12</t>
    <phoneticPr fontId="1" type="noConversion"/>
  </si>
  <si>
    <t>2-1</t>
    <phoneticPr fontId="1" type="noConversion"/>
  </si>
  <si>
    <t>2-2</t>
    <phoneticPr fontId="1" type="noConversion"/>
  </si>
  <si>
    <t>2-5</t>
    <phoneticPr fontId="1" type="noConversion"/>
  </si>
  <si>
    <t>2-6</t>
    <phoneticPr fontId="1" type="noConversion"/>
  </si>
  <si>
    <t>2-9</t>
    <phoneticPr fontId="1" type="noConversion"/>
  </si>
  <si>
    <t>2-10</t>
    <phoneticPr fontId="1" type="noConversion"/>
  </si>
  <si>
    <t>5-3</t>
    <phoneticPr fontId="1" type="noConversion"/>
  </si>
  <si>
    <t>5-4</t>
    <phoneticPr fontId="1" type="noConversion"/>
  </si>
  <si>
    <t>5-7</t>
    <phoneticPr fontId="1" type="noConversion"/>
  </si>
  <si>
    <t>5-11</t>
    <phoneticPr fontId="1" type="noConversion"/>
  </si>
  <si>
    <t>5-8</t>
    <phoneticPr fontId="1" type="noConversion"/>
  </si>
  <si>
    <t>5-12</t>
    <phoneticPr fontId="1" type="noConversion"/>
  </si>
  <si>
    <t>5-1</t>
    <phoneticPr fontId="1" type="noConversion"/>
  </si>
  <si>
    <t>5-2</t>
    <phoneticPr fontId="1" type="noConversion"/>
  </si>
  <si>
    <t>5-5</t>
    <phoneticPr fontId="1" type="noConversion"/>
  </si>
  <si>
    <t>5-6</t>
    <phoneticPr fontId="1" type="noConversion"/>
  </si>
  <si>
    <t>5-9</t>
    <phoneticPr fontId="1" type="noConversion"/>
  </si>
  <si>
    <t>5-10</t>
    <phoneticPr fontId="1" type="noConversion"/>
  </si>
  <si>
    <t>8-3</t>
    <phoneticPr fontId="1" type="noConversion"/>
  </si>
  <si>
    <t>8-7</t>
    <phoneticPr fontId="1" type="noConversion"/>
  </si>
  <si>
    <t>8-11</t>
    <phoneticPr fontId="1" type="noConversion"/>
  </si>
  <si>
    <t>8-4</t>
    <phoneticPr fontId="1" type="noConversion"/>
  </si>
  <si>
    <t>8-8</t>
    <phoneticPr fontId="1" type="noConversion"/>
  </si>
  <si>
    <t>8-12</t>
    <phoneticPr fontId="1" type="noConversion"/>
  </si>
  <si>
    <t>8-1</t>
    <phoneticPr fontId="1" type="noConversion"/>
  </si>
  <si>
    <t>8-5</t>
    <phoneticPr fontId="1" type="noConversion"/>
  </si>
  <si>
    <t>8-9</t>
    <phoneticPr fontId="1" type="noConversion"/>
  </si>
  <si>
    <t>8-10</t>
    <phoneticPr fontId="1" type="noConversion"/>
  </si>
  <si>
    <t>8-6</t>
    <phoneticPr fontId="1" type="noConversion"/>
  </si>
  <si>
    <t>8-2</t>
    <phoneticPr fontId="1" type="noConversion"/>
  </si>
  <si>
    <t>11-3</t>
    <phoneticPr fontId="1" type="noConversion"/>
  </si>
  <si>
    <t>11-7</t>
    <phoneticPr fontId="1" type="noConversion"/>
  </si>
  <si>
    <t>11-11</t>
    <phoneticPr fontId="1" type="noConversion"/>
  </si>
  <si>
    <t>11-4</t>
    <phoneticPr fontId="1" type="noConversion"/>
  </si>
  <si>
    <t>11-8</t>
    <phoneticPr fontId="1" type="noConversion"/>
  </si>
  <si>
    <t>11-12</t>
    <phoneticPr fontId="1" type="noConversion"/>
  </si>
  <si>
    <t>11-1</t>
    <phoneticPr fontId="1" type="noConversion"/>
  </si>
  <si>
    <t>11-5</t>
    <phoneticPr fontId="1" type="noConversion"/>
  </si>
  <si>
    <t>11-9</t>
    <phoneticPr fontId="1" type="noConversion"/>
  </si>
  <si>
    <t>11-2</t>
    <phoneticPr fontId="1" type="noConversion"/>
  </si>
  <si>
    <t>11-6</t>
    <phoneticPr fontId="1" type="noConversion"/>
  </si>
  <si>
    <t>11-10</t>
    <phoneticPr fontId="1" type="noConversion"/>
  </si>
  <si>
    <t>13-3</t>
    <phoneticPr fontId="1" type="noConversion"/>
  </si>
  <si>
    <t>13-4</t>
    <phoneticPr fontId="1" type="noConversion"/>
  </si>
  <si>
    <t>13-1</t>
    <phoneticPr fontId="1" type="noConversion"/>
  </si>
  <si>
    <t>13-2</t>
    <phoneticPr fontId="1" type="noConversion"/>
  </si>
  <si>
    <t>16-3</t>
    <phoneticPr fontId="1" type="noConversion"/>
  </si>
  <si>
    <t>16-4</t>
    <phoneticPr fontId="1" type="noConversion"/>
  </si>
  <si>
    <t>16-1</t>
    <phoneticPr fontId="1" type="noConversion"/>
  </si>
  <si>
    <t>16-2</t>
    <phoneticPr fontId="1" type="noConversion"/>
  </si>
  <si>
    <t>19-3</t>
    <phoneticPr fontId="1" type="noConversion"/>
  </si>
  <si>
    <t>19-4</t>
    <phoneticPr fontId="1" type="noConversion"/>
  </si>
  <si>
    <t>19-1</t>
    <phoneticPr fontId="1" type="noConversion"/>
  </si>
  <si>
    <t>19-2</t>
    <phoneticPr fontId="1" type="noConversion"/>
  </si>
  <si>
    <t>22-3</t>
    <phoneticPr fontId="1" type="noConversion"/>
  </si>
  <si>
    <t>22-4</t>
    <phoneticPr fontId="1" type="noConversion"/>
  </si>
  <si>
    <t>22-1</t>
    <phoneticPr fontId="1" type="noConversion"/>
  </si>
  <si>
    <t>22-2</t>
    <phoneticPr fontId="1" type="noConversion"/>
  </si>
  <si>
    <t>13-7</t>
    <phoneticPr fontId="1" type="noConversion"/>
  </si>
  <si>
    <t>13-8</t>
    <phoneticPr fontId="1" type="noConversion"/>
  </si>
  <si>
    <t>13-5</t>
    <phoneticPr fontId="1" type="noConversion"/>
  </si>
  <si>
    <t>13-6</t>
    <phoneticPr fontId="1" type="noConversion"/>
  </si>
  <si>
    <t>16-7</t>
    <phoneticPr fontId="1" type="noConversion"/>
  </si>
  <si>
    <t>16-8</t>
    <phoneticPr fontId="1" type="noConversion"/>
  </si>
  <si>
    <t>16-5</t>
    <phoneticPr fontId="1" type="noConversion"/>
  </si>
  <si>
    <t>16-6</t>
    <phoneticPr fontId="1" type="noConversion"/>
  </si>
  <si>
    <t>19-7</t>
    <phoneticPr fontId="1" type="noConversion"/>
  </si>
  <si>
    <t>19-8</t>
    <phoneticPr fontId="1" type="noConversion"/>
  </si>
  <si>
    <t>19-5</t>
    <phoneticPr fontId="1" type="noConversion"/>
  </si>
  <si>
    <t>19-6</t>
    <phoneticPr fontId="1" type="noConversion"/>
  </si>
  <si>
    <t>22-7</t>
    <phoneticPr fontId="1" type="noConversion"/>
  </si>
  <si>
    <t>22-8</t>
    <phoneticPr fontId="1" type="noConversion"/>
  </si>
  <si>
    <t>22-5</t>
    <phoneticPr fontId="1" type="noConversion"/>
  </si>
  <si>
    <t>22-6</t>
    <phoneticPr fontId="1" type="noConversion"/>
  </si>
  <si>
    <t>13-11</t>
    <phoneticPr fontId="1" type="noConversion"/>
  </si>
  <si>
    <t>13-12</t>
    <phoneticPr fontId="1" type="noConversion"/>
  </si>
  <si>
    <t>13-9</t>
    <phoneticPr fontId="1" type="noConversion"/>
  </si>
  <si>
    <t>13-10</t>
    <phoneticPr fontId="1" type="noConversion"/>
  </si>
  <si>
    <t>16-11</t>
    <phoneticPr fontId="1" type="noConversion"/>
  </si>
  <si>
    <t>16-12</t>
    <phoneticPr fontId="1" type="noConversion"/>
  </si>
  <si>
    <t>16-9</t>
    <phoneticPr fontId="1" type="noConversion"/>
  </si>
  <si>
    <t>16-10</t>
    <phoneticPr fontId="1" type="noConversion"/>
  </si>
  <si>
    <t>19-11</t>
    <phoneticPr fontId="1" type="noConversion"/>
  </si>
  <si>
    <t>19-12</t>
    <phoneticPr fontId="1" type="noConversion"/>
  </si>
  <si>
    <t>19-9</t>
    <phoneticPr fontId="1" type="noConversion"/>
  </si>
  <si>
    <t>19-10</t>
    <phoneticPr fontId="1" type="noConversion"/>
  </si>
  <si>
    <t>22-11</t>
    <phoneticPr fontId="1" type="noConversion"/>
  </si>
  <si>
    <t>22-12</t>
    <phoneticPr fontId="1" type="noConversion"/>
  </si>
  <si>
    <t>22-9</t>
    <phoneticPr fontId="1" type="noConversion"/>
  </si>
  <si>
    <t>22-10</t>
    <phoneticPr fontId="1" type="noConversion"/>
  </si>
  <si>
    <t>LED Map Index</t>
    <phoneticPr fontId="1" type="noConversion"/>
  </si>
  <si>
    <t>LD Parsing LED Index Order</t>
    <phoneticPr fontId="1" type="noConversion"/>
  </si>
  <si>
    <t>IC #1</t>
    <phoneticPr fontId="1" type="noConversion"/>
  </si>
  <si>
    <t>IC #2</t>
  </si>
  <si>
    <t>IC #3</t>
  </si>
  <si>
    <t>IC #4</t>
  </si>
  <si>
    <t>IC #5</t>
  </si>
  <si>
    <t>IC #6</t>
  </si>
  <si>
    <t>IC #7</t>
  </si>
  <si>
    <t>IC #8</t>
  </si>
  <si>
    <t>IC #9</t>
  </si>
  <si>
    <t>IC #10</t>
  </si>
  <si>
    <t>IC #11</t>
  </si>
  <si>
    <t>IC #12</t>
  </si>
  <si>
    <t>IC #13</t>
  </si>
  <si>
    <t>IC #14</t>
  </si>
  <si>
    <t>IC #15</t>
  </si>
  <si>
    <t>IC #16</t>
  </si>
  <si>
    <t>IC #17</t>
  </si>
  <si>
    <t>IC #18</t>
  </si>
  <si>
    <t>IC #19</t>
  </si>
  <si>
    <t>IC #20</t>
  </si>
  <si>
    <t>IC Num</t>
    <phoneticPr fontId="1" type="noConversion"/>
  </si>
  <si>
    <t>CH1/2</t>
    <phoneticPr fontId="1" type="noConversion"/>
  </si>
  <si>
    <t>CH3/4</t>
    <phoneticPr fontId="1" type="noConversion"/>
  </si>
  <si>
    <t>CH5/6</t>
    <phoneticPr fontId="1" type="noConversion"/>
  </si>
  <si>
    <t>CH7/8</t>
    <phoneticPr fontId="1" type="noConversion"/>
  </si>
  <si>
    <t>CH9/10</t>
    <phoneticPr fontId="1" type="noConversion"/>
  </si>
  <si>
    <t>CH11/12</t>
    <phoneticPr fontId="1" type="noConversion"/>
  </si>
  <si>
    <t>IC #21</t>
  </si>
  <si>
    <t>IC #22</t>
  </si>
  <si>
    <t>IC #23</t>
  </si>
  <si>
    <t>IC #24</t>
  </si>
  <si>
    <t>CMD / 1-ic</t>
    <phoneticPr fontId="1" type="noConversion"/>
  </si>
  <si>
    <t>Payload / 2-ch</t>
    <phoneticPr fontId="1" type="noConversion"/>
  </si>
  <si>
    <t>Payload / 1-ic</t>
    <phoneticPr fontId="1" type="noConversion"/>
  </si>
  <si>
    <t>LD / 1-ic</t>
    <phoneticPr fontId="1" type="noConversion"/>
  </si>
  <si>
    <t>LD / 1-map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</si>
</sst>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6"/>
      <color theme="1"/>
      <name val="맑은 고딕"/>
      <family val="2"/>
      <scheme val="minor"/>
    </font>
    <font>
      <sz val="6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0" borderId="0" xfId="0" applyFont="1"/>
    <xf numFmtId="49" fontId="5" fillId="0" borderId="0" xfId="0" applyNumberFormat="1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49" fontId="4" fillId="2" borderId="15" xfId="0" applyNumberFormat="1" applyFont="1" applyFill="1" applyBorder="1" applyAlignment="1">
      <alignment horizontal="center" vertical="center"/>
    </xf>
    <xf numFmtId="49" fontId="4" fillId="2" borderId="16" xfId="0" applyNumberFormat="1" applyFont="1" applyFill="1" applyBorder="1" applyAlignment="1">
      <alignment horizontal="center" vertical="center"/>
    </xf>
    <xf numFmtId="49" fontId="4" fillId="2" borderId="17" xfId="0" applyNumberFormat="1" applyFont="1" applyFill="1" applyBorder="1" applyAlignment="1">
      <alignment horizontal="center" vertical="center"/>
    </xf>
    <xf numFmtId="49" fontId="4" fillId="2" borderId="18" xfId="0" applyNumberFormat="1" applyFont="1" applyFill="1" applyBorder="1" applyAlignment="1">
      <alignment horizontal="center" vertical="center"/>
    </xf>
    <xf numFmtId="49" fontId="4" fillId="2" borderId="19" xfId="0" applyNumberFormat="1" applyFont="1" applyFill="1" applyBorder="1" applyAlignment="1">
      <alignment horizontal="center" vertical="center"/>
    </xf>
    <xf numFmtId="49" fontId="4" fillId="2" borderId="20" xfId="0" applyNumberFormat="1" applyFont="1" applyFill="1" applyBorder="1" applyAlignment="1">
      <alignment horizontal="center" vertical="center"/>
    </xf>
    <xf numFmtId="49" fontId="4" fillId="2" borderId="9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1" xfId="0" applyNumberFormat="1" applyFont="1" applyFill="1" applyBorder="1" applyAlignment="1">
      <alignment horizontal="center" vertical="center"/>
    </xf>
    <xf numFmtId="49" fontId="4" fillId="2" borderId="21" xfId="0" applyNumberFormat="1" applyFont="1" applyFill="1" applyBorder="1" applyAlignment="1">
      <alignment horizontal="center" vertical="center"/>
    </xf>
    <xf numFmtId="49" fontId="4" fillId="2" borderId="22" xfId="0" applyNumberFormat="1" applyFont="1" applyFill="1" applyBorder="1" applyAlignment="1">
      <alignment horizontal="center" vertical="center"/>
    </xf>
    <xf numFmtId="49" fontId="4" fillId="2" borderId="23" xfId="0" applyNumberFormat="1" applyFont="1" applyFill="1" applyBorder="1" applyAlignment="1">
      <alignment horizontal="center" vertical="center"/>
    </xf>
    <xf numFmtId="49" fontId="4" fillId="3" borderId="18" xfId="0" applyNumberFormat="1" applyFont="1" applyFill="1" applyBorder="1" applyAlignment="1">
      <alignment horizontal="center" vertical="center"/>
    </xf>
    <xf numFmtId="49" fontId="4" fillId="3" borderId="15" xfId="0" applyNumberFormat="1" applyFont="1" applyFill="1" applyBorder="1" applyAlignment="1">
      <alignment horizontal="center" vertical="center"/>
    </xf>
    <xf numFmtId="49" fontId="4" fillId="3" borderId="9" xfId="0" applyNumberFormat="1" applyFont="1" applyFill="1" applyBorder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49" fontId="4" fillId="3" borderId="19" xfId="0" applyNumberFormat="1" applyFont="1" applyFill="1" applyBorder="1" applyAlignment="1">
      <alignment horizontal="center" vertical="center"/>
    </xf>
    <xf numFmtId="49" fontId="4" fillId="3" borderId="16" xfId="0" applyNumberFormat="1" applyFont="1" applyFill="1" applyBorder="1" applyAlignment="1">
      <alignment horizontal="center" vertical="center"/>
    </xf>
    <xf numFmtId="49" fontId="4" fillId="3" borderId="10" xfId="0" applyNumberFormat="1" applyFont="1" applyFill="1" applyBorder="1" applyAlignment="1">
      <alignment horizontal="center" vertical="center"/>
    </xf>
    <xf numFmtId="49" fontId="4" fillId="3" borderId="22" xfId="0" applyNumberFormat="1" applyFont="1" applyFill="1" applyBorder="1" applyAlignment="1">
      <alignment horizontal="center" vertical="center"/>
    </xf>
    <xf numFmtId="49" fontId="4" fillId="3" borderId="20" xfId="0" applyNumberFormat="1" applyFont="1" applyFill="1" applyBorder="1" applyAlignment="1">
      <alignment horizontal="center" vertical="center"/>
    </xf>
    <xf numFmtId="49" fontId="4" fillId="3" borderId="17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4" borderId="18" xfId="0" applyNumberFormat="1" applyFont="1" applyFill="1" applyBorder="1" applyAlignment="1">
      <alignment horizontal="center" vertical="center"/>
    </xf>
    <xf numFmtId="49" fontId="4" fillId="4" borderId="15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9" fontId="4" fillId="4" borderId="21" xfId="0" applyNumberFormat="1" applyFont="1" applyFill="1" applyBorder="1" applyAlignment="1">
      <alignment horizontal="center" vertical="center"/>
    </xf>
    <xf numFmtId="49" fontId="4" fillId="4" borderId="19" xfId="0" applyNumberFormat="1" applyFont="1" applyFill="1" applyBorder="1" applyAlignment="1">
      <alignment horizontal="center" vertical="center"/>
    </xf>
    <xf numFmtId="49" fontId="4" fillId="4" borderId="16" xfId="0" applyNumberFormat="1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49" fontId="4" fillId="4" borderId="22" xfId="0" applyNumberFormat="1" applyFont="1" applyFill="1" applyBorder="1" applyAlignment="1">
      <alignment horizontal="center" vertical="center"/>
    </xf>
    <xf numFmtId="49" fontId="4" fillId="4" borderId="20" xfId="0" applyNumberFormat="1" applyFont="1" applyFill="1" applyBorder="1" applyAlignment="1">
      <alignment horizontal="center" vertical="center"/>
    </xf>
    <xf numFmtId="49" fontId="4" fillId="4" borderId="17" xfId="0" applyNumberFormat="1" applyFont="1" applyFill="1" applyBorder="1" applyAlignment="1">
      <alignment horizontal="center" vertical="center"/>
    </xf>
    <xf numFmtId="49" fontId="4" fillId="4" borderId="11" xfId="0" applyNumberFormat="1" applyFont="1" applyFill="1" applyBorder="1" applyAlignment="1">
      <alignment horizontal="center" vertical="center"/>
    </xf>
    <xf numFmtId="49" fontId="4" fillId="4" borderId="23" xfId="0" applyNumberFormat="1" applyFont="1" applyFill="1" applyBorder="1" applyAlignment="1">
      <alignment horizontal="center" vertical="center"/>
    </xf>
    <xf numFmtId="49" fontId="4" fillId="5" borderId="18" xfId="0" applyNumberFormat="1" applyFont="1" applyFill="1" applyBorder="1" applyAlignment="1">
      <alignment horizontal="center" vertical="center"/>
    </xf>
    <xf numFmtId="49" fontId="4" fillId="5" borderId="15" xfId="0" applyNumberFormat="1" applyFont="1" applyFill="1" applyBorder="1" applyAlignment="1">
      <alignment horizontal="center" vertical="center"/>
    </xf>
    <xf numFmtId="49" fontId="4" fillId="5" borderId="9" xfId="0" applyNumberFormat="1" applyFont="1" applyFill="1" applyBorder="1" applyAlignment="1">
      <alignment horizontal="center" vertical="center"/>
    </xf>
    <xf numFmtId="49" fontId="4" fillId="5" borderId="21" xfId="0" applyNumberFormat="1" applyFont="1" applyFill="1" applyBorder="1" applyAlignment="1">
      <alignment horizontal="center" vertical="center"/>
    </xf>
    <xf numFmtId="49" fontId="4" fillId="5" borderId="19" xfId="0" applyNumberFormat="1" applyFont="1" applyFill="1" applyBorder="1" applyAlignment="1">
      <alignment horizontal="center" vertical="center"/>
    </xf>
    <xf numFmtId="49" fontId="4" fillId="5" borderId="16" xfId="0" applyNumberFormat="1" applyFont="1" applyFill="1" applyBorder="1" applyAlignment="1">
      <alignment horizontal="center" vertical="center"/>
    </xf>
    <xf numFmtId="49" fontId="4" fillId="5" borderId="10" xfId="0" applyNumberFormat="1" applyFont="1" applyFill="1" applyBorder="1" applyAlignment="1">
      <alignment horizontal="center" vertical="center"/>
    </xf>
    <xf numFmtId="49" fontId="4" fillId="5" borderId="22" xfId="0" applyNumberFormat="1" applyFont="1" applyFill="1" applyBorder="1" applyAlignment="1">
      <alignment horizontal="center" vertical="center"/>
    </xf>
    <xf numFmtId="49" fontId="4" fillId="5" borderId="20" xfId="0" applyNumberFormat="1" applyFont="1" applyFill="1" applyBorder="1" applyAlignment="1">
      <alignment horizontal="center" vertical="center"/>
    </xf>
    <xf numFmtId="49" fontId="4" fillId="5" borderId="17" xfId="0" applyNumberFormat="1" applyFont="1" applyFill="1" applyBorder="1" applyAlignment="1">
      <alignment horizontal="center" vertical="center"/>
    </xf>
    <xf numFmtId="49" fontId="4" fillId="5" borderId="11" xfId="0" applyNumberFormat="1" applyFont="1" applyFill="1" applyBorder="1" applyAlignment="1">
      <alignment horizontal="center" vertical="center"/>
    </xf>
    <xf numFmtId="49" fontId="4" fillId="5" borderId="23" xfId="0" applyNumberFormat="1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49" fontId="4" fillId="6" borderId="15" xfId="0" applyNumberFormat="1" applyFont="1" applyFill="1" applyBorder="1" applyAlignment="1">
      <alignment horizontal="center" vertical="center"/>
    </xf>
    <xf numFmtId="49" fontId="4" fillId="6" borderId="9" xfId="0" applyNumberFormat="1" applyFont="1" applyFill="1" applyBorder="1" applyAlignment="1">
      <alignment horizontal="center" vertical="center"/>
    </xf>
    <xf numFmtId="49" fontId="4" fillId="6" borderId="21" xfId="0" applyNumberFormat="1" applyFont="1" applyFill="1" applyBorder="1" applyAlignment="1">
      <alignment horizontal="center" vertical="center"/>
    </xf>
    <xf numFmtId="49" fontId="4" fillId="6" borderId="19" xfId="0" applyNumberFormat="1" applyFont="1" applyFill="1" applyBorder="1" applyAlignment="1">
      <alignment horizontal="center" vertical="center"/>
    </xf>
    <xf numFmtId="49" fontId="4" fillId="6" borderId="16" xfId="0" applyNumberFormat="1" applyFont="1" applyFill="1" applyBorder="1" applyAlignment="1">
      <alignment horizontal="center" vertical="center"/>
    </xf>
    <xf numFmtId="49" fontId="4" fillId="6" borderId="10" xfId="0" applyNumberFormat="1" applyFont="1" applyFill="1" applyBorder="1" applyAlignment="1">
      <alignment horizontal="center" vertical="center"/>
    </xf>
    <xf numFmtId="49" fontId="4" fillId="6" borderId="22" xfId="0" applyNumberFormat="1" applyFont="1" applyFill="1" applyBorder="1" applyAlignment="1">
      <alignment horizontal="center" vertical="center"/>
    </xf>
    <xf numFmtId="49" fontId="4" fillId="6" borderId="20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49" fontId="4" fillId="6" borderId="11" xfId="0" applyNumberFormat="1" applyFont="1" applyFill="1" applyBorder="1" applyAlignment="1">
      <alignment horizontal="center" vertical="center"/>
    </xf>
    <xf numFmtId="49" fontId="4" fillId="6" borderId="23" xfId="0" applyNumberFormat="1" applyFont="1" applyFill="1" applyBorder="1" applyAlignment="1">
      <alignment horizontal="center" vertical="center"/>
    </xf>
    <xf numFmtId="49" fontId="4" fillId="0" borderId="18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center" vertical="center"/>
    </xf>
    <xf numFmtId="49" fontId="4" fillId="0" borderId="19" xfId="0" applyNumberFormat="1" applyFont="1" applyBorder="1" applyAlignment="1">
      <alignment horizontal="center" vertical="center"/>
    </xf>
    <xf numFmtId="49" fontId="4" fillId="0" borderId="16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22" xfId="0" applyNumberFormat="1" applyFont="1" applyBorder="1" applyAlignment="1">
      <alignment horizontal="center" vertical="center"/>
    </xf>
    <xf numFmtId="49" fontId="4" fillId="0" borderId="20" xfId="0" applyNumberFormat="1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5" fillId="7" borderId="30" xfId="0" applyFont="1" applyFill="1" applyBorder="1" applyAlignment="1">
      <alignment horizontal="center" vertical="center"/>
    </xf>
    <xf numFmtId="0" fontId="5" fillId="7" borderId="3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/>
    </xf>
    <xf numFmtId="49" fontId="0" fillId="0" borderId="0" xfId="0" applyNumberFormat="1" applyFill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49" fontId="4" fillId="5" borderId="6" xfId="0" applyNumberFormat="1" applyFont="1" applyFill="1" applyBorder="1" applyAlignment="1">
      <alignment horizontal="center" vertical="center"/>
    </xf>
    <xf numFmtId="49" fontId="4" fillId="6" borderId="6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49" fontId="4" fillId="4" borderId="28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34" xfId="0" applyNumberFormat="1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49" fontId="4" fillId="6" borderId="28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4" fillId="5" borderId="5" xfId="0" applyNumberFormat="1" applyFont="1" applyFill="1" applyBorder="1" applyAlignment="1">
      <alignment horizontal="center" vertical="center"/>
    </xf>
    <xf numFmtId="49" fontId="4" fillId="5" borderId="7" xfId="0" applyNumberFormat="1" applyFont="1" applyFill="1" applyBorder="1" applyAlignment="1">
      <alignment horizontal="center" vertical="center"/>
    </xf>
    <xf numFmtId="49" fontId="4" fillId="5" borderId="8" xfId="0" applyNumberFormat="1" applyFont="1" applyFill="1" applyBorder="1" applyAlignment="1">
      <alignment horizontal="center" vertical="center"/>
    </xf>
    <xf numFmtId="49" fontId="4" fillId="6" borderId="35" xfId="0" applyNumberFormat="1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6" borderId="34" xfId="0" applyNumberFormat="1" applyFont="1" applyFill="1" applyBorder="1" applyAlignment="1">
      <alignment horizontal="center" vertical="center"/>
    </xf>
    <xf numFmtId="49" fontId="4" fillId="6" borderId="13" xfId="0" applyNumberFormat="1" applyFont="1" applyFill="1" applyBorder="1" applyAlignment="1">
      <alignment horizontal="center" vertical="center"/>
    </xf>
    <xf numFmtId="49" fontId="4" fillId="5" borderId="35" xfId="0" applyNumberFormat="1" applyFont="1" applyFill="1" applyBorder="1" applyAlignment="1">
      <alignment horizontal="center" vertical="center"/>
    </xf>
    <xf numFmtId="49" fontId="4" fillId="0" borderId="28" xfId="0" applyNumberFormat="1" applyFont="1" applyBorder="1" applyAlignment="1">
      <alignment horizontal="center" vertical="center"/>
    </xf>
    <xf numFmtId="49" fontId="4" fillId="6" borderId="3" xfId="0" applyNumberFormat="1" applyFont="1" applyFill="1" applyBorder="1" applyAlignment="1">
      <alignment horizontal="center" vertical="center"/>
    </xf>
    <xf numFmtId="49" fontId="4" fillId="6" borderId="4" xfId="0" applyNumberFormat="1" applyFont="1" applyFill="1" applyBorder="1" applyAlignment="1">
      <alignment horizontal="center" vertical="center"/>
    </xf>
    <xf numFmtId="49" fontId="4" fillId="6" borderId="5" xfId="0" applyNumberFormat="1" applyFont="1" applyFill="1" applyBorder="1" applyAlignment="1">
      <alignment horizontal="center" vertical="center"/>
    </xf>
    <xf numFmtId="49" fontId="4" fillId="6" borderId="7" xfId="0" applyNumberFormat="1" applyFont="1" applyFill="1" applyBorder="1" applyAlignment="1">
      <alignment horizontal="center" vertical="center"/>
    </xf>
    <xf numFmtId="49" fontId="4" fillId="6" borderId="8" xfId="0" applyNumberFormat="1" applyFont="1" applyFill="1" applyBorder="1" applyAlignment="1">
      <alignment horizontal="center" vertical="center"/>
    </xf>
    <xf numFmtId="49" fontId="4" fillId="5" borderId="13" xfId="0" applyNumberFormat="1" applyFont="1" applyFill="1" applyBorder="1" applyAlignment="1">
      <alignment horizontal="center" vertical="center"/>
    </xf>
    <xf numFmtId="49" fontId="4" fillId="0" borderId="34" xfId="0" applyNumberFormat="1" applyFont="1" applyBorder="1" applyAlignment="1">
      <alignment horizontal="center" vertical="center"/>
    </xf>
    <xf numFmtId="49" fontId="4" fillId="5" borderId="14" xfId="0" applyNumberFormat="1" applyFont="1" applyFill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36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L27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17" width="6" customWidth="1"/>
    <col min="18" max="18" width="2.58203125" customWidth="1"/>
    <col min="19" max="50" width="3.25" customWidth="1"/>
    <col min="51" max="51" width="2.58203125" customWidth="1"/>
    <col min="52" max="58" width="6" customWidth="1"/>
    <col min="59" max="59" width="5.58203125" customWidth="1"/>
    <col min="60" max="60" width="13.08203125" bestFit="1" customWidth="1"/>
  </cols>
  <sheetData>
    <row r="2" spans="2:64" ht="17.5" thickBot="1" x14ac:dyDescent="0.5">
      <c r="B2" s="1" t="s">
        <v>145</v>
      </c>
      <c r="S2" s="1" t="s">
        <v>46</v>
      </c>
      <c r="T2" s="3"/>
      <c r="AZ2" s="1" t="s">
        <v>146</v>
      </c>
      <c r="BG2" s="104"/>
      <c r="BH2" s="104"/>
      <c r="BI2" s="104"/>
      <c r="BJ2" s="104"/>
      <c r="BK2" s="104"/>
      <c r="BL2" s="104"/>
    </row>
    <row r="3" spans="2:64" ht="17.5" thickBot="1" x14ac:dyDescent="0.5">
      <c r="B3" s="5">
        <v>0</v>
      </c>
      <c r="C3" s="6">
        <v>1</v>
      </c>
      <c r="D3" s="5">
        <v>2</v>
      </c>
      <c r="E3" s="6">
        <v>3</v>
      </c>
      <c r="F3" s="5">
        <v>4</v>
      </c>
      <c r="G3" s="6">
        <v>5</v>
      </c>
      <c r="H3" s="5">
        <v>6</v>
      </c>
      <c r="I3" s="6">
        <v>7</v>
      </c>
      <c r="J3" s="135">
        <v>8</v>
      </c>
      <c r="K3" s="114">
        <v>9</v>
      </c>
      <c r="L3" s="53">
        <v>10</v>
      </c>
      <c r="M3" s="54">
        <v>11</v>
      </c>
      <c r="N3" s="135">
        <v>12</v>
      </c>
      <c r="O3" s="114">
        <v>13</v>
      </c>
      <c r="P3" s="53">
        <v>14</v>
      </c>
      <c r="Q3" s="114">
        <v>15</v>
      </c>
      <c r="S3" s="19" t="s">
        <v>0</v>
      </c>
      <c r="T3" s="16" t="s">
        <v>1</v>
      </c>
      <c r="U3" s="22" t="s">
        <v>2</v>
      </c>
      <c r="V3" s="25" t="s">
        <v>3</v>
      </c>
      <c r="W3" s="19" t="s">
        <v>12</v>
      </c>
      <c r="X3" s="16" t="s">
        <v>13</v>
      </c>
      <c r="Y3" s="22" t="s">
        <v>18</v>
      </c>
      <c r="Z3" s="25" t="s">
        <v>19</v>
      </c>
      <c r="AA3" s="19" t="s">
        <v>22</v>
      </c>
      <c r="AB3" s="16" t="s">
        <v>23</v>
      </c>
      <c r="AC3" s="22" t="s">
        <v>28</v>
      </c>
      <c r="AD3" s="25" t="s">
        <v>29</v>
      </c>
      <c r="AE3" s="19" t="s">
        <v>34</v>
      </c>
      <c r="AF3" s="16" t="s">
        <v>35</v>
      </c>
      <c r="AG3" s="22" t="s">
        <v>40</v>
      </c>
      <c r="AH3" s="25" t="s">
        <v>41</v>
      </c>
      <c r="AI3" s="52" t="s">
        <v>97</v>
      </c>
      <c r="AJ3" s="53" t="s">
        <v>98</v>
      </c>
      <c r="AK3" s="54" t="s">
        <v>99</v>
      </c>
      <c r="AL3" s="55" t="s">
        <v>100</v>
      </c>
      <c r="AM3" s="52" t="s">
        <v>101</v>
      </c>
      <c r="AN3" s="53" t="s">
        <v>102</v>
      </c>
      <c r="AO3" s="54" t="s">
        <v>103</v>
      </c>
      <c r="AP3" s="55" t="s">
        <v>104</v>
      </c>
      <c r="AQ3" s="52" t="s">
        <v>105</v>
      </c>
      <c r="AR3" s="53" t="s">
        <v>106</v>
      </c>
      <c r="AS3" s="54" t="s">
        <v>107</v>
      </c>
      <c r="AT3" s="55" t="s">
        <v>108</v>
      </c>
      <c r="AU3" s="52" t="s">
        <v>109</v>
      </c>
      <c r="AV3" s="53" t="s">
        <v>110</v>
      </c>
      <c r="AW3" s="54" t="s">
        <v>111</v>
      </c>
      <c r="AX3" s="55" t="s">
        <v>112</v>
      </c>
      <c r="AZ3" s="100" t="s">
        <v>167</v>
      </c>
      <c r="BA3" s="94" t="s">
        <v>168</v>
      </c>
      <c r="BB3" s="92" t="s">
        <v>169</v>
      </c>
      <c r="BC3" s="92" t="s">
        <v>170</v>
      </c>
      <c r="BD3" s="92" t="s">
        <v>171</v>
      </c>
      <c r="BE3" s="92" t="s">
        <v>172</v>
      </c>
      <c r="BF3" s="93" t="s">
        <v>173</v>
      </c>
      <c r="BG3" s="104"/>
      <c r="BH3" s="105" t="s">
        <v>167</v>
      </c>
      <c r="BI3" s="104">
        <v>24</v>
      </c>
      <c r="BJ3" s="104"/>
      <c r="BK3" s="104"/>
      <c r="BL3" s="104"/>
    </row>
    <row r="4" spans="2:64" ht="21" customHeight="1" x14ac:dyDescent="0.45">
      <c r="B4" s="7">
        <f>B3+16</f>
        <v>16</v>
      </c>
      <c r="C4" s="8">
        <f t="shared" ref="C4:Q4" si="0">C3+16</f>
        <v>17</v>
      </c>
      <c r="D4" s="7">
        <f t="shared" si="0"/>
        <v>18</v>
      </c>
      <c r="E4" s="8">
        <f t="shared" si="0"/>
        <v>19</v>
      </c>
      <c r="F4" s="7">
        <f t="shared" si="0"/>
        <v>20</v>
      </c>
      <c r="G4" s="8">
        <f t="shared" si="0"/>
        <v>21</v>
      </c>
      <c r="H4" s="7">
        <f t="shared" si="0"/>
        <v>22</v>
      </c>
      <c r="I4" s="8">
        <f t="shared" si="0"/>
        <v>23</v>
      </c>
      <c r="J4" s="136">
        <f t="shared" si="0"/>
        <v>24</v>
      </c>
      <c r="K4" s="115">
        <f t="shared" si="0"/>
        <v>25</v>
      </c>
      <c r="L4" s="57">
        <f t="shared" si="0"/>
        <v>26</v>
      </c>
      <c r="M4" s="58">
        <f t="shared" si="0"/>
        <v>27</v>
      </c>
      <c r="N4" s="136">
        <f t="shared" si="0"/>
        <v>28</v>
      </c>
      <c r="O4" s="115">
        <f t="shared" si="0"/>
        <v>29</v>
      </c>
      <c r="P4" s="57">
        <f t="shared" si="0"/>
        <v>30</v>
      </c>
      <c r="Q4" s="115">
        <f t="shared" si="0"/>
        <v>31</v>
      </c>
      <c r="S4" s="20" t="s">
        <v>4</v>
      </c>
      <c r="T4" s="17" t="s">
        <v>5</v>
      </c>
      <c r="U4" s="23" t="s">
        <v>8</v>
      </c>
      <c r="V4" s="26" t="s">
        <v>9</v>
      </c>
      <c r="W4" s="20" t="s">
        <v>47</v>
      </c>
      <c r="X4" s="17" t="s">
        <v>48</v>
      </c>
      <c r="Y4" s="23" t="s">
        <v>14</v>
      </c>
      <c r="Z4" s="26" t="s">
        <v>15</v>
      </c>
      <c r="AA4" s="20" t="s">
        <v>24</v>
      </c>
      <c r="AB4" s="17" t="s">
        <v>25</v>
      </c>
      <c r="AC4" s="23" t="s">
        <v>30</v>
      </c>
      <c r="AD4" s="26" t="s">
        <v>31</v>
      </c>
      <c r="AE4" s="20" t="s">
        <v>36</v>
      </c>
      <c r="AF4" s="17" t="s">
        <v>37</v>
      </c>
      <c r="AG4" s="23" t="s">
        <v>42</v>
      </c>
      <c r="AH4" s="26" t="s">
        <v>43</v>
      </c>
      <c r="AI4" s="56" t="s">
        <v>113</v>
      </c>
      <c r="AJ4" s="57" t="s">
        <v>114</v>
      </c>
      <c r="AK4" s="58" t="s">
        <v>115</v>
      </c>
      <c r="AL4" s="59" t="s">
        <v>116</v>
      </c>
      <c r="AM4" s="56" t="s">
        <v>117</v>
      </c>
      <c r="AN4" s="57" t="s">
        <v>118</v>
      </c>
      <c r="AO4" s="58" t="s">
        <v>119</v>
      </c>
      <c r="AP4" s="59" t="s">
        <v>120</v>
      </c>
      <c r="AQ4" s="56" t="s">
        <v>121</v>
      </c>
      <c r="AR4" s="57" t="s">
        <v>122</v>
      </c>
      <c r="AS4" s="58" t="s">
        <v>123</v>
      </c>
      <c r="AT4" s="59" t="s">
        <v>124</v>
      </c>
      <c r="AU4" s="56" t="s">
        <v>125</v>
      </c>
      <c r="AV4" s="57" t="s">
        <v>126</v>
      </c>
      <c r="AW4" s="58" t="s">
        <v>127</v>
      </c>
      <c r="AX4" s="59" t="s">
        <v>128</v>
      </c>
      <c r="AZ4" s="101" t="s">
        <v>147</v>
      </c>
      <c r="BA4" s="157">
        <v>1</v>
      </c>
      <c r="BB4" s="158">
        <v>0</v>
      </c>
      <c r="BC4" s="158">
        <v>17</v>
      </c>
      <c r="BD4" s="158">
        <v>16</v>
      </c>
      <c r="BE4" s="158">
        <v>33</v>
      </c>
      <c r="BF4" s="159">
        <v>32</v>
      </c>
      <c r="BG4" s="104"/>
      <c r="BH4" s="105" t="s">
        <v>178</v>
      </c>
      <c r="BI4" s="104">
        <v>4</v>
      </c>
      <c r="BJ4" s="104"/>
      <c r="BK4" s="104"/>
      <c r="BL4" s="104"/>
    </row>
    <row r="5" spans="2:64" ht="21" customHeight="1" thickBot="1" x14ac:dyDescent="0.5">
      <c r="B5" s="112">
        <f t="shared" ref="B5:B11" si="1">B4+16</f>
        <v>32</v>
      </c>
      <c r="C5" s="113">
        <f t="shared" ref="C5:C11" si="2">C4+16</f>
        <v>33</v>
      </c>
      <c r="D5" s="112">
        <f t="shared" ref="D5:D11" si="3">D4+16</f>
        <v>34</v>
      </c>
      <c r="E5" s="113">
        <f t="shared" ref="E5:E11" si="4">E4+16</f>
        <v>35</v>
      </c>
      <c r="F5" s="112">
        <f t="shared" ref="F5:F11" si="5">F4+16</f>
        <v>36</v>
      </c>
      <c r="G5" s="113">
        <f t="shared" ref="G5:G11" si="6">G4+16</f>
        <v>37</v>
      </c>
      <c r="H5" s="112">
        <f t="shared" ref="H5:H11" si="7">H4+16</f>
        <v>38</v>
      </c>
      <c r="I5" s="113">
        <f t="shared" ref="I5:I11" si="8">I4+16</f>
        <v>39</v>
      </c>
      <c r="J5" s="137">
        <f t="shared" ref="J5:J11" si="9">J4+16</f>
        <v>40</v>
      </c>
      <c r="K5" s="138">
        <f t="shared" ref="K5:K11" si="10">K4+16</f>
        <v>41</v>
      </c>
      <c r="L5" s="146">
        <f t="shared" ref="L5:L11" si="11">L4+16</f>
        <v>42</v>
      </c>
      <c r="M5" s="153">
        <f t="shared" ref="M5:M11" si="12">M4+16</f>
        <v>43</v>
      </c>
      <c r="N5" s="137">
        <f t="shared" ref="N5:N11" si="13">N4+16</f>
        <v>44</v>
      </c>
      <c r="O5" s="138">
        <f t="shared" ref="O5:O11" si="14">O4+16</f>
        <v>45</v>
      </c>
      <c r="P5" s="146">
        <f t="shared" ref="P5:P11" si="15">P4+16</f>
        <v>46</v>
      </c>
      <c r="Q5" s="155">
        <f t="shared" ref="Q5:Q11" si="16">Q4+16</f>
        <v>47</v>
      </c>
      <c r="S5" s="21" t="s">
        <v>6</v>
      </c>
      <c r="T5" s="18" t="s">
        <v>7</v>
      </c>
      <c r="U5" s="24" t="s">
        <v>10</v>
      </c>
      <c r="V5" s="27" t="s">
        <v>11</v>
      </c>
      <c r="W5" s="21" t="s">
        <v>16</v>
      </c>
      <c r="X5" s="18" t="s">
        <v>17</v>
      </c>
      <c r="Y5" s="24" t="s">
        <v>20</v>
      </c>
      <c r="Z5" s="27" t="s">
        <v>21</v>
      </c>
      <c r="AA5" s="21" t="s">
        <v>26</v>
      </c>
      <c r="AB5" s="18" t="s">
        <v>27</v>
      </c>
      <c r="AC5" s="24" t="s">
        <v>32</v>
      </c>
      <c r="AD5" s="27" t="s">
        <v>33</v>
      </c>
      <c r="AE5" s="21" t="s">
        <v>38</v>
      </c>
      <c r="AF5" s="18" t="s">
        <v>39</v>
      </c>
      <c r="AG5" s="24" t="s">
        <v>44</v>
      </c>
      <c r="AH5" s="27" t="s">
        <v>45</v>
      </c>
      <c r="AI5" s="60" t="s">
        <v>129</v>
      </c>
      <c r="AJ5" s="61" t="s">
        <v>130</v>
      </c>
      <c r="AK5" s="62" t="s">
        <v>131</v>
      </c>
      <c r="AL5" s="63" t="s">
        <v>132</v>
      </c>
      <c r="AM5" s="60" t="s">
        <v>133</v>
      </c>
      <c r="AN5" s="61" t="s">
        <v>134</v>
      </c>
      <c r="AO5" s="62" t="s">
        <v>135</v>
      </c>
      <c r="AP5" s="63" t="s">
        <v>136</v>
      </c>
      <c r="AQ5" s="60" t="s">
        <v>137</v>
      </c>
      <c r="AR5" s="61" t="s">
        <v>138</v>
      </c>
      <c r="AS5" s="62" t="s">
        <v>139</v>
      </c>
      <c r="AT5" s="63" t="s">
        <v>140</v>
      </c>
      <c r="AU5" s="60" t="s">
        <v>141</v>
      </c>
      <c r="AV5" s="61" t="s">
        <v>142</v>
      </c>
      <c r="AW5" s="62" t="s">
        <v>143</v>
      </c>
      <c r="AX5" s="63" t="s">
        <v>144</v>
      </c>
      <c r="AZ5" s="102" t="s">
        <v>148</v>
      </c>
      <c r="BA5" s="160">
        <f>BA4+48</f>
        <v>49</v>
      </c>
      <c r="BB5" s="95">
        <f t="shared" ref="BB5:BF6" si="17">BB4+48</f>
        <v>48</v>
      </c>
      <c r="BC5" s="95">
        <f t="shared" si="17"/>
        <v>65</v>
      </c>
      <c r="BD5" s="95">
        <f t="shared" si="17"/>
        <v>64</v>
      </c>
      <c r="BE5" s="95">
        <f t="shared" si="17"/>
        <v>81</v>
      </c>
      <c r="BF5" s="161">
        <f t="shared" si="17"/>
        <v>80</v>
      </c>
      <c r="BG5" s="104"/>
      <c r="BH5" s="105" t="s">
        <v>179</v>
      </c>
      <c r="BI5" s="104">
        <f>14+28</f>
        <v>42</v>
      </c>
      <c r="BJ5" s="104"/>
      <c r="BK5" s="104"/>
      <c r="BL5" s="104"/>
    </row>
    <row r="6" spans="2:64" ht="21" customHeight="1" x14ac:dyDescent="0.45">
      <c r="B6" s="121">
        <f t="shared" si="1"/>
        <v>48</v>
      </c>
      <c r="C6" s="122">
        <f t="shared" si="2"/>
        <v>49</v>
      </c>
      <c r="D6" s="9">
        <f t="shared" si="3"/>
        <v>50</v>
      </c>
      <c r="E6" s="10">
        <f t="shared" si="4"/>
        <v>51</v>
      </c>
      <c r="F6" s="123">
        <f t="shared" si="5"/>
        <v>52</v>
      </c>
      <c r="G6" s="122">
        <f t="shared" si="6"/>
        <v>53</v>
      </c>
      <c r="H6" s="9">
        <f t="shared" si="7"/>
        <v>54</v>
      </c>
      <c r="I6" s="10">
        <f t="shared" si="8"/>
        <v>55</v>
      </c>
      <c r="J6" s="134">
        <f t="shared" si="9"/>
        <v>56</v>
      </c>
      <c r="K6" s="144">
        <f t="shared" si="10"/>
        <v>57</v>
      </c>
      <c r="L6" s="148">
        <f t="shared" si="11"/>
        <v>58</v>
      </c>
      <c r="M6" s="149">
        <f t="shared" si="12"/>
        <v>59</v>
      </c>
      <c r="N6" s="134">
        <f t="shared" si="13"/>
        <v>60</v>
      </c>
      <c r="O6" s="144">
        <f t="shared" si="14"/>
        <v>61</v>
      </c>
      <c r="P6" s="148">
        <f t="shared" si="15"/>
        <v>62</v>
      </c>
      <c r="Q6" s="149">
        <f t="shared" si="16"/>
        <v>63</v>
      </c>
      <c r="S6" s="28" t="s">
        <v>49</v>
      </c>
      <c r="T6" s="29" t="s">
        <v>50</v>
      </c>
      <c r="U6" s="30" t="s">
        <v>55</v>
      </c>
      <c r="V6" s="31" t="s">
        <v>56</v>
      </c>
      <c r="W6" s="28" t="s">
        <v>61</v>
      </c>
      <c r="X6" s="29" t="s">
        <v>62</v>
      </c>
      <c r="Y6" s="30" t="s">
        <v>67</v>
      </c>
      <c r="Z6" s="31" t="s">
        <v>68</v>
      </c>
      <c r="AA6" s="28" t="s">
        <v>73</v>
      </c>
      <c r="AB6" s="29" t="s">
        <v>76</v>
      </c>
      <c r="AC6" s="30" t="s">
        <v>79</v>
      </c>
      <c r="AD6" s="31" t="s">
        <v>84</v>
      </c>
      <c r="AE6" s="28" t="s">
        <v>85</v>
      </c>
      <c r="AF6" s="29" t="s">
        <v>88</v>
      </c>
      <c r="AG6" s="30" t="s">
        <v>91</v>
      </c>
      <c r="AH6" s="31" t="s">
        <v>94</v>
      </c>
      <c r="AI6" s="64" t="str">
        <f t="shared" ref="AI6:AX6" si="18">TEXT(LEFT(AI3,FIND("-",AI3)-1)+1,"0")&amp;"-"&amp;MID(AI3,FIND("-",AI3)+1,99)</f>
        <v>14-3</v>
      </c>
      <c r="AJ6" s="65" t="str">
        <f t="shared" si="18"/>
        <v>14-4</v>
      </c>
      <c r="AK6" s="66" t="str">
        <f t="shared" si="18"/>
        <v>14-1</v>
      </c>
      <c r="AL6" s="67" t="str">
        <f t="shared" si="18"/>
        <v>14-2</v>
      </c>
      <c r="AM6" s="64" t="str">
        <f t="shared" si="18"/>
        <v>17-3</v>
      </c>
      <c r="AN6" s="65" t="str">
        <f t="shared" si="18"/>
        <v>17-4</v>
      </c>
      <c r="AO6" s="66" t="str">
        <f t="shared" si="18"/>
        <v>17-1</v>
      </c>
      <c r="AP6" s="67" t="str">
        <f t="shared" si="18"/>
        <v>17-2</v>
      </c>
      <c r="AQ6" s="64" t="str">
        <f t="shared" si="18"/>
        <v>20-3</v>
      </c>
      <c r="AR6" s="65" t="str">
        <f t="shared" si="18"/>
        <v>20-4</v>
      </c>
      <c r="AS6" s="66" t="str">
        <f t="shared" si="18"/>
        <v>20-1</v>
      </c>
      <c r="AT6" s="67" t="str">
        <f t="shared" si="18"/>
        <v>20-2</v>
      </c>
      <c r="AU6" s="64" t="str">
        <f t="shared" si="18"/>
        <v>23-3</v>
      </c>
      <c r="AV6" s="65" t="str">
        <f t="shared" si="18"/>
        <v>23-4</v>
      </c>
      <c r="AW6" s="66" t="str">
        <f t="shared" si="18"/>
        <v>23-1</v>
      </c>
      <c r="AX6" s="67" t="str">
        <f t="shared" si="18"/>
        <v>23-2</v>
      </c>
      <c r="AZ6" s="102" t="s">
        <v>149</v>
      </c>
      <c r="BA6" s="162">
        <f>BA5+48</f>
        <v>97</v>
      </c>
      <c r="BB6" s="96">
        <f t="shared" si="17"/>
        <v>96</v>
      </c>
      <c r="BC6" s="96">
        <f t="shared" si="17"/>
        <v>113</v>
      </c>
      <c r="BD6" s="96">
        <f t="shared" si="17"/>
        <v>112</v>
      </c>
      <c r="BE6" s="96">
        <f t="shared" si="17"/>
        <v>129</v>
      </c>
      <c r="BF6" s="163">
        <f t="shared" si="17"/>
        <v>128</v>
      </c>
      <c r="BG6" s="104"/>
      <c r="BH6" s="105" t="s">
        <v>180</v>
      </c>
      <c r="BI6" s="104">
        <f>6*BI5</f>
        <v>252</v>
      </c>
      <c r="BJ6" s="104"/>
      <c r="BK6" s="104"/>
      <c r="BL6" s="104"/>
    </row>
    <row r="7" spans="2:64" ht="21" customHeight="1" x14ac:dyDescent="0.45">
      <c r="B7" s="11">
        <f t="shared" si="1"/>
        <v>64</v>
      </c>
      <c r="C7" s="13">
        <f t="shared" si="2"/>
        <v>65</v>
      </c>
      <c r="D7" s="11">
        <f t="shared" si="3"/>
        <v>66</v>
      </c>
      <c r="E7" s="12">
        <f t="shared" si="4"/>
        <v>67</v>
      </c>
      <c r="F7" s="124">
        <f t="shared" si="5"/>
        <v>68</v>
      </c>
      <c r="G7" s="13">
        <f t="shared" si="6"/>
        <v>69</v>
      </c>
      <c r="H7" s="11">
        <f t="shared" si="7"/>
        <v>70</v>
      </c>
      <c r="I7" s="12">
        <f t="shared" si="8"/>
        <v>71</v>
      </c>
      <c r="J7" s="69">
        <f t="shared" si="9"/>
        <v>72</v>
      </c>
      <c r="K7" s="70">
        <f t="shared" si="10"/>
        <v>73</v>
      </c>
      <c r="L7" s="150">
        <f t="shared" si="11"/>
        <v>74</v>
      </c>
      <c r="M7" s="116">
        <f t="shared" si="12"/>
        <v>75</v>
      </c>
      <c r="N7" s="69">
        <f t="shared" si="13"/>
        <v>76</v>
      </c>
      <c r="O7" s="70">
        <f t="shared" si="14"/>
        <v>77</v>
      </c>
      <c r="P7" s="150">
        <f t="shared" si="15"/>
        <v>78</v>
      </c>
      <c r="Q7" s="116">
        <f t="shared" si="16"/>
        <v>79</v>
      </c>
      <c r="S7" s="32" t="s">
        <v>51</v>
      </c>
      <c r="T7" s="33" t="s">
        <v>52</v>
      </c>
      <c r="U7" s="34" t="s">
        <v>57</v>
      </c>
      <c r="V7" s="35" t="s">
        <v>58</v>
      </c>
      <c r="W7" s="32" t="s">
        <v>63</v>
      </c>
      <c r="X7" s="33" t="s">
        <v>65</v>
      </c>
      <c r="Y7" s="34" t="s">
        <v>69</v>
      </c>
      <c r="Z7" s="35" t="s">
        <v>70</v>
      </c>
      <c r="AA7" s="32" t="s">
        <v>74</v>
      </c>
      <c r="AB7" s="33" t="s">
        <v>77</v>
      </c>
      <c r="AC7" s="34" t="s">
        <v>80</v>
      </c>
      <c r="AD7" s="35" t="s">
        <v>83</v>
      </c>
      <c r="AE7" s="32" t="s">
        <v>86</v>
      </c>
      <c r="AF7" s="33" t="s">
        <v>89</v>
      </c>
      <c r="AG7" s="34" t="s">
        <v>92</v>
      </c>
      <c r="AH7" s="35" t="s">
        <v>95</v>
      </c>
      <c r="AI7" s="68" t="str">
        <f t="shared" ref="AI7:AX7" si="19">TEXT(LEFT(AI4,FIND("-",AI4)-1)+1,"0")&amp;"-"&amp;MID(AI4,FIND("-",AI4)+1,99)</f>
        <v>14-7</v>
      </c>
      <c r="AJ7" s="69" t="str">
        <f t="shared" si="19"/>
        <v>14-8</v>
      </c>
      <c r="AK7" s="70" t="str">
        <f t="shared" si="19"/>
        <v>14-5</v>
      </c>
      <c r="AL7" s="71" t="str">
        <f t="shared" si="19"/>
        <v>14-6</v>
      </c>
      <c r="AM7" s="68" t="str">
        <f t="shared" si="19"/>
        <v>17-7</v>
      </c>
      <c r="AN7" s="69" t="str">
        <f t="shared" si="19"/>
        <v>17-8</v>
      </c>
      <c r="AO7" s="70" t="str">
        <f t="shared" si="19"/>
        <v>17-5</v>
      </c>
      <c r="AP7" s="71" t="str">
        <f t="shared" si="19"/>
        <v>17-6</v>
      </c>
      <c r="AQ7" s="68" t="str">
        <f t="shared" si="19"/>
        <v>20-7</v>
      </c>
      <c r="AR7" s="69" t="str">
        <f t="shared" si="19"/>
        <v>20-8</v>
      </c>
      <c r="AS7" s="70" t="str">
        <f t="shared" si="19"/>
        <v>20-5</v>
      </c>
      <c r="AT7" s="71" t="str">
        <f t="shared" si="19"/>
        <v>20-6</v>
      </c>
      <c r="AU7" s="68" t="str">
        <f t="shared" si="19"/>
        <v>23-7</v>
      </c>
      <c r="AV7" s="69" t="str">
        <f t="shared" si="19"/>
        <v>23-8</v>
      </c>
      <c r="AW7" s="70" t="str">
        <f t="shared" si="19"/>
        <v>23-5</v>
      </c>
      <c r="AX7" s="71" t="str">
        <f t="shared" si="19"/>
        <v>23-6</v>
      </c>
      <c r="AY7" s="2"/>
      <c r="AZ7" s="102" t="s">
        <v>150</v>
      </c>
      <c r="BA7" s="164">
        <v>3</v>
      </c>
      <c r="BB7" s="88">
        <v>2</v>
      </c>
      <c r="BC7" s="88">
        <v>19</v>
      </c>
      <c r="BD7" s="88">
        <v>18</v>
      </c>
      <c r="BE7" s="88">
        <v>35</v>
      </c>
      <c r="BF7" s="90">
        <v>34</v>
      </c>
      <c r="BG7" s="104"/>
      <c r="BH7" s="105" t="s">
        <v>181</v>
      </c>
      <c r="BI7" s="104">
        <f>BI4+BI6</f>
        <v>256</v>
      </c>
      <c r="BJ7" s="104"/>
      <c r="BK7" s="104"/>
      <c r="BL7" s="104"/>
    </row>
    <row r="8" spans="2:64" ht="21" customHeight="1" thickBot="1" x14ac:dyDescent="0.5">
      <c r="B8" s="14">
        <f t="shared" si="1"/>
        <v>80</v>
      </c>
      <c r="C8" s="15">
        <f t="shared" si="2"/>
        <v>81</v>
      </c>
      <c r="D8" s="125">
        <f t="shared" si="3"/>
        <v>82</v>
      </c>
      <c r="E8" s="126">
        <f t="shared" si="4"/>
        <v>83</v>
      </c>
      <c r="F8" s="133">
        <f t="shared" si="5"/>
        <v>84</v>
      </c>
      <c r="G8" s="15">
        <f t="shared" si="6"/>
        <v>85</v>
      </c>
      <c r="H8" s="125">
        <f t="shared" si="7"/>
        <v>86</v>
      </c>
      <c r="I8" s="126">
        <f t="shared" si="8"/>
        <v>87</v>
      </c>
      <c r="J8" s="139">
        <f t="shared" si="9"/>
        <v>88</v>
      </c>
      <c r="K8" s="145">
        <f t="shared" si="10"/>
        <v>89</v>
      </c>
      <c r="L8" s="151">
        <f t="shared" si="11"/>
        <v>90</v>
      </c>
      <c r="M8" s="152">
        <f t="shared" si="12"/>
        <v>91</v>
      </c>
      <c r="N8" s="139">
        <f t="shared" si="13"/>
        <v>92</v>
      </c>
      <c r="O8" s="145">
        <f t="shared" si="14"/>
        <v>93</v>
      </c>
      <c r="P8" s="151">
        <f t="shared" si="15"/>
        <v>94</v>
      </c>
      <c r="Q8" s="152">
        <f t="shared" si="16"/>
        <v>95</v>
      </c>
      <c r="S8" s="36" t="s">
        <v>53</v>
      </c>
      <c r="T8" s="37" t="s">
        <v>54</v>
      </c>
      <c r="U8" s="38" t="s">
        <v>59</v>
      </c>
      <c r="V8" s="39" t="s">
        <v>60</v>
      </c>
      <c r="W8" s="36" t="s">
        <v>64</v>
      </c>
      <c r="X8" s="37" t="s">
        <v>66</v>
      </c>
      <c r="Y8" s="38" t="s">
        <v>71</v>
      </c>
      <c r="Z8" s="39" t="s">
        <v>72</v>
      </c>
      <c r="AA8" s="36" t="s">
        <v>75</v>
      </c>
      <c r="AB8" s="37" t="s">
        <v>78</v>
      </c>
      <c r="AC8" s="38" t="s">
        <v>81</v>
      </c>
      <c r="AD8" s="39" t="s">
        <v>82</v>
      </c>
      <c r="AE8" s="36" t="s">
        <v>87</v>
      </c>
      <c r="AF8" s="37" t="s">
        <v>90</v>
      </c>
      <c r="AG8" s="38" t="s">
        <v>93</v>
      </c>
      <c r="AH8" s="39" t="s">
        <v>96</v>
      </c>
      <c r="AI8" s="72" t="str">
        <f t="shared" ref="AI8:AX8" si="20">TEXT(LEFT(AI5,FIND("-",AI5)-1)+1,"0")&amp;"-"&amp;MID(AI5,FIND("-",AI5)+1,99)</f>
        <v>14-11</v>
      </c>
      <c r="AJ8" s="73" t="str">
        <f t="shared" si="20"/>
        <v>14-12</v>
      </c>
      <c r="AK8" s="74" t="str">
        <f t="shared" si="20"/>
        <v>14-9</v>
      </c>
      <c r="AL8" s="75" t="str">
        <f t="shared" si="20"/>
        <v>14-10</v>
      </c>
      <c r="AM8" s="72" t="str">
        <f t="shared" si="20"/>
        <v>17-11</v>
      </c>
      <c r="AN8" s="73" t="str">
        <f t="shared" si="20"/>
        <v>17-12</v>
      </c>
      <c r="AO8" s="74" t="str">
        <f t="shared" si="20"/>
        <v>17-9</v>
      </c>
      <c r="AP8" s="75" t="str">
        <f t="shared" si="20"/>
        <v>17-10</v>
      </c>
      <c r="AQ8" s="72" t="str">
        <f t="shared" si="20"/>
        <v>20-11</v>
      </c>
      <c r="AR8" s="73" t="str">
        <f t="shared" si="20"/>
        <v>20-12</v>
      </c>
      <c r="AS8" s="74" t="str">
        <f t="shared" si="20"/>
        <v>20-9</v>
      </c>
      <c r="AT8" s="75" t="str">
        <f t="shared" si="20"/>
        <v>20-10</v>
      </c>
      <c r="AU8" s="72" t="str">
        <f t="shared" si="20"/>
        <v>23-11</v>
      </c>
      <c r="AV8" s="73" t="str">
        <f t="shared" si="20"/>
        <v>23-12</v>
      </c>
      <c r="AW8" s="74" t="str">
        <f t="shared" si="20"/>
        <v>23-9</v>
      </c>
      <c r="AX8" s="75" t="str">
        <f t="shared" si="20"/>
        <v>23-10</v>
      </c>
      <c r="AY8" s="2"/>
      <c r="AZ8" s="102" t="s">
        <v>151</v>
      </c>
      <c r="BA8" s="160">
        <f t="shared" ref="BA8:BF9" si="21">BA7+48</f>
        <v>51</v>
      </c>
      <c r="BB8" s="95">
        <f t="shared" si="21"/>
        <v>50</v>
      </c>
      <c r="BC8" s="95">
        <f t="shared" si="21"/>
        <v>67</v>
      </c>
      <c r="BD8" s="95">
        <f t="shared" si="21"/>
        <v>66</v>
      </c>
      <c r="BE8" s="95">
        <f t="shared" si="21"/>
        <v>83</v>
      </c>
      <c r="BF8" s="161">
        <f t="shared" si="21"/>
        <v>82</v>
      </c>
      <c r="BG8" s="104"/>
      <c r="BH8" s="105" t="s">
        <v>182</v>
      </c>
      <c r="BI8" s="106">
        <f>BI7*BI3</f>
        <v>6144</v>
      </c>
      <c r="BJ8" s="104"/>
      <c r="BK8" s="104"/>
      <c r="BL8" s="104"/>
    </row>
    <row r="9" spans="2:64" ht="21" customHeight="1" x14ac:dyDescent="0.45">
      <c r="B9" s="128">
        <f t="shared" si="1"/>
        <v>96</v>
      </c>
      <c r="C9" s="129">
        <f t="shared" si="2"/>
        <v>97</v>
      </c>
      <c r="D9" s="127">
        <f t="shared" si="3"/>
        <v>98</v>
      </c>
      <c r="E9" s="132">
        <f t="shared" si="4"/>
        <v>99</v>
      </c>
      <c r="F9" s="128">
        <f t="shared" si="5"/>
        <v>100</v>
      </c>
      <c r="G9" s="129">
        <f t="shared" si="6"/>
        <v>101</v>
      </c>
      <c r="H9" s="127">
        <f t="shared" si="7"/>
        <v>102</v>
      </c>
      <c r="I9" s="132">
        <f t="shared" si="8"/>
        <v>103</v>
      </c>
      <c r="J9" s="140">
        <f t="shared" si="9"/>
        <v>104</v>
      </c>
      <c r="K9" s="141">
        <f t="shared" si="10"/>
        <v>105</v>
      </c>
      <c r="L9" s="147">
        <f t="shared" si="11"/>
        <v>106</v>
      </c>
      <c r="M9" s="154">
        <f t="shared" si="12"/>
        <v>107</v>
      </c>
      <c r="N9" s="140">
        <f t="shared" si="13"/>
        <v>108</v>
      </c>
      <c r="O9" s="141">
        <f t="shared" si="14"/>
        <v>109</v>
      </c>
      <c r="P9" s="147">
        <f t="shared" si="15"/>
        <v>110</v>
      </c>
      <c r="Q9" s="156">
        <f t="shared" si="16"/>
        <v>111</v>
      </c>
      <c r="S9" s="40" t="str">
        <f>TEXT(LEFT(S6,FIND("-",S6)-1)+1,"0")&amp;"-"&amp;MID(S6,FIND("-",S6)+1,99)</f>
        <v>3-3</v>
      </c>
      <c r="T9" s="41" t="str">
        <f t="shared" ref="T9:AH9" si="22">TEXT(LEFT(T6,FIND("-",T6)-1)+1,"0")&amp;"-"&amp;MID(T6,FIND("-",T6)+1,99)</f>
        <v>3-4</v>
      </c>
      <c r="U9" s="42" t="str">
        <f t="shared" si="22"/>
        <v>3-1</v>
      </c>
      <c r="V9" s="43" t="str">
        <f t="shared" si="22"/>
        <v>3-2</v>
      </c>
      <c r="W9" s="40" t="str">
        <f t="shared" si="22"/>
        <v>6-3</v>
      </c>
      <c r="X9" s="41" t="str">
        <f t="shared" si="22"/>
        <v>6-4</v>
      </c>
      <c r="Y9" s="42" t="str">
        <f t="shared" si="22"/>
        <v>6-1</v>
      </c>
      <c r="Z9" s="43" t="str">
        <f t="shared" si="22"/>
        <v>6-2</v>
      </c>
      <c r="AA9" s="40" t="str">
        <f t="shared" si="22"/>
        <v>9-3</v>
      </c>
      <c r="AB9" s="41" t="str">
        <f t="shared" si="22"/>
        <v>9-4</v>
      </c>
      <c r="AC9" s="42" t="str">
        <f t="shared" si="22"/>
        <v>9-1</v>
      </c>
      <c r="AD9" s="43" t="str">
        <f t="shared" si="22"/>
        <v>9-2</v>
      </c>
      <c r="AE9" s="40" t="str">
        <f t="shared" si="22"/>
        <v>12-3</v>
      </c>
      <c r="AF9" s="41" t="str">
        <f t="shared" si="22"/>
        <v>12-4</v>
      </c>
      <c r="AG9" s="42" t="str">
        <f t="shared" si="22"/>
        <v>12-1</v>
      </c>
      <c r="AH9" s="43" t="str">
        <f t="shared" si="22"/>
        <v>12-2</v>
      </c>
      <c r="AI9" s="76" t="str">
        <f t="shared" ref="AI9:AX9" si="23">TEXT(LEFT(AI6,FIND("-",AI6)-1)+1,"0")&amp;"-"&amp;MID(AI6,FIND("-",AI6)+1,99)</f>
        <v>15-3</v>
      </c>
      <c r="AJ9" s="77" t="str">
        <f t="shared" si="23"/>
        <v>15-4</v>
      </c>
      <c r="AK9" s="78" t="str">
        <f t="shared" si="23"/>
        <v>15-1</v>
      </c>
      <c r="AL9" s="79" t="str">
        <f t="shared" si="23"/>
        <v>15-2</v>
      </c>
      <c r="AM9" s="76" t="str">
        <f t="shared" si="23"/>
        <v>18-3</v>
      </c>
      <c r="AN9" s="77" t="str">
        <f t="shared" si="23"/>
        <v>18-4</v>
      </c>
      <c r="AO9" s="78" t="str">
        <f t="shared" si="23"/>
        <v>18-1</v>
      </c>
      <c r="AP9" s="79" t="str">
        <f t="shared" si="23"/>
        <v>18-2</v>
      </c>
      <c r="AQ9" s="76" t="str">
        <f t="shared" si="23"/>
        <v>21-3</v>
      </c>
      <c r="AR9" s="77" t="str">
        <f t="shared" si="23"/>
        <v>21-4</v>
      </c>
      <c r="AS9" s="78" t="str">
        <f t="shared" si="23"/>
        <v>21-1</v>
      </c>
      <c r="AT9" s="79" t="str">
        <f t="shared" si="23"/>
        <v>21-2</v>
      </c>
      <c r="AU9" s="76" t="str">
        <f t="shared" si="23"/>
        <v>24-3</v>
      </c>
      <c r="AV9" s="77" t="str">
        <f t="shared" si="23"/>
        <v>24-4</v>
      </c>
      <c r="AW9" s="78" t="str">
        <f t="shared" si="23"/>
        <v>24-1</v>
      </c>
      <c r="AX9" s="79" t="str">
        <f t="shared" si="23"/>
        <v>24-2</v>
      </c>
      <c r="AY9" s="2"/>
      <c r="AZ9" s="102" t="s">
        <v>152</v>
      </c>
      <c r="BA9" s="162">
        <f t="shared" si="21"/>
        <v>99</v>
      </c>
      <c r="BB9" s="96">
        <f t="shared" si="21"/>
        <v>98</v>
      </c>
      <c r="BC9" s="96">
        <f t="shared" si="21"/>
        <v>115</v>
      </c>
      <c r="BD9" s="96">
        <f t="shared" si="21"/>
        <v>114</v>
      </c>
      <c r="BE9" s="96">
        <f t="shared" si="21"/>
        <v>131</v>
      </c>
      <c r="BF9" s="163">
        <f t="shared" si="21"/>
        <v>130</v>
      </c>
      <c r="BG9" s="104"/>
      <c r="BH9" s="104"/>
      <c r="BI9" s="104"/>
      <c r="BJ9" s="104"/>
      <c r="BK9" s="104"/>
      <c r="BL9" s="104"/>
    </row>
    <row r="10" spans="2:64" ht="21" customHeight="1" x14ac:dyDescent="0.45">
      <c r="B10" s="117">
        <f t="shared" si="1"/>
        <v>112</v>
      </c>
      <c r="C10" s="130">
        <f t="shared" si="2"/>
        <v>113</v>
      </c>
      <c r="D10" s="45">
        <f t="shared" si="3"/>
        <v>114</v>
      </c>
      <c r="E10" s="46">
        <f t="shared" si="4"/>
        <v>115</v>
      </c>
      <c r="F10" s="117">
        <f t="shared" si="5"/>
        <v>116</v>
      </c>
      <c r="G10" s="130">
        <f t="shared" si="6"/>
        <v>117</v>
      </c>
      <c r="H10" s="45">
        <f t="shared" si="7"/>
        <v>118</v>
      </c>
      <c r="I10" s="46">
        <f t="shared" si="8"/>
        <v>119</v>
      </c>
      <c r="J10" s="142">
        <f t="shared" si="9"/>
        <v>120</v>
      </c>
      <c r="K10" s="118">
        <f t="shared" si="10"/>
        <v>121</v>
      </c>
      <c r="L10" s="81">
        <f t="shared" si="11"/>
        <v>122</v>
      </c>
      <c r="M10" s="82">
        <f t="shared" si="12"/>
        <v>123</v>
      </c>
      <c r="N10" s="142">
        <f t="shared" si="13"/>
        <v>124</v>
      </c>
      <c r="O10" s="118">
        <f t="shared" si="14"/>
        <v>125</v>
      </c>
      <c r="P10" s="81">
        <f t="shared" si="15"/>
        <v>126</v>
      </c>
      <c r="Q10" s="118">
        <f t="shared" si="16"/>
        <v>127</v>
      </c>
      <c r="S10" s="44" t="str">
        <f t="shared" ref="S10:AH10" si="24">TEXT(LEFT(S7,FIND("-",S7)-1)+1,"0")&amp;"-"&amp;MID(S7,FIND("-",S7)+1,99)</f>
        <v>3-7</v>
      </c>
      <c r="T10" s="45" t="str">
        <f t="shared" si="24"/>
        <v>3-8</v>
      </c>
      <c r="U10" s="46" t="str">
        <f t="shared" si="24"/>
        <v>3-5</v>
      </c>
      <c r="V10" s="47" t="str">
        <f t="shared" si="24"/>
        <v>3-6</v>
      </c>
      <c r="W10" s="44" t="str">
        <f t="shared" si="24"/>
        <v>6-7</v>
      </c>
      <c r="X10" s="45" t="str">
        <f t="shared" si="24"/>
        <v>6-8</v>
      </c>
      <c r="Y10" s="46" t="str">
        <f t="shared" si="24"/>
        <v>6-5</v>
      </c>
      <c r="Z10" s="47" t="str">
        <f t="shared" si="24"/>
        <v>6-6</v>
      </c>
      <c r="AA10" s="44" t="str">
        <f t="shared" si="24"/>
        <v>9-7</v>
      </c>
      <c r="AB10" s="45" t="str">
        <f t="shared" si="24"/>
        <v>9-8</v>
      </c>
      <c r="AC10" s="46" t="str">
        <f t="shared" si="24"/>
        <v>9-5</v>
      </c>
      <c r="AD10" s="47" t="str">
        <f t="shared" si="24"/>
        <v>9-6</v>
      </c>
      <c r="AE10" s="44" t="str">
        <f t="shared" si="24"/>
        <v>12-7</v>
      </c>
      <c r="AF10" s="45" t="str">
        <f t="shared" si="24"/>
        <v>12-8</v>
      </c>
      <c r="AG10" s="46" t="str">
        <f t="shared" si="24"/>
        <v>12-5</v>
      </c>
      <c r="AH10" s="47" t="str">
        <f t="shared" si="24"/>
        <v>12-6</v>
      </c>
      <c r="AI10" s="80" t="str">
        <f t="shared" ref="AI10:AX10" si="25">TEXT(LEFT(AI7,FIND("-",AI7)-1)+1,"0")&amp;"-"&amp;MID(AI7,FIND("-",AI7)+1,99)</f>
        <v>15-7</v>
      </c>
      <c r="AJ10" s="81" t="str">
        <f t="shared" si="25"/>
        <v>15-8</v>
      </c>
      <c r="AK10" s="82" t="str">
        <f t="shared" si="25"/>
        <v>15-5</v>
      </c>
      <c r="AL10" s="83" t="str">
        <f t="shared" si="25"/>
        <v>15-6</v>
      </c>
      <c r="AM10" s="80" t="str">
        <f t="shared" si="25"/>
        <v>18-7</v>
      </c>
      <c r="AN10" s="81" t="str">
        <f t="shared" si="25"/>
        <v>18-8</v>
      </c>
      <c r="AO10" s="82" t="str">
        <f t="shared" si="25"/>
        <v>18-5</v>
      </c>
      <c r="AP10" s="83" t="str">
        <f t="shared" si="25"/>
        <v>18-6</v>
      </c>
      <c r="AQ10" s="80" t="str">
        <f t="shared" si="25"/>
        <v>21-7</v>
      </c>
      <c r="AR10" s="81" t="str">
        <f t="shared" si="25"/>
        <v>21-8</v>
      </c>
      <c r="AS10" s="82" t="str">
        <f t="shared" si="25"/>
        <v>21-5</v>
      </c>
      <c r="AT10" s="83" t="str">
        <f t="shared" si="25"/>
        <v>21-6</v>
      </c>
      <c r="AU10" s="80" t="str">
        <f t="shared" si="25"/>
        <v>24-7</v>
      </c>
      <c r="AV10" s="81" t="str">
        <f t="shared" si="25"/>
        <v>24-8</v>
      </c>
      <c r="AW10" s="82" t="str">
        <f t="shared" si="25"/>
        <v>24-5</v>
      </c>
      <c r="AX10" s="83" t="str">
        <f t="shared" si="25"/>
        <v>24-6</v>
      </c>
      <c r="AY10" s="2"/>
      <c r="AZ10" s="102" t="s">
        <v>153</v>
      </c>
      <c r="BA10" s="164">
        <v>5</v>
      </c>
      <c r="BB10" s="88">
        <v>4</v>
      </c>
      <c r="BC10" s="88">
        <v>21</v>
      </c>
      <c r="BD10" s="88">
        <v>20</v>
      </c>
      <c r="BE10" s="88">
        <v>37</v>
      </c>
      <c r="BF10" s="90">
        <v>36</v>
      </c>
      <c r="BG10" s="104"/>
      <c r="BH10" s="104"/>
      <c r="BI10" s="104"/>
      <c r="BJ10" s="104"/>
      <c r="BK10" s="104"/>
      <c r="BL10" s="104"/>
    </row>
    <row r="11" spans="2:64" ht="21" customHeight="1" thickBot="1" x14ac:dyDescent="0.5">
      <c r="B11" s="119">
        <f t="shared" si="1"/>
        <v>128</v>
      </c>
      <c r="C11" s="131">
        <f t="shared" si="2"/>
        <v>129</v>
      </c>
      <c r="D11" s="49">
        <f t="shared" si="3"/>
        <v>130</v>
      </c>
      <c r="E11" s="50">
        <f t="shared" si="4"/>
        <v>131</v>
      </c>
      <c r="F11" s="119">
        <f t="shared" si="5"/>
        <v>132</v>
      </c>
      <c r="G11" s="131">
        <f t="shared" si="6"/>
        <v>133</v>
      </c>
      <c r="H11" s="49">
        <f t="shared" si="7"/>
        <v>134</v>
      </c>
      <c r="I11" s="50">
        <f t="shared" si="8"/>
        <v>135</v>
      </c>
      <c r="J11" s="143">
        <f t="shared" si="9"/>
        <v>136</v>
      </c>
      <c r="K11" s="120">
        <f t="shared" si="10"/>
        <v>137</v>
      </c>
      <c r="L11" s="85">
        <f t="shared" si="11"/>
        <v>138</v>
      </c>
      <c r="M11" s="86">
        <f t="shared" si="12"/>
        <v>139</v>
      </c>
      <c r="N11" s="143">
        <f t="shared" si="13"/>
        <v>140</v>
      </c>
      <c r="O11" s="120">
        <f t="shared" si="14"/>
        <v>141</v>
      </c>
      <c r="P11" s="85">
        <f t="shared" si="15"/>
        <v>142</v>
      </c>
      <c r="Q11" s="120">
        <f t="shared" si="16"/>
        <v>143</v>
      </c>
      <c r="S11" s="48" t="str">
        <f t="shared" ref="S11:AH11" si="26">TEXT(LEFT(S8,FIND("-",S8)-1)+1,"0")&amp;"-"&amp;MID(S8,FIND("-",S8)+1,99)</f>
        <v>3-11</v>
      </c>
      <c r="T11" s="49" t="str">
        <f t="shared" si="26"/>
        <v>3-12</v>
      </c>
      <c r="U11" s="50" t="str">
        <f t="shared" si="26"/>
        <v>3-9</v>
      </c>
      <c r="V11" s="51" t="str">
        <f t="shared" si="26"/>
        <v>3-10</v>
      </c>
      <c r="W11" s="48" t="str">
        <f t="shared" si="26"/>
        <v>6-11</v>
      </c>
      <c r="X11" s="49" t="str">
        <f t="shared" si="26"/>
        <v>6-12</v>
      </c>
      <c r="Y11" s="50" t="str">
        <f t="shared" si="26"/>
        <v>6-9</v>
      </c>
      <c r="Z11" s="51" t="str">
        <f t="shared" si="26"/>
        <v>6-10</v>
      </c>
      <c r="AA11" s="48" t="str">
        <f t="shared" si="26"/>
        <v>9-11</v>
      </c>
      <c r="AB11" s="49" t="str">
        <f t="shared" si="26"/>
        <v>9-12</v>
      </c>
      <c r="AC11" s="50" t="str">
        <f t="shared" si="26"/>
        <v>9-9</v>
      </c>
      <c r="AD11" s="51" t="str">
        <f t="shared" si="26"/>
        <v>9-10</v>
      </c>
      <c r="AE11" s="48" t="str">
        <f t="shared" si="26"/>
        <v>12-11</v>
      </c>
      <c r="AF11" s="49" t="str">
        <f t="shared" si="26"/>
        <v>12-12</v>
      </c>
      <c r="AG11" s="50" t="str">
        <f t="shared" si="26"/>
        <v>12-9</v>
      </c>
      <c r="AH11" s="51" t="str">
        <f t="shared" si="26"/>
        <v>12-10</v>
      </c>
      <c r="AI11" s="84" t="str">
        <f t="shared" ref="AI11:AX11" si="27">TEXT(LEFT(AI8,FIND("-",AI8)-1)+1,"0")&amp;"-"&amp;MID(AI8,FIND("-",AI8)+1,99)</f>
        <v>15-11</v>
      </c>
      <c r="AJ11" s="85" t="str">
        <f t="shared" si="27"/>
        <v>15-12</v>
      </c>
      <c r="AK11" s="86" t="str">
        <f t="shared" si="27"/>
        <v>15-9</v>
      </c>
      <c r="AL11" s="87" t="str">
        <f t="shared" si="27"/>
        <v>15-10</v>
      </c>
      <c r="AM11" s="84" t="str">
        <f t="shared" si="27"/>
        <v>18-11</v>
      </c>
      <c r="AN11" s="85" t="str">
        <f t="shared" si="27"/>
        <v>18-12</v>
      </c>
      <c r="AO11" s="86" t="str">
        <f t="shared" si="27"/>
        <v>18-9</v>
      </c>
      <c r="AP11" s="87" t="str">
        <f t="shared" si="27"/>
        <v>18-10</v>
      </c>
      <c r="AQ11" s="84" t="str">
        <f t="shared" si="27"/>
        <v>21-11</v>
      </c>
      <c r="AR11" s="85" t="str">
        <f t="shared" si="27"/>
        <v>21-12</v>
      </c>
      <c r="AS11" s="86" t="str">
        <f t="shared" si="27"/>
        <v>21-9</v>
      </c>
      <c r="AT11" s="87" t="str">
        <f t="shared" si="27"/>
        <v>21-10</v>
      </c>
      <c r="AU11" s="84" t="str">
        <f t="shared" si="27"/>
        <v>24-11</v>
      </c>
      <c r="AV11" s="85" t="str">
        <f t="shared" si="27"/>
        <v>24-12</v>
      </c>
      <c r="AW11" s="86" t="str">
        <f t="shared" si="27"/>
        <v>24-9</v>
      </c>
      <c r="AX11" s="87" t="str">
        <f t="shared" si="27"/>
        <v>24-10</v>
      </c>
      <c r="AY11" s="2"/>
      <c r="AZ11" s="102" t="s">
        <v>154</v>
      </c>
      <c r="BA11" s="160">
        <f t="shared" ref="BA11:BA12" si="28">BA10+48</f>
        <v>53</v>
      </c>
      <c r="BB11" s="95">
        <f t="shared" ref="BB11:BB12" si="29">BB10+48</f>
        <v>52</v>
      </c>
      <c r="BC11" s="95">
        <f t="shared" ref="BC11:BC12" si="30">BC10+48</f>
        <v>69</v>
      </c>
      <c r="BD11" s="95">
        <f t="shared" ref="BD11:BD12" si="31">BD10+48</f>
        <v>68</v>
      </c>
      <c r="BE11" s="95">
        <f t="shared" ref="BE11:BE12" si="32">BE10+48</f>
        <v>85</v>
      </c>
      <c r="BF11" s="161">
        <f t="shared" ref="BF11:BF12" si="33">BF10+48</f>
        <v>84</v>
      </c>
      <c r="BG11" s="104"/>
      <c r="BH11" s="104"/>
      <c r="BI11" s="104"/>
      <c r="BJ11" s="104"/>
      <c r="BK11" s="104"/>
      <c r="BL11" s="104"/>
    </row>
    <row r="12" spans="2:64" ht="21" customHeight="1" x14ac:dyDescent="0.45">
      <c r="I12" s="107"/>
      <c r="J12" s="108"/>
      <c r="K12" s="108"/>
      <c r="L12" s="108"/>
      <c r="M12" s="108"/>
      <c r="N12" s="108"/>
      <c r="O12" s="108"/>
      <c r="P12" s="108"/>
      <c r="Q12" s="108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  <c r="AU12" s="109"/>
      <c r="AV12" s="109"/>
      <c r="AW12" s="109"/>
      <c r="AX12" s="109"/>
      <c r="AY12" s="2"/>
      <c r="AZ12" s="102" t="s">
        <v>155</v>
      </c>
      <c r="BA12" s="162">
        <f t="shared" si="28"/>
        <v>101</v>
      </c>
      <c r="BB12" s="96">
        <f t="shared" si="29"/>
        <v>100</v>
      </c>
      <c r="BC12" s="96">
        <f t="shared" si="30"/>
        <v>117</v>
      </c>
      <c r="BD12" s="96">
        <f t="shared" si="31"/>
        <v>116</v>
      </c>
      <c r="BE12" s="96">
        <f t="shared" si="32"/>
        <v>133</v>
      </c>
      <c r="BF12" s="163">
        <f t="shared" si="33"/>
        <v>132</v>
      </c>
    </row>
    <row r="13" spans="2:64" ht="21" customHeight="1" x14ac:dyDescent="0.45">
      <c r="I13" s="107"/>
      <c r="J13" s="108"/>
      <c r="K13" s="108"/>
      <c r="L13" s="108"/>
      <c r="M13" s="108"/>
      <c r="N13" s="108"/>
      <c r="O13" s="108"/>
      <c r="P13" s="108"/>
      <c r="Q13" s="108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09"/>
      <c r="AX13" s="109"/>
      <c r="AZ13" s="102" t="s">
        <v>156</v>
      </c>
      <c r="BA13" s="164">
        <v>7</v>
      </c>
      <c r="BB13" s="88">
        <v>6</v>
      </c>
      <c r="BC13" s="88">
        <v>23</v>
      </c>
      <c r="BD13" s="88">
        <v>22</v>
      </c>
      <c r="BE13" s="88">
        <v>39</v>
      </c>
      <c r="BF13" s="90">
        <v>38</v>
      </c>
    </row>
    <row r="14" spans="2:64" ht="21" customHeight="1" x14ac:dyDescent="0.45">
      <c r="I14" s="107"/>
      <c r="J14" s="108"/>
      <c r="K14" s="108"/>
      <c r="L14" s="108"/>
      <c r="M14" s="108"/>
      <c r="N14" s="108"/>
      <c r="O14" s="108"/>
      <c r="P14" s="108"/>
      <c r="Q14" s="108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2"/>
      <c r="AZ14" s="102" t="s">
        <v>157</v>
      </c>
      <c r="BA14" s="160">
        <f t="shared" ref="BA14:BA15" si="34">BA13+48</f>
        <v>55</v>
      </c>
      <c r="BB14" s="95">
        <f t="shared" ref="BB14:BB15" si="35">BB13+48</f>
        <v>54</v>
      </c>
      <c r="BC14" s="95">
        <f t="shared" ref="BC14:BC15" si="36">BC13+48</f>
        <v>71</v>
      </c>
      <c r="BD14" s="95">
        <f t="shared" ref="BD14:BD15" si="37">BD13+48</f>
        <v>70</v>
      </c>
      <c r="BE14" s="95">
        <f t="shared" ref="BE14:BE15" si="38">BE13+48</f>
        <v>87</v>
      </c>
      <c r="BF14" s="161">
        <f t="shared" ref="BF14:BF15" si="39">BF13+48</f>
        <v>86</v>
      </c>
    </row>
    <row r="15" spans="2:64" ht="21" customHeight="1" x14ac:dyDescent="0.45">
      <c r="I15" s="107"/>
      <c r="J15" s="108"/>
      <c r="K15" s="108"/>
      <c r="L15" s="108"/>
      <c r="M15" s="108"/>
      <c r="N15" s="108"/>
      <c r="O15" s="108"/>
      <c r="P15" s="108"/>
      <c r="Q15" s="108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2"/>
      <c r="AZ15" s="102" t="s">
        <v>158</v>
      </c>
      <c r="BA15" s="162">
        <f t="shared" si="34"/>
        <v>103</v>
      </c>
      <c r="BB15" s="96">
        <f t="shared" si="35"/>
        <v>102</v>
      </c>
      <c r="BC15" s="96">
        <f t="shared" si="36"/>
        <v>119</v>
      </c>
      <c r="BD15" s="96">
        <f t="shared" si="37"/>
        <v>118</v>
      </c>
      <c r="BE15" s="96">
        <f t="shared" si="38"/>
        <v>135</v>
      </c>
      <c r="BF15" s="163">
        <f t="shared" si="39"/>
        <v>134</v>
      </c>
    </row>
    <row r="16" spans="2:64" ht="21" customHeight="1" x14ac:dyDescent="0.45">
      <c r="I16" s="107"/>
      <c r="J16" s="108"/>
      <c r="K16" s="108"/>
      <c r="L16" s="108"/>
      <c r="M16" s="108"/>
      <c r="N16" s="108"/>
      <c r="O16" s="108"/>
      <c r="P16" s="108"/>
      <c r="Q16" s="108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9"/>
      <c r="AX16" s="109"/>
      <c r="AY16" s="2"/>
      <c r="AZ16" s="102" t="s">
        <v>159</v>
      </c>
      <c r="BA16" s="165">
        <v>9</v>
      </c>
      <c r="BB16" s="89">
        <v>8</v>
      </c>
      <c r="BC16" s="89">
        <v>25</v>
      </c>
      <c r="BD16" s="89">
        <v>24</v>
      </c>
      <c r="BE16" s="89">
        <v>41</v>
      </c>
      <c r="BF16" s="91">
        <v>40</v>
      </c>
    </row>
    <row r="17" spans="9:59" ht="21" customHeight="1" x14ac:dyDescent="0.45">
      <c r="I17" s="107"/>
      <c r="J17" s="108"/>
      <c r="K17" s="108"/>
      <c r="L17" s="108"/>
      <c r="M17" s="108"/>
      <c r="N17" s="108"/>
      <c r="O17" s="108"/>
      <c r="P17" s="108"/>
      <c r="Q17" s="108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2"/>
      <c r="AZ17" s="102" t="s">
        <v>160</v>
      </c>
      <c r="BA17" s="166">
        <f>BA16+48</f>
        <v>57</v>
      </c>
      <c r="BB17" s="97">
        <f t="shared" ref="BB17:BF18" si="40">BB16+48</f>
        <v>56</v>
      </c>
      <c r="BC17" s="97">
        <f t="shared" si="40"/>
        <v>73</v>
      </c>
      <c r="BD17" s="97">
        <f t="shared" si="40"/>
        <v>72</v>
      </c>
      <c r="BE17" s="97">
        <f t="shared" si="40"/>
        <v>89</v>
      </c>
      <c r="BF17" s="167">
        <f t="shared" si="40"/>
        <v>88</v>
      </c>
    </row>
    <row r="18" spans="9:59" ht="21" customHeight="1" x14ac:dyDescent="0.45">
      <c r="I18" s="107"/>
      <c r="J18" s="108"/>
      <c r="K18" s="108"/>
      <c r="L18" s="108"/>
      <c r="M18" s="108"/>
      <c r="N18" s="108"/>
      <c r="O18" s="108"/>
      <c r="P18" s="108"/>
      <c r="Q18" s="108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  <c r="AU18" s="109"/>
      <c r="AV18" s="109"/>
      <c r="AW18" s="109"/>
      <c r="AX18" s="109"/>
      <c r="AY18" s="2"/>
      <c r="AZ18" s="102" t="s">
        <v>161</v>
      </c>
      <c r="BA18" s="168">
        <f>BA17+48</f>
        <v>105</v>
      </c>
      <c r="BB18" s="98">
        <f t="shared" si="40"/>
        <v>104</v>
      </c>
      <c r="BC18" s="98">
        <f t="shared" si="40"/>
        <v>121</v>
      </c>
      <c r="BD18" s="98">
        <f t="shared" si="40"/>
        <v>120</v>
      </c>
      <c r="BE18" s="98">
        <f t="shared" si="40"/>
        <v>137</v>
      </c>
      <c r="BF18" s="169">
        <f t="shared" si="40"/>
        <v>136</v>
      </c>
    </row>
    <row r="19" spans="9:59" ht="21" customHeight="1" x14ac:dyDescent="0.45">
      <c r="I19" s="107"/>
      <c r="J19" s="108"/>
      <c r="K19" s="108"/>
      <c r="L19" s="108"/>
      <c r="M19" s="108"/>
      <c r="N19" s="108"/>
      <c r="O19" s="108"/>
      <c r="P19" s="108"/>
      <c r="Q19" s="108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  <c r="AU19" s="109"/>
      <c r="AV19" s="109"/>
      <c r="AW19" s="109"/>
      <c r="AX19" s="109"/>
      <c r="AY19" s="2"/>
      <c r="AZ19" s="102" t="s">
        <v>162</v>
      </c>
      <c r="BA19" s="165">
        <v>11</v>
      </c>
      <c r="BB19" s="89">
        <v>10</v>
      </c>
      <c r="BC19" s="89">
        <v>27</v>
      </c>
      <c r="BD19" s="89">
        <v>26</v>
      </c>
      <c r="BE19" s="89">
        <v>43</v>
      </c>
      <c r="BF19" s="91">
        <v>42</v>
      </c>
    </row>
    <row r="20" spans="9:59" ht="21" customHeight="1" x14ac:dyDescent="0.45">
      <c r="I20" s="107"/>
      <c r="J20" s="108"/>
      <c r="K20" s="108"/>
      <c r="L20" s="108"/>
      <c r="M20" s="108"/>
      <c r="N20" s="108"/>
      <c r="O20" s="108"/>
      <c r="P20" s="108"/>
      <c r="Q20" s="108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2"/>
      <c r="AZ20" s="102" t="s">
        <v>163</v>
      </c>
      <c r="BA20" s="166">
        <f>BA19+48</f>
        <v>59</v>
      </c>
      <c r="BB20" s="97">
        <f t="shared" ref="BB20:BB21" si="41">BB19+48</f>
        <v>58</v>
      </c>
      <c r="BC20" s="97">
        <f t="shared" ref="BC20:BC21" si="42">BC19+48</f>
        <v>75</v>
      </c>
      <c r="BD20" s="97">
        <f t="shared" ref="BD20:BD21" si="43">BD19+48</f>
        <v>74</v>
      </c>
      <c r="BE20" s="97">
        <f t="shared" ref="BE20:BE21" si="44">BE19+48</f>
        <v>91</v>
      </c>
      <c r="BF20" s="167">
        <f t="shared" ref="BF20:BF21" si="45">BF19+48</f>
        <v>90</v>
      </c>
    </row>
    <row r="21" spans="9:59" ht="21" customHeight="1" x14ac:dyDescent="0.45"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2"/>
      <c r="AZ21" s="102" t="s">
        <v>164</v>
      </c>
      <c r="BA21" s="168">
        <f>BA20+48</f>
        <v>107</v>
      </c>
      <c r="BB21" s="98">
        <f t="shared" si="41"/>
        <v>106</v>
      </c>
      <c r="BC21" s="98">
        <f t="shared" si="42"/>
        <v>123</v>
      </c>
      <c r="BD21" s="98">
        <f t="shared" si="43"/>
        <v>122</v>
      </c>
      <c r="BE21" s="98">
        <f t="shared" si="44"/>
        <v>139</v>
      </c>
      <c r="BF21" s="169">
        <f t="shared" si="45"/>
        <v>138</v>
      </c>
    </row>
    <row r="22" spans="9:59" ht="21" customHeight="1" x14ac:dyDescent="0.45"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1"/>
      <c r="AG22" s="111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  <c r="AY22" s="2"/>
      <c r="AZ22" s="102" t="s">
        <v>165</v>
      </c>
      <c r="BA22" s="165">
        <v>13</v>
      </c>
      <c r="BB22" s="89">
        <v>12</v>
      </c>
      <c r="BC22" s="89">
        <v>29</v>
      </c>
      <c r="BD22" s="89">
        <v>28</v>
      </c>
      <c r="BE22" s="89">
        <v>45</v>
      </c>
      <c r="BF22" s="91">
        <v>44</v>
      </c>
    </row>
    <row r="23" spans="9:59" ht="21" customHeight="1" x14ac:dyDescent="0.45"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1"/>
      <c r="AG23" s="111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  <c r="AY23" s="2"/>
      <c r="AZ23" s="102" t="s">
        <v>166</v>
      </c>
      <c r="BA23" s="166">
        <f>BA22+48</f>
        <v>61</v>
      </c>
      <c r="BB23" s="97">
        <f t="shared" ref="BB23:BB24" si="46">BB22+48</f>
        <v>60</v>
      </c>
      <c r="BC23" s="97">
        <f t="shared" ref="BC23:BC24" si="47">BC22+48</f>
        <v>77</v>
      </c>
      <c r="BD23" s="97">
        <f t="shared" ref="BD23:BD24" si="48">BD22+48</f>
        <v>76</v>
      </c>
      <c r="BE23" s="97">
        <f t="shared" ref="BE23:BE24" si="49">BE22+48</f>
        <v>93</v>
      </c>
      <c r="BF23" s="167">
        <f t="shared" ref="BF23:BF24" si="50">BF22+48</f>
        <v>92</v>
      </c>
    </row>
    <row r="24" spans="9:59" ht="21" customHeight="1" x14ac:dyDescent="0.45">
      <c r="I24" s="107"/>
      <c r="J24" s="107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Z24" s="102" t="s">
        <v>174</v>
      </c>
      <c r="BA24" s="168">
        <f>BA23+48</f>
        <v>109</v>
      </c>
      <c r="BB24" s="98">
        <f t="shared" si="46"/>
        <v>108</v>
      </c>
      <c r="BC24" s="98">
        <f t="shared" si="47"/>
        <v>125</v>
      </c>
      <c r="BD24" s="98">
        <f t="shared" si="48"/>
        <v>124</v>
      </c>
      <c r="BE24" s="98">
        <f t="shared" si="49"/>
        <v>141</v>
      </c>
      <c r="BF24" s="169">
        <f t="shared" si="50"/>
        <v>140</v>
      </c>
    </row>
    <row r="25" spans="9:59" ht="21" customHeight="1" x14ac:dyDescent="0.45"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Z25" s="102" t="s">
        <v>175</v>
      </c>
      <c r="BA25" s="165">
        <v>15</v>
      </c>
      <c r="BB25" s="89">
        <v>14</v>
      </c>
      <c r="BC25" s="89">
        <v>31</v>
      </c>
      <c r="BD25" s="89">
        <v>30</v>
      </c>
      <c r="BE25" s="89">
        <v>47</v>
      </c>
      <c r="BF25" s="91">
        <v>46</v>
      </c>
    </row>
    <row r="26" spans="9:59" ht="21" customHeight="1" x14ac:dyDescent="0.45">
      <c r="AZ26" s="102" t="s">
        <v>176</v>
      </c>
      <c r="BA26" s="166">
        <f>BA25+48</f>
        <v>63</v>
      </c>
      <c r="BB26" s="97">
        <f t="shared" ref="BB26:BB27" si="51">BB25+48</f>
        <v>62</v>
      </c>
      <c r="BC26" s="97">
        <f t="shared" ref="BC26:BC27" si="52">BC25+48</f>
        <v>79</v>
      </c>
      <c r="BD26" s="97">
        <f t="shared" ref="BD26:BD27" si="53">BD25+48</f>
        <v>78</v>
      </c>
      <c r="BE26" s="97">
        <f t="shared" ref="BE26:BE27" si="54">BE25+48</f>
        <v>95</v>
      </c>
      <c r="BF26" s="167">
        <f t="shared" ref="BF26:BF27" si="55">BF25+48</f>
        <v>94</v>
      </c>
      <c r="BG26" s="4"/>
    </row>
    <row r="27" spans="9:59" ht="21" customHeight="1" thickBot="1" x14ac:dyDescent="0.5">
      <c r="AZ27" s="103" t="s">
        <v>177</v>
      </c>
      <c r="BA27" s="170">
        <f>BA26+48</f>
        <v>111</v>
      </c>
      <c r="BB27" s="99">
        <f t="shared" si="51"/>
        <v>110</v>
      </c>
      <c r="BC27" s="99">
        <f t="shared" si="52"/>
        <v>127</v>
      </c>
      <c r="BD27" s="99">
        <f t="shared" si="53"/>
        <v>126</v>
      </c>
      <c r="BE27" s="99">
        <f t="shared" si="54"/>
        <v>143</v>
      </c>
      <c r="BF27" s="171">
        <f t="shared" si="55"/>
        <v>142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2026-03-13T08:54:45Z</dcterms:modified>
</cp:coreProperties>
</file>