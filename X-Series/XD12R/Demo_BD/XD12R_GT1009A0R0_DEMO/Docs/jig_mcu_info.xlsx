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Demo_BD\XD12R_GT1009A0R0_DEMO\Docs\"/>
    </mc:Choice>
  </mc:AlternateContent>
  <xr:revisionPtr revIDLastSave="0" documentId="13_ncr:1_{2FE34B82-B932-43DB-8DE2-CB13C1A25F0D}" xr6:coauthVersionLast="47" xr6:coauthVersionMax="47" xr10:uidLastSave="{00000000-0000-0000-0000-000000000000}"/>
  <bookViews>
    <workbookView xWindow="71880" yWindow="2160" windowWidth="29040" windowHeight="15720" xr2:uid="{00000000-000D-0000-FFFF-FFFF00000000}"/>
  </bookViews>
  <sheets>
    <sheet name="mcu set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4" i="2" s="1"/>
  <c r="E22" i="2"/>
  <c r="C22" i="2"/>
  <c r="C24" i="2" s="1"/>
  <c r="D4" i="2"/>
  <c r="C10" i="2" s="1"/>
  <c r="D3" i="2"/>
  <c r="D10" i="2" l="1"/>
  <c r="E10" i="2"/>
  <c r="F10" i="2"/>
  <c r="G10" i="2"/>
  <c r="H10" i="2"/>
  <c r="I10" i="2"/>
  <c r="J10" i="2"/>
  <c r="K10" i="2"/>
  <c r="L10" i="2"/>
  <c r="M10" i="2"/>
  <c r="N10" i="2"/>
  <c r="O10" i="2"/>
  <c r="P10" i="2"/>
  <c r="P13" i="2" l="1"/>
  <c r="P14" i="2" s="1"/>
  <c r="P15" i="2" s="1"/>
  <c r="O13" i="2"/>
  <c r="O14" i="2" s="1"/>
  <c r="O15" i="2" s="1"/>
  <c r="N13" i="2"/>
  <c r="N14" i="2" s="1"/>
  <c r="N15" i="2" s="1"/>
  <c r="M13" i="2"/>
  <c r="M14" i="2" s="1"/>
  <c r="M15" i="2" s="1"/>
  <c r="L13" i="2"/>
  <c r="L14" i="2" s="1"/>
  <c r="L15" i="2" s="1"/>
  <c r="K13" i="2"/>
  <c r="K14" i="2" s="1"/>
  <c r="K15" i="2" s="1"/>
  <c r="J13" i="2"/>
  <c r="J14" i="2" s="1"/>
  <c r="J15" i="2" s="1"/>
  <c r="I13" i="2"/>
  <c r="I14" i="2" s="1"/>
  <c r="I15" i="2" s="1"/>
  <c r="H13" i="2"/>
  <c r="H14" i="2" s="1"/>
  <c r="H15" i="2" s="1"/>
  <c r="G13" i="2"/>
  <c r="G14" i="2" s="1"/>
  <c r="G15" i="2" s="1"/>
  <c r="F13" i="2"/>
  <c r="F14" i="2" s="1"/>
  <c r="F15" i="2" s="1"/>
  <c r="E13" i="2"/>
  <c r="E14" i="2" s="1"/>
  <c r="E15" i="2" s="1"/>
  <c r="D13" i="2"/>
  <c r="D14" i="2" s="1"/>
  <c r="D15" i="2" s="1"/>
  <c r="C13" i="2"/>
  <c r="C14" i="2" s="1"/>
  <c r="C15" i="2" s="1"/>
</calcChain>
</file>

<file path=xl/sharedStrings.xml><?xml version="1.0" encoding="utf-8"?>
<sst xmlns="http://schemas.openxmlformats.org/spreadsheetml/2006/main" count="63" uniqueCount="38">
  <si>
    <t>TIM1</t>
    <phoneticPr fontId="18" type="noConversion"/>
  </si>
  <si>
    <t>TIM2</t>
    <phoneticPr fontId="18" type="noConversion"/>
  </si>
  <si>
    <t>TIM3</t>
    <phoneticPr fontId="18" type="noConversion"/>
  </si>
  <si>
    <t>TIM4</t>
    <phoneticPr fontId="18" type="noConversion"/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</si>
  <si>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</si>
  <si>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</si>
  <si>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</si>
  <si>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</si>
  <si>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</si>
  <si>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</si>
  <si>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</si>
  <si>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</si>
  <si>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</si>
  <si>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</si>
  <si>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APB</t>
    <phoneticPr fontId="18" type="noConversion"/>
  </si>
  <si>
    <t>APB2</t>
    <phoneticPr fontId="18" type="noConversion"/>
  </si>
  <si>
    <t>APB1</t>
    <phoneticPr fontId="18" type="noConversion"/>
  </si>
  <si>
    <t>Base Freq</t>
    <phoneticPr fontId="18" type="noConversion"/>
  </si>
  <si>
    <t>Precaler</t>
    <phoneticPr fontId="18" type="noConversion"/>
  </si>
  <si>
    <t>Period</t>
    <phoneticPr fontId="18" type="noConversion"/>
  </si>
  <si>
    <t>MHz</t>
    <phoneticPr fontId="18" type="noConversion"/>
  </si>
  <si>
    <t>kHz</t>
    <phoneticPr fontId="18" type="noConversion"/>
  </si>
  <si>
    <t>Hz</t>
    <phoneticPr fontId="18" type="noConversion"/>
  </si>
  <si>
    <t>BIT</t>
    <phoneticPr fontId="18" type="noConversion"/>
  </si>
  <si>
    <t>xd data out</t>
    <phoneticPr fontId="18" type="noConversion"/>
  </si>
  <si>
    <t>us delay</t>
    <phoneticPr fontId="18" type="noConversion"/>
  </si>
  <si>
    <t>Purpose</t>
    <phoneticPr fontId="18" type="noConversion"/>
  </si>
  <si>
    <t>SPI1</t>
    <phoneticPr fontId="18" type="noConversion"/>
  </si>
  <si>
    <t>SPI2</t>
  </si>
  <si>
    <t>SPI3</t>
  </si>
  <si>
    <t>Peripheral</t>
    <phoneticPr fontId="18" type="noConversion"/>
  </si>
  <si>
    <t>timer</t>
    <phoneticPr fontId="18" type="noConversion"/>
  </si>
  <si>
    <t>CPOL</t>
    <phoneticPr fontId="18" type="noConversion"/>
  </si>
  <si>
    <t>CPHA</t>
    <phoneticPr fontId="18" type="noConversion"/>
  </si>
  <si>
    <t>Low</t>
    <phoneticPr fontId="18" type="noConversion"/>
  </si>
  <si>
    <t>2 edge</t>
    <phoneticPr fontId="18" type="noConversion"/>
  </si>
  <si>
    <t>vsync</t>
    <phoneticPr fontId="18" type="noConversion"/>
  </si>
  <si>
    <t>svsync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</si>
</sst>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&quot;MHz&quot;"/>
    <numFmt numFmtId="177" formatCode="0.00&quot;MHz&quot;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521637</xdr:colOff>
      <xdr:row>32</xdr:row>
      <xdr:rowOff>208188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5C60D-6F69-4F28-AE62-D507B68D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4647" y="224118"/>
          <a:ext cx="10094635" cy="7155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990A-8917-4A1C-8E25-1E600BCC813B}">
  <dimension ref="B2:P26"/>
  <sheetViews>
    <sheetView tabSelected="1" zoomScale="70" zoomScaleNormal="70" workbookViewId="0"/>
  </sheetViews>
  <sheetFormatPr defaultRowHeight="17" x14ac:dyDescent="0.45"/>
  <cols>
    <col min="1" max="1" width="2.58203125" customWidth="1"/>
    <col min="2" max="2" width="9.1640625" bestFit="1" customWidth="1"/>
    <col min="3" max="16" width="10.58203125" customWidth="1"/>
  </cols>
  <sheetData>
    <row r="2" spans="2:16" x14ac:dyDescent="0.45">
      <c r="C2" t="s">
        <v>30</v>
      </c>
      <c r="D2" t="s">
        <v>31</v>
      </c>
    </row>
    <row r="3" spans="2:16" x14ac:dyDescent="0.45">
      <c r="B3" s="1" t="s">
        <v>16</v>
      </c>
      <c r="C3" s="2">
        <v>45</v>
      </c>
      <c r="D3" s="2">
        <f>C3*2</f>
        <v>90</v>
      </c>
    </row>
    <row r="4" spans="2:16" x14ac:dyDescent="0.45">
      <c r="B4" s="1" t="s">
        <v>15</v>
      </c>
      <c r="C4" s="2">
        <v>90</v>
      </c>
      <c r="D4" s="2">
        <f>C4*2</f>
        <v>180</v>
      </c>
    </row>
    <row r="6" spans="2:16" x14ac:dyDescent="0.45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</row>
    <row r="7" spans="2:16" x14ac:dyDescent="0.45">
      <c r="B7" s="1" t="s">
        <v>14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15</v>
      </c>
      <c r="K7" s="1" t="s">
        <v>15</v>
      </c>
      <c r="L7" s="1" t="s">
        <v>15</v>
      </c>
      <c r="M7" s="1" t="s">
        <v>15</v>
      </c>
      <c r="N7" s="1" t="s">
        <v>16</v>
      </c>
      <c r="O7" s="1" t="s">
        <v>16</v>
      </c>
      <c r="P7" s="1" t="s">
        <v>16</v>
      </c>
    </row>
    <row r="8" spans="2:16" x14ac:dyDescent="0.45">
      <c r="B8" s="1" t="s">
        <v>23</v>
      </c>
      <c r="C8" s="1">
        <v>16</v>
      </c>
      <c r="D8" s="1">
        <v>32</v>
      </c>
      <c r="E8" s="1">
        <v>16</v>
      </c>
      <c r="F8" s="1">
        <v>16</v>
      </c>
      <c r="G8" s="1">
        <v>32</v>
      </c>
      <c r="H8" s="1">
        <v>16</v>
      </c>
      <c r="I8" s="1">
        <v>16</v>
      </c>
      <c r="J8" s="1">
        <v>16</v>
      </c>
      <c r="K8" s="1">
        <v>16</v>
      </c>
      <c r="L8" s="1">
        <v>16</v>
      </c>
      <c r="M8" s="1">
        <v>16</v>
      </c>
      <c r="N8" s="1">
        <v>16</v>
      </c>
      <c r="O8" s="1">
        <v>16</v>
      </c>
      <c r="P8" s="1">
        <v>16</v>
      </c>
    </row>
    <row r="9" spans="2:16" x14ac:dyDescent="0.45">
      <c r="B9" s="1" t="s">
        <v>26</v>
      </c>
      <c r="C9" t="s">
        <v>24</v>
      </c>
      <c r="E9" t="s">
        <v>37</v>
      </c>
      <c r="J9" t="s">
        <v>36</v>
      </c>
      <c r="N9" t="s">
        <v>25</v>
      </c>
    </row>
    <row r="10" spans="2:16" x14ac:dyDescent="0.45">
      <c r="B10" s="1" t="s">
        <v>17</v>
      </c>
      <c r="C10" s="3">
        <f t="shared" ref="C10:P10" si="0">IF(C7="APB2",$D$4, $D$3)</f>
        <v>180</v>
      </c>
      <c r="D10" s="3">
        <f t="shared" si="0"/>
        <v>90</v>
      </c>
      <c r="E10" s="3">
        <f t="shared" si="0"/>
        <v>90</v>
      </c>
      <c r="F10" s="3">
        <f t="shared" si="0"/>
        <v>90</v>
      </c>
      <c r="G10" s="3">
        <f t="shared" si="0"/>
        <v>90</v>
      </c>
      <c r="H10" s="3">
        <f t="shared" si="0"/>
        <v>90</v>
      </c>
      <c r="I10" s="3">
        <f t="shared" si="0"/>
        <v>90</v>
      </c>
      <c r="J10" s="3">
        <f t="shared" si="0"/>
        <v>180</v>
      </c>
      <c r="K10" s="3">
        <f t="shared" si="0"/>
        <v>180</v>
      </c>
      <c r="L10" s="3">
        <f t="shared" si="0"/>
        <v>180</v>
      </c>
      <c r="M10" s="3">
        <f t="shared" si="0"/>
        <v>180</v>
      </c>
      <c r="N10" s="3">
        <f t="shared" si="0"/>
        <v>90</v>
      </c>
      <c r="O10" s="2">
        <f t="shared" si="0"/>
        <v>90</v>
      </c>
      <c r="P10" s="2">
        <f t="shared" si="0"/>
        <v>90</v>
      </c>
    </row>
    <row r="11" spans="2:16" x14ac:dyDescent="0.45">
      <c r="B11" s="1" t="s">
        <v>18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29</v>
      </c>
      <c r="K11">
        <v>0</v>
      </c>
      <c r="L11">
        <v>0</v>
      </c>
      <c r="M11">
        <v>0</v>
      </c>
      <c r="N11">
        <v>89</v>
      </c>
      <c r="O11">
        <v>0</v>
      </c>
      <c r="P11">
        <v>0</v>
      </c>
    </row>
    <row r="12" spans="2:16" x14ac:dyDescent="0.45">
      <c r="B12" s="1" t="s">
        <v>19</v>
      </c>
      <c r="C12">
        <v>179</v>
      </c>
      <c r="D12">
        <v>0</v>
      </c>
      <c r="E12">
        <v>719</v>
      </c>
      <c r="F12">
        <v>0</v>
      </c>
      <c r="G12">
        <v>0</v>
      </c>
      <c r="H12">
        <v>0</v>
      </c>
      <c r="I12">
        <v>0</v>
      </c>
      <c r="J12">
        <v>49999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2:16" x14ac:dyDescent="0.45">
      <c r="B13" s="1" t="s">
        <v>20</v>
      </c>
      <c r="C13">
        <f>C10/((C11+1)*(C12+1))</f>
        <v>1</v>
      </c>
      <c r="D13">
        <f t="shared" ref="D13:P13" si="1">D10/((D11+1)*(D12+1))</f>
        <v>90</v>
      </c>
      <c r="E13">
        <f t="shared" si="1"/>
        <v>0.125</v>
      </c>
      <c r="F13">
        <f t="shared" si="1"/>
        <v>90</v>
      </c>
      <c r="G13">
        <f t="shared" si="1"/>
        <v>90</v>
      </c>
      <c r="H13">
        <f t="shared" si="1"/>
        <v>90</v>
      </c>
      <c r="I13">
        <f t="shared" si="1"/>
        <v>90</v>
      </c>
      <c r="J13">
        <f t="shared" si="1"/>
        <v>1.2E-4</v>
      </c>
      <c r="K13">
        <f t="shared" si="1"/>
        <v>180</v>
      </c>
      <c r="L13">
        <f t="shared" si="1"/>
        <v>180</v>
      </c>
      <c r="M13">
        <f t="shared" si="1"/>
        <v>180</v>
      </c>
      <c r="N13">
        <f t="shared" si="1"/>
        <v>1</v>
      </c>
      <c r="O13">
        <f t="shared" si="1"/>
        <v>90</v>
      </c>
      <c r="P13">
        <f t="shared" si="1"/>
        <v>90</v>
      </c>
    </row>
    <row r="14" spans="2:16" x14ac:dyDescent="0.45">
      <c r="B14" s="1" t="s">
        <v>21</v>
      </c>
      <c r="C14">
        <f>C13*1000</f>
        <v>1000</v>
      </c>
      <c r="D14">
        <f t="shared" ref="D14:P15" si="2">D13*1000</f>
        <v>90000</v>
      </c>
      <c r="E14">
        <f t="shared" si="2"/>
        <v>125</v>
      </c>
      <c r="F14">
        <f t="shared" si="2"/>
        <v>90000</v>
      </c>
      <c r="G14">
        <f t="shared" si="2"/>
        <v>90000</v>
      </c>
      <c r="H14">
        <f t="shared" si="2"/>
        <v>90000</v>
      </c>
      <c r="I14">
        <f t="shared" si="2"/>
        <v>90000</v>
      </c>
      <c r="J14">
        <f t="shared" si="2"/>
        <v>0.12000000000000001</v>
      </c>
      <c r="K14">
        <f t="shared" si="2"/>
        <v>180000</v>
      </c>
      <c r="L14">
        <f t="shared" si="2"/>
        <v>180000</v>
      </c>
      <c r="M14">
        <f t="shared" si="2"/>
        <v>180000</v>
      </c>
      <c r="N14">
        <f t="shared" si="2"/>
        <v>1000</v>
      </c>
      <c r="O14">
        <f t="shared" si="2"/>
        <v>90000</v>
      </c>
      <c r="P14">
        <f t="shared" si="2"/>
        <v>90000</v>
      </c>
    </row>
    <row r="15" spans="2:16" x14ac:dyDescent="0.45">
      <c r="B15" s="1" t="s">
        <v>22</v>
      </c>
      <c r="C15">
        <f>C14*1000</f>
        <v>1000000</v>
      </c>
      <c r="D15">
        <f t="shared" si="2"/>
        <v>90000000</v>
      </c>
      <c r="E15">
        <f t="shared" si="2"/>
        <v>125000</v>
      </c>
      <c r="F15">
        <f t="shared" si="2"/>
        <v>90000000</v>
      </c>
      <c r="G15">
        <f t="shared" si="2"/>
        <v>90000000</v>
      </c>
      <c r="H15">
        <f t="shared" si="2"/>
        <v>90000000</v>
      </c>
      <c r="I15">
        <f t="shared" si="2"/>
        <v>90000000</v>
      </c>
      <c r="J15">
        <f t="shared" si="2"/>
        <v>120.00000000000001</v>
      </c>
      <c r="K15">
        <f t="shared" si="2"/>
        <v>180000000</v>
      </c>
      <c r="L15">
        <f t="shared" si="2"/>
        <v>180000000</v>
      </c>
      <c r="M15">
        <f t="shared" si="2"/>
        <v>180000000</v>
      </c>
      <c r="N15">
        <f t="shared" si="2"/>
        <v>1000000</v>
      </c>
      <c r="O15">
        <f t="shared" si="2"/>
        <v>90000000</v>
      </c>
      <c r="P15">
        <f t="shared" si="2"/>
        <v>90000000</v>
      </c>
    </row>
    <row r="18" spans="2:5" x14ac:dyDescent="0.45">
      <c r="B18" s="1"/>
      <c r="C18" s="1" t="s">
        <v>27</v>
      </c>
      <c r="D18" s="1" t="s">
        <v>28</v>
      </c>
      <c r="E18" s="1" t="s">
        <v>29</v>
      </c>
    </row>
    <row r="19" spans="2:5" x14ac:dyDescent="0.45">
      <c r="B19" s="1" t="s">
        <v>14</v>
      </c>
      <c r="C19" s="1" t="s">
        <v>15</v>
      </c>
      <c r="D19" s="1" t="s">
        <v>16</v>
      </c>
      <c r="E19" s="1" t="s">
        <v>16</v>
      </c>
    </row>
    <row r="20" spans="2:5" x14ac:dyDescent="0.45">
      <c r="B20" s="1" t="s">
        <v>23</v>
      </c>
      <c r="C20" s="1">
        <v>16</v>
      </c>
      <c r="D20" s="1">
        <v>32</v>
      </c>
      <c r="E20" s="1">
        <v>16</v>
      </c>
    </row>
    <row r="21" spans="2:5" x14ac:dyDescent="0.45">
      <c r="B21" s="1" t="s">
        <v>26</v>
      </c>
    </row>
    <row r="22" spans="2:5" x14ac:dyDescent="0.45">
      <c r="B22" s="1" t="s">
        <v>17</v>
      </c>
      <c r="C22" s="3">
        <f>IF(C19="APB2",$C$4, $C$3)</f>
        <v>90</v>
      </c>
      <c r="D22" s="3">
        <f t="shared" ref="D22:E22" si="3">IF(D19="APB2",$C$4, $C$3)</f>
        <v>45</v>
      </c>
      <c r="E22" s="3">
        <f t="shared" si="3"/>
        <v>45</v>
      </c>
    </row>
    <row r="23" spans="2:5" x14ac:dyDescent="0.45">
      <c r="B23" s="1" t="s">
        <v>18</v>
      </c>
    </row>
    <row r="24" spans="2:5" x14ac:dyDescent="0.45">
      <c r="B24" s="1" t="s">
        <v>20</v>
      </c>
      <c r="C24" t="e">
        <f>C22/(C23)</f>
        <v>#DIV/0!</v>
      </c>
      <c r="D24" t="e">
        <f t="shared" ref="D24" si="4">D22/(D23)</f>
        <v>#DIV/0!</v>
      </c>
    </row>
    <row r="25" spans="2:5" x14ac:dyDescent="0.45">
      <c r="B25" s="1" t="s">
        <v>32</v>
      </c>
      <c r="C25" t="s">
        <v>34</v>
      </c>
      <c r="D25" t="s">
        <v>34</v>
      </c>
    </row>
    <row r="26" spans="2:5" x14ac:dyDescent="0.45">
      <c r="B26" s="1" t="s">
        <v>33</v>
      </c>
      <c r="C26" t="s">
        <v>35</v>
      </c>
      <c r="D26" t="s">
        <v>35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mcu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2024-03-18T00:36:59Z</dcterms:created>
  <dcterms:modified xsi:type="dcterms:W3CDTF">2026-02-23T04:49:53Z</dcterms:modified>
</cp:coreProperties>
</file>