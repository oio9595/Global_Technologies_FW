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OBIS\Downloads\"/>
    </mc:Choice>
  </mc:AlternateContent>
  <xr:revisionPtr revIDLastSave="0" documentId="13_ncr:1_{A8B43870-5BC8-45ED-BF79-FD962AD808EB}" xr6:coauthVersionLast="47" xr6:coauthVersionMax="47" xr10:uidLastSave="{00000000-0000-0000-0000-000000000000}"/>
  <bookViews>
    <workbookView xWindow="-120" yWindow="-120" windowWidth="29040" windowHeight="15840" tabRatio="601" activeTab="4" xr2:uid="{00000000-000D-0000-FFFF-FFFF00000000}"/>
  </bookViews>
  <sheets>
    <sheet name="History" sheetId="4" r:id="rId1"/>
    <sheet name="Command" sheetId="6" r:id="rId2"/>
    <sheet name="Register Table" sheetId="1" r:id="rId3"/>
    <sheet name="Register Description" sheetId="2" r:id="rId4"/>
    <sheet name="Testmode Reg. Table" sheetId="7" r:id="rId5"/>
    <sheet name="Testmode Reg Description" sheetId="9" r:id="rId6"/>
    <sheet name="DTB_Table" sheetId="11" r:id="rId7"/>
    <sheet name="TEST pins" sheetId="13" r:id="rId8"/>
    <sheet name="Sheet2" sheetId="12" r:id="rId9"/>
    <sheet name="Sheet1" sheetId="5" state="hidden" r:id="rId10"/>
    <sheet name="Register Description (2)" sheetId="3" state="hidden" r:id="rId11"/>
  </sheets>
  <definedNames>
    <definedName name="_xlnm._FilterDatabase" localSheetId="3" hidden="1">'Register Description'!$B$19:$Z$19</definedName>
    <definedName name="OLE_LINK288" localSheetId="1">Command!#REF!</definedName>
    <definedName name="_xlnm.Print_Area" localSheetId="0">History!$B$1:$F$40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W34" i="7" l="1"/>
  <c r="W35" i="7" l="1"/>
  <c r="W36" i="7"/>
  <c r="W37" i="7"/>
  <c r="W38" i="7"/>
  <c r="W39" i="7"/>
  <c r="W33" i="7"/>
  <c r="W32" i="7"/>
  <c r="W31" i="7"/>
  <c r="W30" i="7"/>
  <c r="W29" i="7"/>
  <c r="W28" i="7"/>
  <c r="W27" i="7"/>
  <c r="W26" i="7"/>
  <c r="W25" i="7"/>
  <c r="W24" i="7"/>
  <c r="W23" i="7"/>
  <c r="W20" i="7"/>
  <c r="W19" i="7"/>
  <c r="W18" i="7"/>
  <c r="W15" i="7"/>
  <c r="W14" i="7"/>
  <c r="W13" i="7"/>
  <c r="W12" i="7"/>
  <c r="W11" i="7"/>
  <c r="W10" i="7"/>
  <c r="W9" i="7"/>
  <c r="W8" i="7"/>
  <c r="W7" i="7"/>
  <c r="W6" i="7"/>
  <c r="W5" i="7"/>
  <c r="Z40" i="7"/>
  <c r="Y40" i="7"/>
  <c r="AA40" i="7" s="1"/>
  <c r="X40" i="7"/>
  <c r="X42" i="7" s="1"/>
  <c r="P6" i="1"/>
  <c r="Q6" i="1"/>
  <c r="AA42" i="7" l="1"/>
  <c r="C12" i="1" l="1"/>
  <c r="Q30" i="1" l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C21" i="1"/>
  <c r="C22" i="1"/>
  <c r="C23" i="1"/>
  <c r="C24" i="1"/>
  <c r="C25" i="1"/>
  <c r="C26" i="1"/>
  <c r="C27" i="1"/>
  <c r="C28" i="1"/>
  <c r="C29" i="1"/>
  <c r="C30" i="1"/>
  <c r="C20" i="1"/>
  <c r="C19" i="1"/>
  <c r="AA4" i="6" l="1"/>
  <c r="AA5" i="6"/>
  <c r="AA6" i="6"/>
  <c r="AA7" i="6"/>
  <c r="AA8" i="6"/>
  <c r="AA9" i="6"/>
  <c r="AA10" i="6"/>
  <c r="AA11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C38" i="6"/>
  <c r="R38" i="6"/>
  <c r="R36" i="6"/>
  <c r="R10" i="6"/>
  <c r="C10" i="6"/>
  <c r="Q14" i="1"/>
  <c r="P14" i="1"/>
  <c r="P13" i="1"/>
  <c r="C14" i="1"/>
  <c r="C13" i="1" l="1"/>
  <c r="R9" i="6"/>
  <c r="Q9" i="1"/>
  <c r="P9" i="1"/>
  <c r="P10" i="1"/>
  <c r="Q12" i="1"/>
  <c r="P12" i="1"/>
  <c r="C36" i="6"/>
  <c r="C9" i="6"/>
  <c r="Q13" i="1" l="1"/>
  <c r="Q11" i="1"/>
  <c r="Q10" i="1"/>
  <c r="Q8" i="1"/>
  <c r="Q7" i="1"/>
  <c r="Q5" i="1"/>
  <c r="Q3" i="1"/>
  <c r="P11" i="1"/>
  <c r="P7" i="1"/>
  <c r="P8" i="1"/>
  <c r="P5" i="1"/>
  <c r="P4" i="1"/>
  <c r="P3" i="1"/>
  <c r="C4" i="1"/>
  <c r="C5" i="1"/>
  <c r="C6" i="1"/>
  <c r="C7" i="1"/>
  <c r="C8" i="1"/>
  <c r="C10" i="1"/>
  <c r="C11" i="1"/>
  <c r="C15" i="1"/>
  <c r="C16" i="1"/>
  <c r="C17" i="1"/>
  <c r="C18" i="1"/>
  <c r="C3" i="1"/>
  <c r="C4" i="6" l="1"/>
  <c r="R73" i="6"/>
  <c r="C73" i="6"/>
  <c r="R72" i="6"/>
  <c r="C72" i="6"/>
  <c r="R71" i="6"/>
  <c r="C71" i="6"/>
  <c r="R70" i="6"/>
  <c r="C70" i="6"/>
  <c r="R69" i="6"/>
  <c r="C69" i="6"/>
  <c r="R68" i="6"/>
  <c r="C68" i="6"/>
  <c r="R67" i="6"/>
  <c r="C67" i="6"/>
  <c r="R66" i="6"/>
  <c r="C66" i="6"/>
  <c r="R65" i="6"/>
  <c r="C65" i="6"/>
  <c r="R64" i="6"/>
  <c r="C64" i="6"/>
  <c r="R63" i="6"/>
  <c r="C63" i="6"/>
  <c r="R62" i="6"/>
  <c r="C62" i="6"/>
  <c r="R61" i="6"/>
  <c r="C61" i="6"/>
  <c r="R60" i="6"/>
  <c r="C60" i="6"/>
  <c r="R59" i="6"/>
  <c r="C59" i="6"/>
  <c r="R58" i="6"/>
  <c r="C58" i="6"/>
  <c r="R57" i="6"/>
  <c r="C57" i="6"/>
  <c r="R56" i="6"/>
  <c r="C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C39" i="6"/>
  <c r="R37" i="6"/>
  <c r="C37" i="6"/>
  <c r="R35" i="6"/>
  <c r="C35" i="6"/>
  <c r="R34" i="6"/>
  <c r="C34" i="6"/>
  <c r="R33" i="6"/>
  <c r="C33" i="6"/>
  <c r="R32" i="6"/>
  <c r="C32" i="6"/>
  <c r="R31" i="6"/>
  <c r="C31" i="6"/>
  <c r="R30" i="6"/>
  <c r="C30" i="6"/>
  <c r="R29" i="6"/>
  <c r="C29" i="6"/>
  <c r="R28" i="6"/>
  <c r="C28" i="6"/>
  <c r="R11" i="6"/>
  <c r="C11" i="6"/>
  <c r="R8" i="6"/>
  <c r="C8" i="6"/>
  <c r="R7" i="6"/>
  <c r="C7" i="6"/>
  <c r="R6" i="6"/>
  <c r="C6" i="6"/>
  <c r="R5" i="6"/>
  <c r="C5" i="6"/>
  <c r="R4" i="6"/>
  <c r="B73" i="3" l="1"/>
  <c r="B66" i="3"/>
  <c r="B59" i="3"/>
  <c r="B52" i="3"/>
  <c r="B45" i="3"/>
  <c r="B38" i="3"/>
  <c r="B31" i="3"/>
  <c r="B24" i="3"/>
  <c r="B17" i="3"/>
  <c r="B10" i="3"/>
  <c r="C49" i="1" l="1"/>
  <c r="C35" i="1"/>
  <c r="C32" i="1"/>
  <c r="B80" i="3"/>
  <c r="C38" i="1"/>
  <c r="C39" i="1"/>
  <c r="C42" i="1"/>
  <c r="C44" i="1"/>
  <c r="C33" i="1"/>
  <c r="C31" i="1"/>
  <c r="C41" i="1"/>
  <c r="C36" i="1"/>
  <c r="C45" i="1"/>
  <c r="C37" i="1"/>
  <c r="C48" i="1"/>
  <c r="C34" i="1"/>
  <c r="C43" i="1"/>
  <c r="B227" i="3" s="1"/>
  <c r="C50" i="1"/>
  <c r="B87" i="3"/>
  <c r="C40" i="1"/>
  <c r="C47" i="1"/>
  <c r="C46" i="1"/>
  <c r="B269" i="3" l="1"/>
  <c r="B108" i="3"/>
  <c r="B185" i="3"/>
  <c r="B94" i="3"/>
  <c r="B262" i="3"/>
  <c r="B157" i="3"/>
  <c r="B150" i="3"/>
  <c r="B255" i="3"/>
  <c r="B164" i="3"/>
  <c r="B234" i="3"/>
  <c r="B101" i="3"/>
  <c r="B129" i="3"/>
  <c r="B136" i="3"/>
  <c r="B199" i="3"/>
  <c r="B206" i="3"/>
  <c r="B241" i="3"/>
  <c r="B178" i="3"/>
  <c r="B192" i="3"/>
  <c r="B213" i="3"/>
  <c r="B220" i="3"/>
  <c r="B115" i="3"/>
  <c r="B122" i="3"/>
  <c r="B248" i="3"/>
  <c r="B143" i="3"/>
  <c r="B171" i="3"/>
</calcChain>
</file>

<file path=xl/sharedStrings.xml><?xml version="1.0" encoding="utf-8"?>
<sst xmlns="http://schemas.openxmlformats.org/spreadsheetml/2006/main" count="4670" uniqueCount="1470">
  <si>
    <t>Date
(YYYY-MM-DD)</t>
    <phoneticPr fontId="1" type="noConversion"/>
  </si>
  <si>
    <t>Version</t>
    <phoneticPr fontId="1" type="noConversion"/>
  </si>
  <si>
    <t>Editor</t>
    <phoneticPr fontId="1" type="noConversion"/>
  </si>
  <si>
    <t>Chapter</t>
    <phoneticPr fontId="1" type="noConversion"/>
  </si>
  <si>
    <t>Contents</t>
    <phoneticPr fontId="1" type="noConversion"/>
  </si>
  <si>
    <t>0.1</t>
    <phoneticPr fontId="1" type="noConversion"/>
  </si>
  <si>
    <t>YS.KIM</t>
    <phoneticPr fontId="1" type="noConversion"/>
  </si>
  <si>
    <t>All</t>
    <phoneticPr fontId="1" type="noConversion"/>
  </si>
  <si>
    <t>Initial version released</t>
    <phoneticPr fontId="1" type="noConversion"/>
  </si>
  <si>
    <t>0.1.1</t>
    <phoneticPr fontId="1" type="noConversion"/>
  </si>
  <si>
    <t>K.LEE</t>
    <phoneticPr fontId="1" type="noConversion"/>
  </si>
  <si>
    <t>GPIOx CFG</t>
    <phoneticPr fontId="1" type="noConversion"/>
  </si>
  <si>
    <t>Modified GPIO configuration bits</t>
    <phoneticPr fontId="1" type="noConversion"/>
  </si>
  <si>
    <t>0.1.2</t>
    <phoneticPr fontId="1" type="noConversion"/>
  </si>
  <si>
    <t>BC.CHO</t>
    <phoneticPr fontId="1" type="noConversion"/>
  </si>
  <si>
    <t>Command</t>
    <phoneticPr fontId="1" type="noConversion"/>
  </si>
  <si>
    <t>Data bits</t>
    <phoneticPr fontId="1" type="noConversion"/>
  </si>
  <si>
    <t>Encoding</t>
    <phoneticPr fontId="1" type="noConversion"/>
  </si>
  <si>
    <t>* Command Encoding description</t>
    <phoneticPr fontId="1" type="noConversion"/>
  </si>
  <si>
    <t>RESET</t>
    <phoneticPr fontId="1" type="noConversion"/>
  </si>
  <si>
    <t>[7:5]</t>
    <phoneticPr fontId="1" type="noConversion"/>
  </si>
  <si>
    <t>3'b111</t>
    <phoneticPr fontId="1" type="noConversion"/>
  </si>
  <si>
    <t>Write command</t>
    <phoneticPr fontId="1" type="noConversion"/>
  </si>
  <si>
    <t>GOLOWPOWER</t>
    <phoneticPr fontId="1" type="noConversion"/>
  </si>
  <si>
    <t>3'b001</t>
    <phoneticPr fontId="1" type="noConversion"/>
  </si>
  <si>
    <t>Read command</t>
    <phoneticPr fontId="1" type="noConversion"/>
  </si>
  <si>
    <t>CLRERROR</t>
  </si>
  <si>
    <t>SET_SETUP1</t>
    <phoneticPr fontId="1" type="noConversion"/>
  </si>
  <si>
    <t>[5:0]</t>
    <phoneticPr fontId="1" type="noConversion"/>
  </si>
  <si>
    <t>Register Address</t>
    <phoneticPr fontId="1" type="noConversion"/>
  </si>
  <si>
    <t>SET_SETUP2</t>
    <phoneticPr fontId="1" type="noConversion"/>
  </si>
  <si>
    <t>SET_SETUP3</t>
    <phoneticPr fontId="1" type="noConversion"/>
  </si>
  <si>
    <t>READ_STATUS1</t>
    <phoneticPr fontId="1" type="noConversion"/>
  </si>
  <si>
    <t>READ_STATUS2</t>
    <phoneticPr fontId="1" type="noConversion"/>
  </si>
  <si>
    <t>READ_STATUS3</t>
    <phoneticPr fontId="1" type="noConversion"/>
  </si>
  <si>
    <t>READ_TEMP</t>
    <phoneticPr fontId="1" type="noConversion"/>
  </si>
  <si>
    <t>READ_VEXT_GPIO1</t>
    <phoneticPr fontId="1" type="noConversion"/>
  </si>
  <si>
    <t>READ_VEXT_GPIO2</t>
    <phoneticPr fontId="1" type="noConversion"/>
  </si>
  <si>
    <t>READ_SETUP1</t>
    <phoneticPr fontId="1" type="noConversion"/>
  </si>
  <si>
    <t>READ_SETUP2</t>
    <phoneticPr fontId="1" type="noConversion"/>
  </si>
  <si>
    <t>READ_SETUP3</t>
    <phoneticPr fontId="1" type="noConversion"/>
  </si>
  <si>
    <t>Address</t>
    <phoneticPr fontId="1" type="noConversion"/>
  </si>
  <si>
    <t>Name</t>
    <phoneticPr fontId="1" type="noConversion"/>
  </si>
  <si>
    <t>Bit 11</t>
  </si>
  <si>
    <t>Bit 10</t>
  </si>
  <si>
    <t>Bit 9</t>
  </si>
  <si>
    <t>Bit 8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</si>
  <si>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</si>
  <si>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</si>
  <si>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</si>
  <si>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</si>
  <si>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</si>
  <si>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</si>
  <si>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</si>
  <si>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</si>
  <si>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Default Value
(bin)</t>
    <phoneticPr fontId="1" type="noConversion"/>
  </si>
  <si>
    <t>Default Value
(hex)</t>
    <phoneticPr fontId="1" type="noConversion"/>
  </si>
  <si>
    <t>0x00</t>
    <phoneticPr fontId="1" type="noConversion"/>
  </si>
  <si>
    <t>IC_STATE[3:0] (TBD)</t>
    <phoneticPr fontId="1" type="noConversion"/>
  </si>
  <si>
    <t>NA</t>
    <phoneticPr fontId="1" type="noConversion"/>
  </si>
  <si>
    <t>RFREQ_STATUS</t>
    <phoneticPr fontId="1" type="noConversion"/>
  </si>
  <si>
    <t>MASTER_MODE</t>
    <phoneticPr fontId="1" type="noConversion"/>
  </si>
  <si>
    <t>DEV_ADDR[2:0]</t>
    <phoneticPr fontId="1" type="noConversion"/>
  </si>
  <si>
    <t>0x01</t>
    <phoneticPr fontId="1" type="noConversion"/>
  </si>
  <si>
    <t>필요시, 
CAN_STATUS</t>
    <phoneticPr fontId="1" type="noConversion"/>
  </si>
  <si>
    <t>POR</t>
    <phoneticPr fontId="1" type="noConversion"/>
  </si>
  <si>
    <t>OTPCRC_FLT</t>
    <phoneticPr fontId="1" type="noConversion"/>
  </si>
  <si>
    <t>BUCK_OV</t>
    <phoneticPr fontId="1" type="noConversion"/>
  </si>
  <si>
    <t>BUCK_UV</t>
    <phoneticPr fontId="1" type="noConversion"/>
  </si>
  <si>
    <t>BUCK_UV_CRIT</t>
    <phoneticPr fontId="1" type="noConversion"/>
  </si>
  <si>
    <t>BUCK_OC</t>
    <phoneticPr fontId="1" type="noConversion"/>
  </si>
  <si>
    <t>BOOT_UV</t>
    <phoneticPr fontId="1" type="noConversion"/>
  </si>
  <si>
    <t>TW</t>
    <phoneticPr fontId="1" type="noConversion"/>
  </si>
  <si>
    <t>VC_OV</t>
    <phoneticPr fontId="1" type="noConversion"/>
  </si>
  <si>
    <t>VDD5_UV</t>
    <phoneticPr fontId="1" type="noConversion"/>
  </si>
  <si>
    <t>0x02</t>
    <phoneticPr fontId="1" type="noConversion"/>
  </si>
  <si>
    <t>GPIO2_FALLING_DET</t>
    <phoneticPr fontId="1" type="noConversion"/>
  </si>
  <si>
    <t>GPIO2_RISING_DET</t>
    <phoneticPr fontId="1" type="noConversion"/>
  </si>
  <si>
    <t>GPIO2_STATUS</t>
    <phoneticPr fontId="1" type="noConversion"/>
  </si>
  <si>
    <t>GPIO1_FALLING_DET</t>
    <phoneticPr fontId="1" type="noConversion"/>
  </si>
  <si>
    <t>GPIO1_RISING_DET</t>
    <phoneticPr fontId="1" type="noConversion"/>
  </si>
  <si>
    <t>GPIO1_STATUS</t>
    <phoneticPr fontId="1" type="noConversion"/>
  </si>
  <si>
    <t>GPIO0_FALLING_DET</t>
    <phoneticPr fontId="1" type="noConversion"/>
  </si>
  <si>
    <t>GPIO0_RISING_DET</t>
    <phoneticPr fontId="1" type="noConversion"/>
  </si>
  <si>
    <t>GPIO0_STATUS</t>
    <phoneticPr fontId="1" type="noConversion"/>
  </si>
  <si>
    <t>T_OUT
(TBD)</t>
    <phoneticPr fontId="1" type="noConversion"/>
  </si>
  <si>
    <t>CRC_FLT</t>
    <phoneticPr fontId="1" type="noConversion"/>
  </si>
  <si>
    <t>COM_FLT</t>
    <phoneticPr fontId="1" type="noConversion"/>
  </si>
  <si>
    <t>0x03</t>
    <phoneticPr fontId="1" type="noConversion"/>
  </si>
  <si>
    <t>TEMPERATURE[9:0]</t>
    <phoneticPr fontId="1" type="noConversion"/>
  </si>
  <si>
    <t>0x04</t>
    <phoneticPr fontId="1" type="noConversion"/>
  </si>
  <si>
    <t>VEXT_GPIO1[9:0]</t>
    <phoneticPr fontId="1" type="noConversion"/>
  </si>
  <si>
    <t>0x05</t>
    <phoneticPr fontId="1" type="noConversion"/>
  </si>
  <si>
    <t>VEXT_GPIO2[9:0]</t>
    <phoneticPr fontId="1" type="noConversion"/>
  </si>
  <si>
    <t>0x06</t>
    <phoneticPr fontId="1" type="noConversion"/>
  </si>
  <si>
    <t>SSC
_MODE</t>
    <phoneticPr fontId="1" type="noConversion"/>
  </si>
  <si>
    <t>BUCK_DISCHARGE</t>
    <phoneticPr fontId="1" type="noConversion"/>
  </si>
  <si>
    <t>BUCK_OC_FLT_EN</t>
    <phoneticPr fontId="1" type="noConversion"/>
  </si>
  <si>
    <t>FM_FREQ[2:0]</t>
    <phoneticPr fontId="1" type="noConversion"/>
  </si>
  <si>
    <t>BUCK_OC
_FILTER_TIME[1:0]</t>
    <phoneticPr fontId="1" type="noConversion"/>
  </si>
  <si>
    <t>BUCK_EN</t>
    <phoneticPr fontId="1" type="noConversion"/>
  </si>
  <si>
    <t>0x07</t>
    <phoneticPr fontId="1" type="noConversion"/>
  </si>
  <si>
    <t>GPIO2
_OUT</t>
    <phoneticPr fontId="1" type="noConversion"/>
  </si>
  <si>
    <t>GPIO2_OUT_TYPE</t>
    <phoneticPr fontId="1" type="noConversion"/>
  </si>
  <si>
    <t>GPIO2_VEXT_EN</t>
    <phoneticPr fontId="1" type="noConversion"/>
  </si>
  <si>
    <t>GPIO2_MODE</t>
    <phoneticPr fontId="1" type="noConversion"/>
  </si>
  <si>
    <t>GPIO1
_OUT</t>
    <phoneticPr fontId="1" type="noConversion"/>
  </si>
  <si>
    <t>GPIO1_OUT_TYPE</t>
    <phoneticPr fontId="1" type="noConversion"/>
  </si>
  <si>
    <t>GPIO1_VEXT_EN</t>
    <phoneticPr fontId="1" type="noConversion"/>
  </si>
  <si>
    <t>GPIO1_MODE</t>
    <phoneticPr fontId="1" type="noConversion"/>
  </si>
  <si>
    <t>GPIO0
_OUT</t>
    <phoneticPr fontId="1" type="noConversion"/>
  </si>
  <si>
    <t>GPIO0_OUT_TYPE</t>
    <phoneticPr fontId="1" type="noConversion"/>
  </si>
  <si>
    <t>GPIO0_BUCK_CTRL_EN</t>
    <phoneticPr fontId="1" type="noConversion"/>
  </si>
  <si>
    <t>GPIO0_MODE</t>
    <phoneticPr fontId="1" type="noConversion"/>
  </si>
  <si>
    <t>0x08</t>
    <phoneticPr fontId="1" type="noConversion"/>
  </si>
  <si>
    <t>CAN_BYPASS_TX_EN</t>
    <phoneticPr fontId="1" type="noConversion"/>
  </si>
  <si>
    <t>CAN_BYPASS_RX_EN</t>
    <phoneticPr fontId="1" type="noConversion"/>
  </si>
  <si>
    <t>GPIO2_PD_EN</t>
    <phoneticPr fontId="1" type="noConversion"/>
  </si>
  <si>
    <t>GPIO1_PD_EN</t>
    <phoneticPr fontId="1" type="noConversion"/>
  </si>
  <si>
    <t>GPIO0_PD_EN</t>
    <phoneticPr fontId="1" type="noConversion"/>
  </si>
  <si>
    <t>0x09</t>
    <phoneticPr fontId="1" type="noConversion"/>
  </si>
  <si>
    <t>TIMEOUT[11:0](TBD)</t>
    <phoneticPr fontId="1" type="noConversion"/>
  </si>
  <si>
    <t>0x0A</t>
    <phoneticPr fontId="1" type="noConversion"/>
  </si>
  <si>
    <t>0x0B</t>
    <phoneticPr fontId="1" type="noConversion"/>
  </si>
  <si>
    <t>0x0C</t>
    <phoneticPr fontId="1" type="noConversion"/>
  </si>
  <si>
    <t>0x0D</t>
    <phoneticPr fontId="1" type="noConversion"/>
  </si>
  <si>
    <t>0x0E</t>
    <phoneticPr fontId="1" type="noConversion"/>
  </si>
  <si>
    <t>0x10</t>
    <phoneticPr fontId="1" type="noConversion"/>
  </si>
  <si>
    <t>0x20</t>
    <phoneticPr fontId="1" type="noConversion"/>
  </si>
  <si>
    <t>0x21</t>
    <phoneticPr fontId="1" type="noConversion"/>
  </si>
  <si>
    <t>0x22</t>
    <phoneticPr fontId="1" type="noConversion"/>
  </si>
  <si>
    <t>0x30</t>
    <phoneticPr fontId="1" type="noConversion"/>
  </si>
  <si>
    <t>0x31</t>
    <phoneticPr fontId="1" type="noConversion"/>
  </si>
  <si>
    <t>0x32</t>
    <phoneticPr fontId="1" type="noConversion"/>
  </si>
  <si>
    <t>0x33</t>
    <phoneticPr fontId="1" type="noConversion"/>
  </si>
  <si>
    <t>0x34</t>
    <phoneticPr fontId="1" type="noConversion"/>
  </si>
  <si>
    <t>0x35</t>
    <phoneticPr fontId="1" type="noConversion"/>
  </si>
  <si>
    <t>0x36</t>
    <phoneticPr fontId="1" type="noConversion"/>
  </si>
  <si>
    <t>0x37</t>
    <phoneticPr fontId="1" type="noConversion"/>
  </si>
  <si>
    <t>0x38</t>
    <phoneticPr fontId="1" type="noConversion"/>
  </si>
  <si>
    <t>0x39</t>
    <phoneticPr fontId="1" type="noConversion"/>
  </si>
  <si>
    <t>0x40</t>
    <phoneticPr fontId="1" type="noConversion"/>
  </si>
  <si>
    <t>0x41</t>
    <phoneticPr fontId="1" type="noConversion"/>
  </si>
  <si>
    <t>0x42</t>
    <phoneticPr fontId="1" type="noConversion"/>
  </si>
  <si>
    <t>0x43</t>
    <phoneticPr fontId="1" type="noConversion"/>
  </si>
  <si>
    <t>0x44</t>
    <phoneticPr fontId="1" type="noConversion"/>
  </si>
  <si>
    <t>0x45</t>
    <phoneticPr fontId="1" type="noConversion"/>
  </si>
  <si>
    <t>0x46</t>
    <phoneticPr fontId="1" type="noConversion"/>
  </si>
  <si>
    <t>0x47</t>
    <phoneticPr fontId="1" type="noConversion"/>
  </si>
  <si>
    <t>0x48</t>
    <phoneticPr fontId="1" type="noConversion"/>
  </si>
  <si>
    <t>0x50</t>
    <phoneticPr fontId="1" type="noConversion"/>
  </si>
  <si>
    <t>0x51</t>
    <phoneticPr fontId="1" type="noConversion"/>
  </si>
  <si>
    <t>0x52</t>
    <phoneticPr fontId="1" type="noConversion"/>
  </si>
  <si>
    <t>0x53</t>
    <phoneticPr fontId="1" type="noConversion"/>
  </si>
  <si>
    <t>0x54</t>
    <phoneticPr fontId="1" type="noConversion"/>
  </si>
  <si>
    <t>0x60</t>
    <phoneticPr fontId="1" type="noConversion"/>
  </si>
  <si>
    <t>Description</t>
    <phoneticPr fontId="1" type="noConversion"/>
  </si>
  <si>
    <t>Reset Source</t>
    <phoneticPr fontId="1" type="noConversion"/>
  </si>
  <si>
    <r>
      <t>POR : release at VDD5 &gt; V</t>
    </r>
    <r>
      <rPr>
        <vertAlign val="subscript"/>
        <sz val="8"/>
        <color theme="1"/>
        <rFont val="맑은 고딕"/>
        <family val="3"/>
        <charset val="129"/>
        <scheme val="minor"/>
      </rPr>
      <t>POR_VDD5</t>
    </r>
    <phoneticPr fontId="1" type="noConversion"/>
  </si>
  <si>
    <t>SWRES : RESET command by MCU</t>
    <phoneticPr fontId="1" type="noConversion"/>
  </si>
  <si>
    <t>Action items</t>
    <phoneticPr fontId="1" type="noConversion"/>
  </si>
  <si>
    <t>1. CAN BUS 관련 Configure / Status register 검토</t>
    <phoneticPr fontId="1" type="noConversion"/>
  </si>
  <si>
    <t>Comment</t>
    <phoneticPr fontId="1" type="noConversion"/>
  </si>
  <si>
    <t>STATUS1</t>
    <phoneticPr fontId="1" type="noConversion"/>
  </si>
  <si>
    <t>Content</t>
    <phoneticPr fontId="1" type="noConversion"/>
  </si>
  <si>
    <t>Reset Value</t>
    <phoneticPr fontId="1" type="noConversion"/>
  </si>
  <si>
    <t>POR, SWRES</t>
    <phoneticPr fontId="1" type="noConversion"/>
  </si>
  <si>
    <t>Access</t>
    <phoneticPr fontId="1" type="noConversion"/>
  </si>
  <si>
    <t>R</t>
    <phoneticPr fontId="1" type="noConversion"/>
  </si>
  <si>
    <t>Bit Description</t>
    <phoneticPr fontId="1" type="noConversion"/>
  </si>
  <si>
    <t xml:space="preserve">IC_STATE : </t>
    <phoneticPr fontId="1" type="noConversion"/>
  </si>
  <si>
    <t>Represent current IC state.
0x0 : POWER_OFF (default)
0x1 : LOW_POWER
0x2 : NORMAL
0x3 : FAULT
…......................</t>
    <phoneticPr fontId="1" type="noConversion"/>
  </si>
  <si>
    <t xml:space="preserve">RFREQ_STATUS : </t>
    <phoneticPr fontId="1" type="noConversion"/>
  </si>
  <si>
    <t>RFREQ pin value
0: No Open or Short (internal BUCK using)
1: Open or Short (external BUCK using)</t>
    <phoneticPr fontId="1" type="noConversion"/>
  </si>
  <si>
    <t xml:space="preserve">MASTER_MODE : </t>
    <phoneticPr fontId="1" type="noConversion"/>
  </si>
  <si>
    <t>Device Master Mode status
1: ADDR0 pin hi-z as master
0: ADDR0 pin not hi-z as slave</t>
    <phoneticPr fontId="1" type="noConversion"/>
  </si>
  <si>
    <t xml:space="preserve">DEV_ADDR : </t>
    <phoneticPr fontId="1" type="noConversion"/>
  </si>
  <si>
    <t>Device Address configured by ADDR0/ADDR1/ADDR2 pins</t>
    <phoneticPr fontId="1" type="noConversion"/>
  </si>
  <si>
    <t>STATUS2</t>
    <phoneticPr fontId="1" type="noConversion"/>
  </si>
  <si>
    <t>RC</t>
    <phoneticPr fontId="1" type="noConversion"/>
  </si>
  <si>
    <t xml:space="preserve">POR : </t>
    <phoneticPr fontId="1" type="noConversion"/>
  </si>
  <si>
    <t>1 : POR occurred</t>
    <phoneticPr fontId="1" type="noConversion"/>
  </si>
  <si>
    <t xml:space="preserve">OTPCRC_FLT : </t>
    <phoneticPr fontId="1" type="noConversion"/>
  </si>
  <si>
    <t>1 : This is set during startup and working when a mismatch between the OTP values and the internal CRC is detected</t>
    <phoneticPr fontId="1" type="noConversion"/>
  </si>
  <si>
    <t xml:space="preserve">BUCK_OV : </t>
    <phoneticPr fontId="1" type="noConversion"/>
  </si>
  <si>
    <t xml:space="preserve">BUCK_UV : </t>
    <phoneticPr fontId="1" type="noConversion"/>
  </si>
  <si>
    <t xml:space="preserve">BUCK_UV_CRIT : </t>
    <phoneticPr fontId="1" type="noConversion"/>
  </si>
  <si>
    <t xml:space="preserve">BUCK_OC : </t>
    <phoneticPr fontId="1" type="noConversion"/>
  </si>
  <si>
    <t xml:space="preserve">TW : </t>
    <phoneticPr fontId="1" type="noConversion"/>
  </si>
  <si>
    <t xml:space="preserve">VC_OV : </t>
    <phoneticPr fontId="1" type="noConversion"/>
  </si>
  <si>
    <t xml:space="preserve">VDD5_UV : </t>
    <phoneticPr fontId="1" type="noConversion"/>
  </si>
  <si>
    <t>STATUS3</t>
    <phoneticPr fontId="1" type="noConversion"/>
  </si>
  <si>
    <t>T_OUT</t>
    <phoneticPr fontId="1" type="noConversion"/>
  </si>
  <si>
    <t xml:space="preserve">GPIO2_FALLING_DET : </t>
    <phoneticPr fontId="1" type="noConversion"/>
  </si>
  <si>
    <t>1 : GPIO2 input falling edge detected flag</t>
    <phoneticPr fontId="1" type="noConversion"/>
  </si>
  <si>
    <t xml:space="preserve">GPIO2_RISING_DET : </t>
    <phoneticPr fontId="1" type="noConversion"/>
  </si>
  <si>
    <t>1 : GPIO2 input rising edge detected flag</t>
    <phoneticPr fontId="1" type="noConversion"/>
  </si>
  <si>
    <t xml:space="preserve">GPIO2_STATUS : </t>
    <phoneticPr fontId="1" type="noConversion"/>
  </si>
  <si>
    <t>GPIO2 input live status</t>
    <phoneticPr fontId="1" type="noConversion"/>
  </si>
  <si>
    <t xml:space="preserve">GPIO1_FALLING_DET : </t>
    <phoneticPr fontId="1" type="noConversion"/>
  </si>
  <si>
    <t>1 : GPIO1 input falling edge detected flag</t>
    <phoneticPr fontId="1" type="noConversion"/>
  </si>
  <si>
    <t xml:space="preserve">GPIO1_RISING_DET : </t>
    <phoneticPr fontId="1" type="noConversion"/>
  </si>
  <si>
    <t>1 : GPIO1 input rising edge detected flag</t>
    <phoneticPr fontId="1" type="noConversion"/>
  </si>
  <si>
    <t xml:space="preserve">GPIO1_STATUS : </t>
    <phoneticPr fontId="1" type="noConversion"/>
  </si>
  <si>
    <t>GPIO1 input live status</t>
    <phoneticPr fontId="1" type="noConversion"/>
  </si>
  <si>
    <t xml:space="preserve">GPIO0_FALLING_DET : </t>
    <phoneticPr fontId="1" type="noConversion"/>
  </si>
  <si>
    <t>1 : GPIO0 input falling edge detected flag</t>
    <phoneticPr fontId="1" type="noConversion"/>
  </si>
  <si>
    <t xml:space="preserve">GPIO0_RISING_DET : </t>
    <phoneticPr fontId="1" type="noConversion"/>
  </si>
  <si>
    <t>1 : GPIO0 input rising edge detected flag</t>
    <phoneticPr fontId="1" type="noConversion"/>
  </si>
  <si>
    <t xml:space="preserve">GPIO0_STATUS : </t>
    <phoneticPr fontId="1" type="noConversion"/>
  </si>
  <si>
    <t>GPIO0 input live status</t>
    <phoneticPr fontId="1" type="noConversion"/>
  </si>
  <si>
    <t xml:space="preserve">T_OUT : </t>
    <phoneticPr fontId="1" type="noConversion"/>
  </si>
  <si>
    <t>1 : Communication upstream time out flag</t>
    <phoneticPr fontId="1" type="noConversion"/>
  </si>
  <si>
    <t xml:space="preserve">CRC_FLT : </t>
    <phoneticPr fontId="1" type="noConversion"/>
  </si>
  <si>
    <t>1 : Communication CRC fault flag</t>
    <phoneticPr fontId="1" type="noConversion"/>
  </si>
  <si>
    <t xml:space="preserve">COM_FLT : </t>
    <phoneticPr fontId="1" type="noConversion"/>
  </si>
  <si>
    <t>1 : Communication fault flag</t>
    <phoneticPr fontId="1" type="noConversion"/>
  </si>
  <si>
    <t>TEMP</t>
    <phoneticPr fontId="1" type="noConversion"/>
  </si>
  <si>
    <t xml:space="preserve">TEMPERATURE : </t>
    <phoneticPr fontId="1" type="noConversion"/>
  </si>
  <si>
    <t>Temperature ADC data</t>
    <phoneticPr fontId="1" type="noConversion"/>
  </si>
  <si>
    <t>VEXT_GPIO1</t>
    <phoneticPr fontId="1" type="noConversion"/>
  </si>
  <si>
    <t xml:space="preserve">VEXT_GPIO1 : </t>
    <phoneticPr fontId="1" type="noConversion"/>
  </si>
  <si>
    <t>VEXT_GPIO2</t>
    <phoneticPr fontId="1" type="noConversion"/>
  </si>
  <si>
    <t>BIST FAIL 항목 검토 필요</t>
    <phoneticPr fontId="1" type="noConversion"/>
  </si>
  <si>
    <t xml:space="preserve">VEXT_GPIO2 : </t>
    <phoneticPr fontId="1" type="noConversion"/>
  </si>
  <si>
    <t>SETUP1</t>
    <phoneticPr fontId="1" type="noConversion"/>
  </si>
  <si>
    <t>SSC_MODE</t>
    <phoneticPr fontId="1" type="noConversion"/>
  </si>
  <si>
    <t>RW</t>
    <phoneticPr fontId="1" type="noConversion"/>
  </si>
  <si>
    <t xml:space="preserve">BUCK_OC_FLT_EN : </t>
    <phoneticPr fontId="1" type="noConversion"/>
  </si>
  <si>
    <t xml:space="preserve">FM_FREQ : </t>
    <phoneticPr fontId="1" type="noConversion"/>
  </si>
  <si>
    <t xml:space="preserve">BUCK_OC_FILTER_TIME : </t>
    <phoneticPr fontId="1" type="noConversion"/>
  </si>
  <si>
    <t>BUCK OC fault debounce filter time 
0x0 = 125us / 0x1 = 250us / 0x2 = 500us / 0x3 = 1ms(default)</t>
    <phoneticPr fontId="1" type="noConversion"/>
  </si>
  <si>
    <t xml:space="preserve">SSC_EN : </t>
    <phoneticPr fontId="1" type="noConversion"/>
  </si>
  <si>
    <t xml:space="preserve">BUCK_EN : </t>
    <phoneticPr fontId="1" type="noConversion"/>
  </si>
  <si>
    <t>SETUP2</t>
    <phoneticPr fontId="1" type="noConversion"/>
  </si>
  <si>
    <t xml:space="preserve">GPIO2_OUT : </t>
    <phoneticPr fontId="1" type="noConversion"/>
  </si>
  <si>
    <t>0 : GPIO2 pin output make 'Low' (default)
1 : GPIO2 pin output make 'High'</t>
    <phoneticPr fontId="1" type="noConversion"/>
  </si>
  <si>
    <t>GPIO2_OUT_TYPE :</t>
    <phoneticPr fontId="1" type="noConversion"/>
  </si>
  <si>
    <t>0 : Push-Pull output (default)
1 : Open-Drain output</t>
    <phoneticPr fontId="1" type="noConversion"/>
  </si>
  <si>
    <t xml:space="preserve">GPIO2_VEXT_EN : </t>
    <phoneticPr fontId="1" type="noConversion"/>
  </si>
  <si>
    <t xml:space="preserve">GPIO2_MODE : </t>
    <phoneticPr fontId="1" type="noConversion"/>
  </si>
  <si>
    <t>GPIO2 pin Mode configuration
0 : input mode (default)
1 : output mode</t>
    <phoneticPr fontId="1" type="noConversion"/>
  </si>
  <si>
    <t xml:space="preserve">GPIO1_OUT : </t>
    <phoneticPr fontId="1" type="noConversion"/>
  </si>
  <si>
    <t>0 : GPIO1 pin output make 'Low' (default)
1 : GPIO1 pin output make 'High'</t>
    <phoneticPr fontId="1" type="noConversion"/>
  </si>
  <si>
    <t>GPIO1_OUT_TYPE :</t>
    <phoneticPr fontId="1" type="noConversion"/>
  </si>
  <si>
    <t xml:space="preserve">GPIO1_VEXT_EN : </t>
    <phoneticPr fontId="1" type="noConversion"/>
  </si>
  <si>
    <t xml:space="preserve">GPIO1_MODE : </t>
    <phoneticPr fontId="1" type="noConversion"/>
  </si>
  <si>
    <t xml:space="preserve">GPIO0_OUT : </t>
    <phoneticPr fontId="1" type="noConversion"/>
  </si>
  <si>
    <t>0 : GPIO0 pin output make 'Low' (default)
1 : GPIO0 pin output make 'High'</t>
    <phoneticPr fontId="1" type="noConversion"/>
  </si>
  <si>
    <t>GPIO0_OUT_TYPE :</t>
    <phoneticPr fontId="1" type="noConversion"/>
  </si>
  <si>
    <t xml:space="preserve">GPIO0_BUCK_CTRL_EN : </t>
    <phoneticPr fontId="1" type="noConversion"/>
  </si>
  <si>
    <t xml:space="preserve">GPIO0_MODE : </t>
    <phoneticPr fontId="1" type="noConversion"/>
  </si>
  <si>
    <t>GPIO0 pin Mode configuration
0 : input mode
1 : output mode (default)</t>
    <phoneticPr fontId="1" type="noConversion"/>
  </si>
  <si>
    <t>SETUP3</t>
    <phoneticPr fontId="1" type="noConversion"/>
  </si>
  <si>
    <t xml:space="preserve">CAN_BYPASS_TX_EN : </t>
    <phoneticPr fontId="1" type="noConversion"/>
  </si>
  <si>
    <t xml:space="preserve">CAN_BYPASS_RX_EN : </t>
    <phoneticPr fontId="1" type="noConversion"/>
  </si>
  <si>
    <t xml:space="preserve">GPIO2_PD_EN : </t>
    <phoneticPr fontId="1" type="noConversion"/>
  </si>
  <si>
    <t xml:space="preserve">GPIO1_PD_EN : </t>
    <phoneticPr fontId="1" type="noConversion"/>
  </si>
  <si>
    <t xml:space="preserve">GPIO0_PD_EN : </t>
    <phoneticPr fontId="1" type="noConversion"/>
  </si>
  <si>
    <t>TIMEOUT</t>
    <phoneticPr fontId="1" type="noConversion"/>
  </si>
  <si>
    <t>VB OV reaction 선택 추가
DUAL Supply 레지스터 추가</t>
    <phoneticPr fontId="1" type="noConversion"/>
  </si>
  <si>
    <t xml:space="preserve">TIMEOUT : </t>
    <phoneticPr fontId="1" type="noConversion"/>
  </si>
  <si>
    <t>Timeout time setting (Time = TIMEOUT * (mclk(32Mhz) * 2^11))</t>
    <phoneticPr fontId="1" type="noConversion"/>
  </si>
  <si>
    <t>ADDR</t>
    <phoneticPr fontId="15" type="noConversion"/>
  </si>
  <si>
    <t>Register</t>
    <phoneticPr fontId="15" type="noConversion"/>
  </si>
  <si>
    <t>Reset
Type</t>
  </si>
  <si>
    <t>Read
Write</t>
  </si>
  <si>
    <t>D15</t>
  </si>
  <si>
    <t>D14</t>
  </si>
  <si>
    <t>D13</t>
  </si>
  <si>
    <t>D12</t>
  </si>
  <si>
    <t>D11</t>
    <phoneticPr fontId="15" type="noConversion"/>
  </si>
  <si>
    <t>D10</t>
    <phoneticPr fontId="15" type="noConversion"/>
  </si>
  <si>
    <t>D9</t>
    <phoneticPr fontId="15" type="noConversion"/>
  </si>
  <si>
    <t>D8</t>
    <phoneticPr fontId="15" type="noConversion"/>
  </si>
  <si>
    <t>D7</t>
    <phoneticPr fontId="15" type="noConversion"/>
  </si>
  <si>
    <t>D6</t>
    <phoneticPr fontId="15" type="noConversion"/>
  </si>
  <si>
    <t>D5</t>
  </si>
  <si>
    <t>D4</t>
  </si>
  <si>
    <t>D3</t>
  </si>
  <si>
    <t>D2</t>
  </si>
  <si>
    <t>D1</t>
  </si>
  <si>
    <t>D0</t>
  </si>
  <si>
    <t>DEFAULT
bin</t>
  </si>
  <si>
    <t>DEFAULT</t>
  </si>
  <si>
    <t>I2C@TESTMODE</t>
  </si>
  <si>
    <t>0xE0</t>
    <phoneticPr fontId="1" type="noConversion"/>
  </si>
  <si>
    <t>dumy</t>
    <phoneticPr fontId="1" type="noConversion"/>
  </si>
  <si>
    <t>0xE1</t>
  </si>
  <si>
    <t>0xE2</t>
  </si>
  <si>
    <t>0xE3</t>
  </si>
  <si>
    <t>0xE4</t>
  </si>
  <si>
    <t>OTP1_MIRROR1</t>
    <phoneticPr fontId="1" type="noConversion"/>
  </si>
  <si>
    <t>0xE5</t>
  </si>
  <si>
    <t>OTP1_MIRROR2</t>
    <phoneticPr fontId="1" type="noConversion"/>
  </si>
  <si>
    <t>0xE6</t>
  </si>
  <si>
    <t>OTP1_MIRROR3</t>
  </si>
  <si>
    <t>0xE7</t>
  </si>
  <si>
    <t>OTP1_MIRROR4</t>
  </si>
  <si>
    <t>0xE8</t>
  </si>
  <si>
    <t>OTP1_MIRROR5</t>
  </si>
  <si>
    <t>0xE9</t>
  </si>
  <si>
    <t>OTP1_MIRROR6</t>
  </si>
  <si>
    <t>0xEA</t>
    <phoneticPr fontId="1" type="noConversion"/>
  </si>
  <si>
    <t>OTP1_MIRROR7</t>
  </si>
  <si>
    <t>0xEB</t>
    <phoneticPr fontId="1" type="noConversion"/>
  </si>
  <si>
    <t>OTP1_MIRROR8</t>
  </si>
  <si>
    <t>0xEC</t>
    <phoneticPr fontId="1" type="noConversion"/>
  </si>
  <si>
    <t>OTP1_MIRROR9</t>
  </si>
  <si>
    <t>0xED</t>
    <phoneticPr fontId="1" type="noConversion"/>
  </si>
  <si>
    <t>OTP1_MIRROR10</t>
  </si>
  <si>
    <t>0xEE</t>
    <phoneticPr fontId="1" type="noConversion"/>
  </si>
  <si>
    <t>OTP1_MIRROR11</t>
  </si>
  <si>
    <t>0xEF</t>
    <phoneticPr fontId="1" type="noConversion"/>
  </si>
  <si>
    <t>OTP1_MIRROR12</t>
  </si>
  <si>
    <t>OTP1_MIRROR13</t>
  </si>
  <si>
    <t>0xF1</t>
    <phoneticPr fontId="1" type="noConversion"/>
  </si>
  <si>
    <t>OTP2_MIRROR16</t>
  </si>
  <si>
    <t>0xF4</t>
  </si>
  <si>
    <t>OTP2_MIRROR17</t>
  </si>
  <si>
    <t>수정 필요</t>
    <phoneticPr fontId="1" type="noConversion"/>
  </si>
  <si>
    <t>VSEN TSD 1개로 통합</t>
    <phoneticPr fontId="1" type="noConversion"/>
  </si>
  <si>
    <t>O</t>
    <phoneticPr fontId="1" type="noConversion"/>
  </si>
  <si>
    <t>전원 BIST 레지스터 추가 (박홍섭 책임 메일 참고)
 ㄴ active / inactive 1bit - W
 ㄴ OV / UV 선택 1bit - W
 ㄴ OV/UV 결과가 BIST Function에 의한 결과이다 1bit - R</t>
    <phoneticPr fontId="1" type="noConversion"/>
  </si>
  <si>
    <t>WDO / RSO loop back error bit 추가</t>
    <phoneticPr fontId="1" type="noConversion"/>
  </si>
  <si>
    <t>여기에는 일단 auto랑 manual 모드를 선택하는걸 없애고 단순히 dual_sup mode를 활성화하는 비트만 있으면 될 것 같음.
DUAL_SUP_SEL 비트를 지워주시고, DUAL_SUP_MODE 를 à DUAL_SUP_MODE_EN으로 바꾸고
1이면 듀얼서플라이 활성화, 0이면 듀얼서플라이 비활성화(파워소스 VB로 고정) 이렇게 하는걸로 변경하시죠</t>
    <phoneticPr fontId="1" type="noConversion"/>
  </si>
  <si>
    <t>PWM Freq 5 10 15 20 KHz 추가 / HLSD PWM 삭제</t>
    <phoneticPr fontId="1" type="noConversion"/>
  </si>
  <si>
    <t>드라이버 slew fast / slow 선택 레지스터 추가</t>
    <phoneticPr fontId="1" type="noConversion"/>
  </si>
  <si>
    <t>SMPS Spread spectrum 선택 추가 (1(default)/2/4/8 KHz)</t>
    <phoneticPr fontId="1" type="noConversion"/>
  </si>
  <si>
    <t>RCUV / RCOV 레지스터 추가</t>
    <phoneticPr fontId="1" type="noConversion"/>
  </si>
  <si>
    <r>
      <t xml:space="preserve">0x08_IC_CFG3 | BIT 12 = VB_OV2_DRV_RST </t>
    </r>
    <r>
      <rPr>
        <sz val="10"/>
        <color theme="1"/>
        <rFont val="Wingdings"/>
        <charset val="2"/>
      </rPr>
      <t>à</t>
    </r>
    <r>
      <rPr>
        <sz val="10"/>
        <color theme="1"/>
        <rFont val="맑은 고딕"/>
        <family val="3"/>
        <charset val="129"/>
      </rPr>
      <t xml:space="preserve"> VB_OV_DRV_RST 로 변경 필요. 그리고 POR값은 1로 설정 필요</t>
    </r>
  </si>
  <si>
    <t>HS SCG를 HS OC로 명명하기로 했으므로
0x31_DRV_CFG2 | BIT 0 = HS_SCG_FILTER_TIME  HS_OC_FILTER_TIME 으로 변경 필요</t>
    <phoneticPr fontId="1" type="noConversion"/>
  </si>
  <si>
    <t>DUAL_SUP_MODE 디폴트 0 -&gt; 1 로 변경</t>
    <phoneticPr fontId="1" type="noConversion"/>
  </si>
  <si>
    <t>LIN_ERR (IC_STAT6) 삭제</t>
    <phoneticPr fontId="1" type="noConversion"/>
  </si>
  <si>
    <t>레지스터 이름 변경 (JIRA 70)</t>
    <phoneticPr fontId="1" type="noConversion"/>
  </si>
  <si>
    <t>IREF 에러 Flag 추가</t>
    <phoneticPr fontId="1" type="noConversion"/>
  </si>
  <si>
    <t>VCP_RPP UV / VCP_HSD UV Flag 추가</t>
    <phoneticPr fontId="1" type="noConversion"/>
  </si>
  <si>
    <t>BIST_TO 삭제</t>
    <phoneticPr fontId="1" type="noConversion"/>
  </si>
  <si>
    <t>JIRA 51 내용 추가</t>
    <phoneticPr fontId="1" type="noConversion"/>
  </si>
  <si>
    <t>CRC 트리거 &amp; CRC_ERR 레지스터 추가</t>
    <phoneticPr fontId="1" type="noConversion"/>
  </si>
  <si>
    <t>LOCK 레지스터 추가 (자이라 78)</t>
    <phoneticPr fontId="1" type="noConversion"/>
  </si>
  <si>
    <t>LSD7 풋노트 폴트리액션 테이블에 추가 (자이라 36)</t>
    <phoneticPr fontId="1" type="noConversion"/>
  </si>
  <si>
    <r>
      <t>1. POR : VB_IN &lt; V</t>
    </r>
    <r>
      <rPr>
        <vertAlign val="subscript"/>
        <sz val="8"/>
        <color theme="1"/>
        <rFont val="맑은 고딕"/>
        <family val="3"/>
        <charset val="129"/>
        <scheme val="minor"/>
      </rPr>
      <t>POR_TH</t>
    </r>
    <phoneticPr fontId="1" type="noConversion"/>
  </si>
  <si>
    <t>2. STBY : IC go to STANDBY mode</t>
    <phoneticPr fontId="1" type="noConversion"/>
  </si>
  <si>
    <t>3. RSO : RSO Pin output or input 'L'</t>
    <phoneticPr fontId="1" type="noConversion"/>
  </si>
  <si>
    <t>Bit 15</t>
    <phoneticPr fontId="1" type="noConversion"/>
  </si>
  <si>
    <t>Bit 14</t>
    <phoneticPr fontId="1" type="noConversion"/>
  </si>
  <si>
    <t>Bit 13</t>
  </si>
  <si>
    <t>Bit 12</t>
  </si>
  <si>
    <t>IC_MODE[1:0]</t>
    <phoneticPr fontId="1" type="noConversion"/>
  </si>
  <si>
    <t>WAKE_UP_IGN</t>
    <phoneticPr fontId="1" type="noConversion"/>
  </si>
  <si>
    <t>WAKE_UP_WAKE</t>
    <phoneticPr fontId="1" type="noConversion"/>
  </si>
  <si>
    <t>WAKE_UP_WUC</t>
    <phoneticPr fontId="1" type="noConversion"/>
  </si>
  <si>
    <t>WAKE_UP_SRC[1:0]</t>
    <phoneticPr fontId="1" type="noConversion"/>
  </si>
  <si>
    <t>DEVICE_ID[3:0]</t>
    <phoneticPr fontId="1" type="noConversion"/>
  </si>
  <si>
    <t>REVISION[5:0]</t>
    <phoneticPr fontId="1" type="noConversion"/>
  </si>
  <si>
    <t>0x0</t>
    <phoneticPr fontId="1" type="noConversion"/>
  </si>
  <si>
    <t>IC_MODE[1:0] : '01' : LOW POWER NORMAL MODE
                      '10' : NORMAL MODE
                      '11' : AFTERRUN MODE
WAKE_UP_IGN : '1' : Wakeup source 'IGN pin' detected
WAKE_UP_WAKE : '1' : Wakeup source 'WAKE pin' detected
WAKE_UP_WUC : '1' : Wakeup source 'Wakeup counter expired' detected
WAKE_UP_SRC[1:0] : latest wakeup from STANDBY or AFTERRUN was caused by:
                             '01' : IGN pin
                             '10' : WAKE pin
                             '11' : Wakeup counter expired
DEVICE_ID[3:0] : device ID
REVISION[5:0] : revision (Version of IC)</t>
    <phoneticPr fontId="1" type="noConversion"/>
  </si>
  <si>
    <t>RST_OCCURRED</t>
    <phoneticPr fontId="1" type="noConversion"/>
  </si>
  <si>
    <t>RST_AFT_RST</t>
    <phoneticPr fontId="1" type="noConversion"/>
  </si>
  <si>
    <t>RST_SW_RESET</t>
    <phoneticPr fontId="1" type="noConversion"/>
  </si>
  <si>
    <t>RST_RSO_I</t>
    <phoneticPr fontId="1" type="noConversion"/>
  </si>
  <si>
    <t>RST_OSC</t>
    <phoneticPr fontId="1" type="noConversion"/>
  </si>
  <si>
    <t>RST_WD</t>
    <phoneticPr fontId="1" type="noConversion"/>
  </si>
  <si>
    <t>RST_EXT_CMON</t>
    <phoneticPr fontId="1" type="noConversion"/>
  </si>
  <si>
    <t>BIST_FAIL</t>
    <phoneticPr fontId="1" type="noConversion"/>
  </si>
  <si>
    <t>LOCK_STATUS</t>
    <phoneticPr fontId="1" type="noConversion"/>
  </si>
  <si>
    <t>WDO_STATUS</t>
    <phoneticPr fontId="1" type="noConversion"/>
  </si>
  <si>
    <t>RSO_STATUS</t>
    <phoneticPr fontId="1" type="noConversion"/>
  </si>
  <si>
    <t>FREQ_ERR</t>
    <phoneticPr fontId="1" type="noConversion"/>
  </si>
  <si>
    <t>FREQ_FAULT</t>
    <phoneticPr fontId="1" type="noConversion"/>
  </si>
  <si>
    <t>STBY</t>
    <phoneticPr fontId="1" type="noConversion"/>
  </si>
  <si>
    <t>RSO</t>
    <phoneticPr fontId="1" type="noConversion"/>
  </si>
  <si>
    <t>RST_OCCURRED : '1' : Reset occurred
RST_AFT_RST : '1' : AFTERRUN Reset occured
RST_SWRES : '1' : Software Reset occurred
RST_RSO_I : '1' : external reset at RSO occurred (RSO=L in spite of IC driving H) 
RST_OSC : '1' : Reset occurred by main oscillator fault 
RST_WD : '1' Reset occurred by watchdog fault
RST_EXT_CMON : '1' : Reset occurred by external clock monitoring fault
BIST_FAIL : '1' : BIST fail occurred (BIST passed by timeout)
LOCK_STATUS : '1' : SPI lock is active
WDO_STATUS : WDO Pin status
RSO_STATUS : RSO Pin status
FREQ_ERR : '1' : Main oscillator and checker oscillator running with more than +/- 20% freq difference
FREQ_FAULT : '1' : Main oscillator and checker oscillator running with more than +/- 30% freq difference</t>
    <phoneticPr fontId="1" type="noConversion"/>
  </si>
  <si>
    <t>OT</t>
    <phoneticPr fontId="1" type="noConversion"/>
  </si>
  <si>
    <t>OT : '1' over temperature occurred at each block</t>
    <phoneticPr fontId="1" type="noConversion"/>
  </si>
  <si>
    <t>BIST_STAT</t>
    <phoneticPr fontId="1" type="noConversion"/>
  </si>
  <si>
    <t>BIST_FAIL : '1' BIST fail occurred at each block</t>
    <phoneticPr fontId="1" type="noConversion"/>
  </si>
  <si>
    <t>AFT_RST_EN</t>
    <phoneticPr fontId="1" type="noConversion"/>
  </si>
  <si>
    <t>AFT_EN</t>
    <phoneticPr fontId="1" type="noConversion"/>
  </si>
  <si>
    <t>AFT_EN : '1' : AFTERRUN mode enable
AFT_RST_EN : '1' : AFTERRUN reset enable</t>
    <phoneticPr fontId="1" type="noConversion"/>
  </si>
  <si>
    <t>CMON_DRV_EN</t>
    <phoneticPr fontId="1" type="noConversion"/>
  </si>
  <si>
    <t>CMON_WDO_EN</t>
    <phoneticPr fontId="1" type="noConversion"/>
  </si>
  <si>
    <t>CMON_RSO_EN</t>
    <phoneticPr fontId="1" type="noConversion"/>
  </si>
  <si>
    <t>WD_DRV_EN</t>
    <phoneticPr fontId="1" type="noConversion"/>
  </si>
  <si>
    <t>WD_WDO_EN</t>
    <phoneticPr fontId="1" type="noConversion"/>
  </si>
  <si>
    <t>WD_RSO_EN</t>
    <phoneticPr fontId="1" type="noConversion"/>
  </si>
  <si>
    <t>SWRES_RSO_EN</t>
    <phoneticPr fontId="1" type="noConversion"/>
  </si>
  <si>
    <t>VMCU_RSO_EN</t>
    <phoneticPr fontId="1" type="noConversion"/>
  </si>
  <si>
    <t>VM50_RSO_EN</t>
    <phoneticPr fontId="1" type="noConversion"/>
  </si>
  <si>
    <t>RSO</t>
  </si>
  <si>
    <t>CMON_DRV_EN : '1' : External clock monitoring fault (MCLK_OK = 0) can disable drivers
CMON_WDO_EN : '1' : External clock monitoring fault (MCLK_OK = 0) can activate WDO
CMON_RSO_EN : '1' : External clock monitoring fault (MCLK_OK = 0) can activate RSO
WD_DRV_EN : '1' : Watchdog fault can adisable drivers
WD_WDO_EN : '1' : Watchdog fault can activate WDO
WD_RSO_EN : '1' : Watchdog fault can activate RSO
SWRES_RSO_EN : '1' : SWRES can activate RSO
VMCU_RSO_EN : '1' : VMCU OV can activate RSO
VM50_RSO_EN : '1' : VM50 OV can activate RSO</t>
    <phoneticPr fontId="1" type="noConversion"/>
  </si>
  <si>
    <t>SWRES[15:0]</t>
    <phoneticPr fontId="1" type="noConversion"/>
  </si>
  <si>
    <t>0x0000</t>
    <phoneticPr fontId="1" type="noConversion"/>
  </si>
  <si>
    <t>WO</t>
    <phoneticPr fontId="1" type="noConversion"/>
  </si>
  <si>
    <t>SWRES[15:0] : Data for software reset initiation, writing 0xA5A5 will activate the SWRES</t>
    <phoneticPr fontId="1" type="noConversion"/>
  </si>
  <si>
    <t>REG_LOCK[15:0]</t>
    <phoneticPr fontId="1" type="noConversion"/>
  </si>
  <si>
    <t>REG_LOCK[15:0] : Data for SPI lock initiation, writing 0xAAAA will activate the SPI lock</t>
    <phoneticPr fontId="1" type="noConversion"/>
  </si>
  <si>
    <t>REG_UNLOCK[15:0]</t>
    <phoneticPr fontId="1" type="noConversion"/>
  </si>
  <si>
    <t>REG_UNLOCK[15:0] : Data for SPI unlock initiation, writing 0x5555 will activate the SPI unlock</t>
    <phoneticPr fontId="1" type="noConversion"/>
  </si>
  <si>
    <t>LIN_LP_EN</t>
    <phoneticPr fontId="1" type="noConversion"/>
  </si>
  <si>
    <t>VS2_LP_EN</t>
    <phoneticPr fontId="1" type="noConversion"/>
  </si>
  <si>
    <t>VS1_LP_EN</t>
    <phoneticPr fontId="1" type="noConversion"/>
  </si>
  <si>
    <t>VCAN_LP_EN</t>
    <phoneticPr fontId="1" type="noConversion"/>
  </si>
  <si>
    <t>VDDR_LP_EN</t>
    <phoneticPr fontId="1" type="noConversion"/>
  </si>
  <si>
    <t>LIN_LP_EN : '1' : LIN enable at LOW POWER MODE
VS2_LP_EN : '1' : VS2 enable at LOW POWER MODE
VS1_LP_EN : '1' : LVS1 enable at LOW POWER MODE
VCAN_LP_EN : '1' : VCAN enable at LOW POWER MODE
VDDR_LP_EN : '1' : VDDR enable at LOW POWER MODE</t>
    <phoneticPr fontId="1" type="noConversion"/>
  </si>
  <si>
    <t>VPR_SLOW_SR</t>
    <phoneticPr fontId="1" type="noConversion"/>
  </si>
  <si>
    <t>VMCU_SLOPE</t>
    <phoneticPr fontId="1" type="noConversion"/>
  </si>
  <si>
    <t>VPR_SPRD</t>
    <phoneticPr fontId="1" type="noConversion"/>
  </si>
  <si>
    <t>VMCU_SPRD</t>
    <phoneticPr fontId="1" type="noConversion"/>
  </si>
  <si>
    <t>VS2_EN</t>
    <phoneticPr fontId="1" type="noConversion"/>
  </si>
  <si>
    <t>VS1_EN</t>
    <phoneticPr fontId="1" type="noConversion"/>
  </si>
  <si>
    <t>VCAN_EN</t>
    <phoneticPr fontId="1" type="noConversion"/>
  </si>
  <si>
    <t>VDDR_EN</t>
    <phoneticPr fontId="1" type="noConversion"/>
  </si>
  <si>
    <t>VMCU_EN</t>
    <phoneticPr fontId="1" type="noConversion"/>
  </si>
  <si>
    <t>VM50_EN</t>
    <phoneticPr fontId="1" type="noConversion"/>
  </si>
  <si>
    <t>VPR_SLOW_SR : '1' : fast VPR switching slope selection
VMCU_SLOPE : '1' : fast VMCU switching slope selection
VPR_SPRD : '1' : VPE spread spectrum function enable
VMCU_SPRD : '1' : VMCU spread spectrum function enable
VS2_EN : '1' : VS2 enable at NORMAL MODE
VS1_EN : '1' : VS1 enable at NORMAL MODE
VCAN_EN : '1' : VCAN enable at NORMAL MODE
VDDR_EN : '1' : VDDR enable at NORMAL MODE
VMCU_EN : '1' : VMCU enable at NORMAL MODE
VM50_EN : '1' : VM50 enable at NORMAL MODE</t>
    <phoneticPr fontId="1" type="noConversion"/>
  </si>
  <si>
    <t>VB_IN_UV</t>
    <phoneticPr fontId="1" type="noConversion"/>
  </si>
  <si>
    <t>VINT_UV</t>
    <phoneticPr fontId="1" type="noConversion"/>
  </si>
  <si>
    <t>VINT_OV</t>
    <phoneticPr fontId="1" type="noConversion"/>
  </si>
  <si>
    <t>BG_ERR</t>
    <phoneticPr fontId="1" type="noConversion"/>
  </si>
  <si>
    <t>VPR_OC</t>
    <phoneticPr fontId="1" type="noConversion"/>
  </si>
  <si>
    <t>VPR_UV2</t>
    <phoneticPr fontId="1" type="noConversion"/>
  </si>
  <si>
    <t>VPR_UV1</t>
    <phoneticPr fontId="1" type="noConversion"/>
  </si>
  <si>
    <t>VPR_OV</t>
    <phoneticPr fontId="1" type="noConversion"/>
  </si>
  <si>
    <t>VB_IN_UV : '1' VB_IN UV occurred
VINT_UV : '1' VINT UV occurred
VINT_OV : '1' VINT OV occurred
BG_ERR : '1' Bandgap error occurred
VPR_OC : '1' VPR OC occurred
VPR_UV2 : '1' VPR UV occurred
VPR_UV1 : '1' VPR low voltage occurred
VPR_OV : '1' VPR OV occurred</t>
    <phoneticPr fontId="1" type="noConversion"/>
  </si>
  <si>
    <t>VS2_UV</t>
    <phoneticPr fontId="1" type="noConversion"/>
  </si>
  <si>
    <t>VS2_OV</t>
    <phoneticPr fontId="1" type="noConversion"/>
  </si>
  <si>
    <t>VS1_UV</t>
    <phoneticPr fontId="1" type="noConversion"/>
  </si>
  <si>
    <t>VS1_OV</t>
    <phoneticPr fontId="1" type="noConversion"/>
  </si>
  <si>
    <t>VCAN_UV</t>
    <phoneticPr fontId="1" type="noConversion"/>
  </si>
  <si>
    <t>VCAN_OV</t>
    <phoneticPr fontId="1" type="noConversion"/>
  </si>
  <si>
    <t>VDDR_UV</t>
    <phoneticPr fontId="1" type="noConversion"/>
  </si>
  <si>
    <t>VDDR_OV</t>
    <phoneticPr fontId="1" type="noConversion"/>
  </si>
  <si>
    <t>VMCU_OC</t>
    <phoneticPr fontId="1" type="noConversion"/>
  </si>
  <si>
    <t>VMCU_UV</t>
    <phoneticPr fontId="1" type="noConversion"/>
  </si>
  <si>
    <t>VMCU_OV</t>
    <phoneticPr fontId="1" type="noConversion"/>
  </si>
  <si>
    <t>VM50_UV</t>
    <phoneticPr fontId="1" type="noConversion"/>
  </si>
  <si>
    <t>VM50_OV</t>
    <phoneticPr fontId="1" type="noConversion"/>
  </si>
  <si>
    <t>VS2_UV : '1' : VS2 UV occurred
VS2_OV : '1' : VS2 OV occurred
VS1_UV : '1' : VS1 UV occurred
VS1_OV : '1' : VS1 OV occurred
VCAN_UV : '1' : VCAN UV occurred
VCAN_OV : '1' : VCAN OV occurred
VDDR_UV : '1' : VDDR UV occurred
VDDR_OV : '1' : VDDR OV occurred
VMCU_OC : '1' : VMCU OC occurred
VMCU_UV : '1' : VMCU UV occurred
VMCU_OV : '1' : VMCU OV occurred
VM50_UV : '1' : VM50 UV occurred
VM50_OV : '1' : VM50 OV occurred</t>
    <phoneticPr fontId="1" type="noConversion"/>
  </si>
  <si>
    <t>OUT7_ON</t>
    <phoneticPr fontId="1" type="noConversion"/>
  </si>
  <si>
    <t>OUT6_ON</t>
    <phoneticPr fontId="1" type="noConversion"/>
  </si>
  <si>
    <t>OUT5_ON</t>
    <phoneticPr fontId="1" type="noConversion"/>
  </si>
  <si>
    <t>OUT4_ON</t>
    <phoneticPr fontId="1" type="noConversion"/>
  </si>
  <si>
    <t>OUT3_ON</t>
    <phoneticPr fontId="1" type="noConversion"/>
  </si>
  <si>
    <t>OUT2_ON</t>
    <phoneticPr fontId="1" type="noConversion"/>
  </si>
  <si>
    <t>OUT1_ON</t>
    <phoneticPr fontId="1" type="noConversion"/>
  </si>
  <si>
    <t>OUT7_ON : '1' : GPO on command
OUT6_ON : '1' : OUT6 (HS/LS configurable driver) on command
OUT5_ON : '1' : OUT5 (HS/LS configurable driver) on command
OUT4_ON : '1' : OUT4 (HS driver) on command
OUT3_ON : '1' : OUT3 (HS driver) on command
OUT2_ON : '1' : OUT2 (HS driver) on command
OUT1_ON : '1' : OUT1 (HS driver) on command</t>
    <phoneticPr fontId="1" type="noConversion"/>
  </si>
  <si>
    <t>DRV_KEEP</t>
    <phoneticPr fontId="1" type="noConversion"/>
  </si>
  <si>
    <t>DRV_CTRL_SEL</t>
    <phoneticPr fontId="1" type="noConversion"/>
  </si>
  <si>
    <t>DRV_CTRL_EN</t>
    <phoneticPr fontId="1" type="noConversion"/>
  </si>
  <si>
    <t>PWM_FREQ_SEL_1</t>
    <phoneticPr fontId="1" type="noConversion"/>
  </si>
  <si>
    <t>PWM_FREQ_SEL_0</t>
    <phoneticPr fontId="1" type="noConversion"/>
  </si>
  <si>
    <t>HS_LS_CFG[1:0]</t>
    <phoneticPr fontId="1" type="noConversion"/>
  </si>
  <si>
    <t>HS_SCG_Filter_Time[3:0]</t>
    <phoneticPr fontId="1" type="noConversion"/>
  </si>
  <si>
    <t>DRV_KEEP : '1' : DRV_KEEP function enable
DRV_CTRL_SEL : Drivers control signal priority select
                     '1' : DRV_CTRL Pin signal always can control
                     '0' : DRV_CTRL Pin signal can control only when Watchdog block is not OK
DRV_CTRL_EN : '1' : DRV_CTRL Pin signal can control drivers
PWM_FREQ_SEL_1 : Drivers (OUT4/5) PWM frequency select
                         '1' : 20KHz 
                         '0' : 15KHz
PWM_FREQ_SEL_0 : Drivers (OUT1/2/3/4) PWM frequency select
                         '1' : 20KHz 
                         '0' : 15KHz
HS_LS_CFG[1:0] : OUT4 / OUT5 HS / LS select, [1] : OUT6 / [0] : OUT5
                     '1' : HS 
                     '0' : LS
HS_SCG_Filter_Time[3:0] : OUT1 ~ 4 SCG filter time select, [0] : OUT1 ~ [3] : OUT4
                                 '1' : Fast 
                                 '0' : Normal</t>
    <phoneticPr fontId="1" type="noConversion"/>
  </si>
  <si>
    <t>OUT3_PWM[4:0]</t>
    <phoneticPr fontId="1" type="noConversion"/>
  </si>
  <si>
    <t>OUT2_PWM[4:0]</t>
    <phoneticPr fontId="1" type="noConversion"/>
  </si>
  <si>
    <t>OUT1_PWM[4:0]</t>
    <phoneticPr fontId="1" type="noConversion"/>
  </si>
  <si>
    <t xml:space="preserve">OUTx_PWM[4:0] : Dutycycle of driver(OUTx), step : 5%
                      0x00(100%) ~ 0x14(0%) </t>
    <phoneticPr fontId="1" type="noConversion"/>
  </si>
  <si>
    <t>OUT6_PWM[4:0]</t>
  </si>
  <si>
    <t>OUT5_PWM[4:0]</t>
  </si>
  <si>
    <t>OUT4_PWM[4:0]</t>
  </si>
  <si>
    <t xml:space="preserve">OUTx_PWM[4:0] : Dutycycle of driver(OUTx), step : 5%
                      0x00(100%) ~ 0x14(0%) </t>
  </si>
  <si>
    <t>OUT7_PWM[4:0]</t>
  </si>
  <si>
    <t>DRV_CTRL_ON[6:0]</t>
    <phoneticPr fontId="1" type="noConversion"/>
  </si>
  <si>
    <t>DRV_CTRL_ON[6:0] : Drivers On/Off select when controlled by DRV_CTRL Pin signal, [0] : OUT1 ~ [6] : OUT7
                          '1' : ON 
                          '0' : OFF</t>
    <phoneticPr fontId="1" type="noConversion"/>
  </si>
  <si>
    <t>OUT4_DEL[3:0]</t>
    <phoneticPr fontId="1" type="noConversion"/>
  </si>
  <si>
    <t>OUT3_DEL[3:0]</t>
    <phoneticPr fontId="1" type="noConversion"/>
  </si>
  <si>
    <t>OUT2_DEL[3:0]</t>
    <phoneticPr fontId="1" type="noConversion"/>
  </si>
  <si>
    <t>OUT1_DEL[3:0]</t>
    <phoneticPr fontId="1" type="noConversion"/>
  </si>
  <si>
    <t>OUTx_DEL[3:0] : Drivers On/Off delay when controlled by DRV_CTRL Pin signal
                     1LSB : 1ms</t>
    <phoneticPr fontId="1" type="noConversion"/>
  </si>
  <si>
    <t>OUT7_DEL[3:0]</t>
    <phoneticPr fontId="1" type="noConversion"/>
  </si>
  <si>
    <t>OUT6_DEL[3:0]</t>
    <phoneticPr fontId="1" type="noConversion"/>
  </si>
  <si>
    <t>OUT5_DEL[3:0]</t>
    <phoneticPr fontId="1" type="noConversion"/>
  </si>
  <si>
    <t>OUT4_STA</t>
    <phoneticPr fontId="1" type="noConversion"/>
  </si>
  <si>
    <t>OUT4_OL</t>
    <phoneticPr fontId="1" type="noConversion"/>
  </si>
  <si>
    <t>OUT4_SCB</t>
  </si>
  <si>
    <t>OUT4_OC</t>
    <phoneticPr fontId="1" type="noConversion"/>
  </si>
  <si>
    <t>OUT3_STA</t>
    <phoneticPr fontId="1" type="noConversion"/>
  </si>
  <si>
    <t>OUT3_OL</t>
    <phoneticPr fontId="1" type="noConversion"/>
  </si>
  <si>
    <t>OUT3_SCB</t>
  </si>
  <si>
    <t>OUT3_OC</t>
    <phoneticPr fontId="1" type="noConversion"/>
  </si>
  <si>
    <t>OUT2_STA</t>
    <phoneticPr fontId="1" type="noConversion"/>
  </si>
  <si>
    <t>OUT2_OL</t>
    <phoneticPr fontId="1" type="noConversion"/>
  </si>
  <si>
    <t>OUT2_SCB</t>
  </si>
  <si>
    <t>OUT2_OC</t>
    <phoneticPr fontId="1" type="noConversion"/>
  </si>
  <si>
    <t>OUT1_STA</t>
    <phoneticPr fontId="1" type="noConversion"/>
  </si>
  <si>
    <t>OUT1_OL</t>
    <phoneticPr fontId="1" type="noConversion"/>
  </si>
  <si>
    <t>OUT1_SCB</t>
  </si>
  <si>
    <t>OUT1_OC</t>
    <phoneticPr fontId="1" type="noConversion"/>
  </si>
  <si>
    <t>OUTx_STA : '1' : OUTx status align fault occurred
OUTx_OL : '1' : OUTx open load fault occurred
OUTx_SCB : '1' : OUTx short circuit to battery fault occurred
OUTx_OC : '1' : OUTx over current(short circuit to ground) fault occurred</t>
    <phoneticPr fontId="1" type="noConversion"/>
  </si>
  <si>
    <t>DRV_CTRL_DET</t>
    <phoneticPr fontId="1" type="noConversion"/>
  </si>
  <si>
    <t>DRV_CTRL_OP</t>
    <phoneticPr fontId="1" type="noConversion"/>
  </si>
  <si>
    <t>OUT7_STA</t>
    <phoneticPr fontId="1" type="noConversion"/>
  </si>
  <si>
    <t>OUT7_OL</t>
    <phoneticPr fontId="1" type="noConversion"/>
  </si>
  <si>
    <t>OUT7_SCG</t>
    <phoneticPr fontId="1" type="noConversion"/>
  </si>
  <si>
    <t>OUT7_OC</t>
    <phoneticPr fontId="1" type="noConversion"/>
  </si>
  <si>
    <t>OUT6_STA</t>
    <phoneticPr fontId="1" type="noConversion"/>
  </si>
  <si>
    <t>OUT6_OL</t>
    <phoneticPr fontId="1" type="noConversion"/>
  </si>
  <si>
    <t>OUT6_SCX</t>
  </si>
  <si>
    <t>OUT6_OC</t>
    <phoneticPr fontId="1" type="noConversion"/>
  </si>
  <si>
    <t>OUT5_STA</t>
    <phoneticPr fontId="1" type="noConversion"/>
  </si>
  <si>
    <t>OUT5_OL</t>
    <phoneticPr fontId="1" type="noConversion"/>
  </si>
  <si>
    <t>OUT5_SCX</t>
  </si>
  <si>
    <t>OUT5_OC</t>
    <phoneticPr fontId="1" type="noConversion"/>
  </si>
  <si>
    <t>DRV_CTRL_DET : '1' : DRV_CTRL Pin signal detected (H -&gt; L &amp; sustain more than filter time)
DRV_CTRL_OP : '1' : Drivers operated by DRV_CTRL Pin signal
OUTx_STA : '1' : OUTx status align fault occurred
OUTx_OL : '1' : OUTx open load fault occurred
OUTx_OC : '1' : OUTx over current(short circuit to ground or battery) fault occurred
OUT7_SCG : '1' OUT7 short circuit to ground occurred.
OUT6_SCX / OUT5_SCX : '1' : OUT5 / OUT6 short circuit occurred
                                 HS configured : SCB / LS configured : SCG</t>
    <phoneticPr fontId="1" type="noConversion"/>
  </si>
  <si>
    <t>LIN_FM_EN</t>
    <phoneticPr fontId="1" type="noConversion"/>
  </si>
  <si>
    <t>LIN_RX_EN</t>
    <phoneticPr fontId="1" type="noConversion"/>
  </si>
  <si>
    <t>LIN_TX_EN</t>
    <phoneticPr fontId="1" type="noConversion"/>
  </si>
  <si>
    <t>LIN_FM_EN : '1' : LIN flash mode enable 
LIN_RX_EN : '1' : LIN receiver enable
LIN_TX_EN : '1' : LIN transmitter enable</t>
    <phoneticPr fontId="1" type="noConversion"/>
  </si>
  <si>
    <t>LIN_MPU</t>
    <phoneticPr fontId="1" type="noConversion"/>
  </si>
  <si>
    <t>LIN_DRV_ERR</t>
    <phoneticPr fontId="1" type="noConversion"/>
  </si>
  <si>
    <t>TX_RX_ERR</t>
    <phoneticPr fontId="1" type="noConversion"/>
  </si>
  <si>
    <t>TX_DOM</t>
    <phoneticPr fontId="1" type="noConversion"/>
  </si>
  <si>
    <t>RXD</t>
    <phoneticPr fontId="1" type="noConversion"/>
  </si>
  <si>
    <t>LIN_MPU : '1' : Master pull-up was not detected during BIST
LIN_DRV_ERR : '1' : Gate of driver did not follow TXD
TX_RX_ERR : '1' : RXD did not follow when TXD was active (low)
TX_DOM : '1' : TXD dominant error occurred
RXD : '1' : Digital value output at LIN_RX pin</t>
    <phoneticPr fontId="1" type="noConversion"/>
  </si>
  <si>
    <t>RT[9:0]</t>
    <phoneticPr fontId="1" type="noConversion"/>
  </si>
  <si>
    <t>0x3FF</t>
    <phoneticPr fontId="1" type="noConversion"/>
  </si>
  <si>
    <r>
      <t>RT[9:0] : Response time, t</t>
    </r>
    <r>
      <rPr>
        <vertAlign val="subscript"/>
        <sz val="8"/>
        <color theme="1"/>
        <rFont val="맑은 고딕"/>
        <family val="3"/>
        <charset val="129"/>
        <scheme val="minor"/>
      </rPr>
      <t>RT</t>
    </r>
    <r>
      <rPr>
        <sz val="8"/>
        <color theme="1"/>
        <rFont val="맑은 고딕"/>
        <family val="3"/>
        <charset val="129"/>
        <scheme val="minor"/>
      </rPr>
      <t>=(RT+1) * T</t>
    </r>
    <r>
      <rPr>
        <vertAlign val="subscript"/>
        <sz val="8"/>
        <color theme="1"/>
        <rFont val="맑은 고딕"/>
        <family val="3"/>
        <charset val="129"/>
        <scheme val="minor"/>
      </rPr>
      <t>WD,presc</t>
    </r>
    <phoneticPr fontId="1" type="noConversion"/>
  </si>
  <si>
    <t>WD_TICK</t>
    <phoneticPr fontId="1" type="noConversion"/>
  </si>
  <si>
    <t>RW[7:0]</t>
    <phoneticPr fontId="1" type="noConversion"/>
  </si>
  <si>
    <t>0xFF</t>
    <phoneticPr fontId="1" type="noConversion"/>
  </si>
  <si>
    <r>
      <t>WD_TICK : Watchdog prescaler (T</t>
    </r>
    <r>
      <rPr>
        <vertAlign val="subscript"/>
        <sz val="8"/>
        <color theme="1"/>
        <rFont val="맑은 고딕"/>
        <family val="3"/>
        <charset val="129"/>
        <scheme val="minor"/>
      </rPr>
      <t>WD,presc</t>
    </r>
    <r>
      <rPr>
        <sz val="8"/>
        <color theme="1"/>
        <rFont val="맑은 고딕"/>
        <family val="3"/>
        <charset val="129"/>
        <scheme val="minor"/>
      </rPr>
      <t>) selection
             '1' : 1.6 ms 
             '0' : 0.1 ms
RW[7:0] : Response window width, t</t>
    </r>
    <r>
      <rPr>
        <vertAlign val="subscript"/>
        <sz val="8"/>
        <color theme="1"/>
        <rFont val="맑은 고딕"/>
        <family val="3"/>
        <charset val="129"/>
        <scheme val="minor"/>
      </rPr>
      <t>RW</t>
    </r>
    <r>
      <rPr>
        <sz val="8"/>
        <color theme="1"/>
        <rFont val="맑은 고딕"/>
        <family val="3"/>
        <charset val="129"/>
        <scheme val="minor"/>
      </rPr>
      <t>=(RW+1)*T</t>
    </r>
    <r>
      <rPr>
        <vertAlign val="subscript"/>
        <sz val="8"/>
        <color theme="1"/>
        <rFont val="맑은 고딕"/>
        <family val="3"/>
        <charset val="129"/>
        <scheme val="minor"/>
      </rPr>
      <t>WD,presc</t>
    </r>
    <phoneticPr fontId="1" type="noConversion"/>
  </si>
  <si>
    <t>RESP_CNT</t>
  </si>
  <si>
    <t>RESP_ERR</t>
  </si>
  <si>
    <t>RESP_Z0</t>
  </si>
  <si>
    <t>CHRT</t>
  </si>
  <si>
    <t>W_RESP</t>
  </si>
  <si>
    <t>NO_RESP</t>
  </si>
  <si>
    <t>RESP2EARLY</t>
  </si>
  <si>
    <t>REQU[3:0]</t>
  </si>
  <si>
    <t>RESP_CNT : Counter for received responses, reset to 1 at every start of a watchdog cycle
RESP_ERR : '1' : The first response data was wrong, will be cleared with reception of second re-sponse
RESP_Z0 : '1' : RT or RW are 0
CHRT : '1' : Watchdog timing has changed (write access to WD_CFG1 or WD_CFG2), updated at every start of a watchdog cycle
W_RESP : '1' : Response data (4 bytes) from last watchdog cycle was wrong, updated at every start of a watchdog cycle
NO_RESP : '1' : During the last watchdog cycle no (complete) response was received, updated at every start of a watchdog cycle
RESP2EARLY : '1' : The second response was given before the response window of the last watchdog cycle, updated at every start of a watchdog cycle
REQU[3:0] : Watchdog question to be answered</t>
    <phoneticPr fontId="1" type="noConversion"/>
  </si>
  <si>
    <t>RESP[15:0]</t>
    <phoneticPr fontId="1" type="noConversion"/>
  </si>
  <si>
    <t>W</t>
    <phoneticPr fontId="1" type="noConversion"/>
  </si>
  <si>
    <t>RESP[15:0] : Watchdog response data</t>
    <phoneticPr fontId="1" type="noConversion"/>
  </si>
  <si>
    <t>WDOK_CONF</t>
  </si>
  <si>
    <t>WD_DEB[1:0]</t>
  </si>
  <si>
    <t>WD_WARN</t>
  </si>
  <si>
    <t>ERRTPC[2:0]</t>
  </si>
  <si>
    <t>AB1T[2:0]</t>
  </si>
  <si>
    <t>RSTCNT[2:0]</t>
  </si>
  <si>
    <t>0x1</t>
    <phoneticPr fontId="1" type="noConversion"/>
  </si>
  <si>
    <t>0x5</t>
    <phoneticPr fontId="1" type="noConversion"/>
  </si>
  <si>
    <t>WDOK_CONF : Configuration for WDOK output if WD_DEB='10'
WD_DEB[1:0] : '10' : watchdog output is defined by WDOK_CONF,
                   else: watchdog output is defined by WD_WARN,
                   can only be set to '10' if ERRTPC=0
WD_WARN : Error timer high,
                '1' : watchdog error handler is in warn (or reset) state
ERRTPC[2:0] : Error timer period counter
AB1T[2:0] : AB1 timer, reset by WD_WARN=0
RSTCNT[2:0] : Reset counter</t>
    <phoneticPr fontId="1" type="noConversion"/>
  </si>
  <si>
    <t>ERRC_THD[3:0]</t>
  </si>
  <si>
    <t>FREQ_SEL[1:0]</t>
    <phoneticPr fontId="1" type="noConversion"/>
  </si>
  <si>
    <t>0x8</t>
    <phoneticPr fontId="1" type="noConversion"/>
  </si>
  <si>
    <t>0x3</t>
    <phoneticPr fontId="1" type="noConversion"/>
  </si>
  <si>
    <t>ERRC_THD[3:0] : Error counter threshold for monitoring of frequency 2 and 3
FREQ_SEL[1:0] : Frequency selection for MCLK monitoring
                    0x0 : 4 MHz
                    0x1 : 2 MHz
                    0x2 : 25 kHz
                    0x3 : 4 kHz</t>
    <phoneticPr fontId="1" type="noConversion"/>
  </si>
  <si>
    <t>ERRC[3:0]</t>
  </si>
  <si>
    <t>MCLK_OK</t>
  </si>
  <si>
    <t>MCLK_NOKF</t>
  </si>
  <si>
    <t>0xF</t>
    <phoneticPr fontId="1" type="noConversion"/>
  </si>
  <si>
    <t>ERRC[3:0] : External Clock monitoring error counter value
MCLK_OK : Most recent result of External Clock monitoring
MCLK_NOKF : '1' : MCLK_OK=0 occurred</t>
    <phoneticPr fontId="1" type="noConversion"/>
  </si>
  <si>
    <t>WUC[15:0]</t>
    <phoneticPr fontId="1" type="noConversion"/>
  </si>
  <si>
    <t>0xFFFF</t>
    <phoneticPr fontId="1" type="noConversion"/>
  </si>
  <si>
    <t>WUC[15:0] : Low word of Wakeup counter start value</t>
    <phoneticPr fontId="1" type="noConversion"/>
  </si>
  <si>
    <t>WUC[23:16]</t>
    <phoneticPr fontId="1" type="noConversion"/>
  </si>
  <si>
    <t>WUC[23:16] : High byte of Wakeup counter start value</t>
    <phoneticPr fontId="1" type="noConversion"/>
  </si>
  <si>
    <t>WUC_MON_EN</t>
    <phoneticPr fontId="1" type="noConversion"/>
  </si>
  <si>
    <t>WUC_SET</t>
  </si>
  <si>
    <t>WUC_EN</t>
  </si>
  <si>
    <t>WUC_MON_EN : '1' : WUC pin output enable (Wakeup counter operatiion monitoring function)
WUC_SET : '1' : Wakeup counter set to start value. (after start value is set this bit reset to '0')
WUC_EN : '1' : Wakeup counter Enable</t>
    <phoneticPr fontId="1" type="noConversion"/>
  </si>
  <si>
    <t>WUC_VAL[15:0]</t>
    <phoneticPr fontId="1" type="noConversion"/>
  </si>
  <si>
    <t>WUC_VAL[15:0] : Low word of Wakeup counter actual value</t>
    <phoneticPr fontId="1" type="noConversion"/>
  </si>
  <si>
    <t>WUC_VAL[23:16]</t>
    <phoneticPr fontId="1" type="noConversion"/>
  </si>
  <si>
    <t>WUC_VAL[23:16] : High byte of Wakeup counter actual value</t>
    <phoneticPr fontId="1" type="noConversion"/>
  </si>
  <si>
    <t>AMUX_EN</t>
    <phoneticPr fontId="1" type="noConversion"/>
  </si>
  <si>
    <t>AMUX_SEL</t>
    <phoneticPr fontId="1" type="noConversion"/>
  </si>
  <si>
    <t>AMUX_EN : '1' : AMUX will output the source selected by AMUX_SEL
               '0' : AMUX output is pulled to GND
AMUX_SEL : AMUX source selection (TBD)</t>
    <phoneticPr fontId="1" type="noConversion"/>
  </si>
  <si>
    <t>SSC_EN[1:0]</t>
    <phoneticPr fontId="1" type="noConversion"/>
  </si>
  <si>
    <t>Spread spectrum frequency modulation (based MCLK = 16MHz)
0x0 : MCLK / 256
0x1 : MCLK / 128 
0x2 : MCLK / 64
0x3 : MCLK / 32 (default / 512kHz input clk =&gt; 1ms 1-period)
0x4 : MCLK / 16
0x5 : MCLK / 8
0x6 : MCLK / 4
0x7 : MCLK / 2</t>
    <phoneticPr fontId="1" type="noConversion"/>
  </si>
  <si>
    <t>GPIO1 pin voltage ADC data</t>
    <phoneticPr fontId="1" type="noConversion"/>
  </si>
  <si>
    <t>GPIO2 pin voltage ADC data</t>
    <phoneticPr fontId="1" type="noConversion"/>
  </si>
  <si>
    <t>0 : BUCK OC fault reaction (state transition) disable 
1 : BUCK OC fault reaction (state transition) enable (default)</t>
    <phoneticPr fontId="1" type="noConversion"/>
  </si>
  <si>
    <t>0 : SSC Tri-Angle (default)
1 : SSC Pseudo Random</t>
    <phoneticPr fontId="1" type="noConversion"/>
  </si>
  <si>
    <t xml:space="preserve">Spread-Spectrum switching frequency modulation enable/disable
0x0 : SSC function disable
0x1 : SSC function enable &amp; 0 ~ +10% (default)
0x2 : SSC function enable &amp; -5% ~ +5% 
0x3 : SSC function enable &amp; -10% ~ 0% </t>
    <phoneticPr fontId="1" type="noConversion"/>
  </si>
  <si>
    <t>BCUK_SOFT_START[1:0]
TIMEOUT
SIO1
SSC_TRI
SPRD_EN
SETUP1</t>
    <phoneticPr fontId="1" type="noConversion"/>
  </si>
  <si>
    <t>removed BCUK_SOFT_START[1:0] register
add (TBD) in TIMEOUT command &amp; register
SIO1[1:0] register modified to SIO[1:0]
SSC_TRI register modified to SSC_MODE
SPRD_EN register modified to SSC_EN[1:0]
SETUP1 register bit position changed</t>
    <phoneticPr fontId="1" type="noConversion"/>
  </si>
  <si>
    <t>SIO[1:0]</t>
    <phoneticPr fontId="1" type="noConversion"/>
  </si>
  <si>
    <t xml:space="preserve">SIO : </t>
    <phoneticPr fontId="1" type="noConversion"/>
  </si>
  <si>
    <t>Communication mode of SIO.
0x0 : LVDS / 0x1 : OPEN / 0x2 : MCU / 0x3 : UART
Value is set automatically at startup and after reset.</t>
    <phoneticPr fontId="1" type="noConversion"/>
  </si>
  <si>
    <t>GPIO1 pin Mode configuration
0 : input mode (default)
1 : output mode</t>
  </si>
  <si>
    <t>VIO_MON[9:0]</t>
    <phoneticPr fontId="1" type="noConversion"/>
  </si>
  <si>
    <t>VIO_MON_EN</t>
    <phoneticPr fontId="1" type="noConversion"/>
  </si>
  <si>
    <t>0x06</t>
  </si>
  <si>
    <t>0x07</t>
  </si>
  <si>
    <t>0x08</t>
  </si>
  <si>
    <t>0x09</t>
  </si>
  <si>
    <t>0x0F</t>
    <phoneticPr fontId="1" type="noConversion"/>
  </si>
  <si>
    <t>VIO_MON</t>
    <phoneticPr fontId="1" type="noConversion"/>
  </si>
  <si>
    <t xml:space="preserve">VIO_MON : </t>
    <phoneticPr fontId="1" type="noConversion"/>
  </si>
  <si>
    <t>VIO voltage ADC data</t>
    <phoneticPr fontId="1" type="noConversion"/>
  </si>
  <si>
    <t xml:space="preserve">VIO_MON_EN: </t>
    <phoneticPr fontId="1" type="noConversion"/>
  </si>
  <si>
    <t>READ_VIO_MON</t>
    <phoneticPr fontId="1" type="noConversion"/>
  </si>
  <si>
    <t>0.1.3</t>
    <phoneticPr fontId="1" type="noConversion"/>
  </si>
  <si>
    <t>VIO_MON
VIO_MON_EN
READ_VIO_MON
All</t>
    <phoneticPr fontId="1" type="noConversion"/>
  </si>
  <si>
    <t>add VIO_MON[9:0] register
add VIO_MON_EN register
add READ_VIO_MON command
modified command encoding bit &amp; register address bit</t>
    <phoneticPr fontId="1" type="noConversion"/>
  </si>
  <si>
    <t>T_ANA_SEL[3:0]</t>
    <phoneticPr fontId="1" type="noConversion"/>
  </si>
  <si>
    <t>CAN_TX_EN</t>
    <phoneticPr fontId="1" type="noConversion"/>
  </si>
  <si>
    <t>CAN_RX_EN</t>
    <phoneticPr fontId="1" type="noConversion"/>
  </si>
  <si>
    <t>CAN_LPRX_EN</t>
    <phoneticPr fontId="1" type="noConversion"/>
  </si>
  <si>
    <t>LP_WFLT_SEL</t>
    <phoneticPr fontId="1" type="noConversion"/>
  </si>
  <si>
    <t>CAN_control</t>
    <phoneticPr fontId="1" type="noConversion"/>
  </si>
  <si>
    <t xml:space="preserve">Low power path data on/off </t>
    <phoneticPr fontId="1" type="noConversion"/>
  </si>
  <si>
    <t xml:space="preserve">CAN Low power RX enable / disable </t>
    <phoneticPr fontId="1" type="noConversion"/>
  </si>
  <si>
    <t>CAN RX enable / disable</t>
    <phoneticPr fontId="1" type="noConversion"/>
  </si>
  <si>
    <t>CAN TX enable / disable</t>
    <phoneticPr fontId="1" type="noConversion"/>
  </si>
  <si>
    <t>Analog test mux selection</t>
    <phoneticPr fontId="1" type="noConversion"/>
  </si>
  <si>
    <t>RXD_DUTY_CCTL[3:0]</t>
    <phoneticPr fontId="1" type="noConversion"/>
  </si>
  <si>
    <t>DLY_ON[3:0]</t>
    <phoneticPr fontId="1" type="noConversion"/>
  </si>
  <si>
    <t>DLY_OFF[3:0]</t>
    <phoneticPr fontId="1" type="noConversion"/>
  </si>
  <si>
    <t>VPP_CTL[3:0]</t>
    <phoneticPr fontId="1" type="noConversion"/>
  </si>
  <si>
    <t>NCU_CTL[2:0]</t>
    <phoneticPr fontId="1" type="noConversion"/>
  </si>
  <si>
    <t>PCU_CTL[2:0]</t>
    <phoneticPr fontId="1" type="noConversion"/>
  </si>
  <si>
    <t>efuse1</t>
    <phoneticPr fontId="1" type="noConversion"/>
  </si>
  <si>
    <t>efuse</t>
    <phoneticPr fontId="1" type="noConversion"/>
  </si>
  <si>
    <t>TX driver delay control</t>
    <phoneticPr fontId="1" type="noConversion"/>
  </si>
  <si>
    <t>RX DATA duty control</t>
    <phoneticPr fontId="1" type="noConversion"/>
  </si>
  <si>
    <t>efuse2</t>
    <phoneticPr fontId="1" type="noConversion"/>
  </si>
  <si>
    <t>TX driver Iref control</t>
    <phoneticPr fontId="1" type="noConversion"/>
  </si>
  <si>
    <t>TX driver PMOS Vref control</t>
    <phoneticPr fontId="1" type="noConversion"/>
  </si>
  <si>
    <t>TX driver NMOS Vref control</t>
    <phoneticPr fontId="1" type="noConversion"/>
  </si>
  <si>
    <t>efuse3</t>
    <phoneticPr fontId="1" type="noConversion"/>
  </si>
  <si>
    <t>RXD_DUTY_CCTL2[3:0]</t>
    <phoneticPr fontId="1" type="noConversion"/>
  </si>
  <si>
    <t>0.2</t>
    <phoneticPr fontId="1" type="noConversion"/>
  </si>
  <si>
    <t>RSVD</t>
  </si>
  <si>
    <t>0: BUCK DISCHARGE disable (default)
1: BUCK DISCHARGE enable</t>
  </si>
  <si>
    <t>0 : BUCK output disable 
1 : BUCK output enable (default)</t>
  </si>
  <si>
    <t>CAN BUS Bypass  mode enable/disable on GPIO2 pin
0 : disable (default)
1 : enable (GPIO2 is configured as the RX(output) pin for the CAN Bus Sniff mode. 
              configuration of the GPIO2_MODE/GPIO2_VEXT_EN/GPIO2_OUT bits are disregarded.)</t>
  </si>
  <si>
    <r>
      <t>1 : Compensation Voltage Over-Voltage flag (I</t>
    </r>
    <r>
      <rPr>
        <vertAlign val="subscript"/>
        <sz val="8"/>
        <color theme="1"/>
        <rFont val="맑은 고딕"/>
        <family val="3"/>
        <charset val="129"/>
        <scheme val="minor"/>
      </rPr>
      <t>VBCK_IO</t>
    </r>
    <r>
      <rPr>
        <sz val="8"/>
        <color theme="1"/>
        <rFont val="맑은 고딕"/>
        <family val="3"/>
        <charset val="129"/>
        <scheme val="minor"/>
      </rPr>
      <t xml:space="preserve"> &gt; 4.5A or V</t>
    </r>
    <r>
      <rPr>
        <vertAlign val="subscript"/>
        <sz val="8"/>
        <color theme="1"/>
        <rFont val="맑은 고딕"/>
        <family val="3"/>
        <charset val="129"/>
        <scheme val="minor"/>
      </rPr>
      <t xml:space="preserve">BOOT </t>
    </r>
    <r>
      <rPr>
        <sz val="8"/>
        <color theme="1"/>
        <rFont val="맑은 고딕"/>
        <family val="3"/>
        <charset val="129"/>
        <scheme val="minor"/>
      </rPr>
      <t>&lt; 2.6V or VBCK_IO pin open)</t>
    </r>
    <phoneticPr fontId="1" type="noConversion"/>
  </si>
  <si>
    <r>
      <t>1 : BUCK Over-Voltage flag (V</t>
    </r>
    <r>
      <rPr>
        <vertAlign val="subscript"/>
        <sz val="8"/>
        <color theme="1"/>
        <rFont val="맑은 고딕"/>
        <family val="3"/>
        <charset val="129"/>
        <scheme val="minor"/>
      </rPr>
      <t>VIO</t>
    </r>
    <r>
      <rPr>
        <sz val="8"/>
        <color theme="1"/>
        <rFont val="맑은 고딕"/>
        <family val="3"/>
        <charset val="129"/>
        <scheme val="minor"/>
      </rPr>
      <t xml:space="preserve"> &gt; 5.6V)</t>
    </r>
    <phoneticPr fontId="1" type="noConversion"/>
  </si>
  <si>
    <r>
      <t>1 : BUCK Under-Voltage flag (V</t>
    </r>
    <r>
      <rPr>
        <vertAlign val="subscript"/>
        <sz val="8"/>
        <color theme="1"/>
        <rFont val="맑은 고딕"/>
        <family val="3"/>
        <charset val="129"/>
        <scheme val="minor"/>
      </rPr>
      <t>VIO</t>
    </r>
    <r>
      <rPr>
        <sz val="8"/>
        <color theme="1"/>
        <rFont val="맑은 고딕"/>
        <family val="3"/>
        <charset val="129"/>
        <scheme val="minor"/>
      </rPr>
      <t xml:space="preserve"> &lt; 4.5V)</t>
    </r>
    <phoneticPr fontId="1" type="noConversion"/>
  </si>
  <si>
    <r>
      <t>1 : Over temperature warning flag is raised if the detection condition, T</t>
    </r>
    <r>
      <rPr>
        <vertAlign val="subscript"/>
        <sz val="8"/>
        <color theme="1"/>
        <rFont val="맑은 고딕"/>
        <family val="3"/>
        <charset val="129"/>
        <scheme val="minor"/>
      </rPr>
      <t>J</t>
    </r>
    <r>
      <rPr>
        <sz val="8"/>
        <color theme="1"/>
        <rFont val="맑은 고딕"/>
        <family val="3"/>
        <charset val="129"/>
        <scheme val="minor"/>
      </rPr>
      <t xml:space="preserve"> &gt; 125</t>
    </r>
    <r>
      <rPr>
        <sz val="8"/>
        <color theme="1"/>
        <rFont val="맑은 고딕"/>
        <family val="3"/>
        <charset val="129"/>
      </rPr>
      <t>°C (@Typ)</t>
    </r>
    <phoneticPr fontId="1" type="noConversion"/>
  </si>
  <si>
    <r>
      <t>1 : BUCK Critical Under-Voltage flag (</t>
    </r>
    <r>
      <rPr>
        <sz val="8"/>
        <rFont val="맑은 고딕"/>
        <family val="3"/>
        <charset val="129"/>
        <scheme val="minor"/>
      </rPr>
      <t>V</t>
    </r>
    <r>
      <rPr>
        <vertAlign val="subscript"/>
        <sz val="8"/>
        <rFont val="맑은 고딕"/>
        <family val="3"/>
        <charset val="129"/>
        <scheme val="minor"/>
      </rPr>
      <t>VIO</t>
    </r>
    <r>
      <rPr>
        <sz val="8"/>
        <rFont val="맑은 고딕"/>
        <family val="3"/>
        <charset val="129"/>
        <scheme val="minor"/>
      </rPr>
      <t xml:space="preserve"> &lt; 4.0V)</t>
    </r>
    <phoneticPr fontId="1" type="noConversion"/>
  </si>
  <si>
    <r>
      <t xml:space="preserve">1 : BUCK Over-Current flag </t>
    </r>
    <r>
      <rPr>
        <sz val="8"/>
        <rFont val="맑은 고딕"/>
        <family val="3"/>
        <charset val="129"/>
        <scheme val="minor"/>
      </rPr>
      <t>(I</t>
    </r>
    <r>
      <rPr>
        <vertAlign val="subscript"/>
        <sz val="8"/>
        <rFont val="맑은 고딕"/>
        <family val="3"/>
        <charset val="129"/>
        <scheme val="minor"/>
      </rPr>
      <t>VBCK_IO</t>
    </r>
    <r>
      <rPr>
        <sz val="8"/>
        <rFont val="맑은 고딕"/>
        <family val="3"/>
        <charset val="129"/>
        <scheme val="minor"/>
      </rPr>
      <t xml:space="preserve"> &gt; 4.5A)</t>
    </r>
    <phoneticPr fontId="1" type="noConversion"/>
  </si>
  <si>
    <r>
      <rPr>
        <sz val="8"/>
        <rFont val="맑은 고딕"/>
        <family val="3"/>
        <charset val="129"/>
        <scheme val="minor"/>
      </rPr>
      <t>1 : BOOT CAP Under-Voltage flag (V</t>
    </r>
    <r>
      <rPr>
        <vertAlign val="subscript"/>
        <sz val="8"/>
        <rFont val="맑은 고딕"/>
        <family val="3"/>
        <charset val="129"/>
        <scheme val="minor"/>
      </rPr>
      <t>BOOT</t>
    </r>
    <r>
      <rPr>
        <sz val="8"/>
        <rFont val="맑은 고딕"/>
        <family val="3"/>
        <charset val="129"/>
        <scheme val="minor"/>
      </rPr>
      <t xml:space="preserve"> &lt; 2.6V)</t>
    </r>
    <phoneticPr fontId="1" type="noConversion"/>
  </si>
  <si>
    <r>
      <t>1 : VDD5 Under-Voltage flag</t>
    </r>
    <r>
      <rPr>
        <sz val="8"/>
        <color rgb="FFFF0000"/>
        <rFont val="맑은 고딕"/>
        <family val="3"/>
        <charset val="129"/>
        <scheme val="minor"/>
      </rPr>
      <t xml:space="preserve"> </t>
    </r>
    <r>
      <rPr>
        <sz val="8"/>
        <rFont val="맑은 고딕"/>
        <family val="3"/>
        <charset val="129"/>
        <scheme val="minor"/>
      </rPr>
      <t>(VDD5 &lt; 3.9V)</t>
    </r>
    <phoneticPr fontId="1" type="noConversion"/>
  </si>
  <si>
    <t>VB_IN_OV</t>
    <phoneticPr fontId="1" type="noConversion"/>
  </si>
  <si>
    <t xml:space="preserve">VB_IN_OV : </t>
    <phoneticPr fontId="1" type="noConversion"/>
  </si>
  <si>
    <r>
      <t xml:space="preserve">1 : Battery input Over-Voltage flag </t>
    </r>
    <r>
      <rPr>
        <sz val="8"/>
        <color rgb="FFFF0000"/>
        <rFont val="맑은 고딕"/>
        <family val="3"/>
        <charset val="129"/>
        <scheme val="minor"/>
      </rPr>
      <t>(VB &gt; ???)</t>
    </r>
    <phoneticPr fontId="1" type="noConversion"/>
  </si>
  <si>
    <t>0: VIO voltage ADC monitor disable(default)
1: VIO voltage ADC monitor enable</t>
    <phoneticPr fontId="1" type="noConversion"/>
  </si>
  <si>
    <t>0 : Battery input over-voltage fault reaction disable (only flag set)
1 : Battery input over-voltage fault reaction enable (BUCK disable) (default)</t>
    <phoneticPr fontId="1" type="noConversion"/>
  </si>
  <si>
    <t>HYS_RCON[2:0]</t>
    <phoneticPr fontId="1" type="noConversion"/>
  </si>
  <si>
    <t>HYS_DCON[2:0]</t>
    <phoneticPr fontId="1" type="noConversion"/>
  </si>
  <si>
    <t xml:space="preserve">Normal RX HYS control </t>
    <phoneticPr fontId="1" type="noConversion"/>
  </si>
  <si>
    <t>HYSL_RCON[1:0]</t>
    <phoneticPr fontId="1" type="noConversion"/>
  </si>
  <si>
    <t>HYSL_DCON[1:0]</t>
    <phoneticPr fontId="1" type="noConversion"/>
  </si>
  <si>
    <t>efuse4</t>
    <phoneticPr fontId="1" type="noConversion"/>
  </si>
  <si>
    <t xml:space="preserve">Low Power RX HYS control </t>
    <phoneticPr fontId="1" type="noConversion"/>
  </si>
  <si>
    <t>TM_LP_MASK</t>
    <phoneticPr fontId="1" type="noConversion"/>
  </si>
  <si>
    <t>TM_IDDQ_ALL</t>
    <phoneticPr fontId="1" type="noConversion"/>
  </si>
  <si>
    <t>TM_IDDQ_LDO_1P5V</t>
    <phoneticPr fontId="1" type="noConversion"/>
  </si>
  <si>
    <t>TM_IDDQ_LDO_VDD</t>
    <phoneticPr fontId="1" type="noConversion"/>
  </si>
  <si>
    <t>RSVD</t>
    <phoneticPr fontId="1" type="noConversion"/>
  </si>
  <si>
    <t>TM_TSD_OT</t>
    <phoneticPr fontId="1" type="noConversion"/>
  </si>
  <si>
    <t>TM_TSD_VCTAT</t>
    <phoneticPr fontId="1" type="noConversion"/>
  </si>
  <si>
    <t>TM_ATB_BIAS_EN</t>
    <phoneticPr fontId="1" type="noConversion"/>
  </si>
  <si>
    <t>TM_OTA_OFFSET</t>
    <phoneticPr fontId="1" type="noConversion"/>
  </si>
  <si>
    <t>TM_OTA_GM_DOWN_EN</t>
    <phoneticPr fontId="1" type="noConversion"/>
  </si>
  <si>
    <t>TM_CP_EN</t>
    <phoneticPr fontId="1" type="noConversion"/>
  </si>
  <si>
    <t>TM_CP_DISABLE</t>
    <phoneticPr fontId="1" type="noConversion"/>
  </si>
  <si>
    <t>TM_BUCK_SS_DISABLE</t>
    <phoneticPr fontId="1" type="noConversion"/>
  </si>
  <si>
    <t>TM_BUCK_SS_LATCH_EN</t>
    <phoneticPr fontId="1" type="noConversion"/>
  </si>
  <si>
    <t>TM_FSW_SWEEP_EN</t>
    <phoneticPr fontId="1" type="noConversion"/>
  </si>
  <si>
    <t>TM_BUCK_ATB1_EN</t>
    <phoneticPr fontId="1" type="noConversion"/>
  </si>
  <si>
    <t>TM_GATE_FORCE_ON</t>
    <phoneticPr fontId="1" type="noConversion"/>
  </si>
  <si>
    <t>TM_BUCK_ATB2_EN</t>
    <phoneticPr fontId="1" type="noConversion"/>
  </si>
  <si>
    <t>TM_PFM_WEAK</t>
    <phoneticPr fontId="1" type="noConversion"/>
  </si>
  <si>
    <t>TM_PFM_DIS</t>
    <phoneticPr fontId="1" type="noConversion"/>
  </si>
  <si>
    <t>TM_LVDS_TX_IN_TEST</t>
    <phoneticPr fontId="1" type="noConversion"/>
  </si>
  <si>
    <t>TM_SE_P_TX_IN_TEST</t>
    <phoneticPr fontId="1" type="noConversion"/>
  </si>
  <si>
    <t>TM_SE_N_TX_IN_TEST</t>
    <phoneticPr fontId="1" type="noConversion"/>
  </si>
  <si>
    <t>TM_HIZ_RES_SW_ON</t>
    <phoneticPr fontId="1" type="noConversion"/>
  </si>
  <si>
    <t>TM_HF_DUTY_EN</t>
    <phoneticPr fontId="1" type="noConversion"/>
  </si>
  <si>
    <t>TM_HFP_EN</t>
    <phoneticPr fontId="1" type="noConversion"/>
  </si>
  <si>
    <t>TM_HF_EN</t>
    <phoneticPr fontId="1" type="noConversion"/>
  </si>
  <si>
    <t>TM_HF_MODE</t>
    <phoneticPr fontId="1" type="noConversion"/>
  </si>
  <si>
    <t>TM_LF_DUTY_EN</t>
    <phoneticPr fontId="1" type="noConversion"/>
  </si>
  <si>
    <t>TM_LFP_EN</t>
    <phoneticPr fontId="1" type="noConversion"/>
  </si>
  <si>
    <t>TM_FM_DAC_EN</t>
    <phoneticPr fontId="1" type="noConversion"/>
  </si>
  <si>
    <t>TM_FM_DAC_DATA</t>
    <phoneticPr fontId="1" type="noConversion"/>
  </si>
  <si>
    <t>TM_F_RFREQ_SEL</t>
    <phoneticPr fontId="1" type="noConversion"/>
  </si>
  <si>
    <t>TM_F_OSC_SEL</t>
    <phoneticPr fontId="1" type="noConversion"/>
  </si>
  <si>
    <t>TM_F_BUCK_SEL</t>
    <phoneticPr fontId="1" type="noConversion"/>
  </si>
  <si>
    <t>TM_F_FSW_SEL</t>
    <phoneticPr fontId="1" type="noConversion"/>
  </si>
  <si>
    <t>DTB1_MUX_EN</t>
    <phoneticPr fontId="1" type="noConversion"/>
  </si>
  <si>
    <t>DTB1_MUX_SEL</t>
    <phoneticPr fontId="1" type="noConversion"/>
  </si>
  <si>
    <t>DTB1_MUX&lt;4:0&gt;</t>
    <phoneticPr fontId="1" type="noConversion"/>
  </si>
  <si>
    <t>TM_F_RFREQ_STATUS</t>
    <phoneticPr fontId="1" type="noConversion"/>
  </si>
  <si>
    <t>TM_F_OSC_TOP_EN_D</t>
    <phoneticPr fontId="1" type="noConversion"/>
  </si>
  <si>
    <t>TM_F_BUCK_EN</t>
    <phoneticPr fontId="1" type="noConversion"/>
  </si>
  <si>
    <t>TM_F_FSW_450K_EN</t>
    <phoneticPr fontId="1" type="noConversion"/>
  </si>
  <si>
    <t>DTB2_MUX_EN</t>
    <phoneticPr fontId="1" type="noConversion"/>
  </si>
  <si>
    <t>DTB2_MUX_SEL</t>
    <phoneticPr fontId="1" type="noConversion"/>
  </si>
  <si>
    <t>DTB2_MUX&lt;4:0&gt;</t>
    <phoneticPr fontId="1" type="noConversion"/>
  </si>
  <si>
    <t>OTP_RD</t>
    <phoneticPr fontId="1" type="noConversion"/>
  </si>
  <si>
    <t>OTP_WSEL [3:0]</t>
    <phoneticPr fontId="1" type="noConversion"/>
  </si>
  <si>
    <t>OTP_PG_ACC_CYCLE [11:0]</t>
    <phoneticPr fontId="1" type="noConversion"/>
  </si>
  <si>
    <t>PROTECT [11:0]</t>
    <phoneticPr fontId="1" type="noConversion"/>
  </si>
  <si>
    <t>na</t>
    <phoneticPr fontId="1" type="noConversion"/>
  </si>
  <si>
    <t>OTP1_MIRROR14</t>
  </si>
  <si>
    <t>OTP1_MIRROR15</t>
  </si>
  <si>
    <t>GPIO_1</t>
    <phoneticPr fontId="1" type="noConversion"/>
  </si>
  <si>
    <t>GPIO_2</t>
    <phoneticPr fontId="1" type="noConversion"/>
  </si>
  <si>
    <t>TM_ENTRY</t>
    <phoneticPr fontId="1" type="noConversion"/>
  </si>
  <si>
    <t>DTB1_INPUT
(OSC_TOP_2.2MHz)</t>
    <phoneticPr fontId="1" type="noConversion"/>
  </si>
  <si>
    <t>I_ADDR_0_SING_RX_OUT</t>
    <phoneticPr fontId="1" type="noConversion"/>
  </si>
  <si>
    <t>DTB2_INPUT
(LP_OSC_100kHZ)</t>
    <phoneticPr fontId="1" type="noConversion"/>
  </si>
  <si>
    <t>TEST_MODE_EN</t>
    <phoneticPr fontId="1" type="noConversion"/>
  </si>
  <si>
    <t>I_ADDR_1_SING_RX_OUT</t>
    <phoneticPr fontId="1" type="noConversion"/>
  </si>
  <si>
    <t>NORMAL_EN</t>
    <phoneticPr fontId="1" type="noConversion"/>
  </si>
  <si>
    <t>I_ADDR_2_SING_RX_OUT</t>
    <phoneticPr fontId="1" type="noConversion"/>
  </si>
  <si>
    <t>DTB_EN1P2</t>
    <phoneticPr fontId="1" type="noConversion"/>
  </si>
  <si>
    <t>I_ADDR_0_HI_Z_STATUS</t>
    <phoneticPr fontId="1" type="noConversion"/>
  </si>
  <si>
    <t>DTB_ENSNS</t>
    <phoneticPr fontId="1" type="noConversion"/>
  </si>
  <si>
    <t>MS_MODE_DETECT_DONE</t>
    <phoneticPr fontId="1" type="noConversion"/>
  </si>
  <si>
    <t>DTB_TSD_OUT</t>
    <phoneticPr fontId="1" type="noConversion"/>
  </si>
  <si>
    <t>ADDR_DETECT_DONE</t>
    <phoneticPr fontId="1" type="noConversion"/>
  </si>
  <si>
    <t>TM_I2C_SCL_DI</t>
    <phoneticPr fontId="1" type="noConversion"/>
  </si>
  <si>
    <t>TM_I2C_SDA_DO</t>
    <phoneticPr fontId="1" type="noConversion"/>
  </si>
  <si>
    <t>TM_I2C_SDA_DI</t>
    <phoneticPr fontId="1" type="noConversion"/>
  </si>
  <si>
    <t>I_VB_IN_OV</t>
    <phoneticPr fontId="1" type="noConversion"/>
  </si>
  <si>
    <t>DTB_RFREQ_OPEN_CHECK</t>
    <phoneticPr fontId="1" type="noConversion"/>
  </si>
  <si>
    <t>DTB_RFREQ_SHORT_CHECK</t>
    <phoneticPr fontId="1" type="noConversion"/>
  </si>
  <si>
    <t>DTB_SSC_DAC&lt;0&gt;</t>
    <phoneticPr fontId="1" type="noConversion"/>
  </si>
  <si>
    <t>DTB_SSC_DAC&lt;1&gt;</t>
    <phoneticPr fontId="1" type="noConversion"/>
  </si>
  <si>
    <t>DTB_SSC_VREF&lt;0&gt;</t>
    <phoneticPr fontId="1" type="noConversion"/>
  </si>
  <si>
    <t>DTB_SSC_VREF&lt;1&gt;</t>
    <phoneticPr fontId="1" type="noConversion"/>
  </si>
  <si>
    <t>I_SIO_DIFF_IN</t>
    <phoneticPr fontId="1" type="noConversion"/>
  </si>
  <si>
    <t>O_SIO_DIFF_OUT</t>
    <phoneticPr fontId="1" type="noConversion"/>
  </si>
  <si>
    <t>O_SIO_SING_DOUT_P</t>
    <phoneticPr fontId="1" type="noConversion"/>
  </si>
  <si>
    <t>O_SIO_SING_DOUT_N</t>
    <phoneticPr fontId="1" type="noConversion"/>
  </si>
  <si>
    <t>I_SIO_SING_DIN_P</t>
    <phoneticPr fontId="1" type="noConversion"/>
  </si>
  <si>
    <t>I_SIO_SING_DIN_N</t>
    <phoneticPr fontId="1" type="noConversion"/>
  </si>
  <si>
    <t>BUCK_SS_CLK</t>
    <phoneticPr fontId="1" type="noConversion"/>
  </si>
  <si>
    <t>BUCK_SOFT_START_DONE</t>
    <phoneticPr fontId="1" type="noConversion"/>
  </si>
  <si>
    <t>BUCK_VIO_UV_CRIT</t>
    <phoneticPr fontId="1" type="noConversion"/>
  </si>
  <si>
    <t>BUCK_VIO_UV</t>
    <phoneticPr fontId="1" type="noConversion"/>
  </si>
  <si>
    <t>GPIO_2_D_OUT</t>
    <phoneticPr fontId="1" type="noConversion"/>
  </si>
  <si>
    <t>GPIO_1_D_OUT</t>
    <phoneticPr fontId="1" type="noConversion"/>
  </si>
  <si>
    <t>GPIO_2_D_IN</t>
    <phoneticPr fontId="1" type="noConversion"/>
  </si>
  <si>
    <t>GPIO_1_D_IN</t>
    <phoneticPr fontId="1" type="noConversion"/>
  </si>
  <si>
    <t>GPIO_0_D_OUT</t>
    <phoneticPr fontId="1" type="noConversion"/>
  </si>
  <si>
    <t>DTB_CP_CLK_DIV_8</t>
    <phoneticPr fontId="1" type="noConversion"/>
  </si>
  <si>
    <t>GPIO_0_D_IN</t>
    <phoneticPr fontId="1" type="noConversion"/>
  </si>
  <si>
    <t>DTB_LP_CLK</t>
    <phoneticPr fontId="1" type="noConversion"/>
  </si>
  <si>
    <t>BUCK_VIO_OV</t>
    <phoneticPr fontId="1" type="noConversion"/>
  </si>
  <si>
    <t>BUCK_VIO_BOOT_UV</t>
    <phoneticPr fontId="1" type="noConversion"/>
  </si>
  <si>
    <t>DTB_OSC_TOP_CLK_DIV_4</t>
    <phoneticPr fontId="1" type="noConversion"/>
  </si>
  <si>
    <t>SS_RESET</t>
    <phoneticPr fontId="1" type="noConversion"/>
  </si>
  <si>
    <t>PSK_ACTIVE</t>
    <phoneticPr fontId="1" type="noConversion"/>
  </si>
  <si>
    <t>DTB_MCLK_DIV_32</t>
    <phoneticPr fontId="1" type="noConversion"/>
  </si>
  <si>
    <t>TO_CAN_RXD</t>
    <phoneticPr fontId="1" type="noConversion"/>
  </si>
  <si>
    <t>OSC_TOP_EN_D</t>
    <phoneticPr fontId="1" type="noConversion"/>
  </si>
  <si>
    <t>TO_CAN_LP_RXD</t>
    <phoneticPr fontId="1" type="noConversion"/>
  </si>
  <si>
    <t>DTB_FSW_450K_MODE_EN</t>
    <phoneticPr fontId="1" type="noConversion"/>
  </si>
  <si>
    <t>VDD5_UVLO_B</t>
    <phoneticPr fontId="1" type="noConversion"/>
  </si>
  <si>
    <t>** DTB OUT의 경우에는 Test mode에 진입했을 때만, 측정하는 아이템이기에, TEST MODE EN = 0 이 되면 Register Setting이 풀리게 처리</t>
    <phoneticPr fontId="1" type="noConversion"/>
  </si>
  <si>
    <t>** DTB IN의 경우에는, Work Around point 이기에, Test mode를 나가더라도, Register Setting을 해놓은게 유지가 되어야, Normal mode 에서도 사용 가능하게 처리</t>
    <phoneticPr fontId="1" type="noConversion"/>
  </si>
  <si>
    <t>DTB_OSC_TOP_CLK_READY</t>
    <phoneticPr fontId="1" type="noConversion"/>
  </si>
  <si>
    <t>0xF5</t>
  </si>
  <si>
    <t>0xF6</t>
  </si>
  <si>
    <t>0xF7</t>
  </si>
  <si>
    <t>0xF8</t>
  </si>
  <si>
    <t>0xF9</t>
  </si>
  <si>
    <t>0xFA</t>
    <phoneticPr fontId="1" type="noConversion"/>
  </si>
  <si>
    <t>0xFB</t>
    <phoneticPr fontId="1" type="noConversion"/>
  </si>
  <si>
    <t>0xFC</t>
    <phoneticPr fontId="1" type="noConversion"/>
  </si>
  <si>
    <t>0xFD</t>
    <phoneticPr fontId="1" type="noConversion"/>
  </si>
  <si>
    <t>0xFE</t>
    <phoneticPr fontId="1" type="noConversion"/>
  </si>
  <si>
    <t>DTB_LP_ENABLE</t>
    <phoneticPr fontId="1" type="noConversion"/>
  </si>
  <si>
    <t>SETUP4</t>
    <phoneticPr fontId="1" type="noConversion"/>
  </si>
  <si>
    <t xml:space="preserve">LP_WFLT_SEL : </t>
    <phoneticPr fontId="1" type="noConversion"/>
  </si>
  <si>
    <t xml:space="preserve">CAN_LPRX_EN : </t>
    <phoneticPr fontId="1" type="noConversion"/>
  </si>
  <si>
    <t xml:space="preserve">CAN_RX_EN : </t>
    <phoneticPr fontId="1" type="noConversion"/>
  </si>
  <si>
    <t xml:space="preserve">CAN_TX_EN : </t>
    <phoneticPr fontId="1" type="noConversion"/>
  </si>
  <si>
    <t>SET_SETUP4</t>
    <phoneticPr fontId="1" type="noConversion"/>
  </si>
  <si>
    <t>READ_SETUP4</t>
    <phoneticPr fontId="1" type="noConversion"/>
  </si>
  <si>
    <t>CLK_INV_EN</t>
    <phoneticPr fontId="1" type="noConversion"/>
  </si>
  <si>
    <t xml:space="preserve">CLK_INV_EN : </t>
    <phoneticPr fontId="1" type="noConversion"/>
  </si>
  <si>
    <t>YS.KIM
BC.CHO
WS.KANG</t>
    <phoneticPr fontId="1" type="noConversion"/>
  </si>
  <si>
    <t>SETUP3
STATUS2
SETUP4
Testmode Reg</t>
    <phoneticPr fontId="1" type="noConversion"/>
  </si>
  <si>
    <t>CLK_INV_EN bit and VB_IN_OV_FLT_EN bit added on SETUP3
VB_IN_OV bit added on STATUS2
add SETUP4 register, SET_SETUP4 &amp; READ_SETUP4 command
add first contents testmode register (Control &amp; E-fuse)</t>
    <phoneticPr fontId="1" type="noConversion"/>
  </si>
  <si>
    <t>TM_ENABLE_LOCK</t>
    <phoneticPr fontId="1" type="noConversion"/>
  </si>
  <si>
    <t>GPIO2 internal Pull-down enable / disable
0 : disable (default)
1 : enable</t>
    <phoneticPr fontId="1" type="noConversion"/>
  </si>
  <si>
    <t>GPIO1 internal Pull-down enable / disable
0 : disable (default)
1 : enable</t>
    <phoneticPr fontId="1" type="noConversion"/>
  </si>
  <si>
    <t>GPIO0 internal Pull-down enable / disable
0 : disable (default)
1 : enable</t>
    <phoneticPr fontId="1" type="noConversion"/>
  </si>
  <si>
    <t>GPIO2 External voltage ADC monitor enable / disable
0 : disable (default)
1 : enable (configuration of the GPIO2_MODE bit is disregarded.)</t>
    <phoneticPr fontId="1" type="noConversion"/>
  </si>
  <si>
    <t>GPIO1 External voltage ADC monitor enable / disable
0 : disable (default)
1 : enable (configuration of the GPIO1_MODE bit is disregarded.)</t>
    <phoneticPr fontId="1" type="noConversion"/>
  </si>
  <si>
    <t>BUCK control signal is output through GPIO0. GPIO0_OUT configuration is disregarded when enable is asserted.
0 : disable
1 : enable (default)</t>
    <phoneticPr fontId="1" type="noConversion"/>
  </si>
  <si>
    <t>TM_ATB_1_EN</t>
    <phoneticPr fontId="1" type="noConversion"/>
  </si>
  <si>
    <t>TM_ATB_2_EN</t>
    <phoneticPr fontId="1" type="noConversion"/>
  </si>
  <si>
    <t>TM_ATB_1_BUF_EN</t>
    <phoneticPr fontId="1" type="noConversion"/>
  </si>
  <si>
    <t>TM_ATB_2_BUF_EN</t>
    <phoneticPr fontId="1" type="noConversion"/>
  </si>
  <si>
    <t>TM_ILIM_REDUCE</t>
    <phoneticPr fontId="1" type="noConversion"/>
  </si>
  <si>
    <t>TM_IDDQ_1P5V_PWRSW_ON</t>
    <phoneticPr fontId="1" type="noConversion"/>
  </si>
  <si>
    <t>TM_ATB_2_SPARE_EN</t>
    <phoneticPr fontId="1" type="noConversion"/>
  </si>
  <si>
    <t>DTB_BUCK_OUT</t>
    <phoneticPr fontId="1" type="noConversion"/>
  </si>
  <si>
    <t>CMD_SET1</t>
    <phoneticPr fontId="1" type="noConversion"/>
  </si>
  <si>
    <t>TM_GATE_FORCE_OFF</t>
    <phoneticPr fontId="1" type="noConversion"/>
  </si>
  <si>
    <t>Connected LED commnad setting (Spare register for ID804 next version LED)</t>
    <phoneticPr fontId="1" type="noConversion"/>
  </si>
  <si>
    <t>CMD_SET2</t>
    <phoneticPr fontId="1" type="noConversion"/>
  </si>
  <si>
    <t>CMD_SET3</t>
    <phoneticPr fontId="1" type="noConversion"/>
  </si>
  <si>
    <t>CMD_SET4</t>
    <phoneticPr fontId="1" type="noConversion"/>
  </si>
  <si>
    <t>CMD_SET5</t>
    <phoneticPr fontId="1" type="noConversion"/>
  </si>
  <si>
    <t>CMD_SET6</t>
    <phoneticPr fontId="1" type="noConversion"/>
  </si>
  <si>
    <t>0x11</t>
    <phoneticPr fontId="1" type="noConversion"/>
  </si>
  <si>
    <t>CMD_SET7</t>
    <phoneticPr fontId="1" type="noConversion"/>
  </si>
  <si>
    <t>0x12</t>
    <phoneticPr fontId="1" type="noConversion"/>
  </si>
  <si>
    <t>CMD_SET8</t>
    <phoneticPr fontId="1" type="noConversion"/>
  </si>
  <si>
    <t>0x13</t>
    <phoneticPr fontId="1" type="noConversion"/>
  </si>
  <si>
    <t>CMD_SET9</t>
    <phoneticPr fontId="1" type="noConversion"/>
  </si>
  <si>
    <t>0x14</t>
  </si>
  <si>
    <t>0x14</t>
    <phoneticPr fontId="1" type="noConversion"/>
  </si>
  <si>
    <t>CMD_SET10</t>
    <phoneticPr fontId="1" type="noConversion"/>
  </si>
  <si>
    <t>0x15</t>
  </si>
  <si>
    <t>0x15</t>
    <phoneticPr fontId="1" type="noConversion"/>
  </si>
  <si>
    <t>CMD_SET11</t>
    <phoneticPr fontId="1" type="noConversion"/>
  </si>
  <si>
    <t>0x16</t>
  </si>
  <si>
    <t>0x16</t>
    <phoneticPr fontId="1" type="noConversion"/>
  </si>
  <si>
    <t>CMD_SET12</t>
    <phoneticPr fontId="1" type="noConversion"/>
  </si>
  <si>
    <t>CMD_SET13</t>
    <phoneticPr fontId="1" type="noConversion"/>
  </si>
  <si>
    <t>0x17</t>
  </si>
  <si>
    <t>0x17</t>
    <phoneticPr fontId="1" type="noConversion"/>
  </si>
  <si>
    <t>0x18</t>
  </si>
  <si>
    <t>0x18</t>
    <phoneticPr fontId="1" type="noConversion"/>
  </si>
  <si>
    <t>CMD_SET14</t>
    <phoneticPr fontId="1" type="noConversion"/>
  </si>
  <si>
    <t>0x19</t>
  </si>
  <si>
    <t>0x19</t>
    <phoneticPr fontId="1" type="noConversion"/>
  </si>
  <si>
    <t>CMD_SET15</t>
    <phoneticPr fontId="1" type="noConversion"/>
  </si>
  <si>
    <t>0x1A</t>
    <phoneticPr fontId="1" type="noConversion"/>
  </si>
  <si>
    <t>CMD_SET16</t>
    <phoneticPr fontId="1" type="noConversion"/>
  </si>
  <si>
    <t>SET_CMD_SET1</t>
    <phoneticPr fontId="1" type="noConversion"/>
  </si>
  <si>
    <t>SET_CMD_SET2</t>
    <phoneticPr fontId="1" type="noConversion"/>
  </si>
  <si>
    <t>SET_CMD_SET3</t>
  </si>
  <si>
    <t>SET_CMD_SET4</t>
  </si>
  <si>
    <t>SET_CMD_SET5</t>
  </si>
  <si>
    <t>SET_CMD_SET6</t>
  </si>
  <si>
    <t>SET_CMD_SET7</t>
  </si>
  <si>
    <t>SET_CMD_SET8</t>
  </si>
  <si>
    <t>SET_CMD_SET9</t>
  </si>
  <si>
    <t>SET_CMD_SET10</t>
  </si>
  <si>
    <t>SET_CMD_SET11</t>
  </si>
  <si>
    <t>SET_CMD_SET12</t>
  </si>
  <si>
    <t>SET_CMD_SET13</t>
  </si>
  <si>
    <t>SET_CMD_SET14</t>
  </si>
  <si>
    <t>SET_CMD_SET15</t>
  </si>
  <si>
    <t>SET_CMD_SET16</t>
  </si>
  <si>
    <t>0x30</t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</si>
  <si>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</si>
  <si>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</si>
  <si>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</si>
  <si>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</si>
  <si>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</si>
  <si>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</si>
  <si>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</si>
  <si>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</si>
  <si>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</si>
  <si>
    <t>0x3A</t>
  </si>
  <si>
    <t>0x3B</t>
  </si>
  <si>
    <t>0x3C</t>
  </si>
  <si>
    <t>0x3D</t>
  </si>
  <si>
    <t>0x3E</t>
  </si>
  <si>
    <t>0x3F</t>
  </si>
  <si>
    <t>0x1B</t>
    <phoneticPr fontId="1" type="noConversion"/>
  </si>
  <si>
    <t>CMD1[7:0]</t>
    <phoneticPr fontId="1" type="noConversion"/>
  </si>
  <si>
    <t>CMD2[7:0]</t>
    <phoneticPr fontId="1" type="noConversion"/>
  </si>
  <si>
    <t>CMD3[7:0]</t>
    <phoneticPr fontId="1" type="noConversion"/>
  </si>
  <si>
    <t>CMD4[7:0]</t>
    <phoneticPr fontId="1" type="noConversion"/>
  </si>
  <si>
    <t>CMD5[7:0]</t>
    <phoneticPr fontId="1" type="noConversion"/>
  </si>
  <si>
    <t>CMD6[7:0]</t>
    <phoneticPr fontId="1" type="noConversion"/>
  </si>
  <si>
    <t>CMD7[7:0]</t>
    <phoneticPr fontId="1" type="noConversion"/>
  </si>
  <si>
    <t>CMD8[7:0]</t>
    <phoneticPr fontId="1" type="noConversion"/>
  </si>
  <si>
    <t>CMD9[7:0]</t>
    <phoneticPr fontId="1" type="noConversion"/>
  </si>
  <si>
    <t>CMD10[7:0]</t>
    <phoneticPr fontId="1" type="noConversion"/>
  </si>
  <si>
    <t>CMD11[7:0]</t>
    <phoneticPr fontId="1" type="noConversion"/>
  </si>
  <si>
    <t>CMD12[7:0]</t>
    <phoneticPr fontId="1" type="noConversion"/>
  </si>
  <si>
    <t>CMD13[7:0]</t>
    <phoneticPr fontId="1" type="noConversion"/>
  </si>
  <si>
    <t>CMD14[7:0]</t>
    <phoneticPr fontId="1" type="noConversion"/>
  </si>
  <si>
    <t>CMD15[7:0]</t>
    <phoneticPr fontId="1" type="noConversion"/>
  </si>
  <si>
    <t>CMD16[7:0]</t>
    <phoneticPr fontId="1" type="noConversion"/>
  </si>
  <si>
    <t>DATA field length of connected LED command set by CMD_SET1.CMD register (Spare register for ID804 next version LED)
3'b000 : CMD_SET1 register is disabled (default)
3'b001 : 0 bit
3'b010 : 16bits (Data + Dummy(4bits))
3'b011 : 24bits
3'b100 : 36bits
others : CMD_SET1 register is disabled</t>
    <phoneticPr fontId="1" type="noConversion"/>
  </si>
  <si>
    <t>DATA field length of connected LED command set by CMD_SET2 CMD register (Spare register for ID804 next version LED)
3'b000 : CMD_SET2 register is disabled (default)
3'b001 : 0 bit
3'b010 : 16bits (Data + Dummy(4bits))
3'b011 : 24bits
3'b100 : 36bits
others : CMD_SET2 register is disabled</t>
    <phoneticPr fontId="1" type="noConversion"/>
  </si>
  <si>
    <t>DATA field length of connected LED command set by CMD_SET3 CMD register (Spare register for ID804 next version LED)
3'b000 : CMD_SET3 register is disabled (default)
3'b001 : 0 bit
3'b010 : 16bits (Data + Dummy(4bits))
3'b011 : 24bits
3'b100 : 36bits
others : CMD_SET3 register is disabled</t>
    <phoneticPr fontId="1" type="noConversion"/>
  </si>
  <si>
    <t>DATA field length of connected LED command set by CMD_SET4 CMD register (Spare register for ID804 next version LED)
3'b000 : CMD_SET4 register is disabled (default)
3'b001 : 0 bit
3'b010 : 16bits (Data + Dummy(4bits))
3'b011 : 24bits
3'b100 : 36bits
others : CMD_SET4 register is disabled</t>
    <phoneticPr fontId="1" type="noConversion"/>
  </si>
  <si>
    <t>DATA field length of connected LED command set by CMD_SET5 CMD register (Spare register for ID804 next version LED)
3'b000 : CMD_SET5 register is disabled (default)
3'b001 : 0 bit
3'b010 : 16bits (Data + Dummy(4bits))
3'b011 : 24bits
3'b100 : 36bits
others : CMD_SET5 register is disabled</t>
    <phoneticPr fontId="1" type="noConversion"/>
  </si>
  <si>
    <t>DATA field length of connected LED command set by CMD_SET6 CMD register (Spare register for ID804 next version LED)
3'b000 : CMD_SET6 register is disabled (default)
3'b001 : 0 bit
3'b010 : 16bits (Data + Dummy(4bits))
3'b011 : 24bits
3'b100 : 36bits
others : CMD_SET6 register is disabled</t>
    <phoneticPr fontId="1" type="noConversion"/>
  </si>
  <si>
    <t>DATA field length of connected LED command set by CMD_SET7 CMD register (Spare register for ID804 next version LED)
3'b000 : CMD_SET7 register is disabled (default)
3'b001 : 0 bit
3'b010 : 16bits (Data + Dummy(4bits))
3'b011 : 24bits
3'b100 : 36bits
others : CMD_SET7 register is disabled</t>
    <phoneticPr fontId="1" type="noConversion"/>
  </si>
  <si>
    <t>DATA field length of connected LED command set by CMD_SET8 CMD register (Spare register for ID804 next version LED)
3'b000 : CMD_SET8 register is disabled (default)
3'b001 : 0 bit
3'b010 : 16bits (Data + Dummy(4bits))
3'b011 : 24bits
3'b100 : 36bits
others : CMD_SET8 register is disabled</t>
    <phoneticPr fontId="1" type="noConversion"/>
  </si>
  <si>
    <t>DATA field length of connected LED command set by CMD_SET9 CMD register (Spare register for ID804 next version LED)
3'b000 : CMD_SET9 register is disabled (default)
3'b001 : 0 bit
3'b010 : 16bits (Data + Dummy(4bits))
3'b011 : 24bits
3'b100 : 36bits
others : CMD_SET9 register is disabled</t>
    <phoneticPr fontId="1" type="noConversion"/>
  </si>
  <si>
    <t>DATA field length of connected LED command set by CMD_SET10 CMD register (Spare register for ID804 next version LED)
3'b000 : CMD_SET10 register is disabled (default)
3'b001 : 0 bit
3'b010 : 16bits (Data + Dummy(4bits))
3'b011 : 24bits
3'b100 : 36bits
others : CMD_SET10 register is disabled</t>
    <phoneticPr fontId="1" type="noConversion"/>
  </si>
  <si>
    <t>DATA field length of connected LED command set by CMD_SET11 CMD register (Spare register for ID804 next version LED)
3'b000 : CMD_SET11 register is disabled (default)
3'b001 : 0 bit
3'b010 : 16bits (Data + Dummy(4bits))
3'b011 : 24bits
3'b100 : 36bits
others : CMD_SET11 register is disabled</t>
    <phoneticPr fontId="1" type="noConversion"/>
  </si>
  <si>
    <t>DATA field length of connected LED command set by CMD_SET12 CMD register (Spare register for ID804 next version LED)
3'b000 : CMD_SET12 register is disabled (default)
3'b001 : 0 bit
3'b010 : 16bits (Data + Dummy(4bits))
3'b011 : 24bits
3'b100 : 36bits
others : CMD_SET12 register is disabled</t>
    <phoneticPr fontId="1" type="noConversion"/>
  </si>
  <si>
    <t>DATA field length of connected LED command set by CMD_SET13 CMD register (Spare register for ID804 next version LED)
3'b000 : CMD_SET13 register is disabled (default)
3'b001 : 0 bit
3'b010 : 16bits (Data + Dummy(4bits))
3'b011 : 24bits
3'b100 : 36bits
others : CMD_SET13 register is disabled</t>
    <phoneticPr fontId="1" type="noConversion"/>
  </si>
  <si>
    <t>DATA field length of connected LED command set by CMD_SET14 CMD register (Spare register for ID804 next version LED)
3'b000 : CMD_SET14 register is disabled (default)
3'b001 : 0 bit
3'b010 : 16bits (Data + Dummy(4bits))
3'b011 : 24bits
3'b100 : 36bits
others : CMD_SET14 register is disabled</t>
    <phoneticPr fontId="1" type="noConversion"/>
  </si>
  <si>
    <t>DATA field length of connected LED command set by CMD_SET15 CMD register (Spare register for ID804 next version LED)
3'b000 : CMD_SET15 register is disabled (default)
3'b001 : 0 bit
3'b010 : 16bits (Data + Dummy(4bits))
3'b011 : 24bits
3'b100 : 36bits
others : CMD_SET15 register is disabled</t>
    <phoneticPr fontId="1" type="noConversion"/>
  </si>
  <si>
    <t>DATA field length of connected LED command set by CMD_SET16 CMD register (Spare register for ID804 next version LED)
3'b000 : CMD_SET16 register is disabled (default)
3'b001 : 0 bit
3'b010 : 16bits (Data + Dummy(4bits))
3'b011 : 24bits
3'b100 : 36bits
others : CMD_SET16 register is disabled</t>
    <phoneticPr fontId="1" type="noConversion"/>
  </si>
  <si>
    <t>ID_CTL</t>
    <phoneticPr fontId="1" type="noConversion"/>
  </si>
  <si>
    <t>READ_CMD_SET1</t>
    <phoneticPr fontId="1" type="noConversion"/>
  </si>
  <si>
    <t>READ_CMD_SET2</t>
    <phoneticPr fontId="1" type="noConversion"/>
  </si>
  <si>
    <t>READ_CMD_SET3</t>
    <phoneticPr fontId="1" type="noConversion"/>
  </si>
  <si>
    <t>READ_CMD_SET4</t>
    <phoneticPr fontId="1" type="noConversion"/>
  </si>
  <si>
    <t>READ_CMD_SET5</t>
    <phoneticPr fontId="1" type="noConversion"/>
  </si>
  <si>
    <t>READ_CMD_SET6</t>
    <phoneticPr fontId="1" type="noConversion"/>
  </si>
  <si>
    <t>READ_CMD_SET7</t>
    <phoneticPr fontId="1" type="noConversion"/>
  </si>
  <si>
    <t>READ_CMD_SET8</t>
    <phoneticPr fontId="1" type="noConversion"/>
  </si>
  <si>
    <t>READ_CMD_SET9</t>
    <phoneticPr fontId="1" type="noConversion"/>
  </si>
  <si>
    <t>READ_CMD_SET10</t>
    <phoneticPr fontId="1" type="noConversion"/>
  </si>
  <si>
    <t>READ_CMD_SET11</t>
    <phoneticPr fontId="1" type="noConversion"/>
  </si>
  <si>
    <t>READ_CMD_SET12</t>
    <phoneticPr fontId="1" type="noConversion"/>
  </si>
  <si>
    <t>READ_CMD_SET13</t>
    <phoneticPr fontId="1" type="noConversion"/>
  </si>
  <si>
    <t>READ_CMD_SET14</t>
    <phoneticPr fontId="1" type="noConversion"/>
  </si>
  <si>
    <t>READ_CMD_SET15</t>
    <phoneticPr fontId="1" type="noConversion"/>
  </si>
  <si>
    <t>READ_CMD_SET16</t>
    <phoneticPr fontId="1" type="noConversion"/>
  </si>
  <si>
    <t>COM_DIR1</t>
    <phoneticPr fontId="1" type="noConversion"/>
  </si>
  <si>
    <t xml:space="preserve">DATA_LENGTH1 : </t>
    <phoneticPr fontId="1" type="noConversion"/>
  </si>
  <si>
    <t xml:space="preserve">CMD1 : </t>
    <phoneticPr fontId="1" type="noConversion"/>
  </si>
  <si>
    <t xml:space="preserve">COM_DIR1 : </t>
    <phoneticPr fontId="1" type="noConversion"/>
  </si>
  <si>
    <t>1 : Downstream command
0 : Upstream command</t>
    <phoneticPr fontId="1" type="noConversion"/>
  </si>
  <si>
    <t>COM_DIR2</t>
    <phoneticPr fontId="1" type="noConversion"/>
  </si>
  <si>
    <t xml:space="preserve">COM_DIR2 : </t>
    <phoneticPr fontId="1" type="noConversion"/>
  </si>
  <si>
    <t xml:space="preserve">DATA_LENGTH2 : </t>
    <phoneticPr fontId="1" type="noConversion"/>
  </si>
  <si>
    <t xml:space="preserve">CMD2 : </t>
    <phoneticPr fontId="1" type="noConversion"/>
  </si>
  <si>
    <t>COM_DIR3</t>
    <phoneticPr fontId="1" type="noConversion"/>
  </si>
  <si>
    <t xml:space="preserve">COM_DIR3 : </t>
    <phoneticPr fontId="1" type="noConversion"/>
  </si>
  <si>
    <t xml:space="preserve">DATA_LENGTH3 : </t>
    <phoneticPr fontId="1" type="noConversion"/>
  </si>
  <si>
    <t xml:space="preserve">CMD3 : </t>
    <phoneticPr fontId="1" type="noConversion"/>
  </si>
  <si>
    <t>COM_DIR4</t>
    <phoneticPr fontId="1" type="noConversion"/>
  </si>
  <si>
    <t xml:space="preserve">COM_DIR4 : </t>
    <phoneticPr fontId="1" type="noConversion"/>
  </si>
  <si>
    <t xml:space="preserve">DATA_LENGTH4 : </t>
    <phoneticPr fontId="1" type="noConversion"/>
  </si>
  <si>
    <t xml:space="preserve">CMD4 : </t>
    <phoneticPr fontId="1" type="noConversion"/>
  </si>
  <si>
    <t>COM_DIR5</t>
    <phoneticPr fontId="1" type="noConversion"/>
  </si>
  <si>
    <t xml:space="preserve">COM_DIR5 : </t>
    <phoneticPr fontId="1" type="noConversion"/>
  </si>
  <si>
    <t xml:space="preserve">DATA_LENGTH5 : </t>
    <phoneticPr fontId="1" type="noConversion"/>
  </si>
  <si>
    <t xml:space="preserve">CMD5 : </t>
    <phoneticPr fontId="1" type="noConversion"/>
  </si>
  <si>
    <t>COM_DIR6</t>
    <phoneticPr fontId="1" type="noConversion"/>
  </si>
  <si>
    <t xml:space="preserve">COM_DIR6 : </t>
    <phoneticPr fontId="1" type="noConversion"/>
  </si>
  <si>
    <t xml:space="preserve">DATA_LENGTH6 : </t>
    <phoneticPr fontId="1" type="noConversion"/>
  </si>
  <si>
    <t xml:space="preserve">CMD6 : </t>
    <phoneticPr fontId="1" type="noConversion"/>
  </si>
  <si>
    <t>COM_DIR7</t>
    <phoneticPr fontId="1" type="noConversion"/>
  </si>
  <si>
    <t xml:space="preserve">COM_DIR7 : </t>
    <phoneticPr fontId="1" type="noConversion"/>
  </si>
  <si>
    <t xml:space="preserve">DATA_LENGTH7 : </t>
    <phoneticPr fontId="1" type="noConversion"/>
  </si>
  <si>
    <t xml:space="preserve">CMD7 : </t>
    <phoneticPr fontId="1" type="noConversion"/>
  </si>
  <si>
    <t>COM_DIR8</t>
    <phoneticPr fontId="1" type="noConversion"/>
  </si>
  <si>
    <t xml:space="preserve">COM_DIR8 : </t>
    <phoneticPr fontId="1" type="noConversion"/>
  </si>
  <si>
    <t xml:space="preserve">DATA_LENGTH8 : </t>
    <phoneticPr fontId="1" type="noConversion"/>
  </si>
  <si>
    <t xml:space="preserve">CMD8 : </t>
    <phoneticPr fontId="1" type="noConversion"/>
  </si>
  <si>
    <t>COM_DIR9</t>
    <phoneticPr fontId="1" type="noConversion"/>
  </si>
  <si>
    <t xml:space="preserve">DATA_LENGTH9 : </t>
    <phoneticPr fontId="1" type="noConversion"/>
  </si>
  <si>
    <t xml:space="preserve">CMD9 : </t>
    <phoneticPr fontId="1" type="noConversion"/>
  </si>
  <si>
    <t xml:space="preserve">COM_DIR9 : </t>
    <phoneticPr fontId="1" type="noConversion"/>
  </si>
  <si>
    <t>COM_DIR10</t>
    <phoneticPr fontId="1" type="noConversion"/>
  </si>
  <si>
    <t xml:space="preserve">COM_DIR10 : </t>
    <phoneticPr fontId="1" type="noConversion"/>
  </si>
  <si>
    <t xml:space="preserve">DATA_LENGTH10 : </t>
    <phoneticPr fontId="1" type="noConversion"/>
  </si>
  <si>
    <t xml:space="preserve">CMD10 : </t>
    <phoneticPr fontId="1" type="noConversion"/>
  </si>
  <si>
    <t>COM_DIR11</t>
    <phoneticPr fontId="1" type="noConversion"/>
  </si>
  <si>
    <t xml:space="preserve">COM_DIR11 : </t>
    <phoneticPr fontId="1" type="noConversion"/>
  </si>
  <si>
    <t xml:space="preserve">DATA_LENGTH11 : </t>
    <phoneticPr fontId="1" type="noConversion"/>
  </si>
  <si>
    <t xml:space="preserve">CMD11 : </t>
    <phoneticPr fontId="1" type="noConversion"/>
  </si>
  <si>
    <t>COM_DIR12</t>
    <phoneticPr fontId="1" type="noConversion"/>
  </si>
  <si>
    <t xml:space="preserve">COM_DIR12 : </t>
    <phoneticPr fontId="1" type="noConversion"/>
  </si>
  <si>
    <t xml:space="preserve">DATA_LENGTH12 : </t>
    <phoneticPr fontId="1" type="noConversion"/>
  </si>
  <si>
    <t xml:space="preserve">CMD12 : </t>
    <phoneticPr fontId="1" type="noConversion"/>
  </si>
  <si>
    <t>COM_DIR13</t>
    <phoneticPr fontId="1" type="noConversion"/>
  </si>
  <si>
    <t xml:space="preserve">COM_DIR13 : </t>
    <phoneticPr fontId="1" type="noConversion"/>
  </si>
  <si>
    <t xml:space="preserve">DATA_LENGTH13 : </t>
    <phoneticPr fontId="1" type="noConversion"/>
  </si>
  <si>
    <t xml:space="preserve">CMD13 : </t>
    <phoneticPr fontId="1" type="noConversion"/>
  </si>
  <si>
    <t>COM_DIR14</t>
    <phoneticPr fontId="1" type="noConversion"/>
  </si>
  <si>
    <t xml:space="preserve">COM_DIR14 : </t>
    <phoneticPr fontId="1" type="noConversion"/>
  </si>
  <si>
    <t xml:space="preserve">DATA_LENGTH14 : </t>
    <phoneticPr fontId="1" type="noConversion"/>
  </si>
  <si>
    <t xml:space="preserve">CMD14 : </t>
    <phoneticPr fontId="1" type="noConversion"/>
  </si>
  <si>
    <t>COM_DIR15</t>
    <phoneticPr fontId="1" type="noConversion"/>
  </si>
  <si>
    <t xml:space="preserve">COM_DIR15 : </t>
    <phoneticPr fontId="1" type="noConversion"/>
  </si>
  <si>
    <t xml:space="preserve">DATA_LENGTH15 : </t>
    <phoneticPr fontId="1" type="noConversion"/>
  </si>
  <si>
    <t xml:space="preserve">CMD15 : </t>
    <phoneticPr fontId="1" type="noConversion"/>
  </si>
  <si>
    <t>COM_DIR16</t>
    <phoneticPr fontId="1" type="noConversion"/>
  </si>
  <si>
    <t xml:space="preserve">COM_DIR16 : </t>
    <phoneticPr fontId="1" type="noConversion"/>
  </si>
  <si>
    <t xml:space="preserve">DATA_LENGTH16 : </t>
    <phoneticPr fontId="1" type="noConversion"/>
  </si>
  <si>
    <t xml:space="preserve">CMD16 : </t>
    <phoneticPr fontId="1" type="noConversion"/>
  </si>
  <si>
    <t>COM_DIR3</t>
  </si>
  <si>
    <t>COM_DIR4</t>
  </si>
  <si>
    <t>COM_DIR5</t>
  </si>
  <si>
    <t>COM_DIR6</t>
  </si>
  <si>
    <t>COM_DIR7</t>
  </si>
  <si>
    <t>COM_DIR8</t>
  </si>
  <si>
    <t>COM_DIR9</t>
  </si>
  <si>
    <t>COM_DIR10</t>
  </si>
  <si>
    <t>COM_DIR11</t>
  </si>
  <si>
    <t>COM_DIR12</t>
  </si>
  <si>
    <t>COM_DIR13</t>
  </si>
  <si>
    <t>COM_DIR14</t>
  </si>
  <si>
    <t>COM_DIR15</t>
  </si>
  <si>
    <t>COM_DIR16</t>
  </si>
  <si>
    <t>DATA_LENGTH1[2:0]</t>
  </si>
  <si>
    <t>DATA_LENGTH2[2:0]</t>
  </si>
  <si>
    <t>DATA_LENGTH3[2:0]</t>
  </si>
  <si>
    <t>DATA_LENGTH4[2:0]</t>
  </si>
  <si>
    <t>DATA_LENGTH5[2:0]</t>
  </si>
  <si>
    <t>DATA_LENGTH6[2:0]</t>
  </si>
  <si>
    <t>DATA_LENGTH7[2:0]</t>
  </si>
  <si>
    <t>DATA_LENGTH8[2:0]</t>
  </si>
  <si>
    <t>DATA_LENGTH9[2:0]</t>
  </si>
  <si>
    <t>DATA_LENGTH10[2:0]</t>
  </si>
  <si>
    <t>DATA_LENGTH11[2:0]</t>
  </si>
  <si>
    <t>DATA_LENGTH12[2:0]</t>
  </si>
  <si>
    <t>DATA_LENGTH13[2:0]</t>
  </si>
  <si>
    <t>DATA_LENGTH14[2:0]</t>
  </si>
  <si>
    <t>DATA_LENGTH15[2:0]</t>
  </si>
  <si>
    <t>DATA_LENGTH16[2:0]</t>
  </si>
  <si>
    <t>VB_IN_OV2_FLT_EN</t>
    <phoneticPr fontId="1" type="noConversion"/>
  </si>
  <si>
    <t xml:space="preserve">VB_IN_OV2_FLT_EN : </t>
    <phoneticPr fontId="1" type="noConversion"/>
  </si>
  <si>
    <t>0.3</t>
    <phoneticPr fontId="1" type="noConversion"/>
  </si>
  <si>
    <t>YS.KIM
YJ.LEE</t>
    <phoneticPr fontId="1" type="noConversion"/>
  </si>
  <si>
    <t>CMD_SET1 ~ CMD_SET16
SETUP3</t>
    <phoneticPr fontId="1" type="noConversion"/>
  </si>
  <si>
    <t>New Registers and commnads are added. 
CMD_SET1 ~ CMD_SET16
modified VB_IN_OV_FLT_EN as VB_IN_OV2_FLT_EN</t>
    <phoneticPr fontId="1" type="noConversion"/>
  </si>
  <si>
    <t>CAN BUS Bypass mode enable/disable on GPIO1 pin
0 : disable (default)
1 : enable (GPIO1 is configured as the TX(input) pin for the CAN Bus Direct control. 
              configuration of the GPIO1_MODE/GPIO1_VEXT_EN/GPIO1_OUT bits are disregarded.)</t>
    <phoneticPr fontId="1" type="noConversion"/>
  </si>
  <si>
    <t>0.3.1</t>
    <phoneticPr fontId="1" type="noConversion"/>
  </si>
  <si>
    <t>SM.LEE</t>
    <phoneticPr fontId="1" type="noConversion"/>
  </si>
  <si>
    <t>Merged SETUP4 register changes from GT
- ADC_FREQ register added to SETUP4
- SETUP4 register bit position changed
- Updated SETUP4 register description</t>
    <phoneticPr fontId="1" type="noConversion"/>
  </si>
  <si>
    <t>SET_TIMEOUT</t>
    <phoneticPr fontId="1" type="noConversion"/>
  </si>
  <si>
    <t>READ_TIMEOUT</t>
    <phoneticPr fontId="1" type="noConversion"/>
  </si>
  <si>
    <t>TM_COMP_MSK</t>
    <phoneticPr fontId="1" type="noConversion"/>
  </si>
  <si>
    <t>TM_GAIN_TMON_EN</t>
    <phoneticPr fontId="1" type="noConversion"/>
  </si>
  <si>
    <t>TEST_E</t>
    <phoneticPr fontId="1" type="noConversion"/>
  </si>
  <si>
    <t>OTP_CONTROL1</t>
    <phoneticPr fontId="1" type="noConversion"/>
  </si>
  <si>
    <t>OTP_CONTROL2</t>
    <phoneticPr fontId="1" type="noConversion"/>
  </si>
  <si>
    <t>OTP_CONTROL3</t>
    <phoneticPr fontId="1" type="noConversion"/>
  </si>
  <si>
    <t>0.3.2</t>
    <phoneticPr fontId="1" type="noConversion"/>
  </si>
  <si>
    <t>Testmode Reg</t>
    <phoneticPr fontId="1" type="noConversion"/>
  </si>
  <si>
    <t>OTP_PG</t>
    <phoneticPr fontId="1" type="noConversion"/>
  </si>
  <si>
    <t>OTP_RSEL[1:0]</t>
    <phoneticPr fontId="1" type="noConversion"/>
  </si>
  <si>
    <t>Spare #</t>
    <phoneticPr fontId="1" type="noConversion"/>
  </si>
  <si>
    <t>Not Use #</t>
    <phoneticPr fontId="1" type="noConversion"/>
  </si>
  <si>
    <t>Use #</t>
    <phoneticPr fontId="1" type="noConversion"/>
  </si>
  <si>
    <t>efuse #</t>
    <phoneticPr fontId="1" type="noConversion"/>
  </si>
  <si>
    <t>TM_BUCK_ATB1_SEL[1:0]</t>
  </si>
  <si>
    <t>TM_BUCK_ATB2_SEL[1:0]</t>
  </si>
  <si>
    <t>TM_PFM_OS[1:0]</t>
  </si>
  <si>
    <t>TM_LF_CLK_SEL[1:0]</t>
  </si>
  <si>
    <t>TM_SIO_TEST_EN[2:0]</t>
  </si>
  <si>
    <t>TM_CLK_DIV_CON[2:0]</t>
  </si>
  <si>
    <t>TM_HF_FM_FREQ[2:0]</t>
  </si>
  <si>
    <t>TM_HF_CLK_SEL[1:0]</t>
  </si>
  <si>
    <t>DTB1_MUX[4:0]</t>
  </si>
  <si>
    <t>DTB2_MUX[4:0]</t>
  </si>
  <si>
    <t>DTB_BUCK_SEL[2:0]</t>
  </si>
  <si>
    <t>TM_ATB_2_SPARE_SEL[1:0]</t>
  </si>
  <si>
    <t>TRIM_BG_LVL[3:0]</t>
  </si>
  <si>
    <t>TRIM_VLDO_CORE[2:0]</t>
  </si>
  <si>
    <t>TRIM_BG[4:0]</t>
  </si>
  <si>
    <t>TRIM_LP_OSC[3:0]</t>
  </si>
  <si>
    <t>TRIM_IREF[3:0]</t>
  </si>
  <si>
    <t>TRIM_IPTAT[3:0]</t>
  </si>
  <si>
    <t>TRIM_32MOSC[7:0]</t>
  </si>
  <si>
    <t>TRIM_GAIN_TMON[2:0]</t>
  </si>
  <si>
    <t>TRIM_OFST_TMON[3:0]</t>
  </si>
  <si>
    <t>TRIM_OSC_BIAS[3:0]</t>
  </si>
  <si>
    <t>TRIM_ILIM[3:0]</t>
  </si>
  <si>
    <t>TRIM_BUCK_RC[2:0]</t>
  </si>
  <si>
    <t>TRIM_BUCK_CC[2:0]</t>
  </si>
  <si>
    <t>TRIM_BUCK_SS_CLK_SEL[1:0]</t>
  </si>
  <si>
    <t>TRIM_CURR_SLP[1:0]</t>
  </si>
  <si>
    <t>TRIM_PRE_DRV[1:0]</t>
  </si>
  <si>
    <t>TRIM_LVDS_RX_RES[1:0]</t>
  </si>
  <si>
    <t>TRIM_LVDS_TX[2:0]</t>
  </si>
  <si>
    <t>SPARE_1[6]</t>
  </si>
  <si>
    <t>SPARE_1[5]</t>
  </si>
  <si>
    <t>SPARE_1[4]</t>
  </si>
  <si>
    <t>SPARE_1[3]</t>
  </si>
  <si>
    <t>SPARE_1[2]</t>
  </si>
  <si>
    <t>SPARE_1[1]</t>
  </si>
  <si>
    <t>SPARE_1[0]</t>
  </si>
  <si>
    <t>ADC_OFFSET[8:0]</t>
  </si>
  <si>
    <t>SPARE_3[3]</t>
  </si>
  <si>
    <t>SPARE_3[2]</t>
  </si>
  <si>
    <t>SPARE_3[1]</t>
  </si>
  <si>
    <t>SPARE_3[0]</t>
  </si>
  <si>
    <t>ADC_GAIN[4:0]</t>
  </si>
  <si>
    <t>DLY_OFF[3:0]</t>
  </si>
  <si>
    <t>HYSL_RCON[1:0]</t>
  </si>
  <si>
    <t>HYSL_DCON[1:0]</t>
  </si>
  <si>
    <t>RXD_DUTY_CCTL[2:0]</t>
  </si>
  <si>
    <t>VPP_CTL[3:0]</t>
  </si>
  <si>
    <t>NCU_CTL[2:0]</t>
  </si>
  <si>
    <t>PCU_CTL[2:0]</t>
  </si>
  <si>
    <t>HYS_RCON[2:0]</t>
  </si>
  <si>
    <t>RXD_DUTY_CCTL2[2:0]</t>
  </si>
  <si>
    <t>OTP_CRC[7:0]</t>
  </si>
  <si>
    <t>Total Bit</t>
    <phoneticPr fontId="1" type="noConversion"/>
  </si>
  <si>
    <t>0101_1010_0101</t>
    <phoneticPr fontId="1" type="noConversion"/>
  </si>
  <si>
    <t>0100_0000_0000</t>
    <phoneticPr fontId="1" type="noConversion"/>
  </si>
  <si>
    <t>Bit #</t>
    <phoneticPr fontId="1" type="noConversion"/>
  </si>
  <si>
    <t>SPARE_2[6]</t>
    <phoneticPr fontId="1" type="noConversion"/>
  </si>
  <si>
    <t>0000_0000_0000</t>
    <phoneticPr fontId="1" type="noConversion"/>
  </si>
  <si>
    <t>ADC_CLK_POL</t>
    <phoneticPr fontId="1" type="noConversion"/>
  </si>
  <si>
    <t>TM_ADC_EN</t>
    <phoneticPr fontId="1" type="noConversion"/>
  </si>
  <si>
    <t>TM_ADC_IN_CTL</t>
    <phoneticPr fontId="1" type="noConversion"/>
  </si>
  <si>
    <t>TM_ADC_IN_SEL[1:0]</t>
    <phoneticPr fontId="1" type="noConversion"/>
  </si>
  <si>
    <t xml:space="preserve">ADC_CLK_POL : </t>
    <phoneticPr fontId="1" type="noConversion"/>
  </si>
  <si>
    <t>0000_0001_0000</t>
    <phoneticPr fontId="1" type="noConversion"/>
  </si>
  <si>
    <t>TEST_CONTROL1</t>
  </si>
  <si>
    <t>TEST_CONTROL2</t>
  </si>
  <si>
    <t>TEST_CONTROL3</t>
  </si>
  <si>
    <t>TEST_CONTROL4</t>
  </si>
  <si>
    <t>TEST_CONTROL5</t>
  </si>
  <si>
    <t>TEST_CONTROL6</t>
  </si>
  <si>
    <t>TEST_CONTROL7</t>
  </si>
  <si>
    <t>TEST_CONTROL8</t>
  </si>
  <si>
    <t>TEST_CONTROL9</t>
  </si>
  <si>
    <t>TEST_CONTROL10</t>
  </si>
  <si>
    <t>TEST_CONTROL11</t>
  </si>
  <si>
    <t>0xE8</t>
    <phoneticPr fontId="1" type="noConversion"/>
  </si>
  <si>
    <t>TEST_CONTROL9</t>
    <phoneticPr fontId="1" type="noConversion"/>
  </si>
  <si>
    <t>Bit Description</t>
  </si>
  <si>
    <t>OTP_WSEL[3:0]</t>
    <phoneticPr fontId="1" type="noConversion"/>
  </si>
  <si>
    <t>OTP Program Time control</t>
    <phoneticPr fontId="1" type="noConversion"/>
  </si>
  <si>
    <t>TEST CONTROL</t>
    <phoneticPr fontId="1" type="noConversion"/>
  </si>
  <si>
    <t>OTP CONTRTOL</t>
    <phoneticPr fontId="1" type="noConversion"/>
  </si>
  <si>
    <t>TRIM CONTROL</t>
    <phoneticPr fontId="1" type="noConversion"/>
  </si>
  <si>
    <t>OTP Program current setting, 0=N/A, 1=small, 2, 3, 4(default), ---------, 15=Big</t>
    <phoneticPr fontId="1" type="noConversion"/>
  </si>
  <si>
    <t>JK.CHOI</t>
    <phoneticPr fontId="1" type="noConversion"/>
  </si>
  <si>
    <t>Normal Reg
Testmode Reg</t>
    <phoneticPr fontId="1" type="noConversion"/>
  </si>
  <si>
    <t>CHIP_ID_1[11:0]</t>
    <phoneticPr fontId="1" type="noConversion"/>
  </si>
  <si>
    <t>CHIP_ID_2[11:0]</t>
    <phoneticPr fontId="1" type="noConversion"/>
  </si>
  <si>
    <t>CHIP_ID_3[11:0]</t>
    <phoneticPr fontId="1" type="noConversion"/>
  </si>
  <si>
    <t>CHIP_ID_4[11:0]</t>
    <phoneticPr fontId="1" type="noConversion"/>
  </si>
  <si>
    <t>0xF0</t>
    <phoneticPr fontId="1" type="noConversion"/>
  </si>
  <si>
    <t>0xF3</t>
    <phoneticPr fontId="1" type="noConversion"/>
  </si>
  <si>
    <t>0xF2</t>
    <phoneticPr fontId="1" type="noConversion"/>
  </si>
  <si>
    <t>OTP_MIRROR1</t>
    <phoneticPr fontId="1" type="noConversion"/>
  </si>
  <si>
    <t>OTP_MIRROR2</t>
    <phoneticPr fontId="1" type="noConversion"/>
  </si>
  <si>
    <t>OTP_MIRROR3</t>
    <phoneticPr fontId="1" type="noConversion"/>
  </si>
  <si>
    <t>OTP_MIRROR4</t>
    <phoneticPr fontId="1" type="noConversion"/>
  </si>
  <si>
    <t>CHIP ID1</t>
    <phoneticPr fontId="1" type="noConversion"/>
  </si>
  <si>
    <t>CHIP ID4</t>
    <phoneticPr fontId="1" type="noConversion"/>
  </si>
  <si>
    <t>CHIP ID3</t>
    <phoneticPr fontId="1" type="noConversion"/>
  </si>
  <si>
    <t>CHIP ID2</t>
    <phoneticPr fontId="1" type="noConversion"/>
  </si>
  <si>
    <t>CAN_PUP_EN</t>
    <phoneticPr fontId="1" type="noConversion"/>
  </si>
  <si>
    <t>CAN_PDN_EN</t>
    <phoneticPr fontId="1" type="noConversion"/>
  </si>
  <si>
    <t>CAN_CFG_EN</t>
    <phoneticPr fontId="1" type="noConversion"/>
  </si>
  <si>
    <t>CAN_PUP_EN :</t>
    <phoneticPr fontId="1" type="noConversion"/>
  </si>
  <si>
    <t>CAN_PDN_EN :</t>
    <phoneticPr fontId="1" type="noConversion"/>
  </si>
  <si>
    <t>CAN_TX_POL</t>
    <phoneticPr fontId="1" type="noConversion"/>
  </si>
  <si>
    <t>CAN_RX_POL</t>
    <phoneticPr fontId="1" type="noConversion"/>
  </si>
  <si>
    <t>CAN_LPRX_POL</t>
    <phoneticPr fontId="1" type="noConversion"/>
  </si>
  <si>
    <t>0.3.3</t>
  </si>
  <si>
    <t>BC.CHO</t>
  </si>
  <si>
    <t>Testmode Reg
DTB_Table</t>
  </si>
  <si>
    <t>TM_F_SS_RESET_SEL</t>
    <phoneticPr fontId="1" type="noConversion"/>
  </si>
  <si>
    <t>TM_F_SS_RESET_EN</t>
    <phoneticPr fontId="1" type="noConversion"/>
  </si>
  <si>
    <t>TM_GO_STBY</t>
    <phoneticPr fontId="1" type="noConversion"/>
  </si>
  <si>
    <t>TM_GO_LOWPOWER</t>
    <phoneticPr fontId="1" type="noConversion"/>
  </si>
  <si>
    <t>0.3.4</t>
  </si>
  <si>
    <t>CMD_SET1 ~ CMD_SET16</t>
  </si>
  <si>
    <t>0.3.5</t>
    <phoneticPr fontId="1" type="noConversion"/>
  </si>
  <si>
    <t>0x70</t>
  </si>
  <si>
    <t>0x71</t>
  </si>
  <si>
    <t>0x72</t>
  </si>
  <si>
    <t>0x73</t>
  </si>
  <si>
    <t>0x74</t>
  </si>
  <si>
    <t>0x75</t>
  </si>
  <si>
    <t>0x76</t>
  </si>
  <si>
    <t>0x77</t>
  </si>
  <si>
    <t>0x78</t>
  </si>
  <si>
    <t>0x79</t>
  </si>
  <si>
    <t>0x7A</t>
  </si>
  <si>
    <t>0x7B</t>
  </si>
  <si>
    <t>0x7C</t>
  </si>
  <si>
    <t>0x7D</t>
  </si>
  <si>
    <t>0x7E</t>
  </si>
  <si>
    <t>0x7F</t>
  </si>
  <si>
    <t>0.3.6</t>
    <phoneticPr fontId="1" type="noConversion"/>
  </si>
  <si>
    <t>add TEST_E in 0xE1
add OTP_CRC[7:0] in 0xFD
changed Register category name in Testmode Reg</t>
    <phoneticPr fontId="1" type="noConversion"/>
  </si>
  <si>
    <t>add TM_F_SS_RESET_SEL, TM_F_SS_RESET_EN in 0xE1
changed from TM_F_LP_SEL to TM_GO_STBY in 0xE5
changed from TM_F_LP_ENABLE to TM_GO_LOWPOWER in 0xE5
removed CP_CLK_8MHz, DTB_OSC_TOP_CLK, DTB_MCLK in DTB_Table
add I_SIO_SING_DIN_N in DTB_Table (DIN_N in DTB1 &amp; DTB2 both)</t>
    <phoneticPr fontId="1" type="noConversion"/>
  </si>
  <si>
    <t>modified command encoding 8bit 
- 8'hD0 ~ 8'hDF → 8'h70 ~ 8'h7F</t>
    <phoneticPr fontId="1" type="noConversion"/>
  </si>
  <si>
    <t>add ADC_CLK_POL in 0x0A.SETUP4
moved 0x0A to 0xE8(ADC related 3-register)
add CHIP_ID_1~4 in 0xEE to 0xF1</t>
    <phoneticPr fontId="1" type="noConversion"/>
  </si>
  <si>
    <t>SETUP3
SETUP4</t>
    <phoneticPr fontId="1" type="noConversion"/>
  </si>
  <si>
    <t>0 : CAN auto configuration mode (default)
1 : CAN manual configuration mode (setup4 registers manual control enable )</t>
    <phoneticPr fontId="1" type="noConversion"/>
  </si>
  <si>
    <t>0 : CAN TX polarity inversion
1 : CAN TX polarity non-inversion (default)</t>
    <phoneticPr fontId="1" type="noConversion"/>
  </si>
  <si>
    <t>0 : CAN RX polarity inversion
1 : CAN RX polarity non-inversion (default)</t>
    <phoneticPr fontId="1" type="noConversion"/>
  </si>
  <si>
    <t>0 : CAN LPRX polarity inversion
1 : CAN LPRX polarity non-inversion (default)</t>
    <phoneticPr fontId="1" type="noConversion"/>
  </si>
  <si>
    <t>CLK polarity for MCU mode
0: Inverted disabled (default)
1: Inverted enabled</t>
    <phoneticPr fontId="1" type="noConversion"/>
  </si>
  <si>
    <t>ADC data sampling edge selection
0 : Falling of ADC_CLK (default)
1 : Rising of ADC_CLK</t>
    <phoneticPr fontId="1" type="noConversion"/>
  </si>
  <si>
    <t>CAN RX BUS PUP Enable
0 : Disable
1 : Enable (default)</t>
    <phoneticPr fontId="1" type="noConversion"/>
  </si>
  <si>
    <t>CAN RX BUS PDN Enable
0 : Disable
1 : Enable (default)</t>
    <phoneticPr fontId="1" type="noConversion"/>
  </si>
  <si>
    <t>CAN Wake-up filter Enable
0 : Disable
1 : Enable (default)</t>
    <phoneticPr fontId="1" type="noConversion"/>
  </si>
  <si>
    <t>CAN Low power RX Enable
0 : Disable
1 : Enable (default)</t>
    <phoneticPr fontId="1" type="noConversion"/>
  </si>
  <si>
    <t>CAN RX Enable
0 : Disable
1 : Enable (default)</t>
    <phoneticPr fontId="1" type="noConversion"/>
  </si>
  <si>
    <t>CAN TX Enable
0 : Disable
1 : Enable (default)</t>
    <phoneticPr fontId="1" type="noConversion"/>
  </si>
  <si>
    <t>modified access type in SETUP3 register from R to RW
- CAN_CFG_EN, CAN_TX_POL, CAN_RX_POL, CAN_LPRX_POL
- VB_IN_OV2_FLT_EN
modified access type in SETUP4 register from R to RW
- LP_WFLT_SEL, CAN_LPRX_EN, CAN_RX_EN, CAN_TX_EN
modified default value in SETUP4 register from 0 to 1
- LP_WFLT_SEL, CAN_LPRX_EN, CAN_RX_EN, CAN_TX_EN</t>
    <phoneticPr fontId="1" type="noConversion"/>
  </si>
  <si>
    <t>0.3.7</t>
    <phoneticPr fontId="1" type="noConversion"/>
  </si>
  <si>
    <t>ADC_FREQ[1:0]</t>
    <phoneticPr fontId="1" type="noConversion"/>
  </si>
  <si>
    <t xml:space="preserve">ADC_FREQ[1:0] : </t>
    <phoneticPr fontId="1" type="noConversion"/>
  </si>
  <si>
    <t>ADC frequency selection
0 : 250KHz
1 : 125KHz (default)
2 : 62.5KHz
3 : 31.25KHz</t>
    <phoneticPr fontId="1" type="noConversion"/>
  </si>
  <si>
    <t>0001_1001_0000</t>
    <phoneticPr fontId="1" type="noConversion"/>
  </si>
  <si>
    <t>0.3.8</t>
    <phoneticPr fontId="1" type="noConversion"/>
  </si>
  <si>
    <t>CH.YE</t>
    <phoneticPr fontId="1" type="noConversion"/>
  </si>
  <si>
    <t>OTP_CRC_START</t>
    <phoneticPr fontId="1" type="noConversion"/>
  </si>
  <si>
    <t>WS.KANG</t>
    <phoneticPr fontId="1" type="noConversion"/>
  </si>
  <si>
    <t>0.3.9</t>
    <phoneticPr fontId="1" type="noConversion"/>
  </si>
  <si>
    <t>add crc calculation start bit on 0xEB</t>
    <phoneticPr fontId="1" type="noConversion"/>
  </si>
  <si>
    <t>TIE_H</t>
    <phoneticPr fontId="1" type="noConversion"/>
  </si>
  <si>
    <t>TIE_L</t>
    <phoneticPr fontId="1" type="noConversion"/>
  </si>
  <si>
    <t>SETUP4
DTB</t>
    <phoneticPr fontId="1" type="noConversion"/>
  </si>
  <si>
    <t>modified bit number of ADC_FREQ(1bit-&gt;2bit) in 0x0A.SETUP4
add DTB1_23 = TIE_H DTB1_25 = TIE_L
add DTB2_30 = TIE_H DTB2_31 = TIE_L</t>
    <phoneticPr fontId="1" type="noConversion"/>
  </si>
  <si>
    <t>0.4.0</t>
    <phoneticPr fontId="1" type="noConversion"/>
  </si>
  <si>
    <t>TM_EXT_CLK_SEL</t>
    <phoneticPr fontId="1" type="noConversion"/>
  </si>
  <si>
    <t>Reigster name Change 
TM_ADC_MUX_SEL_BIT =&gt; TM_VIO_SEL (ADDR : 0xE8 / REG : 0xD5)
TM_ADC_MUX_CTRL_EN =&gt; TM_VIO_MUX_EN (ADDR : 0xE8 / REG : 0xD4)</t>
    <phoneticPr fontId="1" type="noConversion"/>
  </si>
  <si>
    <t>TM_VIO_SEL</t>
  </si>
  <si>
    <t>TM_VIO_MUX_EN</t>
  </si>
  <si>
    <t>0.4.1</t>
    <phoneticPr fontId="1" type="noConversion"/>
  </si>
  <si>
    <t>added TM_EXT_CLK_SEL on 0xE8</t>
    <phoneticPr fontId="1" type="noConversion"/>
  </si>
  <si>
    <t>JK.CHOI
WS.KANG</t>
    <phoneticPr fontId="1" type="noConversion"/>
  </si>
  <si>
    <t>SETUP4
Testmode Reg</t>
    <phoneticPr fontId="1" type="noConversion"/>
  </si>
  <si>
    <t>modified bit number of ADC_FREQ(1bit-&gt;2bit) in 0x0A.SETUP4
add TM_ADC_MUX_SEL_BIT and TM_ADC_MUX_CTRL_EN in 0xE8</t>
    <phoneticPr fontId="1" type="noConversion"/>
  </si>
  <si>
    <t>SPARE_2[0]</t>
    <phoneticPr fontId="1" type="noConversion"/>
  </si>
  <si>
    <t>SPARE_2[1]</t>
    <phoneticPr fontId="1" type="noConversion"/>
  </si>
  <si>
    <t>SPARE_2[2]</t>
    <phoneticPr fontId="1" type="noConversion"/>
  </si>
  <si>
    <t>SPARE_2[3]</t>
    <phoneticPr fontId="1" type="noConversion"/>
  </si>
  <si>
    <t>SPARE_2[4]</t>
    <phoneticPr fontId="1" type="noConversion"/>
  </si>
  <si>
    <t>SPARE_2[5]</t>
    <phoneticPr fontId="1" type="noConversion"/>
  </si>
  <si>
    <t>DLY_ON[4:0]</t>
    <phoneticPr fontId="1" type="noConversion"/>
  </si>
  <si>
    <t>Modify i2c address 0xFA,0xE8</t>
    <phoneticPr fontId="1" type="noConversion"/>
  </si>
  <si>
    <t>TM_ANA_TEST_EN</t>
    <phoneticPr fontId="1" type="noConversion"/>
  </si>
  <si>
    <t>0.4.2</t>
    <phoneticPr fontId="1" type="noConversion"/>
  </si>
  <si>
    <t>TM_ATB1_SEL[2:0]</t>
    <phoneticPr fontId="1" type="noConversion"/>
  </si>
  <si>
    <t>TM_IDDQ_ALL</t>
  </si>
  <si>
    <t>TM_IDDQ_LDO_1P5V</t>
  </si>
  <si>
    <t>TM_IDDQ_LDO_VDD</t>
  </si>
  <si>
    <t>TM_FM_DAC_EN</t>
  </si>
  <si>
    <t>TM_FM_DAC_DATA</t>
  </si>
  <si>
    <t>TM_TSD_OT</t>
  </si>
  <si>
    <t>TM_TSD_VCTAT</t>
  </si>
  <si>
    <t>TM_ATB_BIAS_EN</t>
  </si>
  <si>
    <t>TM_ATB1_SEL[2:0]</t>
  </si>
  <si>
    <t>Masking Register for LP OSC (If enable this signal, when enter LP mode, LP OSC block is not disable)</t>
    <phoneticPr fontId="1" type="noConversion"/>
  </si>
  <si>
    <t>IDDQ Signal to disable All block</t>
    <phoneticPr fontId="1" type="noConversion"/>
  </si>
  <si>
    <t>IDDQ Signal to disable 1.5V LDO block</t>
    <phoneticPr fontId="1" type="noConversion"/>
  </si>
  <si>
    <t>IDDQ Signal to disable 5.0V LDO block</t>
    <phoneticPr fontId="1" type="noConversion"/>
  </si>
  <si>
    <t>For test SSC Function (If enable this signal, SSC function set only Max or Min value)</t>
    <phoneticPr fontId="1" type="noConversion"/>
  </si>
  <si>
    <t>For test SSC Function (0 : SSC Min / 1 : SSC Max)</t>
    <phoneticPr fontId="1" type="noConversion"/>
  </si>
  <si>
    <t>BIAS Block Test mode Path enable signal</t>
    <phoneticPr fontId="1" type="noConversion"/>
  </si>
  <si>
    <t>BIAS Block ATB Items [2:0]
000 : ATB_IBP530nA
001 : VBG_1p2_lvl
010 : IREF_TEST_3uA
011 : VREF_1p2V
100 : IPTAT_TEST_1uA
101 : ATB1_TSD_IN
110 : ATB1_TSD_OUT
111 : VREF_2p5v</t>
    <phoneticPr fontId="1" type="noConversion"/>
  </si>
  <si>
    <t>TSD_TEST_Enable signal (ATB1_IN)</t>
    <phoneticPr fontId="1" type="noConversion"/>
  </si>
  <si>
    <t>TSD_TEST_Enable signal (ATB1_OUT)</t>
    <phoneticPr fontId="1" type="noConversion"/>
  </si>
  <si>
    <t>TEST_E</t>
  </si>
  <si>
    <t>TM_F_SS_RESET_SEL</t>
  </si>
  <si>
    <t>TM_F_SS_RESET_EN</t>
  </si>
  <si>
    <t>TM_COMP_MSK</t>
  </si>
  <si>
    <t>TM_OTA_GM_DOWN_EN</t>
  </si>
  <si>
    <t>TM_CP_EN</t>
  </si>
  <si>
    <t>TM_CP_DISABLE</t>
  </si>
  <si>
    <t>TM_BUCK_SS_DISABLE</t>
  </si>
  <si>
    <t>TM_BUCK_SS_LATCH_EN</t>
  </si>
  <si>
    <t>TM_GATE_FORCE_OFF</t>
  </si>
  <si>
    <t>TM_FSW_SWEEP_EN</t>
  </si>
  <si>
    <t>TM_ILIM_REDUCE</t>
  </si>
  <si>
    <t>TM_BUCK_ATB2_EN</t>
  </si>
  <si>
    <t>TM_PFM_WEAK</t>
  </si>
  <si>
    <t>TM_PFM_DIS</t>
  </si>
  <si>
    <t>0xE3</t>
    <phoneticPr fontId="1" type="noConversion"/>
  </si>
  <si>
    <t>TEST_CONTROL4</t>
    <phoneticPr fontId="1" type="noConversion"/>
  </si>
  <si>
    <t>TM_SE_P_TX_IN_TEST</t>
  </si>
  <si>
    <t>TM_SE_N_TX_IN_TEST</t>
  </si>
  <si>
    <t>TM_LVDS_TX_IN_TEST</t>
  </si>
  <si>
    <t>TM_HIZ_RES_SW_ON</t>
  </si>
  <si>
    <t>SSC Low Freq Clock Selection 
00 : 16MHz (default)
01 : 8MHz
10 : 4MHz
11 : 2MHz</t>
    <phoneticPr fontId="1" type="noConversion"/>
  </si>
  <si>
    <t>"Set signal ""o_SIO_SING_DOUT_P"" level for SE EC Test (when o_TM_SIO_TEST_EN : 010)
0 : Low (Set "o_SIO_SING_DOUT_P" is 0)
1 : High (Set "o_SIO_SING_DOUT_P" is 1)</t>
    <phoneticPr fontId="1" type="noConversion"/>
  </si>
  <si>
    <t>"Set signal ""o_SIO_SING_DOUT_N"" level for SE EC Test (when o_TM_SIO_TEST_EN : 011)
0 : Low (Set "o_SIO_SING_DOUT_N" is 0)
1 : High (Set "o_SIO_SING_DOUT_N" is 1)</t>
    <phoneticPr fontId="1" type="noConversion"/>
  </si>
  <si>
    <t>"Set signal ""o_SIO_DIFF_OUT"" level for LVDS EC Test (when o_TM_SIO_TEST_EN : 001)
0 : Low (Set "o_SIO_DIFF_OUT" is 0 =&gt; P : Low ~1.05V / N : High ~ 1.35V)
1 : High (Set "o_SIO_DIFF_OUT" is 1 =&gt; P : High ~1.35V / N : Low ~ 1.05V)</t>
    <phoneticPr fontId="1" type="noConversion"/>
  </si>
  <si>
    <t>000 : Default - No Active
001 : active o_TM_LVDS_TX_IN_TEST (for LVDS TX Current level in EC para)
010 : active o_TM_SE_P_TX_IN_TEST (for SE P Driver PU/PD res in EC para)
011 : active o_TM_SE_N_TX_IN_TEST (for SE N Driver PU/PD res in EC para)
100 : active SIO_SE_P_INPUT_LEVEL_MEASURE (for SE P RX input high / low level check in EC para)
101 : active SIO_SE_N_INPUT_LEVEL_MEASURE (for SE N RX input high / low level check in EC para)
110 : active SIO_LVDS_RX_RES_MEASURE (for LVDS RX Switch ON in EC para)
111 : active SIO_LVDS_PD_RES_MEASURE (for LVDS PD Res Switch ON in EC Para)</t>
    <phoneticPr fontId="1" type="noConversion"/>
  </si>
  <si>
    <t>Internal RES Array for ADDR_MODE_DETECT_Sequnce_Control_Switch
0 : disable
1 : enable (check for EC para Hi-Z Status level measure : 2.5V)</t>
    <phoneticPr fontId="1" type="noConversion"/>
  </si>
  <si>
    <t>Option (OSC CLK Digital Divider @50kohm, 2.2MHz)
000 : No divided (2.2MHz - Default)
001 : 1/2 divided (1.1MHz)
010 : 1/4 divided (550kHz)
011 : 1/8 divided (275kHz)
1XX : X2 multied (4.4MHz)</t>
    <phoneticPr fontId="1" type="noConversion"/>
  </si>
  <si>
    <t>Test Mode Register Lock Disable Function Register (0 : Lock All TM Register , 1 : Unlock All TM Register)</t>
    <phoneticPr fontId="1" type="noConversion"/>
  </si>
  <si>
    <t>0xE4</t>
    <phoneticPr fontId="1" type="noConversion"/>
  </si>
  <si>
    <t>TEST_CONTROL5</t>
    <phoneticPr fontId="1" type="noConversion"/>
  </si>
  <si>
    <t>TM_ENABLE_LOCK</t>
  </si>
  <si>
    <t>TM_HF_DUTY_EN</t>
  </si>
  <si>
    <t>TM_HFP_EN</t>
  </si>
  <si>
    <t>TM_HF_EN</t>
  </si>
  <si>
    <t>TM_HF_MODE</t>
  </si>
  <si>
    <t>TM_LF_DUTY_EN</t>
  </si>
  <si>
    <t>TM_LFP_EN</t>
  </si>
  <si>
    <t>HF Clock Selection
00 : 2MHz (Default)
01 : 1MHz
10 : 500kHz
11 : 250kHz</t>
    <phoneticPr fontId="1" type="noConversion"/>
  </si>
  <si>
    <t>0xE5</t>
    <phoneticPr fontId="1" type="noConversion"/>
  </si>
  <si>
    <t>TEST_CONTROL6</t>
    <phoneticPr fontId="1" type="noConversion"/>
  </si>
  <si>
    <t>TM_F_RFREQ_SEL</t>
  </si>
  <si>
    <t>TM_GO_STBY</t>
  </si>
  <si>
    <t>TM_F_OSC_SEL</t>
  </si>
  <si>
    <t>TM_F_BUCK_SEL</t>
  </si>
  <si>
    <t>TM_F_FSW_SEL</t>
  </si>
  <si>
    <t>DTB1_MUX_EN</t>
  </si>
  <si>
    <t>DTB1_MUX_SEL</t>
  </si>
  <si>
    <t xml:space="preserve">Do not use EC Version </t>
    <phoneticPr fontId="1" type="noConversion"/>
  </si>
  <si>
    <t>DTB1_Mux Enable Signal</t>
    <phoneticPr fontId="1" type="noConversion"/>
  </si>
  <si>
    <t>Check DTB Table</t>
    <phoneticPr fontId="1" type="noConversion"/>
  </si>
  <si>
    <t>DTB2_Mux Enable Signal</t>
    <phoneticPr fontId="1" type="noConversion"/>
  </si>
  <si>
    <t>0xE6</t>
    <phoneticPr fontId="1" type="noConversion"/>
  </si>
  <si>
    <t>TEST_CONTROL7</t>
    <phoneticPr fontId="1" type="noConversion"/>
  </si>
  <si>
    <t>TM_F_RFREQ_STATUS</t>
  </si>
  <si>
    <t>TM_GO_LOWPOWER</t>
  </si>
  <si>
    <t>TM_F_OSC_TOP_EN_D</t>
  </si>
  <si>
    <t>TM_F_BUCK_EN</t>
  </si>
  <si>
    <t>TM_F_FSW_450K_EN</t>
  </si>
  <si>
    <t>DTB2_MUX_EN</t>
  </si>
  <si>
    <t>DTB2_MUX_SEL</t>
  </si>
  <si>
    <t>Work Around Point - FSW_Signal Mux EN Control BIT</t>
    <phoneticPr fontId="1" type="noConversion"/>
  </si>
  <si>
    <t>Work Around Point - BUCK_EN Mux EN Control BIT</t>
    <phoneticPr fontId="1" type="noConversion"/>
  </si>
  <si>
    <t>Work Around Point - OSC_TOP_EN Mux EN Control BIT</t>
    <phoneticPr fontId="1" type="noConversion"/>
  </si>
  <si>
    <t xml:space="preserve">Work Around Point - RFREQ_STATUS MUX SEL Control BIT </t>
    <phoneticPr fontId="1" type="noConversion"/>
  </si>
  <si>
    <t>0xE7</t>
    <phoneticPr fontId="1" type="noConversion"/>
  </si>
  <si>
    <t>TEST_CONTROL8</t>
    <phoneticPr fontId="1" type="noConversion"/>
  </si>
  <si>
    <t>TM_GAIN_TMON_EN</t>
  </si>
  <si>
    <t>TM_ATB_2_SPARE_EN</t>
  </si>
  <si>
    <t>TM_ATB_1_BUF_EN</t>
  </si>
  <si>
    <t>TM_ATB_1_EN</t>
  </si>
  <si>
    <t>TM_ATB_2_BUF_EN</t>
  </si>
  <si>
    <t>TM_ATB_2_EN</t>
  </si>
  <si>
    <t>Temp Monitor Gain Trim Function Enable Control Register</t>
    <phoneticPr fontId="1" type="noConversion"/>
  </si>
  <si>
    <t>BUCK DTB Path 3bit selection Control BIT
000 : VGND (Default)
001 : GATE_ON
010 : GATE_FB
011 : OC_COMP
100 : IREF_LOW
101 : FSW
110 : MIN_ON(40ns)
111 : MIN_OFF(40ns)</t>
    <phoneticPr fontId="1" type="noConversion"/>
  </si>
  <si>
    <t>ATB_2_SPARE_PATH_Enable_Control_BIT</t>
    <phoneticPr fontId="1" type="noConversion"/>
  </si>
  <si>
    <t>ATB_2_SPARE_PATH_2bit_Selection_Contorl_BIT</t>
    <phoneticPr fontId="1" type="noConversion"/>
  </si>
  <si>
    <t>ATB_1_BUFFER_Enable Control BIT</t>
    <phoneticPr fontId="1" type="noConversion"/>
  </si>
  <si>
    <t>ATB_2_BUFFER_Enable Control BIT</t>
    <phoneticPr fontId="1" type="noConversion"/>
  </si>
  <si>
    <t>ATB_1_PATH_Enable_Control_BIT</t>
    <phoneticPr fontId="1" type="noConversion"/>
  </si>
  <si>
    <t>ATB_2_PATH_Enable_Control_BIT</t>
    <phoneticPr fontId="1" type="noConversion"/>
  </si>
  <si>
    <t>TM_ANA_
TEST_EN</t>
    <phoneticPr fontId="1" type="noConversion"/>
  </si>
  <si>
    <t>TM_F_
BUCK_EN</t>
    <phoneticPr fontId="1" type="noConversion"/>
  </si>
  <si>
    <t>TM_F_FSW
_450K_EN</t>
    <phoneticPr fontId="1" type="noConversion"/>
  </si>
  <si>
    <t>TM_EXT_CLK_SEL</t>
  </si>
  <si>
    <t>TM_ADC_IN_CTL</t>
  </si>
  <si>
    <t>TM_ADC_EN</t>
  </si>
  <si>
    <t>Output of the HV OCP_COMP is blocked (Iout &lt; approximately 3A)</t>
    <phoneticPr fontId="1" type="noConversion"/>
  </si>
  <si>
    <t>Gm of the internal OTA decreases. (80uS-&gt;60uS)</t>
    <phoneticPr fontId="1" type="noConversion"/>
  </si>
  <si>
    <t>Charge pump is disabled.</t>
    <phoneticPr fontId="1" type="noConversion"/>
  </si>
  <si>
    <t>Soft-start is disabled.</t>
    <phoneticPr fontId="1" type="noConversion"/>
  </si>
  <si>
    <t>The internal power switch is turned ON. (However, it may be turned off by the OCP_COMP.)</t>
    <phoneticPr fontId="1" type="noConversion"/>
  </si>
  <si>
    <t>The internal power switch is turned OFF.</t>
    <phoneticPr fontId="1" type="noConversion"/>
  </si>
  <si>
    <t>BUCK_ATB1 is enabled.</t>
    <phoneticPr fontId="1" type="noConversion"/>
  </si>
  <si>
    <t>BUCK_ATB2 is enabled.</t>
    <phoneticPr fontId="1" type="noConversion"/>
  </si>
  <si>
    <t>Select the input of BUCK_ATB1
00 : Vc
01 : SoftStart
10 : VOUT_2p6v
11 : TM_I_RAMP</t>
    <phoneticPr fontId="1" type="noConversion"/>
  </si>
  <si>
    <t>Select the input of BUCK_ATB1
00 : FB_int
01 : IBP_2uA
10 : NC
11 : NC</t>
    <phoneticPr fontId="1" type="noConversion"/>
  </si>
  <si>
    <t>The threshold of ILIM is reduced. (4.5A -&gt; 450mA)</t>
    <phoneticPr fontId="1" type="noConversion"/>
  </si>
  <si>
    <t>PFM mode is disabled (Operates in PWM mode)</t>
    <phoneticPr fontId="1" type="noConversion"/>
  </si>
  <si>
    <t>Charge pump is enabled. (With 8MHz frequency)</t>
    <phoneticPr fontId="1" type="noConversion"/>
  </si>
  <si>
    <t>At the end of the soft-start, the soft-start output is not connected to VDD5</t>
    <phoneticPr fontId="1" type="noConversion"/>
  </si>
  <si>
    <t>I_TM_PAD</t>
    <phoneticPr fontId="1" type="noConversion"/>
  </si>
  <si>
    <t>GPIO0</t>
    <phoneticPr fontId="1" type="noConversion"/>
  </si>
  <si>
    <t>ADDR2</t>
    <phoneticPr fontId="1" type="noConversion"/>
  </si>
  <si>
    <t>TEST MODE</t>
    <phoneticPr fontId="1" type="noConversion"/>
  </si>
  <si>
    <t>Pin use</t>
    <phoneticPr fontId="1" type="noConversion"/>
  </si>
  <si>
    <t>PAD</t>
    <phoneticPr fontId="1" type="noConversion"/>
  </si>
  <si>
    <t>Direction</t>
    <phoneticPr fontId="1" type="noConversion"/>
  </si>
  <si>
    <t>Connection Register (Digital Name)</t>
    <phoneticPr fontId="1" type="noConversion"/>
  </si>
  <si>
    <t>Need to Control @ Digital</t>
    <phoneticPr fontId="1" type="noConversion"/>
  </si>
  <si>
    <t>Need to Masking @ Digtial</t>
    <phoneticPr fontId="1" type="noConversion"/>
  </si>
  <si>
    <t>I2C mode</t>
    <phoneticPr fontId="1" type="noConversion"/>
  </si>
  <si>
    <t>I2C_SDA</t>
    <phoneticPr fontId="1" type="noConversion"/>
  </si>
  <si>
    <t>ADDR0</t>
    <phoneticPr fontId="1" type="noConversion"/>
  </si>
  <si>
    <t>IN/OUT</t>
    <phoneticPr fontId="1" type="noConversion"/>
  </si>
  <si>
    <t>IN : i_TM_I2C_SDA_DI</t>
  </si>
  <si>
    <t>OUT : o_TM_I2C_SDA_DO</t>
    <phoneticPr fontId="1" type="noConversion"/>
  </si>
  <si>
    <t>&lt;IN&gt;
i_ADDR_0_SING_RX_OUT</t>
    <phoneticPr fontId="1" type="noConversion"/>
  </si>
  <si>
    <t>&lt;OUT&gt;
i_TM_I2C_SDA_DI
i_ADDR_0_SING_RX_OUT</t>
    <phoneticPr fontId="1" type="noConversion"/>
  </si>
  <si>
    <t>I2C_SCL</t>
    <phoneticPr fontId="1" type="noConversion"/>
  </si>
  <si>
    <t>ADDR1</t>
    <phoneticPr fontId="1" type="noConversion"/>
  </si>
  <si>
    <t>IN</t>
    <phoneticPr fontId="1" type="noConversion"/>
  </si>
  <si>
    <t>IN : i_TM_I2C_SCL_DI</t>
    <phoneticPr fontId="1" type="noConversion"/>
  </si>
  <si>
    <t>i_ADDR_1_SING_RX_OUT</t>
    <phoneticPr fontId="1" type="noConversion"/>
  </si>
  <si>
    <t xml:space="preserve">EXT_clk </t>
    <phoneticPr fontId="1" type="noConversion"/>
  </si>
  <si>
    <t>GPIO2</t>
    <phoneticPr fontId="1" type="noConversion"/>
  </si>
  <si>
    <t>IN : i_GPIO_2_D_IN</t>
    <phoneticPr fontId="1" type="noConversion"/>
  </si>
  <si>
    <t>o_GPIO_2_MODE : Low (Input)</t>
    <phoneticPr fontId="1" type="noConversion"/>
  </si>
  <si>
    <t>Do not use this PAD @ I2C communication</t>
    <phoneticPr fontId="1" type="noConversion"/>
  </si>
  <si>
    <t>TM 할당</t>
    <phoneticPr fontId="1" type="noConversion"/>
  </si>
  <si>
    <t xml:space="preserve">CLK_sel </t>
    <phoneticPr fontId="1" type="noConversion"/>
  </si>
  <si>
    <t>X</t>
    <phoneticPr fontId="1" type="noConversion"/>
  </si>
  <si>
    <t>Don't Use 
(IN Test mode, IF "o_TM_LP_MASK_d5v" signal is high, OSC 32M Output(MCLK) is not stop @ LP MODE</t>
    <phoneticPr fontId="1" type="noConversion"/>
  </si>
  <si>
    <t>SCAN mode</t>
    <phoneticPr fontId="1" type="noConversion"/>
  </si>
  <si>
    <t>Scan_reset</t>
    <phoneticPr fontId="1" type="noConversion"/>
  </si>
  <si>
    <r>
      <t xml:space="preserve">Input:
  I_ADDR_2_SING_RX_OUT = 1'b0
  I_ADDR0_HI_Z_STATUS = 1'b0
Output:
</t>
    </r>
    <r>
      <rPr>
        <b/>
        <sz val="11"/>
        <color rgb="FFFF0000"/>
        <rFont val="맑은 고딕"/>
        <family val="3"/>
        <charset val="129"/>
        <scheme val="minor"/>
      </rPr>
      <t xml:space="preserve">  O_ADDR_DETECT_DONE = 1'b1</t>
    </r>
    <phoneticPr fontId="1" type="noConversion"/>
  </si>
  <si>
    <t>i_TM_I2C_SDA_DI</t>
    <phoneticPr fontId="1" type="noConversion"/>
  </si>
  <si>
    <t xml:space="preserve">Scan clk </t>
    <phoneticPr fontId="1" type="noConversion"/>
  </si>
  <si>
    <t>SIO_N</t>
    <phoneticPr fontId="1" type="noConversion"/>
  </si>
  <si>
    <r>
      <t xml:space="preserve">Input:
  SIO_DIFF_IN = 1'b0
output:
  SIO_SING_DOUT_P = 1'b0
  SIO_SING_DOUT_N = 1'b0
  SIO_OUTPUT_ACTIVE = 1'b0 (input mode)
  SIO_OUTPUT_ACTIVE_DELAY = 1'b0
  SIO_DIFF_OUT = 1'b0
  SIO_IF_MD [1:0] = 2'b00
</t>
    </r>
    <r>
      <rPr>
        <b/>
        <sz val="11"/>
        <color rgb="FFFF0000"/>
        <rFont val="맑은 고딕"/>
        <family val="3"/>
        <charset val="129"/>
        <scheme val="minor"/>
      </rPr>
      <t xml:space="preserve">  SIO_IF_MD_DET_DONE = 1'b1</t>
    </r>
    <phoneticPr fontId="1" type="noConversion"/>
  </si>
  <si>
    <t xml:space="preserve">Scan_en </t>
    <phoneticPr fontId="1" type="noConversion"/>
  </si>
  <si>
    <t>i_TM_I2C_SCL_DI</t>
    <phoneticPr fontId="1" type="noConversion"/>
  </si>
  <si>
    <t>Scan_SI</t>
    <phoneticPr fontId="1" type="noConversion"/>
  </si>
  <si>
    <t>SIO_P</t>
    <phoneticPr fontId="1" type="noConversion"/>
  </si>
  <si>
    <t>변경</t>
  </si>
  <si>
    <t xml:space="preserve">Scan_SO </t>
    <phoneticPr fontId="1" type="noConversion"/>
  </si>
  <si>
    <t>OUT</t>
    <phoneticPr fontId="1" type="noConversion"/>
  </si>
  <si>
    <t>OUT : O_GPIO_2_D_OUT</t>
    <phoneticPr fontId="1" type="noConversion"/>
  </si>
  <si>
    <r>
      <t xml:space="preserve">Input:
  I_GPIO_2_D_IN = 1'b0
Output:
  O_GPIO_2_PD = 1'b0
  O_GPIO_2_OUTPUT_TYPE = 1'b0
  </t>
    </r>
    <r>
      <rPr>
        <b/>
        <sz val="11"/>
        <color rgb="FFFF0000"/>
        <rFont val="맑은 고딕"/>
        <family val="3"/>
        <charset val="129"/>
        <scheme val="minor"/>
      </rPr>
      <t>O_GPIO_2_MODE = 1'b1</t>
    </r>
    <r>
      <rPr>
        <b/>
        <sz val="11"/>
        <color theme="1"/>
        <rFont val="맑은 고딕"/>
        <family val="3"/>
        <charset val="129"/>
        <scheme val="minor"/>
      </rPr>
      <t xml:space="preserve">
  O_GPIO_2_VEXT_EN = 1'b0</t>
    </r>
    <phoneticPr fontId="1" type="noConversion"/>
  </si>
  <si>
    <t xml:space="preserve">Scan_comp </t>
    <phoneticPr fontId="1" type="noConversion"/>
  </si>
  <si>
    <t>GPIO1</t>
    <phoneticPr fontId="1" type="noConversion"/>
  </si>
  <si>
    <t>IN : I_GPIO_1_D_IN</t>
    <phoneticPr fontId="1" type="noConversion"/>
  </si>
  <si>
    <r>
      <t xml:space="preserve">Input:
Output:
  O_GPIO_1_D_OUT = 1'b0
  O_GPIO_1_PD = 1'b0
  O_GPIO_1_OUTPUT_TYPE = 1'b0
  </t>
    </r>
    <r>
      <rPr>
        <b/>
        <sz val="11"/>
        <color rgb="FFFF0000"/>
        <rFont val="맑은 고딕"/>
        <family val="3"/>
        <charset val="129"/>
        <scheme val="minor"/>
      </rPr>
      <t>O_GPIO_1_MODE = 1'b0</t>
    </r>
    <r>
      <rPr>
        <b/>
        <sz val="11"/>
        <color theme="1"/>
        <rFont val="맑은 고딕"/>
        <family val="3"/>
        <charset val="129"/>
        <scheme val="minor"/>
      </rPr>
      <t xml:space="preserve">
  O_GPIO_1_VEXT_EN = 1'b0</t>
    </r>
    <phoneticPr fontId="1" type="noConversion"/>
  </si>
  <si>
    <t>CAN protocol
 test mode</t>
    <phoneticPr fontId="1" type="noConversion"/>
  </si>
  <si>
    <t>TX</t>
    <phoneticPr fontId="1" type="noConversion"/>
  </si>
  <si>
    <t>OUT : o_GPIO_2_D_OUT</t>
    <phoneticPr fontId="1" type="noConversion"/>
  </si>
  <si>
    <t>o_GPIO_2_MODE : High (Output)</t>
  </si>
  <si>
    <t xml:space="preserve">RX </t>
    <phoneticPr fontId="1" type="noConversion"/>
  </si>
  <si>
    <t>IN : i_GPIO_1_D_IN</t>
    <phoneticPr fontId="1" type="noConversion"/>
  </si>
  <si>
    <t>o_GPIO_1_MODE : Low (Input)</t>
  </si>
  <si>
    <t>SIO test mode</t>
    <phoneticPr fontId="1" type="noConversion"/>
  </si>
  <si>
    <t>SIO_P</t>
  </si>
  <si>
    <t>IN : o_GPIO_2_MODE : Low (Input) / Connect GPIO_2_D_IN ~ SIO_SING_DOUT_P
OUT : o_GPIO_2_MODE : High (Output) / Connect SIO_SING_DIN_P ~ GPIO_2_D_OUT</t>
    <phoneticPr fontId="1" type="noConversion"/>
  </si>
  <si>
    <t>ID804 처럼 활용하는 mode (ID804는 SIO가 2port이기에)</t>
    <phoneticPr fontId="1" type="noConversion"/>
  </si>
  <si>
    <t>SIO_N</t>
  </si>
  <si>
    <t>OUT : o_GPIO_1_D_OUT</t>
    <phoneticPr fontId="1" type="noConversion"/>
  </si>
  <si>
    <t>IN : o_GPIO_1_MODE : Low (Input) / Connect GPIO_1_D_IN ~ SIO_SING_DOUT_P
OUT : o_GPIO_1_MODE : High (Output) / Connect SIO_SING_DIN_P ~ GPIO_1_D_OUT</t>
    <phoneticPr fontId="1" type="noConversion"/>
  </si>
  <si>
    <t>Common things</t>
    <phoneticPr fontId="1" type="noConversion"/>
  </si>
  <si>
    <t>1. TM PAD High =&gt; I_TM_PAD "High" =&gt; Digital check =&gt; few clk counts =&gt; Real TM PAD high check =&gt; o_TM_ENTRY "High"</t>
    <phoneticPr fontId="1" type="noConversion"/>
  </si>
  <si>
    <t>2. Through I2C communication, check Password =&gt; o_TEST_MODE_EN "High" , but do not latch "o_TM_ENTRY" signal to high (If we want to out of Test mode, makes TM PAD "Low")</t>
    <phoneticPr fontId="1" type="noConversion"/>
  </si>
  <si>
    <t>3. IF TM PAD Low =&gt; o_TM_ENTRY and o_TEST_MODE_EN are "Low" (Test mode Kill trigger? Out Forcing? by TM PAD)</t>
    <phoneticPr fontId="1" type="noConversion"/>
  </si>
  <si>
    <t>ADDR_0</t>
    <phoneticPr fontId="1" type="noConversion"/>
  </si>
  <si>
    <t>I2C/SCAN</t>
    <phoneticPr fontId="1" type="noConversion"/>
  </si>
  <si>
    <t>ADDR_1</t>
    <phoneticPr fontId="1" type="noConversion"/>
  </si>
  <si>
    <t>ADDR_2</t>
    <phoneticPr fontId="1" type="noConversion"/>
  </si>
  <si>
    <t>TEST MODE SEL (I2C /Scan/ Can/ SIO)</t>
    <phoneticPr fontId="1" type="noConversion"/>
  </si>
  <si>
    <t>GPIO_0</t>
    <phoneticPr fontId="1" type="noConversion"/>
  </si>
  <si>
    <t>Multi Purpose (BIAS / BUCK ATB Path 1 / DTB Path 1)</t>
    <phoneticPr fontId="1" type="noConversion"/>
  </si>
  <si>
    <t>Multi Purpose (BIAS / BUCK ATB Path 2 / DTB Path 2)</t>
    <phoneticPr fontId="1" type="noConversion"/>
  </si>
  <si>
    <t>The frequency is swept during the soft-start (550kHz -&gt; 1.1MHz -&gt; 2.2MHz)</t>
    <phoneticPr fontId="1" type="noConversion"/>
  </si>
  <si>
    <t>PFM-mode threshold is trimmed</t>
    <phoneticPr fontId="1" type="noConversion"/>
  </si>
  <si>
    <t>The PFM-mode threshold is lowered</t>
    <phoneticPr fontId="1" type="noConversion"/>
  </si>
  <si>
    <t>Work Around Point - SS_RESET_SEL Control BIT
0 : internal singal use (default) / 1 : TM_F_SS_RESET_EN</t>
    <phoneticPr fontId="1" type="noConversion"/>
  </si>
  <si>
    <t>Work Around Point - TM_F_SS_RESET_EN Control BIT</t>
    <phoneticPr fontId="1" type="noConversion"/>
  </si>
  <si>
    <t>Internal OTA is connected as a unit-gain buffer</t>
    <phoneticPr fontId="1" type="noConversion"/>
  </si>
  <si>
    <t>STANDBY_VINT setting
0 : Low
1 : High
(TEST MODE 들어가서 STANDBY_VINT를 무조건 HIGH로 만드는 신호)</t>
    <phoneticPr fontId="1" type="noConversion"/>
  </si>
  <si>
    <t>Duty function of High Frequency Spread Spectrum
0 : disable
1 : enable</t>
    <phoneticPr fontId="1" type="noConversion"/>
  </si>
  <si>
    <t>Periodic function of High Frequency Spread Spectrum
0 : disable
1 : enable</t>
    <phoneticPr fontId="1" type="noConversion"/>
  </si>
  <si>
    <t>Enable of High Frequency Spread Spectrum
0 : disable
1 : enable</t>
    <phoneticPr fontId="1" type="noConversion"/>
  </si>
  <si>
    <t>Mode of High Frequency Spread Spectrum
0 : Tri-Angle
1 : Pseudo Random</t>
    <phoneticPr fontId="1" type="noConversion"/>
  </si>
  <si>
    <t>Duty function of Low Frequency Spread Spectrum
0 : disable
1 : enable</t>
    <phoneticPr fontId="1" type="noConversion"/>
  </si>
  <si>
    <t>Periodic function of Low Frequency Spread Spectrum
0 : disable
1 : enable</t>
    <phoneticPr fontId="1" type="noConversion"/>
  </si>
  <si>
    <t xml:space="preserve">Go Low Power Control Register 
0 : Disable (default)
1 : Go to Low power Trigger </t>
    <phoneticPr fontId="1" type="noConversion"/>
  </si>
  <si>
    <t>DTB2_Mux Selection signal
0 : Output mode
1 : input mode</t>
    <phoneticPr fontId="1" type="noConversion"/>
  </si>
  <si>
    <t>TEST_MODE_EN for internal Analog Circuit</t>
    <phoneticPr fontId="1" type="noConversion"/>
  </si>
  <si>
    <t>External CLK path enable control register for I2C</t>
    <phoneticPr fontId="1" type="noConversion"/>
  </si>
  <si>
    <t>ADC Enable
0 = ADC is activated according to IC STATE (default)
1 = ADC is always active</t>
    <phoneticPr fontId="1" type="noConversion"/>
  </si>
  <si>
    <t>ADC cycle control
0 = toggle to 0-3 (default)
1 = Fixed to ADC_IN_SEL[1:0]</t>
    <phoneticPr fontId="1" type="noConversion"/>
  </si>
  <si>
    <t>ADC_IN_SEL[1:0] setting
00 = TEMP (default)
01 = VIO_EXT
10 = GPIO1_EXT
11 = GPIO2_EXT</t>
    <phoneticPr fontId="1" type="noConversion"/>
  </si>
  <si>
    <t>OTP Control Register Protection
Protect = 12'h5A5 (default)
Un-Protect = 12'hA5A</t>
    <phoneticPr fontId="1" type="noConversion"/>
  </si>
  <si>
    <t>RXD_DUTY_CCTL2[2:0]</t>
    <phoneticPr fontId="1" type="noConversion"/>
  </si>
  <si>
    <t>OTP_PG_CRC_START</t>
    <phoneticPr fontId="1" type="noConversion"/>
  </si>
  <si>
    <t>OTP Program command
0 = Program disable
1 = Program Enable</t>
    <phoneticPr fontId="1" type="noConversion"/>
  </si>
  <si>
    <t>OTP Read margin check options
0 = default
1 = Decrease high data sensing margin
2 = Decrease low data sensing margin
3 = N/A</t>
    <phoneticPr fontId="1" type="noConversion"/>
  </si>
  <si>
    <t>OTP CRC Program start
0 = Program disable
1 = Program enable</t>
    <phoneticPr fontId="1" type="noConversion"/>
  </si>
  <si>
    <t>OTP Load command
0 = Load disable
1 = Load enable</t>
    <phoneticPr fontId="1" type="noConversion"/>
  </si>
  <si>
    <t>OTP_RD_START</t>
    <phoneticPr fontId="1" type="noConversion"/>
  </si>
  <si>
    <t>OTP_PG_
CRC_START</t>
    <phoneticPr fontId="1" type="noConversion"/>
  </si>
  <si>
    <t>OTP_RD_
START</t>
    <phoneticPr fontId="1" type="noConversion"/>
  </si>
  <si>
    <t>SPARE2[6:0]</t>
    <phoneticPr fontId="1" type="noConversion"/>
  </si>
  <si>
    <t>SPARE3[3:0]</t>
    <phoneticPr fontId="1" type="noConversion"/>
  </si>
  <si>
    <t>OTP_CRC[7:0]</t>
    <phoneticPr fontId="1" type="noConversion"/>
  </si>
  <si>
    <t>CRC calculation of all OTP registers</t>
    <phoneticPr fontId="1" type="noConversion"/>
  </si>
  <si>
    <t>Spare register</t>
    <phoneticPr fontId="1" type="noConversion"/>
  </si>
  <si>
    <t>efuse5</t>
    <phoneticPr fontId="1" type="noConversion"/>
  </si>
  <si>
    <t xml:space="preserve">Spread Spectrum High Frequnecy modulation level control 3-bit
000 : Fm_Freq is 1/256 of i_MCLK Frequency 
001 : Fm_Freq is 1/128 of i_MCLK Frequency 
010 : Fm_Freq is 1/64 of i_MCLK Frequency
011 : Fm_Freq is 1/32 of i_MCLK Frequency =&gt; 62.5kHz default (Single Step 기준, total 8 steps)
100 : Fm_Freq is 1/16 of i_MCLK Frequency
101 : Fm_Freq is 1/8 of i_MCLK Frequency 
110 : Fm_Freq is 1/4 of i_MCLK Frequency 
111 : Fm_Freq is 1/2 of i_MCLK Frequency </t>
    <phoneticPr fontId="1" type="noConversion"/>
  </si>
  <si>
    <t xml:space="preserve">Work Around Point - RFREQ_SEL MUX SEL Control BIT 
0 : internal singal use (default)
1 : TM_F_RFREQ_STATUS </t>
    <phoneticPr fontId="1" type="noConversion"/>
  </si>
  <si>
    <t xml:space="preserve">Work Around Point - OSC_TOP_EN Mux SEL Control BIT
0 : internal singal use (default)
1 : TM_F_OSC_TOP_EN_D  </t>
    <phoneticPr fontId="1" type="noConversion"/>
  </si>
  <si>
    <t>Work Around Point - BUCK_EN Mux SEL Control BIT
0 : internal singal use (default)
1 : TM_F_BUCK_EN</t>
    <phoneticPr fontId="1" type="noConversion"/>
  </si>
  <si>
    <t>Work Around Point - FSW_Signal Mux SEL Control BIT
0 : internal singal use (default)
1 : TM_F_FSW_450K_EN</t>
    <phoneticPr fontId="1" type="noConversion"/>
  </si>
  <si>
    <t>DTB1_Mux Selection signal
0 : Output mode
1 : input mode</t>
    <phoneticPr fontId="1" type="noConversion"/>
  </si>
  <si>
    <t>TRIM_32M_OSC_TEMP[3:0]</t>
    <phoneticPr fontId="1" type="noConversion"/>
  </si>
  <si>
    <t>Need to add description : 0xF2 ~ 0xF9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</si>
</sst>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vertAlign val="subscript"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Wingdings"/>
      <charset val="2"/>
    </font>
    <font>
      <sz val="11"/>
      <color theme="1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9"/>
      <name val="Arial"/>
      <family val="2"/>
    </font>
    <font>
      <sz val="8"/>
      <color theme="1"/>
      <name val="Arial"/>
      <family val="2"/>
    </font>
    <font>
      <sz val="9"/>
      <name val="맑은 고딕"/>
      <family val="3"/>
      <charset val="129"/>
      <scheme val="minor"/>
    </font>
    <font>
      <sz val="9"/>
      <color rgb="FFFF0000"/>
      <name val="Arial"/>
      <family val="2"/>
    </font>
    <font>
      <vertAlign val="subscript"/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 Unicode MS"/>
      <family val="2"/>
      <charset val="129"/>
    </font>
    <font>
      <sz val="10"/>
      <color rgb="FFFF0000"/>
      <name val="Arial"/>
      <family val="2"/>
    </font>
    <font>
      <sz val="8"/>
      <name val="Arial"/>
      <family val="2"/>
    </font>
    <font>
      <sz val="10"/>
      <name val="Arial"/>
    </font>
    <font>
      <b/>
      <sz val="11"/>
      <color theme="1"/>
      <name val="맑은 고딕"/>
      <family val="2"/>
      <charset val="129"/>
      <scheme val="minor"/>
    </font>
    <font>
      <sz val="8"/>
      <color theme="2" tint="-0.89999084444715716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7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29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14" fontId="7" fillId="2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0" xfId="0" applyFont="1">
      <alignment vertical="center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4" fillId="7" borderId="1" xfId="0" quotePrefix="1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4" fillId="7" borderId="1" xfId="1" quotePrefix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1" xfId="0" quotePrefix="1" applyFont="1" applyBorder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quotePrefix="1" applyFont="1" applyAlignment="1">
      <alignment vertical="center" wrapText="1"/>
    </xf>
    <xf numFmtId="0" fontId="3" fillId="0" borderId="3" xfId="0" applyFont="1" applyBorder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0" fontId="19" fillId="0" borderId="1" xfId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19" fillId="12" borderId="1" xfId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12" borderId="1" xfId="0" applyFont="1" applyFill="1" applyBorder="1" applyAlignment="1">
      <alignment vertical="center" wrapText="1"/>
    </xf>
    <xf numFmtId="0" fontId="17" fillId="7" borderId="1" xfId="0" quotePrefix="1" applyFont="1" applyFill="1" applyBorder="1" applyAlignment="1">
      <alignment horizontal="center" vertical="center"/>
    </xf>
    <xf numFmtId="0" fontId="17" fillId="7" borderId="1" xfId="1" quotePrefix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 wrapText="1"/>
    </xf>
    <xf numFmtId="0" fontId="14" fillId="0" borderId="27" xfId="0" quotePrefix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4" fillId="0" borderId="7" xfId="0" quotePrefix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7" fillId="0" borderId="0" xfId="0" quotePrefix="1" applyFont="1" applyAlignment="1">
      <alignment horizontal="center" vertical="center"/>
    </xf>
    <xf numFmtId="0" fontId="22" fillId="0" borderId="1" xfId="1" applyFont="1" applyBorder="1" applyAlignment="1">
      <alignment horizontal="center" vertical="center" wrapText="1"/>
    </xf>
    <xf numFmtId="0" fontId="22" fillId="0" borderId="2" xfId="1" applyFont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9" fillId="6" borderId="1" xfId="1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9" fillId="16" borderId="1" xfId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5" fillId="6" borderId="1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16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/>
    </xf>
    <xf numFmtId="0" fontId="27" fillId="14" borderId="28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left" vertical="center" wrapText="1"/>
    </xf>
    <xf numFmtId="0" fontId="20" fillId="17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left" vertical="center" wrapText="1"/>
    </xf>
    <xf numFmtId="0" fontId="3" fillId="13" borderId="0" xfId="0" applyFont="1" applyFill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20" fontId="3" fillId="0" borderId="1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/>
    </xf>
    <xf numFmtId="20" fontId="3" fillId="0" borderId="2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9" fillId="2" borderId="19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9" fillId="2" borderId="20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22" fillId="11" borderId="4" xfId="0" applyFont="1" applyFill="1" applyBorder="1" applyAlignment="1">
      <alignment horizontal="center" vertical="center" wrapText="1"/>
    </xf>
    <xf numFmtId="0" fontId="19" fillId="11" borderId="2" xfId="1" applyFont="1" applyFill="1" applyBorder="1" applyAlignment="1">
      <alignment horizontal="center" vertical="center" wrapText="1"/>
    </xf>
    <xf numFmtId="0" fontId="19" fillId="11" borderId="3" xfId="1" applyFont="1" applyFill="1" applyBorder="1" applyAlignment="1">
      <alignment horizontal="center" vertical="center" wrapText="1"/>
    </xf>
    <xf numFmtId="0" fontId="19" fillId="11" borderId="4" xfId="1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/>
    </xf>
    <xf numFmtId="0" fontId="19" fillId="0" borderId="2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center" vertical="center" wrapText="1"/>
    </xf>
    <xf numFmtId="0" fontId="19" fillId="0" borderId="4" xfId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14" borderId="2" xfId="0" applyFont="1" applyFill="1" applyBorder="1" applyAlignment="1">
      <alignment horizontal="center" vertical="center" wrapText="1"/>
    </xf>
    <xf numFmtId="0" fontId="19" fillId="14" borderId="3" xfId="0" applyFont="1" applyFill="1" applyBorder="1" applyAlignment="1">
      <alignment horizontal="center" vertical="center" wrapText="1"/>
    </xf>
    <xf numFmtId="0" fontId="19" fillId="14" borderId="4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3" fillId="13" borderId="1" xfId="0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1" fillId="0" borderId="2" xfId="0" applyFont="1" applyBorder="1" applyAlignment="1">
      <alignment horizontal="right" vertical="center" wrapText="1"/>
    </xf>
    <xf numFmtId="0" fontId="31" fillId="0" borderId="4" xfId="0" applyFont="1" applyBorder="1" applyAlignment="1">
      <alignment horizontal="right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/>
    </xf>
    <xf numFmtId="0" fontId="25" fillId="0" borderId="2" xfId="1" applyFont="1" applyBorder="1" applyAlignment="1">
      <alignment horizontal="center" vertical="center" wrapText="1"/>
    </xf>
    <xf numFmtId="0" fontId="25" fillId="0" borderId="3" xfId="1" applyFont="1" applyBorder="1" applyAlignment="1">
      <alignment horizontal="center" vertical="center" wrapText="1"/>
    </xf>
    <xf numFmtId="0" fontId="25" fillId="0" borderId="4" xfId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righ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left" vertical="center"/>
    </xf>
    <xf numFmtId="0" fontId="3" fillId="13" borderId="3" xfId="0" applyFont="1" applyFill="1" applyBorder="1" applyAlignment="1">
      <alignment horizontal="left" vertical="center"/>
    </xf>
    <xf numFmtId="0" fontId="20" fillId="13" borderId="2" xfId="0" applyFont="1" applyFill="1" applyBorder="1" applyAlignment="1">
      <alignment horizontal="center" vertical="center"/>
    </xf>
    <xf numFmtId="0" fontId="20" fillId="13" borderId="4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7" fillId="14" borderId="28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center" vertical="center"/>
    </xf>
    <xf numFmtId="0" fontId="20" fillId="15" borderId="4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0" fillId="12" borderId="29" xfId="0" applyFont="1" applyFill="1" applyBorder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8D23DF7F-46BC-4C11-A487-0330659ED1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11205</xdr:colOff>
      <xdr:row>20</xdr:row>
      <xdr:rowOff>22411</xdr:rowOff>
    </xdr:from>
    <xdr:to>
      <xdr:col>19</xdr:col>
      <xdr:colOff>591089</xdr:colOff>
      <xdr:row>38</xdr:row>
      <xdr:rowOff>134000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AD0B781A-FAF4-444C-BD82-6102328A2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81085" y="4442011"/>
          <a:ext cx="8653498" cy="40287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16</xdr:col>
      <xdr:colOff>523670</xdr:colOff>
      <xdr:row>19</xdr:row>
      <xdr:rowOff>51077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17A5DF3-6F41-4408-A24B-89B73F656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9880" y="220980"/>
          <a:ext cx="6558710" cy="40287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47624</xdr:colOff>
      <xdr:row>20</xdr:row>
      <xdr:rowOff>72600</xdr:rowOff>
    </xdr:from>
    <xdr:to>
      <xdr:col>10</xdr:col>
      <xdr:colOff>2607756</xdr:colOff>
      <xdr:row>46</xdr:row>
      <xdr:rowOff>2872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3425F59-9EA5-4AC8-BB00-E2F50BD5D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774" y="13731450"/>
          <a:ext cx="10056307" cy="5378572"/>
        </a:xfrm>
        <a:prstGeom prst="rect">
          <a:avLst/>
        </a:prstGeom>
      </xdr:spPr>
    </xdr:pic>
    <xdr:clientData/>
  </xdr:twoCellAnchor>
  <xdr:twoCellAnchor>
    <xdr:from>
      <xdr:col>10</xdr:col>
      <xdr:colOff>2775857</xdr:colOff>
      <xdr:row>26</xdr:row>
      <xdr:rowOff>0</xdr:rowOff>
    </xdr:from>
    <xdr:to>
      <xdr:col>13</xdr:col>
      <xdr:colOff>388171</xdr:colOff>
      <xdr:row>54</xdr:row>
      <xdr:rowOff>210732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23837326-FC31-4FA5-B823-5AEC91691FAD}"/>
            </a:ext>
          </a:extLst>
        </xdr:cNvPr>
        <xdr:cNvGrpSpPr/>
      </xdr:nvGrpSpPr>
      <xdr:grpSpPr>
        <a:xfrm>
          <a:off x="12219214" y="14831786"/>
          <a:ext cx="8810993" cy="5925732"/>
          <a:chOff x="806096" y="771043"/>
          <a:chExt cx="7708814" cy="5925732"/>
        </a:xfrm>
      </xdr:grpSpPr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557FCD7E-75A5-9328-8902-BCF243E9CE06}"/>
              </a:ext>
            </a:extLst>
          </xdr:cNvPr>
          <xdr:cNvSpPr txBox="1"/>
        </xdr:nvSpPr>
        <xdr:spPr>
          <a:xfrm>
            <a:off x="882062" y="1158571"/>
            <a:ext cx="2232248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9pPr>
          </a:lstStyle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TM_PAD : High Voltage IN</a:t>
            </a:r>
            <a:endParaRPr lang="ko-KR" altLang="en-US" sz="1300">
              <a:ln>
                <a:solidFill>
                  <a:srgbClr val="000000">
                    <a:alpha val="0"/>
                  </a:srgbClr>
                </a:solidFill>
              </a:ln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cxnSp macro="">
        <xdr:nvCxnSpPr>
          <xdr:cNvPr id="5" name="직선 화살표 연결선 4">
            <a:extLst>
              <a:ext uri="{FF2B5EF4-FFF2-40B4-BE49-F238E27FC236}">
                <a16:creationId xmlns:a16="http://schemas.microsoft.com/office/drawing/2014/main" id="{93B5678A-72FB-FBA8-DF32-A656EE95C18F}"/>
              </a:ext>
            </a:extLst>
          </xdr:cNvPr>
          <xdr:cNvCxnSpPr/>
        </xdr:nvCxnSpPr>
        <xdr:spPr>
          <a:xfrm>
            <a:off x="1890174" y="1520789"/>
            <a:ext cx="0" cy="36004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7">
            <a:extLst>
              <a:ext uri="{FF2B5EF4-FFF2-40B4-BE49-F238E27FC236}">
                <a16:creationId xmlns:a16="http://schemas.microsoft.com/office/drawing/2014/main" id="{8CE58206-92EA-24FB-73BC-BFF851577211}"/>
              </a:ext>
            </a:extLst>
          </xdr:cNvPr>
          <xdr:cNvSpPr txBox="1"/>
        </xdr:nvSpPr>
        <xdr:spPr>
          <a:xfrm>
            <a:off x="1206098" y="1950659"/>
            <a:ext cx="1908212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9pPr>
          </a:lstStyle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solidFill>
                  <a:srgbClr val="00B0F0"/>
                </a:solidFill>
                <a:latin typeface="현대하모니 M" panose="02020603020101020101" pitchFamily="18" charset="-127"/>
                <a:ea typeface="현대하모니 M" panose="02020603020101020101" pitchFamily="18" charset="-127"/>
              </a:rPr>
              <a:t>I_TM_PAD : High</a:t>
            </a:r>
            <a:endParaRPr lang="ko-KR" altLang="en-US" sz="1300">
              <a:ln>
                <a:solidFill>
                  <a:srgbClr val="000000">
                    <a:alpha val="0"/>
                  </a:srgbClr>
                </a:solidFill>
              </a:ln>
              <a:solidFill>
                <a:srgbClr val="00B0F0"/>
              </a:solidFill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cxnSp macro="">
        <xdr:nvCxnSpPr>
          <xdr:cNvPr id="7" name="직선 화살표 연결선 6">
            <a:extLst>
              <a:ext uri="{FF2B5EF4-FFF2-40B4-BE49-F238E27FC236}">
                <a16:creationId xmlns:a16="http://schemas.microsoft.com/office/drawing/2014/main" id="{4B93E908-5B60-17D9-1688-C5758BAD2FC3}"/>
              </a:ext>
            </a:extLst>
          </xdr:cNvPr>
          <xdr:cNvCxnSpPr/>
        </xdr:nvCxnSpPr>
        <xdr:spPr>
          <a:xfrm>
            <a:off x="1890174" y="2312877"/>
            <a:ext cx="0" cy="36004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9">
            <a:extLst>
              <a:ext uri="{FF2B5EF4-FFF2-40B4-BE49-F238E27FC236}">
                <a16:creationId xmlns:a16="http://schemas.microsoft.com/office/drawing/2014/main" id="{433EB526-4AE7-F09E-8468-B48C8F2D6136}"/>
              </a:ext>
            </a:extLst>
          </xdr:cNvPr>
          <xdr:cNvSpPr txBox="1"/>
        </xdr:nvSpPr>
        <xdr:spPr>
          <a:xfrm>
            <a:off x="1206098" y="2809715"/>
            <a:ext cx="1908212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9pPr>
          </a:lstStyle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solidFill>
                  <a:srgbClr val="00B050"/>
                </a:solidFill>
                <a:latin typeface="현대하모니 M" panose="02020603020101020101" pitchFamily="18" charset="-127"/>
                <a:ea typeface="현대하모니 M" panose="02020603020101020101" pitchFamily="18" charset="-127"/>
              </a:rPr>
              <a:t>Check Few clks</a:t>
            </a:r>
            <a:endParaRPr lang="ko-KR" altLang="en-US" sz="1300">
              <a:ln>
                <a:solidFill>
                  <a:srgbClr val="000000">
                    <a:alpha val="0"/>
                  </a:srgbClr>
                </a:solidFill>
              </a:ln>
              <a:solidFill>
                <a:srgbClr val="00B050"/>
              </a:solidFill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sp macro="" textlink="">
        <xdr:nvSpPr>
          <xdr:cNvPr id="9" name="TextBox 10">
            <a:extLst>
              <a:ext uri="{FF2B5EF4-FFF2-40B4-BE49-F238E27FC236}">
                <a16:creationId xmlns:a16="http://schemas.microsoft.com/office/drawing/2014/main" id="{2969F168-EA21-08BC-E696-79ECAE816123}"/>
              </a:ext>
            </a:extLst>
          </xdr:cNvPr>
          <xdr:cNvSpPr txBox="1"/>
        </xdr:nvSpPr>
        <xdr:spPr>
          <a:xfrm>
            <a:off x="1206098" y="3537698"/>
            <a:ext cx="1908212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9pPr>
          </a:lstStyle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solidFill>
                  <a:srgbClr val="FF0000"/>
                </a:solidFill>
                <a:latin typeface="현대하모니 M" panose="02020603020101020101" pitchFamily="18" charset="-127"/>
                <a:ea typeface="현대하모니 M" panose="02020603020101020101" pitchFamily="18" charset="-127"/>
              </a:rPr>
              <a:t>o_TM_ENTRY : High</a:t>
            </a:r>
            <a:endParaRPr lang="ko-KR" altLang="en-US" sz="1300">
              <a:ln>
                <a:solidFill>
                  <a:srgbClr val="000000">
                    <a:alpha val="0"/>
                  </a:srgbClr>
                </a:solidFill>
              </a:ln>
              <a:solidFill>
                <a:srgbClr val="FF0000"/>
              </a:solidFill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cxnSp macro="">
        <xdr:nvCxnSpPr>
          <xdr:cNvPr id="10" name="직선 화살표 연결선 9">
            <a:extLst>
              <a:ext uri="{FF2B5EF4-FFF2-40B4-BE49-F238E27FC236}">
                <a16:creationId xmlns:a16="http://schemas.microsoft.com/office/drawing/2014/main" id="{9E649E00-8DF0-FD0C-C919-686B93CBFE26}"/>
              </a:ext>
            </a:extLst>
          </xdr:cNvPr>
          <xdr:cNvCxnSpPr/>
        </xdr:nvCxnSpPr>
        <xdr:spPr>
          <a:xfrm>
            <a:off x="1890174" y="3102103"/>
            <a:ext cx="0" cy="36004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TextBox 14">
            <a:extLst>
              <a:ext uri="{FF2B5EF4-FFF2-40B4-BE49-F238E27FC236}">
                <a16:creationId xmlns:a16="http://schemas.microsoft.com/office/drawing/2014/main" id="{89CE6BDE-3AC4-06F7-27CB-E9C828C8A3D7}"/>
              </a:ext>
            </a:extLst>
          </xdr:cNvPr>
          <xdr:cNvSpPr txBox="1"/>
        </xdr:nvSpPr>
        <xdr:spPr>
          <a:xfrm>
            <a:off x="3906398" y="1158571"/>
            <a:ext cx="4608512" cy="49244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9pPr>
          </a:lstStyle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Few Analog Block En Changed by o_TM_ENTRY : high</a:t>
            </a:r>
          </a:p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&amp; Need to Control / Block few register by DIG</a:t>
            </a:r>
            <a:endParaRPr lang="ko-KR" altLang="en-US" sz="1300">
              <a:ln>
                <a:solidFill>
                  <a:srgbClr val="000000">
                    <a:alpha val="0"/>
                  </a:srgbClr>
                </a:solidFill>
              </a:ln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sp macro="" textlink="">
        <xdr:nvSpPr>
          <xdr:cNvPr id="12" name="TextBox 15">
            <a:extLst>
              <a:ext uri="{FF2B5EF4-FFF2-40B4-BE49-F238E27FC236}">
                <a16:creationId xmlns:a16="http://schemas.microsoft.com/office/drawing/2014/main" id="{C020CADC-A42A-5A3F-06A2-5ECB3A70C1D8}"/>
              </a:ext>
            </a:extLst>
          </xdr:cNvPr>
          <xdr:cNvSpPr txBox="1"/>
        </xdr:nvSpPr>
        <xdr:spPr>
          <a:xfrm>
            <a:off x="3906398" y="1778363"/>
            <a:ext cx="3240359" cy="89255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9pPr>
          </a:lstStyle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1. I2C mode (ADDR0/1 Rx EN)</a:t>
            </a:r>
          </a:p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2. SCAN mode</a:t>
            </a:r>
          </a:p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3. Protocol test mode</a:t>
            </a:r>
          </a:p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4. SIO test mode</a:t>
            </a:r>
            <a:endParaRPr lang="ko-KR" altLang="en-US" sz="1300">
              <a:ln>
                <a:solidFill>
                  <a:srgbClr val="000000">
                    <a:alpha val="0"/>
                  </a:srgbClr>
                </a:solidFill>
              </a:ln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A7A6D712-A0E3-633D-11EE-FD1A111C1FF5}"/>
              </a:ext>
            </a:extLst>
          </xdr:cNvPr>
          <xdr:cNvSpPr/>
        </xdr:nvSpPr>
        <xdr:spPr bwMode="auto">
          <a:xfrm>
            <a:off x="3690375" y="1088740"/>
            <a:ext cx="4536504" cy="1657615"/>
          </a:xfrm>
          <a:prstGeom prst="rect">
            <a:avLst/>
          </a:prstGeom>
          <a:noFill/>
          <a:ln w="28575">
            <a:solidFill>
              <a:schemeClr val="bg1">
                <a:lumMod val="65000"/>
              </a:schemeClr>
            </a:solidFill>
          </a:ln>
        </xdr:spPr>
        <xdr:style>
          <a:lnRef idx="0">
            <a:schemeClr val="accent1"/>
          </a:lnRef>
          <a:fillRef idx="1">
            <a:schemeClr val="accent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horz" wrap="square" lIns="1800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spcBef>
                <a:spcPts val="1000"/>
              </a:spcBef>
            </a:pPr>
            <a:endParaRPr lang="ko-KR" altLang="en-US" sz="1300">
              <a:ln>
                <a:solidFill>
                  <a:schemeClr val="bg1">
                    <a:lumMod val="75000"/>
                    <a:alpha val="0"/>
                  </a:schemeClr>
                </a:solidFill>
              </a:ln>
              <a:solidFill>
                <a:schemeClr val="tx1"/>
              </a:solidFill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cxnSp macro="">
        <xdr:nvCxnSpPr>
          <xdr:cNvPr id="14" name="연결선: 구부러짐 13">
            <a:extLst>
              <a:ext uri="{FF2B5EF4-FFF2-40B4-BE49-F238E27FC236}">
                <a16:creationId xmlns:a16="http://schemas.microsoft.com/office/drawing/2014/main" id="{2414B564-A430-518C-765F-3D3CB0A38067}"/>
              </a:ext>
            </a:extLst>
          </xdr:cNvPr>
          <xdr:cNvCxnSpPr>
            <a:cxnSpLocks/>
            <a:stCxn id="9" idx="3"/>
            <a:endCxn id="13" idx="1"/>
          </xdr:cNvCxnSpPr>
        </xdr:nvCxnSpPr>
        <xdr:spPr>
          <a:xfrm flipV="1">
            <a:off x="3114310" y="1917548"/>
            <a:ext cx="576065" cy="1766344"/>
          </a:xfrm>
          <a:prstGeom prst="curvedConnector3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47CED0C0-ECBA-CDEB-72C0-E739D7E4B2B3}"/>
              </a:ext>
            </a:extLst>
          </xdr:cNvPr>
          <xdr:cNvCxnSpPr/>
        </xdr:nvCxnSpPr>
        <xdr:spPr>
          <a:xfrm>
            <a:off x="5648786" y="2746356"/>
            <a:ext cx="0" cy="36004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TextBox 20">
            <a:extLst>
              <a:ext uri="{FF2B5EF4-FFF2-40B4-BE49-F238E27FC236}">
                <a16:creationId xmlns:a16="http://schemas.microsoft.com/office/drawing/2014/main" id="{A2930D6B-0CBB-B83D-4AF9-E47588064F4B}"/>
              </a:ext>
            </a:extLst>
          </xdr:cNvPr>
          <xdr:cNvSpPr txBox="1"/>
        </xdr:nvSpPr>
        <xdr:spPr>
          <a:xfrm>
            <a:off x="3942402" y="3128199"/>
            <a:ext cx="3384374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9pPr>
          </a:lstStyle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Enter “TM_PW_MODE” using I2C &amp; PW </a:t>
            </a:r>
            <a:endParaRPr lang="ko-KR" altLang="en-US" sz="1300">
              <a:ln>
                <a:solidFill>
                  <a:srgbClr val="000000">
                    <a:alpha val="0"/>
                  </a:srgbClr>
                </a:solidFill>
              </a:ln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sp macro="" textlink="">
        <xdr:nvSpPr>
          <xdr:cNvPr id="17" name="TextBox 23">
            <a:extLst>
              <a:ext uri="{FF2B5EF4-FFF2-40B4-BE49-F238E27FC236}">
                <a16:creationId xmlns:a16="http://schemas.microsoft.com/office/drawing/2014/main" id="{4123A3A0-BE8A-DA6F-DEE2-A8F4F6151FCB}"/>
              </a:ext>
            </a:extLst>
          </xdr:cNvPr>
          <xdr:cNvSpPr txBox="1"/>
        </xdr:nvSpPr>
        <xdr:spPr>
          <a:xfrm>
            <a:off x="936068" y="4265681"/>
            <a:ext cx="2124236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9pPr>
          </a:lstStyle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solidFill>
                  <a:srgbClr val="FF0000"/>
                </a:solidFill>
                <a:latin typeface="현대하모니 M" panose="02020603020101020101" pitchFamily="18" charset="-127"/>
                <a:ea typeface="현대하모니 M" panose="02020603020101020101" pitchFamily="18" charset="-127"/>
              </a:rPr>
              <a:t>o_TEST_MODE_EN : High</a:t>
            </a:r>
            <a:endParaRPr lang="ko-KR" altLang="en-US" sz="1300">
              <a:ln>
                <a:solidFill>
                  <a:srgbClr val="000000">
                    <a:alpha val="0"/>
                  </a:srgbClr>
                </a:solidFill>
              </a:ln>
              <a:solidFill>
                <a:srgbClr val="FF0000"/>
              </a:solidFill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cxnSp macro="">
        <xdr:nvCxnSpPr>
          <xdr:cNvPr id="18" name="연결선: 구부러짐 17">
            <a:extLst>
              <a:ext uri="{FF2B5EF4-FFF2-40B4-BE49-F238E27FC236}">
                <a16:creationId xmlns:a16="http://schemas.microsoft.com/office/drawing/2014/main" id="{67F6271D-4251-CEF0-39B5-C8F4DDD9DDF1}"/>
              </a:ext>
            </a:extLst>
          </xdr:cNvPr>
          <xdr:cNvCxnSpPr>
            <a:cxnSpLocks/>
            <a:stCxn id="16" idx="2"/>
            <a:endCxn id="17" idx="3"/>
          </xdr:cNvCxnSpPr>
        </xdr:nvCxnSpPr>
        <xdr:spPr>
          <a:xfrm rot="5400000">
            <a:off x="3851803" y="2629089"/>
            <a:ext cx="991288" cy="2574285"/>
          </a:xfrm>
          <a:prstGeom prst="curvedConnector2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직선 화살표 연결선 18">
            <a:extLst>
              <a:ext uri="{FF2B5EF4-FFF2-40B4-BE49-F238E27FC236}">
                <a16:creationId xmlns:a16="http://schemas.microsoft.com/office/drawing/2014/main" id="{C0297F8E-411D-C52D-0D2B-E7D7D9E7ED31}"/>
              </a:ext>
            </a:extLst>
          </xdr:cNvPr>
          <xdr:cNvCxnSpPr/>
        </xdr:nvCxnSpPr>
        <xdr:spPr>
          <a:xfrm>
            <a:off x="1890174" y="4689141"/>
            <a:ext cx="0" cy="36004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TextBox 32">
            <a:extLst>
              <a:ext uri="{FF2B5EF4-FFF2-40B4-BE49-F238E27FC236}">
                <a16:creationId xmlns:a16="http://schemas.microsoft.com/office/drawing/2014/main" id="{F6ABE21D-CFED-365B-FE05-C3A5EAFD7DAD}"/>
              </a:ext>
            </a:extLst>
          </xdr:cNvPr>
          <xdr:cNvSpPr txBox="1"/>
        </xdr:nvSpPr>
        <xdr:spPr>
          <a:xfrm>
            <a:off x="806096" y="5057866"/>
            <a:ext cx="2384179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9pPr>
          </a:lstStyle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Select ATB or DTB Test Set </a:t>
            </a:r>
            <a:endParaRPr lang="ko-KR" altLang="en-US" sz="1300">
              <a:ln>
                <a:solidFill>
                  <a:srgbClr val="000000">
                    <a:alpha val="0"/>
                  </a:srgbClr>
                </a:solidFill>
              </a:ln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B336D0F-FFBC-34B7-B2DA-DD01CFBAEF49}"/>
              </a:ext>
            </a:extLst>
          </xdr:cNvPr>
          <xdr:cNvSpPr/>
        </xdr:nvSpPr>
        <xdr:spPr bwMode="auto">
          <a:xfrm>
            <a:off x="3872880" y="4869160"/>
            <a:ext cx="3633918" cy="1827615"/>
          </a:xfrm>
          <a:prstGeom prst="rect">
            <a:avLst/>
          </a:prstGeom>
          <a:noFill/>
          <a:ln w="28575">
            <a:solidFill>
              <a:schemeClr val="bg1">
                <a:lumMod val="65000"/>
              </a:schemeClr>
            </a:solidFill>
          </a:ln>
        </xdr:spPr>
        <xdr:style>
          <a:lnRef idx="0">
            <a:schemeClr val="accent1"/>
          </a:lnRef>
          <a:fillRef idx="1">
            <a:schemeClr val="accent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horz" wrap="square" lIns="1800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spcBef>
                <a:spcPts val="1000"/>
              </a:spcBef>
            </a:pPr>
            <a:endParaRPr lang="ko-KR" altLang="en-US" sz="1300">
              <a:ln>
                <a:solidFill>
                  <a:schemeClr val="bg1">
                    <a:lumMod val="75000"/>
                    <a:alpha val="0"/>
                  </a:schemeClr>
                </a:solidFill>
              </a:ln>
              <a:solidFill>
                <a:schemeClr val="tx1"/>
              </a:solidFill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cxnSp macro="">
        <xdr:nvCxnSpPr>
          <xdr:cNvPr id="22" name="연결선: 구부러짐 21">
            <a:extLst>
              <a:ext uri="{FF2B5EF4-FFF2-40B4-BE49-F238E27FC236}">
                <a16:creationId xmlns:a16="http://schemas.microsoft.com/office/drawing/2014/main" id="{4AE9E7CA-6E22-BCF9-3380-E7D2C556A789}"/>
              </a:ext>
            </a:extLst>
          </xdr:cNvPr>
          <xdr:cNvCxnSpPr>
            <a:cxnSpLocks/>
            <a:stCxn id="20" idx="3"/>
            <a:endCxn id="21" idx="1"/>
          </xdr:cNvCxnSpPr>
        </xdr:nvCxnSpPr>
        <xdr:spPr>
          <a:xfrm>
            <a:off x="3190275" y="5204060"/>
            <a:ext cx="682605" cy="578908"/>
          </a:xfrm>
          <a:prstGeom prst="curvedConnector3">
            <a:avLst>
              <a:gd name="adj1" fmla="val 50000"/>
            </a:avLst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TextBox 38">
            <a:extLst>
              <a:ext uri="{FF2B5EF4-FFF2-40B4-BE49-F238E27FC236}">
                <a16:creationId xmlns:a16="http://schemas.microsoft.com/office/drawing/2014/main" id="{17E37AB4-8704-0D7D-F261-CAB89EE06BC0}"/>
              </a:ext>
            </a:extLst>
          </xdr:cNvPr>
          <xdr:cNvSpPr txBox="1"/>
        </xdr:nvSpPr>
        <xdr:spPr>
          <a:xfrm>
            <a:off x="4014410" y="5058698"/>
            <a:ext cx="3240359" cy="154513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9pPr>
          </a:lstStyle>
          <a:p>
            <a:pPr marL="342900" indent="-342900">
              <a:buAutoNum type="arabicPeriod"/>
            </a:pPr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ATB - BIAS EN : 1bit</a:t>
            </a:r>
          </a:p>
          <a:p>
            <a:pPr lvl="1"/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=&gt; 3bit control bit &lt;2:0&gt;  </a:t>
            </a:r>
          </a:p>
          <a:p>
            <a:pPr marL="342900" indent="-342900">
              <a:buAutoNum type="arabicPeriod"/>
            </a:pPr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ATB - BUCK : 2 bit</a:t>
            </a:r>
          </a:p>
          <a:p>
            <a:pPr lvl="1"/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=&gt; 2bit control bit &lt;1:0&gt; x 2</a:t>
            </a:r>
          </a:p>
          <a:p>
            <a:pPr marL="342900" indent="-342900">
              <a:buAutoNum type="arabicPeriod"/>
            </a:pPr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DTB - GPIO_1/2 : 2</a:t>
            </a:r>
            <a:r>
              <a:rPr lang="en-US" altLang="ko-KR" sz="1300" baseline="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 Channel</a:t>
            </a:r>
            <a:endParaRPr lang="en-US" altLang="ko-KR" sz="1300">
              <a:ln>
                <a:solidFill>
                  <a:srgbClr val="000000">
                    <a:alpha val="0"/>
                  </a:srgbClr>
                </a:solidFill>
              </a:ln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 lvl="1"/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=&gt; 2bit mux Select bit &lt;1:0&gt;</a:t>
            </a:r>
            <a:r>
              <a:rPr lang="en-US" altLang="ko-KR" sz="1300" baseline="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 x 2 </a:t>
            </a:r>
          </a:p>
          <a:p>
            <a:pPr lvl="1"/>
            <a:r>
              <a:rPr lang="en-US" altLang="ko-KR" sz="1300" baseline="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=&gt; 5bit mux bit &lt;4:0&gt; x 2</a:t>
            </a:r>
            <a:endParaRPr lang="en-US" altLang="ko-KR" sz="1300">
              <a:ln>
                <a:solidFill>
                  <a:srgbClr val="000000">
                    <a:alpha val="0"/>
                  </a:srgbClr>
                </a:solidFill>
              </a:ln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sp macro="" textlink="">
        <xdr:nvSpPr>
          <xdr:cNvPr id="24" name="TextBox 40">
            <a:extLst>
              <a:ext uri="{FF2B5EF4-FFF2-40B4-BE49-F238E27FC236}">
                <a16:creationId xmlns:a16="http://schemas.microsoft.com/office/drawing/2014/main" id="{A57995EF-BA34-8076-5E10-EACE39B1DBA4}"/>
              </a:ext>
            </a:extLst>
          </xdr:cNvPr>
          <xdr:cNvSpPr txBox="1"/>
        </xdr:nvSpPr>
        <xdr:spPr>
          <a:xfrm>
            <a:off x="4194430" y="771043"/>
            <a:ext cx="3240360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9pPr>
          </a:lstStyle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TM_PAD_MODE? Quick TM MODE? item</a:t>
            </a:r>
            <a:endParaRPr lang="ko-KR" altLang="en-US" sz="1300">
              <a:ln>
                <a:solidFill>
                  <a:srgbClr val="000000">
                    <a:alpha val="0"/>
                  </a:srgbClr>
                </a:solidFill>
              </a:ln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  <xdr:sp macro="" textlink="">
        <xdr:nvSpPr>
          <xdr:cNvPr id="25" name="TextBox 41">
            <a:extLst>
              <a:ext uri="{FF2B5EF4-FFF2-40B4-BE49-F238E27FC236}">
                <a16:creationId xmlns:a16="http://schemas.microsoft.com/office/drawing/2014/main" id="{1D633862-B473-7989-F038-3121BC9D7BB9}"/>
              </a:ext>
            </a:extLst>
          </xdr:cNvPr>
          <xdr:cNvSpPr txBox="1"/>
        </xdr:nvSpPr>
        <xdr:spPr>
          <a:xfrm>
            <a:off x="4766687" y="4576772"/>
            <a:ext cx="1764197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charset="-127"/>
                <a:ea typeface="굴림" charset="-127"/>
                <a:cs typeface="+mn-cs"/>
              </a:defRPr>
            </a:lvl9pPr>
          </a:lstStyle>
          <a:p>
            <a:r>
              <a:rPr lang="en-US" altLang="ko-KR" sz="1300">
                <a:ln>
                  <a:solidFill>
                    <a:srgbClr val="000000">
                      <a:alpha val="0"/>
                    </a:srgbClr>
                  </a:solidFill>
                </a:ln>
                <a:latin typeface="현대하모니 M" panose="02020603020101020101" pitchFamily="18" charset="-127"/>
                <a:ea typeface="현대하모니 M" panose="02020603020101020101" pitchFamily="18" charset="-127"/>
              </a:rPr>
              <a:t>TM_PW_MODE Item</a:t>
            </a:r>
            <a:endParaRPr lang="ko-KR" altLang="en-US" sz="1300">
              <a:ln>
                <a:solidFill>
                  <a:srgbClr val="000000">
                    <a:alpha val="0"/>
                  </a:srgbClr>
                </a:solidFill>
              </a:ln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</xdr:txBody>
      </xdr:sp>
    </xdr:grpSp>
    <xdr:clientData/>
  </xdr:twoCellAnchor>
  <xdr:twoCellAnchor>
    <xdr:from>
      <xdr:col>9</xdr:col>
      <xdr:colOff>2</xdr:colOff>
      <xdr:row>26</xdr:row>
      <xdr:rowOff>100855</xdr:rowOff>
    </xdr:from>
    <xdr:to>
      <xdr:col>10</xdr:col>
      <xdr:colOff>1311090</xdr:colOff>
      <xdr:row>29</xdr:row>
      <xdr:rowOff>56031</xdr:rowOff>
    </xdr:to>
    <xdr:sp macro="" textlink="">
      <xdr:nvSpPr>
        <xdr:cNvPr id="26" name="곱하기 기호 25">
          <a:extLst>
            <a:ext uri="{FF2B5EF4-FFF2-40B4-BE49-F238E27FC236}">
              <a16:creationId xmlns:a16="http://schemas.microsoft.com/office/drawing/2014/main" id="{2FE584F6-1F31-48E4-A5F7-4FE74ECCB32F}"/>
            </a:ext>
          </a:extLst>
        </xdr:cNvPr>
        <xdr:cNvSpPr/>
      </xdr:nvSpPr>
      <xdr:spPr>
        <a:xfrm>
          <a:off x="7591427" y="15017005"/>
          <a:ext cx="3177988" cy="583826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5</xdr:row>
      <xdr:rowOff>1247775</xdr:rowOff>
    </xdr:from>
    <xdr:to>
      <xdr:col>7</xdr:col>
      <xdr:colOff>295275</xdr:colOff>
      <xdr:row>6</xdr:row>
      <xdr:rowOff>2371725</xdr:rowOff>
    </xdr:to>
    <xdr:pic>
      <xdr:nvPicPr>
        <xdr:cNvPr id="3" name="그림 8" descr="image00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2924175"/>
          <a:ext cx="718185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38099</xdr:colOff>
      <xdr:row>10</xdr:row>
      <xdr:rowOff>114300</xdr:rowOff>
    </xdr:from>
    <xdr:to>
      <xdr:col>2</xdr:col>
      <xdr:colOff>4038600</xdr:colOff>
      <xdr:row>10</xdr:row>
      <xdr:rowOff>1831181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956" t="32385" r="28605" b="47994"/>
        <a:stretch/>
      </xdr:blipFill>
      <xdr:spPr>
        <a:xfrm>
          <a:off x="1409699" y="6057900"/>
          <a:ext cx="4000501" cy="1716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F58"/>
  <sheetViews>
    <sheetView zoomScaleNormal="100" workbookViewId="0">
      <selection activeCell="E25" sqref="E25"/>
    </sheetView>
  </sheetViews>
  <sheetFormatPr defaultColWidth="9" defaultRowHeight="13.5" x14ac:dyDescent="0.3"/>
  <cols>
    <col min="1" max="1" width="9" style="26"/>
    <col min="2" max="2" width="11.625" style="29" customWidth="1"/>
    <col min="3" max="3" width="12" style="35" customWidth="1"/>
    <col min="4" max="4" width="13.625" style="32" customWidth="1"/>
    <col min="5" max="5" width="18.625" style="39" customWidth="1"/>
    <col min="6" max="6" width="56.625" style="42" customWidth="1"/>
    <col min="7" max="16384" width="9" style="26"/>
  </cols>
  <sheetData>
    <row r="2" spans="2:6" ht="27" x14ac:dyDescent="0.3">
      <c r="B2" s="27" t="s">
        <v>0</v>
      </c>
      <c r="C2" s="33" t="s">
        <v>1</v>
      </c>
      <c r="D2" s="30" t="s">
        <v>2</v>
      </c>
      <c r="E2" s="37" t="s">
        <v>3</v>
      </c>
      <c r="F2" s="37" t="s">
        <v>4</v>
      </c>
    </row>
    <row r="3" spans="2:6" x14ac:dyDescent="0.3">
      <c r="B3" s="28">
        <v>45854</v>
      </c>
      <c r="C3" s="34" t="s">
        <v>5</v>
      </c>
      <c r="D3" s="31" t="s">
        <v>6</v>
      </c>
      <c r="E3" s="38" t="s">
        <v>7</v>
      </c>
      <c r="F3" s="40" t="s">
        <v>8</v>
      </c>
    </row>
    <row r="4" spans="2:6" x14ac:dyDescent="0.3">
      <c r="B4" s="28">
        <v>45855</v>
      </c>
      <c r="C4" s="34" t="s">
        <v>9</v>
      </c>
      <c r="D4" s="31" t="s">
        <v>10</v>
      </c>
      <c r="E4" s="38" t="s">
        <v>11</v>
      </c>
      <c r="F4" s="40" t="s">
        <v>12</v>
      </c>
    </row>
    <row r="5" spans="2:6" ht="81" x14ac:dyDescent="0.3">
      <c r="B5" s="28">
        <v>45856</v>
      </c>
      <c r="C5" s="34" t="s">
        <v>13</v>
      </c>
      <c r="D5" s="31" t="s">
        <v>14</v>
      </c>
      <c r="E5" s="38" t="s">
        <v>578</v>
      </c>
      <c r="F5" s="40" t="s">
        <v>579</v>
      </c>
    </row>
    <row r="6" spans="2:6" ht="54" x14ac:dyDescent="0.3">
      <c r="B6" s="28">
        <v>45860</v>
      </c>
      <c r="C6" s="34" t="s">
        <v>596</v>
      </c>
      <c r="D6" s="31" t="s">
        <v>14</v>
      </c>
      <c r="E6" s="38" t="s">
        <v>597</v>
      </c>
      <c r="F6" s="40" t="s">
        <v>598</v>
      </c>
    </row>
    <row r="7" spans="2:6" ht="54" x14ac:dyDescent="0.3">
      <c r="B7" s="28">
        <v>45924</v>
      </c>
      <c r="C7" s="34" t="s">
        <v>626</v>
      </c>
      <c r="D7" s="38" t="s">
        <v>782</v>
      </c>
      <c r="E7" s="38" t="s">
        <v>783</v>
      </c>
      <c r="F7" s="40" t="s">
        <v>784</v>
      </c>
    </row>
    <row r="8" spans="2:6" ht="40.5" x14ac:dyDescent="0.3">
      <c r="B8" s="28">
        <v>45957</v>
      </c>
      <c r="C8" s="34" t="s">
        <v>1013</v>
      </c>
      <c r="D8" s="38" t="s">
        <v>1014</v>
      </c>
      <c r="E8" s="38" t="s">
        <v>1015</v>
      </c>
      <c r="F8" s="40" t="s">
        <v>1016</v>
      </c>
    </row>
    <row r="9" spans="2:6" ht="54" x14ac:dyDescent="0.3">
      <c r="B9" s="28">
        <v>45973</v>
      </c>
      <c r="C9" s="34" t="s">
        <v>1018</v>
      </c>
      <c r="D9" s="38" t="s">
        <v>1019</v>
      </c>
      <c r="E9" s="38" t="s">
        <v>773</v>
      </c>
      <c r="F9" s="40" t="s">
        <v>1020</v>
      </c>
    </row>
    <row r="10" spans="2:6" ht="40.5" x14ac:dyDescent="0.3">
      <c r="B10" s="28">
        <v>45975</v>
      </c>
      <c r="C10" s="34" t="s">
        <v>1029</v>
      </c>
      <c r="D10" s="31" t="s">
        <v>14</v>
      </c>
      <c r="E10" s="38" t="s">
        <v>1030</v>
      </c>
      <c r="F10" s="89" t="s">
        <v>1174</v>
      </c>
    </row>
    <row r="11" spans="2:6" ht="67.5" x14ac:dyDescent="0.3">
      <c r="B11" s="28">
        <v>45980</v>
      </c>
      <c r="C11" s="34" t="s">
        <v>1147</v>
      </c>
      <c r="D11" s="31" t="s">
        <v>1148</v>
      </c>
      <c r="E11" s="38" t="s">
        <v>1149</v>
      </c>
      <c r="F11" s="89" t="s">
        <v>1175</v>
      </c>
    </row>
    <row r="12" spans="2:6" ht="27" x14ac:dyDescent="0.3">
      <c r="B12" s="28">
        <v>45980</v>
      </c>
      <c r="C12" s="34" t="s">
        <v>1154</v>
      </c>
      <c r="D12" s="31" t="s">
        <v>1148</v>
      </c>
      <c r="E12" s="38" t="s">
        <v>1155</v>
      </c>
      <c r="F12" s="89" t="s">
        <v>1176</v>
      </c>
    </row>
    <row r="13" spans="2:6" ht="40.5" x14ac:dyDescent="0.3">
      <c r="B13" s="28">
        <v>45981</v>
      </c>
      <c r="C13" s="34" t="s">
        <v>1156</v>
      </c>
      <c r="D13" s="31" t="s">
        <v>1122</v>
      </c>
      <c r="E13" s="38" t="s">
        <v>1123</v>
      </c>
      <c r="F13" s="89" t="s">
        <v>1177</v>
      </c>
    </row>
    <row r="14" spans="2:6" ht="94.5" x14ac:dyDescent="0.3">
      <c r="B14" s="28">
        <v>45982</v>
      </c>
      <c r="C14" s="34" t="s">
        <v>1173</v>
      </c>
      <c r="D14" s="31" t="s">
        <v>1148</v>
      </c>
      <c r="E14" s="38" t="s">
        <v>1178</v>
      </c>
      <c r="F14" s="40" t="s">
        <v>1191</v>
      </c>
    </row>
    <row r="15" spans="2:6" ht="27" x14ac:dyDescent="0.3">
      <c r="B15" s="28">
        <v>45987</v>
      </c>
      <c r="C15" s="34" t="s">
        <v>1192</v>
      </c>
      <c r="D15" s="38" t="s">
        <v>1214</v>
      </c>
      <c r="E15" s="38" t="s">
        <v>1215</v>
      </c>
      <c r="F15" s="40" t="s">
        <v>1216</v>
      </c>
    </row>
    <row r="16" spans="2:6" x14ac:dyDescent="0.3">
      <c r="B16" s="28">
        <v>45987</v>
      </c>
      <c r="C16" s="34" t="s">
        <v>1197</v>
      </c>
      <c r="D16" s="31" t="s">
        <v>1198</v>
      </c>
      <c r="E16" s="38" t="s">
        <v>1026</v>
      </c>
      <c r="F16" s="40" t="s">
        <v>1202</v>
      </c>
    </row>
    <row r="17" spans="2:6" ht="40.5" x14ac:dyDescent="0.3">
      <c r="B17" s="28">
        <v>45988</v>
      </c>
      <c r="C17" s="34" t="s">
        <v>1201</v>
      </c>
      <c r="D17" s="38" t="s">
        <v>1214</v>
      </c>
      <c r="E17" s="38" t="s">
        <v>1205</v>
      </c>
      <c r="F17" s="40" t="s">
        <v>1206</v>
      </c>
    </row>
    <row r="18" spans="2:6" ht="40.5" x14ac:dyDescent="0.3">
      <c r="B18" s="28">
        <v>45989</v>
      </c>
      <c r="C18" s="34" t="s">
        <v>1207</v>
      </c>
      <c r="D18" s="31" t="s">
        <v>1200</v>
      </c>
      <c r="E18" s="38" t="s">
        <v>1030</v>
      </c>
      <c r="F18" s="40" t="s">
        <v>1209</v>
      </c>
    </row>
    <row r="19" spans="2:6" x14ac:dyDescent="0.3">
      <c r="B19" s="28">
        <v>45993</v>
      </c>
      <c r="C19" s="34" t="s">
        <v>1212</v>
      </c>
      <c r="D19" s="31" t="s">
        <v>1198</v>
      </c>
      <c r="E19" s="38" t="s">
        <v>1030</v>
      </c>
      <c r="F19" s="40" t="s">
        <v>1213</v>
      </c>
    </row>
    <row r="20" spans="2:6" x14ac:dyDescent="0.3">
      <c r="B20" s="28">
        <v>46003</v>
      </c>
      <c r="C20" s="34" t="s">
        <v>1226</v>
      </c>
      <c r="D20" s="31" t="s">
        <v>1198</v>
      </c>
      <c r="E20" s="38" t="s">
        <v>1030</v>
      </c>
      <c r="F20" s="40" t="s">
        <v>1224</v>
      </c>
    </row>
    <row r="21" spans="2:6" x14ac:dyDescent="0.3">
      <c r="B21" s="28"/>
      <c r="C21" s="34"/>
      <c r="D21" s="31"/>
      <c r="E21" s="38"/>
      <c r="F21" s="40"/>
    </row>
    <row r="22" spans="2:6" x14ac:dyDescent="0.3">
      <c r="B22" s="28"/>
      <c r="C22" s="34"/>
      <c r="D22" s="31"/>
      <c r="E22" s="38"/>
      <c r="F22" s="40"/>
    </row>
    <row r="23" spans="2:6" x14ac:dyDescent="0.3">
      <c r="B23" s="28"/>
      <c r="C23" s="34"/>
      <c r="D23" s="31"/>
      <c r="E23" s="38"/>
      <c r="F23" s="40"/>
    </row>
    <row r="24" spans="2:6" x14ac:dyDescent="0.3">
      <c r="B24" s="28"/>
      <c r="C24" s="34"/>
      <c r="D24" s="31"/>
      <c r="E24" s="38"/>
      <c r="F24" s="40"/>
    </row>
    <row r="25" spans="2:6" x14ac:dyDescent="0.3">
      <c r="B25" s="28"/>
      <c r="C25" s="34"/>
      <c r="D25" s="31"/>
      <c r="E25" s="38"/>
      <c r="F25" s="40"/>
    </row>
    <row r="26" spans="2:6" x14ac:dyDescent="0.3">
      <c r="B26" s="28"/>
      <c r="C26" s="34"/>
      <c r="D26" s="31"/>
      <c r="E26" s="38"/>
      <c r="F26" s="40"/>
    </row>
    <row r="27" spans="2:6" x14ac:dyDescent="0.3">
      <c r="B27" s="28"/>
      <c r="C27" s="34"/>
      <c r="D27" s="31"/>
      <c r="E27" s="38"/>
      <c r="F27" s="40"/>
    </row>
    <row r="28" spans="2:6" x14ac:dyDescent="0.3">
      <c r="B28" s="28"/>
      <c r="C28" s="34"/>
      <c r="D28" s="31"/>
      <c r="E28" s="38"/>
      <c r="F28" s="40"/>
    </row>
    <row r="29" spans="2:6" x14ac:dyDescent="0.3">
      <c r="B29" s="28"/>
      <c r="C29" s="34"/>
      <c r="D29" s="31"/>
      <c r="E29" s="38"/>
      <c r="F29" s="40"/>
    </row>
    <row r="30" spans="2:6" x14ac:dyDescent="0.3">
      <c r="B30" s="28"/>
      <c r="C30" s="34"/>
      <c r="D30" s="31"/>
      <c r="E30" s="38"/>
      <c r="F30" s="40"/>
    </row>
    <row r="31" spans="2:6" x14ac:dyDescent="0.3">
      <c r="B31" s="28"/>
      <c r="C31" s="34"/>
      <c r="D31" s="31"/>
      <c r="E31" s="38"/>
      <c r="F31" s="40"/>
    </row>
    <row r="32" spans="2:6" x14ac:dyDescent="0.3">
      <c r="B32" s="28"/>
      <c r="C32" s="34"/>
      <c r="D32" s="31"/>
      <c r="E32" s="38"/>
      <c r="F32" s="40"/>
    </row>
    <row r="33" spans="2:6" x14ac:dyDescent="0.3">
      <c r="B33" s="28"/>
      <c r="C33" s="34"/>
      <c r="D33" s="31"/>
      <c r="E33" s="38"/>
      <c r="F33" s="40"/>
    </row>
    <row r="34" spans="2:6" x14ac:dyDescent="0.3">
      <c r="B34" s="28"/>
      <c r="C34" s="34"/>
      <c r="D34" s="31"/>
      <c r="E34" s="38"/>
      <c r="F34" s="40"/>
    </row>
    <row r="35" spans="2:6" x14ac:dyDescent="0.3">
      <c r="B35" s="28"/>
      <c r="C35" s="34"/>
      <c r="D35" s="31"/>
      <c r="E35" s="38"/>
      <c r="F35" s="40"/>
    </row>
    <row r="36" spans="2:6" x14ac:dyDescent="0.3">
      <c r="B36" s="28"/>
      <c r="C36" s="34"/>
      <c r="D36" s="31"/>
      <c r="E36" s="38"/>
      <c r="F36" s="40"/>
    </row>
    <row r="37" spans="2:6" x14ac:dyDescent="0.3">
      <c r="B37" s="28"/>
      <c r="C37" s="34"/>
      <c r="D37" s="31"/>
      <c r="E37" s="38"/>
      <c r="F37" s="40"/>
    </row>
    <row r="38" spans="2:6" x14ac:dyDescent="0.3">
      <c r="B38" s="28"/>
      <c r="C38" s="34"/>
      <c r="D38" s="31"/>
      <c r="E38" s="38"/>
      <c r="F38" s="40"/>
    </row>
    <row r="39" spans="2:6" x14ac:dyDescent="0.3">
      <c r="B39" s="28"/>
      <c r="C39" s="34"/>
      <c r="D39" s="31"/>
      <c r="E39" s="38"/>
      <c r="F39" s="40"/>
    </row>
    <row r="40" spans="2:6" x14ac:dyDescent="0.3">
      <c r="B40" s="28"/>
      <c r="C40" s="34"/>
      <c r="D40" s="31"/>
      <c r="E40" s="38"/>
      <c r="F40" s="40"/>
    </row>
    <row r="41" spans="2:6" x14ac:dyDescent="0.3">
      <c r="B41" s="28"/>
      <c r="C41" s="34"/>
      <c r="D41" s="31"/>
      <c r="E41" s="38"/>
      <c r="F41" s="40"/>
    </row>
    <row r="42" spans="2:6" x14ac:dyDescent="0.3">
      <c r="B42" s="28"/>
      <c r="C42" s="34"/>
      <c r="D42" s="31"/>
      <c r="E42" s="38"/>
      <c r="F42" s="40"/>
    </row>
    <row r="43" spans="2:6" x14ac:dyDescent="0.3">
      <c r="B43" s="28"/>
      <c r="C43" s="34"/>
      <c r="D43" s="31"/>
      <c r="E43" s="38"/>
      <c r="F43" s="40"/>
    </row>
    <row r="44" spans="2:6" x14ac:dyDescent="0.3">
      <c r="B44" s="28"/>
      <c r="C44" s="34"/>
      <c r="D44" s="31"/>
      <c r="E44" s="38"/>
      <c r="F44" s="40"/>
    </row>
    <row r="45" spans="2:6" x14ac:dyDescent="0.3">
      <c r="B45" s="28"/>
      <c r="C45" s="34"/>
      <c r="D45" s="31"/>
      <c r="E45" s="38"/>
      <c r="F45" s="40"/>
    </row>
    <row r="46" spans="2:6" x14ac:dyDescent="0.3">
      <c r="B46" s="28"/>
      <c r="C46" s="34"/>
      <c r="D46" s="31"/>
      <c r="E46" s="38"/>
      <c r="F46" s="40"/>
    </row>
    <row r="47" spans="2:6" x14ac:dyDescent="0.3">
      <c r="B47" s="28"/>
      <c r="C47" s="34"/>
      <c r="D47" s="31"/>
      <c r="E47" s="38"/>
      <c r="F47" s="40"/>
    </row>
    <row r="48" spans="2:6" x14ac:dyDescent="0.3">
      <c r="B48" s="28"/>
      <c r="C48" s="34"/>
      <c r="D48" s="31"/>
      <c r="E48" s="38"/>
      <c r="F48" s="40"/>
    </row>
    <row r="49" spans="2:6" x14ac:dyDescent="0.3">
      <c r="B49" s="28"/>
      <c r="C49" s="34"/>
      <c r="D49" s="31"/>
      <c r="E49" s="38"/>
      <c r="F49" s="40"/>
    </row>
    <row r="50" spans="2:6" x14ac:dyDescent="0.3">
      <c r="B50" s="28"/>
      <c r="C50" s="34"/>
      <c r="D50" s="31"/>
      <c r="E50" s="38"/>
      <c r="F50" s="40"/>
    </row>
    <row r="51" spans="2:6" x14ac:dyDescent="0.3">
      <c r="B51" s="28"/>
      <c r="C51" s="34"/>
      <c r="D51" s="31"/>
      <c r="E51" s="38"/>
      <c r="F51" s="40"/>
    </row>
    <row r="52" spans="2:6" x14ac:dyDescent="0.3">
      <c r="B52" s="28"/>
      <c r="C52" s="34"/>
      <c r="D52" s="31"/>
      <c r="E52" s="38"/>
      <c r="F52" s="40"/>
    </row>
    <row r="53" spans="2:6" x14ac:dyDescent="0.3">
      <c r="B53" s="28"/>
      <c r="C53" s="34"/>
      <c r="D53" s="31"/>
      <c r="E53" s="38"/>
      <c r="F53" s="40"/>
    </row>
    <row r="54" spans="2:6" x14ac:dyDescent="0.3">
      <c r="B54" s="28"/>
      <c r="C54" s="34"/>
      <c r="D54" s="31"/>
      <c r="E54" s="38"/>
      <c r="F54" s="40"/>
    </row>
    <row r="55" spans="2:6" x14ac:dyDescent="0.3">
      <c r="B55" s="28"/>
      <c r="C55" s="34"/>
      <c r="D55" s="31"/>
      <c r="E55" s="38"/>
      <c r="F55" s="40"/>
    </row>
    <row r="56" spans="2:6" x14ac:dyDescent="0.3">
      <c r="B56" s="28"/>
      <c r="C56" s="34"/>
      <c r="D56" s="31"/>
      <c r="E56" s="38"/>
      <c r="F56" s="40"/>
    </row>
    <row r="57" spans="2:6" x14ac:dyDescent="0.3">
      <c r="B57" s="28"/>
      <c r="C57" s="34"/>
      <c r="D57" s="31"/>
      <c r="E57" s="38"/>
      <c r="F57" s="40"/>
    </row>
    <row r="58" spans="2:6" x14ac:dyDescent="0.3">
      <c r="B58" s="28"/>
      <c r="C58" s="34"/>
      <c r="D58" s="31"/>
      <c r="E58" s="38"/>
      <c r="F58" s="40"/>
    </row>
  </sheetData>
  <phoneticPr fontId="1" type="noConversion"/>
  <pageMargins left="0.7" right="0.7" top="0.75" bottom="0.75" header="0.3" footer="0.3"/>
  <pageSetup paperSize="9" scale="65" orientation="portrait" r:id="rId1"/>
  <headerFooter>
    <oddHeader>&amp;C&amp;G</oddHeader>
    <oddFooter xml:space="preserve">&amp;C_x000D_&amp;1#&amp;"맑은 고딕"&amp;6&amp;K737373 조범철( CHO BEOM CHEOL ) 전원구동반도체팀 / 1628629@mobis.com / 본 문서는 현대모비스의 대외비 정보자산이므로 무단 전재 및 복제할 수 없으며, 위반 시 당사 사규 및 관련 법규에 의해 제재될 수 있습니다. </oddFooter>
  </headerFooter>
  <ignoredErrors>
    <ignoredError sqref="C7:C8 C3" numberStoredAsText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12FE-6985-474E-BC5C-74F0FEF494A7}">
  <dimension ref="B2:AA73"/>
  <sheetViews>
    <sheetView zoomScaleNormal="100" workbookViewId="0">
      <selection activeCell="AI14" sqref="AI14"/>
    </sheetView>
  </sheetViews>
  <sheetFormatPr defaultColWidth="8.625" defaultRowHeight="15" customHeight="1" x14ac:dyDescent="0.3"/>
  <cols>
    <col min="1" max="1" width="8.625" style="48"/>
    <col min="2" max="2" width="20.625" style="48" bestFit="1" customWidth="1"/>
    <col min="3" max="3" width="12.625" style="53" customWidth="1"/>
    <col min="4" max="4" width="7.625" style="54" bestFit="1" customWidth="1"/>
    <col min="5" max="6" width="8.625" style="48" customWidth="1"/>
    <col min="7" max="7" width="11.625" style="48" hidden="1" customWidth="1"/>
    <col min="8" max="8" width="7.625" style="48" hidden="1" customWidth="1"/>
    <col min="9" max="9" width="13" style="48" hidden="1" customWidth="1"/>
    <col min="10" max="17" width="3.625" style="48" hidden="1" customWidth="1"/>
    <col min="18" max="18" width="11.125" style="48" hidden="1" customWidth="1"/>
    <col min="19" max="26" width="3.625" style="48" hidden="1" customWidth="1"/>
    <col min="27" max="27" width="9" style="48" hidden="1" customWidth="1"/>
    <col min="28" max="16384" width="8.625" style="48"/>
  </cols>
  <sheetData>
    <row r="2" spans="2:27" ht="15" customHeight="1" x14ac:dyDescent="0.3">
      <c r="B2" s="144" t="s">
        <v>15</v>
      </c>
      <c r="C2" s="49" t="s">
        <v>15</v>
      </c>
      <c r="D2" s="144" t="s">
        <v>16</v>
      </c>
      <c r="J2" s="48">
        <v>7</v>
      </c>
      <c r="K2" s="48">
        <v>6</v>
      </c>
      <c r="L2" s="48">
        <v>5</v>
      </c>
      <c r="M2" s="48">
        <v>4</v>
      </c>
      <c r="N2" s="48">
        <v>3</v>
      </c>
      <c r="O2" s="48">
        <v>2</v>
      </c>
      <c r="P2" s="48">
        <v>1</v>
      </c>
      <c r="Q2" s="48">
        <v>0</v>
      </c>
      <c r="S2" s="48">
        <v>7</v>
      </c>
      <c r="T2" s="48">
        <v>6</v>
      </c>
      <c r="U2" s="48">
        <v>5</v>
      </c>
      <c r="V2" s="48">
        <v>4</v>
      </c>
      <c r="W2" s="48">
        <v>3</v>
      </c>
      <c r="X2" s="48">
        <v>2</v>
      </c>
      <c r="Y2" s="48">
        <v>1</v>
      </c>
      <c r="Z2" s="48">
        <v>0</v>
      </c>
    </row>
    <row r="3" spans="2:27" ht="12" x14ac:dyDescent="0.3">
      <c r="B3" s="144"/>
      <c r="C3" s="49" t="s">
        <v>17</v>
      </c>
      <c r="D3" s="144"/>
      <c r="G3" s="50" t="s">
        <v>18</v>
      </c>
      <c r="H3" s="50"/>
      <c r="I3" s="50"/>
    </row>
    <row r="4" spans="2:27" ht="15" customHeight="1" x14ac:dyDescent="0.3">
      <c r="B4" s="47" t="s">
        <v>19</v>
      </c>
      <c r="C4" s="47" t="str">
        <f>_xlfn.CONCAT("0x",BIN2HEX(_xlfn.CONCAT(J4,K4,L4,M4,N4,O4,P4,Q4,),2))</f>
        <v>0xF0</v>
      </c>
      <c r="D4" s="52">
        <v>0</v>
      </c>
      <c r="G4" s="50" t="s">
        <v>20</v>
      </c>
      <c r="H4" s="50" t="s">
        <v>21</v>
      </c>
      <c r="I4" s="50" t="s">
        <v>22</v>
      </c>
      <c r="J4" s="48">
        <v>1</v>
      </c>
      <c r="K4" s="48">
        <v>1</v>
      </c>
      <c r="L4" s="48">
        <v>1</v>
      </c>
      <c r="M4" s="48">
        <v>1</v>
      </c>
      <c r="N4" s="48">
        <v>0</v>
      </c>
      <c r="O4" s="48">
        <v>0</v>
      </c>
      <c r="P4" s="48">
        <v>0</v>
      </c>
      <c r="Q4" s="48">
        <v>0</v>
      </c>
      <c r="R4" s="48" t="str">
        <f t="shared" ref="R4:R11" si="0">BIN2HEX(_xlfn.CONCAT(L4,M4,N4,O4,P4,Q4),2)</f>
        <v>30</v>
      </c>
      <c r="S4" s="48">
        <v>1</v>
      </c>
      <c r="T4" s="48">
        <v>1</v>
      </c>
      <c r="U4" s="48">
        <v>1</v>
      </c>
      <c r="V4" s="48">
        <v>1</v>
      </c>
      <c r="W4" s="48">
        <v>0</v>
      </c>
      <c r="X4" s="48">
        <v>0</v>
      </c>
      <c r="Y4" s="48">
        <v>1</v>
      </c>
      <c r="Z4" s="48">
        <v>1</v>
      </c>
      <c r="AA4" s="48" t="str">
        <f t="shared" ref="AA4:AA41" si="1">BIN2HEX(_xlfn.CONCAT(U4,V4,W4,X4,Y4,Z4),2)</f>
        <v>33</v>
      </c>
    </row>
    <row r="5" spans="2:27" ht="15" customHeight="1" x14ac:dyDescent="0.3">
      <c r="B5" s="47" t="s">
        <v>23</v>
      </c>
      <c r="C5" s="47" t="str">
        <f t="shared" ref="C5:C73" si="2">_xlfn.CONCAT("0x",BIN2HEX(_xlfn.CONCAT(J5,K5,L5,M5,N5,O5,P5,Q5,),2))</f>
        <v>0xF2</v>
      </c>
      <c r="D5" s="52">
        <v>0</v>
      </c>
      <c r="G5" s="50"/>
      <c r="H5" s="50" t="s">
        <v>24</v>
      </c>
      <c r="I5" s="50" t="s">
        <v>25</v>
      </c>
      <c r="J5" s="48">
        <v>1</v>
      </c>
      <c r="K5" s="48">
        <v>1</v>
      </c>
      <c r="L5" s="48">
        <v>1</v>
      </c>
      <c r="M5" s="48">
        <v>1</v>
      </c>
      <c r="N5" s="48">
        <v>0</v>
      </c>
      <c r="O5" s="48">
        <v>0</v>
      </c>
      <c r="P5" s="48">
        <v>1</v>
      </c>
      <c r="Q5" s="48">
        <v>0</v>
      </c>
      <c r="R5" s="48" t="str">
        <f t="shared" si="0"/>
        <v>32</v>
      </c>
      <c r="S5" s="48">
        <v>1</v>
      </c>
      <c r="T5" s="48">
        <v>1</v>
      </c>
      <c r="U5" s="48">
        <v>1</v>
      </c>
      <c r="V5" s="48">
        <v>1</v>
      </c>
      <c r="W5" s="48">
        <v>0</v>
      </c>
      <c r="X5" s="48">
        <v>1</v>
      </c>
      <c r="Y5" s="48">
        <v>0</v>
      </c>
      <c r="Z5" s="48">
        <v>0</v>
      </c>
      <c r="AA5" s="48" t="str">
        <f t="shared" si="1"/>
        <v>34</v>
      </c>
    </row>
    <row r="6" spans="2:27" ht="15" customHeight="1" x14ac:dyDescent="0.3">
      <c r="B6" s="47" t="s">
        <v>26</v>
      </c>
      <c r="C6" s="47" t="str">
        <f t="shared" si="2"/>
        <v>0xF7</v>
      </c>
      <c r="D6" s="52">
        <v>0</v>
      </c>
      <c r="G6" s="50"/>
      <c r="H6" s="50"/>
      <c r="I6" s="50"/>
      <c r="J6" s="48">
        <v>1</v>
      </c>
      <c r="K6" s="48">
        <v>1</v>
      </c>
      <c r="L6" s="48">
        <v>1</v>
      </c>
      <c r="M6" s="48">
        <v>1</v>
      </c>
      <c r="N6" s="48">
        <v>0</v>
      </c>
      <c r="O6" s="48">
        <v>1</v>
      </c>
      <c r="P6" s="48">
        <v>1</v>
      </c>
      <c r="Q6" s="48">
        <v>1</v>
      </c>
      <c r="R6" s="48" t="str">
        <f t="shared" si="0"/>
        <v>37</v>
      </c>
      <c r="S6" s="48">
        <v>1</v>
      </c>
      <c r="T6" s="48">
        <v>1</v>
      </c>
      <c r="U6" s="48">
        <v>1</v>
      </c>
      <c r="V6" s="48">
        <v>1</v>
      </c>
      <c r="W6" s="48">
        <v>1</v>
      </c>
      <c r="X6" s="48">
        <v>0</v>
      </c>
      <c r="Y6" s="48">
        <v>0</v>
      </c>
      <c r="Z6" s="48">
        <v>0</v>
      </c>
      <c r="AA6" s="48" t="str">
        <f t="shared" si="1"/>
        <v>38</v>
      </c>
    </row>
    <row r="7" spans="2:27" ht="15" customHeight="1" x14ac:dyDescent="0.3">
      <c r="B7" s="47" t="s">
        <v>27</v>
      </c>
      <c r="C7" s="47" t="str">
        <f t="shared" si="2"/>
        <v>0xE7</v>
      </c>
      <c r="D7" s="52">
        <v>12</v>
      </c>
      <c r="G7" s="50" t="s">
        <v>28</v>
      </c>
      <c r="H7" s="145" t="s">
        <v>29</v>
      </c>
      <c r="I7" s="145"/>
      <c r="J7" s="48">
        <v>1</v>
      </c>
      <c r="K7" s="48">
        <v>1</v>
      </c>
      <c r="L7" s="48">
        <v>1</v>
      </c>
      <c r="M7" s="48">
        <v>0</v>
      </c>
      <c r="N7" s="48">
        <v>0</v>
      </c>
      <c r="O7" s="48">
        <v>1</v>
      </c>
      <c r="P7" s="48">
        <v>1</v>
      </c>
      <c r="Q7" s="48">
        <v>1</v>
      </c>
      <c r="R7" s="48" t="str">
        <f t="shared" si="0"/>
        <v>27</v>
      </c>
      <c r="S7" s="48">
        <v>1</v>
      </c>
      <c r="T7" s="48">
        <v>1</v>
      </c>
      <c r="U7" s="48">
        <v>1</v>
      </c>
      <c r="V7" s="48">
        <v>1</v>
      </c>
      <c r="W7" s="48">
        <v>1</v>
      </c>
      <c r="X7" s="48">
        <v>1</v>
      </c>
      <c r="Y7" s="48">
        <v>0</v>
      </c>
      <c r="Z7" s="48">
        <v>0</v>
      </c>
      <c r="AA7" s="48" t="str">
        <f t="shared" si="1"/>
        <v>3C</v>
      </c>
    </row>
    <row r="8" spans="2:27" ht="15" customHeight="1" x14ac:dyDescent="0.3">
      <c r="B8" s="47" t="s">
        <v>30</v>
      </c>
      <c r="C8" s="47" t="str">
        <f t="shared" si="2"/>
        <v>0xE8</v>
      </c>
      <c r="D8" s="52">
        <v>12</v>
      </c>
      <c r="J8" s="48">
        <v>1</v>
      </c>
      <c r="K8" s="48">
        <v>1</v>
      </c>
      <c r="L8" s="48">
        <v>1</v>
      </c>
      <c r="M8" s="48">
        <v>0</v>
      </c>
      <c r="N8" s="48">
        <v>1</v>
      </c>
      <c r="O8" s="48">
        <v>0</v>
      </c>
      <c r="P8" s="48">
        <v>0</v>
      </c>
      <c r="Q8" s="48">
        <v>0</v>
      </c>
      <c r="R8" s="48" t="str">
        <f t="shared" si="0"/>
        <v>28</v>
      </c>
      <c r="S8" s="48">
        <v>1</v>
      </c>
      <c r="T8" s="48">
        <v>1</v>
      </c>
      <c r="U8" s="48">
        <v>0</v>
      </c>
      <c r="V8" s="48">
        <v>0</v>
      </c>
      <c r="W8" s="48">
        <v>0</v>
      </c>
      <c r="X8" s="48">
        <v>1</v>
      </c>
      <c r="Y8" s="48">
        <v>1</v>
      </c>
      <c r="Z8" s="48">
        <v>0</v>
      </c>
      <c r="AA8" s="48" t="str">
        <f t="shared" si="1"/>
        <v>06</v>
      </c>
    </row>
    <row r="9" spans="2:27" ht="15" customHeight="1" x14ac:dyDescent="0.3">
      <c r="B9" s="47" t="s">
        <v>31</v>
      </c>
      <c r="C9" s="47" t="str">
        <f t="shared" si="2"/>
        <v>0xE9</v>
      </c>
      <c r="D9" s="52">
        <v>12</v>
      </c>
      <c r="J9" s="48">
        <v>1</v>
      </c>
      <c r="K9" s="48">
        <v>1</v>
      </c>
      <c r="L9" s="48">
        <v>1</v>
      </c>
      <c r="M9" s="48">
        <v>0</v>
      </c>
      <c r="N9" s="48">
        <v>1</v>
      </c>
      <c r="O9" s="48">
        <v>0</v>
      </c>
      <c r="P9" s="48">
        <v>0</v>
      </c>
      <c r="Q9" s="48">
        <v>1</v>
      </c>
      <c r="R9" s="48" t="str">
        <f t="shared" si="0"/>
        <v>29</v>
      </c>
      <c r="S9" s="48">
        <v>1</v>
      </c>
      <c r="T9" s="48">
        <v>1</v>
      </c>
      <c r="U9" s="48">
        <v>0</v>
      </c>
      <c r="V9" s="48">
        <v>0</v>
      </c>
      <c r="W9" s="48">
        <v>0</v>
      </c>
      <c r="X9" s="48">
        <v>1</v>
      </c>
      <c r="Y9" s="48">
        <v>1</v>
      </c>
      <c r="Z9" s="48">
        <v>1</v>
      </c>
      <c r="AA9" s="48" t="str">
        <f t="shared" si="1"/>
        <v>07</v>
      </c>
    </row>
    <row r="10" spans="2:27" ht="15" customHeight="1" x14ac:dyDescent="0.3">
      <c r="B10" s="47" t="s">
        <v>778</v>
      </c>
      <c r="C10" s="47" t="str">
        <f>_xlfn.CONCAT("0x",BIN2HEX(_xlfn.CONCAT(J10,K10,L10,M10,N10,O10,P10,Q10,),2))</f>
        <v>0xEA</v>
      </c>
      <c r="D10" s="52">
        <v>12</v>
      </c>
      <c r="J10" s="48">
        <v>1</v>
      </c>
      <c r="K10" s="48">
        <v>1</v>
      </c>
      <c r="L10" s="48">
        <v>1</v>
      </c>
      <c r="M10" s="48">
        <v>0</v>
      </c>
      <c r="N10" s="48">
        <v>1</v>
      </c>
      <c r="O10" s="48">
        <v>0</v>
      </c>
      <c r="P10" s="48">
        <v>1</v>
      </c>
      <c r="Q10" s="48">
        <v>0</v>
      </c>
      <c r="R10" s="48" t="str">
        <f>BIN2HEX(_xlfn.CONCAT(L10,M10,N10,O10,P10,Q10),2)</f>
        <v>2A</v>
      </c>
      <c r="S10" s="48">
        <v>1</v>
      </c>
      <c r="T10" s="48">
        <v>1</v>
      </c>
      <c r="U10" s="48">
        <v>0</v>
      </c>
      <c r="V10" s="48">
        <v>0</v>
      </c>
      <c r="W10" s="48">
        <v>1</v>
      </c>
      <c r="X10" s="48">
        <v>0</v>
      </c>
      <c r="Y10" s="48">
        <v>0</v>
      </c>
      <c r="Z10" s="48">
        <v>0</v>
      </c>
      <c r="AA10" s="48" t="str">
        <f t="shared" si="1"/>
        <v>08</v>
      </c>
    </row>
    <row r="11" spans="2:27" ht="15" customHeight="1" x14ac:dyDescent="0.3">
      <c r="B11" s="88" t="s">
        <v>1021</v>
      </c>
      <c r="C11" s="47" t="str">
        <f t="shared" si="2"/>
        <v>0xEB</v>
      </c>
      <c r="D11" s="52">
        <v>12</v>
      </c>
      <c r="J11" s="48">
        <v>1</v>
      </c>
      <c r="K11" s="48">
        <v>1</v>
      </c>
      <c r="L11" s="48">
        <v>1</v>
      </c>
      <c r="M11" s="48">
        <v>0</v>
      </c>
      <c r="N11" s="48">
        <v>1</v>
      </c>
      <c r="O11" s="48">
        <v>0</v>
      </c>
      <c r="P11" s="48">
        <v>1</v>
      </c>
      <c r="Q11" s="48">
        <v>1</v>
      </c>
      <c r="R11" s="48" t="str">
        <f t="shared" si="0"/>
        <v>2B</v>
      </c>
      <c r="S11" s="48">
        <v>1</v>
      </c>
      <c r="T11" s="48">
        <v>1</v>
      </c>
      <c r="U11" s="48">
        <v>1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  <c r="AA11" s="48" t="str">
        <f t="shared" si="1"/>
        <v>20</v>
      </c>
    </row>
    <row r="12" spans="2:27" ht="15" customHeight="1" x14ac:dyDescent="0.3">
      <c r="B12" s="88" t="s">
        <v>834</v>
      </c>
      <c r="C12" s="47" t="s">
        <v>1157</v>
      </c>
      <c r="D12" s="52">
        <v>12</v>
      </c>
    </row>
    <row r="13" spans="2:27" ht="15" customHeight="1" x14ac:dyDescent="0.3">
      <c r="B13" s="88" t="s">
        <v>835</v>
      </c>
      <c r="C13" s="47" t="s">
        <v>1158</v>
      </c>
      <c r="D13" s="52">
        <v>12</v>
      </c>
    </row>
    <row r="14" spans="2:27" ht="15" customHeight="1" x14ac:dyDescent="0.3">
      <c r="B14" s="88" t="s">
        <v>836</v>
      </c>
      <c r="C14" s="47" t="s">
        <v>1159</v>
      </c>
      <c r="D14" s="52">
        <v>12</v>
      </c>
    </row>
    <row r="15" spans="2:27" ht="15" customHeight="1" x14ac:dyDescent="0.3">
      <c r="B15" s="88" t="s">
        <v>837</v>
      </c>
      <c r="C15" s="47" t="s">
        <v>1160</v>
      </c>
      <c r="D15" s="52">
        <v>12</v>
      </c>
    </row>
    <row r="16" spans="2:27" ht="15" customHeight="1" x14ac:dyDescent="0.3">
      <c r="B16" s="88" t="s">
        <v>838</v>
      </c>
      <c r="C16" s="47" t="s">
        <v>1161</v>
      </c>
      <c r="D16" s="52">
        <v>12</v>
      </c>
    </row>
    <row r="17" spans="2:27" ht="15" customHeight="1" x14ac:dyDescent="0.3">
      <c r="B17" s="88" t="s">
        <v>839</v>
      </c>
      <c r="C17" s="47" t="s">
        <v>1162</v>
      </c>
      <c r="D17" s="52">
        <v>12</v>
      </c>
    </row>
    <row r="18" spans="2:27" ht="15" customHeight="1" x14ac:dyDescent="0.3">
      <c r="B18" s="88" t="s">
        <v>840</v>
      </c>
      <c r="C18" s="47" t="s">
        <v>1163</v>
      </c>
      <c r="D18" s="52">
        <v>12</v>
      </c>
    </row>
    <row r="19" spans="2:27" ht="15" customHeight="1" x14ac:dyDescent="0.3">
      <c r="B19" s="88" t="s">
        <v>841</v>
      </c>
      <c r="C19" s="47" t="s">
        <v>1164</v>
      </c>
      <c r="D19" s="52">
        <v>12</v>
      </c>
    </row>
    <row r="20" spans="2:27" ht="15" customHeight="1" x14ac:dyDescent="0.3">
      <c r="B20" s="88" t="s">
        <v>842</v>
      </c>
      <c r="C20" s="47" t="s">
        <v>1165</v>
      </c>
      <c r="D20" s="52">
        <v>12</v>
      </c>
    </row>
    <row r="21" spans="2:27" ht="15" customHeight="1" x14ac:dyDescent="0.3">
      <c r="B21" s="88" t="s">
        <v>843</v>
      </c>
      <c r="C21" s="47" t="s">
        <v>1166</v>
      </c>
      <c r="D21" s="52">
        <v>12</v>
      </c>
    </row>
    <row r="22" spans="2:27" ht="15" customHeight="1" x14ac:dyDescent="0.3">
      <c r="B22" s="88" t="s">
        <v>844</v>
      </c>
      <c r="C22" s="47" t="s">
        <v>1167</v>
      </c>
      <c r="D22" s="52">
        <v>12</v>
      </c>
    </row>
    <row r="23" spans="2:27" ht="15" customHeight="1" x14ac:dyDescent="0.3">
      <c r="B23" s="88" t="s">
        <v>845</v>
      </c>
      <c r="C23" s="47" t="s">
        <v>1168</v>
      </c>
      <c r="D23" s="52">
        <v>12</v>
      </c>
    </row>
    <row r="24" spans="2:27" ht="15" customHeight="1" x14ac:dyDescent="0.3">
      <c r="B24" s="88" t="s">
        <v>846</v>
      </c>
      <c r="C24" s="47" t="s">
        <v>1169</v>
      </c>
      <c r="D24" s="52">
        <v>12</v>
      </c>
    </row>
    <row r="25" spans="2:27" ht="15" customHeight="1" x14ac:dyDescent="0.3">
      <c r="B25" s="88" t="s">
        <v>847</v>
      </c>
      <c r="C25" s="47" t="s">
        <v>1170</v>
      </c>
      <c r="D25" s="52">
        <v>12</v>
      </c>
    </row>
    <row r="26" spans="2:27" ht="15" customHeight="1" x14ac:dyDescent="0.3">
      <c r="B26" s="88" t="s">
        <v>848</v>
      </c>
      <c r="C26" s="47" t="s">
        <v>1171</v>
      </c>
      <c r="D26" s="52">
        <v>12</v>
      </c>
    </row>
    <row r="27" spans="2:27" ht="15" customHeight="1" x14ac:dyDescent="0.3">
      <c r="B27" s="88" t="s">
        <v>849</v>
      </c>
      <c r="C27" s="47" t="s">
        <v>1172</v>
      </c>
      <c r="D27" s="52">
        <v>12</v>
      </c>
    </row>
    <row r="28" spans="2:27" ht="15" customHeight="1" x14ac:dyDescent="0.3">
      <c r="B28" s="47" t="s">
        <v>32</v>
      </c>
      <c r="C28" s="47" t="str">
        <f t="shared" si="2"/>
        <v>0x20</v>
      </c>
      <c r="D28" s="52">
        <v>12</v>
      </c>
      <c r="J28" s="48">
        <v>0</v>
      </c>
      <c r="K28" s="48">
        <v>0</v>
      </c>
      <c r="L28" s="48">
        <v>1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 t="str">
        <f>BIN2HEX(_xlfn.CONCAT(L28,M28,N28,O28,P28,Q28),2)</f>
        <v>20</v>
      </c>
      <c r="S28" s="48">
        <v>1</v>
      </c>
      <c r="T28" s="48">
        <v>1</v>
      </c>
      <c r="U28" s="48">
        <v>0</v>
      </c>
      <c r="V28" s="48">
        <v>0</v>
      </c>
      <c r="W28" s="48">
        <v>1</v>
      </c>
      <c r="X28" s="48">
        <v>0</v>
      </c>
      <c r="Y28" s="48">
        <v>1</v>
      </c>
      <c r="Z28" s="48">
        <v>0</v>
      </c>
      <c r="AA28" s="48" t="str">
        <f t="shared" si="1"/>
        <v>0A</v>
      </c>
    </row>
    <row r="29" spans="2:27" ht="15" customHeight="1" x14ac:dyDescent="0.3">
      <c r="B29" s="47" t="s">
        <v>33</v>
      </c>
      <c r="C29" s="47" t="str">
        <f t="shared" si="2"/>
        <v>0x21</v>
      </c>
      <c r="D29" s="52">
        <v>12</v>
      </c>
      <c r="J29" s="48">
        <v>0</v>
      </c>
      <c r="K29" s="48">
        <v>0</v>
      </c>
      <c r="L29" s="48">
        <v>1</v>
      </c>
      <c r="M29" s="48">
        <v>0</v>
      </c>
      <c r="N29" s="48">
        <v>0</v>
      </c>
      <c r="O29" s="48">
        <v>0</v>
      </c>
      <c r="P29" s="48">
        <v>0</v>
      </c>
      <c r="Q29" s="48">
        <v>1</v>
      </c>
      <c r="R29" s="48" t="str">
        <f t="shared" ref="R29:R72" si="3">BIN2HEX(_xlfn.CONCAT(L29,M29,N29,O29,P29,Q29),2)</f>
        <v>21</v>
      </c>
      <c r="S29" s="48">
        <v>1</v>
      </c>
      <c r="T29" s="48">
        <v>1</v>
      </c>
      <c r="U29" s="48">
        <v>0</v>
      </c>
      <c r="V29" s="48">
        <v>0</v>
      </c>
      <c r="W29" s="48">
        <v>1</v>
      </c>
      <c r="X29" s="48">
        <v>0</v>
      </c>
      <c r="Y29" s="48">
        <v>1</v>
      </c>
      <c r="Z29" s="48">
        <v>1</v>
      </c>
      <c r="AA29" s="48" t="str">
        <f t="shared" si="1"/>
        <v>0B</v>
      </c>
    </row>
    <row r="30" spans="2:27" ht="15" customHeight="1" x14ac:dyDescent="0.3">
      <c r="B30" s="47" t="s">
        <v>34</v>
      </c>
      <c r="C30" s="47" t="str">
        <f>_xlfn.CONCAT("0x",BIN2HEX(_xlfn.CONCAT(J30,K30,L30,M30,N30,O30,P30,Q30,),2))</f>
        <v>0x22</v>
      </c>
      <c r="D30" s="52">
        <v>12</v>
      </c>
      <c r="J30" s="48">
        <v>0</v>
      </c>
      <c r="K30" s="48">
        <v>0</v>
      </c>
      <c r="L30" s="48">
        <v>1</v>
      </c>
      <c r="M30" s="48">
        <v>0</v>
      </c>
      <c r="N30" s="48">
        <v>0</v>
      </c>
      <c r="O30" s="48">
        <v>0</v>
      </c>
      <c r="P30" s="48">
        <v>1</v>
      </c>
      <c r="Q30" s="48">
        <v>0</v>
      </c>
      <c r="R30" s="48" t="str">
        <f t="shared" si="3"/>
        <v>22</v>
      </c>
      <c r="S30" s="48">
        <v>1</v>
      </c>
      <c r="T30" s="48">
        <v>1</v>
      </c>
      <c r="U30" s="48">
        <v>0</v>
      </c>
      <c r="V30" s="48">
        <v>0</v>
      </c>
      <c r="W30" s="48">
        <v>1</v>
      </c>
      <c r="X30" s="48">
        <v>1</v>
      </c>
      <c r="Y30" s="48">
        <v>1</v>
      </c>
      <c r="Z30" s="48">
        <v>1</v>
      </c>
      <c r="AA30" s="48" t="str">
        <f t="shared" si="1"/>
        <v>0F</v>
      </c>
    </row>
    <row r="31" spans="2:27" ht="15" customHeight="1" x14ac:dyDescent="0.3">
      <c r="B31" s="47" t="s">
        <v>35</v>
      </c>
      <c r="C31" s="47" t="str">
        <f t="shared" si="2"/>
        <v>0x23</v>
      </c>
      <c r="D31" s="52">
        <v>12</v>
      </c>
      <c r="J31" s="48">
        <v>0</v>
      </c>
      <c r="K31" s="48">
        <v>0</v>
      </c>
      <c r="L31" s="48">
        <v>1</v>
      </c>
      <c r="M31" s="48">
        <v>0</v>
      </c>
      <c r="N31" s="48">
        <v>0</v>
      </c>
      <c r="O31" s="48">
        <v>0</v>
      </c>
      <c r="P31" s="48">
        <v>1</v>
      </c>
      <c r="Q31" s="48">
        <v>1</v>
      </c>
      <c r="R31" s="48" t="str">
        <f t="shared" si="3"/>
        <v>23</v>
      </c>
      <c r="S31" s="48">
        <v>1</v>
      </c>
      <c r="T31" s="48">
        <v>1</v>
      </c>
      <c r="U31" s="48">
        <v>0</v>
      </c>
      <c r="V31" s="48">
        <v>1</v>
      </c>
      <c r="W31" s="48">
        <v>0</v>
      </c>
      <c r="X31" s="48">
        <v>0</v>
      </c>
      <c r="Y31" s="48">
        <v>0</v>
      </c>
      <c r="Z31" s="48">
        <v>0</v>
      </c>
      <c r="AA31" s="48" t="str">
        <f t="shared" si="1"/>
        <v>10</v>
      </c>
    </row>
    <row r="32" spans="2:27" ht="15" customHeight="1" x14ac:dyDescent="0.3">
      <c r="B32" s="47" t="s">
        <v>36</v>
      </c>
      <c r="C32" s="47" t="str">
        <f t="shared" si="2"/>
        <v>0x24</v>
      </c>
      <c r="D32" s="52">
        <v>12</v>
      </c>
      <c r="J32" s="48">
        <v>0</v>
      </c>
      <c r="K32" s="48">
        <v>0</v>
      </c>
      <c r="L32" s="48">
        <v>1</v>
      </c>
      <c r="M32" s="48">
        <v>0</v>
      </c>
      <c r="N32" s="48">
        <v>0</v>
      </c>
      <c r="O32" s="48">
        <v>1</v>
      </c>
      <c r="P32" s="48">
        <v>0</v>
      </c>
      <c r="Q32" s="48">
        <v>0</v>
      </c>
      <c r="R32" s="48" t="str">
        <f t="shared" si="3"/>
        <v>24</v>
      </c>
      <c r="S32" s="48">
        <v>1</v>
      </c>
      <c r="T32" s="48">
        <v>1</v>
      </c>
      <c r="U32" s="48">
        <v>0</v>
      </c>
      <c r="V32" s="48">
        <v>1</v>
      </c>
      <c r="W32" s="48">
        <v>0</v>
      </c>
      <c r="X32" s="48">
        <v>0</v>
      </c>
      <c r="Y32" s="48">
        <v>0</v>
      </c>
      <c r="Z32" s="48">
        <v>1</v>
      </c>
      <c r="AA32" s="48" t="str">
        <f t="shared" si="1"/>
        <v>11</v>
      </c>
    </row>
    <row r="33" spans="2:27" ht="15" customHeight="1" x14ac:dyDescent="0.3">
      <c r="B33" s="47" t="s">
        <v>37</v>
      </c>
      <c r="C33" s="47" t="str">
        <f t="shared" si="2"/>
        <v>0x25</v>
      </c>
      <c r="D33" s="52">
        <v>12</v>
      </c>
      <c r="J33" s="48">
        <v>0</v>
      </c>
      <c r="K33" s="48">
        <v>0</v>
      </c>
      <c r="L33" s="48">
        <v>1</v>
      </c>
      <c r="M33" s="48">
        <v>0</v>
      </c>
      <c r="N33" s="48">
        <v>0</v>
      </c>
      <c r="O33" s="48">
        <v>1</v>
      </c>
      <c r="P33" s="48">
        <v>0</v>
      </c>
      <c r="Q33" s="48">
        <v>1</v>
      </c>
      <c r="R33" s="48" t="str">
        <f t="shared" si="3"/>
        <v>25</v>
      </c>
      <c r="S33" s="48">
        <v>1</v>
      </c>
      <c r="T33" s="48">
        <v>1</v>
      </c>
      <c r="U33" s="48">
        <v>0</v>
      </c>
      <c r="V33" s="48">
        <v>1</v>
      </c>
      <c r="W33" s="48">
        <v>0</v>
      </c>
      <c r="X33" s="48">
        <v>0</v>
      </c>
      <c r="Y33" s="48">
        <v>1</v>
      </c>
      <c r="Z33" s="48">
        <v>0</v>
      </c>
      <c r="AA33" s="48" t="str">
        <f t="shared" si="1"/>
        <v>12</v>
      </c>
    </row>
    <row r="34" spans="2:27" ht="15" customHeight="1" x14ac:dyDescent="0.3">
      <c r="B34" s="47" t="s">
        <v>595</v>
      </c>
      <c r="C34" s="47" t="str">
        <f t="shared" si="2"/>
        <v>0x26</v>
      </c>
      <c r="D34" s="52">
        <v>12</v>
      </c>
      <c r="J34" s="48">
        <v>0</v>
      </c>
      <c r="K34" s="48">
        <v>0</v>
      </c>
      <c r="L34" s="48">
        <v>1</v>
      </c>
      <c r="M34" s="48">
        <v>0</v>
      </c>
      <c r="N34" s="48">
        <v>0</v>
      </c>
      <c r="O34" s="48">
        <v>1</v>
      </c>
      <c r="P34" s="48">
        <v>1</v>
      </c>
      <c r="Q34" s="48">
        <v>0</v>
      </c>
      <c r="R34" s="48" t="str">
        <f t="shared" si="3"/>
        <v>26</v>
      </c>
      <c r="S34" s="48">
        <v>1</v>
      </c>
      <c r="T34" s="48">
        <v>1</v>
      </c>
      <c r="U34" s="48">
        <v>0</v>
      </c>
      <c r="V34" s="48">
        <v>1</v>
      </c>
      <c r="W34" s="48">
        <v>0</v>
      </c>
      <c r="X34" s="48">
        <v>0</v>
      </c>
      <c r="Y34" s="48">
        <v>1</v>
      </c>
      <c r="Z34" s="48">
        <v>1</v>
      </c>
      <c r="AA34" s="48" t="str">
        <f t="shared" si="1"/>
        <v>13</v>
      </c>
    </row>
    <row r="35" spans="2:27" ht="15" customHeight="1" x14ac:dyDescent="0.3">
      <c r="B35" s="47" t="s">
        <v>38</v>
      </c>
      <c r="C35" s="47" t="str">
        <f t="shared" si="2"/>
        <v>0x27</v>
      </c>
      <c r="D35" s="52">
        <v>12</v>
      </c>
      <c r="J35" s="48">
        <v>0</v>
      </c>
      <c r="K35" s="48">
        <v>0</v>
      </c>
      <c r="L35" s="48">
        <v>1</v>
      </c>
      <c r="M35" s="48">
        <v>0</v>
      </c>
      <c r="N35" s="48">
        <v>0</v>
      </c>
      <c r="O35" s="48">
        <v>1</v>
      </c>
      <c r="P35" s="48">
        <v>1</v>
      </c>
      <c r="Q35" s="48">
        <v>1</v>
      </c>
      <c r="R35" s="48" t="str">
        <f t="shared" si="3"/>
        <v>27</v>
      </c>
      <c r="S35" s="48">
        <v>1</v>
      </c>
      <c r="T35" s="48">
        <v>1</v>
      </c>
      <c r="U35" s="48">
        <v>0</v>
      </c>
      <c r="V35" s="48">
        <v>1</v>
      </c>
      <c r="W35" s="48">
        <v>0</v>
      </c>
      <c r="X35" s="48">
        <v>1</v>
      </c>
      <c r="Y35" s="48">
        <v>0</v>
      </c>
      <c r="Z35" s="48">
        <v>0</v>
      </c>
      <c r="AA35" s="48" t="str">
        <f t="shared" si="1"/>
        <v>14</v>
      </c>
    </row>
    <row r="36" spans="2:27" ht="15" customHeight="1" x14ac:dyDescent="0.3">
      <c r="B36" s="47" t="s">
        <v>39</v>
      </c>
      <c r="C36" s="47" t="str">
        <f t="shared" si="2"/>
        <v>0x28</v>
      </c>
      <c r="D36" s="52">
        <v>12</v>
      </c>
      <c r="J36" s="48">
        <v>0</v>
      </c>
      <c r="K36" s="48">
        <v>0</v>
      </c>
      <c r="L36" s="48">
        <v>1</v>
      </c>
      <c r="M36" s="48">
        <v>0</v>
      </c>
      <c r="N36" s="48">
        <v>1</v>
      </c>
      <c r="O36" s="48">
        <v>0</v>
      </c>
      <c r="P36" s="48">
        <v>0</v>
      </c>
      <c r="Q36" s="48">
        <v>0</v>
      </c>
      <c r="R36" s="48" t="str">
        <f>BIN2HEX(_xlfn.CONCAT(L36,M36,N36,O36,P36,Q36),2)</f>
        <v>28</v>
      </c>
      <c r="S36" s="48">
        <v>1</v>
      </c>
      <c r="T36" s="48">
        <v>1</v>
      </c>
      <c r="U36" s="48">
        <v>0</v>
      </c>
      <c r="V36" s="48">
        <v>1</v>
      </c>
      <c r="W36" s="48">
        <v>0</v>
      </c>
      <c r="X36" s="48">
        <v>1</v>
      </c>
      <c r="Y36" s="48">
        <v>0</v>
      </c>
      <c r="Z36" s="48">
        <v>1</v>
      </c>
      <c r="AA36" s="48" t="str">
        <f t="shared" si="1"/>
        <v>15</v>
      </c>
    </row>
    <row r="37" spans="2:27" ht="15" customHeight="1" x14ac:dyDescent="0.3">
      <c r="B37" s="47" t="s">
        <v>40</v>
      </c>
      <c r="C37" s="47" t="str">
        <f t="shared" si="2"/>
        <v>0x29</v>
      </c>
      <c r="D37" s="52">
        <v>12</v>
      </c>
      <c r="J37" s="48">
        <v>0</v>
      </c>
      <c r="K37" s="48">
        <v>0</v>
      </c>
      <c r="L37" s="48">
        <v>1</v>
      </c>
      <c r="M37" s="48">
        <v>0</v>
      </c>
      <c r="N37" s="48">
        <v>1</v>
      </c>
      <c r="O37" s="48">
        <v>0</v>
      </c>
      <c r="P37" s="48">
        <v>0</v>
      </c>
      <c r="Q37" s="48">
        <v>1</v>
      </c>
      <c r="R37" s="48" t="str">
        <f t="shared" si="3"/>
        <v>29</v>
      </c>
      <c r="S37" s="48">
        <v>1</v>
      </c>
      <c r="T37" s="48">
        <v>1</v>
      </c>
      <c r="U37" s="48">
        <v>0</v>
      </c>
      <c r="V37" s="48">
        <v>1</v>
      </c>
      <c r="W37" s="48">
        <v>0</v>
      </c>
      <c r="X37" s="48">
        <v>1</v>
      </c>
      <c r="Y37" s="48">
        <v>1</v>
      </c>
      <c r="Z37" s="48">
        <v>0</v>
      </c>
      <c r="AA37" s="48" t="str">
        <f t="shared" si="1"/>
        <v>16</v>
      </c>
    </row>
    <row r="38" spans="2:27" ht="15" customHeight="1" x14ac:dyDescent="0.3">
      <c r="B38" s="47" t="s">
        <v>779</v>
      </c>
      <c r="C38" s="47" t="str">
        <f>_xlfn.CONCAT("0x",BIN2HEX(_xlfn.CONCAT(J38,K38,L38,M38,N38,O38,P38,Q38,),2))</f>
        <v>0x2A</v>
      </c>
      <c r="D38" s="52">
        <v>12</v>
      </c>
      <c r="J38" s="48">
        <v>0</v>
      </c>
      <c r="K38" s="48">
        <v>0</v>
      </c>
      <c r="L38" s="48">
        <v>1</v>
      </c>
      <c r="M38" s="48">
        <v>0</v>
      </c>
      <c r="N38" s="48">
        <v>1</v>
      </c>
      <c r="O38" s="48">
        <v>0</v>
      </c>
      <c r="P38" s="48">
        <v>1</v>
      </c>
      <c r="Q38" s="48">
        <v>0</v>
      </c>
      <c r="R38" s="48" t="str">
        <f>BIN2HEX(_xlfn.CONCAT(L38,M38,N38,O38,P38,Q38),2)</f>
        <v>2A</v>
      </c>
      <c r="S38" s="48">
        <v>1</v>
      </c>
      <c r="T38" s="48">
        <v>1</v>
      </c>
      <c r="U38" s="48">
        <v>0</v>
      </c>
      <c r="V38" s="48">
        <v>1</v>
      </c>
      <c r="W38" s="48">
        <v>0</v>
      </c>
      <c r="X38" s="48">
        <v>1</v>
      </c>
      <c r="Y38" s="48">
        <v>1</v>
      </c>
      <c r="Z38" s="48">
        <v>1</v>
      </c>
      <c r="AA38" s="48" t="str">
        <f t="shared" si="1"/>
        <v>17</v>
      </c>
    </row>
    <row r="39" spans="2:27" ht="15" customHeight="1" x14ac:dyDescent="0.3">
      <c r="B39" s="88" t="s">
        <v>1022</v>
      </c>
      <c r="C39" s="47" t="str">
        <f t="shared" si="2"/>
        <v>0x2B</v>
      </c>
      <c r="D39" s="52">
        <v>12</v>
      </c>
      <c r="J39" s="48">
        <v>0</v>
      </c>
      <c r="K39" s="48">
        <v>0</v>
      </c>
      <c r="L39" s="48">
        <v>1</v>
      </c>
      <c r="M39" s="48">
        <v>0</v>
      </c>
      <c r="N39" s="48">
        <v>1</v>
      </c>
      <c r="O39" s="48">
        <v>0</v>
      </c>
      <c r="P39" s="48">
        <v>1</v>
      </c>
      <c r="Q39" s="48">
        <v>1</v>
      </c>
      <c r="R39" s="48" t="str">
        <f t="shared" si="3"/>
        <v>2B</v>
      </c>
      <c r="S39" s="48">
        <v>1</v>
      </c>
      <c r="T39" s="48">
        <v>1</v>
      </c>
      <c r="U39" s="48">
        <v>0</v>
      </c>
      <c r="V39" s="48">
        <v>1</v>
      </c>
      <c r="W39" s="48">
        <v>1</v>
      </c>
      <c r="X39" s="48">
        <v>0</v>
      </c>
      <c r="Y39" s="48">
        <v>0</v>
      </c>
      <c r="Z39" s="48">
        <v>0</v>
      </c>
      <c r="AA39" s="48" t="str">
        <f t="shared" si="1"/>
        <v>18</v>
      </c>
    </row>
    <row r="40" spans="2:27" ht="15" customHeight="1" x14ac:dyDescent="0.3">
      <c r="B40" s="88" t="s">
        <v>900</v>
      </c>
      <c r="C40" s="47" t="s">
        <v>850</v>
      </c>
      <c r="D40" s="52">
        <v>12</v>
      </c>
      <c r="J40" s="48">
        <v>0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  <c r="Q40" s="48">
        <v>0</v>
      </c>
      <c r="R40" s="48" t="str">
        <f t="shared" si="3"/>
        <v>00</v>
      </c>
      <c r="S40" s="48">
        <v>1</v>
      </c>
      <c r="T40" s="48">
        <v>1</v>
      </c>
      <c r="U40" s="48">
        <v>0</v>
      </c>
      <c r="V40" s="48">
        <v>1</v>
      </c>
      <c r="W40" s="48">
        <v>1</v>
      </c>
      <c r="X40" s="48">
        <v>0</v>
      </c>
      <c r="Y40" s="48">
        <v>0</v>
      </c>
      <c r="Z40" s="48">
        <v>1</v>
      </c>
      <c r="AA40" s="48" t="str">
        <f t="shared" si="1"/>
        <v>19</v>
      </c>
    </row>
    <row r="41" spans="2:27" ht="15" customHeight="1" x14ac:dyDescent="0.3">
      <c r="B41" s="88" t="s">
        <v>901</v>
      </c>
      <c r="C41" s="47" t="s">
        <v>851</v>
      </c>
      <c r="D41" s="52">
        <v>12</v>
      </c>
      <c r="J41" s="48">
        <v>0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 t="str">
        <f t="shared" si="3"/>
        <v>00</v>
      </c>
      <c r="S41" s="48">
        <v>1</v>
      </c>
      <c r="T41" s="48">
        <v>1</v>
      </c>
      <c r="U41" s="48">
        <v>0</v>
      </c>
      <c r="V41" s="48">
        <v>1</v>
      </c>
      <c r="W41" s="48">
        <v>1</v>
      </c>
      <c r="X41" s="48">
        <v>0</v>
      </c>
      <c r="Y41" s="48">
        <v>1</v>
      </c>
      <c r="Z41" s="48">
        <v>0</v>
      </c>
      <c r="AA41" s="48" t="str">
        <f t="shared" si="1"/>
        <v>1A</v>
      </c>
    </row>
    <row r="42" spans="2:27" ht="15" customHeight="1" x14ac:dyDescent="0.3">
      <c r="B42" s="88" t="s">
        <v>902</v>
      </c>
      <c r="C42" s="47" t="s">
        <v>852</v>
      </c>
      <c r="D42" s="52">
        <v>12</v>
      </c>
      <c r="J42" s="48">
        <v>0</v>
      </c>
      <c r="K42" s="48">
        <v>0</v>
      </c>
      <c r="L42" s="48">
        <v>0</v>
      </c>
      <c r="M42" s="48">
        <v>0</v>
      </c>
      <c r="N42" s="48">
        <v>0</v>
      </c>
      <c r="O42" s="48">
        <v>0</v>
      </c>
      <c r="P42" s="48">
        <v>0</v>
      </c>
      <c r="Q42" s="48">
        <v>0</v>
      </c>
      <c r="R42" s="48" t="str">
        <f t="shared" si="3"/>
        <v>00</v>
      </c>
    </row>
    <row r="43" spans="2:27" ht="15" customHeight="1" x14ac:dyDescent="0.3">
      <c r="B43" s="88" t="s">
        <v>903</v>
      </c>
      <c r="C43" s="47" t="s">
        <v>853</v>
      </c>
      <c r="D43" s="52">
        <v>12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48">
        <v>0</v>
      </c>
      <c r="Q43" s="48">
        <v>0</v>
      </c>
      <c r="R43" s="48" t="str">
        <f t="shared" si="3"/>
        <v>00</v>
      </c>
    </row>
    <row r="44" spans="2:27" ht="15" customHeight="1" x14ac:dyDescent="0.3">
      <c r="B44" s="88" t="s">
        <v>904</v>
      </c>
      <c r="C44" s="47" t="s">
        <v>854</v>
      </c>
      <c r="D44" s="52">
        <v>12</v>
      </c>
      <c r="J44" s="48">
        <v>0</v>
      </c>
      <c r="K44" s="48">
        <v>0</v>
      </c>
      <c r="L44" s="48">
        <v>0</v>
      </c>
      <c r="M44" s="48">
        <v>0</v>
      </c>
      <c r="N44" s="48">
        <v>0</v>
      </c>
      <c r="O44" s="48">
        <v>0</v>
      </c>
      <c r="P44" s="48">
        <v>0</v>
      </c>
      <c r="Q44" s="48">
        <v>0</v>
      </c>
      <c r="R44" s="48" t="str">
        <f t="shared" si="3"/>
        <v>00</v>
      </c>
    </row>
    <row r="45" spans="2:27" ht="15" customHeight="1" x14ac:dyDescent="0.3">
      <c r="B45" s="88" t="s">
        <v>905</v>
      </c>
      <c r="C45" s="47" t="s">
        <v>855</v>
      </c>
      <c r="D45" s="52">
        <v>12</v>
      </c>
      <c r="J45" s="48">
        <v>0</v>
      </c>
      <c r="K45" s="48">
        <v>0</v>
      </c>
      <c r="L45" s="48">
        <v>0</v>
      </c>
      <c r="M45" s="48">
        <v>0</v>
      </c>
      <c r="N45" s="48">
        <v>0</v>
      </c>
      <c r="O45" s="48">
        <v>0</v>
      </c>
      <c r="P45" s="48">
        <v>0</v>
      </c>
      <c r="Q45" s="48">
        <v>0</v>
      </c>
      <c r="R45" s="48" t="str">
        <f t="shared" si="3"/>
        <v>00</v>
      </c>
    </row>
    <row r="46" spans="2:27" ht="15" customHeight="1" x14ac:dyDescent="0.3">
      <c r="B46" s="88" t="s">
        <v>906</v>
      </c>
      <c r="C46" s="47" t="s">
        <v>856</v>
      </c>
      <c r="D46" s="52">
        <v>12</v>
      </c>
      <c r="J46" s="48">
        <v>0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  <c r="Q46" s="48">
        <v>0</v>
      </c>
      <c r="R46" s="48" t="str">
        <f t="shared" si="3"/>
        <v>00</v>
      </c>
    </row>
    <row r="47" spans="2:27" ht="15" customHeight="1" x14ac:dyDescent="0.3">
      <c r="B47" s="88" t="s">
        <v>907</v>
      </c>
      <c r="C47" s="47" t="s">
        <v>857</v>
      </c>
      <c r="D47" s="52">
        <v>12</v>
      </c>
      <c r="J47" s="48">
        <v>0</v>
      </c>
      <c r="K47" s="48">
        <v>0</v>
      </c>
      <c r="L47" s="48">
        <v>0</v>
      </c>
      <c r="M47" s="48">
        <v>0</v>
      </c>
      <c r="N47" s="48">
        <v>0</v>
      </c>
      <c r="O47" s="48">
        <v>0</v>
      </c>
      <c r="P47" s="48">
        <v>0</v>
      </c>
      <c r="Q47" s="48">
        <v>0</v>
      </c>
      <c r="R47" s="48" t="str">
        <f>BIN2HEX(_xlfn.CONCAT(L47,M47,N47,O47,P47,Q47),2)</f>
        <v>00</v>
      </c>
    </row>
    <row r="48" spans="2:27" ht="15" customHeight="1" x14ac:dyDescent="0.3">
      <c r="B48" s="88" t="s">
        <v>908</v>
      </c>
      <c r="C48" s="47" t="s">
        <v>858</v>
      </c>
      <c r="D48" s="52">
        <v>12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48">
        <v>0</v>
      </c>
      <c r="P48" s="48">
        <v>0</v>
      </c>
      <c r="Q48" s="48">
        <v>0</v>
      </c>
      <c r="R48" s="48" t="str">
        <f t="shared" si="3"/>
        <v>00</v>
      </c>
    </row>
    <row r="49" spans="2:18" ht="15" customHeight="1" x14ac:dyDescent="0.3">
      <c r="B49" s="88" t="s">
        <v>909</v>
      </c>
      <c r="C49" s="47" t="s">
        <v>859</v>
      </c>
      <c r="D49" s="52">
        <v>12</v>
      </c>
      <c r="J49" s="48">
        <v>0</v>
      </c>
      <c r="K49" s="48">
        <v>0</v>
      </c>
      <c r="L49" s="48">
        <v>0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 t="str">
        <f t="shared" si="3"/>
        <v>00</v>
      </c>
    </row>
    <row r="50" spans="2:18" ht="15" customHeight="1" x14ac:dyDescent="0.3">
      <c r="B50" s="88" t="s">
        <v>910</v>
      </c>
      <c r="C50" s="47" t="s">
        <v>860</v>
      </c>
      <c r="D50" s="52">
        <v>12</v>
      </c>
      <c r="J50" s="48">
        <v>0</v>
      </c>
      <c r="K50" s="48">
        <v>0</v>
      </c>
      <c r="L50" s="48">
        <v>0</v>
      </c>
      <c r="M50" s="48">
        <v>0</v>
      </c>
      <c r="N50" s="48">
        <v>0</v>
      </c>
      <c r="O50" s="48">
        <v>0</v>
      </c>
      <c r="P50" s="48">
        <v>0</v>
      </c>
      <c r="Q50" s="48">
        <v>0</v>
      </c>
      <c r="R50" s="48" t="str">
        <f t="shared" si="3"/>
        <v>00</v>
      </c>
    </row>
    <row r="51" spans="2:18" ht="15" customHeight="1" x14ac:dyDescent="0.3">
      <c r="B51" s="88" t="s">
        <v>911</v>
      </c>
      <c r="C51" s="47" t="s">
        <v>861</v>
      </c>
      <c r="D51" s="52">
        <v>12</v>
      </c>
      <c r="J51" s="48">
        <v>0</v>
      </c>
      <c r="K51" s="48">
        <v>0</v>
      </c>
      <c r="L51" s="48">
        <v>0</v>
      </c>
      <c r="M51" s="48">
        <v>0</v>
      </c>
      <c r="N51" s="48">
        <v>0</v>
      </c>
      <c r="O51" s="48">
        <v>0</v>
      </c>
      <c r="P51" s="48">
        <v>0</v>
      </c>
      <c r="Q51" s="48">
        <v>0</v>
      </c>
      <c r="R51" s="48" t="str">
        <f t="shared" si="3"/>
        <v>00</v>
      </c>
    </row>
    <row r="52" spans="2:18" ht="15" customHeight="1" x14ac:dyDescent="0.3">
      <c r="B52" s="88" t="s">
        <v>912</v>
      </c>
      <c r="C52" s="47" t="s">
        <v>862</v>
      </c>
      <c r="D52" s="52">
        <v>12</v>
      </c>
      <c r="J52" s="48">
        <v>0</v>
      </c>
      <c r="K52" s="48">
        <v>0</v>
      </c>
      <c r="L52" s="48">
        <v>0</v>
      </c>
      <c r="M52" s="48">
        <v>0</v>
      </c>
      <c r="N52" s="48">
        <v>0</v>
      </c>
      <c r="O52" s="48">
        <v>0</v>
      </c>
      <c r="P52" s="48">
        <v>0</v>
      </c>
      <c r="Q52" s="48">
        <v>0</v>
      </c>
      <c r="R52" s="48" t="str">
        <f t="shared" si="3"/>
        <v>00</v>
      </c>
    </row>
    <row r="53" spans="2:18" ht="15" customHeight="1" x14ac:dyDescent="0.3">
      <c r="B53" s="88" t="s">
        <v>913</v>
      </c>
      <c r="C53" s="47" t="s">
        <v>863</v>
      </c>
      <c r="D53" s="52">
        <v>12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48">
        <v>0</v>
      </c>
      <c r="Q53" s="48">
        <v>0</v>
      </c>
      <c r="R53" s="48" t="str">
        <f t="shared" si="3"/>
        <v>00</v>
      </c>
    </row>
    <row r="54" spans="2:18" ht="15" customHeight="1" x14ac:dyDescent="0.3">
      <c r="B54" s="88" t="s">
        <v>914</v>
      </c>
      <c r="C54" s="47" t="s">
        <v>864</v>
      </c>
      <c r="D54" s="52">
        <v>12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0</v>
      </c>
      <c r="P54" s="48">
        <v>0</v>
      </c>
      <c r="Q54" s="48">
        <v>0</v>
      </c>
      <c r="R54" s="48" t="str">
        <f t="shared" si="3"/>
        <v>00</v>
      </c>
    </row>
    <row r="55" spans="2:18" ht="15" customHeight="1" x14ac:dyDescent="0.3">
      <c r="B55" s="88" t="s">
        <v>915</v>
      </c>
      <c r="C55" s="47" t="s">
        <v>865</v>
      </c>
      <c r="D55" s="52">
        <v>12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 t="str">
        <f t="shared" si="3"/>
        <v>00</v>
      </c>
    </row>
    <row r="56" spans="2:18" ht="15" customHeight="1" x14ac:dyDescent="0.3">
      <c r="B56" s="47"/>
      <c r="C56" s="47" t="str">
        <f t="shared" si="2"/>
        <v>0x00</v>
      </c>
      <c r="D56" s="52">
        <v>12</v>
      </c>
      <c r="J56" s="48">
        <v>0</v>
      </c>
      <c r="K56" s="48">
        <v>0</v>
      </c>
      <c r="L56" s="48">
        <v>0</v>
      </c>
      <c r="M56" s="48">
        <v>0</v>
      </c>
      <c r="N56" s="48">
        <v>0</v>
      </c>
      <c r="O56" s="48">
        <v>0</v>
      </c>
      <c r="P56" s="48">
        <v>0</v>
      </c>
      <c r="Q56" s="48">
        <v>0</v>
      </c>
      <c r="R56" s="48" t="str">
        <f t="shared" si="3"/>
        <v>00</v>
      </c>
    </row>
    <row r="57" spans="2:18" ht="15" customHeight="1" x14ac:dyDescent="0.3">
      <c r="B57" s="47"/>
      <c r="C57" s="47" t="str">
        <f t="shared" si="2"/>
        <v>0x00</v>
      </c>
      <c r="D57" s="52">
        <v>12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48">
        <v>0</v>
      </c>
      <c r="Q57" s="48">
        <v>0</v>
      </c>
      <c r="R57" s="48" t="str">
        <f t="shared" si="3"/>
        <v>00</v>
      </c>
    </row>
    <row r="58" spans="2:18" ht="15" customHeight="1" x14ac:dyDescent="0.3">
      <c r="B58" s="47"/>
      <c r="C58" s="47" t="str">
        <f t="shared" si="2"/>
        <v>0x00</v>
      </c>
      <c r="D58" s="52">
        <v>12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 t="str">
        <f t="shared" si="3"/>
        <v>00</v>
      </c>
    </row>
    <row r="59" spans="2:18" ht="15" customHeight="1" x14ac:dyDescent="0.3">
      <c r="B59" s="47"/>
      <c r="C59" s="47" t="str">
        <f t="shared" si="2"/>
        <v>0x00</v>
      </c>
      <c r="D59" s="52">
        <v>12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0</v>
      </c>
      <c r="Q59" s="48">
        <v>0</v>
      </c>
      <c r="R59" s="48" t="str">
        <f t="shared" si="3"/>
        <v>00</v>
      </c>
    </row>
    <row r="60" spans="2:18" ht="15" customHeight="1" x14ac:dyDescent="0.3">
      <c r="B60" s="47"/>
      <c r="C60" s="47" t="str">
        <f t="shared" si="2"/>
        <v>0x00</v>
      </c>
      <c r="D60" s="52">
        <v>12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48" t="str">
        <f t="shared" si="3"/>
        <v>00</v>
      </c>
    </row>
    <row r="61" spans="2:18" ht="15" customHeight="1" x14ac:dyDescent="0.3">
      <c r="B61" s="47"/>
      <c r="C61" s="47" t="str">
        <f t="shared" si="2"/>
        <v>0x00</v>
      </c>
      <c r="D61" s="52">
        <v>12</v>
      </c>
      <c r="J61" s="48">
        <v>0</v>
      </c>
      <c r="K61" s="48">
        <v>0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  <c r="Q61" s="48">
        <v>0</v>
      </c>
      <c r="R61" s="48" t="str">
        <f t="shared" si="3"/>
        <v>00</v>
      </c>
    </row>
    <row r="62" spans="2:18" ht="15" customHeight="1" x14ac:dyDescent="0.3">
      <c r="B62" s="47"/>
      <c r="C62" s="47" t="str">
        <f t="shared" si="2"/>
        <v>0x00</v>
      </c>
      <c r="D62" s="52">
        <v>12</v>
      </c>
      <c r="J62" s="48">
        <v>0</v>
      </c>
      <c r="K62" s="48">
        <v>0</v>
      </c>
      <c r="L62" s="48">
        <v>0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  <c r="R62" s="48" t="str">
        <f t="shared" si="3"/>
        <v>00</v>
      </c>
    </row>
    <row r="63" spans="2:18" ht="15" customHeight="1" x14ac:dyDescent="0.3">
      <c r="B63" s="47"/>
      <c r="C63" s="47" t="str">
        <f t="shared" si="2"/>
        <v>0x00</v>
      </c>
      <c r="D63" s="52">
        <v>12</v>
      </c>
      <c r="J63" s="48">
        <v>0</v>
      </c>
      <c r="K63" s="48">
        <v>0</v>
      </c>
      <c r="L63" s="48">
        <v>0</v>
      </c>
      <c r="M63" s="48">
        <v>0</v>
      </c>
      <c r="N63" s="48">
        <v>0</v>
      </c>
      <c r="O63" s="48">
        <v>0</v>
      </c>
      <c r="P63" s="48">
        <v>0</v>
      </c>
      <c r="Q63" s="48">
        <v>0</v>
      </c>
      <c r="R63" s="48" t="str">
        <f t="shared" si="3"/>
        <v>00</v>
      </c>
    </row>
    <row r="64" spans="2:18" ht="15" customHeight="1" x14ac:dyDescent="0.3">
      <c r="B64" s="47"/>
      <c r="C64" s="47" t="str">
        <f t="shared" si="2"/>
        <v>0x00</v>
      </c>
      <c r="D64" s="52">
        <v>12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 t="str">
        <f t="shared" si="3"/>
        <v>00</v>
      </c>
    </row>
    <row r="65" spans="2:18" ht="15" customHeight="1" x14ac:dyDescent="0.3">
      <c r="B65" s="47"/>
      <c r="C65" s="47" t="str">
        <f t="shared" si="2"/>
        <v>0x00</v>
      </c>
      <c r="D65" s="52">
        <v>12</v>
      </c>
      <c r="J65" s="48">
        <v>0</v>
      </c>
      <c r="K65" s="48">
        <v>0</v>
      </c>
      <c r="L65" s="48">
        <v>0</v>
      </c>
      <c r="M65" s="48">
        <v>0</v>
      </c>
      <c r="N65" s="48">
        <v>0</v>
      </c>
      <c r="O65" s="48">
        <v>0</v>
      </c>
      <c r="P65" s="48">
        <v>0</v>
      </c>
      <c r="Q65" s="48">
        <v>0</v>
      </c>
      <c r="R65" s="48" t="str">
        <f t="shared" si="3"/>
        <v>00</v>
      </c>
    </row>
    <row r="66" spans="2:18" ht="15" customHeight="1" x14ac:dyDescent="0.3">
      <c r="B66" s="47"/>
      <c r="C66" s="47" t="str">
        <f t="shared" si="2"/>
        <v>0x00</v>
      </c>
      <c r="D66" s="52">
        <v>12</v>
      </c>
      <c r="J66" s="48">
        <v>0</v>
      </c>
      <c r="K66" s="48">
        <v>0</v>
      </c>
      <c r="L66" s="48">
        <v>0</v>
      </c>
      <c r="M66" s="48">
        <v>0</v>
      </c>
      <c r="N66" s="48">
        <v>0</v>
      </c>
      <c r="O66" s="48">
        <v>0</v>
      </c>
      <c r="P66" s="48">
        <v>0</v>
      </c>
      <c r="Q66" s="48">
        <v>0</v>
      </c>
      <c r="R66" s="48" t="str">
        <f t="shared" si="3"/>
        <v>00</v>
      </c>
    </row>
    <row r="67" spans="2:18" ht="15" customHeight="1" x14ac:dyDescent="0.3">
      <c r="B67" s="47"/>
      <c r="C67" s="47" t="str">
        <f t="shared" si="2"/>
        <v>0x00</v>
      </c>
      <c r="D67" s="52">
        <v>12</v>
      </c>
      <c r="J67" s="48">
        <v>0</v>
      </c>
      <c r="K67" s="48">
        <v>0</v>
      </c>
      <c r="L67" s="48">
        <v>0</v>
      </c>
      <c r="M67" s="48">
        <v>0</v>
      </c>
      <c r="N67" s="48">
        <v>0</v>
      </c>
      <c r="O67" s="48">
        <v>0</v>
      </c>
      <c r="P67" s="48">
        <v>0</v>
      </c>
      <c r="Q67" s="48">
        <v>0</v>
      </c>
      <c r="R67" s="48" t="str">
        <f t="shared" si="3"/>
        <v>00</v>
      </c>
    </row>
    <row r="68" spans="2:18" ht="15" customHeight="1" x14ac:dyDescent="0.3">
      <c r="B68" s="47"/>
      <c r="C68" s="47" t="str">
        <f t="shared" si="2"/>
        <v>0x00</v>
      </c>
      <c r="D68" s="52">
        <v>12</v>
      </c>
      <c r="J68" s="48">
        <v>0</v>
      </c>
      <c r="K68" s="48">
        <v>0</v>
      </c>
      <c r="L68" s="48">
        <v>0</v>
      </c>
      <c r="M68" s="48">
        <v>0</v>
      </c>
      <c r="N68" s="48">
        <v>0</v>
      </c>
      <c r="O68" s="48">
        <v>0</v>
      </c>
      <c r="P68" s="48">
        <v>0</v>
      </c>
      <c r="Q68" s="48">
        <v>0</v>
      </c>
      <c r="R68" s="48" t="str">
        <f t="shared" si="3"/>
        <v>00</v>
      </c>
    </row>
    <row r="69" spans="2:18" ht="15" customHeight="1" x14ac:dyDescent="0.3">
      <c r="B69" s="47"/>
      <c r="C69" s="47" t="str">
        <f t="shared" si="2"/>
        <v>0x00</v>
      </c>
      <c r="D69" s="52">
        <v>12</v>
      </c>
      <c r="J69" s="48">
        <v>0</v>
      </c>
      <c r="K69" s="48">
        <v>0</v>
      </c>
      <c r="L69" s="48">
        <v>0</v>
      </c>
      <c r="M69" s="48">
        <v>0</v>
      </c>
      <c r="N69" s="48">
        <v>0</v>
      </c>
      <c r="O69" s="48">
        <v>0</v>
      </c>
      <c r="P69" s="48">
        <v>0</v>
      </c>
      <c r="Q69" s="48">
        <v>0</v>
      </c>
      <c r="R69" s="48" t="str">
        <f t="shared" si="3"/>
        <v>00</v>
      </c>
    </row>
    <row r="70" spans="2:18" ht="15" customHeight="1" x14ac:dyDescent="0.3">
      <c r="B70" s="47"/>
      <c r="C70" s="47" t="str">
        <f t="shared" si="2"/>
        <v>0x00</v>
      </c>
      <c r="D70" s="52">
        <v>12</v>
      </c>
      <c r="J70" s="48">
        <v>0</v>
      </c>
      <c r="K70" s="48">
        <v>0</v>
      </c>
      <c r="L70" s="48">
        <v>0</v>
      </c>
      <c r="M70" s="48">
        <v>0</v>
      </c>
      <c r="N70" s="48">
        <v>0</v>
      </c>
      <c r="O70" s="48">
        <v>0</v>
      </c>
      <c r="P70" s="48">
        <v>0</v>
      </c>
      <c r="Q70" s="48">
        <v>0</v>
      </c>
      <c r="R70" s="48" t="str">
        <f t="shared" si="3"/>
        <v>00</v>
      </c>
    </row>
    <row r="71" spans="2:18" ht="15" customHeight="1" x14ac:dyDescent="0.3">
      <c r="B71" s="47"/>
      <c r="C71" s="47" t="str">
        <f t="shared" si="2"/>
        <v>0x00</v>
      </c>
      <c r="D71" s="52">
        <v>12</v>
      </c>
      <c r="J71" s="48">
        <v>0</v>
      </c>
      <c r="K71" s="48">
        <v>0</v>
      </c>
      <c r="L71" s="48">
        <v>0</v>
      </c>
      <c r="M71" s="48">
        <v>0</v>
      </c>
      <c r="N71" s="48">
        <v>0</v>
      </c>
      <c r="O71" s="48">
        <v>0</v>
      </c>
      <c r="P71" s="48">
        <v>0</v>
      </c>
      <c r="Q71" s="48">
        <v>0</v>
      </c>
      <c r="R71" s="48" t="str">
        <f t="shared" si="3"/>
        <v>00</v>
      </c>
    </row>
    <row r="72" spans="2:18" ht="15" customHeight="1" x14ac:dyDescent="0.3">
      <c r="B72" s="47"/>
      <c r="C72" s="47" t="str">
        <f t="shared" si="2"/>
        <v>0x00</v>
      </c>
      <c r="D72" s="52">
        <v>12</v>
      </c>
      <c r="J72" s="48">
        <v>0</v>
      </c>
      <c r="K72" s="48">
        <v>0</v>
      </c>
      <c r="L72" s="48">
        <v>0</v>
      </c>
      <c r="M72" s="48">
        <v>0</v>
      </c>
      <c r="N72" s="48">
        <v>0</v>
      </c>
      <c r="O72" s="48">
        <v>0</v>
      </c>
      <c r="P72" s="48">
        <v>0</v>
      </c>
      <c r="Q72" s="48">
        <v>0</v>
      </c>
      <c r="R72" s="48" t="str">
        <f t="shared" si="3"/>
        <v>00</v>
      </c>
    </row>
    <row r="73" spans="2:18" ht="15" customHeight="1" x14ac:dyDescent="0.3">
      <c r="B73" s="47"/>
      <c r="C73" s="47" t="str">
        <f t="shared" si="2"/>
        <v>0x00</v>
      </c>
      <c r="D73" s="52">
        <v>12</v>
      </c>
      <c r="J73" s="48">
        <v>0</v>
      </c>
      <c r="K73" s="48">
        <v>0</v>
      </c>
      <c r="L73" s="48">
        <v>0</v>
      </c>
      <c r="M73" s="48">
        <v>0</v>
      </c>
      <c r="N73" s="48">
        <v>0</v>
      </c>
      <c r="O73" s="48">
        <v>0</v>
      </c>
      <c r="P73" s="48">
        <v>0</v>
      </c>
      <c r="Q73" s="48">
        <v>0</v>
      </c>
      <c r="R73" s="48" t="str">
        <f>BIN2HEX(_xlfn.CONCAT(L73,M73,N73,O73,P73,Q73),2)</f>
        <v>00</v>
      </c>
    </row>
  </sheetData>
  <mergeCells count="3">
    <mergeCell ref="B2:B3"/>
    <mergeCell ref="D2:D3"/>
    <mergeCell ref="H7:I7"/>
  </mergeCells>
  <phoneticPr fontId="1" type="noConversion"/>
  <pageMargins left="0.7" right="0.7" top="0.75" bottom="0.75" header="0.3" footer="0.3"/>
  <headerFooter>
    <oddHeader>&amp;C&amp;G</oddHeader>
    <oddFooter xml:space="preserve">&amp;C_x000D_&amp;1#&amp;"맑은 고딕"&amp;6&amp;K737373 조범철( CHO BEOM CHEOL ) 전원구동반도체팀 / 1628629@mobis.com / 본 문서는 현대모비스의 대외비 정보자산이므로 무단 전재 및 복제할 수 없으며, 위반 시 당사 사규 및 관련 법규에 의해 제재될 수 있습니다. 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R51"/>
  <sheetViews>
    <sheetView topLeftCell="B1" zoomScaleNormal="100" workbookViewId="0">
      <pane ySplit="2" topLeftCell="A3" activePane="bottomLeft" state="frozen"/>
      <selection pane="bottomLeft" activeCell="H13" sqref="H13:I13"/>
    </sheetView>
  </sheetViews>
  <sheetFormatPr defaultColWidth="9" defaultRowHeight="12" x14ac:dyDescent="0.3"/>
  <cols>
    <col min="1" max="1" width="13.625" style="2" customWidth="1"/>
    <col min="2" max="2" width="10.625" style="1" customWidth="1"/>
    <col min="3" max="3" width="13.125" style="1" customWidth="1"/>
    <col min="4" max="15" width="6.625" style="2" customWidth="1"/>
    <col min="16" max="16" width="18" style="2" customWidth="1"/>
    <col min="17" max="17" width="16.125" style="2" customWidth="1"/>
    <col min="18" max="16384" width="9" style="2"/>
  </cols>
  <sheetData>
    <row r="1" spans="2:17" ht="6" customHeight="1" x14ac:dyDescent="0.3"/>
    <row r="2" spans="2:17" s="1" customFormat="1" ht="40.5" customHeight="1" x14ac:dyDescent="0.3"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</row>
    <row r="3" spans="2:17" ht="33" customHeight="1" x14ac:dyDescent="0.3">
      <c r="B3" s="64" t="s">
        <v>57</v>
      </c>
      <c r="C3" s="25" t="str">
        <f>VLOOKUP(B3,'Register Description'!$B$1:$C$220,2,FALSE)</f>
        <v>STATUS1</v>
      </c>
      <c r="D3" s="152" t="s">
        <v>58</v>
      </c>
      <c r="E3" s="152"/>
      <c r="F3" s="152"/>
      <c r="G3" s="152"/>
      <c r="H3" s="45" t="s">
        <v>59</v>
      </c>
      <c r="I3" s="8" t="s">
        <v>60</v>
      </c>
      <c r="J3" s="8" t="s">
        <v>61</v>
      </c>
      <c r="K3" s="146" t="s">
        <v>62</v>
      </c>
      <c r="L3" s="147"/>
      <c r="M3" s="148"/>
      <c r="N3" s="153" t="s">
        <v>580</v>
      </c>
      <c r="O3" s="153"/>
      <c r="P3" s="66" t="str">
        <f>_xlfn.CONCAT('Register Description'!F22,'Register Description'!G22,'Register Description'!H22,'Register Description'!I22,"_",'Register Description'!J22,'Register Description'!K22,'Register Description'!L22,'Register Description'!M22,"_",'Register Description'!N22,'Register Description'!O22,'Register Description'!P22,'Register Description'!Q22)</f>
        <v>0000_0000_0000</v>
      </c>
      <c r="Q3" s="67" t="str">
        <f>_xlfn.CONCAT("0x",BIN2HEX(_xlfn.CONCAT('Register Description'!F22,'Register Description'!G22,'Register Description'!H22,'Register Description'!I22),1),BIN2HEX(_xlfn.CONCAT('Register Description'!J22,'Register Description'!K22,'Register Description'!L22,'Register Description'!M22),1),BIN2HEX(_xlfn.CONCAT('Register Description'!N22,'Register Description'!O22,'Register Description'!P22,'Register Description'!Q22),1))</f>
        <v>0x000</v>
      </c>
    </row>
    <row r="4" spans="2:17" ht="33" customHeight="1" x14ac:dyDescent="0.3">
      <c r="B4" s="25" t="s">
        <v>63</v>
      </c>
      <c r="C4" s="25" t="str">
        <f>VLOOKUP(B4,'Register Description'!$B$1:$C$220,2,FALSE)</f>
        <v>STATUS2</v>
      </c>
      <c r="D4" s="46" t="s">
        <v>64</v>
      </c>
      <c r="E4" s="70" t="s">
        <v>639</v>
      </c>
      <c r="F4" s="11" t="s">
        <v>65</v>
      </c>
      <c r="G4" s="11" t="s">
        <v>66</v>
      </c>
      <c r="H4" s="11" t="s">
        <v>67</v>
      </c>
      <c r="I4" s="11" t="s">
        <v>68</v>
      </c>
      <c r="J4" s="11" t="s">
        <v>69</v>
      </c>
      <c r="K4" s="11" t="s">
        <v>70</v>
      </c>
      <c r="L4" s="11" t="s">
        <v>71</v>
      </c>
      <c r="M4" s="11" t="s">
        <v>72</v>
      </c>
      <c r="N4" s="11" t="s">
        <v>73</v>
      </c>
      <c r="O4" s="11" t="s">
        <v>74</v>
      </c>
      <c r="P4" s="66" t="str">
        <f>_xlfn.CONCAT('Register Description'!F33,'Register Description'!G33,'Register Description'!H33,'Register Description'!I33,"_",'Register Description'!J33,'Register Description'!K33,'Register Description'!L33,'Register Description'!M33,"_",'Register Description'!N33,'Register Description'!O33,'Register Description'!P33,'Register Description'!Q33)</f>
        <v>0010_0000_0000</v>
      </c>
      <c r="Q4" s="67" t="str">
        <f>_xlfn.CONCAT("0x",BIN2HEX(_xlfn.CONCAT('Register Description'!F33,'Register Description'!G33,'Register Description'!H33,'Register Description'!I33),1),BIN2HEX(_xlfn.CONCAT('Register Description'!J33,'Register Description'!K33,'Register Description'!L33,'Register Description'!M33),1),BIN2HEX(_xlfn.CONCAT('Register Description'!N33,'Register Description'!O33,'Register Description'!P33,'Register Description'!Q33),1))</f>
        <v>0x200</v>
      </c>
    </row>
    <row r="5" spans="2:17" ht="33" customHeight="1" x14ac:dyDescent="0.3">
      <c r="B5" s="25" t="s">
        <v>75</v>
      </c>
      <c r="C5" s="25" t="str">
        <f>VLOOKUP(B5,'Register Description'!$B$1:$C$220,2,FALSE)</f>
        <v>STATUS3</v>
      </c>
      <c r="D5" s="11" t="s">
        <v>76</v>
      </c>
      <c r="E5" s="11" t="s">
        <v>77</v>
      </c>
      <c r="F5" s="11" t="s">
        <v>78</v>
      </c>
      <c r="G5" s="11" t="s">
        <v>79</v>
      </c>
      <c r="H5" s="11" t="s">
        <v>80</v>
      </c>
      <c r="I5" s="11" t="s">
        <v>81</v>
      </c>
      <c r="J5" s="11" t="s">
        <v>82</v>
      </c>
      <c r="K5" s="11" t="s">
        <v>83</v>
      </c>
      <c r="L5" s="11" t="s">
        <v>84</v>
      </c>
      <c r="M5" s="69" t="s">
        <v>85</v>
      </c>
      <c r="N5" s="11" t="s">
        <v>86</v>
      </c>
      <c r="O5" s="11" t="s">
        <v>87</v>
      </c>
      <c r="P5" s="66" t="str">
        <f>_xlfn.CONCAT('Register Description'!F50,'Register Description'!G50,'Register Description'!H50,'Register Description'!I50,"_",'Register Description'!J50,'Register Description'!K50,'Register Description'!L50,'Register Description'!M50,"_",'Register Description'!N50,'Register Description'!O50,'Register Description'!P50,'Register Description'!Q50)</f>
        <v>0000_0000_0000</v>
      </c>
      <c r="Q5" s="67" t="str">
        <f>_xlfn.CONCAT("0x",BIN2HEX(_xlfn.CONCAT('Register Description'!F50,'Register Description'!G50,'Register Description'!H50,'Register Description'!I50),1),BIN2HEX(_xlfn.CONCAT('Register Description'!J50,'Register Description'!K50,'Register Description'!L50,'Register Description'!M50),1),BIN2HEX(_xlfn.CONCAT('Register Description'!N50,'Register Description'!O50,'Register Description'!P50,'Register Description'!Q50),1))</f>
        <v>0x000</v>
      </c>
    </row>
    <row r="6" spans="2:17" ht="33" customHeight="1" x14ac:dyDescent="0.3">
      <c r="B6" s="25" t="s">
        <v>88</v>
      </c>
      <c r="C6" s="25" t="str">
        <f>VLOOKUP(B6,'Register Description'!$B$1:$C$220,2,FALSE)</f>
        <v>TEMP</v>
      </c>
      <c r="D6" s="45" t="s">
        <v>59</v>
      </c>
      <c r="E6" s="45" t="s">
        <v>59</v>
      </c>
      <c r="F6" s="146" t="s">
        <v>89</v>
      </c>
      <c r="G6" s="147"/>
      <c r="H6" s="147"/>
      <c r="I6" s="147"/>
      <c r="J6" s="147"/>
      <c r="K6" s="147"/>
      <c r="L6" s="147"/>
      <c r="M6" s="147"/>
      <c r="N6" s="147"/>
      <c r="O6" s="148"/>
      <c r="P6" s="66" t="str">
        <f>_xlfn.CONCAT('Register Description'!F68,'Register Description'!G68,'Register Description'!H68,'Register Description'!I68,"_",'Register Description'!J68,'Register Description'!K68,'Register Description'!L68,'Register Description'!M68,"_",'Register Description'!N68,'Register Description'!O68,'Register Description'!P68,'Register Description'!Q68)</f>
        <v>0000_0000_0000</v>
      </c>
      <c r="Q6" s="67" t="str">
        <f>_xlfn.CONCAT("0x",BIN2HEX(_xlfn.CONCAT('Register Description'!F68,'Register Description'!G68,'Register Description'!H68,'Register Description'!I68),1),BIN2HEX(_xlfn.CONCAT('Register Description'!J68,'Register Description'!K68,'Register Description'!L68,'Register Description'!M68),1),BIN2HEX(_xlfn.CONCAT('Register Description'!N68,'Register Description'!O68,'Register Description'!P68,'Register Description'!Q68),1))</f>
        <v>0x000</v>
      </c>
    </row>
    <row r="7" spans="2:17" ht="33" customHeight="1" x14ac:dyDescent="0.3">
      <c r="B7" s="25" t="s">
        <v>90</v>
      </c>
      <c r="C7" s="25" t="str">
        <f>VLOOKUP(B7,'Register Description'!$B$1:$C$220,2,FALSE)</f>
        <v>VEXT_GPIO1</v>
      </c>
      <c r="D7" s="45" t="s">
        <v>59</v>
      </c>
      <c r="E7" s="45" t="s">
        <v>59</v>
      </c>
      <c r="F7" s="146" t="s">
        <v>91</v>
      </c>
      <c r="G7" s="147"/>
      <c r="H7" s="147"/>
      <c r="I7" s="147"/>
      <c r="J7" s="147"/>
      <c r="K7" s="147"/>
      <c r="L7" s="147"/>
      <c r="M7" s="147"/>
      <c r="N7" s="147"/>
      <c r="O7" s="148"/>
      <c r="P7" s="66" t="str">
        <f>_xlfn.CONCAT('Register Description'!F75,'Register Description'!G75,'Register Description'!H75,'Register Description'!I75,"_",'Register Description'!J75,'Register Description'!K75,'Register Description'!L75,'Register Description'!M75,"_",'Register Description'!N75,'Register Description'!O75,'Register Description'!P75,'Register Description'!Q75)</f>
        <v>0000_0000_0000</v>
      </c>
      <c r="Q7" s="67" t="str">
        <f>_xlfn.CONCAT("0x",BIN2HEX(_xlfn.CONCAT('Register Description'!F75,'Register Description'!G75,'Register Description'!H75,'Register Description'!I75),1),BIN2HEX(_xlfn.CONCAT('Register Description'!J75,'Register Description'!K75,'Register Description'!L75,'Register Description'!M75),1),BIN2HEX(_xlfn.CONCAT('Register Description'!N75,'Register Description'!O75,'Register Description'!P75,'Register Description'!Q75),1))</f>
        <v>0x000</v>
      </c>
    </row>
    <row r="8" spans="2:17" ht="33" customHeight="1" x14ac:dyDescent="0.3">
      <c r="B8" s="25" t="s">
        <v>92</v>
      </c>
      <c r="C8" s="25" t="str">
        <f>VLOOKUP(B8,'Register Description'!$B$1:$C$220,2,FALSE)</f>
        <v>VEXT_GPIO2</v>
      </c>
      <c r="D8" s="45" t="s">
        <v>59</v>
      </c>
      <c r="E8" s="45" t="s">
        <v>59</v>
      </c>
      <c r="F8" s="146" t="s">
        <v>93</v>
      </c>
      <c r="G8" s="147"/>
      <c r="H8" s="147"/>
      <c r="I8" s="147"/>
      <c r="J8" s="147"/>
      <c r="K8" s="147"/>
      <c r="L8" s="147"/>
      <c r="M8" s="147"/>
      <c r="N8" s="147"/>
      <c r="O8" s="148"/>
      <c r="P8" s="66" t="str">
        <f>_xlfn.CONCAT('Register Description'!F82,'Register Description'!G82,'Register Description'!H82,'Register Description'!I82,"_",'Register Description'!J82,'Register Description'!K82,'Register Description'!L82,'Register Description'!M82,"_",'Register Description'!N82,'Register Description'!O82,'Register Description'!P82,'Register Description'!Q82)</f>
        <v>0000_0000_0000</v>
      </c>
      <c r="Q8" s="67" t="str">
        <f>_xlfn.CONCAT("0x",BIN2HEX(_xlfn.CONCAT('Register Description'!F75,'Register Description'!G75,'Register Description'!H75,'Register Description'!I75),1),BIN2HEX(_xlfn.CONCAT('Register Description'!J75,'Register Description'!K75,'Register Description'!L75,'Register Description'!M75),1),BIN2HEX(_xlfn.CONCAT('Register Description'!N75,'Register Description'!O75,'Register Description'!P75,'Register Description'!Q75),1))</f>
        <v>0x000</v>
      </c>
    </row>
    <row r="9" spans="2:17" ht="33" customHeight="1" x14ac:dyDescent="0.3">
      <c r="B9" s="25" t="s">
        <v>586</v>
      </c>
      <c r="C9" s="25" t="s">
        <v>591</v>
      </c>
      <c r="D9" s="45" t="s">
        <v>59</v>
      </c>
      <c r="E9" s="45" t="s">
        <v>59</v>
      </c>
      <c r="F9" s="146" t="s">
        <v>584</v>
      </c>
      <c r="G9" s="147"/>
      <c r="H9" s="147"/>
      <c r="I9" s="147"/>
      <c r="J9" s="147"/>
      <c r="K9" s="147"/>
      <c r="L9" s="147"/>
      <c r="M9" s="147"/>
      <c r="N9" s="147"/>
      <c r="O9" s="148"/>
      <c r="P9" s="66" t="str">
        <f>_xlfn.CONCAT('Register Description'!F89,'Register Description'!G89,'Register Description'!H89,'Register Description'!I89,"_",'Register Description'!J89,'Register Description'!K89,'Register Description'!L89,'Register Description'!M89,"_",'Register Description'!N89,'Register Description'!O89,'Register Description'!P89,'Register Description'!Q89)</f>
        <v>0000_0000_0000</v>
      </c>
      <c r="Q9" s="67" t="str">
        <f>_xlfn.CONCAT("0x",BIN2HEX(_xlfn.CONCAT('Register Description'!F89,'Register Description'!G89,'Register Description'!H89,'Register Description'!I89),1),BIN2HEX(_xlfn.CONCAT('Register Description'!J89,'Register Description'!K89,'Register Description'!L89,'Register Description'!M89),1),BIN2HEX(_xlfn.CONCAT('Register Description'!N89,'Register Description'!O89,'Register Description'!P89,'Register Description'!Q89),1))</f>
        <v>0x000</v>
      </c>
    </row>
    <row r="10" spans="2:17" ht="33" customHeight="1" x14ac:dyDescent="0.3">
      <c r="B10" s="25" t="s">
        <v>587</v>
      </c>
      <c r="C10" s="25" t="str">
        <f>VLOOKUP(B10,'Register Description'!$B$1:$C$220,2,FALSE)</f>
        <v>SETUP1</v>
      </c>
      <c r="D10" s="45" t="s">
        <v>59</v>
      </c>
      <c r="E10" s="11" t="s">
        <v>95</v>
      </c>
      <c r="F10" s="146" t="s">
        <v>571</v>
      </c>
      <c r="G10" s="148"/>
      <c r="H10" s="11" t="s">
        <v>97</v>
      </c>
      <c r="I10" s="146" t="s">
        <v>98</v>
      </c>
      <c r="J10" s="147"/>
      <c r="K10" s="148"/>
      <c r="L10" s="146" t="s">
        <v>99</v>
      </c>
      <c r="M10" s="148"/>
      <c r="N10" s="11" t="s">
        <v>96</v>
      </c>
      <c r="O10" s="11" t="s">
        <v>100</v>
      </c>
      <c r="P10" s="66" t="str">
        <f>_xlfn.CONCAT('Register Description'!F97,'Register Description'!G97,'Register Description'!H97,'Register Description'!I97,"_",'Register Description'!J97,'Register Description'!K97,'Register Description'!L97,'Register Description'!M97,"_",'Register Description'!N97,'Register Description'!O97,'Register Description'!P97,'Register Description'!Q97)</f>
        <v>0001_1011_1101</v>
      </c>
      <c r="Q10" s="67" t="str">
        <f>_xlfn.CONCAT("0x",BIN2HEX(_xlfn.CONCAT('Register Description'!F97,'Register Description'!G97,'Register Description'!H97,'Register Description'!I97),1),BIN2HEX(_xlfn.CONCAT('Register Description'!J97,'Register Description'!K97,'Register Description'!L97,'Register Description'!M97),1),BIN2HEX(_xlfn.CONCAT('Register Description'!N97,'Register Description'!O97,'Register Description'!P97,'Register Description'!Q97),1))</f>
        <v>0x1BD</v>
      </c>
    </row>
    <row r="11" spans="2:17" ht="33" customHeight="1" x14ac:dyDescent="0.3">
      <c r="B11" s="25" t="s">
        <v>588</v>
      </c>
      <c r="C11" s="25" t="str">
        <f>VLOOKUP(B11,'Register Description'!$B$1:$C$220,2,FALSE)</f>
        <v>SETUP2</v>
      </c>
      <c r="D11" s="11" t="s">
        <v>102</v>
      </c>
      <c r="E11" s="8" t="s">
        <v>103</v>
      </c>
      <c r="F11" s="8" t="s">
        <v>104</v>
      </c>
      <c r="G11" s="8" t="s">
        <v>105</v>
      </c>
      <c r="H11" s="11" t="s">
        <v>106</v>
      </c>
      <c r="I11" s="8" t="s">
        <v>107</v>
      </c>
      <c r="J11" s="8" t="s">
        <v>108</v>
      </c>
      <c r="K11" s="8" t="s">
        <v>109</v>
      </c>
      <c r="L11" s="11" t="s">
        <v>110</v>
      </c>
      <c r="M11" s="8" t="s">
        <v>111</v>
      </c>
      <c r="N11" s="70" t="s">
        <v>112</v>
      </c>
      <c r="O11" s="8" t="s">
        <v>113</v>
      </c>
      <c r="P11" s="66" t="str">
        <f>_xlfn.CONCAT('Register Description'!F111,'Register Description'!G111,'Register Description'!H111,'Register Description'!I111,"_",'Register Description'!J111,'Register Description'!K111,'Register Description'!L111,'Register Description'!M111,"_",'Register Description'!N111,'Register Description'!O111,'Register Description'!P111,'Register Description'!Q111)</f>
        <v>0000_0000_0011</v>
      </c>
      <c r="Q11" s="67" t="str">
        <f>_xlfn.CONCAT("0x",BIN2HEX(_xlfn.CONCAT('Register Description'!F111,'Register Description'!G111,'Register Description'!H111,'Register Description'!I111),1),BIN2HEX(_xlfn.CONCAT('Register Description'!J111,'Register Description'!K111,'Register Description'!L111,'Register Description'!M111),1),BIN2HEX(_xlfn.CONCAT('Register Description'!N111,'Register Description'!O111,'Register Description'!P111,'Register Description'!Q111),1))</f>
        <v>0x003</v>
      </c>
    </row>
    <row r="12" spans="2:17" ht="33" customHeight="1" x14ac:dyDescent="0.3">
      <c r="B12" s="25" t="s">
        <v>589</v>
      </c>
      <c r="C12" s="25" t="str">
        <f>VLOOKUP(B12,'Register Description'!$B$1:$C$220,2,FALSE)</f>
        <v>SETUP3</v>
      </c>
      <c r="D12" s="110" t="s">
        <v>1141</v>
      </c>
      <c r="E12" s="110" t="s">
        <v>1144</v>
      </c>
      <c r="F12" s="110" t="s">
        <v>1145</v>
      </c>
      <c r="G12" s="110" t="s">
        <v>1146</v>
      </c>
      <c r="H12" s="110" t="s">
        <v>1011</v>
      </c>
      <c r="I12" s="70" t="s">
        <v>780</v>
      </c>
      <c r="J12" s="70" t="s">
        <v>585</v>
      </c>
      <c r="K12" s="70" t="s">
        <v>115</v>
      </c>
      <c r="L12" s="70" t="s">
        <v>116</v>
      </c>
      <c r="M12" s="11" t="s">
        <v>117</v>
      </c>
      <c r="N12" s="11" t="s">
        <v>118</v>
      </c>
      <c r="O12" s="11" t="s">
        <v>119</v>
      </c>
      <c r="P12" s="66" t="str">
        <f>_xlfn.CONCAT('Register Description'!F130,'Register Description'!G130,'Register Description'!H130,'Register Description'!I130,"_",'Register Description'!J130,'Register Description'!K130,'Register Description'!L130,'Register Description'!M130,"_",'Register Description'!N130,'Register Description'!O130,'Register Description'!P130,'Register Description'!Q130)</f>
        <v>0111_1000_0000</v>
      </c>
      <c r="Q12" s="67" t="str">
        <f>_xlfn.CONCAT("0x",BIN2HEX(_xlfn.CONCAT('Register Description'!F130,'Register Description'!G130,'Register Description'!H130,'Register Description'!I130),1),BIN2HEX(_xlfn.CONCAT('Register Description'!J130,'Register Description'!K130,'Register Description'!L130,'Register Description'!M130),1),BIN2HEX(_xlfn.CONCAT('Register Description'!N130,'Register Description'!O130,'Register Description'!P130,'Register Description'!Q130),1))</f>
        <v>0x780</v>
      </c>
    </row>
    <row r="13" spans="2:17" ht="33" customHeight="1" x14ac:dyDescent="0.3">
      <c r="B13" s="25" t="s">
        <v>122</v>
      </c>
      <c r="C13" s="25" t="str">
        <f>VLOOKUP(B13,'Register Description'!$B$1:$C$220,2,FALSE)</f>
        <v>SETUP4</v>
      </c>
      <c r="D13" s="45" t="s">
        <v>627</v>
      </c>
      <c r="E13" s="45" t="s">
        <v>627</v>
      </c>
      <c r="F13" s="45" t="s">
        <v>627</v>
      </c>
      <c r="G13" s="11" t="s">
        <v>1096</v>
      </c>
      <c r="H13" s="154" t="s">
        <v>1193</v>
      </c>
      <c r="I13" s="155"/>
      <c r="J13" s="11" t="s">
        <v>1139</v>
      </c>
      <c r="K13" s="11" t="s">
        <v>1140</v>
      </c>
      <c r="L13" s="11" t="s">
        <v>603</v>
      </c>
      <c r="M13" s="11" t="s">
        <v>602</v>
      </c>
      <c r="N13" s="11" t="s">
        <v>601</v>
      </c>
      <c r="O13" s="11" t="s">
        <v>600</v>
      </c>
      <c r="P13" s="66" t="str">
        <f>_xlfn.CONCAT('Register Description'!F149,'Register Description'!G149,'Register Description'!H149,'Register Description'!I149,"_",'Register Description'!J149,'Register Description'!K149,'Register Description'!L149,'Register Description'!M149,"_",'Register Description'!N149,'Register Description'!O149,'Register Description'!P149,'Register Description'!Q149)</f>
        <v>0000_0111_1111</v>
      </c>
      <c r="Q13" s="67" t="str">
        <f>_xlfn.CONCAT("0x",BIN2HEX(_xlfn.CONCAT('Register Description'!F149,'Register Description'!G149,'Register Description'!H149,'Register Description'!I149),1),BIN2HEX(_xlfn.CONCAT('Register Description'!J149,'Register Description'!K149,'Register Description'!L149,'Register Description'!M149),1),BIN2HEX(_xlfn.CONCAT('Register Description'!N149,'Register Description'!O149,'Register Description'!P149,'Register Description'!Q149),1))</f>
        <v>0x07F</v>
      </c>
    </row>
    <row r="14" spans="2:17" ht="33" customHeight="1" x14ac:dyDescent="0.3">
      <c r="B14" s="25" t="s">
        <v>123</v>
      </c>
      <c r="C14" s="25" t="str">
        <f>VLOOKUP(B14,'Register Description'!$B$1:$C$220,2,FALSE)</f>
        <v>TIMEOUT</v>
      </c>
      <c r="D14" s="149" t="s">
        <v>121</v>
      </c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1"/>
      <c r="P14" s="66" t="str">
        <f>_xlfn.CONCAT('Register Description'!F163,'Register Description'!G163,'Register Description'!H163,'Register Description'!I163,"_",'Register Description'!J163,'Register Description'!K163,'Register Description'!L163,'Register Description'!M163,"_",'Register Description'!N163,'Register Description'!O163,'Register Description'!P163,'Register Description'!Q163)</f>
        <v>1000_0000_0000</v>
      </c>
      <c r="Q14" s="67" t="str">
        <f>_xlfn.CONCAT("0x",BIN2HEX(_xlfn.CONCAT('Register Description'!F163,'Register Description'!G163,'Register Description'!H163,'Register Description'!I163),1),BIN2HEX(_xlfn.CONCAT('Register Description'!J163,'Register Description'!K163,'Register Description'!L163,'Register Description'!M163),1),BIN2HEX(_xlfn.CONCAT('Register Description'!N163,'Register Description'!O163,'Register Description'!P163,'Register Description'!Q163),1))</f>
        <v>0x800</v>
      </c>
    </row>
    <row r="15" spans="2:17" ht="33" customHeight="1" x14ac:dyDescent="0.3">
      <c r="B15" s="25" t="s">
        <v>124</v>
      </c>
      <c r="C15" s="25" t="str">
        <f>VLOOKUP(B15,'Register Description'!$B$1:$C$220,2,FALSE)</f>
        <v>CMD_SET1</v>
      </c>
      <c r="D15" s="87" t="s">
        <v>916</v>
      </c>
      <c r="E15" s="146" t="s">
        <v>995</v>
      </c>
      <c r="F15" s="147"/>
      <c r="G15" s="148"/>
      <c r="H15" s="146" t="s">
        <v>867</v>
      </c>
      <c r="I15" s="147"/>
      <c r="J15" s="147"/>
      <c r="K15" s="147"/>
      <c r="L15" s="147"/>
      <c r="M15" s="147"/>
      <c r="N15" s="147"/>
      <c r="O15" s="148"/>
      <c r="P15" s="66" t="str">
        <f>_xlfn.CONCAT('Register Description'!F170,'Register Description'!G170,'Register Description'!H170,'Register Description'!I170,"_",'Register Description'!J170,'Register Description'!K170,'Register Description'!L170,'Register Description'!M170,"_",'Register Description'!N170,'Register Description'!O170,'Register Description'!P170,'Register Description'!Q170)</f>
        <v>0000_0000_0000</v>
      </c>
      <c r="Q15" s="67" t="str">
        <f>_xlfn.CONCAT("0x",BIN2HEX(_xlfn.CONCAT('Register Description'!F170,'Register Description'!G170,'Register Description'!H170,'Register Description'!I170),1),BIN2HEX(_xlfn.CONCAT('Register Description'!J170,'Register Description'!K170,'Register Description'!L170,'Register Description'!M170),1),BIN2HEX(_xlfn.CONCAT('Register Description'!N170,'Register Description'!O170,'Register Description'!P170,'Register Description'!Q170),1))</f>
        <v>0x000</v>
      </c>
    </row>
    <row r="16" spans="2:17" ht="33" customHeight="1" x14ac:dyDescent="0.3">
      <c r="B16" s="25" t="s">
        <v>125</v>
      </c>
      <c r="C16" s="25" t="str">
        <f>VLOOKUP(B16,'Register Description'!$B$1:$C$220,2,FALSE)</f>
        <v>CMD_SET2</v>
      </c>
      <c r="D16" s="87" t="s">
        <v>921</v>
      </c>
      <c r="E16" s="146" t="s">
        <v>996</v>
      </c>
      <c r="F16" s="147"/>
      <c r="G16" s="148"/>
      <c r="H16" s="146" t="s">
        <v>868</v>
      </c>
      <c r="I16" s="147"/>
      <c r="J16" s="147"/>
      <c r="K16" s="147"/>
      <c r="L16" s="147"/>
      <c r="M16" s="147"/>
      <c r="N16" s="147"/>
      <c r="O16" s="148"/>
      <c r="P16" s="66" t="str">
        <f>_xlfn.CONCAT('Register Description'!F179,'Register Description'!G179,'Register Description'!H179,'Register Description'!I179,"_",'Register Description'!J179,'Register Description'!K179,'Register Description'!L179,'Register Description'!M179,"_",'Register Description'!N179,'Register Description'!O179,'Register Description'!P179,'Register Description'!Q179)</f>
        <v>0000_0000_0000</v>
      </c>
      <c r="Q16" s="67" t="str">
        <f>_xlfn.CONCAT("0x",BIN2HEX(_xlfn.CONCAT('Register Description'!F179,'Register Description'!G179,'Register Description'!H179,'Register Description'!I179),1),BIN2HEX(_xlfn.CONCAT('Register Description'!J179,'Register Description'!K179,'Register Description'!L179,'Register Description'!M179),1),BIN2HEX(_xlfn.CONCAT('Register Description'!N179,'Register Description'!O179,'Register Description'!P179,'Register Description'!Q179),1))</f>
        <v>0x000</v>
      </c>
    </row>
    <row r="17" spans="2:18" ht="33" customHeight="1" x14ac:dyDescent="0.3">
      <c r="B17" s="25" t="s">
        <v>126</v>
      </c>
      <c r="C17" s="25" t="str">
        <f>VLOOKUP(B17,'Register Description'!$B$1:$C$220,2,FALSE)</f>
        <v>CMD_SET3</v>
      </c>
      <c r="D17" s="87" t="s">
        <v>981</v>
      </c>
      <c r="E17" s="146" t="s">
        <v>997</v>
      </c>
      <c r="F17" s="147"/>
      <c r="G17" s="148"/>
      <c r="H17" s="146" t="s">
        <v>869</v>
      </c>
      <c r="I17" s="147"/>
      <c r="J17" s="147"/>
      <c r="K17" s="147"/>
      <c r="L17" s="147"/>
      <c r="M17" s="147"/>
      <c r="N17" s="147"/>
      <c r="O17" s="148"/>
      <c r="P17" s="66" t="str">
        <f>_xlfn.CONCAT('Register Description'!F188,'Register Description'!G188,'Register Description'!H188,'Register Description'!I188,"_",'Register Description'!J188,'Register Description'!K188,'Register Description'!L188,'Register Description'!M188,"_",'Register Description'!N188,'Register Description'!O188,'Register Description'!P188,'Register Description'!Q188)</f>
        <v>0000_0000_0000</v>
      </c>
      <c r="Q17" s="67" t="str">
        <f>_xlfn.CONCAT("0x",BIN2HEX(_xlfn.CONCAT('Register Description'!F188,'Register Description'!G188,'Register Description'!H188,'Register Description'!I188),1),BIN2HEX(_xlfn.CONCAT('Register Description'!J188,'Register Description'!K188,'Register Description'!L188,'Register Description'!M188),1),BIN2HEX(_xlfn.CONCAT('Register Description'!N188,'Register Description'!O188,'Register Description'!P188,'Register Description'!Q188),1))</f>
        <v>0x000</v>
      </c>
    </row>
    <row r="18" spans="2:18" ht="33" customHeight="1" x14ac:dyDescent="0.3">
      <c r="B18" s="25" t="s">
        <v>590</v>
      </c>
      <c r="C18" s="25" t="str">
        <f>VLOOKUP(B18,'Register Description'!$B$1:$C$220,2,FALSE)</f>
        <v>CMD_SET4</v>
      </c>
      <c r="D18" s="87" t="s">
        <v>982</v>
      </c>
      <c r="E18" s="146" t="s">
        <v>998</v>
      </c>
      <c r="F18" s="147"/>
      <c r="G18" s="148"/>
      <c r="H18" s="146" t="s">
        <v>870</v>
      </c>
      <c r="I18" s="147"/>
      <c r="J18" s="147"/>
      <c r="K18" s="147"/>
      <c r="L18" s="147"/>
      <c r="M18" s="147"/>
      <c r="N18" s="147"/>
      <c r="O18" s="148"/>
      <c r="P18" s="66" t="str">
        <f>_xlfn.CONCAT('Register Description'!F197,'Register Description'!G197,'Register Description'!H197,'Register Description'!I197,"_",'Register Description'!J197,'Register Description'!K197,'Register Description'!L197,'Register Description'!M197,"_",'Register Description'!N197,'Register Description'!O197,'Register Description'!P197,'Register Description'!Q197)</f>
        <v>0000_0000_0000</v>
      </c>
      <c r="Q18" s="67" t="str">
        <f>_xlfn.CONCAT("0x",BIN2HEX(_xlfn.CONCAT('Register Description'!F197,'Register Description'!G197,'Register Description'!H197,'Register Description'!I197),1),BIN2HEX(_xlfn.CONCAT('Register Description'!J197,'Register Description'!K197,'Register Description'!L197,'Register Description'!M197),1),BIN2HEX(_xlfn.CONCAT('Register Description'!N197,'Register Description'!O197,'Register Description'!P197,'Register Description'!Q197),1))</f>
        <v>0x000</v>
      </c>
    </row>
    <row r="19" spans="2:18" ht="33" customHeight="1" x14ac:dyDescent="0.3">
      <c r="B19" s="25" t="s">
        <v>127</v>
      </c>
      <c r="C19" s="25" t="str">
        <f>VLOOKUP(B19,'Register Description'!$B$1:$C$220,2,FALSE)</f>
        <v>CMD_SET5</v>
      </c>
      <c r="D19" s="87" t="s">
        <v>983</v>
      </c>
      <c r="E19" s="146" t="s">
        <v>999</v>
      </c>
      <c r="F19" s="147"/>
      <c r="G19" s="148"/>
      <c r="H19" s="146" t="s">
        <v>871</v>
      </c>
      <c r="I19" s="147"/>
      <c r="J19" s="147"/>
      <c r="K19" s="147"/>
      <c r="L19" s="147"/>
      <c r="M19" s="147"/>
      <c r="N19" s="147"/>
      <c r="O19" s="148"/>
      <c r="P19" s="66" t="str">
        <f>_xlfn.CONCAT('Register Description'!F206,'Register Description'!G206,'Register Description'!H206,'Register Description'!I206,"_",'Register Description'!J206,'Register Description'!K206,'Register Description'!L206,'Register Description'!M206,"_",'Register Description'!N206,'Register Description'!O206,'Register Description'!P206,'Register Description'!Q206)</f>
        <v>0000_0000_0000</v>
      </c>
      <c r="Q19" s="67" t="str">
        <f>_xlfn.CONCAT("0x",BIN2HEX(_xlfn.CONCAT('Register Description'!F206,'Register Description'!G206,'Register Description'!H206,'Register Description'!I206),1),BIN2HEX(_xlfn.CONCAT('Register Description'!J206,'Register Description'!K206,'Register Description'!L206,'Register Description'!M206),1),BIN2HEX(_xlfn.CONCAT('Register Description'!N206,'Register Description'!O206,'Register Description'!P206,'Register Description'!Q206),1))</f>
        <v>0x000</v>
      </c>
    </row>
    <row r="20" spans="2:18" ht="33" customHeight="1" x14ac:dyDescent="0.3">
      <c r="B20" s="25" t="s">
        <v>808</v>
      </c>
      <c r="C20" s="25" t="str">
        <f>VLOOKUP(B20,'Register Description'!$B$1:$C$522,2,FALSE)</f>
        <v>CMD_SET6</v>
      </c>
      <c r="D20" s="87" t="s">
        <v>984</v>
      </c>
      <c r="E20" s="146" t="s">
        <v>1000</v>
      </c>
      <c r="F20" s="147"/>
      <c r="G20" s="148"/>
      <c r="H20" s="146" t="s">
        <v>872</v>
      </c>
      <c r="I20" s="147"/>
      <c r="J20" s="147"/>
      <c r="K20" s="147"/>
      <c r="L20" s="147"/>
      <c r="M20" s="147"/>
      <c r="N20" s="147"/>
      <c r="O20" s="148"/>
      <c r="P20" s="66" t="str">
        <f>_xlfn.CONCAT('Register Description'!F215,'Register Description'!G215,'Register Description'!H215,'Register Description'!I215,"_",'Register Description'!J215,'Register Description'!K215,'Register Description'!L215,'Register Description'!M215,"_",'Register Description'!N215,'Register Description'!O215,'Register Description'!P215,'Register Description'!Q215)</f>
        <v>0000_0000_0000</v>
      </c>
      <c r="Q20" s="67" t="str">
        <f>_xlfn.CONCAT("0x",BIN2HEX(_xlfn.CONCAT('Register Description'!F215,'Register Description'!G215,'Register Description'!H215,'Register Description'!I215),1),BIN2HEX(_xlfn.CONCAT('Register Description'!J215,'Register Description'!K215,'Register Description'!L215,'Register Description'!M215),1),BIN2HEX(_xlfn.CONCAT('Register Description'!N215,'Register Description'!O215,'Register Description'!P215,'Register Description'!Q215),1))</f>
        <v>0x000</v>
      </c>
      <c r="R20" s="71"/>
    </row>
    <row r="21" spans="2:18" ht="33" customHeight="1" x14ac:dyDescent="0.3">
      <c r="B21" s="25" t="s">
        <v>810</v>
      </c>
      <c r="C21" s="25" t="str">
        <f>VLOOKUP(B21,'Register Description'!$B$1:$C$522,2,FALSE)</f>
        <v>CMD_SET7</v>
      </c>
      <c r="D21" s="87" t="s">
        <v>985</v>
      </c>
      <c r="E21" s="146" t="s">
        <v>1001</v>
      </c>
      <c r="F21" s="147"/>
      <c r="G21" s="148"/>
      <c r="H21" s="146" t="s">
        <v>873</v>
      </c>
      <c r="I21" s="147"/>
      <c r="J21" s="147"/>
      <c r="K21" s="147"/>
      <c r="L21" s="147"/>
      <c r="M21" s="147"/>
      <c r="N21" s="147"/>
      <c r="O21" s="148"/>
      <c r="P21" s="66" t="str">
        <f>_xlfn.CONCAT('Register Description'!F224,'Register Description'!G224,'Register Description'!H224,'Register Description'!I224,"_",'Register Description'!J224,'Register Description'!K224,'Register Description'!L224,'Register Description'!M224,"_",'Register Description'!N224,'Register Description'!O224,'Register Description'!P224,'Register Description'!Q224)</f>
        <v>0000_0000_0000</v>
      </c>
      <c r="Q21" s="67" t="str">
        <f>_xlfn.CONCAT("0x",BIN2HEX(_xlfn.CONCAT('Register Description'!F224,'Register Description'!G224,'Register Description'!H224,'Register Description'!I224),1),BIN2HEX(_xlfn.CONCAT('Register Description'!J224,'Register Description'!K224,'Register Description'!L224,'Register Description'!M224),1),BIN2HEX(_xlfn.CONCAT('Register Description'!N224,'Register Description'!O224,'Register Description'!P224,'Register Description'!Q224),1))</f>
        <v>0x000</v>
      </c>
      <c r="R21" s="71"/>
    </row>
    <row r="22" spans="2:18" ht="33" customHeight="1" x14ac:dyDescent="0.3">
      <c r="B22" s="25" t="s">
        <v>812</v>
      </c>
      <c r="C22" s="25" t="str">
        <f>VLOOKUP(B22,'Register Description'!$B$1:$C$522,2,FALSE)</f>
        <v>CMD_SET8</v>
      </c>
      <c r="D22" s="87" t="s">
        <v>986</v>
      </c>
      <c r="E22" s="146" t="s">
        <v>1002</v>
      </c>
      <c r="F22" s="147"/>
      <c r="G22" s="148"/>
      <c r="H22" s="146" t="s">
        <v>874</v>
      </c>
      <c r="I22" s="147"/>
      <c r="J22" s="147"/>
      <c r="K22" s="147"/>
      <c r="L22" s="147"/>
      <c r="M22" s="147"/>
      <c r="N22" s="147"/>
      <c r="O22" s="148"/>
      <c r="P22" s="66" t="str">
        <f>_xlfn.CONCAT('Register Description'!F233,'Register Description'!G233,'Register Description'!H233,'Register Description'!I233,"_",'Register Description'!J233,'Register Description'!K233,'Register Description'!L233,'Register Description'!M233,"_",'Register Description'!N233,'Register Description'!O233,'Register Description'!P233,'Register Description'!Q233)</f>
        <v>0000_0000_0000</v>
      </c>
      <c r="Q22" s="67" t="str">
        <f>_xlfn.CONCAT("0x",BIN2HEX(_xlfn.CONCAT('Register Description'!F233,'Register Description'!G233,'Register Description'!H233,'Register Description'!I233),1),BIN2HEX(_xlfn.CONCAT('Register Description'!J233,'Register Description'!K233,'Register Description'!L233,'Register Description'!M233),1),BIN2HEX(_xlfn.CONCAT('Register Description'!N233,'Register Description'!O233,'Register Description'!P233,'Register Description'!Q233),1))</f>
        <v>0x000</v>
      </c>
    </row>
    <row r="23" spans="2:18" ht="33" customHeight="1" x14ac:dyDescent="0.3">
      <c r="B23" s="25" t="s">
        <v>814</v>
      </c>
      <c r="C23" s="25" t="str">
        <f>VLOOKUP(B23,'Register Description'!$B$1:$C$522,2,FALSE)</f>
        <v>CMD_SET9</v>
      </c>
      <c r="D23" s="87" t="s">
        <v>987</v>
      </c>
      <c r="E23" s="146" t="s">
        <v>1003</v>
      </c>
      <c r="F23" s="147"/>
      <c r="G23" s="148"/>
      <c r="H23" s="146" t="s">
        <v>875</v>
      </c>
      <c r="I23" s="147"/>
      <c r="J23" s="147"/>
      <c r="K23" s="147"/>
      <c r="L23" s="147"/>
      <c r="M23" s="147"/>
      <c r="N23" s="147"/>
      <c r="O23" s="148"/>
      <c r="P23" s="66" t="str">
        <f>_xlfn.CONCAT('Register Description'!F242,'Register Description'!G242,'Register Description'!H242,'Register Description'!I242,"_",'Register Description'!J242,'Register Description'!K242,'Register Description'!L242,'Register Description'!M242,"_",'Register Description'!N242,'Register Description'!O242,'Register Description'!P242,'Register Description'!Q242)</f>
        <v>0000_0000_0000</v>
      </c>
      <c r="Q23" s="67" t="str">
        <f>_xlfn.CONCAT("0x",BIN2HEX(_xlfn.CONCAT('Register Description'!F242,'Register Description'!G242,'Register Description'!H242,'Register Description'!I242),1),BIN2HEX(_xlfn.CONCAT('Register Description'!J242,'Register Description'!K242,'Register Description'!L242,'Register Description'!M242),1),BIN2HEX(_xlfn.CONCAT('Register Description'!N242,'Register Description'!O242,'Register Description'!P242,'Register Description'!Q242),1))</f>
        <v>0x000</v>
      </c>
    </row>
    <row r="24" spans="2:18" ht="33" customHeight="1" x14ac:dyDescent="0.3">
      <c r="B24" s="25" t="s">
        <v>817</v>
      </c>
      <c r="C24" s="25" t="str">
        <f>VLOOKUP(B24,'Register Description'!$B$1:$C$522,2,FALSE)</f>
        <v>CMD_SET10</v>
      </c>
      <c r="D24" s="87" t="s">
        <v>988</v>
      </c>
      <c r="E24" s="146" t="s">
        <v>1004</v>
      </c>
      <c r="F24" s="147"/>
      <c r="G24" s="148"/>
      <c r="H24" s="146" t="s">
        <v>876</v>
      </c>
      <c r="I24" s="147"/>
      <c r="J24" s="147"/>
      <c r="K24" s="147"/>
      <c r="L24" s="147"/>
      <c r="M24" s="147"/>
      <c r="N24" s="147"/>
      <c r="O24" s="148"/>
      <c r="P24" s="66" t="str">
        <f>_xlfn.CONCAT('Register Description'!F251,'Register Description'!G251,'Register Description'!H251,'Register Description'!I251,"_",'Register Description'!J251,'Register Description'!K251,'Register Description'!L251,'Register Description'!M251,"_",'Register Description'!N251,'Register Description'!O251,'Register Description'!P251,'Register Description'!Q251)</f>
        <v>0000_0000_0000</v>
      </c>
      <c r="Q24" s="67" t="str">
        <f>_xlfn.CONCAT("0x",BIN2HEX(_xlfn.CONCAT('Register Description'!F251,'Register Description'!G251,'Register Description'!H251,'Register Description'!I251),1),BIN2HEX(_xlfn.CONCAT('Register Description'!J251,'Register Description'!K251,'Register Description'!L251,'Register Description'!M251),1),BIN2HEX(_xlfn.CONCAT('Register Description'!N251,'Register Description'!O251,'Register Description'!P251,'Register Description'!Q251),1))</f>
        <v>0x000</v>
      </c>
    </row>
    <row r="25" spans="2:18" ht="33" customHeight="1" x14ac:dyDescent="0.3">
      <c r="B25" s="25" t="s">
        <v>820</v>
      </c>
      <c r="C25" s="25" t="str">
        <f>VLOOKUP(B25,'Register Description'!$B$1:$C$522,2,FALSE)</f>
        <v>CMD_SET11</v>
      </c>
      <c r="D25" s="87" t="s">
        <v>989</v>
      </c>
      <c r="E25" s="146" t="s">
        <v>1005</v>
      </c>
      <c r="F25" s="147"/>
      <c r="G25" s="148"/>
      <c r="H25" s="146" t="s">
        <v>877</v>
      </c>
      <c r="I25" s="147"/>
      <c r="J25" s="147"/>
      <c r="K25" s="147"/>
      <c r="L25" s="147"/>
      <c r="M25" s="147"/>
      <c r="N25" s="147"/>
      <c r="O25" s="148"/>
      <c r="P25" s="66" t="str">
        <f>_xlfn.CONCAT('Register Description'!F260,'Register Description'!G260,'Register Description'!H260,'Register Description'!I260,"_",'Register Description'!J260,'Register Description'!K260,'Register Description'!L260,'Register Description'!M260,"_",'Register Description'!N260,'Register Description'!O260,'Register Description'!P260,'Register Description'!Q260)</f>
        <v>0000_0000_0000</v>
      </c>
      <c r="Q25" s="67" t="str">
        <f>_xlfn.CONCAT("0x",BIN2HEX(_xlfn.CONCAT('Register Description'!F260,'Register Description'!G260,'Register Description'!H260,'Register Description'!I260),1),BIN2HEX(_xlfn.CONCAT('Register Description'!J260,'Register Description'!K260,'Register Description'!L260,'Register Description'!M260),1),BIN2HEX(_xlfn.CONCAT('Register Description'!N260,'Register Description'!O260,'Register Description'!P260,'Register Description'!Q260),1))</f>
        <v>0x000</v>
      </c>
    </row>
    <row r="26" spans="2:18" ht="33" customHeight="1" x14ac:dyDescent="0.3">
      <c r="B26" s="25" t="s">
        <v>824</v>
      </c>
      <c r="C26" s="25" t="str">
        <f>VLOOKUP(B26,'Register Description'!$B$1:$C$522,2,FALSE)</f>
        <v>CMD_SET12</v>
      </c>
      <c r="D26" s="87" t="s">
        <v>990</v>
      </c>
      <c r="E26" s="146" t="s">
        <v>1006</v>
      </c>
      <c r="F26" s="147"/>
      <c r="G26" s="148"/>
      <c r="H26" s="146" t="s">
        <v>878</v>
      </c>
      <c r="I26" s="147"/>
      <c r="J26" s="147"/>
      <c r="K26" s="147"/>
      <c r="L26" s="147"/>
      <c r="M26" s="147"/>
      <c r="N26" s="147"/>
      <c r="O26" s="148"/>
      <c r="P26" s="66" t="str">
        <f>_xlfn.CONCAT('Register Description'!F269,'Register Description'!G269,'Register Description'!H269,'Register Description'!I269,"_",'Register Description'!J269,'Register Description'!K269,'Register Description'!L269,'Register Description'!M269,"_",'Register Description'!N269,'Register Description'!O269,'Register Description'!P269,'Register Description'!Q269)</f>
        <v>0000_0000_0000</v>
      </c>
      <c r="Q26" s="67" t="str">
        <f>_xlfn.CONCAT("0x",BIN2HEX(_xlfn.CONCAT('Register Description'!F269,'Register Description'!G269,'Register Description'!H269,'Register Description'!I269),1),BIN2HEX(_xlfn.CONCAT('Register Description'!J269,'Register Description'!K269,'Register Description'!L269,'Register Description'!M269),1),BIN2HEX(_xlfn.CONCAT('Register Description'!N269,'Register Description'!O269,'Register Description'!P269,'Register Description'!Q269),1))</f>
        <v>0x000</v>
      </c>
    </row>
    <row r="27" spans="2:18" ht="33" customHeight="1" x14ac:dyDescent="0.3">
      <c r="B27" s="25" t="s">
        <v>826</v>
      </c>
      <c r="C27" s="25" t="str">
        <f>VLOOKUP(B27,'Register Description'!$B$1:$C$522,2,FALSE)</f>
        <v>CMD_SET13</v>
      </c>
      <c r="D27" s="87" t="s">
        <v>991</v>
      </c>
      <c r="E27" s="146" t="s">
        <v>1007</v>
      </c>
      <c r="F27" s="147"/>
      <c r="G27" s="148"/>
      <c r="H27" s="146" t="s">
        <v>879</v>
      </c>
      <c r="I27" s="147"/>
      <c r="J27" s="147"/>
      <c r="K27" s="147"/>
      <c r="L27" s="147"/>
      <c r="M27" s="147"/>
      <c r="N27" s="147"/>
      <c r="O27" s="148"/>
      <c r="P27" s="66" t="str">
        <f>_xlfn.CONCAT('Register Description'!F278,'Register Description'!G278,'Register Description'!H278,'Register Description'!I278,"_",'Register Description'!J278,'Register Description'!K278,'Register Description'!L278,'Register Description'!M278,"_",'Register Description'!N278,'Register Description'!O278,'Register Description'!P278,'Register Description'!Q278)</f>
        <v>0000_0000_0000</v>
      </c>
      <c r="Q27" s="67" t="str">
        <f>_xlfn.CONCAT("0x",BIN2HEX(_xlfn.CONCAT('Register Description'!F278,'Register Description'!G278,'Register Description'!H278,'Register Description'!I278),1),BIN2HEX(_xlfn.CONCAT('Register Description'!J278,'Register Description'!K278,'Register Description'!L278,'Register Description'!M278),1),BIN2HEX(_xlfn.CONCAT('Register Description'!N278,'Register Description'!O278,'Register Description'!P278,'Register Description'!Q278),1))</f>
        <v>0x000</v>
      </c>
    </row>
    <row r="28" spans="2:18" ht="33" customHeight="1" x14ac:dyDescent="0.3">
      <c r="B28" s="25" t="s">
        <v>829</v>
      </c>
      <c r="C28" s="25" t="str">
        <f>VLOOKUP(B28,'Register Description'!$B$1:$C$522,2,FALSE)</f>
        <v>CMD_SET14</v>
      </c>
      <c r="D28" s="87" t="s">
        <v>992</v>
      </c>
      <c r="E28" s="146" t="s">
        <v>1008</v>
      </c>
      <c r="F28" s="147"/>
      <c r="G28" s="148"/>
      <c r="H28" s="146" t="s">
        <v>880</v>
      </c>
      <c r="I28" s="147"/>
      <c r="J28" s="147"/>
      <c r="K28" s="147"/>
      <c r="L28" s="147"/>
      <c r="M28" s="147"/>
      <c r="N28" s="147"/>
      <c r="O28" s="148"/>
      <c r="P28" s="66" t="str">
        <f>_xlfn.CONCAT('Register Description'!F287,'Register Description'!G287,'Register Description'!H287,'Register Description'!I287,"_",'Register Description'!J287,'Register Description'!K287,'Register Description'!L287,'Register Description'!M287,"_",'Register Description'!N287,'Register Description'!O287,'Register Description'!P287,'Register Description'!Q287)</f>
        <v>0000_0000_0000</v>
      </c>
      <c r="Q28" s="67" t="str">
        <f>_xlfn.CONCAT("0x",BIN2HEX(_xlfn.CONCAT('Register Description'!F287,'Register Description'!G287,'Register Description'!H287,'Register Description'!I287),1),BIN2HEX(_xlfn.CONCAT('Register Description'!J287,'Register Description'!K287,'Register Description'!L287,'Register Description'!M287),1),BIN2HEX(_xlfn.CONCAT('Register Description'!N287,'Register Description'!O287,'Register Description'!P287,'Register Description'!Q287),1))</f>
        <v>0x000</v>
      </c>
    </row>
    <row r="29" spans="2:18" ht="33" customHeight="1" x14ac:dyDescent="0.3">
      <c r="B29" s="25" t="s">
        <v>832</v>
      </c>
      <c r="C29" s="25" t="str">
        <f>VLOOKUP(B29,'Register Description'!$B$1:$C$522,2,FALSE)</f>
        <v>CMD_SET15</v>
      </c>
      <c r="D29" s="87" t="s">
        <v>993</v>
      </c>
      <c r="E29" s="146" t="s">
        <v>1009</v>
      </c>
      <c r="F29" s="147"/>
      <c r="G29" s="148"/>
      <c r="H29" s="146" t="s">
        <v>881</v>
      </c>
      <c r="I29" s="147"/>
      <c r="J29" s="147"/>
      <c r="K29" s="147"/>
      <c r="L29" s="147"/>
      <c r="M29" s="147"/>
      <c r="N29" s="147"/>
      <c r="O29" s="148"/>
      <c r="P29" s="66" t="str">
        <f>_xlfn.CONCAT('Register Description'!F296,'Register Description'!G296,'Register Description'!H296,'Register Description'!I296,"_",'Register Description'!J296,'Register Description'!K296,'Register Description'!L296,'Register Description'!M296,"_",'Register Description'!N296,'Register Description'!O296,'Register Description'!P296,'Register Description'!Q296)</f>
        <v>0000_0000_0000</v>
      </c>
      <c r="Q29" s="67" t="str">
        <f>_xlfn.CONCAT("0x",BIN2HEX(_xlfn.CONCAT('Register Description'!F296,'Register Description'!G296,'Register Description'!H296,'Register Description'!I296),1),BIN2HEX(_xlfn.CONCAT('Register Description'!J296,'Register Description'!K296,'Register Description'!L296,'Register Description'!M296),1),BIN2HEX(_xlfn.CONCAT('Register Description'!N296,'Register Description'!O296,'Register Description'!P296,'Register Description'!Q296),1))</f>
        <v>0x000</v>
      </c>
    </row>
    <row r="30" spans="2:18" ht="33" customHeight="1" x14ac:dyDescent="0.3">
      <c r="B30" s="25" t="s">
        <v>866</v>
      </c>
      <c r="C30" s="25" t="str">
        <f>VLOOKUP(B30,'Register Description'!$B$1:$C$522,2,FALSE)</f>
        <v>CMD_SET16</v>
      </c>
      <c r="D30" s="87" t="s">
        <v>994</v>
      </c>
      <c r="E30" s="146" t="s">
        <v>1010</v>
      </c>
      <c r="F30" s="147"/>
      <c r="G30" s="148"/>
      <c r="H30" s="146" t="s">
        <v>882</v>
      </c>
      <c r="I30" s="147"/>
      <c r="J30" s="147"/>
      <c r="K30" s="147"/>
      <c r="L30" s="147"/>
      <c r="M30" s="147"/>
      <c r="N30" s="147"/>
      <c r="O30" s="148"/>
      <c r="P30" s="66" t="str">
        <f>_xlfn.CONCAT('Register Description'!F305,'Register Description'!G305,'Register Description'!H305,'Register Description'!I305,"_",'Register Description'!J305,'Register Description'!K305,'Register Description'!L305,'Register Description'!M305,"_",'Register Description'!N305,'Register Description'!O305,'Register Description'!P305,'Register Description'!Q305)</f>
        <v>0000_0000_0000</v>
      </c>
      <c r="Q30" s="67" t="str">
        <f>_xlfn.CONCAT("0x",BIN2HEX(_xlfn.CONCAT('Register Description'!F305,'Register Description'!G305,'Register Description'!H305,'Register Description'!I305),1),BIN2HEX(_xlfn.CONCAT('Register Description'!J305,'Register Description'!K305,'Register Description'!L305,'Register Description'!M305),1),BIN2HEX(_xlfn.CONCAT('Register Description'!N305,'Register Description'!O305,'Register Description'!P305,'Register Description'!Q305),1))</f>
        <v>0x000</v>
      </c>
    </row>
    <row r="31" spans="2:18" ht="33" customHeight="1" x14ac:dyDescent="0.3">
      <c r="B31" s="25"/>
      <c r="C31" s="25" t="e">
        <f>VLOOKUP(B31,'Register Description'!$B$1:$C$220,2,FALSE)</f>
        <v>#N/A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55"/>
      <c r="Q31" s="55"/>
    </row>
    <row r="32" spans="2:18" ht="33" customHeight="1" x14ac:dyDescent="0.3">
      <c r="B32" s="25"/>
      <c r="C32" s="25" t="e">
        <f>VLOOKUP(B32,'Register Description'!$B$1:$C$220,2,FALSE)</f>
        <v>#N/A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55"/>
      <c r="Q32" s="55"/>
    </row>
    <row r="33" spans="2:17" ht="33" customHeight="1" x14ac:dyDescent="0.3">
      <c r="B33" s="25"/>
      <c r="C33" s="25" t="e">
        <f>VLOOKUP(B33,'Register Description'!$B$1:$C$220,2,FALSE)</f>
        <v>#N/A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55"/>
      <c r="Q33" s="55"/>
    </row>
    <row r="34" spans="2:17" ht="33" customHeight="1" x14ac:dyDescent="0.3">
      <c r="B34" s="25"/>
      <c r="C34" s="25" t="e">
        <f>VLOOKUP(B34,'Register Description'!$B$1:$C$220,2,FALSE)</f>
        <v>#N/A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55"/>
      <c r="Q34" s="55"/>
    </row>
    <row r="35" spans="2:17" ht="33" customHeight="1" x14ac:dyDescent="0.3">
      <c r="B35" s="25"/>
      <c r="C35" s="25" t="e">
        <f>VLOOKUP(B35,'Register Description'!$B$1:$C$220,2,FALSE)</f>
        <v>#N/A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55"/>
      <c r="Q35" s="55"/>
    </row>
    <row r="36" spans="2:17" ht="33" customHeight="1" x14ac:dyDescent="0.3">
      <c r="B36" s="25"/>
      <c r="C36" s="25" t="e">
        <f>VLOOKUP(B36,'Register Description'!$B$1:$C$220,2,FALSE)</f>
        <v>#N/A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55"/>
      <c r="Q36" s="55"/>
    </row>
    <row r="37" spans="2:17" ht="33" customHeight="1" x14ac:dyDescent="0.3">
      <c r="B37" s="25"/>
      <c r="C37" s="25" t="e">
        <f>VLOOKUP(B37,'Register Description'!$B$1:$C$220,2,FALSE)</f>
        <v>#N/A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55"/>
      <c r="Q37" s="55"/>
    </row>
    <row r="38" spans="2:17" ht="33" customHeight="1" x14ac:dyDescent="0.3">
      <c r="B38" s="25"/>
      <c r="C38" s="25" t="e">
        <f>VLOOKUP(B38,'Register Description'!$B$1:$C$220,2,FALSE)</f>
        <v>#N/A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55"/>
      <c r="Q38" s="55"/>
    </row>
    <row r="39" spans="2:17" ht="33" customHeight="1" x14ac:dyDescent="0.3">
      <c r="B39" s="25"/>
      <c r="C39" s="25" t="e">
        <f>VLOOKUP(B39,'Register Description'!$B$1:$C$220,2,FALSE)</f>
        <v>#N/A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55"/>
      <c r="Q39" s="55"/>
    </row>
    <row r="40" spans="2:17" ht="33" customHeight="1" x14ac:dyDescent="0.3">
      <c r="B40" s="25"/>
      <c r="C40" s="25" t="e">
        <f>VLOOKUP(B40,'Register Description'!$B$1:$C$220,2,FALSE)</f>
        <v>#N/A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55"/>
      <c r="Q40" s="55"/>
    </row>
    <row r="41" spans="2:17" ht="33" customHeight="1" x14ac:dyDescent="0.3">
      <c r="B41" s="25"/>
      <c r="C41" s="25" t="e">
        <f>VLOOKUP(B41,'Register Description'!$B$1:$C$220,2,FALSE)</f>
        <v>#N/A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55"/>
      <c r="Q41" s="55"/>
    </row>
    <row r="42" spans="2:17" ht="33" customHeight="1" x14ac:dyDescent="0.3">
      <c r="B42" s="25"/>
      <c r="C42" s="25" t="e">
        <f>VLOOKUP(B42,'Register Description'!$B$1:$C$220,2,FALSE)</f>
        <v>#N/A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55"/>
      <c r="Q42" s="55"/>
    </row>
    <row r="43" spans="2:17" ht="33" customHeight="1" x14ac:dyDescent="0.3">
      <c r="B43" s="25"/>
      <c r="C43" s="25" t="e">
        <f>VLOOKUP(B43,'Register Description'!$B$1:$C$220,2,FALSE)</f>
        <v>#N/A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55"/>
      <c r="Q43" s="55"/>
    </row>
    <row r="44" spans="2:17" ht="33" customHeight="1" x14ac:dyDescent="0.3">
      <c r="B44" s="25"/>
      <c r="C44" s="25" t="e">
        <f>VLOOKUP(B44,'Register Description'!$B$1:$C$220,2,FALSE)</f>
        <v>#N/A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55"/>
      <c r="Q44" s="55"/>
    </row>
    <row r="45" spans="2:17" ht="33" customHeight="1" x14ac:dyDescent="0.3">
      <c r="B45" s="25"/>
      <c r="C45" s="25" t="e">
        <f>VLOOKUP(B45,'Register Description'!$B$1:$C$220,2,FALSE)</f>
        <v>#N/A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55"/>
      <c r="Q45" s="55"/>
    </row>
    <row r="46" spans="2:17" ht="33" customHeight="1" x14ac:dyDescent="0.3">
      <c r="B46" s="25"/>
      <c r="C46" s="25" t="e">
        <f>VLOOKUP(B46,'Register Description'!$B$1:$C$220,2,FALSE)</f>
        <v>#N/A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55"/>
      <c r="Q46" s="55"/>
    </row>
    <row r="47" spans="2:17" ht="33" customHeight="1" x14ac:dyDescent="0.3">
      <c r="B47" s="25"/>
      <c r="C47" s="25" t="e">
        <f>VLOOKUP(B47,'Register Description'!$B$1:$C$220,2,FALSE)</f>
        <v>#N/A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55"/>
      <c r="Q47" s="55"/>
    </row>
    <row r="48" spans="2:17" ht="33" customHeight="1" x14ac:dyDescent="0.3">
      <c r="B48" s="25"/>
      <c r="C48" s="25" t="e">
        <f>VLOOKUP(B48,'Register Description'!$B$1:$C$220,2,FALSE)</f>
        <v>#N/A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55"/>
      <c r="Q48" s="55"/>
    </row>
    <row r="49" spans="2:17" ht="33" customHeight="1" x14ac:dyDescent="0.3">
      <c r="B49" s="25"/>
      <c r="C49" s="25" t="e">
        <f>VLOOKUP(B49,'Register Description'!$B$1:$C$220,2,FALSE)</f>
        <v>#N/A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55"/>
      <c r="Q49" s="55"/>
    </row>
    <row r="50" spans="2:17" ht="33" customHeight="1" x14ac:dyDescent="0.3">
      <c r="B50" s="25"/>
      <c r="C50" s="25" t="e">
        <f>VLOOKUP(B50,'Register Description'!$B$1:$C$220,2,FALSE)</f>
        <v>#N/A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55"/>
      <c r="Q50" s="55"/>
    </row>
    <row r="51" spans="2:17" ht="33" customHeight="1" x14ac:dyDescent="0.3"/>
  </sheetData>
  <mergeCells count="44">
    <mergeCell ref="H15:O15"/>
    <mergeCell ref="H16:O16"/>
    <mergeCell ref="H17:O17"/>
    <mergeCell ref="D14:O14"/>
    <mergeCell ref="D3:G3"/>
    <mergeCell ref="K3:M3"/>
    <mergeCell ref="N3:O3"/>
    <mergeCell ref="F6:O6"/>
    <mergeCell ref="F7:O7"/>
    <mergeCell ref="F8:O8"/>
    <mergeCell ref="I10:K10"/>
    <mergeCell ref="L10:M10"/>
    <mergeCell ref="F10:G10"/>
    <mergeCell ref="F9:O9"/>
    <mergeCell ref="H13:I13"/>
    <mergeCell ref="H21:O21"/>
    <mergeCell ref="H22:O22"/>
    <mergeCell ref="H23:O23"/>
    <mergeCell ref="H18:O18"/>
    <mergeCell ref="H19:O19"/>
    <mergeCell ref="H20:O20"/>
    <mergeCell ref="H27:O27"/>
    <mergeCell ref="H28:O28"/>
    <mergeCell ref="H29:O29"/>
    <mergeCell ref="E29:G29"/>
    <mergeCell ref="H24:O24"/>
    <mergeCell ref="H25:O25"/>
    <mergeCell ref="H26:O26"/>
    <mergeCell ref="E30:G30"/>
    <mergeCell ref="H30:O30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</mergeCells>
  <phoneticPr fontId="1" type="noConversion"/>
  <pageMargins left="0.25" right="0.25" top="0.75" bottom="0.75" header="0.3" footer="0.3"/>
  <pageSetup paperSize="9" scale="86" fitToHeight="0" orientation="landscape" r:id="rId1"/>
  <headerFooter>
    <oddHeader>&amp;C&amp;G</oddHeader>
    <oddFooter xml:space="preserve">&amp;C_x000D_&amp;1#&amp;"맑은 고딕"&amp;6&amp;K737373 조범철( CHO BEOM CHEOL ) 전원구동반도체팀 / 1628629@mobis.com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2:S310"/>
  <sheetViews>
    <sheetView topLeftCell="A116" zoomScaleNormal="100" workbookViewId="0">
      <selection activeCell="F150" sqref="F150:Q151"/>
    </sheetView>
  </sheetViews>
  <sheetFormatPr defaultColWidth="9" defaultRowHeight="11.25" x14ac:dyDescent="0.3"/>
  <cols>
    <col min="1" max="2" width="9" style="4"/>
    <col min="3" max="3" width="14.875" style="4" customWidth="1"/>
    <col min="4" max="4" width="4.125" style="4" customWidth="1"/>
    <col min="5" max="5" width="15.375" style="4" customWidth="1"/>
    <col min="6" max="17" width="8.625" style="4" customWidth="1"/>
    <col min="18" max="18" width="9" style="4"/>
    <col min="19" max="19" width="72.375" style="4" hidden="1" customWidth="1"/>
    <col min="20" max="16384" width="9" style="4"/>
  </cols>
  <sheetData>
    <row r="2" spans="5:14" ht="12" thickBot="1" x14ac:dyDescent="0.35"/>
    <row r="3" spans="5:14" ht="12" thickBot="1" x14ac:dyDescent="0.35">
      <c r="E3" s="195" t="s">
        <v>156</v>
      </c>
      <c r="F3" s="196"/>
      <c r="G3" s="196"/>
      <c r="H3" s="196"/>
      <c r="I3" s="196"/>
      <c r="J3" s="196"/>
      <c r="K3" s="196"/>
      <c r="L3" s="196"/>
      <c r="M3" s="196"/>
      <c r="N3" s="197"/>
    </row>
    <row r="4" spans="5:14" x14ac:dyDescent="0.3">
      <c r="E4" s="181"/>
      <c r="F4" s="182"/>
      <c r="G4" s="182"/>
      <c r="H4" s="182"/>
      <c r="I4" s="182"/>
      <c r="J4" s="182"/>
      <c r="K4" s="182"/>
      <c r="L4" s="182"/>
      <c r="M4" s="182"/>
      <c r="N4" s="183"/>
    </row>
    <row r="5" spans="5:14" x14ac:dyDescent="0.3">
      <c r="E5" s="184"/>
      <c r="F5" s="165"/>
      <c r="G5" s="165"/>
      <c r="H5" s="165"/>
      <c r="I5" s="165"/>
      <c r="J5" s="165"/>
      <c r="K5" s="165"/>
      <c r="L5" s="165"/>
      <c r="M5" s="165"/>
      <c r="N5" s="185"/>
    </row>
    <row r="6" spans="5:14" x14ac:dyDescent="0.3">
      <c r="E6" s="184"/>
      <c r="F6" s="165"/>
      <c r="G6" s="165"/>
      <c r="H6" s="165"/>
      <c r="I6" s="165"/>
      <c r="J6" s="165"/>
      <c r="K6" s="165"/>
      <c r="L6" s="165"/>
      <c r="M6" s="165"/>
      <c r="N6" s="185"/>
    </row>
    <row r="7" spans="5:14" ht="12" thickBot="1" x14ac:dyDescent="0.35">
      <c r="E7" s="200"/>
      <c r="F7" s="201"/>
      <c r="G7" s="201"/>
      <c r="H7" s="201"/>
      <c r="I7" s="201"/>
      <c r="J7" s="201"/>
      <c r="K7" s="201"/>
      <c r="L7" s="201"/>
      <c r="M7" s="201"/>
      <c r="N7" s="202"/>
    </row>
    <row r="8" spans="5:14" ht="12" thickBot="1" x14ac:dyDescent="0.35"/>
    <row r="9" spans="5:14" ht="12" thickBot="1" x14ac:dyDescent="0.35">
      <c r="E9" s="189" t="s">
        <v>157</v>
      </c>
      <c r="F9" s="190"/>
      <c r="G9" s="190"/>
      <c r="H9" s="190"/>
      <c r="I9" s="190"/>
      <c r="J9" s="190"/>
      <c r="K9" s="190"/>
      <c r="L9" s="190"/>
      <c r="M9" s="190"/>
      <c r="N9" s="191"/>
    </row>
    <row r="10" spans="5:14" ht="12.75" x14ac:dyDescent="0.3">
      <c r="E10" s="192" t="s">
        <v>158</v>
      </c>
      <c r="F10" s="193"/>
      <c r="G10" s="193"/>
      <c r="H10" s="193"/>
      <c r="I10" s="193"/>
      <c r="J10" s="193"/>
      <c r="K10" s="193"/>
      <c r="L10" s="193"/>
      <c r="M10" s="193"/>
      <c r="N10" s="194"/>
    </row>
    <row r="11" spans="5:14" ht="12" thickBot="1" x14ac:dyDescent="0.35">
      <c r="E11" s="200" t="s">
        <v>159</v>
      </c>
      <c r="F11" s="201"/>
      <c r="G11" s="201"/>
      <c r="H11" s="201"/>
      <c r="I11" s="201"/>
      <c r="J11" s="201"/>
      <c r="K11" s="201"/>
      <c r="L11" s="201"/>
      <c r="M11" s="201"/>
      <c r="N11" s="202"/>
    </row>
    <row r="12" spans="5:14" ht="12" thickBot="1" x14ac:dyDescent="0.35"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spans="5:14" ht="12" thickBot="1" x14ac:dyDescent="0.35">
      <c r="E13" s="189" t="s">
        <v>160</v>
      </c>
      <c r="F13" s="190"/>
      <c r="G13" s="190"/>
      <c r="H13" s="190"/>
      <c r="I13" s="190"/>
      <c r="J13" s="190"/>
      <c r="K13" s="190"/>
      <c r="L13" s="190"/>
      <c r="M13" s="190"/>
      <c r="N13" s="191"/>
    </row>
    <row r="14" spans="5:14" x14ac:dyDescent="0.3">
      <c r="E14" s="192" t="s">
        <v>161</v>
      </c>
      <c r="F14" s="193"/>
      <c r="G14" s="193"/>
      <c r="H14" s="193"/>
      <c r="I14" s="193"/>
      <c r="J14" s="193"/>
      <c r="K14" s="193"/>
      <c r="L14" s="193"/>
      <c r="M14" s="193"/>
      <c r="N14" s="194"/>
    </row>
    <row r="15" spans="5:14" x14ac:dyDescent="0.3">
      <c r="E15" s="184"/>
      <c r="F15" s="165"/>
      <c r="G15" s="165"/>
      <c r="H15" s="165"/>
      <c r="I15" s="165"/>
      <c r="J15" s="165"/>
      <c r="K15" s="165"/>
      <c r="L15" s="165"/>
      <c r="M15" s="165"/>
      <c r="N15" s="185"/>
    </row>
    <row r="16" spans="5:14" x14ac:dyDescent="0.3">
      <c r="E16" s="184"/>
      <c r="F16" s="165"/>
      <c r="G16" s="165"/>
      <c r="H16" s="165"/>
      <c r="I16" s="165"/>
      <c r="J16" s="165"/>
      <c r="K16" s="165"/>
      <c r="L16" s="165"/>
      <c r="M16" s="165"/>
      <c r="N16" s="185"/>
    </row>
    <row r="17" spans="2:19" ht="12" thickBot="1" x14ac:dyDescent="0.35">
      <c r="E17" s="200"/>
      <c r="F17" s="201"/>
      <c r="G17" s="201"/>
      <c r="H17" s="201"/>
      <c r="I17" s="201"/>
      <c r="J17" s="201"/>
      <c r="K17" s="201"/>
      <c r="L17" s="201"/>
      <c r="M17" s="201"/>
      <c r="N17" s="202"/>
    </row>
    <row r="18" spans="2:19" x14ac:dyDescent="0.3"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2:19" x14ac:dyDescent="0.3">
      <c r="G19" s="198"/>
      <c r="H19" s="198"/>
      <c r="I19" s="199"/>
      <c r="J19" s="199"/>
      <c r="K19" s="199"/>
      <c r="L19" s="199"/>
      <c r="M19" s="199"/>
      <c r="N19" s="199"/>
    </row>
    <row r="20" spans="2:19" x14ac:dyDescent="0.3">
      <c r="B20" s="5" t="s">
        <v>41</v>
      </c>
      <c r="C20" s="5" t="s">
        <v>42</v>
      </c>
      <c r="E20" s="6"/>
      <c r="F20" s="6" t="s">
        <v>43</v>
      </c>
      <c r="G20" s="6" t="s">
        <v>44</v>
      </c>
      <c r="H20" s="6" t="s">
        <v>45</v>
      </c>
      <c r="I20" s="6" t="s">
        <v>46</v>
      </c>
      <c r="J20" s="6" t="s">
        <v>47</v>
      </c>
      <c r="K20" s="6" t="s">
        <v>48</v>
      </c>
      <c r="L20" s="6" t="s">
        <v>49</v>
      </c>
      <c r="M20" s="6" t="s">
        <v>50</v>
      </c>
      <c r="N20" s="6" t="s">
        <v>51</v>
      </c>
      <c r="O20" s="6" t="s">
        <v>52</v>
      </c>
      <c r="P20" s="6" t="s">
        <v>53</v>
      </c>
      <c r="Q20" s="6" t="s">
        <v>54</v>
      </c>
      <c r="S20" s="4" t="s">
        <v>162</v>
      </c>
    </row>
    <row r="21" spans="2:19" ht="30" customHeight="1" x14ac:dyDescent="0.3">
      <c r="B21" s="65" t="s">
        <v>57</v>
      </c>
      <c r="C21" s="7" t="s">
        <v>163</v>
      </c>
      <c r="E21" s="6" t="s">
        <v>164</v>
      </c>
      <c r="F21" s="152" t="s">
        <v>58</v>
      </c>
      <c r="G21" s="152"/>
      <c r="H21" s="152"/>
      <c r="I21" s="152"/>
      <c r="J21" s="45" t="s">
        <v>627</v>
      </c>
      <c r="K21" s="8" t="s">
        <v>60</v>
      </c>
      <c r="L21" s="8" t="s">
        <v>61</v>
      </c>
      <c r="M21" s="146" t="s">
        <v>62</v>
      </c>
      <c r="N21" s="147"/>
      <c r="O21" s="148"/>
      <c r="P21" s="153" t="s">
        <v>580</v>
      </c>
      <c r="Q21" s="153"/>
    </row>
    <row r="22" spans="2:19" ht="12" customHeight="1" x14ac:dyDescent="0.3">
      <c r="E22" s="6" t="s">
        <v>165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</row>
    <row r="23" spans="2:19" x14ac:dyDescent="0.3">
      <c r="E23" s="6" t="s">
        <v>157</v>
      </c>
      <c r="F23" s="166" t="s">
        <v>166</v>
      </c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8"/>
    </row>
    <row r="24" spans="2:19" ht="9.75" customHeight="1" x14ac:dyDescent="0.3">
      <c r="E24" s="6" t="s">
        <v>167</v>
      </c>
      <c r="F24" s="188" t="s">
        <v>168</v>
      </c>
      <c r="G24" s="188"/>
      <c r="H24" s="188"/>
      <c r="I24" s="188"/>
      <c r="J24" s="16" t="s">
        <v>168</v>
      </c>
      <c r="K24" s="16" t="s">
        <v>168</v>
      </c>
      <c r="L24" s="16" t="s">
        <v>168</v>
      </c>
      <c r="M24" s="166" t="s">
        <v>168</v>
      </c>
      <c r="N24" s="167"/>
      <c r="O24" s="168"/>
      <c r="P24" s="188" t="s">
        <v>168</v>
      </c>
      <c r="Q24" s="188"/>
    </row>
    <row r="25" spans="2:19" ht="66.75" customHeight="1" x14ac:dyDescent="0.3">
      <c r="E25" s="203" t="s">
        <v>169</v>
      </c>
      <c r="F25" s="204" t="s">
        <v>170</v>
      </c>
      <c r="G25" s="204"/>
      <c r="H25" s="186" t="s">
        <v>171</v>
      </c>
      <c r="I25" s="187"/>
      <c r="J25" s="187"/>
      <c r="K25" s="187"/>
      <c r="L25" s="187"/>
      <c r="M25" s="187"/>
      <c r="N25" s="187"/>
      <c r="O25" s="187"/>
      <c r="P25" s="187"/>
      <c r="Q25" s="187"/>
    </row>
    <row r="26" spans="2:19" ht="36.75" customHeight="1" x14ac:dyDescent="0.3">
      <c r="E26" s="203"/>
      <c r="F26" s="164" t="s">
        <v>172</v>
      </c>
      <c r="G26" s="164"/>
      <c r="H26" s="169" t="s">
        <v>173</v>
      </c>
      <c r="I26" s="165"/>
      <c r="J26" s="165"/>
      <c r="K26" s="165"/>
      <c r="L26" s="165"/>
      <c r="M26" s="165"/>
      <c r="N26" s="165"/>
      <c r="O26" s="165"/>
      <c r="P26" s="165"/>
      <c r="Q26" s="165"/>
    </row>
    <row r="27" spans="2:19" ht="37.5" customHeight="1" x14ac:dyDescent="0.3">
      <c r="E27" s="203"/>
      <c r="F27" s="164" t="s">
        <v>174</v>
      </c>
      <c r="G27" s="164"/>
      <c r="H27" s="169" t="s">
        <v>175</v>
      </c>
      <c r="I27" s="165"/>
      <c r="J27" s="165"/>
      <c r="K27" s="165"/>
      <c r="L27" s="165"/>
      <c r="M27" s="165"/>
      <c r="N27" s="165"/>
      <c r="O27" s="165"/>
      <c r="P27" s="165"/>
      <c r="Q27" s="165"/>
    </row>
    <row r="28" spans="2:19" ht="13.5" customHeight="1" x14ac:dyDescent="0.3">
      <c r="E28" s="203"/>
      <c r="F28" s="164" t="s">
        <v>176</v>
      </c>
      <c r="G28" s="164"/>
      <c r="H28" s="165" t="s">
        <v>177</v>
      </c>
      <c r="I28" s="165"/>
      <c r="J28" s="165"/>
      <c r="K28" s="165"/>
      <c r="L28" s="165"/>
      <c r="M28" s="165"/>
      <c r="N28" s="165"/>
      <c r="O28" s="165"/>
      <c r="P28" s="165"/>
      <c r="Q28" s="165"/>
    </row>
    <row r="29" spans="2:19" ht="41.25" customHeight="1" x14ac:dyDescent="0.3">
      <c r="E29" s="203"/>
      <c r="F29" s="164" t="s">
        <v>581</v>
      </c>
      <c r="G29" s="164"/>
      <c r="H29" s="169" t="s">
        <v>582</v>
      </c>
      <c r="I29" s="165"/>
      <c r="J29" s="165"/>
      <c r="K29" s="165"/>
      <c r="L29" s="165"/>
      <c r="M29" s="165"/>
      <c r="N29" s="165"/>
      <c r="O29" s="165"/>
      <c r="P29" s="165"/>
      <c r="Q29" s="165"/>
    </row>
    <row r="31" spans="2:19" x14ac:dyDescent="0.3">
      <c r="B31" s="5" t="s">
        <v>41</v>
      </c>
      <c r="C31" s="5" t="s">
        <v>42</v>
      </c>
      <c r="E31" s="6"/>
      <c r="F31" s="6" t="s">
        <v>43</v>
      </c>
      <c r="G31" s="6" t="s">
        <v>44</v>
      </c>
      <c r="H31" s="6" t="s">
        <v>45</v>
      </c>
      <c r="I31" s="6" t="s">
        <v>46</v>
      </c>
      <c r="J31" s="6" t="s">
        <v>47</v>
      </c>
      <c r="K31" s="6" t="s">
        <v>48</v>
      </c>
      <c r="L31" s="6" t="s">
        <v>49</v>
      </c>
      <c r="M31" s="6" t="s">
        <v>50</v>
      </c>
      <c r="N31" s="6" t="s">
        <v>51</v>
      </c>
      <c r="O31" s="6" t="s">
        <v>52</v>
      </c>
      <c r="P31" s="6" t="s">
        <v>53</v>
      </c>
      <c r="Q31" s="6" t="s">
        <v>54</v>
      </c>
    </row>
    <row r="32" spans="2:19" ht="30" customHeight="1" x14ac:dyDescent="0.3">
      <c r="B32" s="7" t="s">
        <v>63</v>
      </c>
      <c r="C32" s="7" t="s">
        <v>178</v>
      </c>
      <c r="E32" s="6" t="s">
        <v>164</v>
      </c>
      <c r="F32" s="46" t="s">
        <v>64</v>
      </c>
      <c r="G32" s="70" t="s">
        <v>639</v>
      </c>
      <c r="H32" s="11" t="s">
        <v>65</v>
      </c>
      <c r="I32" s="11" t="s">
        <v>66</v>
      </c>
      <c r="J32" s="11" t="s">
        <v>67</v>
      </c>
      <c r="K32" s="11" t="s">
        <v>68</v>
      </c>
      <c r="L32" s="11" t="s">
        <v>69</v>
      </c>
      <c r="M32" s="11" t="s">
        <v>70</v>
      </c>
      <c r="N32" s="11" t="s">
        <v>71</v>
      </c>
      <c r="O32" s="11" t="s">
        <v>72</v>
      </c>
      <c r="P32" s="73" t="s">
        <v>73</v>
      </c>
      <c r="Q32" s="11" t="s">
        <v>74</v>
      </c>
    </row>
    <row r="33" spans="2:17" x14ac:dyDescent="0.3">
      <c r="E33" s="6" t="s">
        <v>165</v>
      </c>
      <c r="F33" s="16">
        <v>0</v>
      </c>
      <c r="G33" s="16">
        <v>0</v>
      </c>
      <c r="H33" s="16">
        <v>1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</row>
    <row r="34" spans="2:17" x14ac:dyDescent="0.3">
      <c r="E34" s="6" t="s">
        <v>157</v>
      </c>
      <c r="F34" s="166" t="s">
        <v>166</v>
      </c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8"/>
    </row>
    <row r="35" spans="2:17" x14ac:dyDescent="0.3">
      <c r="E35" s="6" t="s">
        <v>167</v>
      </c>
      <c r="F35" s="16" t="s">
        <v>168</v>
      </c>
      <c r="G35" s="16" t="s">
        <v>179</v>
      </c>
      <c r="H35" s="16" t="s">
        <v>179</v>
      </c>
      <c r="I35" s="16" t="s">
        <v>179</v>
      </c>
      <c r="J35" s="16" t="s">
        <v>179</v>
      </c>
      <c r="K35" s="16" t="s">
        <v>179</v>
      </c>
      <c r="L35" s="16" t="s">
        <v>179</v>
      </c>
      <c r="M35" s="16" t="s">
        <v>179</v>
      </c>
      <c r="N35" s="16" t="s">
        <v>179</v>
      </c>
      <c r="O35" s="16" t="s">
        <v>179</v>
      </c>
      <c r="P35" s="16" t="s">
        <v>179</v>
      </c>
      <c r="Q35" s="16" t="s">
        <v>179</v>
      </c>
    </row>
    <row r="36" spans="2:17" ht="13.5" customHeight="1" x14ac:dyDescent="0.3">
      <c r="E36" s="156" t="s">
        <v>169</v>
      </c>
      <c r="F36" s="159" t="s">
        <v>640</v>
      </c>
      <c r="G36" s="160"/>
      <c r="H36" s="170" t="s">
        <v>641</v>
      </c>
      <c r="I36" s="162"/>
      <c r="J36" s="162"/>
      <c r="K36" s="162"/>
      <c r="L36" s="162"/>
      <c r="M36" s="162"/>
      <c r="N36" s="162"/>
      <c r="O36" s="162"/>
      <c r="P36" s="162"/>
      <c r="Q36" s="163"/>
    </row>
    <row r="37" spans="2:17" ht="13.5" customHeight="1" x14ac:dyDescent="0.3">
      <c r="E37" s="157"/>
      <c r="F37" s="164" t="s">
        <v>180</v>
      </c>
      <c r="G37" s="164"/>
      <c r="H37" s="175" t="s">
        <v>181</v>
      </c>
      <c r="I37" s="165"/>
      <c r="J37" s="165"/>
      <c r="K37" s="165"/>
      <c r="L37" s="165"/>
      <c r="M37" s="165"/>
      <c r="N37" s="165"/>
      <c r="O37" s="165"/>
      <c r="P37" s="165"/>
      <c r="Q37" s="165"/>
    </row>
    <row r="38" spans="2:17" x14ac:dyDescent="0.3">
      <c r="E38" s="157"/>
      <c r="F38" s="164" t="s">
        <v>182</v>
      </c>
      <c r="G38" s="164"/>
      <c r="H38" s="175" t="s">
        <v>183</v>
      </c>
      <c r="I38" s="165"/>
      <c r="J38" s="165"/>
      <c r="K38" s="165"/>
      <c r="L38" s="165"/>
      <c r="M38" s="165"/>
      <c r="N38" s="165"/>
      <c r="O38" s="165"/>
      <c r="P38" s="165"/>
      <c r="Q38" s="165"/>
    </row>
    <row r="39" spans="2:17" ht="12.75" x14ac:dyDescent="0.3">
      <c r="E39" s="157"/>
      <c r="F39" s="164" t="s">
        <v>184</v>
      </c>
      <c r="G39" s="164"/>
      <c r="H39" s="165" t="s">
        <v>632</v>
      </c>
      <c r="I39" s="165"/>
      <c r="J39" s="165"/>
      <c r="K39" s="165"/>
      <c r="L39" s="165"/>
      <c r="M39" s="165"/>
      <c r="N39" s="165"/>
      <c r="O39" s="165"/>
      <c r="P39" s="165"/>
      <c r="Q39" s="165"/>
    </row>
    <row r="40" spans="2:17" ht="12.75" x14ac:dyDescent="0.3">
      <c r="E40" s="157"/>
      <c r="F40" s="164" t="s">
        <v>185</v>
      </c>
      <c r="G40" s="164"/>
      <c r="H40" s="165" t="s">
        <v>633</v>
      </c>
      <c r="I40" s="165"/>
      <c r="J40" s="165"/>
      <c r="K40" s="165"/>
      <c r="L40" s="165"/>
      <c r="M40" s="165"/>
      <c r="N40" s="165"/>
      <c r="O40" s="165"/>
      <c r="P40" s="165"/>
      <c r="Q40" s="165"/>
    </row>
    <row r="41" spans="2:17" ht="12.75" x14ac:dyDescent="0.3">
      <c r="E41" s="157"/>
      <c r="F41" s="164" t="s">
        <v>186</v>
      </c>
      <c r="G41" s="164"/>
      <c r="H41" s="165" t="s">
        <v>635</v>
      </c>
      <c r="I41" s="165"/>
      <c r="J41" s="165"/>
      <c r="K41" s="165"/>
      <c r="L41" s="165"/>
      <c r="M41" s="165"/>
      <c r="N41" s="165"/>
      <c r="O41" s="165"/>
      <c r="P41" s="165"/>
      <c r="Q41" s="165"/>
    </row>
    <row r="42" spans="2:17" ht="12.75" x14ac:dyDescent="0.3">
      <c r="E42" s="157"/>
      <c r="F42" s="164" t="s">
        <v>187</v>
      </c>
      <c r="G42" s="164"/>
      <c r="H42" s="165" t="s">
        <v>636</v>
      </c>
      <c r="I42" s="165"/>
      <c r="J42" s="165"/>
      <c r="K42" s="165"/>
      <c r="L42" s="165"/>
      <c r="M42" s="165"/>
      <c r="N42" s="165"/>
      <c r="O42" s="165"/>
      <c r="P42" s="165"/>
      <c r="Q42" s="165"/>
    </row>
    <row r="43" spans="2:17" ht="12.75" x14ac:dyDescent="0.3">
      <c r="E43" s="157"/>
      <c r="F43" s="159" t="s">
        <v>71</v>
      </c>
      <c r="G43" s="160"/>
      <c r="H43" s="177" t="s">
        <v>637</v>
      </c>
      <c r="I43" s="165"/>
      <c r="J43" s="165"/>
      <c r="K43" s="165"/>
      <c r="L43" s="165"/>
      <c r="M43" s="165"/>
      <c r="N43" s="165"/>
      <c r="O43" s="165"/>
      <c r="P43" s="165"/>
      <c r="Q43" s="165"/>
    </row>
    <row r="44" spans="2:17" ht="12.75" x14ac:dyDescent="0.3">
      <c r="E44" s="157"/>
      <c r="F44" s="164" t="s">
        <v>188</v>
      </c>
      <c r="G44" s="164"/>
      <c r="H44" s="165" t="s">
        <v>634</v>
      </c>
      <c r="I44" s="165"/>
      <c r="J44" s="165"/>
      <c r="K44" s="165"/>
      <c r="L44" s="165"/>
      <c r="M44" s="165"/>
      <c r="N44" s="165"/>
      <c r="O44" s="165"/>
      <c r="P44" s="165"/>
      <c r="Q44" s="165"/>
    </row>
    <row r="45" spans="2:17" ht="12.75" x14ac:dyDescent="0.3">
      <c r="E45" s="157"/>
      <c r="F45" s="159" t="s">
        <v>189</v>
      </c>
      <c r="G45" s="160"/>
      <c r="H45" s="178" t="s">
        <v>631</v>
      </c>
      <c r="I45" s="162"/>
      <c r="J45" s="162"/>
      <c r="K45" s="162"/>
      <c r="L45" s="162"/>
      <c r="M45" s="162"/>
      <c r="N45" s="162"/>
      <c r="O45" s="162"/>
      <c r="P45" s="162"/>
      <c r="Q45" s="163"/>
    </row>
    <row r="46" spans="2:17" x14ac:dyDescent="0.3">
      <c r="E46" s="158"/>
      <c r="F46" s="164" t="s">
        <v>190</v>
      </c>
      <c r="G46" s="164"/>
      <c r="H46" s="165" t="s">
        <v>638</v>
      </c>
      <c r="I46" s="165"/>
      <c r="J46" s="165"/>
      <c r="K46" s="165"/>
      <c r="L46" s="165"/>
      <c r="M46" s="165"/>
      <c r="N46" s="165"/>
      <c r="O46" s="165"/>
      <c r="P46" s="165"/>
      <c r="Q46" s="165"/>
    </row>
    <row r="47" spans="2:17" ht="11.25" customHeight="1" x14ac:dyDescent="0.3"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 spans="2:17" ht="11.25" customHeight="1" x14ac:dyDescent="0.3">
      <c r="B48" s="5" t="s">
        <v>41</v>
      </c>
      <c r="C48" s="5" t="s">
        <v>42</v>
      </c>
      <c r="E48" s="6"/>
      <c r="F48" s="6" t="s">
        <v>43</v>
      </c>
      <c r="G48" s="6" t="s">
        <v>44</v>
      </c>
      <c r="H48" s="6" t="s">
        <v>45</v>
      </c>
      <c r="I48" s="6" t="s">
        <v>46</v>
      </c>
      <c r="J48" s="6" t="s">
        <v>47</v>
      </c>
      <c r="K48" s="6" t="s">
        <v>48</v>
      </c>
      <c r="L48" s="6" t="s">
        <v>49</v>
      </c>
      <c r="M48" s="6" t="s">
        <v>50</v>
      </c>
      <c r="N48" s="6" t="s">
        <v>51</v>
      </c>
      <c r="O48" s="6" t="s">
        <v>52</v>
      </c>
      <c r="P48" s="6" t="s">
        <v>53</v>
      </c>
      <c r="Q48" s="6" t="s">
        <v>54</v>
      </c>
    </row>
    <row r="49" spans="2:17" ht="30" customHeight="1" x14ac:dyDescent="0.3">
      <c r="B49" s="7" t="s">
        <v>75</v>
      </c>
      <c r="C49" s="7" t="s">
        <v>191</v>
      </c>
      <c r="E49" s="6" t="s">
        <v>164</v>
      </c>
      <c r="F49" s="11" t="s">
        <v>76</v>
      </c>
      <c r="G49" s="11" t="s">
        <v>77</v>
      </c>
      <c r="H49" s="11" t="s">
        <v>78</v>
      </c>
      <c r="I49" s="11" t="s">
        <v>79</v>
      </c>
      <c r="J49" s="11" t="s">
        <v>80</v>
      </c>
      <c r="K49" s="11" t="s">
        <v>81</v>
      </c>
      <c r="L49" s="11" t="s">
        <v>82</v>
      </c>
      <c r="M49" s="11" t="s">
        <v>83</v>
      </c>
      <c r="N49" s="11" t="s">
        <v>84</v>
      </c>
      <c r="O49" s="11" t="s">
        <v>192</v>
      </c>
      <c r="P49" s="11" t="s">
        <v>86</v>
      </c>
      <c r="Q49" s="11" t="s">
        <v>87</v>
      </c>
    </row>
    <row r="50" spans="2:17" ht="11.25" customHeight="1" x14ac:dyDescent="0.3">
      <c r="E50" s="6" t="s">
        <v>165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</row>
    <row r="51" spans="2:17" ht="11.25" customHeight="1" x14ac:dyDescent="0.3">
      <c r="E51" s="6" t="s">
        <v>157</v>
      </c>
      <c r="F51" s="166" t="s">
        <v>166</v>
      </c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8"/>
    </row>
    <row r="52" spans="2:17" ht="11.25" customHeight="1" x14ac:dyDescent="0.3">
      <c r="E52" s="6" t="s">
        <v>167</v>
      </c>
      <c r="F52" s="16" t="s">
        <v>179</v>
      </c>
      <c r="G52" s="16" t="s">
        <v>179</v>
      </c>
      <c r="H52" s="16" t="s">
        <v>168</v>
      </c>
      <c r="I52" s="16" t="s">
        <v>179</v>
      </c>
      <c r="J52" s="16" t="s">
        <v>179</v>
      </c>
      <c r="K52" s="16" t="s">
        <v>168</v>
      </c>
      <c r="L52" s="16" t="s">
        <v>179</v>
      </c>
      <c r="M52" s="16" t="s">
        <v>179</v>
      </c>
      <c r="N52" s="16" t="s">
        <v>168</v>
      </c>
      <c r="O52" s="16" t="s">
        <v>179</v>
      </c>
      <c r="P52" s="16" t="s">
        <v>179</v>
      </c>
      <c r="Q52" s="16" t="s">
        <v>179</v>
      </c>
    </row>
    <row r="53" spans="2:17" ht="11.25" customHeight="1" x14ac:dyDescent="0.3">
      <c r="E53" s="156" t="s">
        <v>169</v>
      </c>
      <c r="F53" s="164" t="s">
        <v>193</v>
      </c>
      <c r="G53" s="164"/>
      <c r="H53" s="175" t="s">
        <v>194</v>
      </c>
      <c r="I53" s="165"/>
      <c r="J53" s="165"/>
      <c r="K53" s="165"/>
      <c r="L53" s="165"/>
      <c r="M53" s="165"/>
      <c r="N53" s="165"/>
      <c r="O53" s="165"/>
      <c r="P53" s="165"/>
      <c r="Q53" s="165"/>
    </row>
    <row r="54" spans="2:17" ht="11.25" customHeight="1" x14ac:dyDescent="0.3">
      <c r="E54" s="157"/>
      <c r="F54" s="164" t="s">
        <v>195</v>
      </c>
      <c r="G54" s="164"/>
      <c r="H54" s="175" t="s">
        <v>196</v>
      </c>
      <c r="I54" s="165"/>
      <c r="J54" s="165"/>
      <c r="K54" s="165"/>
      <c r="L54" s="165"/>
      <c r="M54" s="165"/>
      <c r="N54" s="165"/>
      <c r="O54" s="165"/>
      <c r="P54" s="165"/>
      <c r="Q54" s="165"/>
    </row>
    <row r="55" spans="2:17" ht="11.25" customHeight="1" x14ac:dyDescent="0.3">
      <c r="E55" s="157"/>
      <c r="F55" s="164" t="s">
        <v>197</v>
      </c>
      <c r="G55" s="164"/>
      <c r="H55" s="175" t="s">
        <v>198</v>
      </c>
      <c r="I55" s="165"/>
      <c r="J55" s="165"/>
      <c r="K55" s="165"/>
      <c r="L55" s="165"/>
      <c r="M55" s="165"/>
      <c r="N55" s="165"/>
      <c r="O55" s="165"/>
      <c r="P55" s="165"/>
      <c r="Q55" s="165"/>
    </row>
    <row r="56" spans="2:17" ht="11.25" customHeight="1" x14ac:dyDescent="0.3">
      <c r="E56" s="157"/>
      <c r="F56" s="164" t="s">
        <v>199</v>
      </c>
      <c r="G56" s="164"/>
      <c r="H56" s="175" t="s">
        <v>200</v>
      </c>
      <c r="I56" s="165"/>
      <c r="J56" s="165"/>
      <c r="K56" s="165"/>
      <c r="L56" s="165"/>
      <c r="M56" s="165"/>
      <c r="N56" s="165"/>
      <c r="O56" s="165"/>
      <c r="P56" s="165"/>
      <c r="Q56" s="165"/>
    </row>
    <row r="57" spans="2:17" ht="11.25" customHeight="1" x14ac:dyDescent="0.3">
      <c r="E57" s="157"/>
      <c r="F57" s="164" t="s">
        <v>201</v>
      </c>
      <c r="G57" s="164"/>
      <c r="H57" s="175" t="s">
        <v>202</v>
      </c>
      <c r="I57" s="165"/>
      <c r="J57" s="165"/>
      <c r="K57" s="165"/>
      <c r="L57" s="165"/>
      <c r="M57" s="165"/>
      <c r="N57" s="165"/>
      <c r="O57" s="165"/>
      <c r="P57" s="165"/>
      <c r="Q57" s="165"/>
    </row>
    <row r="58" spans="2:17" ht="11.25" customHeight="1" x14ac:dyDescent="0.3">
      <c r="E58" s="157"/>
      <c r="F58" s="164" t="s">
        <v>203</v>
      </c>
      <c r="G58" s="164"/>
      <c r="H58" s="175" t="s">
        <v>204</v>
      </c>
      <c r="I58" s="165"/>
      <c r="J58" s="165"/>
      <c r="K58" s="165"/>
      <c r="L58" s="165"/>
      <c r="M58" s="165"/>
      <c r="N58" s="165"/>
      <c r="O58" s="165"/>
      <c r="P58" s="165"/>
      <c r="Q58" s="165"/>
    </row>
    <row r="59" spans="2:17" ht="11.25" customHeight="1" x14ac:dyDescent="0.3">
      <c r="E59" s="157"/>
      <c r="F59" s="164" t="s">
        <v>205</v>
      </c>
      <c r="G59" s="164"/>
      <c r="H59" s="175" t="s">
        <v>206</v>
      </c>
      <c r="I59" s="165"/>
      <c r="J59" s="165"/>
      <c r="K59" s="165"/>
      <c r="L59" s="165"/>
      <c r="M59" s="165"/>
      <c r="N59" s="165"/>
      <c r="O59" s="165"/>
      <c r="P59" s="165"/>
      <c r="Q59" s="165"/>
    </row>
    <row r="60" spans="2:17" ht="11.25" customHeight="1" x14ac:dyDescent="0.3">
      <c r="E60" s="157"/>
      <c r="F60" s="164" t="s">
        <v>207</v>
      </c>
      <c r="G60" s="164"/>
      <c r="H60" s="175" t="s">
        <v>208</v>
      </c>
      <c r="I60" s="165"/>
      <c r="J60" s="165"/>
      <c r="K60" s="165"/>
      <c r="L60" s="165"/>
      <c r="M60" s="165"/>
      <c r="N60" s="165"/>
      <c r="O60" s="165"/>
      <c r="P60" s="165"/>
      <c r="Q60" s="165"/>
    </row>
    <row r="61" spans="2:17" ht="11.25" customHeight="1" x14ac:dyDescent="0.3">
      <c r="E61" s="157"/>
      <c r="F61" s="164" t="s">
        <v>209</v>
      </c>
      <c r="G61" s="164"/>
      <c r="H61" s="175" t="s">
        <v>210</v>
      </c>
      <c r="I61" s="165"/>
      <c r="J61" s="165"/>
      <c r="K61" s="165"/>
      <c r="L61" s="165"/>
      <c r="M61" s="165"/>
      <c r="N61" s="165"/>
      <c r="O61" s="165"/>
      <c r="P61" s="165"/>
      <c r="Q61" s="165"/>
    </row>
    <row r="62" spans="2:17" ht="11.25" customHeight="1" x14ac:dyDescent="0.3">
      <c r="E62" s="157"/>
      <c r="F62" s="164" t="s">
        <v>211</v>
      </c>
      <c r="G62" s="164"/>
      <c r="H62" s="175" t="s">
        <v>212</v>
      </c>
      <c r="I62" s="165"/>
      <c r="J62" s="165"/>
      <c r="K62" s="165"/>
      <c r="L62" s="165"/>
      <c r="M62" s="165"/>
      <c r="N62" s="165"/>
      <c r="O62" s="165"/>
      <c r="P62" s="165"/>
      <c r="Q62" s="165"/>
    </row>
    <row r="63" spans="2:17" ht="11.25" customHeight="1" x14ac:dyDescent="0.3">
      <c r="E63" s="157"/>
      <c r="F63" s="164" t="s">
        <v>213</v>
      </c>
      <c r="G63" s="164"/>
      <c r="H63" s="175" t="s">
        <v>214</v>
      </c>
      <c r="I63" s="165"/>
      <c r="J63" s="165"/>
      <c r="K63" s="165"/>
      <c r="L63" s="165"/>
      <c r="M63" s="165"/>
      <c r="N63" s="165"/>
      <c r="O63" s="165"/>
      <c r="P63" s="165"/>
      <c r="Q63" s="165"/>
    </row>
    <row r="64" spans="2:17" ht="11.25" customHeight="1" x14ac:dyDescent="0.3">
      <c r="E64" s="158"/>
      <c r="F64" s="164" t="s">
        <v>215</v>
      </c>
      <c r="G64" s="164"/>
      <c r="H64" s="175" t="s">
        <v>216</v>
      </c>
      <c r="I64" s="165"/>
      <c r="J64" s="165"/>
      <c r="K64" s="165"/>
      <c r="L64" s="165"/>
      <c r="M64" s="165"/>
      <c r="N64" s="165"/>
      <c r="O64" s="165"/>
      <c r="P64" s="165"/>
      <c r="Q64" s="165"/>
    </row>
    <row r="66" spans="2:17" x14ac:dyDescent="0.3">
      <c r="B66" s="5" t="s">
        <v>41</v>
      </c>
      <c r="C66" s="5" t="s">
        <v>42</v>
      </c>
      <c r="E66" s="6"/>
      <c r="F66" s="6" t="s">
        <v>43</v>
      </c>
      <c r="G66" s="6" t="s">
        <v>44</v>
      </c>
      <c r="H66" s="6" t="s">
        <v>45</v>
      </c>
      <c r="I66" s="6" t="s">
        <v>46</v>
      </c>
      <c r="J66" s="6" t="s">
        <v>47</v>
      </c>
      <c r="K66" s="6" t="s">
        <v>48</v>
      </c>
      <c r="L66" s="6" t="s">
        <v>49</v>
      </c>
      <c r="M66" s="6" t="s">
        <v>50</v>
      </c>
      <c r="N66" s="6" t="s">
        <v>51</v>
      </c>
      <c r="O66" s="6" t="s">
        <v>52</v>
      </c>
      <c r="P66" s="6" t="s">
        <v>53</v>
      </c>
      <c r="Q66" s="6" t="s">
        <v>54</v>
      </c>
    </row>
    <row r="67" spans="2:17" ht="30" customHeight="1" x14ac:dyDescent="0.3">
      <c r="B67" s="7" t="s">
        <v>88</v>
      </c>
      <c r="C67" s="7" t="s">
        <v>217</v>
      </c>
      <c r="E67" s="6" t="s">
        <v>164</v>
      </c>
      <c r="F67" s="45" t="s">
        <v>627</v>
      </c>
      <c r="G67" s="45" t="s">
        <v>627</v>
      </c>
      <c r="H67" s="146" t="s">
        <v>89</v>
      </c>
      <c r="I67" s="147"/>
      <c r="J67" s="147"/>
      <c r="K67" s="147"/>
      <c r="L67" s="147"/>
      <c r="M67" s="147"/>
      <c r="N67" s="147"/>
      <c r="O67" s="147"/>
      <c r="P67" s="147"/>
      <c r="Q67" s="148"/>
    </row>
    <row r="68" spans="2:17" x14ac:dyDescent="0.3">
      <c r="E68" s="6" t="s">
        <v>165</v>
      </c>
      <c r="F68" s="16">
        <v>0</v>
      </c>
      <c r="G68" s="16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</row>
    <row r="69" spans="2:17" x14ac:dyDescent="0.3">
      <c r="E69" s="6" t="s">
        <v>157</v>
      </c>
      <c r="F69" s="166" t="s">
        <v>166</v>
      </c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8"/>
    </row>
    <row r="70" spans="2:17" x14ac:dyDescent="0.3">
      <c r="E70" s="6" t="s">
        <v>167</v>
      </c>
      <c r="F70" s="16" t="s">
        <v>168</v>
      </c>
      <c r="G70" s="16" t="s">
        <v>168</v>
      </c>
      <c r="H70" s="146" t="s">
        <v>168</v>
      </c>
      <c r="I70" s="147"/>
      <c r="J70" s="147"/>
      <c r="K70" s="147"/>
      <c r="L70" s="147"/>
      <c r="M70" s="147"/>
      <c r="N70" s="147"/>
      <c r="O70" s="147"/>
      <c r="P70" s="147"/>
      <c r="Q70" s="148"/>
    </row>
    <row r="71" spans="2:17" ht="14.25" customHeight="1" x14ac:dyDescent="0.3">
      <c r="E71" s="6" t="s">
        <v>169</v>
      </c>
      <c r="F71" s="159" t="s">
        <v>218</v>
      </c>
      <c r="G71" s="160"/>
      <c r="H71" s="170" t="s">
        <v>219</v>
      </c>
      <c r="I71" s="162"/>
      <c r="J71" s="162"/>
      <c r="K71" s="162"/>
      <c r="L71" s="162"/>
      <c r="M71" s="162"/>
      <c r="N71" s="162"/>
      <c r="O71" s="162"/>
      <c r="P71" s="162"/>
      <c r="Q71" s="163"/>
    </row>
    <row r="72" spans="2:17" x14ac:dyDescent="0.3"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</row>
    <row r="73" spans="2:17" x14ac:dyDescent="0.3">
      <c r="B73" s="5" t="s">
        <v>41</v>
      </c>
      <c r="C73" s="5" t="s">
        <v>42</v>
      </c>
      <c r="E73" s="6"/>
      <c r="F73" s="6" t="s">
        <v>43</v>
      </c>
      <c r="G73" s="6" t="s">
        <v>44</v>
      </c>
      <c r="H73" s="6" t="s">
        <v>45</v>
      </c>
      <c r="I73" s="6" t="s">
        <v>46</v>
      </c>
      <c r="J73" s="6" t="s">
        <v>47</v>
      </c>
      <c r="K73" s="6" t="s">
        <v>48</v>
      </c>
      <c r="L73" s="6" t="s">
        <v>49</v>
      </c>
      <c r="M73" s="6" t="s">
        <v>50</v>
      </c>
      <c r="N73" s="6" t="s">
        <v>51</v>
      </c>
      <c r="O73" s="6" t="s">
        <v>52</v>
      </c>
      <c r="P73" s="6" t="s">
        <v>53</v>
      </c>
      <c r="Q73" s="6" t="s">
        <v>54</v>
      </c>
    </row>
    <row r="74" spans="2:17" ht="30" customHeight="1" x14ac:dyDescent="0.3">
      <c r="B74" s="7" t="s">
        <v>90</v>
      </c>
      <c r="C74" s="7" t="s">
        <v>220</v>
      </c>
      <c r="E74" s="6" t="s">
        <v>164</v>
      </c>
      <c r="F74" s="45" t="s">
        <v>627</v>
      </c>
      <c r="G74" s="45" t="s">
        <v>627</v>
      </c>
      <c r="H74" s="146" t="s">
        <v>91</v>
      </c>
      <c r="I74" s="147"/>
      <c r="J74" s="147"/>
      <c r="K74" s="147"/>
      <c r="L74" s="147"/>
      <c r="M74" s="147"/>
      <c r="N74" s="147"/>
      <c r="O74" s="147"/>
      <c r="P74" s="147"/>
      <c r="Q74" s="148"/>
    </row>
    <row r="75" spans="2:17" x14ac:dyDescent="0.3">
      <c r="E75" s="6" t="s">
        <v>165</v>
      </c>
      <c r="F75" s="16">
        <v>0</v>
      </c>
      <c r="G75" s="16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</row>
    <row r="76" spans="2:17" x14ac:dyDescent="0.3">
      <c r="E76" s="6" t="s">
        <v>157</v>
      </c>
      <c r="F76" s="166" t="s">
        <v>166</v>
      </c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8"/>
    </row>
    <row r="77" spans="2:17" x14ac:dyDescent="0.3">
      <c r="E77" s="6" t="s">
        <v>167</v>
      </c>
      <c r="F77" s="16" t="s">
        <v>168</v>
      </c>
      <c r="G77" s="16" t="s">
        <v>168</v>
      </c>
      <c r="H77" s="146" t="s">
        <v>168</v>
      </c>
      <c r="I77" s="147"/>
      <c r="J77" s="147"/>
      <c r="K77" s="147"/>
      <c r="L77" s="147"/>
      <c r="M77" s="147"/>
      <c r="N77" s="147"/>
      <c r="O77" s="147"/>
      <c r="P77" s="147"/>
      <c r="Q77" s="148"/>
    </row>
    <row r="78" spans="2:17" ht="19.5" customHeight="1" x14ac:dyDescent="0.3">
      <c r="E78" s="6" t="s">
        <v>169</v>
      </c>
      <c r="F78" s="159" t="s">
        <v>221</v>
      </c>
      <c r="G78" s="160"/>
      <c r="H78" s="170" t="s">
        <v>573</v>
      </c>
      <c r="I78" s="162"/>
      <c r="J78" s="162"/>
      <c r="K78" s="162"/>
      <c r="L78" s="162"/>
      <c r="M78" s="162"/>
      <c r="N78" s="162"/>
      <c r="O78" s="162"/>
      <c r="P78" s="162"/>
      <c r="Q78" s="163"/>
    </row>
    <row r="80" spans="2:17" x14ac:dyDescent="0.3">
      <c r="B80" s="5" t="s">
        <v>41</v>
      </c>
      <c r="C80" s="5" t="s">
        <v>42</v>
      </c>
      <c r="E80" s="6"/>
      <c r="F80" s="6" t="s">
        <v>43</v>
      </c>
      <c r="G80" s="6" t="s">
        <v>44</v>
      </c>
      <c r="H80" s="6" t="s">
        <v>45</v>
      </c>
      <c r="I80" s="6" t="s">
        <v>43</v>
      </c>
      <c r="J80" s="6" t="s">
        <v>47</v>
      </c>
      <c r="K80" s="6" t="s">
        <v>48</v>
      </c>
      <c r="L80" s="6" t="s">
        <v>49</v>
      </c>
      <c r="M80" s="6" t="s">
        <v>50</v>
      </c>
      <c r="N80" s="6" t="s">
        <v>51</v>
      </c>
      <c r="O80" s="6" t="s">
        <v>52</v>
      </c>
      <c r="P80" s="6" t="s">
        <v>53</v>
      </c>
      <c r="Q80" s="6" t="s">
        <v>54</v>
      </c>
    </row>
    <row r="81" spans="2:19" ht="30" customHeight="1" x14ac:dyDescent="0.3">
      <c r="B81" s="7" t="s">
        <v>92</v>
      </c>
      <c r="C81" s="7" t="s">
        <v>222</v>
      </c>
      <c r="E81" s="6" t="s">
        <v>164</v>
      </c>
      <c r="F81" s="45" t="s">
        <v>627</v>
      </c>
      <c r="G81" s="45" t="s">
        <v>627</v>
      </c>
      <c r="H81" s="146" t="s">
        <v>93</v>
      </c>
      <c r="I81" s="147"/>
      <c r="J81" s="147"/>
      <c r="K81" s="147"/>
      <c r="L81" s="147"/>
      <c r="M81" s="147"/>
      <c r="N81" s="147"/>
      <c r="O81" s="147"/>
      <c r="P81" s="147"/>
      <c r="Q81" s="148"/>
      <c r="S81" s="4" t="s">
        <v>223</v>
      </c>
    </row>
    <row r="82" spans="2:19" x14ac:dyDescent="0.3">
      <c r="E82" s="6" t="s">
        <v>165</v>
      </c>
      <c r="F82" s="16">
        <v>0</v>
      </c>
      <c r="G82" s="16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</row>
    <row r="83" spans="2:19" x14ac:dyDescent="0.3">
      <c r="E83" s="6" t="s">
        <v>157</v>
      </c>
      <c r="F83" s="166" t="s">
        <v>166</v>
      </c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8"/>
    </row>
    <row r="84" spans="2:19" x14ac:dyDescent="0.3">
      <c r="E84" s="6" t="s">
        <v>167</v>
      </c>
      <c r="F84" s="16" t="s">
        <v>168</v>
      </c>
      <c r="G84" s="16" t="s">
        <v>168</v>
      </c>
      <c r="H84" s="146" t="s">
        <v>168</v>
      </c>
      <c r="I84" s="147"/>
      <c r="J84" s="147"/>
      <c r="K84" s="147"/>
      <c r="L84" s="147"/>
      <c r="M84" s="147"/>
      <c r="N84" s="147"/>
      <c r="O84" s="147"/>
      <c r="P84" s="147"/>
      <c r="Q84" s="148"/>
    </row>
    <row r="85" spans="2:19" ht="16.5" customHeight="1" x14ac:dyDescent="0.3">
      <c r="E85" s="6" t="s">
        <v>169</v>
      </c>
      <c r="F85" s="159" t="s">
        <v>224</v>
      </c>
      <c r="G85" s="160"/>
      <c r="H85" s="170" t="s">
        <v>574</v>
      </c>
      <c r="I85" s="162"/>
      <c r="J85" s="162"/>
      <c r="K85" s="162"/>
      <c r="L85" s="162"/>
      <c r="M85" s="162"/>
      <c r="N85" s="162"/>
      <c r="O85" s="162"/>
      <c r="P85" s="162"/>
      <c r="Q85" s="163"/>
    </row>
    <row r="86" spans="2:19" x14ac:dyDescent="0.3"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</row>
    <row r="87" spans="2:19" x14ac:dyDescent="0.3">
      <c r="B87" s="5" t="s">
        <v>41</v>
      </c>
      <c r="C87" s="5" t="s">
        <v>42</v>
      </c>
      <c r="E87" s="6"/>
      <c r="F87" s="6" t="s">
        <v>43</v>
      </c>
      <c r="G87" s="6" t="s">
        <v>44</v>
      </c>
      <c r="H87" s="6" t="s">
        <v>45</v>
      </c>
      <c r="I87" s="6" t="s">
        <v>43</v>
      </c>
      <c r="J87" s="6" t="s">
        <v>47</v>
      </c>
      <c r="K87" s="6" t="s">
        <v>48</v>
      </c>
      <c r="L87" s="6" t="s">
        <v>49</v>
      </c>
      <c r="M87" s="6" t="s">
        <v>50</v>
      </c>
      <c r="N87" s="6" t="s">
        <v>51</v>
      </c>
      <c r="O87" s="6" t="s">
        <v>52</v>
      </c>
      <c r="P87" s="6" t="s">
        <v>53</v>
      </c>
      <c r="Q87" s="6" t="s">
        <v>54</v>
      </c>
    </row>
    <row r="88" spans="2:19" ht="30" customHeight="1" x14ac:dyDescent="0.3">
      <c r="B88" s="7" t="s">
        <v>94</v>
      </c>
      <c r="C88" s="7" t="s">
        <v>591</v>
      </c>
      <c r="E88" s="6" t="s">
        <v>164</v>
      </c>
      <c r="F88" s="45" t="s">
        <v>627</v>
      </c>
      <c r="G88" s="45" t="s">
        <v>627</v>
      </c>
      <c r="H88" s="146" t="s">
        <v>584</v>
      </c>
      <c r="I88" s="147"/>
      <c r="J88" s="147"/>
      <c r="K88" s="147"/>
      <c r="L88" s="147"/>
      <c r="M88" s="147"/>
      <c r="N88" s="147"/>
      <c r="O88" s="147"/>
      <c r="P88" s="147"/>
      <c r="Q88" s="148"/>
    </row>
    <row r="89" spans="2:19" x14ac:dyDescent="0.3">
      <c r="E89" s="6" t="s">
        <v>165</v>
      </c>
      <c r="F89" s="16">
        <v>0</v>
      </c>
      <c r="G89" s="16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</row>
    <row r="90" spans="2:19" x14ac:dyDescent="0.3">
      <c r="E90" s="6" t="s">
        <v>157</v>
      </c>
      <c r="F90" s="166" t="s">
        <v>166</v>
      </c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8"/>
    </row>
    <row r="91" spans="2:19" x14ac:dyDescent="0.3">
      <c r="E91" s="6" t="s">
        <v>167</v>
      </c>
      <c r="F91" s="16" t="s">
        <v>168</v>
      </c>
      <c r="G91" s="16" t="s">
        <v>168</v>
      </c>
      <c r="H91" s="146" t="s">
        <v>168</v>
      </c>
      <c r="I91" s="147"/>
      <c r="J91" s="147"/>
      <c r="K91" s="147"/>
      <c r="L91" s="147"/>
      <c r="M91" s="147"/>
      <c r="N91" s="147"/>
      <c r="O91" s="147"/>
      <c r="P91" s="147"/>
      <c r="Q91" s="148"/>
    </row>
    <row r="92" spans="2:19" ht="16.5" customHeight="1" x14ac:dyDescent="0.3">
      <c r="E92" s="6" t="s">
        <v>169</v>
      </c>
      <c r="F92" s="159" t="s">
        <v>592</v>
      </c>
      <c r="G92" s="160"/>
      <c r="H92" s="170" t="s">
        <v>593</v>
      </c>
      <c r="I92" s="162"/>
      <c r="J92" s="162"/>
      <c r="K92" s="162"/>
      <c r="L92" s="162"/>
      <c r="M92" s="162"/>
      <c r="N92" s="162"/>
      <c r="O92" s="162"/>
      <c r="P92" s="162"/>
      <c r="Q92" s="163"/>
    </row>
    <row r="93" spans="2:19" ht="11.25" customHeight="1" x14ac:dyDescent="0.3"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</row>
    <row r="94" spans="2:19" ht="11.25" customHeight="1" x14ac:dyDescent="0.3"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</row>
    <row r="95" spans="2:19" ht="11.25" customHeight="1" x14ac:dyDescent="0.3">
      <c r="B95" s="5" t="s">
        <v>41</v>
      </c>
      <c r="C95" s="5" t="s">
        <v>42</v>
      </c>
      <c r="E95" s="6"/>
      <c r="F95" s="6" t="s">
        <v>43</v>
      </c>
      <c r="G95" s="6" t="s">
        <v>44</v>
      </c>
      <c r="H95" s="6" t="s">
        <v>45</v>
      </c>
      <c r="I95" s="6" t="s">
        <v>46</v>
      </c>
      <c r="J95" s="6" t="s">
        <v>47</v>
      </c>
      <c r="K95" s="6" t="s">
        <v>48</v>
      </c>
      <c r="L95" s="6" t="s">
        <v>49</v>
      </c>
      <c r="M95" s="6" t="s">
        <v>50</v>
      </c>
      <c r="N95" s="6" t="s">
        <v>51</v>
      </c>
      <c r="O95" s="6" t="s">
        <v>52</v>
      </c>
      <c r="P95" s="6" t="s">
        <v>53</v>
      </c>
      <c r="Q95" s="6" t="s">
        <v>54</v>
      </c>
    </row>
    <row r="96" spans="2:19" ht="30" customHeight="1" x14ac:dyDescent="0.3">
      <c r="B96" s="7" t="s">
        <v>101</v>
      </c>
      <c r="C96" s="7" t="s">
        <v>225</v>
      </c>
      <c r="E96" s="6" t="s">
        <v>164</v>
      </c>
      <c r="F96" s="45" t="s">
        <v>627</v>
      </c>
      <c r="G96" s="11" t="s">
        <v>226</v>
      </c>
      <c r="H96" s="146" t="s">
        <v>571</v>
      </c>
      <c r="I96" s="148"/>
      <c r="J96" s="11" t="s">
        <v>97</v>
      </c>
      <c r="K96" s="146" t="s">
        <v>98</v>
      </c>
      <c r="L96" s="147"/>
      <c r="M96" s="148"/>
      <c r="N96" s="146" t="s">
        <v>99</v>
      </c>
      <c r="O96" s="148"/>
      <c r="P96" s="11" t="s">
        <v>96</v>
      </c>
      <c r="Q96" s="11" t="s">
        <v>100</v>
      </c>
    </row>
    <row r="97" spans="2:17" ht="11.25" customHeight="1" x14ac:dyDescent="0.3">
      <c r="E97" s="6" t="s">
        <v>165</v>
      </c>
      <c r="F97" s="16">
        <v>0</v>
      </c>
      <c r="G97" s="16">
        <v>0</v>
      </c>
      <c r="H97" s="16">
        <v>0</v>
      </c>
      <c r="I97" s="16">
        <v>1</v>
      </c>
      <c r="J97" s="16">
        <v>1</v>
      </c>
      <c r="K97" s="16">
        <v>0</v>
      </c>
      <c r="L97" s="16">
        <v>1</v>
      </c>
      <c r="M97" s="16">
        <v>1</v>
      </c>
      <c r="N97" s="16">
        <v>1</v>
      </c>
      <c r="O97" s="16">
        <v>1</v>
      </c>
      <c r="P97" s="16">
        <v>0</v>
      </c>
      <c r="Q97" s="16">
        <v>1</v>
      </c>
    </row>
    <row r="98" spans="2:17" ht="11.25" customHeight="1" x14ac:dyDescent="0.3">
      <c r="E98" s="6" t="s">
        <v>157</v>
      </c>
      <c r="F98" s="166" t="s">
        <v>166</v>
      </c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8"/>
    </row>
    <row r="99" spans="2:17" ht="11.25" customHeight="1" x14ac:dyDescent="0.3">
      <c r="E99" s="6" t="s">
        <v>167</v>
      </c>
      <c r="F99" s="16" t="s">
        <v>168</v>
      </c>
      <c r="G99" s="16" t="s">
        <v>227</v>
      </c>
      <c r="H99" s="166" t="s">
        <v>227</v>
      </c>
      <c r="I99" s="168"/>
      <c r="J99" s="16" t="s">
        <v>227</v>
      </c>
      <c r="K99" s="166" t="s">
        <v>227</v>
      </c>
      <c r="L99" s="167"/>
      <c r="M99" s="168"/>
      <c r="N99" s="166" t="s">
        <v>227</v>
      </c>
      <c r="O99" s="168"/>
      <c r="P99" s="16" t="s">
        <v>227</v>
      </c>
      <c r="Q99" s="16" t="s">
        <v>227</v>
      </c>
    </row>
    <row r="100" spans="2:17" ht="33.75" customHeight="1" x14ac:dyDescent="0.3">
      <c r="E100" s="156" t="s">
        <v>169</v>
      </c>
      <c r="F100" s="159" t="s">
        <v>226</v>
      </c>
      <c r="G100" s="160"/>
      <c r="H100" s="161" t="s">
        <v>576</v>
      </c>
      <c r="I100" s="179"/>
      <c r="J100" s="179"/>
      <c r="K100" s="179"/>
      <c r="L100" s="179"/>
      <c r="M100" s="179"/>
      <c r="N100" s="179"/>
      <c r="O100" s="179"/>
      <c r="P100" s="179"/>
      <c r="Q100" s="180"/>
    </row>
    <row r="101" spans="2:17" ht="61.5" customHeight="1" x14ac:dyDescent="0.3">
      <c r="E101" s="157"/>
      <c r="F101" s="159" t="s">
        <v>232</v>
      </c>
      <c r="G101" s="160"/>
      <c r="H101" s="161" t="s">
        <v>577</v>
      </c>
      <c r="I101" s="162"/>
      <c r="J101" s="162"/>
      <c r="K101" s="162"/>
      <c r="L101" s="162"/>
      <c r="M101" s="162"/>
      <c r="N101" s="162"/>
      <c r="O101" s="162"/>
      <c r="P101" s="162"/>
      <c r="Q101" s="163"/>
    </row>
    <row r="102" spans="2:17" ht="28.5" customHeight="1" x14ac:dyDescent="0.3">
      <c r="E102" s="157"/>
      <c r="F102" s="159" t="s">
        <v>228</v>
      </c>
      <c r="G102" s="160"/>
      <c r="H102" s="161" t="s">
        <v>575</v>
      </c>
      <c r="I102" s="162"/>
      <c r="J102" s="162"/>
      <c r="K102" s="162"/>
      <c r="L102" s="162"/>
      <c r="M102" s="162"/>
      <c r="N102" s="162"/>
      <c r="O102" s="162"/>
      <c r="P102" s="162"/>
      <c r="Q102" s="163"/>
    </row>
    <row r="103" spans="2:17" ht="102.75" customHeight="1" x14ac:dyDescent="0.3">
      <c r="E103" s="157"/>
      <c r="F103" s="159" t="s">
        <v>229</v>
      </c>
      <c r="G103" s="160"/>
      <c r="H103" s="161" t="s">
        <v>572</v>
      </c>
      <c r="I103" s="162"/>
      <c r="J103" s="162"/>
      <c r="K103" s="162"/>
      <c r="L103" s="162"/>
      <c r="M103" s="162"/>
      <c r="N103" s="162"/>
      <c r="O103" s="162"/>
      <c r="P103" s="162"/>
      <c r="Q103" s="163"/>
    </row>
    <row r="104" spans="2:17" ht="29.25" customHeight="1" x14ac:dyDescent="0.3">
      <c r="E104" s="157"/>
      <c r="F104" s="176" t="s">
        <v>230</v>
      </c>
      <c r="G104" s="160"/>
      <c r="H104" s="161" t="s">
        <v>231</v>
      </c>
      <c r="I104" s="162"/>
      <c r="J104" s="162"/>
      <c r="K104" s="162"/>
      <c r="L104" s="162"/>
      <c r="M104" s="162"/>
      <c r="N104" s="162"/>
      <c r="O104" s="162"/>
      <c r="P104" s="162"/>
      <c r="Q104" s="163"/>
    </row>
    <row r="105" spans="2:17" ht="33.75" customHeight="1" x14ac:dyDescent="0.3">
      <c r="E105" s="157"/>
      <c r="F105" s="159" t="s">
        <v>96</v>
      </c>
      <c r="G105" s="160"/>
      <c r="H105" s="161" t="s">
        <v>628</v>
      </c>
      <c r="I105" s="179"/>
      <c r="J105" s="179"/>
      <c r="K105" s="179"/>
      <c r="L105" s="179"/>
      <c r="M105" s="179"/>
      <c r="N105" s="179"/>
      <c r="O105" s="179"/>
      <c r="P105" s="179"/>
      <c r="Q105" s="180"/>
    </row>
    <row r="106" spans="2:17" ht="23.25" customHeight="1" x14ac:dyDescent="0.3">
      <c r="E106" s="158"/>
      <c r="F106" s="159" t="s">
        <v>233</v>
      </c>
      <c r="G106" s="160"/>
      <c r="H106" s="161" t="s">
        <v>629</v>
      </c>
      <c r="I106" s="162"/>
      <c r="J106" s="162"/>
      <c r="K106" s="162"/>
      <c r="L106" s="162"/>
      <c r="M106" s="162"/>
      <c r="N106" s="162"/>
      <c r="O106" s="162"/>
      <c r="P106" s="162"/>
      <c r="Q106" s="163"/>
    </row>
    <row r="107" spans="2:17" x14ac:dyDescent="0.3"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</row>
    <row r="109" spans="2:17" x14ac:dyDescent="0.3">
      <c r="B109" s="5" t="s">
        <v>41</v>
      </c>
      <c r="C109" s="5" t="s">
        <v>42</v>
      </c>
      <c r="E109" s="6"/>
      <c r="F109" s="6" t="s">
        <v>43</v>
      </c>
      <c r="G109" s="6" t="s">
        <v>44</v>
      </c>
      <c r="H109" s="6" t="s">
        <v>45</v>
      </c>
      <c r="I109" s="6" t="s">
        <v>46</v>
      </c>
      <c r="J109" s="6" t="s">
        <v>47</v>
      </c>
      <c r="K109" s="6" t="s">
        <v>48</v>
      </c>
      <c r="L109" s="6" t="s">
        <v>49</v>
      </c>
      <c r="M109" s="6" t="s">
        <v>50</v>
      </c>
      <c r="N109" s="6" t="s">
        <v>51</v>
      </c>
      <c r="O109" s="6" t="s">
        <v>52</v>
      </c>
      <c r="P109" s="6" t="s">
        <v>53</v>
      </c>
      <c r="Q109" s="6" t="s">
        <v>54</v>
      </c>
    </row>
    <row r="110" spans="2:17" ht="30" customHeight="1" x14ac:dyDescent="0.3">
      <c r="B110" s="7" t="s">
        <v>114</v>
      </c>
      <c r="C110" s="7" t="s">
        <v>234</v>
      </c>
      <c r="E110" s="6" t="s">
        <v>164</v>
      </c>
      <c r="F110" s="11" t="s">
        <v>102</v>
      </c>
      <c r="G110" s="8" t="s">
        <v>103</v>
      </c>
      <c r="H110" s="8" t="s">
        <v>104</v>
      </c>
      <c r="I110" s="8" t="s">
        <v>105</v>
      </c>
      <c r="J110" s="11" t="s">
        <v>106</v>
      </c>
      <c r="K110" s="8" t="s">
        <v>107</v>
      </c>
      <c r="L110" s="8" t="s">
        <v>108</v>
      </c>
      <c r="M110" s="8" t="s">
        <v>109</v>
      </c>
      <c r="N110" s="11" t="s">
        <v>110</v>
      </c>
      <c r="O110" s="8" t="s">
        <v>111</v>
      </c>
      <c r="P110" s="70" t="s">
        <v>112</v>
      </c>
      <c r="Q110" s="8" t="s">
        <v>113</v>
      </c>
    </row>
    <row r="111" spans="2:17" x14ac:dyDescent="0.3">
      <c r="E111" s="6" t="s">
        <v>165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1</v>
      </c>
      <c r="Q111" s="16">
        <v>1</v>
      </c>
    </row>
    <row r="112" spans="2:17" x14ac:dyDescent="0.3">
      <c r="E112" s="6" t="s">
        <v>157</v>
      </c>
      <c r="F112" s="166" t="s">
        <v>166</v>
      </c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8"/>
    </row>
    <row r="113" spans="2:17" x14ac:dyDescent="0.3">
      <c r="E113" s="6" t="s">
        <v>167</v>
      </c>
      <c r="F113" s="16" t="s">
        <v>227</v>
      </c>
      <c r="G113" s="16" t="s">
        <v>227</v>
      </c>
      <c r="H113" s="16" t="s">
        <v>227</v>
      </c>
      <c r="I113" s="16" t="s">
        <v>227</v>
      </c>
      <c r="J113" s="16" t="s">
        <v>227</v>
      </c>
      <c r="K113" s="16" t="s">
        <v>227</v>
      </c>
      <c r="L113" s="16" t="s">
        <v>227</v>
      </c>
      <c r="M113" s="16" t="s">
        <v>227</v>
      </c>
      <c r="N113" s="16" t="s">
        <v>227</v>
      </c>
      <c r="O113" s="16" t="s">
        <v>227</v>
      </c>
      <c r="P113" s="16" t="s">
        <v>227</v>
      </c>
      <c r="Q113" s="16" t="s">
        <v>227</v>
      </c>
    </row>
    <row r="114" spans="2:17" ht="39.950000000000003" customHeight="1" x14ac:dyDescent="0.3">
      <c r="E114" s="157" t="s">
        <v>169</v>
      </c>
      <c r="F114" s="159" t="s">
        <v>235</v>
      </c>
      <c r="G114" s="160"/>
      <c r="H114" s="161" t="s">
        <v>236</v>
      </c>
      <c r="I114" s="162"/>
      <c r="J114" s="162"/>
      <c r="K114" s="162"/>
      <c r="L114" s="162"/>
      <c r="M114" s="162"/>
      <c r="N114" s="162"/>
      <c r="O114" s="162"/>
      <c r="P114" s="162"/>
      <c r="Q114" s="163"/>
    </row>
    <row r="115" spans="2:17" ht="39.950000000000003" customHeight="1" x14ac:dyDescent="0.3">
      <c r="E115" s="157"/>
      <c r="F115" s="159" t="s">
        <v>237</v>
      </c>
      <c r="G115" s="160"/>
      <c r="H115" s="161" t="s">
        <v>238</v>
      </c>
      <c r="I115" s="162"/>
      <c r="J115" s="162"/>
      <c r="K115" s="162"/>
      <c r="L115" s="162"/>
      <c r="M115" s="162"/>
      <c r="N115" s="162"/>
      <c r="O115" s="162"/>
      <c r="P115" s="162"/>
      <c r="Q115" s="163"/>
    </row>
    <row r="116" spans="2:17" ht="39.950000000000003" customHeight="1" x14ac:dyDescent="0.3">
      <c r="E116" s="157"/>
      <c r="F116" s="159" t="s">
        <v>239</v>
      </c>
      <c r="G116" s="160"/>
      <c r="H116" s="161" t="s">
        <v>789</v>
      </c>
      <c r="I116" s="162"/>
      <c r="J116" s="162"/>
      <c r="K116" s="162"/>
      <c r="L116" s="162"/>
      <c r="M116" s="162"/>
      <c r="N116" s="162"/>
      <c r="O116" s="162"/>
      <c r="P116" s="162"/>
      <c r="Q116" s="163"/>
    </row>
    <row r="117" spans="2:17" ht="39.950000000000003" customHeight="1" x14ac:dyDescent="0.3">
      <c r="E117" s="157"/>
      <c r="F117" s="159" t="s">
        <v>240</v>
      </c>
      <c r="G117" s="160"/>
      <c r="H117" s="161" t="s">
        <v>241</v>
      </c>
      <c r="I117" s="162"/>
      <c r="J117" s="162"/>
      <c r="K117" s="162"/>
      <c r="L117" s="162"/>
      <c r="M117" s="162"/>
      <c r="N117" s="162"/>
      <c r="O117" s="162"/>
      <c r="P117" s="162"/>
      <c r="Q117" s="163"/>
    </row>
    <row r="118" spans="2:17" ht="39.950000000000003" customHeight="1" x14ac:dyDescent="0.3">
      <c r="E118" s="157"/>
      <c r="F118" s="159" t="s">
        <v>242</v>
      </c>
      <c r="G118" s="160"/>
      <c r="H118" s="161" t="s">
        <v>243</v>
      </c>
      <c r="I118" s="162"/>
      <c r="J118" s="162"/>
      <c r="K118" s="162"/>
      <c r="L118" s="162"/>
      <c r="M118" s="162"/>
      <c r="N118" s="162"/>
      <c r="O118" s="162"/>
      <c r="P118" s="162"/>
      <c r="Q118" s="163"/>
    </row>
    <row r="119" spans="2:17" ht="39.950000000000003" customHeight="1" x14ac:dyDescent="0.3">
      <c r="E119" s="157"/>
      <c r="F119" s="159" t="s">
        <v>244</v>
      </c>
      <c r="G119" s="160"/>
      <c r="H119" s="161" t="s">
        <v>238</v>
      </c>
      <c r="I119" s="162"/>
      <c r="J119" s="162"/>
      <c r="K119" s="162"/>
      <c r="L119" s="162"/>
      <c r="M119" s="162"/>
      <c r="N119" s="162"/>
      <c r="O119" s="162"/>
      <c r="P119" s="162"/>
      <c r="Q119" s="163"/>
    </row>
    <row r="120" spans="2:17" ht="39.950000000000003" customHeight="1" x14ac:dyDescent="0.3">
      <c r="E120" s="157"/>
      <c r="F120" s="159" t="s">
        <v>245</v>
      </c>
      <c r="G120" s="160"/>
      <c r="H120" s="161" t="s">
        <v>790</v>
      </c>
      <c r="I120" s="162"/>
      <c r="J120" s="162"/>
      <c r="K120" s="162"/>
      <c r="L120" s="162"/>
      <c r="M120" s="162"/>
      <c r="N120" s="162"/>
      <c r="O120" s="162"/>
      <c r="P120" s="162"/>
      <c r="Q120" s="163"/>
    </row>
    <row r="121" spans="2:17" ht="39.950000000000003" customHeight="1" x14ac:dyDescent="0.3">
      <c r="E121" s="157"/>
      <c r="F121" s="159" t="s">
        <v>246</v>
      </c>
      <c r="G121" s="160"/>
      <c r="H121" s="161" t="s">
        <v>583</v>
      </c>
      <c r="I121" s="162"/>
      <c r="J121" s="162"/>
      <c r="K121" s="162"/>
      <c r="L121" s="162"/>
      <c r="M121" s="162"/>
      <c r="N121" s="162"/>
      <c r="O121" s="162"/>
      <c r="P121" s="162"/>
      <c r="Q121" s="163"/>
    </row>
    <row r="122" spans="2:17" ht="39.950000000000003" customHeight="1" x14ac:dyDescent="0.3">
      <c r="E122" s="157"/>
      <c r="F122" s="159" t="s">
        <v>247</v>
      </c>
      <c r="G122" s="160"/>
      <c r="H122" s="161" t="s">
        <v>248</v>
      </c>
      <c r="I122" s="162"/>
      <c r="J122" s="162"/>
      <c r="K122" s="162"/>
      <c r="L122" s="162"/>
      <c r="M122" s="162"/>
      <c r="N122" s="162"/>
      <c r="O122" s="162"/>
      <c r="P122" s="162"/>
      <c r="Q122" s="163"/>
    </row>
    <row r="123" spans="2:17" ht="39.950000000000003" customHeight="1" x14ac:dyDescent="0.3">
      <c r="E123" s="157"/>
      <c r="F123" s="159" t="s">
        <v>249</v>
      </c>
      <c r="G123" s="160"/>
      <c r="H123" s="161" t="s">
        <v>238</v>
      </c>
      <c r="I123" s="162"/>
      <c r="J123" s="162"/>
      <c r="K123" s="162"/>
      <c r="L123" s="162"/>
      <c r="M123" s="162"/>
      <c r="N123" s="162"/>
      <c r="O123" s="162"/>
      <c r="P123" s="162"/>
      <c r="Q123" s="163"/>
    </row>
    <row r="124" spans="2:17" ht="39.950000000000003" customHeight="1" x14ac:dyDescent="0.3">
      <c r="E124" s="157"/>
      <c r="F124" s="159" t="s">
        <v>250</v>
      </c>
      <c r="G124" s="160"/>
      <c r="H124" s="161" t="s">
        <v>791</v>
      </c>
      <c r="I124" s="162"/>
      <c r="J124" s="162"/>
      <c r="K124" s="162"/>
      <c r="L124" s="162"/>
      <c r="M124" s="162"/>
      <c r="N124" s="162"/>
      <c r="O124" s="162"/>
      <c r="P124" s="162"/>
      <c r="Q124" s="163"/>
    </row>
    <row r="125" spans="2:17" ht="39.950000000000003" customHeight="1" x14ac:dyDescent="0.3">
      <c r="E125" s="158"/>
      <c r="F125" s="159" t="s">
        <v>251</v>
      </c>
      <c r="G125" s="160"/>
      <c r="H125" s="161" t="s">
        <v>252</v>
      </c>
      <c r="I125" s="162"/>
      <c r="J125" s="162"/>
      <c r="K125" s="162"/>
      <c r="L125" s="162"/>
      <c r="M125" s="162"/>
      <c r="N125" s="162"/>
      <c r="O125" s="162"/>
      <c r="P125" s="162"/>
      <c r="Q125" s="163"/>
    </row>
    <row r="126" spans="2:17" ht="11.25" customHeight="1" x14ac:dyDescent="0.3">
      <c r="E126" s="44"/>
      <c r="F126" s="68"/>
      <c r="G126" s="68"/>
      <c r="H126" s="17"/>
      <c r="I126" s="23"/>
      <c r="J126" s="23"/>
      <c r="K126" s="23"/>
      <c r="L126" s="23"/>
      <c r="M126" s="23"/>
      <c r="N126" s="23"/>
      <c r="O126" s="23"/>
      <c r="P126" s="23"/>
      <c r="Q126" s="23"/>
    </row>
    <row r="127" spans="2:17" ht="11.25" customHeight="1" x14ac:dyDescent="0.3">
      <c r="E127" s="44"/>
      <c r="F127" s="68"/>
      <c r="G127" s="68"/>
      <c r="H127" s="17"/>
      <c r="I127" s="23"/>
      <c r="J127" s="23"/>
      <c r="K127" s="23"/>
      <c r="L127" s="23"/>
      <c r="M127" s="23"/>
      <c r="N127" s="23"/>
      <c r="O127" s="23"/>
      <c r="P127" s="23"/>
      <c r="Q127" s="23"/>
    </row>
    <row r="128" spans="2:17" x14ac:dyDescent="0.3">
      <c r="B128" s="5" t="s">
        <v>41</v>
      </c>
      <c r="C128" s="5" t="s">
        <v>42</v>
      </c>
      <c r="E128" s="6"/>
      <c r="F128" s="6" t="s">
        <v>43</v>
      </c>
      <c r="G128" s="6" t="s">
        <v>44</v>
      </c>
      <c r="H128" s="6" t="s">
        <v>45</v>
      </c>
      <c r="I128" s="6" t="s">
        <v>46</v>
      </c>
      <c r="J128" s="6" t="s">
        <v>47</v>
      </c>
      <c r="K128" s="6" t="s">
        <v>48</v>
      </c>
      <c r="L128" s="6" t="s">
        <v>49</v>
      </c>
      <c r="M128" s="6" t="s">
        <v>50</v>
      </c>
      <c r="N128" s="6" t="s">
        <v>51</v>
      </c>
      <c r="O128" s="6" t="s">
        <v>52</v>
      </c>
      <c r="P128" s="6" t="s">
        <v>53</v>
      </c>
      <c r="Q128" s="6" t="s">
        <v>54</v>
      </c>
    </row>
    <row r="129" spans="2:17" ht="30" customHeight="1" x14ac:dyDescent="0.3">
      <c r="B129" s="7" t="s">
        <v>120</v>
      </c>
      <c r="C129" s="7" t="s">
        <v>253</v>
      </c>
      <c r="E129" s="6" t="s">
        <v>164</v>
      </c>
      <c r="F129" s="70" t="s">
        <v>1141</v>
      </c>
      <c r="G129" s="70" t="s">
        <v>1144</v>
      </c>
      <c r="H129" s="70" t="s">
        <v>1145</v>
      </c>
      <c r="I129" s="70" t="s">
        <v>1146</v>
      </c>
      <c r="J129" s="70" t="s">
        <v>1011</v>
      </c>
      <c r="K129" s="70" t="s">
        <v>780</v>
      </c>
      <c r="L129" s="70" t="s">
        <v>585</v>
      </c>
      <c r="M129" s="70" t="s">
        <v>115</v>
      </c>
      <c r="N129" s="70" t="s">
        <v>116</v>
      </c>
      <c r="O129" s="11" t="s">
        <v>117</v>
      </c>
      <c r="P129" s="11" t="s">
        <v>118</v>
      </c>
      <c r="Q129" s="11" t="s">
        <v>119</v>
      </c>
    </row>
    <row r="130" spans="2:17" x14ac:dyDescent="0.3">
      <c r="E130" s="6" t="s">
        <v>165</v>
      </c>
      <c r="F130" s="16">
        <v>0</v>
      </c>
      <c r="G130" s="16">
        <v>1</v>
      </c>
      <c r="H130" s="16">
        <v>1</v>
      </c>
      <c r="I130" s="16">
        <v>1</v>
      </c>
      <c r="J130" s="16">
        <v>1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</row>
    <row r="131" spans="2:17" x14ac:dyDescent="0.3">
      <c r="E131" s="6" t="s">
        <v>157</v>
      </c>
      <c r="F131" s="166" t="s">
        <v>166</v>
      </c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8"/>
    </row>
    <row r="132" spans="2:17" x14ac:dyDescent="0.3">
      <c r="E132" s="6" t="s">
        <v>167</v>
      </c>
      <c r="F132" s="115" t="s">
        <v>227</v>
      </c>
      <c r="G132" s="115" t="s">
        <v>227</v>
      </c>
      <c r="H132" s="115" t="s">
        <v>227</v>
      </c>
      <c r="I132" s="115" t="s">
        <v>227</v>
      </c>
      <c r="J132" s="115" t="s">
        <v>227</v>
      </c>
      <c r="K132" s="16" t="s">
        <v>227</v>
      </c>
      <c r="L132" s="16" t="s">
        <v>227</v>
      </c>
      <c r="M132" s="16" t="s">
        <v>227</v>
      </c>
      <c r="N132" s="16" t="s">
        <v>227</v>
      </c>
      <c r="O132" s="16" t="s">
        <v>227</v>
      </c>
      <c r="P132" s="16" t="s">
        <v>227</v>
      </c>
      <c r="Q132" s="16" t="s">
        <v>227</v>
      </c>
    </row>
    <row r="133" spans="2:17" ht="27.75" customHeight="1" x14ac:dyDescent="0.3">
      <c r="E133" s="156" t="s">
        <v>169</v>
      </c>
      <c r="F133" s="166" t="s">
        <v>1141</v>
      </c>
      <c r="G133" s="168"/>
      <c r="H133" s="161" t="s">
        <v>1179</v>
      </c>
      <c r="I133" s="162"/>
      <c r="J133" s="162"/>
      <c r="K133" s="162"/>
      <c r="L133" s="162"/>
      <c r="M133" s="162"/>
      <c r="N133" s="162"/>
      <c r="O133" s="162"/>
      <c r="P133" s="162"/>
      <c r="Q133" s="163"/>
    </row>
    <row r="134" spans="2:17" ht="27.75" customHeight="1" x14ac:dyDescent="0.3">
      <c r="E134" s="157"/>
      <c r="F134" s="166" t="s">
        <v>1144</v>
      </c>
      <c r="G134" s="168"/>
      <c r="H134" s="161" t="s">
        <v>1180</v>
      </c>
      <c r="I134" s="179"/>
      <c r="J134" s="179"/>
      <c r="K134" s="179"/>
      <c r="L134" s="179"/>
      <c r="M134" s="179"/>
      <c r="N134" s="179"/>
      <c r="O134" s="179"/>
      <c r="P134" s="179"/>
      <c r="Q134" s="180"/>
    </row>
    <row r="135" spans="2:17" ht="27.75" customHeight="1" x14ac:dyDescent="0.3">
      <c r="E135" s="157"/>
      <c r="F135" s="166" t="s">
        <v>1145</v>
      </c>
      <c r="G135" s="168"/>
      <c r="H135" s="161" t="s">
        <v>1181</v>
      </c>
      <c r="I135" s="179"/>
      <c r="J135" s="179"/>
      <c r="K135" s="179"/>
      <c r="L135" s="179"/>
      <c r="M135" s="179"/>
      <c r="N135" s="179"/>
      <c r="O135" s="179"/>
      <c r="P135" s="179"/>
      <c r="Q135" s="180"/>
    </row>
    <row r="136" spans="2:17" ht="27.75" customHeight="1" x14ac:dyDescent="0.3">
      <c r="E136" s="157"/>
      <c r="F136" s="166" t="s">
        <v>1146</v>
      </c>
      <c r="G136" s="168"/>
      <c r="H136" s="161" t="s">
        <v>1182</v>
      </c>
      <c r="I136" s="179"/>
      <c r="J136" s="179"/>
      <c r="K136" s="179"/>
      <c r="L136" s="179"/>
      <c r="M136" s="179"/>
      <c r="N136" s="179"/>
      <c r="O136" s="179"/>
      <c r="P136" s="179"/>
      <c r="Q136" s="180"/>
    </row>
    <row r="137" spans="2:17" ht="27.75" customHeight="1" x14ac:dyDescent="0.3">
      <c r="E137" s="157"/>
      <c r="F137" s="159" t="s">
        <v>1012</v>
      </c>
      <c r="G137" s="160"/>
      <c r="H137" s="161" t="s">
        <v>643</v>
      </c>
      <c r="I137" s="162"/>
      <c r="J137" s="162"/>
      <c r="K137" s="162"/>
      <c r="L137" s="162"/>
      <c r="M137" s="162"/>
      <c r="N137" s="162"/>
      <c r="O137" s="162"/>
      <c r="P137" s="162"/>
      <c r="Q137" s="163"/>
    </row>
    <row r="138" spans="2:17" ht="40.5" customHeight="1" x14ac:dyDescent="0.3">
      <c r="E138" s="157"/>
      <c r="F138" s="164" t="s">
        <v>781</v>
      </c>
      <c r="G138" s="164"/>
      <c r="H138" s="169" t="s">
        <v>1183</v>
      </c>
      <c r="I138" s="165"/>
      <c r="J138" s="165"/>
      <c r="K138" s="165"/>
      <c r="L138" s="165"/>
      <c r="M138" s="165"/>
      <c r="N138" s="165"/>
      <c r="O138" s="165"/>
      <c r="P138" s="165"/>
      <c r="Q138" s="165"/>
    </row>
    <row r="139" spans="2:17" ht="39" customHeight="1" x14ac:dyDescent="0.3">
      <c r="E139" s="157"/>
      <c r="F139" s="164" t="s">
        <v>594</v>
      </c>
      <c r="G139" s="164"/>
      <c r="H139" s="171" t="s">
        <v>642</v>
      </c>
      <c r="I139" s="165"/>
      <c r="J139" s="165"/>
      <c r="K139" s="165"/>
      <c r="L139" s="165"/>
      <c r="M139" s="165"/>
      <c r="N139" s="165"/>
      <c r="O139" s="165"/>
      <c r="P139" s="165"/>
      <c r="Q139" s="165"/>
    </row>
    <row r="140" spans="2:17" ht="74.25" customHeight="1" x14ac:dyDescent="0.3">
      <c r="E140" s="157"/>
      <c r="F140" s="159" t="s">
        <v>254</v>
      </c>
      <c r="G140" s="160"/>
      <c r="H140" s="161" t="s">
        <v>1017</v>
      </c>
      <c r="I140" s="162"/>
      <c r="J140" s="162"/>
      <c r="K140" s="162"/>
      <c r="L140" s="162"/>
      <c r="M140" s="162"/>
      <c r="N140" s="162"/>
      <c r="O140" s="162"/>
      <c r="P140" s="162"/>
      <c r="Q140" s="163"/>
    </row>
    <row r="141" spans="2:17" ht="75" customHeight="1" x14ac:dyDescent="0.3">
      <c r="E141" s="157"/>
      <c r="F141" s="159" t="s">
        <v>255</v>
      </c>
      <c r="G141" s="160"/>
      <c r="H141" s="161" t="s">
        <v>630</v>
      </c>
      <c r="I141" s="162"/>
      <c r="J141" s="162"/>
      <c r="K141" s="162"/>
      <c r="L141" s="162"/>
      <c r="M141" s="162"/>
      <c r="N141" s="162"/>
      <c r="O141" s="162"/>
      <c r="P141" s="162"/>
      <c r="Q141" s="163"/>
    </row>
    <row r="142" spans="2:17" ht="36.75" customHeight="1" x14ac:dyDescent="0.3">
      <c r="E142" s="157"/>
      <c r="F142" s="159" t="s">
        <v>256</v>
      </c>
      <c r="G142" s="160"/>
      <c r="H142" s="161" t="s">
        <v>786</v>
      </c>
      <c r="I142" s="162"/>
      <c r="J142" s="162"/>
      <c r="K142" s="162"/>
      <c r="L142" s="162"/>
      <c r="M142" s="162"/>
      <c r="N142" s="162"/>
      <c r="O142" s="162"/>
      <c r="P142" s="162"/>
      <c r="Q142" s="163"/>
    </row>
    <row r="143" spans="2:17" ht="38.25" customHeight="1" x14ac:dyDescent="0.3">
      <c r="E143" s="157"/>
      <c r="F143" s="159" t="s">
        <v>257</v>
      </c>
      <c r="G143" s="160"/>
      <c r="H143" s="161" t="s">
        <v>787</v>
      </c>
      <c r="I143" s="162"/>
      <c r="J143" s="162"/>
      <c r="K143" s="162"/>
      <c r="L143" s="162"/>
      <c r="M143" s="162"/>
      <c r="N143" s="162"/>
      <c r="O143" s="162"/>
      <c r="P143" s="162"/>
      <c r="Q143" s="163"/>
    </row>
    <row r="144" spans="2:17" ht="36.75" customHeight="1" x14ac:dyDescent="0.3">
      <c r="E144" s="158"/>
      <c r="F144" s="159" t="s">
        <v>258</v>
      </c>
      <c r="G144" s="160"/>
      <c r="H144" s="161" t="s">
        <v>788</v>
      </c>
      <c r="I144" s="162"/>
      <c r="J144" s="162"/>
      <c r="K144" s="162"/>
      <c r="L144" s="162"/>
      <c r="M144" s="162"/>
      <c r="N144" s="162"/>
      <c r="O144" s="162"/>
      <c r="P144" s="162"/>
      <c r="Q144" s="163"/>
    </row>
    <row r="145" spans="2:19" ht="11.25" customHeight="1" x14ac:dyDescent="0.3"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</row>
    <row r="146" spans="2:19" ht="11.25" customHeight="1" x14ac:dyDescent="0.3"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</row>
    <row r="147" spans="2:19" x14ac:dyDescent="0.3">
      <c r="B147" s="5" t="s">
        <v>41</v>
      </c>
      <c r="C147" s="5" t="s">
        <v>42</v>
      </c>
      <c r="E147" s="6"/>
      <c r="F147" s="6" t="s">
        <v>43</v>
      </c>
      <c r="G147" s="6" t="s">
        <v>44</v>
      </c>
      <c r="H147" s="6" t="s">
        <v>45</v>
      </c>
      <c r="I147" s="6" t="s">
        <v>46</v>
      </c>
      <c r="J147" s="6" t="s">
        <v>47</v>
      </c>
      <c r="K147" s="6" t="s">
        <v>48</v>
      </c>
      <c r="L147" s="6" t="s">
        <v>49</v>
      </c>
      <c r="M147" s="6" t="s">
        <v>50</v>
      </c>
      <c r="N147" s="6" t="s">
        <v>51</v>
      </c>
      <c r="O147" s="6" t="s">
        <v>52</v>
      </c>
      <c r="P147" s="6" t="s">
        <v>53</v>
      </c>
      <c r="Q147" s="6" t="s">
        <v>54</v>
      </c>
    </row>
    <row r="148" spans="2:19" ht="30" customHeight="1" x14ac:dyDescent="0.3">
      <c r="B148" s="7" t="s">
        <v>122</v>
      </c>
      <c r="C148" s="7" t="s">
        <v>773</v>
      </c>
      <c r="E148" s="6" t="s">
        <v>164</v>
      </c>
      <c r="F148" s="45" t="s">
        <v>627</v>
      </c>
      <c r="G148" s="45" t="s">
        <v>627</v>
      </c>
      <c r="H148" s="45" t="s">
        <v>627</v>
      </c>
      <c r="I148" s="11" t="s">
        <v>1096</v>
      </c>
      <c r="J148" s="154" t="s">
        <v>1193</v>
      </c>
      <c r="K148" s="155"/>
      <c r="L148" s="11" t="s">
        <v>1139</v>
      </c>
      <c r="M148" s="11" t="s">
        <v>1140</v>
      </c>
      <c r="N148" s="11" t="s">
        <v>603</v>
      </c>
      <c r="O148" s="11" t="s">
        <v>602</v>
      </c>
      <c r="P148" s="11" t="s">
        <v>601</v>
      </c>
      <c r="Q148" s="11" t="s">
        <v>600</v>
      </c>
      <c r="S148" s="12" t="s">
        <v>260</v>
      </c>
    </row>
    <row r="149" spans="2:19" x14ac:dyDescent="0.3">
      <c r="E149" s="6" t="s">
        <v>165</v>
      </c>
      <c r="F149" s="111">
        <v>0</v>
      </c>
      <c r="G149" s="111">
        <v>0</v>
      </c>
      <c r="H149" s="111">
        <v>0</v>
      </c>
      <c r="I149" s="111">
        <v>0</v>
      </c>
      <c r="J149" s="114">
        <v>0</v>
      </c>
      <c r="K149" s="114">
        <v>1</v>
      </c>
      <c r="L149" s="111">
        <v>1</v>
      </c>
      <c r="M149" s="111">
        <v>1</v>
      </c>
      <c r="N149" s="111">
        <v>1</v>
      </c>
      <c r="O149" s="111">
        <v>1</v>
      </c>
      <c r="P149" s="111">
        <v>1</v>
      </c>
      <c r="Q149" s="111">
        <v>1</v>
      </c>
    </row>
    <row r="150" spans="2:19" ht="11.25" customHeight="1" x14ac:dyDescent="0.3">
      <c r="E150" s="6" t="s">
        <v>157</v>
      </c>
      <c r="F150" s="172" t="s">
        <v>166</v>
      </c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4"/>
    </row>
    <row r="151" spans="2:19" ht="11.25" customHeight="1" x14ac:dyDescent="0.3">
      <c r="E151" s="6" t="s">
        <v>167</v>
      </c>
      <c r="F151" s="111" t="s">
        <v>168</v>
      </c>
      <c r="G151" s="111" t="s">
        <v>168</v>
      </c>
      <c r="H151" s="111" t="s">
        <v>168</v>
      </c>
      <c r="I151" s="111" t="s">
        <v>227</v>
      </c>
      <c r="J151" s="111" t="s">
        <v>227</v>
      </c>
      <c r="K151" s="111" t="s">
        <v>168</v>
      </c>
      <c r="L151" s="111" t="s">
        <v>227</v>
      </c>
      <c r="M151" s="111" t="s">
        <v>227</v>
      </c>
      <c r="N151" s="111" t="s">
        <v>227</v>
      </c>
      <c r="O151" s="111" t="s">
        <v>227</v>
      </c>
      <c r="P151" s="111" t="s">
        <v>227</v>
      </c>
      <c r="Q151" s="111" t="s">
        <v>227</v>
      </c>
    </row>
    <row r="152" spans="2:19" ht="36.75" customHeight="1" x14ac:dyDescent="0.3">
      <c r="E152" s="157" t="s">
        <v>1115</v>
      </c>
      <c r="F152" s="159" t="s">
        <v>1100</v>
      </c>
      <c r="G152" s="160"/>
      <c r="H152" s="161" t="s">
        <v>1184</v>
      </c>
      <c r="I152" s="162"/>
      <c r="J152" s="162"/>
      <c r="K152" s="162"/>
      <c r="L152" s="162"/>
      <c r="M152" s="162"/>
      <c r="N152" s="162"/>
      <c r="O152" s="162"/>
      <c r="P152" s="162"/>
      <c r="Q152" s="163"/>
    </row>
    <row r="153" spans="2:19" ht="56.45" customHeight="1" x14ac:dyDescent="0.3">
      <c r="E153" s="157"/>
      <c r="F153" s="159" t="s">
        <v>1194</v>
      </c>
      <c r="G153" s="160"/>
      <c r="H153" s="161" t="s">
        <v>1195</v>
      </c>
      <c r="I153" s="162"/>
      <c r="J153" s="162"/>
      <c r="K153" s="162"/>
      <c r="L153" s="162"/>
      <c r="M153" s="162"/>
      <c r="N153" s="162"/>
      <c r="O153" s="162"/>
      <c r="P153" s="162"/>
      <c r="Q153" s="163"/>
    </row>
    <row r="154" spans="2:19" ht="36.75" customHeight="1" x14ac:dyDescent="0.3">
      <c r="E154" s="157"/>
      <c r="F154" s="159" t="s">
        <v>1142</v>
      </c>
      <c r="G154" s="160"/>
      <c r="H154" s="161" t="s">
        <v>1185</v>
      </c>
      <c r="I154" s="162"/>
      <c r="J154" s="162"/>
      <c r="K154" s="162"/>
      <c r="L154" s="162"/>
      <c r="M154" s="162"/>
      <c r="N154" s="162"/>
      <c r="O154" s="162"/>
      <c r="P154" s="162"/>
      <c r="Q154" s="163"/>
    </row>
    <row r="155" spans="2:19" ht="36.75" customHeight="1" x14ac:dyDescent="0.3">
      <c r="E155" s="157"/>
      <c r="F155" s="159" t="s">
        <v>1143</v>
      </c>
      <c r="G155" s="160"/>
      <c r="H155" s="161" t="s">
        <v>1186</v>
      </c>
      <c r="I155" s="162"/>
      <c r="J155" s="162"/>
      <c r="K155" s="162"/>
      <c r="L155" s="162"/>
      <c r="M155" s="162"/>
      <c r="N155" s="162"/>
      <c r="O155" s="162"/>
      <c r="P155" s="162"/>
      <c r="Q155" s="163"/>
    </row>
    <row r="156" spans="2:19" ht="36.75" customHeight="1" x14ac:dyDescent="0.3">
      <c r="E156" s="157"/>
      <c r="F156" s="159" t="s">
        <v>774</v>
      </c>
      <c r="G156" s="160"/>
      <c r="H156" s="169" t="s">
        <v>1187</v>
      </c>
      <c r="I156" s="165"/>
      <c r="J156" s="165"/>
      <c r="K156" s="165"/>
      <c r="L156" s="165"/>
      <c r="M156" s="165"/>
      <c r="N156" s="165"/>
      <c r="O156" s="165"/>
      <c r="P156" s="165"/>
      <c r="Q156" s="165"/>
    </row>
    <row r="157" spans="2:19" ht="36.75" customHeight="1" x14ac:dyDescent="0.3">
      <c r="E157" s="157"/>
      <c r="F157" s="159" t="s">
        <v>775</v>
      </c>
      <c r="G157" s="160"/>
      <c r="H157" s="169" t="s">
        <v>1188</v>
      </c>
      <c r="I157" s="165"/>
      <c r="J157" s="165"/>
      <c r="K157" s="165"/>
      <c r="L157" s="165"/>
      <c r="M157" s="165"/>
      <c r="N157" s="165"/>
      <c r="O157" s="165"/>
      <c r="P157" s="165"/>
      <c r="Q157" s="165"/>
    </row>
    <row r="158" spans="2:19" ht="36.75" customHeight="1" x14ac:dyDescent="0.3">
      <c r="E158" s="157"/>
      <c r="F158" s="159" t="s">
        <v>776</v>
      </c>
      <c r="G158" s="160"/>
      <c r="H158" s="169" t="s">
        <v>1189</v>
      </c>
      <c r="I158" s="165"/>
      <c r="J158" s="165"/>
      <c r="K158" s="165"/>
      <c r="L158" s="165"/>
      <c r="M158" s="165"/>
      <c r="N158" s="165"/>
      <c r="O158" s="165"/>
      <c r="P158" s="165"/>
      <c r="Q158" s="165"/>
    </row>
    <row r="159" spans="2:19" ht="36.75" customHeight="1" x14ac:dyDescent="0.3">
      <c r="E159" s="158"/>
      <c r="F159" s="164" t="s">
        <v>777</v>
      </c>
      <c r="G159" s="164"/>
      <c r="H159" s="169" t="s">
        <v>1190</v>
      </c>
      <c r="I159" s="165"/>
      <c r="J159" s="165"/>
      <c r="K159" s="165"/>
      <c r="L159" s="165"/>
      <c r="M159" s="165"/>
      <c r="N159" s="165"/>
      <c r="O159" s="165"/>
      <c r="P159" s="165"/>
      <c r="Q159" s="165"/>
    </row>
    <row r="161" spans="2:19" x14ac:dyDescent="0.3">
      <c r="B161" s="5" t="s">
        <v>41</v>
      </c>
      <c r="C161" s="5" t="s">
        <v>42</v>
      </c>
      <c r="E161" s="6"/>
      <c r="F161" s="6" t="s">
        <v>43</v>
      </c>
      <c r="G161" s="6" t="s">
        <v>44</v>
      </c>
      <c r="H161" s="6" t="s">
        <v>45</v>
      </c>
      <c r="I161" s="6" t="s">
        <v>46</v>
      </c>
      <c r="J161" s="6" t="s">
        <v>47</v>
      </c>
      <c r="K161" s="6" t="s">
        <v>48</v>
      </c>
      <c r="L161" s="6" t="s">
        <v>49</v>
      </c>
      <c r="M161" s="6" t="s">
        <v>50</v>
      </c>
      <c r="N161" s="6" t="s">
        <v>51</v>
      </c>
      <c r="O161" s="6" t="s">
        <v>52</v>
      </c>
      <c r="P161" s="6" t="s">
        <v>53</v>
      </c>
      <c r="Q161" s="6" t="s">
        <v>54</v>
      </c>
    </row>
    <row r="162" spans="2:19" ht="30" customHeight="1" x14ac:dyDescent="0.3">
      <c r="B162" s="7" t="s">
        <v>123</v>
      </c>
      <c r="C162" s="7" t="s">
        <v>259</v>
      </c>
      <c r="E162" s="6" t="s">
        <v>164</v>
      </c>
      <c r="F162" s="149" t="s">
        <v>121</v>
      </c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1"/>
      <c r="S162" s="12" t="s">
        <v>260</v>
      </c>
    </row>
    <row r="163" spans="2:19" x14ac:dyDescent="0.3">
      <c r="E163" s="6" t="s">
        <v>165</v>
      </c>
      <c r="F163" s="16">
        <v>1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</row>
    <row r="164" spans="2:19" x14ac:dyDescent="0.3">
      <c r="E164" s="6" t="s">
        <v>157</v>
      </c>
      <c r="F164" s="166" t="s">
        <v>166</v>
      </c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8"/>
    </row>
    <row r="165" spans="2:19" x14ac:dyDescent="0.3">
      <c r="E165" s="6" t="s">
        <v>167</v>
      </c>
      <c r="F165" s="166" t="s">
        <v>227</v>
      </c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8"/>
    </row>
    <row r="166" spans="2:19" ht="12" customHeight="1" x14ac:dyDescent="0.3">
      <c r="E166" s="6" t="s">
        <v>169</v>
      </c>
      <c r="F166" s="159" t="s">
        <v>261</v>
      </c>
      <c r="G166" s="160"/>
      <c r="H166" s="170" t="s">
        <v>262</v>
      </c>
      <c r="I166" s="162"/>
      <c r="J166" s="162"/>
      <c r="K166" s="162"/>
      <c r="L166" s="162"/>
      <c r="M166" s="162"/>
      <c r="N166" s="162"/>
      <c r="O166" s="162"/>
      <c r="P166" s="162"/>
      <c r="Q166" s="163"/>
    </row>
    <row r="168" spans="2:19" x14ac:dyDescent="0.3">
      <c r="B168" s="5" t="s">
        <v>41</v>
      </c>
      <c r="C168" s="5" t="s">
        <v>42</v>
      </c>
      <c r="E168" s="6"/>
      <c r="F168" s="6" t="s">
        <v>43</v>
      </c>
      <c r="G168" s="6" t="s">
        <v>44</v>
      </c>
      <c r="H168" s="6" t="s">
        <v>45</v>
      </c>
      <c r="I168" s="6" t="s">
        <v>46</v>
      </c>
      <c r="J168" s="6" t="s">
        <v>47</v>
      </c>
      <c r="K168" s="6" t="s">
        <v>48</v>
      </c>
      <c r="L168" s="6" t="s">
        <v>49</v>
      </c>
      <c r="M168" s="6" t="s">
        <v>50</v>
      </c>
      <c r="N168" s="6" t="s">
        <v>51</v>
      </c>
      <c r="O168" s="6" t="s">
        <v>52</v>
      </c>
      <c r="P168" s="6" t="s">
        <v>53</v>
      </c>
      <c r="Q168" s="6" t="s">
        <v>54</v>
      </c>
    </row>
    <row r="169" spans="2:19" ht="30" customHeight="1" x14ac:dyDescent="0.3">
      <c r="B169" s="7" t="s">
        <v>124</v>
      </c>
      <c r="C169" s="7" t="s">
        <v>800</v>
      </c>
      <c r="E169" s="6" t="s">
        <v>164</v>
      </c>
      <c r="F169" s="87" t="s">
        <v>916</v>
      </c>
      <c r="G169" s="146" t="s">
        <v>995</v>
      </c>
      <c r="H169" s="147"/>
      <c r="I169" s="148"/>
      <c r="J169" s="146" t="s">
        <v>867</v>
      </c>
      <c r="K169" s="147"/>
      <c r="L169" s="147"/>
      <c r="M169" s="147"/>
      <c r="N169" s="147"/>
      <c r="O169" s="147"/>
      <c r="P169" s="147"/>
      <c r="Q169" s="148"/>
    </row>
    <row r="170" spans="2:19" x14ac:dyDescent="0.3">
      <c r="E170" s="6" t="s">
        <v>165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</row>
    <row r="171" spans="2:19" x14ac:dyDescent="0.3">
      <c r="E171" s="6" t="s">
        <v>157</v>
      </c>
      <c r="F171" s="166" t="s">
        <v>166</v>
      </c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8"/>
    </row>
    <row r="172" spans="2:19" x14ac:dyDescent="0.3">
      <c r="E172" s="6" t="s">
        <v>167</v>
      </c>
      <c r="F172" s="166" t="s">
        <v>227</v>
      </c>
      <c r="G172" s="167"/>
      <c r="H172" s="167"/>
      <c r="I172" s="168"/>
      <c r="J172" s="166" t="s">
        <v>227</v>
      </c>
      <c r="K172" s="167"/>
      <c r="L172" s="167"/>
      <c r="M172" s="167"/>
      <c r="N172" s="167"/>
      <c r="O172" s="167"/>
      <c r="P172" s="167"/>
      <c r="Q172" s="168"/>
    </row>
    <row r="173" spans="2:19" ht="25.5" customHeight="1" x14ac:dyDescent="0.3">
      <c r="E173" s="156" t="s">
        <v>169</v>
      </c>
      <c r="F173" s="164" t="s">
        <v>919</v>
      </c>
      <c r="G173" s="164"/>
      <c r="H173" s="169" t="s">
        <v>920</v>
      </c>
      <c r="I173" s="165"/>
      <c r="J173" s="165"/>
      <c r="K173" s="165"/>
      <c r="L173" s="165"/>
      <c r="M173" s="165"/>
      <c r="N173" s="165"/>
      <c r="O173" s="165"/>
      <c r="P173" s="165"/>
      <c r="Q173" s="165"/>
    </row>
    <row r="174" spans="2:19" ht="82.5" customHeight="1" x14ac:dyDescent="0.3">
      <c r="E174" s="157"/>
      <c r="F174" s="159" t="s">
        <v>917</v>
      </c>
      <c r="G174" s="160"/>
      <c r="H174" s="161" t="s">
        <v>883</v>
      </c>
      <c r="I174" s="162"/>
      <c r="J174" s="162"/>
      <c r="K174" s="162"/>
      <c r="L174" s="162"/>
      <c r="M174" s="162"/>
      <c r="N174" s="162"/>
      <c r="O174" s="162"/>
      <c r="P174" s="162"/>
      <c r="Q174" s="163"/>
    </row>
    <row r="175" spans="2:19" ht="13.5" customHeight="1" x14ac:dyDescent="0.3">
      <c r="E175" s="158"/>
      <c r="F175" s="164" t="s">
        <v>918</v>
      </c>
      <c r="G175" s="164"/>
      <c r="H175" s="165" t="s">
        <v>802</v>
      </c>
      <c r="I175" s="165"/>
      <c r="J175" s="165"/>
      <c r="K175" s="165"/>
      <c r="L175" s="165"/>
      <c r="M175" s="165"/>
      <c r="N175" s="165"/>
      <c r="O175" s="165"/>
      <c r="P175" s="165"/>
      <c r="Q175" s="165"/>
    </row>
    <row r="177" spans="2:17" x14ac:dyDescent="0.3">
      <c r="B177" s="5" t="s">
        <v>41</v>
      </c>
      <c r="C177" s="5" t="s">
        <v>42</v>
      </c>
      <c r="E177" s="6"/>
      <c r="F177" s="6" t="s">
        <v>43</v>
      </c>
      <c r="G177" s="6" t="s">
        <v>44</v>
      </c>
      <c r="H177" s="6" t="s">
        <v>45</v>
      </c>
      <c r="I177" s="6" t="s">
        <v>46</v>
      </c>
      <c r="J177" s="6" t="s">
        <v>47</v>
      </c>
      <c r="K177" s="6" t="s">
        <v>48</v>
      </c>
      <c r="L177" s="6" t="s">
        <v>49</v>
      </c>
      <c r="M177" s="6" t="s">
        <v>50</v>
      </c>
      <c r="N177" s="6" t="s">
        <v>51</v>
      </c>
      <c r="O177" s="6" t="s">
        <v>52</v>
      </c>
      <c r="P177" s="6" t="s">
        <v>53</v>
      </c>
      <c r="Q177" s="6" t="s">
        <v>54</v>
      </c>
    </row>
    <row r="178" spans="2:17" ht="30" customHeight="1" x14ac:dyDescent="0.3">
      <c r="B178" s="7" t="s">
        <v>125</v>
      </c>
      <c r="C178" s="7" t="s">
        <v>803</v>
      </c>
      <c r="E178" s="6" t="s">
        <v>164</v>
      </c>
      <c r="F178" s="87" t="s">
        <v>921</v>
      </c>
      <c r="G178" s="146" t="s">
        <v>996</v>
      </c>
      <c r="H178" s="147"/>
      <c r="I178" s="148"/>
      <c r="J178" s="146" t="s">
        <v>868</v>
      </c>
      <c r="K178" s="147"/>
      <c r="L178" s="147"/>
      <c r="M178" s="147"/>
      <c r="N178" s="147"/>
      <c r="O178" s="147"/>
      <c r="P178" s="147"/>
      <c r="Q178" s="148"/>
    </row>
    <row r="179" spans="2:17" x14ac:dyDescent="0.3">
      <c r="E179" s="6" t="s">
        <v>165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</row>
    <row r="180" spans="2:17" x14ac:dyDescent="0.3">
      <c r="E180" s="6" t="s">
        <v>157</v>
      </c>
      <c r="F180" s="166" t="s">
        <v>166</v>
      </c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8"/>
    </row>
    <row r="181" spans="2:17" x14ac:dyDescent="0.3">
      <c r="E181" s="6" t="s">
        <v>167</v>
      </c>
      <c r="F181" s="166" t="s">
        <v>227</v>
      </c>
      <c r="G181" s="167"/>
      <c r="H181" s="167"/>
      <c r="I181" s="168"/>
      <c r="J181" s="166" t="s">
        <v>227</v>
      </c>
      <c r="K181" s="167"/>
      <c r="L181" s="167"/>
      <c r="M181" s="167"/>
      <c r="N181" s="167"/>
      <c r="O181" s="167"/>
      <c r="P181" s="167"/>
      <c r="Q181" s="168"/>
    </row>
    <row r="182" spans="2:17" ht="25.5" customHeight="1" x14ac:dyDescent="0.3">
      <c r="E182" s="156" t="s">
        <v>169</v>
      </c>
      <c r="F182" s="164" t="s">
        <v>922</v>
      </c>
      <c r="G182" s="164"/>
      <c r="H182" s="169" t="s">
        <v>920</v>
      </c>
      <c r="I182" s="165"/>
      <c r="J182" s="165"/>
      <c r="K182" s="165"/>
      <c r="L182" s="165"/>
      <c r="M182" s="165"/>
      <c r="N182" s="165"/>
      <c r="O182" s="165"/>
      <c r="P182" s="165"/>
      <c r="Q182" s="165"/>
    </row>
    <row r="183" spans="2:17" ht="82.5" customHeight="1" x14ac:dyDescent="0.3">
      <c r="E183" s="157"/>
      <c r="F183" s="159" t="s">
        <v>923</v>
      </c>
      <c r="G183" s="160"/>
      <c r="H183" s="161" t="s">
        <v>884</v>
      </c>
      <c r="I183" s="162"/>
      <c r="J183" s="162"/>
      <c r="K183" s="162"/>
      <c r="L183" s="162"/>
      <c r="M183" s="162"/>
      <c r="N183" s="162"/>
      <c r="O183" s="162"/>
      <c r="P183" s="162"/>
      <c r="Q183" s="163"/>
    </row>
    <row r="184" spans="2:17" ht="12.75" customHeight="1" x14ac:dyDescent="0.3">
      <c r="E184" s="158"/>
      <c r="F184" s="164" t="s">
        <v>924</v>
      </c>
      <c r="G184" s="164"/>
      <c r="H184" s="165" t="s">
        <v>802</v>
      </c>
      <c r="I184" s="165"/>
      <c r="J184" s="165"/>
      <c r="K184" s="165"/>
      <c r="L184" s="165"/>
      <c r="M184" s="165"/>
      <c r="N184" s="165"/>
      <c r="O184" s="165"/>
      <c r="P184" s="165"/>
      <c r="Q184" s="165"/>
    </row>
    <row r="185" spans="2:17" ht="12.75" customHeight="1" x14ac:dyDescent="0.3"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</row>
    <row r="186" spans="2:17" ht="12.75" customHeight="1" x14ac:dyDescent="0.3">
      <c r="B186" s="5" t="s">
        <v>41</v>
      </c>
      <c r="C186" s="5" t="s">
        <v>42</v>
      </c>
      <c r="E186" s="6"/>
      <c r="F186" s="6" t="s">
        <v>43</v>
      </c>
      <c r="G186" s="6" t="s">
        <v>44</v>
      </c>
      <c r="H186" s="6" t="s">
        <v>45</v>
      </c>
      <c r="I186" s="6" t="s">
        <v>46</v>
      </c>
      <c r="J186" s="6" t="s">
        <v>47</v>
      </c>
      <c r="K186" s="6" t="s">
        <v>48</v>
      </c>
      <c r="L186" s="6" t="s">
        <v>49</v>
      </c>
      <c r="M186" s="6" t="s">
        <v>50</v>
      </c>
      <c r="N186" s="6" t="s">
        <v>51</v>
      </c>
      <c r="O186" s="6" t="s">
        <v>52</v>
      </c>
      <c r="P186" s="6" t="s">
        <v>53</v>
      </c>
      <c r="Q186" s="6" t="s">
        <v>54</v>
      </c>
    </row>
    <row r="187" spans="2:17" ht="33.75" customHeight="1" x14ac:dyDescent="0.3">
      <c r="B187" s="7" t="s">
        <v>126</v>
      </c>
      <c r="C187" s="7" t="s">
        <v>804</v>
      </c>
      <c r="E187" s="6" t="s">
        <v>164</v>
      </c>
      <c r="F187" s="87" t="s">
        <v>925</v>
      </c>
      <c r="G187" s="146" t="s">
        <v>997</v>
      </c>
      <c r="H187" s="147"/>
      <c r="I187" s="148"/>
      <c r="J187" s="146" t="s">
        <v>869</v>
      </c>
      <c r="K187" s="147"/>
      <c r="L187" s="147"/>
      <c r="M187" s="147"/>
      <c r="N187" s="147"/>
      <c r="O187" s="147"/>
      <c r="P187" s="147"/>
      <c r="Q187" s="148"/>
    </row>
    <row r="188" spans="2:17" ht="12.75" customHeight="1" x14ac:dyDescent="0.3">
      <c r="E188" s="6" t="s">
        <v>165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</row>
    <row r="189" spans="2:17" ht="12.75" customHeight="1" x14ac:dyDescent="0.3">
      <c r="E189" s="6" t="s">
        <v>157</v>
      </c>
      <c r="F189" s="166" t="s">
        <v>166</v>
      </c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8"/>
    </row>
    <row r="190" spans="2:17" ht="12.75" customHeight="1" x14ac:dyDescent="0.3">
      <c r="E190" s="6" t="s">
        <v>167</v>
      </c>
      <c r="F190" s="166" t="s">
        <v>227</v>
      </c>
      <c r="G190" s="167"/>
      <c r="H190" s="167"/>
      <c r="I190" s="168"/>
      <c r="J190" s="166" t="s">
        <v>227</v>
      </c>
      <c r="K190" s="167"/>
      <c r="L190" s="167"/>
      <c r="M190" s="167"/>
      <c r="N190" s="167"/>
      <c r="O190" s="167"/>
      <c r="P190" s="167"/>
      <c r="Q190" s="168"/>
    </row>
    <row r="191" spans="2:17" ht="25.5" customHeight="1" x14ac:dyDescent="0.3">
      <c r="E191" s="156" t="s">
        <v>169</v>
      </c>
      <c r="F191" s="164" t="s">
        <v>926</v>
      </c>
      <c r="G191" s="164"/>
      <c r="H191" s="169" t="s">
        <v>920</v>
      </c>
      <c r="I191" s="165"/>
      <c r="J191" s="165"/>
      <c r="K191" s="165"/>
      <c r="L191" s="165"/>
      <c r="M191" s="165"/>
      <c r="N191" s="165"/>
      <c r="O191" s="165"/>
      <c r="P191" s="165"/>
      <c r="Q191" s="165"/>
    </row>
    <row r="192" spans="2:17" ht="81.75" customHeight="1" x14ac:dyDescent="0.3">
      <c r="E192" s="157"/>
      <c r="F192" s="159" t="s">
        <v>927</v>
      </c>
      <c r="G192" s="160"/>
      <c r="H192" s="161" t="s">
        <v>885</v>
      </c>
      <c r="I192" s="162"/>
      <c r="J192" s="162"/>
      <c r="K192" s="162"/>
      <c r="L192" s="162"/>
      <c r="M192" s="162"/>
      <c r="N192" s="162"/>
      <c r="O192" s="162"/>
      <c r="P192" s="162"/>
      <c r="Q192" s="163"/>
    </row>
    <row r="193" spans="2:17" ht="12.75" customHeight="1" x14ac:dyDescent="0.3">
      <c r="E193" s="158"/>
      <c r="F193" s="164" t="s">
        <v>928</v>
      </c>
      <c r="G193" s="164"/>
      <c r="H193" s="165" t="s">
        <v>802</v>
      </c>
      <c r="I193" s="165"/>
      <c r="J193" s="165"/>
      <c r="K193" s="165"/>
      <c r="L193" s="165"/>
      <c r="M193" s="165"/>
      <c r="N193" s="165"/>
      <c r="O193" s="165"/>
      <c r="P193" s="165"/>
      <c r="Q193" s="165"/>
    </row>
    <row r="194" spans="2:17" ht="12.75" customHeight="1" x14ac:dyDescent="0.3"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</row>
    <row r="195" spans="2:17" ht="12.75" customHeight="1" x14ac:dyDescent="0.3">
      <c r="B195" s="5" t="s">
        <v>41</v>
      </c>
      <c r="C195" s="5" t="s">
        <v>42</v>
      </c>
      <c r="E195" s="6"/>
      <c r="F195" s="6" t="s">
        <v>43</v>
      </c>
      <c r="G195" s="6" t="s">
        <v>44</v>
      </c>
      <c r="H195" s="6" t="s">
        <v>45</v>
      </c>
      <c r="I195" s="6" t="s">
        <v>46</v>
      </c>
      <c r="J195" s="6" t="s">
        <v>47</v>
      </c>
      <c r="K195" s="6" t="s">
        <v>48</v>
      </c>
      <c r="L195" s="6" t="s">
        <v>49</v>
      </c>
      <c r="M195" s="6" t="s">
        <v>50</v>
      </c>
      <c r="N195" s="6" t="s">
        <v>51</v>
      </c>
      <c r="O195" s="6" t="s">
        <v>52</v>
      </c>
      <c r="P195" s="6" t="s">
        <v>53</v>
      </c>
      <c r="Q195" s="6" t="s">
        <v>54</v>
      </c>
    </row>
    <row r="196" spans="2:17" ht="33.75" customHeight="1" x14ac:dyDescent="0.3">
      <c r="B196" s="7" t="s">
        <v>590</v>
      </c>
      <c r="C196" s="7" t="s">
        <v>805</v>
      </c>
      <c r="E196" s="6" t="s">
        <v>164</v>
      </c>
      <c r="F196" s="87" t="s">
        <v>929</v>
      </c>
      <c r="G196" s="146" t="s">
        <v>998</v>
      </c>
      <c r="H196" s="147"/>
      <c r="I196" s="148"/>
      <c r="J196" s="146" t="s">
        <v>870</v>
      </c>
      <c r="K196" s="147"/>
      <c r="L196" s="147"/>
      <c r="M196" s="147"/>
      <c r="N196" s="147"/>
      <c r="O196" s="147"/>
      <c r="P196" s="147"/>
      <c r="Q196" s="148"/>
    </row>
    <row r="197" spans="2:17" ht="12.75" customHeight="1" x14ac:dyDescent="0.3">
      <c r="E197" s="6" t="s">
        <v>165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</row>
    <row r="198" spans="2:17" ht="12.75" customHeight="1" x14ac:dyDescent="0.3">
      <c r="E198" s="6" t="s">
        <v>157</v>
      </c>
      <c r="F198" s="166" t="s">
        <v>166</v>
      </c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8"/>
    </row>
    <row r="199" spans="2:17" ht="12.75" customHeight="1" x14ac:dyDescent="0.3">
      <c r="E199" s="6" t="s">
        <v>167</v>
      </c>
      <c r="F199" s="166" t="s">
        <v>227</v>
      </c>
      <c r="G199" s="167"/>
      <c r="H199" s="167"/>
      <c r="I199" s="168"/>
      <c r="J199" s="166" t="s">
        <v>227</v>
      </c>
      <c r="K199" s="167"/>
      <c r="L199" s="167"/>
      <c r="M199" s="167"/>
      <c r="N199" s="167"/>
      <c r="O199" s="167"/>
      <c r="P199" s="167"/>
      <c r="Q199" s="168"/>
    </row>
    <row r="200" spans="2:17" ht="25.5" customHeight="1" x14ac:dyDescent="0.3">
      <c r="E200" s="156" t="s">
        <v>169</v>
      </c>
      <c r="F200" s="164" t="s">
        <v>930</v>
      </c>
      <c r="G200" s="164"/>
      <c r="H200" s="169" t="s">
        <v>920</v>
      </c>
      <c r="I200" s="165"/>
      <c r="J200" s="165"/>
      <c r="K200" s="165"/>
      <c r="L200" s="165"/>
      <c r="M200" s="165"/>
      <c r="N200" s="165"/>
      <c r="O200" s="165"/>
      <c r="P200" s="165"/>
      <c r="Q200" s="165"/>
    </row>
    <row r="201" spans="2:17" ht="86.25" customHeight="1" x14ac:dyDescent="0.3">
      <c r="E201" s="157"/>
      <c r="F201" s="159" t="s">
        <v>931</v>
      </c>
      <c r="G201" s="160"/>
      <c r="H201" s="161" t="s">
        <v>886</v>
      </c>
      <c r="I201" s="162"/>
      <c r="J201" s="162"/>
      <c r="K201" s="162"/>
      <c r="L201" s="162"/>
      <c r="M201" s="162"/>
      <c r="N201" s="162"/>
      <c r="O201" s="162"/>
      <c r="P201" s="162"/>
      <c r="Q201" s="163"/>
    </row>
    <row r="202" spans="2:17" ht="12.75" customHeight="1" x14ac:dyDescent="0.3">
      <c r="E202" s="158"/>
      <c r="F202" s="164" t="s">
        <v>932</v>
      </c>
      <c r="G202" s="164"/>
      <c r="H202" s="165" t="s">
        <v>802</v>
      </c>
      <c r="I202" s="165"/>
      <c r="J202" s="165"/>
      <c r="K202" s="165"/>
      <c r="L202" s="165"/>
      <c r="M202" s="165"/>
      <c r="N202" s="165"/>
      <c r="O202" s="165"/>
      <c r="P202" s="165"/>
      <c r="Q202" s="165"/>
    </row>
    <row r="203" spans="2:17" ht="12.75" customHeight="1" x14ac:dyDescent="0.3"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</row>
    <row r="204" spans="2:17" ht="12.75" customHeight="1" x14ac:dyDescent="0.3">
      <c r="B204" s="5" t="s">
        <v>41</v>
      </c>
      <c r="C204" s="5" t="s">
        <v>42</v>
      </c>
      <c r="E204" s="6"/>
      <c r="F204" s="6" t="s">
        <v>43</v>
      </c>
      <c r="G204" s="6" t="s">
        <v>44</v>
      </c>
      <c r="H204" s="6" t="s">
        <v>45</v>
      </c>
      <c r="I204" s="6" t="s">
        <v>46</v>
      </c>
      <c r="J204" s="6" t="s">
        <v>47</v>
      </c>
      <c r="K204" s="6" t="s">
        <v>48</v>
      </c>
      <c r="L204" s="6" t="s">
        <v>49</v>
      </c>
      <c r="M204" s="6" t="s">
        <v>50</v>
      </c>
      <c r="N204" s="6" t="s">
        <v>51</v>
      </c>
      <c r="O204" s="6" t="s">
        <v>52</v>
      </c>
      <c r="P204" s="6" t="s">
        <v>53</v>
      </c>
      <c r="Q204" s="6" t="s">
        <v>54</v>
      </c>
    </row>
    <row r="205" spans="2:17" ht="33.75" customHeight="1" x14ac:dyDescent="0.3">
      <c r="B205" s="7" t="s">
        <v>127</v>
      </c>
      <c r="C205" s="7" t="s">
        <v>806</v>
      </c>
      <c r="E205" s="6" t="s">
        <v>164</v>
      </c>
      <c r="F205" s="87" t="s">
        <v>933</v>
      </c>
      <c r="G205" s="146" t="s">
        <v>999</v>
      </c>
      <c r="H205" s="147"/>
      <c r="I205" s="148"/>
      <c r="J205" s="146" t="s">
        <v>871</v>
      </c>
      <c r="K205" s="147"/>
      <c r="L205" s="147"/>
      <c r="M205" s="147"/>
      <c r="N205" s="147"/>
      <c r="O205" s="147"/>
      <c r="P205" s="147"/>
      <c r="Q205" s="148"/>
    </row>
    <row r="206" spans="2:17" ht="12.75" customHeight="1" x14ac:dyDescent="0.3">
      <c r="E206" s="6" t="s">
        <v>165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</row>
    <row r="207" spans="2:17" ht="12.75" customHeight="1" x14ac:dyDescent="0.3">
      <c r="E207" s="6" t="s">
        <v>157</v>
      </c>
      <c r="F207" s="166" t="s">
        <v>166</v>
      </c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8"/>
    </row>
    <row r="208" spans="2:17" ht="12.75" customHeight="1" x14ac:dyDescent="0.3">
      <c r="E208" s="6" t="s">
        <v>167</v>
      </c>
      <c r="F208" s="166" t="s">
        <v>227</v>
      </c>
      <c r="G208" s="167"/>
      <c r="H208" s="167"/>
      <c r="I208" s="168"/>
      <c r="J208" s="166" t="s">
        <v>227</v>
      </c>
      <c r="K208" s="167"/>
      <c r="L208" s="167"/>
      <c r="M208" s="167"/>
      <c r="N208" s="167"/>
      <c r="O208" s="167"/>
      <c r="P208" s="167"/>
      <c r="Q208" s="168"/>
    </row>
    <row r="209" spans="2:17" ht="25.5" customHeight="1" x14ac:dyDescent="0.3">
      <c r="E209" s="156" t="s">
        <v>169</v>
      </c>
      <c r="F209" s="164" t="s">
        <v>934</v>
      </c>
      <c r="G209" s="164"/>
      <c r="H209" s="169" t="s">
        <v>920</v>
      </c>
      <c r="I209" s="165"/>
      <c r="J209" s="165"/>
      <c r="K209" s="165"/>
      <c r="L209" s="165"/>
      <c r="M209" s="165"/>
      <c r="N209" s="165"/>
      <c r="O209" s="165"/>
      <c r="P209" s="165"/>
      <c r="Q209" s="165"/>
    </row>
    <row r="210" spans="2:17" ht="82.5" customHeight="1" x14ac:dyDescent="0.3">
      <c r="E210" s="157"/>
      <c r="F210" s="159" t="s">
        <v>935</v>
      </c>
      <c r="G210" s="160"/>
      <c r="H210" s="161" t="s">
        <v>887</v>
      </c>
      <c r="I210" s="162"/>
      <c r="J210" s="162"/>
      <c r="K210" s="162"/>
      <c r="L210" s="162"/>
      <c r="M210" s="162"/>
      <c r="N210" s="162"/>
      <c r="O210" s="162"/>
      <c r="P210" s="162"/>
      <c r="Q210" s="163"/>
    </row>
    <row r="211" spans="2:17" ht="12.75" customHeight="1" x14ac:dyDescent="0.3">
      <c r="E211" s="158"/>
      <c r="F211" s="164" t="s">
        <v>936</v>
      </c>
      <c r="G211" s="164"/>
      <c r="H211" s="165" t="s">
        <v>802</v>
      </c>
      <c r="I211" s="165"/>
      <c r="J211" s="165"/>
      <c r="K211" s="165"/>
      <c r="L211" s="165"/>
      <c r="M211" s="165"/>
      <c r="N211" s="165"/>
      <c r="O211" s="165"/>
      <c r="P211" s="165"/>
      <c r="Q211" s="165"/>
    </row>
    <row r="213" spans="2:17" x14ac:dyDescent="0.3">
      <c r="B213" s="5" t="s">
        <v>41</v>
      </c>
      <c r="C213" s="5" t="s">
        <v>42</v>
      </c>
      <c r="E213" s="6"/>
      <c r="F213" s="6" t="s">
        <v>43</v>
      </c>
      <c r="G213" s="6" t="s">
        <v>44</v>
      </c>
      <c r="H213" s="6" t="s">
        <v>45</v>
      </c>
      <c r="I213" s="6" t="s">
        <v>46</v>
      </c>
      <c r="J213" s="6" t="s">
        <v>47</v>
      </c>
      <c r="K213" s="6" t="s">
        <v>48</v>
      </c>
      <c r="L213" s="6" t="s">
        <v>49</v>
      </c>
      <c r="M213" s="6" t="s">
        <v>50</v>
      </c>
      <c r="N213" s="6" t="s">
        <v>51</v>
      </c>
      <c r="O213" s="6" t="s">
        <v>52</v>
      </c>
      <c r="P213" s="6" t="s">
        <v>53</v>
      </c>
      <c r="Q213" s="6" t="s">
        <v>54</v>
      </c>
    </row>
    <row r="214" spans="2:17" ht="33.75" customHeight="1" x14ac:dyDescent="0.3">
      <c r="B214" s="7" t="s">
        <v>808</v>
      </c>
      <c r="C214" s="7" t="s">
        <v>807</v>
      </c>
      <c r="E214" s="6" t="s">
        <v>164</v>
      </c>
      <c r="F214" s="87" t="s">
        <v>937</v>
      </c>
      <c r="G214" s="146" t="s">
        <v>1000</v>
      </c>
      <c r="H214" s="147"/>
      <c r="I214" s="148"/>
      <c r="J214" s="146" t="s">
        <v>872</v>
      </c>
      <c r="K214" s="147"/>
      <c r="L214" s="147"/>
      <c r="M214" s="147"/>
      <c r="N214" s="147"/>
      <c r="O214" s="147"/>
      <c r="P214" s="147"/>
      <c r="Q214" s="148"/>
    </row>
    <row r="215" spans="2:17" x14ac:dyDescent="0.3">
      <c r="E215" s="6" t="s">
        <v>165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</row>
    <row r="216" spans="2:17" x14ac:dyDescent="0.3">
      <c r="E216" s="6" t="s">
        <v>157</v>
      </c>
      <c r="F216" s="166" t="s">
        <v>166</v>
      </c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8"/>
    </row>
    <row r="217" spans="2:17" x14ac:dyDescent="0.3">
      <c r="E217" s="6" t="s">
        <v>167</v>
      </c>
      <c r="F217" s="166" t="s">
        <v>227</v>
      </c>
      <c r="G217" s="167"/>
      <c r="H217" s="167"/>
      <c r="I217" s="168"/>
      <c r="J217" s="166" t="s">
        <v>227</v>
      </c>
      <c r="K217" s="167"/>
      <c r="L217" s="167"/>
      <c r="M217" s="167"/>
      <c r="N217" s="167"/>
      <c r="O217" s="167"/>
      <c r="P217" s="167"/>
      <c r="Q217" s="168"/>
    </row>
    <row r="218" spans="2:17" ht="25.5" customHeight="1" x14ac:dyDescent="0.3">
      <c r="E218" s="156" t="s">
        <v>169</v>
      </c>
      <c r="F218" s="164" t="s">
        <v>938</v>
      </c>
      <c r="G218" s="164"/>
      <c r="H218" s="169" t="s">
        <v>920</v>
      </c>
      <c r="I218" s="165"/>
      <c r="J218" s="165"/>
      <c r="K218" s="165"/>
      <c r="L218" s="165"/>
      <c r="M218" s="165"/>
      <c r="N218" s="165"/>
      <c r="O218" s="165"/>
      <c r="P218" s="165"/>
      <c r="Q218" s="165"/>
    </row>
    <row r="219" spans="2:17" ht="84" customHeight="1" x14ac:dyDescent="0.3">
      <c r="E219" s="157"/>
      <c r="F219" s="159" t="s">
        <v>939</v>
      </c>
      <c r="G219" s="160"/>
      <c r="H219" s="161" t="s">
        <v>888</v>
      </c>
      <c r="I219" s="162"/>
      <c r="J219" s="162"/>
      <c r="K219" s="162"/>
      <c r="L219" s="162"/>
      <c r="M219" s="162"/>
      <c r="N219" s="162"/>
      <c r="O219" s="162"/>
      <c r="P219" s="162"/>
      <c r="Q219" s="163"/>
    </row>
    <row r="220" spans="2:17" x14ac:dyDescent="0.3">
      <c r="E220" s="158"/>
      <c r="F220" s="164" t="s">
        <v>940</v>
      </c>
      <c r="G220" s="164"/>
      <c r="H220" s="165" t="s">
        <v>802</v>
      </c>
      <c r="I220" s="165"/>
      <c r="J220" s="165"/>
      <c r="K220" s="165"/>
      <c r="L220" s="165"/>
      <c r="M220" s="165"/>
      <c r="N220" s="165"/>
      <c r="O220" s="165"/>
      <c r="P220" s="165"/>
      <c r="Q220" s="165"/>
    </row>
    <row r="222" spans="2:17" x14ac:dyDescent="0.3">
      <c r="B222" s="5" t="s">
        <v>41</v>
      </c>
      <c r="C222" s="5" t="s">
        <v>42</v>
      </c>
      <c r="E222" s="6"/>
      <c r="F222" s="6" t="s">
        <v>43</v>
      </c>
      <c r="G222" s="6" t="s">
        <v>44</v>
      </c>
      <c r="H222" s="6" t="s">
        <v>45</v>
      </c>
      <c r="I222" s="6" t="s">
        <v>46</v>
      </c>
      <c r="J222" s="6" t="s">
        <v>47</v>
      </c>
      <c r="K222" s="6" t="s">
        <v>48</v>
      </c>
      <c r="L222" s="6" t="s">
        <v>49</v>
      </c>
      <c r="M222" s="6" t="s">
        <v>50</v>
      </c>
      <c r="N222" s="6" t="s">
        <v>51</v>
      </c>
      <c r="O222" s="6" t="s">
        <v>52</v>
      </c>
      <c r="P222" s="6" t="s">
        <v>53</v>
      </c>
      <c r="Q222" s="6" t="s">
        <v>54</v>
      </c>
    </row>
    <row r="223" spans="2:17" ht="33.75" customHeight="1" x14ac:dyDescent="0.3">
      <c r="B223" s="7" t="s">
        <v>810</v>
      </c>
      <c r="C223" s="7" t="s">
        <v>809</v>
      </c>
      <c r="E223" s="6" t="s">
        <v>164</v>
      </c>
      <c r="F223" s="87" t="s">
        <v>941</v>
      </c>
      <c r="G223" s="146" t="s">
        <v>1001</v>
      </c>
      <c r="H223" s="147"/>
      <c r="I223" s="148"/>
      <c r="J223" s="146" t="s">
        <v>873</v>
      </c>
      <c r="K223" s="147"/>
      <c r="L223" s="147"/>
      <c r="M223" s="147"/>
      <c r="N223" s="147"/>
      <c r="O223" s="147"/>
      <c r="P223" s="147"/>
      <c r="Q223" s="148"/>
    </row>
    <row r="224" spans="2:17" x14ac:dyDescent="0.3">
      <c r="E224" s="6" t="s">
        <v>165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0</v>
      </c>
    </row>
    <row r="225" spans="2:17" x14ac:dyDescent="0.3">
      <c r="E225" s="6" t="s">
        <v>157</v>
      </c>
      <c r="F225" s="166" t="s">
        <v>166</v>
      </c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8"/>
    </row>
    <row r="226" spans="2:17" x14ac:dyDescent="0.3">
      <c r="E226" s="6" t="s">
        <v>167</v>
      </c>
      <c r="F226" s="166" t="s">
        <v>227</v>
      </c>
      <c r="G226" s="167"/>
      <c r="H226" s="167"/>
      <c r="I226" s="168"/>
      <c r="J226" s="166" t="s">
        <v>227</v>
      </c>
      <c r="K226" s="167"/>
      <c r="L226" s="167"/>
      <c r="M226" s="167"/>
      <c r="N226" s="167"/>
      <c r="O226" s="167"/>
      <c r="P226" s="167"/>
      <c r="Q226" s="168"/>
    </row>
    <row r="227" spans="2:17" ht="25.5" customHeight="1" x14ac:dyDescent="0.3">
      <c r="E227" s="156" t="s">
        <v>169</v>
      </c>
      <c r="F227" s="164" t="s">
        <v>942</v>
      </c>
      <c r="G227" s="164"/>
      <c r="H227" s="169" t="s">
        <v>920</v>
      </c>
      <c r="I227" s="165"/>
      <c r="J227" s="165"/>
      <c r="K227" s="165"/>
      <c r="L227" s="165"/>
      <c r="M227" s="165"/>
      <c r="N227" s="165"/>
      <c r="O227" s="165"/>
      <c r="P227" s="165"/>
      <c r="Q227" s="165"/>
    </row>
    <row r="228" spans="2:17" ht="83.1" customHeight="1" x14ac:dyDescent="0.3">
      <c r="E228" s="157"/>
      <c r="F228" s="159" t="s">
        <v>943</v>
      </c>
      <c r="G228" s="160"/>
      <c r="H228" s="161" t="s">
        <v>889</v>
      </c>
      <c r="I228" s="162"/>
      <c r="J228" s="162"/>
      <c r="K228" s="162"/>
      <c r="L228" s="162"/>
      <c r="M228" s="162"/>
      <c r="N228" s="162"/>
      <c r="O228" s="162"/>
      <c r="P228" s="162"/>
      <c r="Q228" s="163"/>
    </row>
    <row r="229" spans="2:17" x14ac:dyDescent="0.3">
      <c r="E229" s="158"/>
      <c r="F229" s="164" t="s">
        <v>944</v>
      </c>
      <c r="G229" s="164"/>
      <c r="H229" s="165" t="s">
        <v>802</v>
      </c>
      <c r="I229" s="165"/>
      <c r="J229" s="165"/>
      <c r="K229" s="165"/>
      <c r="L229" s="165"/>
      <c r="M229" s="165"/>
      <c r="N229" s="165"/>
      <c r="O229" s="165"/>
      <c r="P229" s="165"/>
      <c r="Q229" s="165"/>
    </row>
    <row r="231" spans="2:17" x14ac:dyDescent="0.3">
      <c r="B231" s="5" t="s">
        <v>41</v>
      </c>
      <c r="C231" s="5" t="s">
        <v>42</v>
      </c>
      <c r="E231" s="6"/>
      <c r="F231" s="6" t="s">
        <v>43</v>
      </c>
      <c r="G231" s="6" t="s">
        <v>44</v>
      </c>
      <c r="H231" s="6" t="s">
        <v>45</v>
      </c>
      <c r="I231" s="6" t="s">
        <v>46</v>
      </c>
      <c r="J231" s="6" t="s">
        <v>47</v>
      </c>
      <c r="K231" s="6" t="s">
        <v>48</v>
      </c>
      <c r="L231" s="6" t="s">
        <v>49</v>
      </c>
      <c r="M231" s="6" t="s">
        <v>50</v>
      </c>
      <c r="N231" s="6" t="s">
        <v>51</v>
      </c>
      <c r="O231" s="6" t="s">
        <v>52</v>
      </c>
      <c r="P231" s="6" t="s">
        <v>53</v>
      </c>
      <c r="Q231" s="6" t="s">
        <v>54</v>
      </c>
    </row>
    <row r="232" spans="2:17" ht="33.75" customHeight="1" x14ac:dyDescent="0.3">
      <c r="B232" s="7" t="s">
        <v>812</v>
      </c>
      <c r="C232" s="7" t="s">
        <v>811</v>
      </c>
      <c r="E232" s="6" t="s">
        <v>164</v>
      </c>
      <c r="F232" s="87" t="s">
        <v>945</v>
      </c>
      <c r="G232" s="146" t="s">
        <v>1002</v>
      </c>
      <c r="H232" s="147"/>
      <c r="I232" s="148"/>
      <c r="J232" s="146" t="s">
        <v>874</v>
      </c>
      <c r="K232" s="147"/>
      <c r="L232" s="147"/>
      <c r="M232" s="147"/>
      <c r="N232" s="147"/>
      <c r="O232" s="147"/>
      <c r="P232" s="147"/>
      <c r="Q232" s="148"/>
    </row>
    <row r="233" spans="2:17" x14ac:dyDescent="0.3">
      <c r="E233" s="6" t="s">
        <v>165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6">
        <v>0</v>
      </c>
      <c r="O233" s="16">
        <v>0</v>
      </c>
      <c r="P233" s="16">
        <v>0</v>
      </c>
      <c r="Q233" s="16">
        <v>0</v>
      </c>
    </row>
    <row r="234" spans="2:17" x14ac:dyDescent="0.3">
      <c r="E234" s="6" t="s">
        <v>157</v>
      </c>
      <c r="F234" s="166" t="s">
        <v>166</v>
      </c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8"/>
    </row>
    <row r="235" spans="2:17" x14ac:dyDescent="0.3">
      <c r="E235" s="6" t="s">
        <v>167</v>
      </c>
      <c r="F235" s="166" t="s">
        <v>227</v>
      </c>
      <c r="G235" s="167"/>
      <c r="H235" s="167"/>
      <c r="I235" s="168"/>
      <c r="J235" s="166" t="s">
        <v>227</v>
      </c>
      <c r="K235" s="167"/>
      <c r="L235" s="167"/>
      <c r="M235" s="167"/>
      <c r="N235" s="167"/>
      <c r="O235" s="167"/>
      <c r="P235" s="167"/>
      <c r="Q235" s="168"/>
    </row>
    <row r="236" spans="2:17" ht="25.5" customHeight="1" x14ac:dyDescent="0.3">
      <c r="E236" s="156" t="s">
        <v>169</v>
      </c>
      <c r="F236" s="164" t="s">
        <v>946</v>
      </c>
      <c r="G236" s="164"/>
      <c r="H236" s="169" t="s">
        <v>920</v>
      </c>
      <c r="I236" s="165"/>
      <c r="J236" s="165"/>
      <c r="K236" s="165"/>
      <c r="L236" s="165"/>
      <c r="M236" s="165"/>
      <c r="N236" s="165"/>
      <c r="O236" s="165"/>
      <c r="P236" s="165"/>
      <c r="Q236" s="165"/>
    </row>
    <row r="237" spans="2:17" ht="83.1" customHeight="1" x14ac:dyDescent="0.3">
      <c r="E237" s="157"/>
      <c r="F237" s="159" t="s">
        <v>947</v>
      </c>
      <c r="G237" s="160"/>
      <c r="H237" s="161" t="s">
        <v>890</v>
      </c>
      <c r="I237" s="162"/>
      <c r="J237" s="162"/>
      <c r="K237" s="162"/>
      <c r="L237" s="162"/>
      <c r="M237" s="162"/>
      <c r="N237" s="162"/>
      <c r="O237" s="162"/>
      <c r="P237" s="162"/>
      <c r="Q237" s="163"/>
    </row>
    <row r="238" spans="2:17" x14ac:dyDescent="0.3">
      <c r="E238" s="158"/>
      <c r="F238" s="164" t="s">
        <v>948</v>
      </c>
      <c r="G238" s="164"/>
      <c r="H238" s="165" t="s">
        <v>802</v>
      </c>
      <c r="I238" s="165"/>
      <c r="J238" s="165"/>
      <c r="K238" s="165"/>
      <c r="L238" s="165"/>
      <c r="M238" s="165"/>
      <c r="N238" s="165"/>
      <c r="O238" s="165"/>
      <c r="P238" s="165"/>
      <c r="Q238" s="165"/>
    </row>
    <row r="240" spans="2:17" x14ac:dyDescent="0.3">
      <c r="B240" s="5" t="s">
        <v>41</v>
      </c>
      <c r="C240" s="5" t="s">
        <v>42</v>
      </c>
      <c r="E240" s="6"/>
      <c r="F240" s="6" t="s">
        <v>43</v>
      </c>
      <c r="G240" s="6" t="s">
        <v>44</v>
      </c>
      <c r="H240" s="6" t="s">
        <v>45</v>
      </c>
      <c r="I240" s="6" t="s">
        <v>46</v>
      </c>
      <c r="J240" s="6" t="s">
        <v>47</v>
      </c>
      <c r="K240" s="6" t="s">
        <v>48</v>
      </c>
      <c r="L240" s="6" t="s">
        <v>49</v>
      </c>
      <c r="M240" s="6" t="s">
        <v>50</v>
      </c>
      <c r="N240" s="6" t="s">
        <v>51</v>
      </c>
      <c r="O240" s="6" t="s">
        <v>52</v>
      </c>
      <c r="P240" s="6" t="s">
        <v>53</v>
      </c>
      <c r="Q240" s="6" t="s">
        <v>54</v>
      </c>
    </row>
    <row r="241" spans="2:17" ht="33.75" customHeight="1" x14ac:dyDescent="0.3">
      <c r="B241" s="7" t="s">
        <v>815</v>
      </c>
      <c r="C241" s="7" t="s">
        <v>813</v>
      </c>
      <c r="E241" s="6" t="s">
        <v>164</v>
      </c>
      <c r="F241" s="87" t="s">
        <v>949</v>
      </c>
      <c r="G241" s="146" t="s">
        <v>1003</v>
      </c>
      <c r="H241" s="147"/>
      <c r="I241" s="148"/>
      <c r="J241" s="146" t="s">
        <v>875</v>
      </c>
      <c r="K241" s="147"/>
      <c r="L241" s="147"/>
      <c r="M241" s="147"/>
      <c r="N241" s="147"/>
      <c r="O241" s="147"/>
      <c r="P241" s="147"/>
      <c r="Q241" s="148"/>
    </row>
    <row r="242" spans="2:17" x14ac:dyDescent="0.3">
      <c r="E242" s="6" t="s">
        <v>165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</row>
    <row r="243" spans="2:17" x14ac:dyDescent="0.3">
      <c r="E243" s="6" t="s">
        <v>157</v>
      </c>
      <c r="F243" s="166" t="s">
        <v>166</v>
      </c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8"/>
    </row>
    <row r="244" spans="2:17" x14ac:dyDescent="0.3">
      <c r="E244" s="6" t="s">
        <v>167</v>
      </c>
      <c r="F244" s="166" t="s">
        <v>227</v>
      </c>
      <c r="G244" s="167"/>
      <c r="H244" s="167"/>
      <c r="I244" s="168"/>
      <c r="J244" s="166" t="s">
        <v>227</v>
      </c>
      <c r="K244" s="167"/>
      <c r="L244" s="167"/>
      <c r="M244" s="167"/>
      <c r="N244" s="167"/>
      <c r="O244" s="167"/>
      <c r="P244" s="167"/>
      <c r="Q244" s="168"/>
    </row>
    <row r="245" spans="2:17" ht="25.5" customHeight="1" x14ac:dyDescent="0.3">
      <c r="E245" s="156" t="s">
        <v>169</v>
      </c>
      <c r="F245" s="164" t="s">
        <v>952</v>
      </c>
      <c r="G245" s="164"/>
      <c r="H245" s="169" t="s">
        <v>920</v>
      </c>
      <c r="I245" s="165"/>
      <c r="J245" s="165"/>
      <c r="K245" s="165"/>
      <c r="L245" s="165"/>
      <c r="M245" s="165"/>
      <c r="N245" s="165"/>
      <c r="O245" s="165"/>
      <c r="P245" s="165"/>
      <c r="Q245" s="165"/>
    </row>
    <row r="246" spans="2:17" ht="83.1" customHeight="1" x14ac:dyDescent="0.3">
      <c r="E246" s="157"/>
      <c r="F246" s="159" t="s">
        <v>950</v>
      </c>
      <c r="G246" s="160"/>
      <c r="H246" s="161" t="s">
        <v>891</v>
      </c>
      <c r="I246" s="162"/>
      <c r="J246" s="162"/>
      <c r="K246" s="162"/>
      <c r="L246" s="162"/>
      <c r="M246" s="162"/>
      <c r="N246" s="162"/>
      <c r="O246" s="162"/>
      <c r="P246" s="162"/>
      <c r="Q246" s="163"/>
    </row>
    <row r="247" spans="2:17" x14ac:dyDescent="0.3">
      <c r="E247" s="158"/>
      <c r="F247" s="164" t="s">
        <v>951</v>
      </c>
      <c r="G247" s="164"/>
      <c r="H247" s="165" t="s">
        <v>802</v>
      </c>
      <c r="I247" s="165"/>
      <c r="J247" s="165"/>
      <c r="K247" s="165"/>
      <c r="L247" s="165"/>
      <c r="M247" s="165"/>
      <c r="N247" s="165"/>
      <c r="O247" s="165"/>
      <c r="P247" s="165"/>
      <c r="Q247" s="165"/>
    </row>
    <row r="249" spans="2:17" x14ac:dyDescent="0.3">
      <c r="B249" s="5" t="s">
        <v>41</v>
      </c>
      <c r="C249" s="5" t="s">
        <v>42</v>
      </c>
      <c r="E249" s="6"/>
      <c r="F249" s="6" t="s">
        <v>43</v>
      </c>
      <c r="G249" s="6" t="s">
        <v>44</v>
      </c>
      <c r="H249" s="6" t="s">
        <v>45</v>
      </c>
      <c r="I249" s="6" t="s">
        <v>46</v>
      </c>
      <c r="J249" s="6" t="s">
        <v>47</v>
      </c>
      <c r="K249" s="6" t="s">
        <v>48</v>
      </c>
      <c r="L249" s="6" t="s">
        <v>49</v>
      </c>
      <c r="M249" s="6" t="s">
        <v>50</v>
      </c>
      <c r="N249" s="6" t="s">
        <v>51</v>
      </c>
      <c r="O249" s="6" t="s">
        <v>52</v>
      </c>
      <c r="P249" s="6" t="s">
        <v>53</v>
      </c>
      <c r="Q249" s="6" t="s">
        <v>54</v>
      </c>
    </row>
    <row r="250" spans="2:17" ht="33.75" customHeight="1" x14ac:dyDescent="0.3">
      <c r="B250" s="7" t="s">
        <v>818</v>
      </c>
      <c r="C250" s="7" t="s">
        <v>816</v>
      </c>
      <c r="E250" s="6" t="s">
        <v>164</v>
      </c>
      <c r="F250" s="87" t="s">
        <v>953</v>
      </c>
      <c r="G250" s="146" t="s">
        <v>1004</v>
      </c>
      <c r="H250" s="147"/>
      <c r="I250" s="148"/>
      <c r="J250" s="146" t="s">
        <v>876</v>
      </c>
      <c r="K250" s="147"/>
      <c r="L250" s="147"/>
      <c r="M250" s="147"/>
      <c r="N250" s="147"/>
      <c r="O250" s="147"/>
      <c r="P250" s="147"/>
      <c r="Q250" s="148"/>
    </row>
    <row r="251" spans="2:17" x14ac:dyDescent="0.3">
      <c r="E251" s="6" t="s">
        <v>165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</row>
    <row r="252" spans="2:17" x14ac:dyDescent="0.3">
      <c r="E252" s="6" t="s">
        <v>157</v>
      </c>
      <c r="F252" s="166" t="s">
        <v>166</v>
      </c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8"/>
    </row>
    <row r="253" spans="2:17" x14ac:dyDescent="0.3">
      <c r="E253" s="6" t="s">
        <v>167</v>
      </c>
      <c r="F253" s="166" t="s">
        <v>227</v>
      </c>
      <c r="G253" s="167"/>
      <c r="H253" s="167"/>
      <c r="I253" s="168"/>
      <c r="J253" s="166" t="s">
        <v>227</v>
      </c>
      <c r="K253" s="167"/>
      <c r="L253" s="167"/>
      <c r="M253" s="167"/>
      <c r="N253" s="167"/>
      <c r="O253" s="167"/>
      <c r="P253" s="167"/>
      <c r="Q253" s="168"/>
    </row>
    <row r="254" spans="2:17" ht="25.5" customHeight="1" x14ac:dyDescent="0.3">
      <c r="E254" s="156" t="s">
        <v>169</v>
      </c>
      <c r="F254" s="164" t="s">
        <v>954</v>
      </c>
      <c r="G254" s="164"/>
      <c r="H254" s="169" t="s">
        <v>920</v>
      </c>
      <c r="I254" s="165"/>
      <c r="J254" s="165"/>
      <c r="K254" s="165"/>
      <c r="L254" s="165"/>
      <c r="M254" s="165"/>
      <c r="N254" s="165"/>
      <c r="O254" s="165"/>
      <c r="P254" s="165"/>
      <c r="Q254" s="165"/>
    </row>
    <row r="255" spans="2:17" ht="83.1" customHeight="1" x14ac:dyDescent="0.3">
      <c r="E255" s="157"/>
      <c r="F255" s="159" t="s">
        <v>955</v>
      </c>
      <c r="G255" s="160"/>
      <c r="H255" s="161" t="s">
        <v>892</v>
      </c>
      <c r="I255" s="162"/>
      <c r="J255" s="162"/>
      <c r="K255" s="162"/>
      <c r="L255" s="162"/>
      <c r="M255" s="162"/>
      <c r="N255" s="162"/>
      <c r="O255" s="162"/>
      <c r="P255" s="162"/>
      <c r="Q255" s="163"/>
    </row>
    <row r="256" spans="2:17" x14ac:dyDescent="0.3">
      <c r="E256" s="158"/>
      <c r="F256" s="164" t="s">
        <v>956</v>
      </c>
      <c r="G256" s="164"/>
      <c r="H256" s="165" t="s">
        <v>802</v>
      </c>
      <c r="I256" s="165"/>
      <c r="J256" s="165"/>
      <c r="K256" s="165"/>
      <c r="L256" s="165"/>
      <c r="M256" s="165"/>
      <c r="N256" s="165"/>
      <c r="O256" s="165"/>
      <c r="P256" s="165"/>
      <c r="Q256" s="165"/>
    </row>
    <row r="258" spans="2:17" x14ac:dyDescent="0.3">
      <c r="B258" s="5" t="s">
        <v>41</v>
      </c>
      <c r="C258" s="5" t="s">
        <v>42</v>
      </c>
      <c r="E258" s="6"/>
      <c r="F258" s="6" t="s">
        <v>43</v>
      </c>
      <c r="G258" s="6" t="s">
        <v>44</v>
      </c>
      <c r="H258" s="6" t="s">
        <v>45</v>
      </c>
      <c r="I258" s="6" t="s">
        <v>46</v>
      </c>
      <c r="J258" s="6" t="s">
        <v>47</v>
      </c>
      <c r="K258" s="6" t="s">
        <v>48</v>
      </c>
      <c r="L258" s="6" t="s">
        <v>49</v>
      </c>
      <c r="M258" s="6" t="s">
        <v>50</v>
      </c>
      <c r="N258" s="6" t="s">
        <v>51</v>
      </c>
      <c r="O258" s="6" t="s">
        <v>52</v>
      </c>
      <c r="P258" s="6" t="s">
        <v>53</v>
      </c>
      <c r="Q258" s="6" t="s">
        <v>54</v>
      </c>
    </row>
    <row r="259" spans="2:17" ht="33.75" customHeight="1" x14ac:dyDescent="0.3">
      <c r="B259" s="7" t="s">
        <v>821</v>
      </c>
      <c r="C259" s="7" t="s">
        <v>819</v>
      </c>
      <c r="E259" s="6" t="s">
        <v>164</v>
      </c>
      <c r="F259" s="87" t="s">
        <v>957</v>
      </c>
      <c r="G259" s="146" t="s">
        <v>1005</v>
      </c>
      <c r="H259" s="147"/>
      <c r="I259" s="148"/>
      <c r="J259" s="146" t="s">
        <v>877</v>
      </c>
      <c r="K259" s="147"/>
      <c r="L259" s="147"/>
      <c r="M259" s="147"/>
      <c r="N259" s="147"/>
      <c r="O259" s="147"/>
      <c r="P259" s="147"/>
      <c r="Q259" s="148"/>
    </row>
    <row r="260" spans="2:17" x14ac:dyDescent="0.3">
      <c r="E260" s="6" t="s">
        <v>165</v>
      </c>
      <c r="F260" s="16">
        <v>0</v>
      </c>
      <c r="G260" s="16">
        <v>0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</row>
    <row r="261" spans="2:17" x14ac:dyDescent="0.3">
      <c r="E261" s="6" t="s">
        <v>157</v>
      </c>
      <c r="F261" s="166" t="s">
        <v>166</v>
      </c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8"/>
    </row>
    <row r="262" spans="2:17" x14ac:dyDescent="0.3">
      <c r="E262" s="6" t="s">
        <v>167</v>
      </c>
      <c r="F262" s="166" t="s">
        <v>227</v>
      </c>
      <c r="G262" s="167"/>
      <c r="H262" s="167"/>
      <c r="I262" s="168"/>
      <c r="J262" s="166" t="s">
        <v>227</v>
      </c>
      <c r="K262" s="167"/>
      <c r="L262" s="167"/>
      <c r="M262" s="167"/>
      <c r="N262" s="167"/>
      <c r="O262" s="167"/>
      <c r="P262" s="167"/>
      <c r="Q262" s="168"/>
    </row>
    <row r="263" spans="2:17" ht="25.5" customHeight="1" x14ac:dyDescent="0.3">
      <c r="E263" s="156" t="s">
        <v>169</v>
      </c>
      <c r="F263" s="164" t="s">
        <v>958</v>
      </c>
      <c r="G263" s="164"/>
      <c r="H263" s="169" t="s">
        <v>920</v>
      </c>
      <c r="I263" s="165"/>
      <c r="J263" s="165"/>
      <c r="K263" s="165"/>
      <c r="L263" s="165"/>
      <c r="M263" s="165"/>
      <c r="N263" s="165"/>
      <c r="O263" s="165"/>
      <c r="P263" s="165"/>
      <c r="Q263" s="165"/>
    </row>
    <row r="264" spans="2:17" ht="83.1" customHeight="1" x14ac:dyDescent="0.3">
      <c r="E264" s="157"/>
      <c r="F264" s="159" t="s">
        <v>959</v>
      </c>
      <c r="G264" s="160"/>
      <c r="H264" s="161" t="s">
        <v>893</v>
      </c>
      <c r="I264" s="162"/>
      <c r="J264" s="162"/>
      <c r="K264" s="162"/>
      <c r="L264" s="162"/>
      <c r="M264" s="162"/>
      <c r="N264" s="162"/>
      <c r="O264" s="162"/>
      <c r="P264" s="162"/>
      <c r="Q264" s="163"/>
    </row>
    <row r="265" spans="2:17" x14ac:dyDescent="0.3">
      <c r="E265" s="158"/>
      <c r="F265" s="164" t="s">
        <v>960</v>
      </c>
      <c r="G265" s="164"/>
      <c r="H265" s="165" t="s">
        <v>802</v>
      </c>
      <c r="I265" s="165"/>
      <c r="J265" s="165"/>
      <c r="K265" s="165"/>
      <c r="L265" s="165"/>
      <c r="M265" s="165"/>
      <c r="N265" s="165"/>
      <c r="O265" s="165"/>
      <c r="P265" s="165"/>
      <c r="Q265" s="165"/>
    </row>
    <row r="267" spans="2:17" x14ac:dyDescent="0.3">
      <c r="B267" s="5" t="s">
        <v>41</v>
      </c>
      <c r="C267" s="5" t="s">
        <v>42</v>
      </c>
      <c r="E267" s="6"/>
      <c r="F267" s="6" t="s">
        <v>43</v>
      </c>
      <c r="G267" s="6" t="s">
        <v>44</v>
      </c>
      <c r="H267" s="6" t="s">
        <v>45</v>
      </c>
      <c r="I267" s="6" t="s">
        <v>46</v>
      </c>
      <c r="J267" s="6" t="s">
        <v>47</v>
      </c>
      <c r="K267" s="6" t="s">
        <v>48</v>
      </c>
      <c r="L267" s="6" t="s">
        <v>49</v>
      </c>
      <c r="M267" s="6" t="s">
        <v>50</v>
      </c>
      <c r="N267" s="6" t="s">
        <v>51</v>
      </c>
      <c r="O267" s="6" t="s">
        <v>52</v>
      </c>
      <c r="P267" s="6" t="s">
        <v>53</v>
      </c>
      <c r="Q267" s="6" t="s">
        <v>54</v>
      </c>
    </row>
    <row r="268" spans="2:17" ht="33.75" customHeight="1" x14ac:dyDescent="0.3">
      <c r="B268" s="7" t="s">
        <v>825</v>
      </c>
      <c r="C268" s="7" t="s">
        <v>822</v>
      </c>
      <c r="E268" s="6" t="s">
        <v>164</v>
      </c>
      <c r="F268" s="87" t="s">
        <v>961</v>
      </c>
      <c r="G268" s="146" t="s">
        <v>1006</v>
      </c>
      <c r="H268" s="147"/>
      <c r="I268" s="148"/>
      <c r="J268" s="146" t="s">
        <v>878</v>
      </c>
      <c r="K268" s="147"/>
      <c r="L268" s="147"/>
      <c r="M268" s="147"/>
      <c r="N268" s="147"/>
      <c r="O268" s="147"/>
      <c r="P268" s="147"/>
      <c r="Q268" s="148"/>
    </row>
    <row r="269" spans="2:17" x14ac:dyDescent="0.3">
      <c r="E269" s="6" t="s">
        <v>165</v>
      </c>
      <c r="F269" s="16">
        <v>0</v>
      </c>
      <c r="G269" s="16">
        <v>0</v>
      </c>
      <c r="H269" s="16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</row>
    <row r="270" spans="2:17" x14ac:dyDescent="0.3">
      <c r="E270" s="6" t="s">
        <v>157</v>
      </c>
      <c r="F270" s="166" t="s">
        <v>166</v>
      </c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8"/>
    </row>
    <row r="271" spans="2:17" x14ac:dyDescent="0.3">
      <c r="E271" s="6" t="s">
        <v>167</v>
      </c>
      <c r="F271" s="166" t="s">
        <v>227</v>
      </c>
      <c r="G271" s="167"/>
      <c r="H271" s="167"/>
      <c r="I271" s="168"/>
      <c r="J271" s="166" t="s">
        <v>227</v>
      </c>
      <c r="K271" s="167"/>
      <c r="L271" s="167"/>
      <c r="M271" s="167"/>
      <c r="N271" s="167"/>
      <c r="O271" s="167"/>
      <c r="P271" s="167"/>
      <c r="Q271" s="168"/>
    </row>
    <row r="272" spans="2:17" ht="25.5" customHeight="1" x14ac:dyDescent="0.3">
      <c r="E272" s="156" t="s">
        <v>169</v>
      </c>
      <c r="F272" s="164" t="s">
        <v>962</v>
      </c>
      <c r="G272" s="164"/>
      <c r="H272" s="169" t="s">
        <v>920</v>
      </c>
      <c r="I272" s="165"/>
      <c r="J272" s="165"/>
      <c r="K272" s="165"/>
      <c r="L272" s="165"/>
      <c r="M272" s="165"/>
      <c r="N272" s="165"/>
      <c r="O272" s="165"/>
      <c r="P272" s="165"/>
      <c r="Q272" s="165"/>
    </row>
    <row r="273" spans="2:17" ht="83.1" customHeight="1" x14ac:dyDescent="0.3">
      <c r="E273" s="157"/>
      <c r="F273" s="159" t="s">
        <v>963</v>
      </c>
      <c r="G273" s="160"/>
      <c r="H273" s="161" t="s">
        <v>894</v>
      </c>
      <c r="I273" s="162"/>
      <c r="J273" s="162"/>
      <c r="K273" s="162"/>
      <c r="L273" s="162"/>
      <c r="M273" s="162"/>
      <c r="N273" s="162"/>
      <c r="O273" s="162"/>
      <c r="P273" s="162"/>
      <c r="Q273" s="163"/>
    </row>
    <row r="274" spans="2:17" x14ac:dyDescent="0.3">
      <c r="E274" s="158"/>
      <c r="F274" s="164" t="s">
        <v>964</v>
      </c>
      <c r="G274" s="164"/>
      <c r="H274" s="165" t="s">
        <v>802</v>
      </c>
      <c r="I274" s="165"/>
      <c r="J274" s="165"/>
      <c r="K274" s="165"/>
      <c r="L274" s="165"/>
      <c r="M274" s="165"/>
      <c r="N274" s="165"/>
      <c r="O274" s="165"/>
      <c r="P274" s="165"/>
      <c r="Q274" s="165"/>
    </row>
    <row r="276" spans="2:17" x14ac:dyDescent="0.3">
      <c r="B276" s="5" t="s">
        <v>41</v>
      </c>
      <c r="C276" s="5" t="s">
        <v>42</v>
      </c>
      <c r="E276" s="6"/>
      <c r="F276" s="6" t="s">
        <v>43</v>
      </c>
      <c r="G276" s="6" t="s">
        <v>44</v>
      </c>
      <c r="H276" s="6" t="s">
        <v>45</v>
      </c>
      <c r="I276" s="6" t="s">
        <v>46</v>
      </c>
      <c r="J276" s="6" t="s">
        <v>47</v>
      </c>
      <c r="K276" s="6" t="s">
        <v>48</v>
      </c>
      <c r="L276" s="6" t="s">
        <v>49</v>
      </c>
      <c r="M276" s="6" t="s">
        <v>50</v>
      </c>
      <c r="N276" s="6" t="s">
        <v>51</v>
      </c>
      <c r="O276" s="6" t="s">
        <v>52</v>
      </c>
      <c r="P276" s="6" t="s">
        <v>53</v>
      </c>
      <c r="Q276" s="6" t="s">
        <v>54</v>
      </c>
    </row>
    <row r="277" spans="2:17" ht="33.75" customHeight="1" x14ac:dyDescent="0.3">
      <c r="B277" s="7" t="s">
        <v>827</v>
      </c>
      <c r="C277" s="7" t="s">
        <v>823</v>
      </c>
      <c r="E277" s="6" t="s">
        <v>164</v>
      </c>
      <c r="F277" s="87" t="s">
        <v>965</v>
      </c>
      <c r="G277" s="146" t="s">
        <v>1007</v>
      </c>
      <c r="H277" s="147"/>
      <c r="I277" s="148"/>
      <c r="J277" s="146" t="s">
        <v>879</v>
      </c>
      <c r="K277" s="147"/>
      <c r="L277" s="147"/>
      <c r="M277" s="147"/>
      <c r="N277" s="147"/>
      <c r="O277" s="147"/>
      <c r="P277" s="147"/>
      <c r="Q277" s="148"/>
    </row>
    <row r="278" spans="2:17" x14ac:dyDescent="0.3">
      <c r="E278" s="6" t="s">
        <v>165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</row>
    <row r="279" spans="2:17" x14ac:dyDescent="0.3">
      <c r="E279" s="6" t="s">
        <v>157</v>
      </c>
      <c r="F279" s="166" t="s">
        <v>166</v>
      </c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8"/>
    </row>
    <row r="280" spans="2:17" x14ac:dyDescent="0.3">
      <c r="E280" s="6" t="s">
        <v>167</v>
      </c>
      <c r="F280" s="166" t="s">
        <v>227</v>
      </c>
      <c r="G280" s="167"/>
      <c r="H280" s="167"/>
      <c r="I280" s="168"/>
      <c r="J280" s="166" t="s">
        <v>227</v>
      </c>
      <c r="K280" s="167"/>
      <c r="L280" s="167"/>
      <c r="M280" s="167"/>
      <c r="N280" s="167"/>
      <c r="O280" s="167"/>
      <c r="P280" s="167"/>
      <c r="Q280" s="168"/>
    </row>
    <row r="281" spans="2:17" ht="25.5" customHeight="1" x14ac:dyDescent="0.3">
      <c r="E281" s="156" t="s">
        <v>169</v>
      </c>
      <c r="F281" s="164" t="s">
        <v>966</v>
      </c>
      <c r="G281" s="164"/>
      <c r="H281" s="169" t="s">
        <v>920</v>
      </c>
      <c r="I281" s="165"/>
      <c r="J281" s="165"/>
      <c r="K281" s="165"/>
      <c r="L281" s="165"/>
      <c r="M281" s="165"/>
      <c r="N281" s="165"/>
      <c r="O281" s="165"/>
      <c r="P281" s="165"/>
      <c r="Q281" s="165"/>
    </row>
    <row r="282" spans="2:17" ht="83.1" customHeight="1" x14ac:dyDescent="0.3">
      <c r="E282" s="157"/>
      <c r="F282" s="159" t="s">
        <v>967</v>
      </c>
      <c r="G282" s="160"/>
      <c r="H282" s="161" t="s">
        <v>895</v>
      </c>
      <c r="I282" s="162"/>
      <c r="J282" s="162"/>
      <c r="K282" s="162"/>
      <c r="L282" s="162"/>
      <c r="M282" s="162"/>
      <c r="N282" s="162"/>
      <c r="O282" s="162"/>
      <c r="P282" s="162"/>
      <c r="Q282" s="163"/>
    </row>
    <row r="283" spans="2:17" x14ac:dyDescent="0.3">
      <c r="E283" s="158"/>
      <c r="F283" s="164" t="s">
        <v>968</v>
      </c>
      <c r="G283" s="164"/>
      <c r="H283" s="165" t="s">
        <v>802</v>
      </c>
      <c r="I283" s="165"/>
      <c r="J283" s="165"/>
      <c r="K283" s="165"/>
      <c r="L283" s="165"/>
      <c r="M283" s="165"/>
      <c r="N283" s="165"/>
      <c r="O283" s="165"/>
      <c r="P283" s="165"/>
      <c r="Q283" s="165"/>
    </row>
    <row r="285" spans="2:17" x14ac:dyDescent="0.3">
      <c r="B285" s="5" t="s">
        <v>41</v>
      </c>
      <c r="C285" s="5" t="s">
        <v>42</v>
      </c>
      <c r="E285" s="6"/>
      <c r="F285" s="6" t="s">
        <v>43</v>
      </c>
      <c r="G285" s="6" t="s">
        <v>44</v>
      </c>
      <c r="H285" s="6" t="s">
        <v>45</v>
      </c>
      <c r="I285" s="6" t="s">
        <v>46</v>
      </c>
      <c r="J285" s="6" t="s">
        <v>47</v>
      </c>
      <c r="K285" s="6" t="s">
        <v>48</v>
      </c>
      <c r="L285" s="6" t="s">
        <v>49</v>
      </c>
      <c r="M285" s="6" t="s">
        <v>50</v>
      </c>
      <c r="N285" s="6" t="s">
        <v>51</v>
      </c>
      <c r="O285" s="6" t="s">
        <v>52</v>
      </c>
      <c r="P285" s="6" t="s">
        <v>53</v>
      </c>
      <c r="Q285" s="6" t="s">
        <v>54</v>
      </c>
    </row>
    <row r="286" spans="2:17" ht="33.75" customHeight="1" x14ac:dyDescent="0.3">
      <c r="B286" s="7" t="s">
        <v>830</v>
      </c>
      <c r="C286" s="7" t="s">
        <v>828</v>
      </c>
      <c r="E286" s="6" t="s">
        <v>164</v>
      </c>
      <c r="F286" s="87" t="s">
        <v>969</v>
      </c>
      <c r="G286" s="146" t="s">
        <v>1008</v>
      </c>
      <c r="H286" s="147"/>
      <c r="I286" s="148"/>
      <c r="J286" s="146" t="s">
        <v>880</v>
      </c>
      <c r="K286" s="147"/>
      <c r="L286" s="147"/>
      <c r="M286" s="147"/>
      <c r="N286" s="147"/>
      <c r="O286" s="147"/>
      <c r="P286" s="147"/>
      <c r="Q286" s="148"/>
    </row>
    <row r="287" spans="2:17" x14ac:dyDescent="0.3">
      <c r="E287" s="6" t="s">
        <v>165</v>
      </c>
      <c r="F287" s="16">
        <v>0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</row>
    <row r="288" spans="2:17" x14ac:dyDescent="0.3">
      <c r="E288" s="6" t="s">
        <v>157</v>
      </c>
      <c r="F288" s="166" t="s">
        <v>166</v>
      </c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8"/>
    </row>
    <row r="289" spans="2:17" x14ac:dyDescent="0.3">
      <c r="E289" s="6" t="s">
        <v>167</v>
      </c>
      <c r="F289" s="166" t="s">
        <v>227</v>
      </c>
      <c r="G289" s="167"/>
      <c r="H289" s="167"/>
      <c r="I289" s="168"/>
      <c r="J289" s="166" t="s">
        <v>227</v>
      </c>
      <c r="K289" s="167"/>
      <c r="L289" s="167"/>
      <c r="M289" s="167"/>
      <c r="N289" s="167"/>
      <c r="O289" s="167"/>
      <c r="P289" s="167"/>
      <c r="Q289" s="168"/>
    </row>
    <row r="290" spans="2:17" ht="25.5" customHeight="1" x14ac:dyDescent="0.3">
      <c r="E290" s="156" t="s">
        <v>169</v>
      </c>
      <c r="F290" s="164" t="s">
        <v>970</v>
      </c>
      <c r="G290" s="164"/>
      <c r="H290" s="169" t="s">
        <v>920</v>
      </c>
      <c r="I290" s="165"/>
      <c r="J290" s="165"/>
      <c r="K290" s="165"/>
      <c r="L290" s="165"/>
      <c r="M290" s="165"/>
      <c r="N290" s="165"/>
      <c r="O290" s="165"/>
      <c r="P290" s="165"/>
      <c r="Q290" s="165"/>
    </row>
    <row r="291" spans="2:17" ht="83.1" customHeight="1" x14ac:dyDescent="0.3">
      <c r="E291" s="157"/>
      <c r="F291" s="159" t="s">
        <v>971</v>
      </c>
      <c r="G291" s="160"/>
      <c r="H291" s="161" t="s">
        <v>896</v>
      </c>
      <c r="I291" s="162"/>
      <c r="J291" s="162"/>
      <c r="K291" s="162"/>
      <c r="L291" s="162"/>
      <c r="M291" s="162"/>
      <c r="N291" s="162"/>
      <c r="O291" s="162"/>
      <c r="P291" s="162"/>
      <c r="Q291" s="163"/>
    </row>
    <row r="292" spans="2:17" x14ac:dyDescent="0.3">
      <c r="E292" s="158"/>
      <c r="F292" s="164" t="s">
        <v>972</v>
      </c>
      <c r="G292" s="164"/>
      <c r="H292" s="165" t="s">
        <v>802</v>
      </c>
      <c r="I292" s="165"/>
      <c r="J292" s="165"/>
      <c r="K292" s="165"/>
      <c r="L292" s="165"/>
      <c r="M292" s="165"/>
      <c r="N292" s="165"/>
      <c r="O292" s="165"/>
      <c r="P292" s="165"/>
      <c r="Q292" s="165"/>
    </row>
    <row r="294" spans="2:17" x14ac:dyDescent="0.3">
      <c r="B294" s="5" t="s">
        <v>41</v>
      </c>
      <c r="C294" s="5" t="s">
        <v>42</v>
      </c>
      <c r="E294" s="6"/>
      <c r="F294" s="6" t="s">
        <v>43</v>
      </c>
      <c r="G294" s="6" t="s">
        <v>44</v>
      </c>
      <c r="H294" s="6" t="s">
        <v>45</v>
      </c>
      <c r="I294" s="6" t="s">
        <v>46</v>
      </c>
      <c r="J294" s="6" t="s">
        <v>47</v>
      </c>
      <c r="K294" s="6" t="s">
        <v>48</v>
      </c>
      <c r="L294" s="6" t="s">
        <v>49</v>
      </c>
      <c r="M294" s="6" t="s">
        <v>50</v>
      </c>
      <c r="N294" s="6" t="s">
        <v>51</v>
      </c>
      <c r="O294" s="6" t="s">
        <v>52</v>
      </c>
      <c r="P294" s="6" t="s">
        <v>53</v>
      </c>
      <c r="Q294" s="6" t="s">
        <v>54</v>
      </c>
    </row>
    <row r="295" spans="2:17" ht="33.75" customHeight="1" x14ac:dyDescent="0.3">
      <c r="B295" s="7" t="s">
        <v>832</v>
      </c>
      <c r="C295" s="7" t="s">
        <v>831</v>
      </c>
      <c r="E295" s="6" t="s">
        <v>164</v>
      </c>
      <c r="F295" s="87" t="s">
        <v>973</v>
      </c>
      <c r="G295" s="146" t="s">
        <v>1009</v>
      </c>
      <c r="H295" s="147"/>
      <c r="I295" s="148"/>
      <c r="J295" s="146" t="s">
        <v>881</v>
      </c>
      <c r="K295" s="147"/>
      <c r="L295" s="147"/>
      <c r="M295" s="147"/>
      <c r="N295" s="147"/>
      <c r="O295" s="147"/>
      <c r="P295" s="147"/>
      <c r="Q295" s="148"/>
    </row>
    <row r="296" spans="2:17" x14ac:dyDescent="0.3">
      <c r="E296" s="6" t="s">
        <v>165</v>
      </c>
      <c r="F296" s="16">
        <v>0</v>
      </c>
      <c r="G296" s="16">
        <v>0</v>
      </c>
      <c r="H296" s="16">
        <v>0</v>
      </c>
      <c r="I296" s="16">
        <v>0</v>
      </c>
      <c r="J296" s="16">
        <v>0</v>
      </c>
      <c r="K296" s="16">
        <v>0</v>
      </c>
      <c r="L296" s="16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</row>
    <row r="297" spans="2:17" x14ac:dyDescent="0.3">
      <c r="E297" s="6" t="s">
        <v>157</v>
      </c>
      <c r="F297" s="166" t="s">
        <v>166</v>
      </c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8"/>
    </row>
    <row r="298" spans="2:17" x14ac:dyDescent="0.3">
      <c r="E298" s="6" t="s">
        <v>167</v>
      </c>
      <c r="F298" s="166" t="s">
        <v>227</v>
      </c>
      <c r="G298" s="167"/>
      <c r="H298" s="167"/>
      <c r="I298" s="168"/>
      <c r="J298" s="166" t="s">
        <v>227</v>
      </c>
      <c r="K298" s="167"/>
      <c r="L298" s="167"/>
      <c r="M298" s="167"/>
      <c r="N298" s="167"/>
      <c r="O298" s="167"/>
      <c r="P298" s="167"/>
      <c r="Q298" s="168"/>
    </row>
    <row r="299" spans="2:17" ht="25.5" customHeight="1" x14ac:dyDescent="0.3">
      <c r="E299" s="156" t="s">
        <v>169</v>
      </c>
      <c r="F299" s="164" t="s">
        <v>974</v>
      </c>
      <c r="G299" s="164"/>
      <c r="H299" s="169" t="s">
        <v>920</v>
      </c>
      <c r="I299" s="165"/>
      <c r="J299" s="165"/>
      <c r="K299" s="165"/>
      <c r="L299" s="165"/>
      <c r="M299" s="165"/>
      <c r="N299" s="165"/>
      <c r="O299" s="165"/>
      <c r="P299" s="165"/>
      <c r="Q299" s="165"/>
    </row>
    <row r="300" spans="2:17" ht="83.1" customHeight="1" x14ac:dyDescent="0.3">
      <c r="E300" s="157"/>
      <c r="F300" s="159" t="s">
        <v>975</v>
      </c>
      <c r="G300" s="160"/>
      <c r="H300" s="161" t="s">
        <v>897</v>
      </c>
      <c r="I300" s="162"/>
      <c r="J300" s="162"/>
      <c r="K300" s="162"/>
      <c r="L300" s="162"/>
      <c r="M300" s="162"/>
      <c r="N300" s="162"/>
      <c r="O300" s="162"/>
      <c r="P300" s="162"/>
      <c r="Q300" s="163"/>
    </row>
    <row r="301" spans="2:17" x14ac:dyDescent="0.3">
      <c r="E301" s="158"/>
      <c r="F301" s="164" t="s">
        <v>976</v>
      </c>
      <c r="G301" s="164"/>
      <c r="H301" s="165" t="s">
        <v>802</v>
      </c>
      <c r="I301" s="165"/>
      <c r="J301" s="165"/>
      <c r="K301" s="165"/>
      <c r="L301" s="165"/>
      <c r="M301" s="165"/>
      <c r="N301" s="165"/>
      <c r="O301" s="165"/>
      <c r="P301" s="165"/>
      <c r="Q301" s="165"/>
    </row>
    <row r="303" spans="2:17" x14ac:dyDescent="0.3">
      <c r="B303" s="5" t="s">
        <v>41</v>
      </c>
      <c r="C303" s="5" t="s">
        <v>42</v>
      </c>
      <c r="E303" s="6"/>
      <c r="F303" s="6" t="s">
        <v>43</v>
      </c>
      <c r="G303" s="6" t="s">
        <v>44</v>
      </c>
      <c r="H303" s="6" t="s">
        <v>45</v>
      </c>
      <c r="I303" s="6" t="s">
        <v>46</v>
      </c>
      <c r="J303" s="6" t="s">
        <v>47</v>
      </c>
      <c r="K303" s="6" t="s">
        <v>48</v>
      </c>
      <c r="L303" s="6" t="s">
        <v>49</v>
      </c>
      <c r="M303" s="6" t="s">
        <v>50</v>
      </c>
      <c r="N303" s="6" t="s">
        <v>51</v>
      </c>
      <c r="O303" s="6" t="s">
        <v>52</v>
      </c>
      <c r="P303" s="6" t="s">
        <v>53</v>
      </c>
      <c r="Q303" s="6" t="s">
        <v>54</v>
      </c>
    </row>
    <row r="304" spans="2:17" ht="33.75" customHeight="1" x14ac:dyDescent="0.3">
      <c r="B304" s="7" t="s">
        <v>866</v>
      </c>
      <c r="C304" s="7" t="s">
        <v>833</v>
      </c>
      <c r="E304" s="6" t="s">
        <v>164</v>
      </c>
      <c r="F304" s="87" t="s">
        <v>977</v>
      </c>
      <c r="G304" s="146" t="s">
        <v>1010</v>
      </c>
      <c r="H304" s="147"/>
      <c r="I304" s="148"/>
      <c r="J304" s="146" t="s">
        <v>882</v>
      </c>
      <c r="K304" s="147"/>
      <c r="L304" s="147"/>
      <c r="M304" s="147"/>
      <c r="N304" s="147"/>
      <c r="O304" s="147"/>
      <c r="P304" s="147"/>
      <c r="Q304" s="148"/>
    </row>
    <row r="305" spans="5:17" x14ac:dyDescent="0.3">
      <c r="E305" s="6" t="s">
        <v>165</v>
      </c>
      <c r="F305" s="16">
        <v>0</v>
      </c>
      <c r="G305" s="16">
        <v>0</v>
      </c>
      <c r="H305" s="16">
        <v>0</v>
      </c>
      <c r="I305" s="16">
        <v>0</v>
      </c>
      <c r="J305" s="16">
        <v>0</v>
      </c>
      <c r="K305" s="16">
        <v>0</v>
      </c>
      <c r="L305" s="16">
        <v>0</v>
      </c>
      <c r="M305" s="16">
        <v>0</v>
      </c>
      <c r="N305" s="16">
        <v>0</v>
      </c>
      <c r="O305" s="16">
        <v>0</v>
      </c>
      <c r="P305" s="16">
        <v>0</v>
      </c>
      <c r="Q305" s="16">
        <v>0</v>
      </c>
    </row>
    <row r="306" spans="5:17" x14ac:dyDescent="0.3">
      <c r="E306" s="6" t="s">
        <v>157</v>
      </c>
      <c r="F306" s="166" t="s">
        <v>166</v>
      </c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8"/>
    </row>
    <row r="307" spans="5:17" x14ac:dyDescent="0.3">
      <c r="E307" s="6" t="s">
        <v>167</v>
      </c>
      <c r="F307" s="166" t="s">
        <v>227</v>
      </c>
      <c r="G307" s="167"/>
      <c r="H307" s="167"/>
      <c r="I307" s="168"/>
      <c r="J307" s="166" t="s">
        <v>227</v>
      </c>
      <c r="K307" s="167"/>
      <c r="L307" s="167"/>
      <c r="M307" s="167"/>
      <c r="N307" s="167"/>
      <c r="O307" s="167"/>
      <c r="P307" s="167"/>
      <c r="Q307" s="168"/>
    </row>
    <row r="308" spans="5:17" ht="25.5" customHeight="1" x14ac:dyDescent="0.3">
      <c r="E308" s="156" t="s">
        <v>169</v>
      </c>
      <c r="F308" s="164" t="s">
        <v>978</v>
      </c>
      <c r="G308" s="164"/>
      <c r="H308" s="169" t="s">
        <v>920</v>
      </c>
      <c r="I308" s="165"/>
      <c r="J308" s="165"/>
      <c r="K308" s="165"/>
      <c r="L308" s="165"/>
      <c r="M308" s="165"/>
      <c r="N308" s="165"/>
      <c r="O308" s="165"/>
      <c r="P308" s="165"/>
      <c r="Q308" s="165"/>
    </row>
    <row r="309" spans="5:17" ht="83.1" customHeight="1" x14ac:dyDescent="0.3">
      <c r="E309" s="157"/>
      <c r="F309" s="159" t="s">
        <v>979</v>
      </c>
      <c r="G309" s="160"/>
      <c r="H309" s="161" t="s">
        <v>898</v>
      </c>
      <c r="I309" s="162"/>
      <c r="J309" s="162"/>
      <c r="K309" s="162"/>
      <c r="L309" s="162"/>
      <c r="M309" s="162"/>
      <c r="N309" s="162"/>
      <c r="O309" s="162"/>
      <c r="P309" s="162"/>
      <c r="Q309" s="163"/>
    </row>
    <row r="310" spans="5:17" x14ac:dyDescent="0.3">
      <c r="E310" s="158"/>
      <c r="F310" s="164" t="s">
        <v>980</v>
      </c>
      <c r="G310" s="164"/>
      <c r="H310" s="165" t="s">
        <v>802</v>
      </c>
      <c r="I310" s="165"/>
      <c r="J310" s="165"/>
      <c r="K310" s="165"/>
      <c r="L310" s="165"/>
      <c r="M310" s="165"/>
      <c r="N310" s="165"/>
      <c r="O310" s="165"/>
      <c r="P310" s="165"/>
      <c r="Q310" s="165"/>
    </row>
  </sheetData>
  <mergeCells count="393">
    <mergeCell ref="F308:G308"/>
    <mergeCell ref="H308:Q308"/>
    <mergeCell ref="F236:G236"/>
    <mergeCell ref="H236:Q236"/>
    <mergeCell ref="F245:G245"/>
    <mergeCell ref="H245:Q245"/>
    <mergeCell ref="F254:G254"/>
    <mergeCell ref="H254:Q254"/>
    <mergeCell ref="F263:G263"/>
    <mergeCell ref="H263:Q263"/>
    <mergeCell ref="F272:G272"/>
    <mergeCell ref="H272:Q272"/>
    <mergeCell ref="F301:G301"/>
    <mergeCell ref="H301:Q301"/>
    <mergeCell ref="J304:Q304"/>
    <mergeCell ref="F306:Q306"/>
    <mergeCell ref="F307:I307"/>
    <mergeCell ref="J307:Q307"/>
    <mergeCell ref="F290:G290"/>
    <mergeCell ref="H290:Q290"/>
    <mergeCell ref="F299:G299"/>
    <mergeCell ref="H299:Q299"/>
    <mergeCell ref="J289:Q289"/>
    <mergeCell ref="G286:I286"/>
    <mergeCell ref="F134:G134"/>
    <mergeCell ref="F136:G136"/>
    <mergeCell ref="H134:Q134"/>
    <mergeCell ref="H136:Q136"/>
    <mergeCell ref="F135:G135"/>
    <mergeCell ref="H135:Q135"/>
    <mergeCell ref="F191:G191"/>
    <mergeCell ref="H191:Q191"/>
    <mergeCell ref="F189:Q189"/>
    <mergeCell ref="F141:G141"/>
    <mergeCell ref="H141:Q141"/>
    <mergeCell ref="F142:G142"/>
    <mergeCell ref="H142:Q142"/>
    <mergeCell ref="F139:G139"/>
    <mergeCell ref="H155:Q155"/>
    <mergeCell ref="J148:K148"/>
    <mergeCell ref="E16:N16"/>
    <mergeCell ref="E17:N17"/>
    <mergeCell ref="E7:N7"/>
    <mergeCell ref="H184:Q184"/>
    <mergeCell ref="F137:G137"/>
    <mergeCell ref="H137:Q137"/>
    <mergeCell ref="E36:E46"/>
    <mergeCell ref="F36:G36"/>
    <mergeCell ref="H36:Q36"/>
    <mergeCell ref="F76:Q76"/>
    <mergeCell ref="F56:G56"/>
    <mergeCell ref="H56:Q56"/>
    <mergeCell ref="F57:G57"/>
    <mergeCell ref="H67:Q67"/>
    <mergeCell ref="F71:G71"/>
    <mergeCell ref="H71:Q71"/>
    <mergeCell ref="F69:Q69"/>
    <mergeCell ref="F102:G102"/>
    <mergeCell ref="H102:Q102"/>
    <mergeCell ref="F106:G106"/>
    <mergeCell ref="H106:Q106"/>
    <mergeCell ref="H118:Q118"/>
    <mergeCell ref="F121:G121"/>
    <mergeCell ref="H121:Q121"/>
    <mergeCell ref="E3:N3"/>
    <mergeCell ref="F180:Q180"/>
    <mergeCell ref="E10:N10"/>
    <mergeCell ref="E9:N9"/>
    <mergeCell ref="H78:Q78"/>
    <mergeCell ref="F61:G61"/>
    <mergeCell ref="H61:Q61"/>
    <mergeCell ref="F27:G27"/>
    <mergeCell ref="H27:Q27"/>
    <mergeCell ref="F43:G43"/>
    <mergeCell ref="H84:Q84"/>
    <mergeCell ref="F85:G85"/>
    <mergeCell ref="H85:Q85"/>
    <mergeCell ref="F37:G37"/>
    <mergeCell ref="F38:G38"/>
    <mergeCell ref="F39:G39"/>
    <mergeCell ref="G19:H19"/>
    <mergeCell ref="E6:N6"/>
    <mergeCell ref="I19:N19"/>
    <mergeCell ref="E11:N11"/>
    <mergeCell ref="P21:Q21"/>
    <mergeCell ref="P24:Q24"/>
    <mergeCell ref="E25:E29"/>
    <mergeCell ref="F25:G25"/>
    <mergeCell ref="F122:G122"/>
    <mergeCell ref="H122:Q122"/>
    <mergeCell ref="F125:G125"/>
    <mergeCell ref="F193:G193"/>
    <mergeCell ref="E4:N4"/>
    <mergeCell ref="E5:N5"/>
    <mergeCell ref="H25:Q25"/>
    <mergeCell ref="F26:G26"/>
    <mergeCell ref="H26:Q26"/>
    <mergeCell ref="F21:I21"/>
    <mergeCell ref="F24:I24"/>
    <mergeCell ref="M21:O21"/>
    <mergeCell ref="M24:O24"/>
    <mergeCell ref="F23:Q23"/>
    <mergeCell ref="F28:G28"/>
    <mergeCell ref="H28:Q28"/>
    <mergeCell ref="F29:G29"/>
    <mergeCell ref="H29:Q29"/>
    <mergeCell ref="E13:N13"/>
    <mergeCell ref="E14:N14"/>
    <mergeCell ref="E15:N15"/>
    <mergeCell ref="H125:Q125"/>
    <mergeCell ref="H143:Q143"/>
    <mergeCell ref="F101:G101"/>
    <mergeCell ref="H120:Q120"/>
    <mergeCell ref="F53:G53"/>
    <mergeCell ref="H53:Q53"/>
    <mergeCell ref="H60:Q60"/>
    <mergeCell ref="F55:G55"/>
    <mergeCell ref="H81:Q81"/>
    <mergeCell ref="H70:Q70"/>
    <mergeCell ref="F105:G105"/>
    <mergeCell ref="H105:Q105"/>
    <mergeCell ref="H100:Q100"/>
    <mergeCell ref="F100:G100"/>
    <mergeCell ref="N96:O96"/>
    <mergeCell ref="F98:Q98"/>
    <mergeCell ref="F112:Q112"/>
    <mergeCell ref="H133:Q133"/>
    <mergeCell ref="H74:Q74"/>
    <mergeCell ref="F64:G64"/>
    <mergeCell ref="F78:G78"/>
    <mergeCell ref="F118:G118"/>
    <mergeCell ref="F34:Q34"/>
    <mergeCell ref="F51:Q51"/>
    <mergeCell ref="H41:Q41"/>
    <mergeCell ref="F44:G44"/>
    <mergeCell ref="H91:Q91"/>
    <mergeCell ref="F92:G92"/>
    <mergeCell ref="H92:Q92"/>
    <mergeCell ref="F40:G40"/>
    <mergeCell ref="F41:G41"/>
    <mergeCell ref="F42:G42"/>
    <mergeCell ref="H37:Q37"/>
    <mergeCell ref="H38:Q38"/>
    <mergeCell ref="H39:Q39"/>
    <mergeCell ref="H40:Q40"/>
    <mergeCell ref="H42:Q42"/>
    <mergeCell ref="H59:Q59"/>
    <mergeCell ref="F46:G46"/>
    <mergeCell ref="H101:Q101"/>
    <mergeCell ref="F120:G120"/>
    <mergeCell ref="E100:E106"/>
    <mergeCell ref="F164:Q164"/>
    <mergeCell ref="H43:Q43"/>
    <mergeCell ref="F115:G115"/>
    <mergeCell ref="E53:E64"/>
    <mergeCell ref="F54:G54"/>
    <mergeCell ref="H54:Q54"/>
    <mergeCell ref="H99:I99"/>
    <mergeCell ref="F62:G62"/>
    <mergeCell ref="H62:Q62"/>
    <mergeCell ref="F63:G63"/>
    <mergeCell ref="H63:Q63"/>
    <mergeCell ref="H77:Q77"/>
    <mergeCell ref="F60:G60"/>
    <mergeCell ref="H45:Q45"/>
    <mergeCell ref="H46:Q46"/>
    <mergeCell ref="H88:Q88"/>
    <mergeCell ref="F90:Q90"/>
    <mergeCell ref="F45:G45"/>
    <mergeCell ref="F83:Q83"/>
    <mergeCell ref="H57:Q57"/>
    <mergeCell ref="F58:G58"/>
    <mergeCell ref="H58:Q58"/>
    <mergeCell ref="F59:G59"/>
    <mergeCell ref="H44:Q44"/>
    <mergeCell ref="H64:Q64"/>
    <mergeCell ref="H55:Q55"/>
    <mergeCell ref="E114:E125"/>
    <mergeCell ref="F123:G123"/>
    <mergeCell ref="H123:Q123"/>
    <mergeCell ref="F124:G124"/>
    <mergeCell ref="H104:Q104"/>
    <mergeCell ref="H96:I96"/>
    <mergeCell ref="N99:O99"/>
    <mergeCell ref="K96:M96"/>
    <mergeCell ref="K99:M99"/>
    <mergeCell ref="H117:Q117"/>
    <mergeCell ref="F114:G114"/>
    <mergeCell ref="H114:Q114"/>
    <mergeCell ref="F117:G117"/>
    <mergeCell ref="H115:Q115"/>
    <mergeCell ref="F116:G116"/>
    <mergeCell ref="H116:Q116"/>
    <mergeCell ref="F103:G103"/>
    <mergeCell ref="H103:Q103"/>
    <mergeCell ref="F104:G104"/>
    <mergeCell ref="F119:G119"/>
    <mergeCell ref="H119:Q119"/>
    <mergeCell ref="H124:Q124"/>
    <mergeCell ref="F174:G174"/>
    <mergeCell ref="H174:Q174"/>
    <mergeCell ref="F140:G140"/>
    <mergeCell ref="H140:Q140"/>
    <mergeCell ref="F165:Q165"/>
    <mergeCell ref="F138:G138"/>
    <mergeCell ref="H138:Q138"/>
    <mergeCell ref="F162:Q162"/>
    <mergeCell ref="H139:Q139"/>
    <mergeCell ref="F144:G144"/>
    <mergeCell ref="F156:G156"/>
    <mergeCell ref="F157:G157"/>
    <mergeCell ref="H152:Q152"/>
    <mergeCell ref="H153:Q153"/>
    <mergeCell ref="H156:Q156"/>
    <mergeCell ref="H157:Q157"/>
    <mergeCell ref="H159:Q159"/>
    <mergeCell ref="F143:G143"/>
    <mergeCell ref="F154:G154"/>
    <mergeCell ref="F155:G155"/>
    <mergeCell ref="H154:Q154"/>
    <mergeCell ref="F150:Q150"/>
    <mergeCell ref="F131:Q131"/>
    <mergeCell ref="E173:E175"/>
    <mergeCell ref="F173:G173"/>
    <mergeCell ref="H173:Q173"/>
    <mergeCell ref="F175:G175"/>
    <mergeCell ref="H175:Q175"/>
    <mergeCell ref="F183:G183"/>
    <mergeCell ref="H183:Q183"/>
    <mergeCell ref="F171:Q171"/>
    <mergeCell ref="H144:Q144"/>
    <mergeCell ref="F166:G166"/>
    <mergeCell ref="H166:Q166"/>
    <mergeCell ref="F158:G158"/>
    <mergeCell ref="H158:Q158"/>
    <mergeCell ref="J169:Q169"/>
    <mergeCell ref="F172:I172"/>
    <mergeCell ref="J172:Q172"/>
    <mergeCell ref="F182:G182"/>
    <mergeCell ref="H182:Q182"/>
    <mergeCell ref="F152:G152"/>
    <mergeCell ref="F153:G153"/>
    <mergeCell ref="E152:E159"/>
    <mergeCell ref="F159:G159"/>
    <mergeCell ref="E133:E144"/>
    <mergeCell ref="F133:G133"/>
    <mergeCell ref="F201:G201"/>
    <mergeCell ref="H201:Q201"/>
    <mergeCell ref="F202:G202"/>
    <mergeCell ref="H202:Q202"/>
    <mergeCell ref="J205:Q205"/>
    <mergeCell ref="F208:I208"/>
    <mergeCell ref="J208:Q208"/>
    <mergeCell ref="J178:Q178"/>
    <mergeCell ref="F181:I181"/>
    <mergeCell ref="J181:Q181"/>
    <mergeCell ref="J187:Q187"/>
    <mergeCell ref="F190:I190"/>
    <mergeCell ref="J190:Q190"/>
    <mergeCell ref="J196:Q196"/>
    <mergeCell ref="F199:I199"/>
    <mergeCell ref="J199:Q199"/>
    <mergeCell ref="F207:Q207"/>
    <mergeCell ref="H193:Q193"/>
    <mergeCell ref="F192:G192"/>
    <mergeCell ref="H192:Q192"/>
    <mergeCell ref="F184:G184"/>
    <mergeCell ref="F200:G200"/>
    <mergeCell ref="H200:Q200"/>
    <mergeCell ref="F198:Q198"/>
    <mergeCell ref="F210:G210"/>
    <mergeCell ref="H210:Q210"/>
    <mergeCell ref="F211:G211"/>
    <mergeCell ref="H211:Q211"/>
    <mergeCell ref="J214:Q214"/>
    <mergeCell ref="F216:Q216"/>
    <mergeCell ref="F217:I217"/>
    <mergeCell ref="J217:Q217"/>
    <mergeCell ref="E209:E211"/>
    <mergeCell ref="F209:G209"/>
    <mergeCell ref="H209:Q209"/>
    <mergeCell ref="F219:G219"/>
    <mergeCell ref="H219:Q219"/>
    <mergeCell ref="F220:G220"/>
    <mergeCell ref="H220:Q220"/>
    <mergeCell ref="J223:Q223"/>
    <mergeCell ref="F225:Q225"/>
    <mergeCell ref="F226:I226"/>
    <mergeCell ref="J226:Q226"/>
    <mergeCell ref="E218:E220"/>
    <mergeCell ref="F218:G218"/>
    <mergeCell ref="H218:Q218"/>
    <mergeCell ref="F228:G228"/>
    <mergeCell ref="H228:Q228"/>
    <mergeCell ref="F229:G229"/>
    <mergeCell ref="H229:Q229"/>
    <mergeCell ref="J232:Q232"/>
    <mergeCell ref="F234:Q234"/>
    <mergeCell ref="F235:I235"/>
    <mergeCell ref="J235:Q235"/>
    <mergeCell ref="E227:E229"/>
    <mergeCell ref="F227:G227"/>
    <mergeCell ref="H227:Q227"/>
    <mergeCell ref="F246:G246"/>
    <mergeCell ref="H246:Q246"/>
    <mergeCell ref="F247:G247"/>
    <mergeCell ref="H247:Q247"/>
    <mergeCell ref="J250:Q250"/>
    <mergeCell ref="F252:Q252"/>
    <mergeCell ref="F253:I253"/>
    <mergeCell ref="J253:Q253"/>
    <mergeCell ref="F237:G237"/>
    <mergeCell ref="H237:Q237"/>
    <mergeCell ref="F238:G238"/>
    <mergeCell ref="H238:Q238"/>
    <mergeCell ref="J241:Q241"/>
    <mergeCell ref="F243:Q243"/>
    <mergeCell ref="F244:I244"/>
    <mergeCell ref="J244:Q244"/>
    <mergeCell ref="F264:G264"/>
    <mergeCell ref="H264:Q264"/>
    <mergeCell ref="F265:G265"/>
    <mergeCell ref="H265:Q265"/>
    <mergeCell ref="J268:Q268"/>
    <mergeCell ref="F270:Q270"/>
    <mergeCell ref="F271:I271"/>
    <mergeCell ref="J271:Q271"/>
    <mergeCell ref="F255:G255"/>
    <mergeCell ref="H255:Q255"/>
    <mergeCell ref="F256:G256"/>
    <mergeCell ref="H256:Q256"/>
    <mergeCell ref="J259:Q259"/>
    <mergeCell ref="F261:Q261"/>
    <mergeCell ref="F262:I262"/>
    <mergeCell ref="J262:Q262"/>
    <mergeCell ref="F281:G281"/>
    <mergeCell ref="H281:Q281"/>
    <mergeCell ref="F273:G273"/>
    <mergeCell ref="H273:Q273"/>
    <mergeCell ref="F274:G274"/>
    <mergeCell ref="H274:Q274"/>
    <mergeCell ref="J277:Q277"/>
    <mergeCell ref="F279:Q279"/>
    <mergeCell ref="F280:I280"/>
    <mergeCell ref="J280:Q280"/>
    <mergeCell ref="G277:I277"/>
    <mergeCell ref="J295:Q295"/>
    <mergeCell ref="F297:Q297"/>
    <mergeCell ref="F298:I298"/>
    <mergeCell ref="J298:Q298"/>
    <mergeCell ref="F282:G282"/>
    <mergeCell ref="H282:Q282"/>
    <mergeCell ref="F283:G283"/>
    <mergeCell ref="H283:Q283"/>
    <mergeCell ref="J286:Q286"/>
    <mergeCell ref="F288:Q288"/>
    <mergeCell ref="F289:I289"/>
    <mergeCell ref="F309:G309"/>
    <mergeCell ref="H309:Q309"/>
    <mergeCell ref="F310:G310"/>
    <mergeCell ref="H310:Q310"/>
    <mergeCell ref="G169:I169"/>
    <mergeCell ref="G178:I178"/>
    <mergeCell ref="G187:I187"/>
    <mergeCell ref="G196:I196"/>
    <mergeCell ref="G205:I205"/>
    <mergeCell ref="G214:I214"/>
    <mergeCell ref="G223:I223"/>
    <mergeCell ref="G232:I232"/>
    <mergeCell ref="G241:I241"/>
    <mergeCell ref="G250:I250"/>
    <mergeCell ref="G259:I259"/>
    <mergeCell ref="G268:I268"/>
    <mergeCell ref="G295:I295"/>
    <mergeCell ref="G304:I304"/>
    <mergeCell ref="F300:G300"/>
    <mergeCell ref="H300:Q300"/>
    <mergeCell ref="F291:G291"/>
    <mergeCell ref="H291:Q291"/>
    <mergeCell ref="F292:G292"/>
    <mergeCell ref="H292:Q292"/>
    <mergeCell ref="E200:E202"/>
    <mergeCell ref="E191:E193"/>
    <mergeCell ref="E182:E184"/>
    <mergeCell ref="E308:E310"/>
    <mergeCell ref="E299:E301"/>
    <mergeCell ref="E290:E292"/>
    <mergeCell ref="E281:E283"/>
    <mergeCell ref="E272:E274"/>
    <mergeCell ref="E263:E265"/>
    <mergeCell ref="E254:E256"/>
    <mergeCell ref="E245:E247"/>
    <mergeCell ref="E236:E238"/>
  </mergeCells>
  <phoneticPr fontId="1" type="noConversion"/>
  <pageMargins left="0.25" right="0.25" top="0.75" bottom="0.75" header="0.3" footer="0.3"/>
  <pageSetup paperSize="9" fitToHeight="0" orientation="landscape" r:id="rId1"/>
  <headerFooter>
    <oddHeader>&amp;C&amp;G</oddHeader>
    <oddFooter xml:space="preserve">&amp;C_x000D_&amp;1#&amp;"맑은 고딕"&amp;6&amp;K737373 조범철( CHO BEOM CHEOL ) 전원구동반도체팀 / 1628629@mobis.com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76E8-8BA4-4714-A147-32F699D84649}">
  <dimension ref="B2:AA43"/>
  <sheetViews>
    <sheetView showGridLines="0"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8" sqref="J8:K8"/>
    </sheetView>
  </sheetViews>
  <sheetFormatPr defaultColWidth="9" defaultRowHeight="17.100000000000001" customHeight="1" x14ac:dyDescent="0.3"/>
  <cols>
    <col min="1" max="1" width="3.875" style="48" customWidth="1"/>
    <col min="2" max="2" width="12.625" style="54" bestFit="1" customWidth="1"/>
    <col min="3" max="3" width="15.625" style="48" bestFit="1" customWidth="1"/>
    <col min="4" max="4" width="5.125" style="48" bestFit="1" customWidth="1"/>
    <col min="5" max="9" width="4.625" style="48" bestFit="1" customWidth="1"/>
    <col min="10" max="21" width="25.375" style="48" customWidth="1"/>
    <col min="22" max="22" width="13.125" style="48" bestFit="1" customWidth="1"/>
    <col min="23" max="23" width="8" style="48" bestFit="1" customWidth="1"/>
    <col min="24" max="16384" width="9" style="48"/>
  </cols>
  <sheetData>
    <row r="2" spans="2:27" ht="24" x14ac:dyDescent="0.3">
      <c r="B2" s="56" t="s">
        <v>263</v>
      </c>
      <c r="C2" s="56" t="s">
        <v>264</v>
      </c>
      <c r="D2" s="51" t="s">
        <v>265</v>
      </c>
      <c r="E2" s="51" t="s">
        <v>266</v>
      </c>
      <c r="F2" s="51" t="s">
        <v>267</v>
      </c>
      <c r="G2" s="51" t="s">
        <v>268</v>
      </c>
      <c r="H2" s="51" t="s">
        <v>269</v>
      </c>
      <c r="I2" s="51" t="s">
        <v>270</v>
      </c>
      <c r="J2" s="51" t="s">
        <v>271</v>
      </c>
      <c r="K2" s="51" t="s">
        <v>272</v>
      </c>
      <c r="L2" s="51" t="s">
        <v>273</v>
      </c>
      <c r="M2" s="51" t="s">
        <v>274</v>
      </c>
      <c r="N2" s="56" t="s">
        <v>275</v>
      </c>
      <c r="O2" s="56" t="s">
        <v>276</v>
      </c>
      <c r="P2" s="56" t="s">
        <v>277</v>
      </c>
      <c r="Q2" s="56" t="s">
        <v>278</v>
      </c>
      <c r="R2" s="56" t="s">
        <v>279</v>
      </c>
      <c r="S2" s="56" t="s">
        <v>280</v>
      </c>
      <c r="T2" s="56" t="s">
        <v>281</v>
      </c>
      <c r="U2" s="56" t="s">
        <v>282</v>
      </c>
      <c r="V2" s="51" t="s">
        <v>283</v>
      </c>
      <c r="W2" s="51" t="s">
        <v>284</v>
      </c>
    </row>
    <row r="3" spans="2:27" ht="12" x14ac:dyDescent="0.2">
      <c r="B3" s="57"/>
      <c r="C3" s="57"/>
      <c r="D3" s="58"/>
      <c r="E3" s="58"/>
      <c r="F3" s="216" t="s">
        <v>285</v>
      </c>
      <c r="G3" s="216"/>
      <c r="H3" s="216"/>
      <c r="I3" s="216"/>
      <c r="J3" s="58"/>
      <c r="K3" s="58"/>
      <c r="L3" s="58"/>
      <c r="M3" s="58"/>
      <c r="N3" s="57"/>
      <c r="O3" s="57"/>
      <c r="P3" s="57"/>
      <c r="Q3" s="57"/>
      <c r="R3" s="57"/>
      <c r="S3" s="57"/>
      <c r="T3" s="57"/>
      <c r="U3" s="57"/>
      <c r="V3" s="58"/>
      <c r="W3" s="58"/>
    </row>
    <row r="4" spans="2:27" ht="17.100000000000001" customHeight="1" x14ac:dyDescent="0.3">
      <c r="B4" s="59" t="s">
        <v>1118</v>
      </c>
      <c r="X4" s="54"/>
      <c r="Y4" s="54"/>
      <c r="Z4" s="54"/>
      <c r="AA4" s="54"/>
    </row>
    <row r="5" spans="2:27" ht="17.100000000000001" customHeight="1" x14ac:dyDescent="0.3">
      <c r="B5" s="52" t="s">
        <v>286</v>
      </c>
      <c r="C5" s="52" t="s">
        <v>1102</v>
      </c>
      <c r="D5" s="52" t="s">
        <v>65</v>
      </c>
      <c r="E5" s="52" t="s">
        <v>227</v>
      </c>
      <c r="F5" s="79" t="s">
        <v>287</v>
      </c>
      <c r="G5" s="79" t="s">
        <v>287</v>
      </c>
      <c r="H5" s="79" t="s">
        <v>287</v>
      </c>
      <c r="I5" s="79" t="s">
        <v>287</v>
      </c>
      <c r="J5" s="121" t="s">
        <v>651</v>
      </c>
      <c r="K5" s="81" t="s">
        <v>652</v>
      </c>
      <c r="L5" s="81" t="s">
        <v>653</v>
      </c>
      <c r="M5" s="81" t="s">
        <v>654</v>
      </c>
      <c r="N5" s="78" t="s">
        <v>681</v>
      </c>
      <c r="O5" s="81" t="s">
        <v>682</v>
      </c>
      <c r="P5" s="78" t="s">
        <v>656</v>
      </c>
      <c r="Q5" s="78" t="s">
        <v>657</v>
      </c>
      <c r="R5" s="78" t="s">
        <v>658</v>
      </c>
      <c r="S5" s="217" t="s">
        <v>1227</v>
      </c>
      <c r="T5" s="218"/>
      <c r="U5" s="219"/>
      <c r="V5" s="60"/>
      <c r="W5" s="52" t="str">
        <f t="shared" ref="W5:W15" si="0">_xlfn.CONCAT("0x",BIN2HEX(MID(V5,1,4),1),BIN2HEX(MID(V5,6,4),1),BIN2HEX(MID(V5,11,4),1))</f>
        <v>0x000</v>
      </c>
      <c r="X5" s="54"/>
      <c r="Y5" s="54"/>
      <c r="Z5" s="54"/>
      <c r="AA5" s="54"/>
    </row>
    <row r="6" spans="2:27" ht="17.100000000000001" customHeight="1" x14ac:dyDescent="0.3">
      <c r="B6" s="52" t="s">
        <v>288</v>
      </c>
      <c r="C6" s="52" t="s">
        <v>1103</v>
      </c>
      <c r="D6" s="52" t="s">
        <v>65</v>
      </c>
      <c r="E6" s="52" t="s">
        <v>227</v>
      </c>
      <c r="F6" s="79" t="s">
        <v>287</v>
      </c>
      <c r="G6" s="79" t="s">
        <v>287</v>
      </c>
      <c r="H6" s="79" t="s">
        <v>287</v>
      </c>
      <c r="I6" s="79" t="s">
        <v>287</v>
      </c>
      <c r="J6" s="81" t="s">
        <v>1025</v>
      </c>
      <c r="K6" s="81" t="s">
        <v>1150</v>
      </c>
      <c r="L6" s="81" t="s">
        <v>1151</v>
      </c>
      <c r="M6" s="109" t="s">
        <v>1023</v>
      </c>
      <c r="N6" s="81" t="s">
        <v>659</v>
      </c>
      <c r="O6" s="81" t="s">
        <v>660</v>
      </c>
      <c r="P6" s="78" t="s">
        <v>661</v>
      </c>
      <c r="Q6" s="78" t="s">
        <v>662</v>
      </c>
      <c r="R6" s="78" t="s">
        <v>663</v>
      </c>
      <c r="S6" s="80" t="s">
        <v>664</v>
      </c>
      <c r="T6" s="107" t="s">
        <v>801</v>
      </c>
      <c r="U6" s="78" t="s">
        <v>667</v>
      </c>
      <c r="V6" s="60"/>
      <c r="W6" s="52" t="str">
        <f t="shared" si="0"/>
        <v>0x000</v>
      </c>
      <c r="X6" s="54"/>
      <c r="Y6" s="54"/>
      <c r="Z6" s="54"/>
      <c r="AA6" s="54"/>
    </row>
    <row r="7" spans="2:27" ht="17.100000000000001" customHeight="1" x14ac:dyDescent="0.3">
      <c r="B7" s="52" t="s">
        <v>289</v>
      </c>
      <c r="C7" s="52" t="s">
        <v>1104</v>
      </c>
      <c r="D7" s="52" t="s">
        <v>65</v>
      </c>
      <c r="E7" s="52" t="s">
        <v>227</v>
      </c>
      <c r="F7" s="79" t="s">
        <v>287</v>
      </c>
      <c r="G7" s="79" t="s">
        <v>287</v>
      </c>
      <c r="H7" s="79" t="s">
        <v>287</v>
      </c>
      <c r="I7" s="79" t="s">
        <v>287</v>
      </c>
      <c r="J7" s="78" t="s">
        <v>665</v>
      </c>
      <c r="K7" s="81" t="s">
        <v>666</v>
      </c>
      <c r="L7" s="220" t="s">
        <v>1037</v>
      </c>
      <c r="M7" s="221"/>
      <c r="N7" s="85" t="s">
        <v>796</v>
      </c>
      <c r="O7" s="81" t="s">
        <v>668</v>
      </c>
      <c r="P7" s="220" t="s">
        <v>1038</v>
      </c>
      <c r="Q7" s="221"/>
      <c r="R7" s="220" t="s">
        <v>1039</v>
      </c>
      <c r="S7" s="221"/>
      <c r="T7" s="78" t="s">
        <v>669</v>
      </c>
      <c r="U7" s="81" t="s">
        <v>670</v>
      </c>
      <c r="V7" s="60"/>
      <c r="W7" s="52" t="str">
        <f t="shared" si="0"/>
        <v>0x000</v>
      </c>
      <c r="X7" s="54"/>
      <c r="Y7" s="54"/>
      <c r="Z7" s="54"/>
      <c r="AA7" s="54"/>
    </row>
    <row r="8" spans="2:27" ht="17.100000000000001" customHeight="1" x14ac:dyDescent="0.3">
      <c r="B8" s="52" t="s">
        <v>290</v>
      </c>
      <c r="C8" s="52" t="s">
        <v>1105</v>
      </c>
      <c r="D8" s="52" t="s">
        <v>65</v>
      </c>
      <c r="E8" s="52" t="s">
        <v>227</v>
      </c>
      <c r="F8" s="79" t="s">
        <v>287</v>
      </c>
      <c r="G8" s="79" t="s">
        <v>287</v>
      </c>
      <c r="H8" s="79" t="s">
        <v>287</v>
      </c>
      <c r="I8" s="79" t="s">
        <v>287</v>
      </c>
      <c r="J8" s="220" t="s">
        <v>1040</v>
      </c>
      <c r="K8" s="221"/>
      <c r="L8" s="81" t="s">
        <v>672</v>
      </c>
      <c r="M8" s="81" t="s">
        <v>673</v>
      </c>
      <c r="N8" s="81" t="s">
        <v>671</v>
      </c>
      <c r="O8" s="220" t="s">
        <v>1041</v>
      </c>
      <c r="P8" s="222"/>
      <c r="Q8" s="221"/>
      <c r="R8" s="78" t="s">
        <v>674</v>
      </c>
      <c r="S8" s="217" t="s">
        <v>1042</v>
      </c>
      <c r="T8" s="218"/>
      <c r="U8" s="219"/>
      <c r="V8" s="60"/>
      <c r="W8" s="52" t="str">
        <f t="shared" si="0"/>
        <v>0x000</v>
      </c>
      <c r="X8" s="54"/>
      <c r="Y8" s="54"/>
      <c r="Z8" s="54"/>
      <c r="AA8" s="54"/>
    </row>
    <row r="9" spans="2:27" ht="17.100000000000001" customHeight="1" x14ac:dyDescent="0.3">
      <c r="B9" s="52" t="s">
        <v>291</v>
      </c>
      <c r="C9" s="52" t="s">
        <v>1106</v>
      </c>
      <c r="D9" s="52" t="s">
        <v>65</v>
      </c>
      <c r="E9" s="52" t="s">
        <v>227</v>
      </c>
      <c r="F9" s="79" t="s">
        <v>287</v>
      </c>
      <c r="G9" s="79" t="s">
        <v>287</v>
      </c>
      <c r="H9" s="79" t="s">
        <v>287</v>
      </c>
      <c r="I9" s="79" t="s">
        <v>287</v>
      </c>
      <c r="J9" s="78" t="s">
        <v>785</v>
      </c>
      <c r="K9" s="225" t="s">
        <v>1043</v>
      </c>
      <c r="L9" s="225"/>
      <c r="M9" s="225"/>
      <c r="N9" s="220" t="s">
        <v>1044</v>
      </c>
      <c r="O9" s="221"/>
      <c r="P9" s="81" t="s">
        <v>675</v>
      </c>
      <c r="Q9" s="81" t="s">
        <v>676</v>
      </c>
      <c r="R9" s="78" t="s">
        <v>677</v>
      </c>
      <c r="S9" s="78" t="s">
        <v>678</v>
      </c>
      <c r="T9" s="78" t="s">
        <v>679</v>
      </c>
      <c r="U9" s="78" t="s">
        <v>680</v>
      </c>
      <c r="V9" s="60"/>
      <c r="W9" s="52" t="str">
        <f t="shared" si="0"/>
        <v>0x000</v>
      </c>
      <c r="X9" s="54"/>
      <c r="Y9" s="54"/>
      <c r="Z9" s="54"/>
      <c r="AA9" s="54"/>
    </row>
    <row r="10" spans="2:27" ht="17.100000000000001" customHeight="1" x14ac:dyDescent="0.3">
      <c r="B10" s="52" t="s">
        <v>293</v>
      </c>
      <c r="C10" s="52" t="s">
        <v>1107</v>
      </c>
      <c r="D10" s="52" t="s">
        <v>65</v>
      </c>
      <c r="E10" s="52" t="s">
        <v>227</v>
      </c>
      <c r="F10" s="79" t="s">
        <v>287</v>
      </c>
      <c r="G10" s="79" t="s">
        <v>287</v>
      </c>
      <c r="H10" s="79" t="s">
        <v>287</v>
      </c>
      <c r="I10" s="79" t="s">
        <v>287</v>
      </c>
      <c r="J10" s="78" t="s">
        <v>683</v>
      </c>
      <c r="K10" s="120" t="s">
        <v>1152</v>
      </c>
      <c r="L10" s="78" t="s">
        <v>684</v>
      </c>
      <c r="M10" s="82" t="s">
        <v>685</v>
      </c>
      <c r="N10" s="82" t="s">
        <v>686</v>
      </c>
      <c r="O10" s="78" t="s">
        <v>687</v>
      </c>
      <c r="P10" s="78" t="s">
        <v>688</v>
      </c>
      <c r="Q10" s="225" t="s">
        <v>1045</v>
      </c>
      <c r="R10" s="225"/>
      <c r="S10" s="225"/>
      <c r="T10" s="225"/>
      <c r="U10" s="225"/>
      <c r="V10" s="60"/>
      <c r="W10" s="52" t="str">
        <f t="shared" si="0"/>
        <v>0x000</v>
      </c>
      <c r="X10" s="54"/>
      <c r="Y10" s="54"/>
      <c r="Z10" s="54"/>
      <c r="AA10" s="54"/>
    </row>
    <row r="11" spans="2:27" ht="17.100000000000001" customHeight="1" x14ac:dyDescent="0.3">
      <c r="B11" s="52" t="s">
        <v>295</v>
      </c>
      <c r="C11" s="52" t="s">
        <v>1108</v>
      </c>
      <c r="D11" s="52" t="s">
        <v>65</v>
      </c>
      <c r="E11" s="52" t="s">
        <v>227</v>
      </c>
      <c r="F11" s="79" t="s">
        <v>287</v>
      </c>
      <c r="G11" s="79" t="s">
        <v>287</v>
      </c>
      <c r="H11" s="79" t="s">
        <v>287</v>
      </c>
      <c r="I11" s="79" t="s">
        <v>287</v>
      </c>
      <c r="J11" s="78" t="s">
        <v>690</v>
      </c>
      <c r="K11" s="116" t="s">
        <v>1153</v>
      </c>
      <c r="L11" s="78" t="s">
        <v>691</v>
      </c>
      <c r="M11" s="82" t="s">
        <v>692</v>
      </c>
      <c r="N11" s="82" t="s">
        <v>693</v>
      </c>
      <c r="O11" s="78" t="s">
        <v>694</v>
      </c>
      <c r="P11" s="78" t="s">
        <v>695</v>
      </c>
      <c r="Q11" s="225" t="s">
        <v>1046</v>
      </c>
      <c r="R11" s="225"/>
      <c r="S11" s="225"/>
      <c r="T11" s="225"/>
      <c r="U11" s="225"/>
      <c r="V11" s="60"/>
      <c r="W11" s="52" t="str">
        <f t="shared" si="0"/>
        <v>0x000</v>
      </c>
      <c r="X11" s="54"/>
      <c r="Y11" s="54"/>
      <c r="Z11" s="54"/>
      <c r="AA11" s="54"/>
    </row>
    <row r="12" spans="2:27" ht="17.100000000000001" customHeight="1" x14ac:dyDescent="0.3">
      <c r="B12" s="52" t="s">
        <v>297</v>
      </c>
      <c r="C12" s="52" t="s">
        <v>1109</v>
      </c>
      <c r="D12" s="52" t="s">
        <v>65</v>
      </c>
      <c r="E12" s="52" t="s">
        <v>227</v>
      </c>
      <c r="F12" s="79" t="s">
        <v>287</v>
      </c>
      <c r="G12" s="79" t="s">
        <v>287</v>
      </c>
      <c r="H12" s="79" t="s">
        <v>287</v>
      </c>
      <c r="I12" s="79" t="s">
        <v>287</v>
      </c>
      <c r="J12" s="106" t="s">
        <v>1024</v>
      </c>
      <c r="K12" s="220" t="s">
        <v>1047</v>
      </c>
      <c r="L12" s="222"/>
      <c r="M12" s="221"/>
      <c r="N12" s="47" t="s">
        <v>797</v>
      </c>
      <c r="O12" s="81" t="s">
        <v>798</v>
      </c>
      <c r="P12" s="220" t="s">
        <v>1048</v>
      </c>
      <c r="Q12" s="221"/>
      <c r="R12" s="81" t="s">
        <v>794</v>
      </c>
      <c r="S12" s="81" t="s">
        <v>792</v>
      </c>
      <c r="T12" s="81" t="s">
        <v>795</v>
      </c>
      <c r="U12" s="81" t="s">
        <v>793</v>
      </c>
      <c r="V12" s="60"/>
      <c r="W12" s="52" t="str">
        <f t="shared" si="0"/>
        <v>0x000</v>
      </c>
      <c r="X12" s="54"/>
      <c r="Y12" s="54"/>
      <c r="Z12" s="54"/>
      <c r="AA12" s="54"/>
    </row>
    <row r="13" spans="2:27" ht="17.100000000000001" customHeight="1" x14ac:dyDescent="0.3">
      <c r="B13" s="52" t="s">
        <v>299</v>
      </c>
      <c r="C13" s="52" t="s">
        <v>1110</v>
      </c>
      <c r="D13" s="52" t="s">
        <v>65</v>
      </c>
      <c r="E13" s="52" t="s">
        <v>227</v>
      </c>
      <c r="F13" s="79" t="s">
        <v>287</v>
      </c>
      <c r="G13" s="79" t="s">
        <v>287</v>
      </c>
      <c r="H13" s="79" t="s">
        <v>287</v>
      </c>
      <c r="I13" s="79" t="s">
        <v>287</v>
      </c>
      <c r="J13" s="76" t="s">
        <v>655</v>
      </c>
      <c r="K13" s="76" t="s">
        <v>655</v>
      </c>
      <c r="L13" s="76" t="s">
        <v>655</v>
      </c>
      <c r="M13" s="112" t="s">
        <v>1225</v>
      </c>
      <c r="N13" s="76" t="s">
        <v>655</v>
      </c>
      <c r="O13" s="85" t="s">
        <v>1208</v>
      </c>
      <c r="P13" s="85" t="s">
        <v>1210</v>
      </c>
      <c r="Q13" s="85" t="s">
        <v>1211</v>
      </c>
      <c r="R13" s="220" t="s">
        <v>1099</v>
      </c>
      <c r="S13" s="221"/>
      <c r="T13" s="81" t="s">
        <v>1098</v>
      </c>
      <c r="U13" s="81" t="s">
        <v>1097</v>
      </c>
      <c r="V13" s="60" t="s">
        <v>1095</v>
      </c>
      <c r="W13" s="52" t="str">
        <f t="shared" si="0"/>
        <v>0x000</v>
      </c>
      <c r="X13" s="54"/>
      <c r="Y13" s="54"/>
      <c r="Z13" s="54"/>
      <c r="AA13" s="54"/>
    </row>
    <row r="14" spans="2:27" ht="17.100000000000001" customHeight="1" x14ac:dyDescent="0.3">
      <c r="B14" s="52" t="s">
        <v>301</v>
      </c>
      <c r="C14" s="52" t="s">
        <v>1111</v>
      </c>
      <c r="D14" s="52" t="s">
        <v>65</v>
      </c>
      <c r="E14" s="52" t="s">
        <v>227</v>
      </c>
      <c r="F14" s="79" t="s">
        <v>287</v>
      </c>
      <c r="G14" s="79" t="s">
        <v>287</v>
      </c>
      <c r="H14" s="79" t="s">
        <v>287</v>
      </c>
      <c r="I14" s="79" t="s">
        <v>287</v>
      </c>
      <c r="J14" s="76" t="s">
        <v>655</v>
      </c>
      <c r="K14" s="76" t="s">
        <v>655</v>
      </c>
      <c r="L14" s="76" t="s">
        <v>655</v>
      </c>
      <c r="M14" s="76" t="s">
        <v>655</v>
      </c>
      <c r="N14" s="76" t="s">
        <v>655</v>
      </c>
      <c r="O14" s="76" t="s">
        <v>655</v>
      </c>
      <c r="P14" s="76" t="s">
        <v>655</v>
      </c>
      <c r="Q14" s="76" t="s">
        <v>655</v>
      </c>
      <c r="R14" s="76" t="s">
        <v>655</v>
      </c>
      <c r="S14" s="76" t="s">
        <v>655</v>
      </c>
      <c r="T14" s="76" t="s">
        <v>655</v>
      </c>
      <c r="U14" s="76" t="s">
        <v>655</v>
      </c>
      <c r="V14" s="60" t="s">
        <v>1095</v>
      </c>
      <c r="W14" s="52" t="str">
        <f t="shared" si="0"/>
        <v>0x000</v>
      </c>
      <c r="X14" s="54"/>
      <c r="Y14" s="54"/>
      <c r="Z14" s="54"/>
      <c r="AA14" s="54"/>
    </row>
    <row r="15" spans="2:27" ht="17.100000000000001" customHeight="1" x14ac:dyDescent="0.3">
      <c r="B15" s="52" t="s">
        <v>303</v>
      </c>
      <c r="C15" s="52" t="s">
        <v>1112</v>
      </c>
      <c r="D15" s="52" t="s">
        <v>65</v>
      </c>
      <c r="E15" s="52" t="s">
        <v>227</v>
      </c>
      <c r="F15" s="79" t="s">
        <v>287</v>
      </c>
      <c r="G15" s="79" t="s">
        <v>287</v>
      </c>
      <c r="H15" s="79" t="s">
        <v>287</v>
      </c>
      <c r="I15" s="79" t="s">
        <v>287</v>
      </c>
      <c r="J15" s="76" t="s">
        <v>655</v>
      </c>
      <c r="K15" s="76" t="s">
        <v>655</v>
      </c>
      <c r="L15" s="76" t="s">
        <v>655</v>
      </c>
      <c r="M15" s="76" t="s">
        <v>655</v>
      </c>
      <c r="N15" s="76" t="s">
        <v>655</v>
      </c>
      <c r="O15" s="76" t="s">
        <v>655</v>
      </c>
      <c r="P15" s="76" t="s">
        <v>655</v>
      </c>
      <c r="Q15" s="76" t="s">
        <v>655</v>
      </c>
      <c r="R15" s="76" t="s">
        <v>655</v>
      </c>
      <c r="S15" s="76" t="s">
        <v>655</v>
      </c>
      <c r="T15" s="76" t="s">
        <v>655</v>
      </c>
      <c r="U15" s="76" t="s">
        <v>655</v>
      </c>
      <c r="V15" s="60" t="s">
        <v>1095</v>
      </c>
      <c r="W15" s="52" t="str">
        <f t="shared" si="0"/>
        <v>0x000</v>
      </c>
      <c r="X15" s="54"/>
      <c r="Y15" s="54"/>
      <c r="Z15" s="54"/>
      <c r="AA15" s="54"/>
    </row>
    <row r="16" spans="2:27" ht="17.100000000000001" customHeight="1" x14ac:dyDescent="0.3">
      <c r="B16" s="98"/>
      <c r="C16" s="98"/>
      <c r="D16" s="98"/>
      <c r="E16" s="98"/>
      <c r="F16" s="98"/>
      <c r="G16" s="98"/>
      <c r="H16" s="98"/>
      <c r="I16" s="98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100"/>
      <c r="W16" s="98"/>
      <c r="X16" s="54"/>
      <c r="Y16" s="54"/>
      <c r="Z16" s="54"/>
      <c r="AA16" s="54"/>
    </row>
    <row r="17" spans="2:27" ht="17.100000000000001" customHeight="1" x14ac:dyDescent="0.3">
      <c r="B17" s="101" t="s">
        <v>1119</v>
      </c>
      <c r="C17" s="101"/>
      <c r="D17" s="101"/>
      <c r="E17" s="101"/>
      <c r="F17" s="101"/>
      <c r="G17" s="101"/>
      <c r="H17" s="101"/>
      <c r="I17" s="101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3"/>
      <c r="W17" s="101"/>
      <c r="X17" s="54"/>
      <c r="Y17" s="54"/>
      <c r="Z17" s="54"/>
      <c r="AA17" s="54"/>
    </row>
    <row r="18" spans="2:27" ht="17.100000000000001" customHeight="1" x14ac:dyDescent="0.3">
      <c r="B18" s="52" t="s">
        <v>305</v>
      </c>
      <c r="C18" s="52" t="s">
        <v>1026</v>
      </c>
      <c r="D18" s="52" t="s">
        <v>65</v>
      </c>
      <c r="E18" s="52" t="s">
        <v>227</v>
      </c>
      <c r="F18" s="79" t="s">
        <v>287</v>
      </c>
      <c r="G18" s="79" t="s">
        <v>287</v>
      </c>
      <c r="H18" s="79" t="s">
        <v>287</v>
      </c>
      <c r="I18" s="79" t="s">
        <v>287</v>
      </c>
      <c r="J18" s="207" t="s">
        <v>698</v>
      </c>
      <c r="K18" s="207"/>
      <c r="L18" s="207"/>
      <c r="M18" s="207"/>
      <c r="N18" s="93"/>
      <c r="O18" s="93"/>
      <c r="P18" s="205" t="s">
        <v>1032</v>
      </c>
      <c r="Q18" s="206"/>
      <c r="R18" s="92" t="s">
        <v>1031</v>
      </c>
      <c r="S18" s="117" t="s">
        <v>1199</v>
      </c>
      <c r="T18" s="93"/>
      <c r="U18" s="92" t="s">
        <v>697</v>
      </c>
      <c r="V18" s="94" t="s">
        <v>1092</v>
      </c>
      <c r="W18" s="52" t="str">
        <f>_xlfn.CONCAT("0x",BIN2HEX(MID(V18,1,4),1),BIN2HEX(MID(V18,6,4),1),BIN2HEX(MID(V18,11,4),1))</f>
        <v>0x400</v>
      </c>
      <c r="X18" s="54"/>
      <c r="Y18" s="54"/>
      <c r="Z18" s="54"/>
      <c r="AA18" s="54"/>
    </row>
    <row r="19" spans="2:27" ht="17.100000000000001" customHeight="1" x14ac:dyDescent="0.3">
      <c r="B19" s="52" t="s">
        <v>307</v>
      </c>
      <c r="C19" s="52" t="s">
        <v>1027</v>
      </c>
      <c r="D19" s="52" t="s">
        <v>65</v>
      </c>
      <c r="E19" s="52" t="s">
        <v>227</v>
      </c>
      <c r="F19" s="79" t="s">
        <v>287</v>
      </c>
      <c r="G19" s="79" t="s">
        <v>287</v>
      </c>
      <c r="H19" s="79" t="s">
        <v>287</v>
      </c>
      <c r="I19" s="79" t="s">
        <v>287</v>
      </c>
      <c r="J19" s="223" t="s">
        <v>699</v>
      </c>
      <c r="K19" s="223"/>
      <c r="L19" s="223"/>
      <c r="M19" s="223"/>
      <c r="N19" s="223"/>
      <c r="O19" s="223"/>
      <c r="P19" s="223"/>
      <c r="Q19" s="223"/>
      <c r="R19" s="223"/>
      <c r="S19" s="223"/>
      <c r="T19" s="223"/>
      <c r="U19" s="223"/>
      <c r="V19" s="94" t="s">
        <v>1196</v>
      </c>
      <c r="W19" s="52" t="str">
        <f>_xlfn.CONCAT("0x",BIN2HEX(MID(V19,1,4),1),BIN2HEX(MID(V19,6,4),1),BIN2HEX(MID(V19,11,4),1))</f>
        <v>0x190</v>
      </c>
      <c r="X19" s="54"/>
      <c r="Y19" s="54"/>
      <c r="Z19" s="54"/>
      <c r="AA19" s="54"/>
    </row>
    <row r="20" spans="2:27" ht="17.100000000000001" customHeight="1" x14ac:dyDescent="0.3">
      <c r="B20" s="52" t="s">
        <v>309</v>
      </c>
      <c r="C20" s="52" t="s">
        <v>1028</v>
      </c>
      <c r="D20" s="52" t="s">
        <v>65</v>
      </c>
      <c r="E20" s="52" t="s">
        <v>227</v>
      </c>
      <c r="F20" s="79" t="s">
        <v>287</v>
      </c>
      <c r="G20" s="79" t="s">
        <v>287</v>
      </c>
      <c r="H20" s="79" t="s">
        <v>287</v>
      </c>
      <c r="I20" s="79" t="s">
        <v>287</v>
      </c>
      <c r="J20" s="223" t="s">
        <v>700</v>
      </c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94" t="s">
        <v>1091</v>
      </c>
      <c r="W20" s="52" t="str">
        <f>_xlfn.CONCAT("0x",BIN2HEX(MID(V20,1,4),1),BIN2HEX(MID(V20,6,4),1),BIN2HEX(MID(V20,11,4),1))</f>
        <v>0x5A5</v>
      </c>
      <c r="X20" s="54"/>
      <c r="Y20" s="54"/>
      <c r="Z20" s="54"/>
      <c r="AA20" s="54"/>
    </row>
    <row r="21" spans="2:27" ht="17.100000000000001" customHeight="1" x14ac:dyDescent="0.3">
      <c r="C21" s="54"/>
      <c r="D21" s="54"/>
      <c r="E21" s="54"/>
      <c r="F21" s="54"/>
      <c r="G21" s="54"/>
      <c r="H21" s="54"/>
      <c r="I21" s="5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5"/>
      <c r="W21" s="54"/>
      <c r="X21" s="54"/>
      <c r="Y21" s="54"/>
      <c r="Z21" s="54"/>
      <c r="AA21" s="54"/>
    </row>
    <row r="22" spans="2:27" ht="17.100000000000001" customHeight="1" x14ac:dyDescent="0.3">
      <c r="B22" s="54" t="s">
        <v>1120</v>
      </c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X22" s="54" t="s">
        <v>1090</v>
      </c>
      <c r="Y22" s="54" t="s">
        <v>1034</v>
      </c>
      <c r="Z22" s="54" t="s">
        <v>1033</v>
      </c>
      <c r="AA22" s="54" t="s">
        <v>1035</v>
      </c>
    </row>
    <row r="23" spans="2:27" ht="17.100000000000001" customHeight="1" x14ac:dyDescent="0.3">
      <c r="B23" s="52" t="s">
        <v>311</v>
      </c>
      <c r="C23" s="61" t="s">
        <v>292</v>
      </c>
      <c r="D23" s="61" t="s">
        <v>65</v>
      </c>
      <c r="E23" s="61" t="s">
        <v>227</v>
      </c>
      <c r="F23" s="79" t="s">
        <v>287</v>
      </c>
      <c r="G23" s="79" t="s">
        <v>287</v>
      </c>
      <c r="H23" s="79" t="s">
        <v>287</v>
      </c>
      <c r="I23" s="79" t="s">
        <v>287</v>
      </c>
      <c r="J23" s="210" t="s">
        <v>1124</v>
      </c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2"/>
      <c r="V23" s="60" t="s">
        <v>1095</v>
      </c>
      <c r="W23" s="61" t="str">
        <f t="shared" ref="W23:W39" si="1">_xlfn.CONCAT("0x",BIN2HEX(MID(V23,1,4),1),BIN2HEX(MID(V23,6,4),1),BIN2HEX(MID(V23,11,4),1))</f>
        <v>0x000</v>
      </c>
      <c r="X23" s="54">
        <v>12</v>
      </c>
      <c r="Y23" s="54"/>
      <c r="Z23" s="54"/>
      <c r="AA23" s="54"/>
    </row>
    <row r="24" spans="2:27" ht="17.100000000000001" customHeight="1" x14ac:dyDescent="0.3">
      <c r="B24" s="52" t="s">
        <v>313</v>
      </c>
      <c r="C24" s="61" t="s">
        <v>294</v>
      </c>
      <c r="D24" s="61" t="s">
        <v>65</v>
      </c>
      <c r="E24" s="61" t="s">
        <v>227</v>
      </c>
      <c r="F24" s="79" t="s">
        <v>287</v>
      </c>
      <c r="G24" s="79" t="s">
        <v>287</v>
      </c>
      <c r="H24" s="79" t="s">
        <v>287</v>
      </c>
      <c r="I24" s="79" t="s">
        <v>287</v>
      </c>
      <c r="J24" s="210" t="s">
        <v>1125</v>
      </c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2"/>
      <c r="V24" s="60" t="s">
        <v>1095</v>
      </c>
      <c r="W24" s="61" t="str">
        <f t="shared" si="1"/>
        <v>0x000</v>
      </c>
      <c r="X24" s="54">
        <v>12</v>
      </c>
      <c r="Y24" s="54"/>
      <c r="Z24" s="54"/>
      <c r="AA24" s="54"/>
    </row>
    <row r="25" spans="2:27" ht="17.100000000000001" customHeight="1" x14ac:dyDescent="0.3">
      <c r="B25" s="52" t="s">
        <v>1128</v>
      </c>
      <c r="C25" s="61" t="s">
        <v>296</v>
      </c>
      <c r="D25" s="61" t="s">
        <v>65</v>
      </c>
      <c r="E25" s="61" t="s">
        <v>227</v>
      </c>
      <c r="F25" s="79" t="s">
        <v>287</v>
      </c>
      <c r="G25" s="79" t="s">
        <v>287</v>
      </c>
      <c r="H25" s="79" t="s">
        <v>287</v>
      </c>
      <c r="I25" s="79" t="s">
        <v>287</v>
      </c>
      <c r="J25" s="210" t="s">
        <v>1126</v>
      </c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2"/>
      <c r="V25" s="60" t="s">
        <v>1095</v>
      </c>
      <c r="W25" s="61" t="str">
        <f t="shared" si="1"/>
        <v>0x000</v>
      </c>
      <c r="X25" s="54">
        <v>12</v>
      </c>
      <c r="Y25" s="54"/>
      <c r="Z25" s="54"/>
      <c r="AA25" s="54"/>
    </row>
    <row r="26" spans="2:27" ht="17.100000000000001" customHeight="1" x14ac:dyDescent="0.3">
      <c r="B26" s="52" t="s">
        <v>316</v>
      </c>
      <c r="C26" s="61" t="s">
        <v>298</v>
      </c>
      <c r="D26" s="61" t="s">
        <v>65</v>
      </c>
      <c r="E26" s="61" t="s">
        <v>227</v>
      </c>
      <c r="F26" s="79" t="s">
        <v>287</v>
      </c>
      <c r="G26" s="79" t="s">
        <v>287</v>
      </c>
      <c r="H26" s="79" t="s">
        <v>287</v>
      </c>
      <c r="I26" s="79" t="s">
        <v>287</v>
      </c>
      <c r="J26" s="210" t="s">
        <v>1127</v>
      </c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2"/>
      <c r="V26" s="60" t="s">
        <v>1095</v>
      </c>
      <c r="W26" s="61" t="str">
        <f t="shared" si="1"/>
        <v>0x000</v>
      </c>
      <c r="X26" s="54">
        <v>12</v>
      </c>
      <c r="Y26" s="54"/>
      <c r="Z26" s="54"/>
      <c r="AA26" s="54"/>
    </row>
    <row r="27" spans="2:27" ht="17.100000000000001" customHeight="1" x14ac:dyDescent="0.3">
      <c r="B27" s="52" t="s">
        <v>1130</v>
      </c>
      <c r="C27" s="61" t="s">
        <v>300</v>
      </c>
      <c r="D27" s="61" t="s">
        <v>65</v>
      </c>
      <c r="E27" s="61" t="s">
        <v>227</v>
      </c>
      <c r="F27" s="79" t="s">
        <v>287</v>
      </c>
      <c r="G27" s="79" t="s">
        <v>287</v>
      </c>
      <c r="H27" s="79" t="s">
        <v>287</v>
      </c>
      <c r="I27" s="79" t="s">
        <v>287</v>
      </c>
      <c r="J27" s="213" t="s">
        <v>1049</v>
      </c>
      <c r="K27" s="214"/>
      <c r="L27" s="214"/>
      <c r="M27" s="215"/>
      <c r="N27" s="208" t="s">
        <v>1050</v>
      </c>
      <c r="O27" s="224"/>
      <c r="P27" s="209"/>
      <c r="Q27" s="213" t="s">
        <v>1051</v>
      </c>
      <c r="R27" s="214"/>
      <c r="S27" s="214"/>
      <c r="T27" s="214"/>
      <c r="U27" s="215"/>
      <c r="V27" s="62"/>
      <c r="W27" s="61" t="str">
        <f t="shared" si="1"/>
        <v>0x000</v>
      </c>
      <c r="X27" s="54">
        <v>12</v>
      </c>
      <c r="Y27" s="54"/>
      <c r="Z27" s="54"/>
      <c r="AA27" s="54"/>
    </row>
    <row r="28" spans="2:27" ht="17.100000000000001" customHeight="1" x14ac:dyDescent="0.3">
      <c r="B28" s="52" t="s">
        <v>1129</v>
      </c>
      <c r="C28" s="61" t="s">
        <v>302</v>
      </c>
      <c r="D28" s="61" t="s">
        <v>65</v>
      </c>
      <c r="E28" s="61" t="s">
        <v>227</v>
      </c>
      <c r="F28" s="79" t="s">
        <v>287</v>
      </c>
      <c r="G28" s="79" t="s">
        <v>287</v>
      </c>
      <c r="H28" s="79" t="s">
        <v>287</v>
      </c>
      <c r="I28" s="79" t="s">
        <v>287</v>
      </c>
      <c r="J28" s="213" t="s">
        <v>1052</v>
      </c>
      <c r="K28" s="214"/>
      <c r="L28" s="214"/>
      <c r="M28" s="215"/>
      <c r="N28" s="213" t="s">
        <v>1053</v>
      </c>
      <c r="O28" s="214"/>
      <c r="P28" s="214"/>
      <c r="Q28" s="215"/>
      <c r="R28" s="213" t="s">
        <v>1054</v>
      </c>
      <c r="S28" s="214"/>
      <c r="T28" s="214"/>
      <c r="U28" s="215"/>
      <c r="V28" s="62"/>
      <c r="W28" s="61" t="str">
        <f t="shared" si="1"/>
        <v>0x000</v>
      </c>
      <c r="X28" s="54">
        <v>12</v>
      </c>
      <c r="Y28" s="54"/>
      <c r="Z28" s="54"/>
      <c r="AA28" s="54"/>
    </row>
    <row r="29" spans="2:27" ht="17.100000000000001" customHeight="1" x14ac:dyDescent="0.3">
      <c r="B29" s="52" t="s">
        <v>318</v>
      </c>
      <c r="C29" s="61" t="s">
        <v>304</v>
      </c>
      <c r="D29" s="61" t="s">
        <v>65</v>
      </c>
      <c r="E29" s="61" t="s">
        <v>227</v>
      </c>
      <c r="F29" s="79" t="s">
        <v>287</v>
      </c>
      <c r="G29" s="79" t="s">
        <v>287</v>
      </c>
      <c r="H29" s="79" t="s">
        <v>287</v>
      </c>
      <c r="I29" s="79" t="s">
        <v>287</v>
      </c>
      <c r="J29" s="213" t="s">
        <v>1468</v>
      </c>
      <c r="K29" s="214"/>
      <c r="L29" s="214"/>
      <c r="M29" s="215"/>
      <c r="N29" s="213" t="s">
        <v>1055</v>
      </c>
      <c r="O29" s="214"/>
      <c r="P29" s="214"/>
      <c r="Q29" s="214"/>
      <c r="R29" s="214"/>
      <c r="S29" s="214"/>
      <c r="T29" s="214"/>
      <c r="U29" s="215"/>
      <c r="V29" s="62"/>
      <c r="W29" s="61" t="str">
        <f t="shared" si="1"/>
        <v>0x000</v>
      </c>
      <c r="X29" s="54">
        <v>12</v>
      </c>
      <c r="Y29" s="54"/>
      <c r="Z29" s="54"/>
      <c r="AA29" s="54"/>
    </row>
    <row r="30" spans="2:27" ht="17.100000000000001" customHeight="1" x14ac:dyDescent="0.3">
      <c r="B30" s="118" t="s">
        <v>762</v>
      </c>
      <c r="C30" s="61" t="s">
        <v>306</v>
      </c>
      <c r="D30" s="61" t="s">
        <v>65</v>
      </c>
      <c r="E30" s="61" t="s">
        <v>227</v>
      </c>
      <c r="F30" s="79" t="s">
        <v>287</v>
      </c>
      <c r="G30" s="79" t="s">
        <v>287</v>
      </c>
      <c r="H30" s="79" t="s">
        <v>287</v>
      </c>
      <c r="I30" s="79" t="s">
        <v>287</v>
      </c>
      <c r="J30" s="84" t="s">
        <v>701</v>
      </c>
      <c r="K30" s="213" t="s">
        <v>1056</v>
      </c>
      <c r="L30" s="214"/>
      <c r="M30" s="215"/>
      <c r="N30" s="213" t="s">
        <v>1057</v>
      </c>
      <c r="O30" s="214"/>
      <c r="P30" s="214"/>
      <c r="Q30" s="215"/>
      <c r="R30" s="213" t="s">
        <v>1058</v>
      </c>
      <c r="S30" s="214"/>
      <c r="T30" s="214"/>
      <c r="U30" s="215"/>
      <c r="V30" s="62"/>
      <c r="W30" s="61" t="str">
        <f t="shared" si="1"/>
        <v>0x000</v>
      </c>
      <c r="X30" s="54">
        <v>12</v>
      </c>
      <c r="Y30" s="54">
        <v>1</v>
      </c>
      <c r="Z30" s="54"/>
      <c r="AA30" s="54"/>
    </row>
    <row r="31" spans="2:27" ht="17.100000000000001" customHeight="1" x14ac:dyDescent="0.3">
      <c r="B31" s="118" t="s">
        <v>763</v>
      </c>
      <c r="C31" s="61" t="s">
        <v>308</v>
      </c>
      <c r="D31" s="61" t="s">
        <v>65</v>
      </c>
      <c r="E31" s="61" t="s">
        <v>227</v>
      </c>
      <c r="F31" s="79" t="s">
        <v>287</v>
      </c>
      <c r="G31" s="79" t="s">
        <v>287</v>
      </c>
      <c r="H31" s="79" t="s">
        <v>287</v>
      </c>
      <c r="I31" s="79" t="s">
        <v>287</v>
      </c>
      <c r="J31" s="208" t="s">
        <v>1059</v>
      </c>
      <c r="K31" s="224"/>
      <c r="L31" s="224"/>
      <c r="M31" s="209"/>
      <c r="N31" s="84" t="s">
        <v>701</v>
      </c>
      <c r="O31" s="213" t="s">
        <v>1060</v>
      </c>
      <c r="P31" s="214"/>
      <c r="Q31" s="215"/>
      <c r="R31" s="84" t="s">
        <v>701</v>
      </c>
      <c r="S31" s="213" t="s">
        <v>1061</v>
      </c>
      <c r="T31" s="214"/>
      <c r="U31" s="215"/>
      <c r="V31" s="62"/>
      <c r="W31" s="61" t="str">
        <f t="shared" si="1"/>
        <v>0x000</v>
      </c>
      <c r="X31" s="54">
        <v>12</v>
      </c>
      <c r="Y31" s="54">
        <v>2</v>
      </c>
      <c r="Z31" s="54"/>
      <c r="AA31" s="54"/>
    </row>
    <row r="32" spans="2:27" ht="17.100000000000001" customHeight="1" x14ac:dyDescent="0.3">
      <c r="B32" s="118" t="s">
        <v>764</v>
      </c>
      <c r="C32" s="61" t="s">
        <v>310</v>
      </c>
      <c r="D32" s="61" t="s">
        <v>65</v>
      </c>
      <c r="E32" s="61" t="s">
        <v>227</v>
      </c>
      <c r="F32" s="79" t="s">
        <v>287</v>
      </c>
      <c r="G32" s="79" t="s">
        <v>287</v>
      </c>
      <c r="H32" s="79" t="s">
        <v>287</v>
      </c>
      <c r="I32" s="79" t="s">
        <v>287</v>
      </c>
      <c r="J32" s="213" t="s">
        <v>1062</v>
      </c>
      <c r="K32" s="215"/>
      <c r="L32" s="208" t="s">
        <v>1063</v>
      </c>
      <c r="M32" s="209"/>
      <c r="N32" s="208" t="s">
        <v>1064</v>
      </c>
      <c r="O32" s="209"/>
      <c r="P32" s="208" t="s">
        <v>1065</v>
      </c>
      <c r="Q32" s="209"/>
      <c r="R32" s="84" t="s">
        <v>701</v>
      </c>
      <c r="S32" s="213" t="s">
        <v>1066</v>
      </c>
      <c r="T32" s="214"/>
      <c r="U32" s="215"/>
      <c r="V32" s="62"/>
      <c r="W32" s="61" t="str">
        <f t="shared" si="1"/>
        <v>0x000</v>
      </c>
      <c r="X32" s="54">
        <v>12</v>
      </c>
      <c r="Y32" s="54">
        <v>1</v>
      </c>
      <c r="Z32" s="54"/>
      <c r="AA32" s="54"/>
    </row>
    <row r="33" spans="2:27" ht="17.100000000000001" customHeight="1" x14ac:dyDescent="0.3">
      <c r="B33" s="118" t="s">
        <v>765</v>
      </c>
      <c r="C33" s="61" t="s">
        <v>312</v>
      </c>
      <c r="D33" s="61" t="s">
        <v>65</v>
      </c>
      <c r="E33" s="61" t="s">
        <v>227</v>
      </c>
      <c r="F33" s="79" t="s">
        <v>287</v>
      </c>
      <c r="G33" s="79" t="s">
        <v>287</v>
      </c>
      <c r="H33" s="79" t="s">
        <v>287</v>
      </c>
      <c r="I33" s="79" t="s">
        <v>287</v>
      </c>
      <c r="J33" s="84" t="s">
        <v>701</v>
      </c>
      <c r="K33" s="84" t="s">
        <v>701</v>
      </c>
      <c r="L33" s="84" t="s">
        <v>701</v>
      </c>
      <c r="M33" s="213" t="s">
        <v>1074</v>
      </c>
      <c r="N33" s="214"/>
      <c r="O33" s="214"/>
      <c r="P33" s="214"/>
      <c r="Q33" s="214"/>
      <c r="R33" s="214"/>
      <c r="S33" s="214"/>
      <c r="T33" s="214"/>
      <c r="U33" s="215"/>
      <c r="V33" s="62" t="s">
        <v>1095</v>
      </c>
      <c r="W33" s="61" t="str">
        <f t="shared" si="1"/>
        <v>0x000</v>
      </c>
      <c r="X33" s="54">
        <v>12</v>
      </c>
      <c r="Y33" s="54">
        <v>3</v>
      </c>
      <c r="Z33" s="54"/>
      <c r="AA33" s="54"/>
    </row>
    <row r="34" spans="2:27" ht="17.100000000000001" customHeight="1" x14ac:dyDescent="0.3">
      <c r="B34" s="52" t="s">
        <v>766</v>
      </c>
      <c r="C34" s="61" t="s">
        <v>314</v>
      </c>
      <c r="D34" s="61" t="s">
        <v>65</v>
      </c>
      <c r="E34" s="61" t="s">
        <v>227</v>
      </c>
      <c r="F34" s="79" t="s">
        <v>287</v>
      </c>
      <c r="G34" s="79" t="s">
        <v>287</v>
      </c>
      <c r="H34" s="79" t="s">
        <v>287</v>
      </c>
      <c r="I34" s="79" t="s">
        <v>287</v>
      </c>
      <c r="J34" s="76" t="s">
        <v>1067</v>
      </c>
      <c r="K34" s="76" t="s">
        <v>1068</v>
      </c>
      <c r="L34" s="76" t="s">
        <v>1069</v>
      </c>
      <c r="M34" s="76" t="s">
        <v>1070</v>
      </c>
      <c r="N34" s="76" t="s">
        <v>1071</v>
      </c>
      <c r="O34" s="76" t="s">
        <v>1072</v>
      </c>
      <c r="P34" s="76" t="s">
        <v>1073</v>
      </c>
      <c r="Q34" s="213" t="s">
        <v>1079</v>
      </c>
      <c r="R34" s="214"/>
      <c r="S34" s="214"/>
      <c r="T34" s="214"/>
      <c r="U34" s="215"/>
      <c r="V34" s="95" t="s">
        <v>1101</v>
      </c>
      <c r="W34" s="61" t="str">
        <f t="shared" si="1"/>
        <v>0x010</v>
      </c>
      <c r="X34" s="54">
        <v>12</v>
      </c>
      <c r="Y34" s="54"/>
      <c r="Z34" s="54">
        <v>7</v>
      </c>
      <c r="AA34" s="54"/>
    </row>
    <row r="35" spans="2:27" ht="17.100000000000001" customHeight="1" x14ac:dyDescent="0.3">
      <c r="B35" s="52" t="s">
        <v>767</v>
      </c>
      <c r="C35" s="61" t="s">
        <v>315</v>
      </c>
      <c r="D35" s="61" t="s">
        <v>65</v>
      </c>
      <c r="E35" s="61" t="s">
        <v>227</v>
      </c>
      <c r="F35" s="79" t="s">
        <v>287</v>
      </c>
      <c r="G35" s="79" t="s">
        <v>287</v>
      </c>
      <c r="H35" s="79" t="s">
        <v>287</v>
      </c>
      <c r="I35" s="79" t="s">
        <v>287</v>
      </c>
      <c r="J35" s="213" t="s">
        <v>1080</v>
      </c>
      <c r="K35" s="214"/>
      <c r="L35" s="214"/>
      <c r="M35" s="215"/>
      <c r="N35" s="226" t="s">
        <v>1223</v>
      </c>
      <c r="O35" s="227"/>
      <c r="P35" s="227"/>
      <c r="Q35" s="227"/>
      <c r="R35" s="228"/>
      <c r="S35" s="214" t="s">
        <v>1083</v>
      </c>
      <c r="T35" s="214"/>
      <c r="U35" s="215"/>
      <c r="V35" s="62"/>
      <c r="W35" s="61" t="str">
        <f t="shared" si="1"/>
        <v>0x000</v>
      </c>
      <c r="X35" s="54">
        <v>12</v>
      </c>
      <c r="Y35" s="54">
        <v>1</v>
      </c>
      <c r="Z35" s="54"/>
      <c r="AA35" s="63"/>
    </row>
    <row r="36" spans="2:27" ht="17.100000000000001" customHeight="1" x14ac:dyDescent="0.3">
      <c r="B36" s="118" t="s">
        <v>768</v>
      </c>
      <c r="C36" s="61" t="s">
        <v>702</v>
      </c>
      <c r="D36" s="61" t="s">
        <v>65</v>
      </c>
      <c r="E36" s="61" t="s">
        <v>227</v>
      </c>
      <c r="F36" s="79" t="s">
        <v>287</v>
      </c>
      <c r="G36" s="79" t="s">
        <v>287</v>
      </c>
      <c r="H36" s="79" t="s">
        <v>287</v>
      </c>
      <c r="I36" s="79" t="s">
        <v>287</v>
      </c>
      <c r="J36" s="213" t="s">
        <v>1084</v>
      </c>
      <c r="K36" s="214"/>
      <c r="L36" s="214"/>
      <c r="M36" s="215"/>
      <c r="N36" s="84" t="s">
        <v>701</v>
      </c>
      <c r="O36" s="213" t="s">
        <v>1085</v>
      </c>
      <c r="P36" s="214"/>
      <c r="Q36" s="215"/>
      <c r="R36" s="84" t="s">
        <v>701</v>
      </c>
      <c r="S36" s="213" t="s">
        <v>1086</v>
      </c>
      <c r="T36" s="214"/>
      <c r="U36" s="215"/>
      <c r="V36" s="62"/>
      <c r="W36" s="61" t="str">
        <f t="shared" si="1"/>
        <v>0x000</v>
      </c>
      <c r="X36" s="54">
        <v>12</v>
      </c>
      <c r="Y36" s="54">
        <v>2</v>
      </c>
      <c r="Z36" s="54"/>
      <c r="AA36" s="54"/>
    </row>
    <row r="37" spans="2:27" ht="17.100000000000001" customHeight="1" x14ac:dyDescent="0.3">
      <c r="B37" s="118" t="s">
        <v>769</v>
      </c>
      <c r="C37" s="61" t="s">
        <v>703</v>
      </c>
      <c r="D37" s="61" t="s">
        <v>65</v>
      </c>
      <c r="E37" s="61" t="s">
        <v>227</v>
      </c>
      <c r="F37" s="79" t="s">
        <v>287</v>
      </c>
      <c r="G37" s="79" t="s">
        <v>287</v>
      </c>
      <c r="H37" s="79" t="s">
        <v>287</v>
      </c>
      <c r="I37" s="79" t="s">
        <v>287</v>
      </c>
      <c r="J37" s="84" t="s">
        <v>701</v>
      </c>
      <c r="K37" s="213" t="s">
        <v>1087</v>
      </c>
      <c r="L37" s="214"/>
      <c r="M37" s="215"/>
      <c r="N37" s="108" t="s">
        <v>899</v>
      </c>
      <c r="O37" s="213" t="s">
        <v>645</v>
      </c>
      <c r="P37" s="214"/>
      <c r="Q37" s="215"/>
      <c r="R37" s="84" t="s">
        <v>701</v>
      </c>
      <c r="S37" s="214" t="s">
        <v>1088</v>
      </c>
      <c r="T37" s="214"/>
      <c r="U37" s="215"/>
      <c r="V37" s="62"/>
      <c r="W37" s="61" t="str">
        <f t="shared" si="1"/>
        <v>0x000</v>
      </c>
      <c r="X37" s="54">
        <v>12</v>
      </c>
      <c r="Y37" s="54">
        <v>2</v>
      </c>
      <c r="Z37" s="54"/>
      <c r="AA37" s="54"/>
    </row>
    <row r="38" spans="2:27" ht="17.100000000000001" customHeight="1" x14ac:dyDescent="0.3">
      <c r="B38" s="118" t="s">
        <v>770</v>
      </c>
      <c r="C38" s="61" t="s">
        <v>317</v>
      </c>
      <c r="D38" s="61" t="s">
        <v>65</v>
      </c>
      <c r="E38" s="61" t="s">
        <v>227</v>
      </c>
      <c r="F38" s="79" t="s">
        <v>287</v>
      </c>
      <c r="G38" s="79" t="s">
        <v>287</v>
      </c>
      <c r="H38" s="79" t="s">
        <v>287</v>
      </c>
      <c r="I38" s="79" t="s">
        <v>287</v>
      </c>
      <c r="J38" s="76" t="s">
        <v>1094</v>
      </c>
      <c r="K38" s="76" t="s">
        <v>1222</v>
      </c>
      <c r="L38" s="76" t="s">
        <v>1221</v>
      </c>
      <c r="M38" s="76" t="s">
        <v>1220</v>
      </c>
      <c r="N38" s="76" t="s">
        <v>1219</v>
      </c>
      <c r="O38" s="76" t="s">
        <v>1218</v>
      </c>
      <c r="P38" s="76" t="s">
        <v>1217</v>
      </c>
      <c r="Q38" s="84" t="s">
        <v>701</v>
      </c>
      <c r="R38" s="208" t="s">
        <v>1081</v>
      </c>
      <c r="S38" s="209"/>
      <c r="T38" s="208" t="s">
        <v>1082</v>
      </c>
      <c r="U38" s="209"/>
      <c r="V38" s="62"/>
      <c r="W38" s="61" t="str">
        <f t="shared" si="1"/>
        <v>0x000</v>
      </c>
      <c r="X38" s="54">
        <v>12</v>
      </c>
      <c r="Y38" s="54"/>
      <c r="Z38" s="54">
        <v>8</v>
      </c>
      <c r="AA38" s="54"/>
    </row>
    <row r="39" spans="2:27" ht="17.100000000000001" customHeight="1" x14ac:dyDescent="0.3">
      <c r="B39" s="52" t="s">
        <v>771</v>
      </c>
      <c r="C39" s="61" t="s">
        <v>319</v>
      </c>
      <c r="D39" s="61" t="s">
        <v>65</v>
      </c>
      <c r="E39" s="61" t="s">
        <v>227</v>
      </c>
      <c r="F39" s="79" t="s">
        <v>287</v>
      </c>
      <c r="G39" s="79" t="s">
        <v>287</v>
      </c>
      <c r="H39" s="79" t="s">
        <v>287</v>
      </c>
      <c r="I39" s="79" t="s">
        <v>287</v>
      </c>
      <c r="J39" s="208" t="s">
        <v>1089</v>
      </c>
      <c r="K39" s="224"/>
      <c r="L39" s="224"/>
      <c r="M39" s="224"/>
      <c r="N39" s="224"/>
      <c r="O39" s="224"/>
      <c r="P39" s="224"/>
      <c r="Q39" s="209"/>
      <c r="R39" s="76" t="s">
        <v>1075</v>
      </c>
      <c r="S39" s="76" t="s">
        <v>1076</v>
      </c>
      <c r="T39" s="76" t="s">
        <v>1077</v>
      </c>
      <c r="U39" s="76" t="s">
        <v>1078</v>
      </c>
      <c r="V39" s="60" t="s">
        <v>1095</v>
      </c>
      <c r="W39" s="61" t="str">
        <f t="shared" si="1"/>
        <v>0x000</v>
      </c>
      <c r="X39" s="54">
        <v>12</v>
      </c>
      <c r="Y39" s="54"/>
      <c r="Z39" s="54">
        <v>4</v>
      </c>
      <c r="AA39" s="54"/>
    </row>
    <row r="40" spans="2:27" ht="17.100000000000001" customHeight="1" x14ac:dyDescent="0.3">
      <c r="W40" s="54" t="s">
        <v>1093</v>
      </c>
      <c r="X40" s="91">
        <f>SUM(X23:X39)</f>
        <v>204</v>
      </c>
      <c r="Y40" s="91">
        <f>SUM(Y23:Y39)</f>
        <v>12</v>
      </c>
      <c r="Z40" s="91">
        <f>SUM(Z23:Z39)</f>
        <v>19</v>
      </c>
      <c r="AA40" s="91">
        <f>X40-Y40</f>
        <v>192</v>
      </c>
    </row>
    <row r="41" spans="2:27" ht="17.100000000000001" customHeight="1" x14ac:dyDescent="0.3">
      <c r="W41" s="90"/>
      <c r="X41" s="54"/>
      <c r="Y41" s="54"/>
      <c r="Z41" s="54"/>
      <c r="AA41" s="54"/>
    </row>
    <row r="42" spans="2:27" ht="17.100000000000001" customHeight="1" x14ac:dyDescent="0.3">
      <c r="W42" s="90" t="s">
        <v>1036</v>
      </c>
      <c r="X42" s="91">
        <f>X40/$W$43</f>
        <v>3.1875</v>
      </c>
      <c r="Y42" s="91"/>
      <c r="Z42" s="91"/>
      <c r="AA42" s="91">
        <f>AA40/$W$43</f>
        <v>3</v>
      </c>
    </row>
    <row r="43" spans="2:27" ht="17.100000000000001" customHeight="1" x14ac:dyDescent="0.3">
      <c r="W43" s="54">
        <v>64</v>
      </c>
    </row>
  </sheetData>
  <mergeCells count="56">
    <mergeCell ref="R30:U30"/>
    <mergeCell ref="J31:M31"/>
    <mergeCell ref="O31:Q31"/>
    <mergeCell ref="S31:U31"/>
    <mergeCell ref="J35:M35"/>
    <mergeCell ref="M33:U33"/>
    <mergeCell ref="Q34:U34"/>
    <mergeCell ref="N35:R35"/>
    <mergeCell ref="J39:Q39"/>
    <mergeCell ref="J32:K32"/>
    <mergeCell ref="N30:Q30"/>
    <mergeCell ref="N9:O9"/>
    <mergeCell ref="K9:M9"/>
    <mergeCell ref="Q10:U10"/>
    <mergeCell ref="Q11:U11"/>
    <mergeCell ref="L32:M32"/>
    <mergeCell ref="N32:O32"/>
    <mergeCell ref="P32:Q32"/>
    <mergeCell ref="S32:U32"/>
    <mergeCell ref="N27:P27"/>
    <mergeCell ref="Q27:U27"/>
    <mergeCell ref="J28:M28"/>
    <mergeCell ref="N28:Q28"/>
    <mergeCell ref="R28:U28"/>
    <mergeCell ref="J29:M29"/>
    <mergeCell ref="N29:U29"/>
    <mergeCell ref="K30:M30"/>
    <mergeCell ref="F3:I3"/>
    <mergeCell ref="S5:U5"/>
    <mergeCell ref="R7:S7"/>
    <mergeCell ref="J8:K8"/>
    <mergeCell ref="L7:M7"/>
    <mergeCell ref="P7:Q7"/>
    <mergeCell ref="O8:Q8"/>
    <mergeCell ref="S8:U8"/>
    <mergeCell ref="K12:M12"/>
    <mergeCell ref="P12:Q12"/>
    <mergeCell ref="R13:S13"/>
    <mergeCell ref="J19:U19"/>
    <mergeCell ref="J20:U20"/>
    <mergeCell ref="P18:Q18"/>
    <mergeCell ref="J18:M18"/>
    <mergeCell ref="T38:U38"/>
    <mergeCell ref="R38:S38"/>
    <mergeCell ref="J23:U23"/>
    <mergeCell ref="J24:U24"/>
    <mergeCell ref="J25:U25"/>
    <mergeCell ref="J26:U26"/>
    <mergeCell ref="K37:M37"/>
    <mergeCell ref="O37:Q37"/>
    <mergeCell ref="S37:U37"/>
    <mergeCell ref="J27:M27"/>
    <mergeCell ref="J36:M36"/>
    <mergeCell ref="O36:Q36"/>
    <mergeCell ref="S36:U36"/>
    <mergeCell ref="S35:U35"/>
  </mergeCells>
  <phoneticPr fontId="1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조범철( CHO BEOM CHEOL ) 전원구동반도체팀 / 1628629@mobis.com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9C6F-87E8-4563-B83F-9D7616987054}">
  <dimension ref="B2:S303"/>
  <sheetViews>
    <sheetView topLeftCell="A211" zoomScale="130" zoomScaleNormal="130" workbookViewId="0">
      <selection activeCell="E225" sqref="E225"/>
    </sheetView>
  </sheetViews>
  <sheetFormatPr defaultColWidth="9" defaultRowHeight="11.25" x14ac:dyDescent="0.3"/>
  <cols>
    <col min="1" max="2" width="9" style="4"/>
    <col min="3" max="3" width="14.875" style="4" customWidth="1"/>
    <col min="4" max="4" width="4.125" style="4" customWidth="1"/>
    <col min="5" max="5" width="15.375" style="4" customWidth="1"/>
    <col min="6" max="8" width="8.625" style="4" customWidth="1"/>
    <col min="9" max="9" width="12.375" style="4" bestFit="1" customWidth="1"/>
    <col min="10" max="10" width="11.625" style="4" bestFit="1" customWidth="1"/>
    <col min="11" max="17" width="8.625" style="4" customWidth="1"/>
    <col min="18" max="18" width="9" style="4"/>
    <col min="19" max="19" width="72.375" style="4" hidden="1" customWidth="1"/>
    <col min="20" max="16384" width="9" style="4"/>
  </cols>
  <sheetData>
    <row r="2" spans="5:14" ht="12" thickBot="1" x14ac:dyDescent="0.35"/>
    <row r="3" spans="5:14" ht="12" thickBot="1" x14ac:dyDescent="0.35">
      <c r="E3" s="195" t="s">
        <v>156</v>
      </c>
      <c r="F3" s="196"/>
      <c r="G3" s="196"/>
      <c r="H3" s="196"/>
      <c r="I3" s="196"/>
      <c r="J3" s="196"/>
      <c r="K3" s="196"/>
      <c r="L3" s="196"/>
      <c r="M3" s="196"/>
      <c r="N3" s="197"/>
    </row>
    <row r="4" spans="5:14" x14ac:dyDescent="0.3">
      <c r="E4" s="181"/>
      <c r="F4" s="182"/>
      <c r="G4" s="182"/>
      <c r="H4" s="182"/>
      <c r="I4" s="182"/>
      <c r="J4" s="182"/>
      <c r="K4" s="182"/>
      <c r="L4" s="182"/>
      <c r="M4" s="182"/>
      <c r="N4" s="183"/>
    </row>
    <row r="5" spans="5:14" x14ac:dyDescent="0.3">
      <c r="E5" s="184"/>
      <c r="F5" s="165"/>
      <c r="G5" s="165"/>
      <c r="H5" s="165"/>
      <c r="I5" s="165"/>
      <c r="J5" s="165"/>
      <c r="K5" s="165"/>
      <c r="L5" s="165"/>
      <c r="M5" s="165"/>
      <c r="N5" s="185"/>
    </row>
    <row r="6" spans="5:14" x14ac:dyDescent="0.3">
      <c r="E6" s="184"/>
      <c r="F6" s="165"/>
      <c r="G6" s="165"/>
      <c r="H6" s="165"/>
      <c r="I6" s="165"/>
      <c r="J6" s="165"/>
      <c r="K6" s="165"/>
      <c r="L6" s="165"/>
      <c r="M6" s="165"/>
      <c r="N6" s="185"/>
    </row>
    <row r="7" spans="5:14" ht="12" thickBot="1" x14ac:dyDescent="0.35">
      <c r="E7" s="200"/>
      <c r="F7" s="201"/>
      <c r="G7" s="201"/>
      <c r="H7" s="201"/>
      <c r="I7" s="201"/>
      <c r="J7" s="201"/>
      <c r="K7" s="201"/>
      <c r="L7" s="201"/>
      <c r="M7" s="201"/>
      <c r="N7" s="202"/>
    </row>
    <row r="8" spans="5:14" ht="12" thickBot="1" x14ac:dyDescent="0.35"/>
    <row r="9" spans="5:14" ht="12" thickBot="1" x14ac:dyDescent="0.35">
      <c r="E9" s="189" t="s">
        <v>157</v>
      </c>
      <c r="F9" s="190"/>
      <c r="G9" s="190"/>
      <c r="H9" s="190"/>
      <c r="I9" s="190"/>
      <c r="J9" s="190"/>
      <c r="K9" s="190"/>
      <c r="L9" s="190"/>
      <c r="M9" s="190"/>
      <c r="N9" s="191"/>
    </row>
    <row r="10" spans="5:14" ht="12.75" x14ac:dyDescent="0.3">
      <c r="E10" s="192" t="s">
        <v>158</v>
      </c>
      <c r="F10" s="193"/>
      <c r="G10" s="193"/>
      <c r="H10" s="193"/>
      <c r="I10" s="193"/>
      <c r="J10" s="193"/>
      <c r="K10" s="193"/>
      <c r="L10" s="193"/>
      <c r="M10" s="193"/>
      <c r="N10" s="194"/>
    </row>
    <row r="11" spans="5:14" ht="12" thickBot="1" x14ac:dyDescent="0.35">
      <c r="E11" s="200" t="s">
        <v>159</v>
      </c>
      <c r="F11" s="201"/>
      <c r="G11" s="201"/>
      <c r="H11" s="201"/>
      <c r="I11" s="201"/>
      <c r="J11" s="201"/>
      <c r="K11" s="201"/>
      <c r="L11" s="201"/>
      <c r="M11" s="201"/>
      <c r="N11" s="202"/>
    </row>
    <row r="12" spans="5:14" ht="12" thickBot="1" x14ac:dyDescent="0.35"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spans="5:14" ht="12" thickBot="1" x14ac:dyDescent="0.35">
      <c r="E13" s="189" t="s">
        <v>160</v>
      </c>
      <c r="F13" s="190"/>
      <c r="G13" s="190"/>
      <c r="H13" s="190"/>
      <c r="I13" s="190"/>
      <c r="J13" s="190"/>
      <c r="K13" s="190"/>
      <c r="L13" s="190"/>
      <c r="M13" s="190"/>
      <c r="N13" s="191"/>
    </row>
    <row r="14" spans="5:14" x14ac:dyDescent="0.3">
      <c r="E14" s="192" t="s">
        <v>161</v>
      </c>
      <c r="F14" s="193"/>
      <c r="G14" s="193"/>
      <c r="H14" s="193"/>
      <c r="I14" s="193"/>
      <c r="J14" s="193"/>
      <c r="K14" s="193"/>
      <c r="L14" s="193"/>
      <c r="M14" s="193"/>
      <c r="N14" s="194"/>
    </row>
    <row r="15" spans="5:14" x14ac:dyDescent="0.3">
      <c r="E15" s="184"/>
      <c r="F15" s="165"/>
      <c r="G15" s="165"/>
      <c r="H15" s="165"/>
      <c r="I15" s="165"/>
      <c r="J15" s="165"/>
      <c r="K15" s="165"/>
      <c r="L15" s="165"/>
      <c r="M15" s="165"/>
      <c r="N15" s="185"/>
    </row>
    <row r="16" spans="5:14" x14ac:dyDescent="0.3">
      <c r="E16" s="184"/>
      <c r="F16" s="165"/>
      <c r="G16" s="165"/>
      <c r="H16" s="165"/>
      <c r="I16" s="165"/>
      <c r="J16" s="165"/>
      <c r="K16" s="165"/>
      <c r="L16" s="165"/>
      <c r="M16" s="165"/>
      <c r="N16" s="185"/>
    </row>
    <row r="17" spans="2:19" ht="12" thickBot="1" x14ac:dyDescent="0.35">
      <c r="E17" s="200"/>
      <c r="F17" s="201"/>
      <c r="G17" s="201"/>
      <c r="H17" s="201"/>
      <c r="I17" s="201"/>
      <c r="J17" s="201"/>
      <c r="K17" s="201"/>
      <c r="L17" s="201"/>
      <c r="M17" s="201"/>
      <c r="N17" s="202"/>
    </row>
    <row r="18" spans="2:19" x14ac:dyDescent="0.3"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2:19" x14ac:dyDescent="0.3">
      <c r="G19" s="198"/>
      <c r="H19" s="198"/>
      <c r="I19" s="199"/>
      <c r="J19" s="199"/>
      <c r="K19" s="199"/>
      <c r="L19" s="199"/>
      <c r="M19" s="199"/>
      <c r="N19" s="199"/>
    </row>
    <row r="20" spans="2:19" x14ac:dyDescent="0.3">
      <c r="B20" s="5" t="s">
        <v>41</v>
      </c>
      <c r="C20" s="5" t="s">
        <v>42</v>
      </c>
      <c r="E20" s="6"/>
      <c r="F20" s="6" t="s">
        <v>43</v>
      </c>
      <c r="G20" s="6" t="s">
        <v>44</v>
      </c>
      <c r="H20" s="6" t="s">
        <v>45</v>
      </c>
      <c r="I20" s="6" t="s">
        <v>46</v>
      </c>
      <c r="J20" s="6" t="s">
        <v>47</v>
      </c>
      <c r="K20" s="6" t="s">
        <v>48</v>
      </c>
      <c r="L20" s="6" t="s">
        <v>49</v>
      </c>
      <c r="M20" s="6" t="s">
        <v>50</v>
      </c>
      <c r="N20" s="6" t="s">
        <v>51</v>
      </c>
      <c r="O20" s="6" t="s">
        <v>52</v>
      </c>
      <c r="P20" s="6" t="s">
        <v>53</v>
      </c>
      <c r="Q20" s="6" t="s">
        <v>54</v>
      </c>
      <c r="S20" s="4" t="s">
        <v>162</v>
      </c>
    </row>
    <row r="21" spans="2:19" ht="30" customHeight="1" x14ac:dyDescent="0.3">
      <c r="B21" s="52" t="s">
        <v>286</v>
      </c>
      <c r="C21" s="52" t="s">
        <v>1102</v>
      </c>
      <c r="E21" s="6" t="s">
        <v>164</v>
      </c>
      <c r="F21" s="96" t="s">
        <v>651</v>
      </c>
      <c r="G21" s="96" t="s">
        <v>652</v>
      </c>
      <c r="H21" s="96" t="s">
        <v>653</v>
      </c>
      <c r="I21" s="96" t="s">
        <v>654</v>
      </c>
      <c r="J21" s="126" t="s">
        <v>681</v>
      </c>
      <c r="K21" s="96" t="s">
        <v>682</v>
      </c>
      <c r="L21" s="126" t="s">
        <v>656</v>
      </c>
      <c r="M21" s="126" t="s">
        <v>657</v>
      </c>
      <c r="N21" s="126" t="s">
        <v>658</v>
      </c>
      <c r="O21" s="246" t="s">
        <v>1227</v>
      </c>
      <c r="P21" s="247"/>
      <c r="Q21" s="248"/>
    </row>
    <row r="22" spans="2:19" ht="12" customHeight="1" x14ac:dyDescent="0.3">
      <c r="E22" s="6" t="s">
        <v>165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</row>
    <row r="23" spans="2:19" x14ac:dyDescent="0.3">
      <c r="E23" s="6" t="s">
        <v>157</v>
      </c>
      <c r="F23" s="172" t="s">
        <v>166</v>
      </c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4"/>
    </row>
    <row r="24" spans="2:19" ht="9.75" customHeight="1" x14ac:dyDescent="0.3">
      <c r="E24" s="6" t="s">
        <v>167</v>
      </c>
      <c r="F24" s="111" t="s">
        <v>227</v>
      </c>
      <c r="G24" s="111" t="s">
        <v>227</v>
      </c>
      <c r="H24" s="111" t="s">
        <v>227</v>
      </c>
      <c r="I24" s="111" t="s">
        <v>227</v>
      </c>
      <c r="J24" s="111" t="s">
        <v>227</v>
      </c>
      <c r="K24" s="111" t="s">
        <v>227</v>
      </c>
      <c r="L24" s="111" t="s">
        <v>227</v>
      </c>
      <c r="M24" s="111" t="s">
        <v>227</v>
      </c>
      <c r="N24" s="111" t="s">
        <v>227</v>
      </c>
      <c r="O24" s="111" t="s">
        <v>227</v>
      </c>
      <c r="P24" s="111" t="s">
        <v>227</v>
      </c>
      <c r="Q24" s="111" t="s">
        <v>227</v>
      </c>
    </row>
    <row r="25" spans="2:19" x14ac:dyDescent="0.3">
      <c r="E25" s="203" t="s">
        <v>169</v>
      </c>
      <c r="F25" s="249" t="s">
        <v>651</v>
      </c>
      <c r="G25" s="249"/>
      <c r="H25" s="251" t="s">
        <v>1237</v>
      </c>
      <c r="I25" s="250"/>
      <c r="J25" s="250"/>
      <c r="K25" s="250"/>
      <c r="L25" s="250"/>
      <c r="M25" s="250"/>
      <c r="N25" s="250"/>
      <c r="O25" s="250"/>
      <c r="P25" s="250"/>
      <c r="Q25" s="250"/>
    </row>
    <row r="26" spans="2:19" x14ac:dyDescent="0.3">
      <c r="E26" s="203"/>
      <c r="F26" s="249" t="s">
        <v>1228</v>
      </c>
      <c r="G26" s="249"/>
      <c r="H26" s="251" t="s">
        <v>1238</v>
      </c>
      <c r="I26" s="250"/>
      <c r="J26" s="250"/>
      <c r="K26" s="250"/>
      <c r="L26" s="250"/>
      <c r="M26" s="250"/>
      <c r="N26" s="250"/>
      <c r="O26" s="250"/>
      <c r="P26" s="250"/>
      <c r="Q26" s="250"/>
    </row>
    <row r="27" spans="2:19" x14ac:dyDescent="0.3">
      <c r="E27" s="203"/>
      <c r="F27" s="249" t="s">
        <v>1229</v>
      </c>
      <c r="G27" s="249"/>
      <c r="H27" s="251" t="s">
        <v>1239</v>
      </c>
      <c r="I27" s="250"/>
      <c r="J27" s="250"/>
      <c r="K27" s="250"/>
      <c r="L27" s="250"/>
      <c r="M27" s="250"/>
      <c r="N27" s="250"/>
      <c r="O27" s="250"/>
      <c r="P27" s="250"/>
      <c r="Q27" s="250"/>
    </row>
    <row r="28" spans="2:19" x14ac:dyDescent="0.3">
      <c r="E28" s="203"/>
      <c r="F28" s="249" t="s">
        <v>1230</v>
      </c>
      <c r="G28" s="249"/>
      <c r="H28" s="251" t="s">
        <v>1240</v>
      </c>
      <c r="I28" s="250"/>
      <c r="J28" s="250"/>
      <c r="K28" s="250"/>
      <c r="L28" s="250"/>
      <c r="M28" s="250"/>
      <c r="N28" s="250"/>
      <c r="O28" s="250"/>
      <c r="P28" s="250"/>
      <c r="Q28" s="250"/>
    </row>
    <row r="29" spans="2:19" x14ac:dyDescent="0.3">
      <c r="E29" s="203"/>
      <c r="F29" s="249" t="s">
        <v>1231</v>
      </c>
      <c r="G29" s="249"/>
      <c r="H29" s="251" t="s">
        <v>1241</v>
      </c>
      <c r="I29" s="250"/>
      <c r="J29" s="250"/>
      <c r="K29" s="250"/>
      <c r="L29" s="250"/>
      <c r="M29" s="250"/>
      <c r="N29" s="250"/>
      <c r="O29" s="250"/>
      <c r="P29" s="250"/>
      <c r="Q29" s="250"/>
    </row>
    <row r="30" spans="2:19" x14ac:dyDescent="0.3">
      <c r="E30" s="203"/>
      <c r="F30" s="249" t="s">
        <v>1232</v>
      </c>
      <c r="G30" s="249"/>
      <c r="H30" s="251" t="s">
        <v>1242</v>
      </c>
      <c r="I30" s="250"/>
      <c r="J30" s="250"/>
      <c r="K30" s="250"/>
      <c r="L30" s="250"/>
      <c r="M30" s="250"/>
      <c r="N30" s="250"/>
      <c r="O30" s="250"/>
      <c r="P30" s="250"/>
      <c r="Q30" s="250"/>
    </row>
    <row r="31" spans="2:19" x14ac:dyDescent="0.3">
      <c r="E31" s="203"/>
      <c r="F31" s="249" t="s">
        <v>1233</v>
      </c>
      <c r="G31" s="249"/>
      <c r="H31" s="250" t="s">
        <v>1245</v>
      </c>
      <c r="I31" s="250"/>
      <c r="J31" s="250"/>
      <c r="K31" s="250"/>
      <c r="L31" s="250"/>
      <c r="M31" s="250"/>
      <c r="N31" s="250"/>
      <c r="O31" s="250"/>
      <c r="P31" s="250"/>
      <c r="Q31" s="250"/>
    </row>
    <row r="32" spans="2:19" x14ac:dyDescent="0.3">
      <c r="E32" s="203"/>
      <c r="F32" s="249" t="s">
        <v>1234</v>
      </c>
      <c r="G32" s="249"/>
      <c r="H32" s="250" t="s">
        <v>1246</v>
      </c>
      <c r="I32" s="250"/>
      <c r="J32" s="250"/>
      <c r="K32" s="250"/>
      <c r="L32" s="250"/>
      <c r="M32" s="250"/>
      <c r="N32" s="250"/>
      <c r="O32" s="250"/>
      <c r="P32" s="250"/>
      <c r="Q32" s="250"/>
    </row>
    <row r="33" spans="2:17" x14ac:dyDescent="0.3">
      <c r="E33" s="203"/>
      <c r="F33" s="249" t="s">
        <v>1235</v>
      </c>
      <c r="G33" s="249"/>
      <c r="H33" s="251" t="s">
        <v>1243</v>
      </c>
      <c r="I33" s="250"/>
      <c r="J33" s="250"/>
      <c r="K33" s="250"/>
      <c r="L33" s="250"/>
      <c r="M33" s="250"/>
      <c r="N33" s="250"/>
      <c r="O33" s="250"/>
      <c r="P33" s="250"/>
      <c r="Q33" s="250"/>
    </row>
    <row r="34" spans="2:17" ht="112.5" customHeight="1" x14ac:dyDescent="0.3">
      <c r="E34" s="203"/>
      <c r="F34" s="249" t="s">
        <v>1236</v>
      </c>
      <c r="G34" s="249"/>
      <c r="H34" s="251" t="s">
        <v>1244</v>
      </c>
      <c r="I34" s="250"/>
      <c r="J34" s="250"/>
      <c r="K34" s="250"/>
      <c r="L34" s="250"/>
      <c r="M34" s="250"/>
      <c r="N34" s="250"/>
      <c r="O34" s="250"/>
      <c r="P34" s="250"/>
      <c r="Q34" s="250"/>
    </row>
    <row r="36" spans="2:17" x14ac:dyDescent="0.3">
      <c r="B36" s="5" t="s">
        <v>41</v>
      </c>
      <c r="C36" s="5" t="s">
        <v>42</v>
      </c>
      <c r="E36" s="6"/>
      <c r="F36" s="6" t="s">
        <v>43</v>
      </c>
      <c r="G36" s="6" t="s">
        <v>44</v>
      </c>
      <c r="H36" s="6" t="s">
        <v>45</v>
      </c>
      <c r="I36" s="6" t="s">
        <v>46</v>
      </c>
      <c r="J36" s="6" t="s">
        <v>47</v>
      </c>
      <c r="K36" s="6" t="s">
        <v>48</v>
      </c>
      <c r="L36" s="6" t="s">
        <v>49</v>
      </c>
      <c r="M36" s="6" t="s">
        <v>50</v>
      </c>
      <c r="N36" s="6" t="s">
        <v>51</v>
      </c>
      <c r="O36" s="6" t="s">
        <v>52</v>
      </c>
      <c r="P36" s="6" t="s">
        <v>53</v>
      </c>
      <c r="Q36" s="6" t="s">
        <v>54</v>
      </c>
    </row>
    <row r="37" spans="2:17" ht="30" customHeight="1" x14ac:dyDescent="0.3">
      <c r="B37" s="52" t="s">
        <v>288</v>
      </c>
      <c r="C37" s="52" t="s">
        <v>1103</v>
      </c>
      <c r="E37" s="6" t="s">
        <v>164</v>
      </c>
      <c r="F37" s="96" t="s">
        <v>1025</v>
      </c>
      <c r="G37" s="96" t="s">
        <v>1150</v>
      </c>
      <c r="H37" s="96" t="s">
        <v>1151</v>
      </c>
      <c r="I37" s="136" t="s">
        <v>1023</v>
      </c>
      <c r="J37" s="96" t="s">
        <v>659</v>
      </c>
      <c r="K37" s="96" t="s">
        <v>660</v>
      </c>
      <c r="L37" s="126" t="s">
        <v>661</v>
      </c>
      <c r="M37" s="126" t="s">
        <v>662</v>
      </c>
      <c r="N37" s="126" t="s">
        <v>663</v>
      </c>
      <c r="O37" s="126" t="s">
        <v>664</v>
      </c>
      <c r="P37" s="127" t="s">
        <v>801</v>
      </c>
      <c r="Q37" s="126" t="s">
        <v>667</v>
      </c>
    </row>
    <row r="38" spans="2:17" x14ac:dyDescent="0.3">
      <c r="E38" s="6" t="s">
        <v>165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</row>
    <row r="39" spans="2:17" x14ac:dyDescent="0.3">
      <c r="E39" s="6" t="s">
        <v>157</v>
      </c>
      <c r="F39" s="172" t="s">
        <v>166</v>
      </c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4"/>
    </row>
    <row r="40" spans="2:17" ht="11.25" customHeight="1" x14ac:dyDescent="0.3">
      <c r="E40" s="6" t="s">
        <v>167</v>
      </c>
      <c r="F40" s="111" t="s">
        <v>227</v>
      </c>
      <c r="G40" s="111" t="s">
        <v>227</v>
      </c>
      <c r="H40" s="111" t="s">
        <v>227</v>
      </c>
      <c r="I40" s="111" t="s">
        <v>227</v>
      </c>
      <c r="J40" s="111" t="s">
        <v>227</v>
      </c>
      <c r="K40" s="111" t="s">
        <v>227</v>
      </c>
      <c r="L40" s="111" t="s">
        <v>227</v>
      </c>
      <c r="M40" s="111" t="s">
        <v>227</v>
      </c>
      <c r="N40" s="111" t="s">
        <v>227</v>
      </c>
      <c r="O40" s="111" t="s">
        <v>227</v>
      </c>
      <c r="P40" s="111" t="s">
        <v>227</v>
      </c>
      <c r="Q40" s="111" t="s">
        <v>227</v>
      </c>
    </row>
    <row r="41" spans="2:17" ht="13.5" customHeight="1" x14ac:dyDescent="0.3">
      <c r="E41" s="203" t="s">
        <v>169</v>
      </c>
      <c r="F41" s="164" t="s">
        <v>1247</v>
      </c>
      <c r="G41" s="164"/>
      <c r="H41" s="175" t="s">
        <v>1275</v>
      </c>
      <c r="I41" s="165"/>
      <c r="J41" s="165"/>
      <c r="K41" s="165"/>
      <c r="L41" s="165"/>
      <c r="M41" s="165"/>
      <c r="N41" s="165"/>
      <c r="O41" s="165"/>
      <c r="P41" s="165"/>
      <c r="Q41" s="165"/>
    </row>
    <row r="42" spans="2:17" ht="22.5" customHeight="1" x14ac:dyDescent="0.3">
      <c r="E42" s="203"/>
      <c r="F42" s="164" t="s">
        <v>1248</v>
      </c>
      <c r="G42" s="164"/>
      <c r="H42" s="171" t="s">
        <v>1429</v>
      </c>
      <c r="I42" s="165"/>
      <c r="J42" s="165"/>
      <c r="K42" s="165"/>
      <c r="L42" s="165"/>
      <c r="M42" s="165"/>
      <c r="N42" s="165"/>
      <c r="O42" s="165"/>
      <c r="P42" s="165"/>
      <c r="Q42" s="165"/>
    </row>
    <row r="43" spans="2:17" x14ac:dyDescent="0.3">
      <c r="E43" s="203"/>
      <c r="F43" s="164" t="s">
        <v>1249</v>
      </c>
      <c r="G43" s="164"/>
      <c r="H43" s="175" t="s">
        <v>1430</v>
      </c>
      <c r="I43" s="165"/>
      <c r="J43" s="165"/>
      <c r="K43" s="165"/>
      <c r="L43" s="165"/>
      <c r="M43" s="165"/>
      <c r="N43" s="165"/>
      <c r="O43" s="165"/>
      <c r="P43" s="165"/>
      <c r="Q43" s="165"/>
    </row>
    <row r="44" spans="2:17" x14ac:dyDescent="0.3">
      <c r="E44" s="203"/>
      <c r="F44" s="164" t="s">
        <v>1250</v>
      </c>
      <c r="G44" s="164"/>
      <c r="H44" s="165" t="s">
        <v>1334</v>
      </c>
      <c r="I44" s="165"/>
      <c r="J44" s="165"/>
      <c r="K44" s="165"/>
      <c r="L44" s="165"/>
      <c r="M44" s="165"/>
      <c r="N44" s="165"/>
      <c r="O44" s="165"/>
      <c r="P44" s="165"/>
      <c r="Q44" s="165"/>
    </row>
    <row r="45" spans="2:17" x14ac:dyDescent="0.3">
      <c r="E45" s="203"/>
      <c r="F45" s="164" t="s">
        <v>659</v>
      </c>
      <c r="G45" s="164"/>
      <c r="H45" s="165" t="s">
        <v>1431</v>
      </c>
      <c r="I45" s="165"/>
      <c r="J45" s="165"/>
      <c r="K45" s="165"/>
      <c r="L45" s="165"/>
      <c r="M45" s="165"/>
      <c r="N45" s="165"/>
      <c r="O45" s="165"/>
      <c r="P45" s="165"/>
      <c r="Q45" s="165"/>
    </row>
    <row r="46" spans="2:17" x14ac:dyDescent="0.3">
      <c r="E46" s="203"/>
      <c r="F46" s="164" t="s">
        <v>1251</v>
      </c>
      <c r="G46" s="164"/>
      <c r="H46" s="165" t="s">
        <v>1335</v>
      </c>
      <c r="I46" s="165"/>
      <c r="J46" s="165"/>
      <c r="K46" s="165"/>
      <c r="L46" s="165"/>
      <c r="M46" s="165"/>
      <c r="N46" s="165"/>
      <c r="O46" s="165"/>
      <c r="P46" s="165"/>
      <c r="Q46" s="165"/>
    </row>
    <row r="47" spans="2:17" x14ac:dyDescent="0.3">
      <c r="E47" s="203"/>
      <c r="F47" s="159" t="s">
        <v>1252</v>
      </c>
      <c r="G47" s="160"/>
      <c r="H47" s="165" t="s">
        <v>1346</v>
      </c>
      <c r="I47" s="165"/>
      <c r="J47" s="165"/>
      <c r="K47" s="165"/>
      <c r="L47" s="165"/>
      <c r="M47" s="165"/>
      <c r="N47" s="165"/>
      <c r="O47" s="165"/>
      <c r="P47" s="165"/>
      <c r="Q47" s="165"/>
    </row>
    <row r="48" spans="2:17" x14ac:dyDescent="0.3">
      <c r="E48" s="203"/>
      <c r="F48" s="164" t="s">
        <v>1253</v>
      </c>
      <c r="G48" s="164"/>
      <c r="H48" s="165" t="s">
        <v>1336</v>
      </c>
      <c r="I48" s="165"/>
      <c r="J48" s="165"/>
      <c r="K48" s="165"/>
      <c r="L48" s="165"/>
      <c r="M48" s="165"/>
      <c r="N48" s="165"/>
      <c r="O48" s="165"/>
      <c r="P48" s="165"/>
      <c r="Q48" s="165"/>
    </row>
    <row r="49" spans="2:17" x14ac:dyDescent="0.3">
      <c r="E49" s="203"/>
      <c r="F49" s="164" t="s">
        <v>1254</v>
      </c>
      <c r="G49" s="164"/>
      <c r="H49" s="165" t="s">
        <v>1337</v>
      </c>
      <c r="I49" s="165"/>
      <c r="J49" s="165"/>
      <c r="K49" s="165"/>
      <c r="L49" s="165"/>
      <c r="M49" s="165"/>
      <c r="N49" s="165"/>
      <c r="O49" s="165"/>
      <c r="P49" s="165"/>
      <c r="Q49" s="165"/>
    </row>
    <row r="50" spans="2:17" x14ac:dyDescent="0.3">
      <c r="E50" s="203"/>
      <c r="F50" s="164" t="s">
        <v>1255</v>
      </c>
      <c r="G50" s="164"/>
      <c r="H50" s="170" t="s">
        <v>1347</v>
      </c>
      <c r="I50" s="162"/>
      <c r="J50" s="162"/>
      <c r="K50" s="162"/>
      <c r="L50" s="162"/>
      <c r="M50" s="162"/>
      <c r="N50" s="162"/>
      <c r="O50" s="162"/>
      <c r="P50" s="162"/>
      <c r="Q50" s="163"/>
    </row>
    <row r="51" spans="2:17" x14ac:dyDescent="0.3">
      <c r="E51" s="203"/>
      <c r="F51" s="164" t="s">
        <v>1256</v>
      </c>
      <c r="G51" s="164"/>
      <c r="H51" s="165" t="s">
        <v>1339</v>
      </c>
      <c r="I51" s="165"/>
      <c r="J51" s="165"/>
      <c r="K51" s="165"/>
      <c r="L51" s="165"/>
      <c r="M51" s="165"/>
      <c r="N51" s="165"/>
      <c r="O51" s="165"/>
      <c r="P51" s="165"/>
      <c r="Q51" s="165"/>
    </row>
    <row r="52" spans="2:17" x14ac:dyDescent="0.3">
      <c r="E52" s="203"/>
      <c r="F52" s="164" t="s">
        <v>667</v>
      </c>
      <c r="G52" s="164"/>
      <c r="H52" s="165" t="s">
        <v>1338</v>
      </c>
      <c r="I52" s="165"/>
      <c r="J52" s="165"/>
      <c r="K52" s="165"/>
      <c r="L52" s="165"/>
      <c r="M52" s="165"/>
      <c r="N52" s="165"/>
      <c r="O52" s="165"/>
      <c r="P52" s="165"/>
      <c r="Q52" s="165"/>
    </row>
    <row r="53" spans="2:17" ht="11.25" customHeight="1" x14ac:dyDescent="0.3"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spans="2:17" ht="11.25" customHeight="1" x14ac:dyDescent="0.3">
      <c r="B54" s="5" t="s">
        <v>41</v>
      </c>
      <c r="C54" s="5" t="s">
        <v>42</v>
      </c>
      <c r="E54" s="6"/>
      <c r="F54" s="6" t="s">
        <v>43</v>
      </c>
      <c r="G54" s="6" t="s">
        <v>44</v>
      </c>
      <c r="H54" s="6" t="s">
        <v>45</v>
      </c>
      <c r="I54" s="6" t="s">
        <v>46</v>
      </c>
      <c r="J54" s="6" t="s">
        <v>47</v>
      </c>
      <c r="K54" s="6" t="s">
        <v>48</v>
      </c>
      <c r="L54" s="6" t="s">
        <v>49</v>
      </c>
      <c r="M54" s="6" t="s">
        <v>50</v>
      </c>
      <c r="N54" s="6" t="s">
        <v>51</v>
      </c>
      <c r="O54" s="6" t="s">
        <v>52</v>
      </c>
      <c r="P54" s="6" t="s">
        <v>53</v>
      </c>
      <c r="Q54" s="6" t="s">
        <v>54</v>
      </c>
    </row>
    <row r="55" spans="2:17" ht="30" customHeight="1" x14ac:dyDescent="0.3">
      <c r="B55" s="52" t="s">
        <v>289</v>
      </c>
      <c r="C55" s="52" t="s">
        <v>1104</v>
      </c>
      <c r="E55" s="6" t="s">
        <v>164</v>
      </c>
      <c r="F55" s="126" t="s">
        <v>665</v>
      </c>
      <c r="G55" s="96" t="s">
        <v>666</v>
      </c>
      <c r="H55" s="240" t="s">
        <v>1037</v>
      </c>
      <c r="I55" s="242"/>
      <c r="J55" s="134" t="s">
        <v>796</v>
      </c>
      <c r="K55" s="96" t="s">
        <v>668</v>
      </c>
      <c r="L55" s="240" t="s">
        <v>1038</v>
      </c>
      <c r="M55" s="242"/>
      <c r="N55" s="240" t="s">
        <v>1039</v>
      </c>
      <c r="O55" s="242"/>
      <c r="P55" s="126" t="s">
        <v>669</v>
      </c>
      <c r="Q55" s="96" t="s">
        <v>670</v>
      </c>
    </row>
    <row r="56" spans="2:17" ht="11.25" customHeight="1" x14ac:dyDescent="0.3">
      <c r="E56" s="6" t="s">
        <v>165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</row>
    <row r="57" spans="2:17" ht="11.25" customHeight="1" x14ac:dyDescent="0.3">
      <c r="E57" s="6" t="s">
        <v>157</v>
      </c>
      <c r="F57" s="172" t="s">
        <v>166</v>
      </c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4"/>
    </row>
    <row r="58" spans="2:17" ht="11.25" customHeight="1" x14ac:dyDescent="0.3">
      <c r="E58" s="6" t="s">
        <v>167</v>
      </c>
      <c r="F58" s="111" t="s">
        <v>227</v>
      </c>
      <c r="G58" s="111" t="s">
        <v>227</v>
      </c>
      <c r="H58" s="111" t="s">
        <v>227</v>
      </c>
      <c r="I58" s="111" t="s">
        <v>227</v>
      </c>
      <c r="J58" s="111" t="s">
        <v>227</v>
      </c>
      <c r="K58" s="111" t="s">
        <v>227</v>
      </c>
      <c r="L58" s="111" t="s">
        <v>227</v>
      </c>
      <c r="M58" s="111" t="s">
        <v>227</v>
      </c>
      <c r="N58" s="111" t="s">
        <v>227</v>
      </c>
      <c r="O58" s="111" t="s">
        <v>227</v>
      </c>
      <c r="P58" s="111" t="s">
        <v>227</v>
      </c>
      <c r="Q58" s="111" t="s">
        <v>227</v>
      </c>
    </row>
    <row r="59" spans="2:17" x14ac:dyDescent="0.3">
      <c r="E59" s="203" t="s">
        <v>169</v>
      </c>
      <c r="F59" s="164" t="s">
        <v>1257</v>
      </c>
      <c r="G59" s="164"/>
      <c r="H59" s="175" t="s">
        <v>1426</v>
      </c>
      <c r="I59" s="165"/>
      <c r="J59" s="165"/>
      <c r="K59" s="165"/>
      <c r="L59" s="165"/>
      <c r="M59" s="165"/>
      <c r="N59" s="165"/>
      <c r="O59" s="165"/>
      <c r="P59" s="165"/>
      <c r="Q59" s="165"/>
    </row>
    <row r="60" spans="2:17" ht="11.25" customHeight="1" x14ac:dyDescent="0.3">
      <c r="E60" s="203"/>
      <c r="F60" s="164" t="s">
        <v>666</v>
      </c>
      <c r="G60" s="164"/>
      <c r="H60" s="175" t="s">
        <v>1340</v>
      </c>
      <c r="I60" s="165"/>
      <c r="J60" s="165"/>
      <c r="K60" s="165"/>
      <c r="L60" s="165"/>
      <c r="M60" s="165"/>
      <c r="N60" s="165"/>
      <c r="O60" s="165"/>
      <c r="P60" s="165"/>
      <c r="Q60" s="165"/>
    </row>
    <row r="61" spans="2:17" ht="59.25" customHeight="1" x14ac:dyDescent="0.3">
      <c r="E61" s="203"/>
      <c r="F61" s="229" t="s">
        <v>1037</v>
      </c>
      <c r="G61" s="229"/>
      <c r="H61" s="171" t="s">
        <v>1342</v>
      </c>
      <c r="I61" s="165"/>
      <c r="J61" s="165"/>
      <c r="K61" s="165"/>
      <c r="L61" s="165"/>
      <c r="M61" s="165"/>
      <c r="N61" s="165"/>
      <c r="O61" s="165"/>
      <c r="P61" s="165"/>
      <c r="Q61" s="165"/>
    </row>
    <row r="62" spans="2:17" ht="11.25" customHeight="1" x14ac:dyDescent="0.3">
      <c r="E62" s="203"/>
      <c r="F62" s="164" t="s">
        <v>1258</v>
      </c>
      <c r="G62" s="164"/>
      <c r="H62" s="175" t="s">
        <v>1344</v>
      </c>
      <c r="I62" s="165"/>
      <c r="J62" s="165"/>
      <c r="K62" s="165"/>
      <c r="L62" s="165"/>
      <c r="M62" s="165"/>
      <c r="N62" s="165"/>
      <c r="O62" s="165"/>
      <c r="P62" s="165"/>
      <c r="Q62" s="165"/>
    </row>
    <row r="63" spans="2:17" ht="11.25" customHeight="1" x14ac:dyDescent="0.3">
      <c r="E63" s="203"/>
      <c r="F63" s="164" t="s">
        <v>1259</v>
      </c>
      <c r="G63" s="164"/>
      <c r="H63" s="175" t="s">
        <v>1341</v>
      </c>
      <c r="I63" s="165"/>
      <c r="J63" s="165"/>
      <c r="K63" s="165"/>
      <c r="L63" s="165"/>
      <c r="M63" s="165"/>
      <c r="N63" s="165"/>
      <c r="O63" s="165"/>
      <c r="P63" s="165"/>
      <c r="Q63" s="165"/>
    </row>
    <row r="64" spans="2:17" ht="61.5" customHeight="1" x14ac:dyDescent="0.3">
      <c r="E64" s="203"/>
      <c r="F64" s="229" t="s">
        <v>1038</v>
      </c>
      <c r="G64" s="229"/>
      <c r="H64" s="171" t="s">
        <v>1343</v>
      </c>
      <c r="I64" s="165"/>
      <c r="J64" s="165"/>
      <c r="K64" s="165"/>
      <c r="L64" s="165"/>
      <c r="M64" s="165"/>
      <c r="N64" s="165"/>
      <c r="O64" s="165"/>
      <c r="P64" s="165"/>
      <c r="Q64" s="165"/>
    </row>
    <row r="65" spans="2:17" x14ac:dyDescent="0.3">
      <c r="E65" s="203"/>
      <c r="F65" s="229" t="s">
        <v>1039</v>
      </c>
      <c r="G65" s="229"/>
      <c r="H65" s="175" t="s">
        <v>1427</v>
      </c>
      <c r="I65" s="165"/>
      <c r="J65" s="165"/>
      <c r="K65" s="165"/>
      <c r="L65" s="165"/>
      <c r="M65" s="165"/>
      <c r="N65" s="165"/>
      <c r="O65" s="165"/>
      <c r="P65" s="165"/>
      <c r="Q65" s="165"/>
    </row>
    <row r="66" spans="2:17" x14ac:dyDescent="0.3">
      <c r="E66" s="203"/>
      <c r="F66" s="164" t="s">
        <v>1260</v>
      </c>
      <c r="G66" s="164"/>
      <c r="H66" s="175" t="s">
        <v>1428</v>
      </c>
      <c r="I66" s="165"/>
      <c r="J66" s="165"/>
      <c r="K66" s="165"/>
      <c r="L66" s="165"/>
      <c r="M66" s="165"/>
      <c r="N66" s="165"/>
      <c r="O66" s="165"/>
      <c r="P66" s="165"/>
      <c r="Q66" s="165"/>
    </row>
    <row r="67" spans="2:17" ht="11.25" customHeight="1" x14ac:dyDescent="0.3">
      <c r="E67" s="203"/>
      <c r="F67" s="164" t="s">
        <v>1261</v>
      </c>
      <c r="G67" s="164"/>
      <c r="H67" s="175" t="s">
        <v>1345</v>
      </c>
      <c r="I67" s="165"/>
      <c r="J67" s="165"/>
      <c r="K67" s="165"/>
      <c r="L67" s="165"/>
      <c r="M67" s="165"/>
      <c r="N67" s="165"/>
      <c r="O67" s="165"/>
      <c r="P67" s="165"/>
      <c r="Q67" s="165"/>
    </row>
    <row r="70" spans="2:17" x14ac:dyDescent="0.3">
      <c r="B70" s="5" t="s">
        <v>41</v>
      </c>
      <c r="C70" s="5" t="s">
        <v>42</v>
      </c>
      <c r="E70" s="6"/>
      <c r="F70" s="6" t="s">
        <v>43</v>
      </c>
      <c r="G70" s="6" t="s">
        <v>44</v>
      </c>
      <c r="H70" s="6" t="s">
        <v>45</v>
      </c>
      <c r="I70" s="6" t="s">
        <v>46</v>
      </c>
      <c r="J70" s="6" t="s">
        <v>47</v>
      </c>
      <c r="K70" s="6" t="s">
        <v>48</v>
      </c>
      <c r="L70" s="6" t="s">
        <v>49</v>
      </c>
      <c r="M70" s="6" t="s">
        <v>50</v>
      </c>
      <c r="N70" s="6" t="s">
        <v>51</v>
      </c>
      <c r="O70" s="6" t="s">
        <v>52</v>
      </c>
      <c r="P70" s="6" t="s">
        <v>53</v>
      </c>
      <c r="Q70" s="6" t="s">
        <v>54</v>
      </c>
    </row>
    <row r="71" spans="2:17" ht="30" customHeight="1" x14ac:dyDescent="0.3">
      <c r="B71" s="52" t="s">
        <v>1262</v>
      </c>
      <c r="C71" s="52" t="s">
        <v>1263</v>
      </c>
      <c r="E71" s="6" t="s">
        <v>164</v>
      </c>
      <c r="F71" s="240" t="s">
        <v>1040</v>
      </c>
      <c r="G71" s="242"/>
      <c r="H71" s="96" t="s">
        <v>672</v>
      </c>
      <c r="I71" s="96" t="s">
        <v>673</v>
      </c>
      <c r="J71" s="96" t="s">
        <v>671</v>
      </c>
      <c r="K71" s="240" t="s">
        <v>1041</v>
      </c>
      <c r="L71" s="241"/>
      <c r="M71" s="242"/>
      <c r="N71" s="126" t="s">
        <v>674</v>
      </c>
      <c r="O71" s="246" t="s">
        <v>1042</v>
      </c>
      <c r="P71" s="247"/>
      <c r="Q71" s="248"/>
    </row>
    <row r="72" spans="2:17" x14ac:dyDescent="0.3">
      <c r="E72" s="6" t="s">
        <v>165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</row>
    <row r="73" spans="2:17" x14ac:dyDescent="0.3">
      <c r="E73" s="6" t="s">
        <v>157</v>
      </c>
      <c r="F73" s="172" t="s">
        <v>166</v>
      </c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4"/>
    </row>
    <row r="74" spans="2:17" x14ac:dyDescent="0.3">
      <c r="E74" s="6" t="s">
        <v>167</v>
      </c>
      <c r="F74" s="111" t="s">
        <v>227</v>
      </c>
      <c r="G74" s="111" t="s">
        <v>227</v>
      </c>
      <c r="H74" s="111" t="s">
        <v>227</v>
      </c>
      <c r="I74" s="111" t="s">
        <v>227</v>
      </c>
      <c r="J74" s="111" t="s">
        <v>227</v>
      </c>
      <c r="K74" s="111" t="s">
        <v>227</v>
      </c>
      <c r="L74" s="111" t="s">
        <v>227</v>
      </c>
      <c r="M74" s="111" t="s">
        <v>227</v>
      </c>
      <c r="N74" s="111" t="s">
        <v>227</v>
      </c>
      <c r="O74" s="111" t="s">
        <v>227</v>
      </c>
      <c r="P74" s="111" t="s">
        <v>227</v>
      </c>
      <c r="Q74" s="111" t="s">
        <v>227</v>
      </c>
    </row>
    <row r="75" spans="2:17" ht="63" customHeight="1" x14ac:dyDescent="0.3">
      <c r="E75" s="203" t="s">
        <v>169</v>
      </c>
      <c r="F75" s="229" t="s">
        <v>1040</v>
      </c>
      <c r="G75" s="229"/>
      <c r="H75" s="169" t="s">
        <v>1268</v>
      </c>
      <c r="I75" s="165"/>
      <c r="J75" s="165"/>
      <c r="K75" s="165"/>
      <c r="L75" s="165"/>
      <c r="M75" s="165"/>
      <c r="N75" s="165"/>
      <c r="O75" s="165"/>
      <c r="P75" s="165"/>
      <c r="Q75" s="165"/>
    </row>
    <row r="76" spans="2:17" ht="49.5" customHeight="1" x14ac:dyDescent="0.3">
      <c r="E76" s="203"/>
      <c r="F76" s="164" t="s">
        <v>1264</v>
      </c>
      <c r="G76" s="164"/>
      <c r="H76" s="169" t="s">
        <v>1269</v>
      </c>
      <c r="I76" s="165"/>
      <c r="J76" s="165"/>
      <c r="K76" s="165"/>
      <c r="L76" s="165"/>
      <c r="M76" s="165"/>
      <c r="N76" s="165"/>
      <c r="O76" s="165"/>
      <c r="P76" s="165"/>
      <c r="Q76" s="165"/>
    </row>
    <row r="77" spans="2:17" ht="54.75" customHeight="1" x14ac:dyDescent="0.3">
      <c r="E77" s="203"/>
      <c r="F77" s="164" t="s">
        <v>1265</v>
      </c>
      <c r="G77" s="164"/>
      <c r="H77" s="169" t="s">
        <v>1270</v>
      </c>
      <c r="I77" s="165"/>
      <c r="J77" s="165"/>
      <c r="K77" s="165"/>
      <c r="L77" s="165"/>
      <c r="M77" s="165"/>
      <c r="N77" s="165"/>
      <c r="O77" s="165"/>
      <c r="P77" s="165"/>
      <c r="Q77" s="165"/>
    </row>
    <row r="78" spans="2:17" ht="51" customHeight="1" x14ac:dyDescent="0.3">
      <c r="E78" s="203"/>
      <c r="F78" s="164" t="s">
        <v>1266</v>
      </c>
      <c r="G78" s="164"/>
      <c r="H78" s="169" t="s">
        <v>1271</v>
      </c>
      <c r="I78" s="165"/>
      <c r="J78" s="165"/>
      <c r="K78" s="165"/>
      <c r="L78" s="165"/>
      <c r="M78" s="165"/>
      <c r="N78" s="165"/>
      <c r="O78" s="165"/>
      <c r="P78" s="165"/>
      <c r="Q78" s="165"/>
    </row>
    <row r="79" spans="2:17" ht="96.75" customHeight="1" x14ac:dyDescent="0.3">
      <c r="E79" s="203"/>
      <c r="F79" s="164" t="s">
        <v>1041</v>
      </c>
      <c r="G79" s="164"/>
      <c r="H79" s="169" t="s">
        <v>1272</v>
      </c>
      <c r="I79" s="165"/>
      <c r="J79" s="165"/>
      <c r="K79" s="165"/>
      <c r="L79" s="165"/>
      <c r="M79" s="165"/>
      <c r="N79" s="165"/>
      <c r="O79" s="165"/>
      <c r="P79" s="165"/>
      <c r="Q79" s="165"/>
    </row>
    <row r="80" spans="2:17" ht="48.75" customHeight="1" x14ac:dyDescent="0.3">
      <c r="E80" s="203"/>
      <c r="F80" s="164" t="s">
        <v>1267</v>
      </c>
      <c r="G80" s="164"/>
      <c r="H80" s="169" t="s">
        <v>1273</v>
      </c>
      <c r="I80" s="165"/>
      <c r="J80" s="165"/>
      <c r="K80" s="165"/>
      <c r="L80" s="165"/>
      <c r="M80" s="165"/>
      <c r="N80" s="165"/>
      <c r="O80" s="165"/>
      <c r="P80" s="165"/>
      <c r="Q80" s="165"/>
    </row>
    <row r="81" spans="2:17" ht="78.75" customHeight="1" x14ac:dyDescent="0.3">
      <c r="E81" s="203"/>
      <c r="F81" s="164" t="s">
        <v>1042</v>
      </c>
      <c r="G81" s="164"/>
      <c r="H81" s="169" t="s">
        <v>1274</v>
      </c>
      <c r="I81" s="165"/>
      <c r="J81" s="165"/>
      <c r="K81" s="165"/>
      <c r="L81" s="165"/>
      <c r="M81" s="165"/>
      <c r="N81" s="165"/>
      <c r="O81" s="165"/>
      <c r="P81" s="165"/>
      <c r="Q81" s="165"/>
    </row>
    <row r="84" spans="2:17" x14ac:dyDescent="0.3">
      <c r="B84" s="5" t="s">
        <v>41</v>
      </c>
      <c r="C84" s="5" t="s">
        <v>42</v>
      </c>
      <c r="E84" s="6"/>
      <c r="F84" s="6" t="s">
        <v>43</v>
      </c>
      <c r="G84" s="6" t="s">
        <v>44</v>
      </c>
      <c r="H84" s="6" t="s">
        <v>45</v>
      </c>
      <c r="I84" s="6" t="s">
        <v>46</v>
      </c>
      <c r="J84" s="6" t="s">
        <v>47</v>
      </c>
      <c r="K84" s="6" t="s">
        <v>48</v>
      </c>
      <c r="L84" s="6" t="s">
        <v>49</v>
      </c>
      <c r="M84" s="6" t="s">
        <v>50</v>
      </c>
      <c r="N84" s="6" t="s">
        <v>51</v>
      </c>
      <c r="O84" s="6" t="s">
        <v>52</v>
      </c>
      <c r="P84" s="6" t="s">
        <v>53</v>
      </c>
      <c r="Q84" s="6" t="s">
        <v>54</v>
      </c>
    </row>
    <row r="85" spans="2:17" ht="30" customHeight="1" x14ac:dyDescent="0.3">
      <c r="B85" s="52" t="s">
        <v>1276</v>
      </c>
      <c r="C85" s="52" t="s">
        <v>1277</v>
      </c>
      <c r="E85" s="6" t="s">
        <v>164</v>
      </c>
      <c r="F85" s="126" t="s">
        <v>785</v>
      </c>
      <c r="G85" s="243" t="s">
        <v>1043</v>
      </c>
      <c r="H85" s="243"/>
      <c r="I85" s="243"/>
      <c r="J85" s="234" t="s">
        <v>1044</v>
      </c>
      <c r="K85" s="234"/>
      <c r="L85" s="96" t="s">
        <v>675</v>
      </c>
      <c r="M85" s="96" t="s">
        <v>676</v>
      </c>
      <c r="N85" s="126" t="s">
        <v>677</v>
      </c>
      <c r="O85" s="126" t="s">
        <v>678</v>
      </c>
      <c r="P85" s="126" t="s">
        <v>679</v>
      </c>
      <c r="Q85" s="126" t="s">
        <v>680</v>
      </c>
    </row>
    <row r="86" spans="2:17" x14ac:dyDescent="0.3">
      <c r="E86" s="6" t="s">
        <v>165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</row>
    <row r="87" spans="2:17" x14ac:dyDescent="0.3">
      <c r="E87" s="6" t="s">
        <v>157</v>
      </c>
      <c r="F87" s="230" t="s">
        <v>166</v>
      </c>
      <c r="G87" s="230"/>
      <c r="H87" s="230"/>
      <c r="I87" s="230"/>
      <c r="J87" s="230"/>
      <c r="K87" s="230"/>
      <c r="L87" s="230"/>
      <c r="M87" s="230"/>
      <c r="N87" s="230"/>
      <c r="O87" s="230"/>
      <c r="P87" s="230"/>
      <c r="Q87" s="230"/>
    </row>
    <row r="88" spans="2:17" x14ac:dyDescent="0.3">
      <c r="E88" s="6" t="s">
        <v>167</v>
      </c>
      <c r="F88" s="111" t="s">
        <v>227</v>
      </c>
      <c r="G88" s="111" t="s">
        <v>227</v>
      </c>
      <c r="H88" s="111" t="s">
        <v>227</v>
      </c>
      <c r="I88" s="111" t="s">
        <v>227</v>
      </c>
      <c r="J88" s="111" t="s">
        <v>227</v>
      </c>
      <c r="K88" s="111" t="s">
        <v>227</v>
      </c>
      <c r="L88" s="111" t="s">
        <v>227</v>
      </c>
      <c r="M88" s="111" t="s">
        <v>227</v>
      </c>
      <c r="N88" s="111" t="s">
        <v>227</v>
      </c>
      <c r="O88" s="111" t="s">
        <v>227</v>
      </c>
      <c r="P88" s="111" t="s">
        <v>227</v>
      </c>
      <c r="Q88" s="111" t="s">
        <v>227</v>
      </c>
    </row>
    <row r="89" spans="2:17" ht="48.75" customHeight="1" x14ac:dyDescent="0.3">
      <c r="E89" s="203" t="s">
        <v>169</v>
      </c>
      <c r="F89" s="229" t="s">
        <v>1278</v>
      </c>
      <c r="G89" s="229"/>
      <c r="H89" s="169" t="s">
        <v>1432</v>
      </c>
      <c r="I89" s="165"/>
      <c r="J89" s="165"/>
      <c r="K89" s="165"/>
      <c r="L89" s="165"/>
      <c r="M89" s="165"/>
      <c r="N89" s="165"/>
      <c r="O89" s="165"/>
      <c r="P89" s="165"/>
      <c r="Q89" s="165"/>
    </row>
    <row r="90" spans="2:17" ht="105" customHeight="1" x14ac:dyDescent="0.3">
      <c r="E90" s="203"/>
      <c r="F90" s="164" t="s">
        <v>1043</v>
      </c>
      <c r="G90" s="164"/>
      <c r="H90" s="169" t="s">
        <v>1462</v>
      </c>
      <c r="I90" s="165"/>
      <c r="J90" s="165"/>
      <c r="K90" s="165"/>
      <c r="L90" s="165"/>
      <c r="M90" s="165"/>
      <c r="N90" s="165"/>
      <c r="O90" s="165"/>
      <c r="P90" s="165"/>
      <c r="Q90" s="165"/>
    </row>
    <row r="91" spans="2:17" ht="60" customHeight="1" x14ac:dyDescent="0.3">
      <c r="E91" s="203"/>
      <c r="F91" s="229" t="s">
        <v>1044</v>
      </c>
      <c r="G91" s="229"/>
      <c r="H91" s="169" t="s">
        <v>1285</v>
      </c>
      <c r="I91" s="165"/>
      <c r="J91" s="165"/>
      <c r="K91" s="165"/>
      <c r="L91" s="165"/>
      <c r="M91" s="165"/>
      <c r="N91" s="165"/>
      <c r="O91" s="165"/>
      <c r="P91" s="165"/>
      <c r="Q91" s="165"/>
    </row>
    <row r="92" spans="2:17" ht="34.5" customHeight="1" x14ac:dyDescent="0.3">
      <c r="E92" s="203"/>
      <c r="F92" s="164" t="s">
        <v>1279</v>
      </c>
      <c r="G92" s="164"/>
      <c r="H92" s="169" t="s">
        <v>1433</v>
      </c>
      <c r="I92" s="165"/>
      <c r="J92" s="165"/>
      <c r="K92" s="165"/>
      <c r="L92" s="165"/>
      <c r="M92" s="165"/>
      <c r="N92" s="165"/>
      <c r="O92" s="165"/>
      <c r="P92" s="165"/>
      <c r="Q92" s="165"/>
    </row>
    <row r="93" spans="2:17" ht="36.75" customHeight="1" x14ac:dyDescent="0.3">
      <c r="E93" s="203"/>
      <c r="F93" s="164" t="s">
        <v>1280</v>
      </c>
      <c r="G93" s="164"/>
      <c r="H93" s="169" t="s">
        <v>1434</v>
      </c>
      <c r="I93" s="165"/>
      <c r="J93" s="165"/>
      <c r="K93" s="165"/>
      <c r="L93" s="165"/>
      <c r="M93" s="165"/>
      <c r="N93" s="165"/>
      <c r="O93" s="165"/>
      <c r="P93" s="165"/>
      <c r="Q93" s="165"/>
    </row>
    <row r="94" spans="2:17" ht="33.75" customHeight="1" x14ac:dyDescent="0.3">
      <c r="E94" s="203"/>
      <c r="F94" s="164" t="s">
        <v>1281</v>
      </c>
      <c r="G94" s="164"/>
      <c r="H94" s="169" t="s">
        <v>1435</v>
      </c>
      <c r="I94" s="165"/>
      <c r="J94" s="165"/>
      <c r="K94" s="165"/>
      <c r="L94" s="165"/>
      <c r="M94" s="165"/>
      <c r="N94" s="165"/>
      <c r="O94" s="165"/>
      <c r="P94" s="165"/>
      <c r="Q94" s="165"/>
    </row>
    <row r="95" spans="2:17" ht="38.25" customHeight="1" x14ac:dyDescent="0.3">
      <c r="E95" s="203"/>
      <c r="F95" s="164" t="s">
        <v>1282</v>
      </c>
      <c r="G95" s="164"/>
      <c r="H95" s="161" t="s">
        <v>1436</v>
      </c>
      <c r="I95" s="179"/>
      <c r="J95" s="179"/>
      <c r="K95" s="179"/>
      <c r="L95" s="179"/>
      <c r="M95" s="179"/>
      <c r="N95" s="179"/>
      <c r="O95" s="179"/>
      <c r="P95" s="179"/>
      <c r="Q95" s="180"/>
    </row>
    <row r="96" spans="2:17" ht="38.25" customHeight="1" x14ac:dyDescent="0.3">
      <c r="E96" s="203"/>
      <c r="F96" s="164" t="s">
        <v>1283</v>
      </c>
      <c r="G96" s="164"/>
      <c r="H96" s="169" t="s">
        <v>1437</v>
      </c>
      <c r="I96" s="165"/>
      <c r="J96" s="165"/>
      <c r="K96" s="165"/>
      <c r="L96" s="165"/>
      <c r="M96" s="165"/>
      <c r="N96" s="165"/>
      <c r="O96" s="165"/>
      <c r="P96" s="165"/>
      <c r="Q96" s="165"/>
    </row>
    <row r="97" spans="2:17" ht="36" customHeight="1" x14ac:dyDescent="0.3">
      <c r="E97" s="203"/>
      <c r="F97" s="164" t="s">
        <v>1284</v>
      </c>
      <c r="G97" s="164"/>
      <c r="H97" s="169" t="s">
        <v>1438</v>
      </c>
      <c r="I97" s="165"/>
      <c r="J97" s="165"/>
      <c r="K97" s="165"/>
      <c r="L97" s="165"/>
      <c r="M97" s="165"/>
      <c r="N97" s="165"/>
      <c r="O97" s="165"/>
      <c r="P97" s="165"/>
      <c r="Q97" s="165"/>
    </row>
    <row r="98" spans="2:17" x14ac:dyDescent="0.3">
      <c r="E98" s="128"/>
      <c r="F98" s="128"/>
      <c r="G98" s="128"/>
      <c r="H98" s="129"/>
      <c r="I98" s="130"/>
      <c r="J98" s="130"/>
      <c r="K98" s="130"/>
      <c r="L98" s="130"/>
      <c r="M98" s="130"/>
      <c r="N98" s="130"/>
      <c r="O98" s="130"/>
      <c r="P98" s="130"/>
      <c r="Q98" s="130"/>
    </row>
    <row r="99" spans="2:17" x14ac:dyDescent="0.3">
      <c r="E99" s="128"/>
      <c r="F99" s="128"/>
      <c r="G99" s="128"/>
      <c r="H99" s="129"/>
      <c r="I99" s="130"/>
      <c r="J99" s="130"/>
      <c r="K99" s="130"/>
      <c r="L99" s="130"/>
      <c r="M99" s="130"/>
      <c r="N99" s="130"/>
      <c r="O99" s="130"/>
      <c r="P99" s="130"/>
      <c r="Q99" s="130"/>
    </row>
    <row r="100" spans="2:17" x14ac:dyDescent="0.3">
      <c r="B100" s="5" t="s">
        <v>41</v>
      </c>
      <c r="C100" s="5" t="s">
        <v>42</v>
      </c>
      <c r="E100" s="6"/>
      <c r="F100" s="6" t="s">
        <v>43</v>
      </c>
      <c r="G100" s="6" t="s">
        <v>44</v>
      </c>
      <c r="H100" s="6" t="s">
        <v>45</v>
      </c>
      <c r="I100" s="6" t="s">
        <v>46</v>
      </c>
      <c r="J100" s="6" t="s">
        <v>47</v>
      </c>
      <c r="K100" s="6" t="s">
        <v>48</v>
      </c>
      <c r="L100" s="6" t="s">
        <v>49</v>
      </c>
      <c r="M100" s="6" t="s">
        <v>50</v>
      </c>
      <c r="N100" s="6" t="s">
        <v>51</v>
      </c>
      <c r="O100" s="6" t="s">
        <v>52</v>
      </c>
      <c r="P100" s="6" t="s">
        <v>53</v>
      </c>
      <c r="Q100" s="6" t="s">
        <v>54</v>
      </c>
    </row>
    <row r="101" spans="2:17" ht="30" customHeight="1" x14ac:dyDescent="0.3">
      <c r="B101" s="52" t="s">
        <v>1286</v>
      </c>
      <c r="C101" s="52" t="s">
        <v>1287</v>
      </c>
      <c r="E101" s="6" t="s">
        <v>164</v>
      </c>
      <c r="F101" s="126" t="s">
        <v>683</v>
      </c>
      <c r="G101" s="135" t="s">
        <v>1152</v>
      </c>
      <c r="H101" s="126" t="s">
        <v>684</v>
      </c>
      <c r="I101" s="131" t="s">
        <v>685</v>
      </c>
      <c r="J101" s="131" t="s">
        <v>686</v>
      </c>
      <c r="K101" s="126" t="s">
        <v>687</v>
      </c>
      <c r="L101" s="126" t="s">
        <v>688</v>
      </c>
      <c r="M101" s="243" t="s">
        <v>1045</v>
      </c>
      <c r="N101" s="243"/>
      <c r="O101" s="243"/>
      <c r="P101" s="243"/>
      <c r="Q101" s="243"/>
    </row>
    <row r="102" spans="2:17" x14ac:dyDescent="0.3">
      <c r="E102" s="6" t="s">
        <v>165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</row>
    <row r="103" spans="2:17" x14ac:dyDescent="0.3">
      <c r="E103" s="6" t="s">
        <v>157</v>
      </c>
      <c r="F103" s="230" t="s">
        <v>166</v>
      </c>
      <c r="G103" s="230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</row>
    <row r="104" spans="2:17" x14ac:dyDescent="0.3">
      <c r="E104" s="6" t="s">
        <v>167</v>
      </c>
      <c r="F104" s="111" t="s">
        <v>227</v>
      </c>
      <c r="G104" s="111" t="s">
        <v>227</v>
      </c>
      <c r="H104" s="111" t="s">
        <v>227</v>
      </c>
      <c r="I104" s="111" t="s">
        <v>227</v>
      </c>
      <c r="J104" s="111" t="s">
        <v>227</v>
      </c>
      <c r="K104" s="111" t="s">
        <v>227</v>
      </c>
      <c r="L104" s="111" t="s">
        <v>227</v>
      </c>
      <c r="M104" s="111" t="s">
        <v>227</v>
      </c>
      <c r="N104" s="111" t="s">
        <v>227</v>
      </c>
      <c r="O104" s="111" t="s">
        <v>227</v>
      </c>
      <c r="P104" s="111" t="s">
        <v>227</v>
      </c>
      <c r="Q104" s="111" t="s">
        <v>227</v>
      </c>
    </row>
    <row r="105" spans="2:17" ht="36.75" customHeight="1" x14ac:dyDescent="0.3">
      <c r="E105" s="203" t="s">
        <v>169</v>
      </c>
      <c r="F105" s="229" t="s">
        <v>1288</v>
      </c>
      <c r="G105" s="229"/>
      <c r="H105" s="169" t="s">
        <v>1463</v>
      </c>
      <c r="I105" s="165"/>
      <c r="J105" s="165"/>
      <c r="K105" s="165"/>
      <c r="L105" s="165"/>
      <c r="M105" s="165"/>
      <c r="N105" s="165"/>
      <c r="O105" s="165"/>
      <c r="P105" s="165"/>
      <c r="Q105" s="165"/>
    </row>
    <row r="106" spans="2:17" x14ac:dyDescent="0.3">
      <c r="E106" s="203"/>
      <c r="F106" s="164" t="s">
        <v>1289</v>
      </c>
      <c r="G106" s="164"/>
      <c r="H106" s="244" t="s">
        <v>1295</v>
      </c>
      <c r="I106" s="245"/>
      <c r="J106" s="245"/>
      <c r="K106" s="245"/>
      <c r="L106" s="245"/>
      <c r="M106" s="245"/>
      <c r="N106" s="245"/>
      <c r="O106" s="245"/>
      <c r="P106" s="245"/>
      <c r="Q106" s="245"/>
    </row>
    <row r="107" spans="2:17" ht="36" customHeight="1" x14ac:dyDescent="0.3">
      <c r="E107" s="203"/>
      <c r="F107" s="229" t="s">
        <v>1290</v>
      </c>
      <c r="G107" s="229"/>
      <c r="H107" s="169" t="s">
        <v>1464</v>
      </c>
      <c r="I107" s="165"/>
      <c r="J107" s="165"/>
      <c r="K107" s="165"/>
      <c r="L107" s="165"/>
      <c r="M107" s="165"/>
      <c r="N107" s="165"/>
      <c r="O107" s="165"/>
      <c r="P107" s="165"/>
      <c r="Q107" s="165"/>
    </row>
    <row r="108" spans="2:17" ht="35.25" customHeight="1" x14ac:dyDescent="0.3">
      <c r="E108" s="203"/>
      <c r="F108" s="164" t="s">
        <v>1291</v>
      </c>
      <c r="G108" s="164"/>
      <c r="H108" s="169" t="s">
        <v>1465</v>
      </c>
      <c r="I108" s="165"/>
      <c r="J108" s="165"/>
      <c r="K108" s="165"/>
      <c r="L108" s="165"/>
      <c r="M108" s="165"/>
      <c r="N108" s="165"/>
      <c r="O108" s="165"/>
      <c r="P108" s="165"/>
      <c r="Q108" s="165"/>
    </row>
    <row r="109" spans="2:17" ht="36.75" customHeight="1" x14ac:dyDescent="0.3">
      <c r="E109" s="203"/>
      <c r="F109" s="164" t="s">
        <v>1292</v>
      </c>
      <c r="G109" s="164"/>
      <c r="H109" s="169" t="s">
        <v>1466</v>
      </c>
      <c r="I109" s="165"/>
      <c r="J109" s="165"/>
      <c r="K109" s="165"/>
      <c r="L109" s="165"/>
      <c r="M109" s="165"/>
      <c r="N109" s="165"/>
      <c r="O109" s="165"/>
      <c r="P109" s="165"/>
      <c r="Q109" s="165"/>
    </row>
    <row r="110" spans="2:17" x14ac:dyDescent="0.3">
      <c r="E110" s="203"/>
      <c r="F110" s="164" t="s">
        <v>1293</v>
      </c>
      <c r="G110" s="164"/>
      <c r="H110" s="169" t="s">
        <v>1296</v>
      </c>
      <c r="I110" s="165"/>
      <c r="J110" s="165"/>
      <c r="K110" s="165"/>
      <c r="L110" s="165"/>
      <c r="M110" s="165"/>
      <c r="N110" s="165"/>
      <c r="O110" s="165"/>
      <c r="P110" s="165"/>
      <c r="Q110" s="165"/>
    </row>
    <row r="111" spans="2:17" ht="36" customHeight="1" x14ac:dyDescent="0.3">
      <c r="E111" s="203"/>
      <c r="F111" s="164" t="s">
        <v>1294</v>
      </c>
      <c r="G111" s="164"/>
      <c r="H111" s="169" t="s">
        <v>1467</v>
      </c>
      <c r="I111" s="165"/>
      <c r="J111" s="165"/>
      <c r="K111" s="165"/>
      <c r="L111" s="165"/>
      <c r="M111" s="165"/>
      <c r="N111" s="165"/>
      <c r="O111" s="165"/>
      <c r="P111" s="165"/>
      <c r="Q111" s="165"/>
    </row>
    <row r="112" spans="2:17" x14ac:dyDescent="0.3">
      <c r="E112" s="203"/>
      <c r="F112" s="164" t="s">
        <v>1045</v>
      </c>
      <c r="G112" s="164"/>
      <c r="H112" s="169" t="s">
        <v>1297</v>
      </c>
      <c r="I112" s="165"/>
      <c r="J112" s="165"/>
      <c r="K112" s="165"/>
      <c r="L112" s="165"/>
      <c r="M112" s="165"/>
      <c r="N112" s="165"/>
      <c r="O112" s="165"/>
      <c r="P112" s="165"/>
      <c r="Q112" s="165"/>
    </row>
    <row r="113" spans="2:17" x14ac:dyDescent="0.3">
      <c r="E113" s="128"/>
      <c r="F113" s="128"/>
      <c r="G113" s="128"/>
      <c r="H113" s="129"/>
      <c r="I113" s="130"/>
      <c r="J113" s="130"/>
      <c r="K113" s="130"/>
      <c r="L113" s="130"/>
      <c r="M113" s="130"/>
      <c r="N113" s="130"/>
      <c r="O113" s="130"/>
      <c r="P113" s="130"/>
      <c r="Q113" s="130"/>
    </row>
    <row r="114" spans="2:17" x14ac:dyDescent="0.3">
      <c r="E114" s="128"/>
      <c r="F114" s="128"/>
      <c r="G114" s="128"/>
      <c r="H114" s="129"/>
      <c r="I114" s="130"/>
      <c r="J114" s="130"/>
      <c r="K114" s="130"/>
      <c r="L114" s="130"/>
      <c r="M114" s="130"/>
      <c r="N114" s="130"/>
      <c r="O114" s="130"/>
      <c r="P114" s="130"/>
      <c r="Q114" s="130"/>
    </row>
    <row r="115" spans="2:17" x14ac:dyDescent="0.3">
      <c r="B115" s="5" t="s">
        <v>41</v>
      </c>
      <c r="C115" s="5" t="s">
        <v>42</v>
      </c>
      <c r="E115" s="6"/>
      <c r="F115" s="6" t="s">
        <v>43</v>
      </c>
      <c r="G115" s="6" t="s">
        <v>44</v>
      </c>
      <c r="H115" s="6" t="s">
        <v>45</v>
      </c>
      <c r="I115" s="6" t="s">
        <v>46</v>
      </c>
      <c r="J115" s="6" t="s">
        <v>47</v>
      </c>
      <c r="K115" s="6" t="s">
        <v>48</v>
      </c>
      <c r="L115" s="6" t="s">
        <v>49</v>
      </c>
      <c r="M115" s="6" t="s">
        <v>50</v>
      </c>
      <c r="N115" s="6" t="s">
        <v>51</v>
      </c>
      <c r="O115" s="6" t="s">
        <v>52</v>
      </c>
      <c r="P115" s="6" t="s">
        <v>53</v>
      </c>
      <c r="Q115" s="6" t="s">
        <v>54</v>
      </c>
    </row>
    <row r="116" spans="2:17" ht="56.25" customHeight="1" x14ac:dyDescent="0.3">
      <c r="B116" s="52" t="s">
        <v>1299</v>
      </c>
      <c r="C116" s="52" t="s">
        <v>1300</v>
      </c>
      <c r="E116" s="6" t="s">
        <v>164</v>
      </c>
      <c r="F116" s="126" t="s">
        <v>690</v>
      </c>
      <c r="G116" s="132" t="s">
        <v>1153</v>
      </c>
      <c r="H116" s="126" t="s">
        <v>691</v>
      </c>
      <c r="I116" s="96" t="s">
        <v>1329</v>
      </c>
      <c r="J116" s="96" t="s">
        <v>1330</v>
      </c>
      <c r="K116" s="126" t="s">
        <v>694</v>
      </c>
      <c r="L116" s="126" t="s">
        <v>695</v>
      </c>
      <c r="M116" s="243" t="s">
        <v>1046</v>
      </c>
      <c r="N116" s="243"/>
      <c r="O116" s="243"/>
      <c r="P116" s="243"/>
      <c r="Q116" s="243"/>
    </row>
    <row r="117" spans="2:17" x14ac:dyDescent="0.3">
      <c r="E117" s="6" t="s">
        <v>165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</row>
    <row r="118" spans="2:17" x14ac:dyDescent="0.3">
      <c r="E118" s="6" t="s">
        <v>157</v>
      </c>
      <c r="F118" s="230" t="s">
        <v>166</v>
      </c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</row>
    <row r="119" spans="2:17" x14ac:dyDescent="0.3">
      <c r="E119" s="6" t="s">
        <v>167</v>
      </c>
      <c r="F119" s="111" t="s">
        <v>227</v>
      </c>
      <c r="G119" s="111" t="s">
        <v>227</v>
      </c>
      <c r="H119" s="111" t="s">
        <v>227</v>
      </c>
      <c r="I119" s="111" t="s">
        <v>227</v>
      </c>
      <c r="J119" s="111" t="s">
        <v>227</v>
      </c>
      <c r="K119" s="111" t="s">
        <v>227</v>
      </c>
      <c r="L119" s="111" t="s">
        <v>227</v>
      </c>
      <c r="M119" s="111" t="s">
        <v>227</v>
      </c>
      <c r="N119" s="111" t="s">
        <v>227</v>
      </c>
      <c r="O119" s="111" t="s">
        <v>227</v>
      </c>
      <c r="P119" s="111" t="s">
        <v>227</v>
      </c>
      <c r="Q119" s="111" t="s">
        <v>227</v>
      </c>
    </row>
    <row r="120" spans="2:17" x14ac:dyDescent="0.3">
      <c r="E120" s="203" t="s">
        <v>169</v>
      </c>
      <c r="F120" s="229" t="s">
        <v>1301</v>
      </c>
      <c r="G120" s="229"/>
      <c r="H120" s="169" t="s">
        <v>1311</v>
      </c>
      <c r="I120" s="165"/>
      <c r="J120" s="165"/>
      <c r="K120" s="165"/>
      <c r="L120" s="165"/>
      <c r="M120" s="165"/>
      <c r="N120" s="165"/>
      <c r="O120" s="165"/>
      <c r="P120" s="165"/>
      <c r="Q120" s="165"/>
    </row>
    <row r="121" spans="2:17" ht="37.5" customHeight="1" x14ac:dyDescent="0.3">
      <c r="E121" s="203"/>
      <c r="F121" s="164" t="s">
        <v>1302</v>
      </c>
      <c r="G121" s="164"/>
      <c r="H121" s="236" t="s">
        <v>1439</v>
      </c>
      <c r="I121" s="237"/>
      <c r="J121" s="237"/>
      <c r="K121" s="237"/>
      <c r="L121" s="237"/>
      <c r="M121" s="237"/>
      <c r="N121" s="237"/>
      <c r="O121" s="237"/>
      <c r="P121" s="237"/>
      <c r="Q121" s="237"/>
    </row>
    <row r="122" spans="2:17" x14ac:dyDescent="0.3">
      <c r="E122" s="203"/>
      <c r="F122" s="229" t="s">
        <v>1303</v>
      </c>
      <c r="G122" s="229"/>
      <c r="H122" s="169" t="s">
        <v>1310</v>
      </c>
      <c r="I122" s="165"/>
      <c r="J122" s="165"/>
      <c r="K122" s="165"/>
      <c r="L122" s="165"/>
      <c r="M122" s="165"/>
      <c r="N122" s="165"/>
      <c r="O122" s="165"/>
      <c r="P122" s="165"/>
      <c r="Q122" s="165"/>
    </row>
    <row r="123" spans="2:17" x14ac:dyDescent="0.3">
      <c r="E123" s="203"/>
      <c r="F123" s="164" t="s">
        <v>1304</v>
      </c>
      <c r="G123" s="164"/>
      <c r="H123" s="169" t="s">
        <v>1309</v>
      </c>
      <c r="I123" s="165"/>
      <c r="J123" s="165"/>
      <c r="K123" s="165"/>
      <c r="L123" s="165"/>
      <c r="M123" s="165"/>
      <c r="N123" s="165"/>
      <c r="O123" s="165"/>
      <c r="P123" s="165"/>
      <c r="Q123" s="165"/>
    </row>
    <row r="124" spans="2:17" x14ac:dyDescent="0.3">
      <c r="E124" s="203"/>
      <c r="F124" s="164" t="s">
        <v>1305</v>
      </c>
      <c r="G124" s="164"/>
      <c r="H124" s="169" t="s">
        <v>1308</v>
      </c>
      <c r="I124" s="165"/>
      <c r="J124" s="165"/>
      <c r="K124" s="165"/>
      <c r="L124" s="165"/>
      <c r="M124" s="165"/>
      <c r="N124" s="165"/>
      <c r="O124" s="165"/>
      <c r="P124" s="165"/>
      <c r="Q124" s="165"/>
    </row>
    <row r="125" spans="2:17" x14ac:dyDescent="0.3">
      <c r="E125" s="203"/>
      <c r="F125" s="164" t="s">
        <v>1306</v>
      </c>
      <c r="G125" s="164"/>
      <c r="H125" s="169" t="s">
        <v>1298</v>
      </c>
      <c r="I125" s="165"/>
      <c r="J125" s="165"/>
      <c r="K125" s="165"/>
      <c r="L125" s="165"/>
      <c r="M125" s="165"/>
      <c r="N125" s="165"/>
      <c r="O125" s="165"/>
      <c r="P125" s="165"/>
      <c r="Q125" s="165"/>
    </row>
    <row r="126" spans="2:17" ht="35.25" customHeight="1" x14ac:dyDescent="0.3">
      <c r="E126" s="203"/>
      <c r="F126" s="164" t="s">
        <v>1307</v>
      </c>
      <c r="G126" s="164"/>
      <c r="H126" s="169" t="s">
        <v>1440</v>
      </c>
      <c r="I126" s="165"/>
      <c r="J126" s="165"/>
      <c r="K126" s="165"/>
      <c r="L126" s="165"/>
      <c r="M126" s="165"/>
      <c r="N126" s="165"/>
      <c r="O126" s="165"/>
      <c r="P126" s="165"/>
      <c r="Q126" s="165"/>
    </row>
    <row r="127" spans="2:17" x14ac:dyDescent="0.3">
      <c r="E127" s="203"/>
      <c r="F127" s="164" t="s">
        <v>1046</v>
      </c>
      <c r="G127" s="164"/>
      <c r="H127" s="169" t="s">
        <v>1297</v>
      </c>
      <c r="I127" s="165"/>
      <c r="J127" s="165"/>
      <c r="K127" s="165"/>
      <c r="L127" s="165"/>
      <c r="M127" s="165"/>
      <c r="N127" s="165"/>
      <c r="O127" s="165"/>
      <c r="P127" s="165"/>
      <c r="Q127" s="165"/>
    </row>
    <row r="128" spans="2:17" x14ac:dyDescent="0.3">
      <c r="E128" s="128"/>
      <c r="F128" s="128"/>
      <c r="G128" s="128"/>
      <c r="H128" s="129"/>
      <c r="I128" s="130"/>
      <c r="J128" s="130"/>
      <c r="K128" s="130"/>
      <c r="L128" s="130"/>
      <c r="M128" s="130"/>
      <c r="N128" s="130"/>
      <c r="O128" s="130"/>
      <c r="P128" s="130"/>
      <c r="Q128" s="130"/>
    </row>
    <row r="129" spans="2:17" x14ac:dyDescent="0.3">
      <c r="E129" s="128"/>
      <c r="F129" s="128"/>
      <c r="G129" s="128"/>
      <c r="H129" s="129"/>
      <c r="I129" s="130"/>
      <c r="J129" s="130"/>
      <c r="K129" s="130"/>
      <c r="L129" s="130"/>
      <c r="M129" s="130"/>
      <c r="N129" s="130"/>
      <c r="O129" s="130"/>
      <c r="P129" s="130"/>
      <c r="Q129" s="130"/>
    </row>
    <row r="130" spans="2:17" x14ac:dyDescent="0.3">
      <c r="B130" s="5" t="s">
        <v>41</v>
      </c>
      <c r="C130" s="5" t="s">
        <v>42</v>
      </c>
      <c r="E130" s="6"/>
      <c r="F130" s="6" t="s">
        <v>43</v>
      </c>
      <c r="G130" s="6" t="s">
        <v>44</v>
      </c>
      <c r="H130" s="6" t="s">
        <v>45</v>
      </c>
      <c r="I130" s="6" t="s">
        <v>46</v>
      </c>
      <c r="J130" s="6" t="s">
        <v>47</v>
      </c>
      <c r="K130" s="6" t="s">
        <v>48</v>
      </c>
      <c r="L130" s="6" t="s">
        <v>49</v>
      </c>
      <c r="M130" s="6" t="s">
        <v>50</v>
      </c>
      <c r="N130" s="6" t="s">
        <v>51</v>
      </c>
      <c r="O130" s="6" t="s">
        <v>52</v>
      </c>
      <c r="P130" s="6" t="s">
        <v>53</v>
      </c>
      <c r="Q130" s="6" t="s">
        <v>54</v>
      </c>
    </row>
    <row r="131" spans="2:17" ht="36" customHeight="1" x14ac:dyDescent="0.3">
      <c r="B131" s="52" t="s">
        <v>1312</v>
      </c>
      <c r="C131" s="52" t="s">
        <v>1313</v>
      </c>
      <c r="E131" s="6" t="s">
        <v>164</v>
      </c>
      <c r="F131" s="133" t="s">
        <v>1024</v>
      </c>
      <c r="G131" s="240" t="s">
        <v>1047</v>
      </c>
      <c r="H131" s="241"/>
      <c r="I131" s="242"/>
      <c r="J131" s="96" t="s">
        <v>797</v>
      </c>
      <c r="K131" s="96" t="s">
        <v>798</v>
      </c>
      <c r="L131" s="240" t="s">
        <v>1048</v>
      </c>
      <c r="M131" s="242"/>
      <c r="N131" s="96" t="s">
        <v>794</v>
      </c>
      <c r="O131" s="96" t="s">
        <v>792</v>
      </c>
      <c r="P131" s="96" t="s">
        <v>795</v>
      </c>
      <c r="Q131" s="96" t="s">
        <v>793</v>
      </c>
    </row>
    <row r="132" spans="2:17" x14ac:dyDescent="0.3">
      <c r="E132" s="6" t="s">
        <v>165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</row>
    <row r="133" spans="2:17" x14ac:dyDescent="0.3">
      <c r="E133" s="6" t="s">
        <v>157</v>
      </c>
      <c r="F133" s="230" t="s">
        <v>166</v>
      </c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</row>
    <row r="134" spans="2:17" x14ac:dyDescent="0.3">
      <c r="E134" s="6" t="s">
        <v>167</v>
      </c>
      <c r="F134" s="111" t="s">
        <v>227</v>
      </c>
      <c r="G134" s="111" t="s">
        <v>227</v>
      </c>
      <c r="H134" s="111" t="s">
        <v>227</v>
      </c>
      <c r="I134" s="111" t="s">
        <v>227</v>
      </c>
      <c r="J134" s="111" t="s">
        <v>227</v>
      </c>
      <c r="K134" s="111" t="s">
        <v>227</v>
      </c>
      <c r="L134" s="111" t="s">
        <v>227</v>
      </c>
      <c r="M134" s="111" t="s">
        <v>227</v>
      </c>
      <c r="N134" s="111" t="s">
        <v>227</v>
      </c>
      <c r="O134" s="111" t="s">
        <v>227</v>
      </c>
      <c r="P134" s="111" t="s">
        <v>227</v>
      </c>
      <c r="Q134" s="111" t="s">
        <v>227</v>
      </c>
    </row>
    <row r="135" spans="2:17" x14ac:dyDescent="0.3">
      <c r="E135" s="203" t="s">
        <v>169</v>
      </c>
      <c r="F135" s="229" t="s">
        <v>1314</v>
      </c>
      <c r="G135" s="229"/>
      <c r="H135" s="169" t="s">
        <v>1320</v>
      </c>
      <c r="I135" s="165"/>
      <c r="J135" s="165"/>
      <c r="K135" s="165"/>
      <c r="L135" s="165"/>
      <c r="M135" s="165"/>
      <c r="N135" s="165"/>
      <c r="O135" s="165"/>
      <c r="P135" s="165"/>
      <c r="Q135" s="165"/>
    </row>
    <row r="136" spans="2:17" ht="113.25" customHeight="1" x14ac:dyDescent="0.3">
      <c r="E136" s="203"/>
      <c r="F136" s="235" t="s">
        <v>1047</v>
      </c>
      <c r="G136" s="235"/>
      <c r="H136" s="236" t="s">
        <v>1321</v>
      </c>
      <c r="I136" s="237"/>
      <c r="J136" s="237"/>
      <c r="K136" s="237"/>
      <c r="L136" s="237"/>
      <c r="M136" s="237"/>
      <c r="N136" s="237"/>
      <c r="O136" s="237"/>
      <c r="P136" s="237"/>
      <c r="Q136" s="237"/>
    </row>
    <row r="137" spans="2:17" x14ac:dyDescent="0.3">
      <c r="E137" s="203"/>
      <c r="F137" s="229" t="s">
        <v>1315</v>
      </c>
      <c r="G137" s="229"/>
      <c r="H137" s="169" t="s">
        <v>1322</v>
      </c>
      <c r="I137" s="165"/>
      <c r="J137" s="165"/>
      <c r="K137" s="165"/>
      <c r="L137" s="165"/>
      <c r="M137" s="165"/>
      <c r="N137" s="165"/>
      <c r="O137" s="165"/>
      <c r="P137" s="165"/>
      <c r="Q137" s="165"/>
    </row>
    <row r="138" spans="2:17" ht="11.25" customHeight="1" x14ac:dyDescent="0.3">
      <c r="E138" s="203"/>
      <c r="F138" s="238" t="s">
        <v>1048</v>
      </c>
      <c r="G138" s="239"/>
      <c r="H138" s="169" t="s">
        <v>1323</v>
      </c>
      <c r="I138" s="165"/>
      <c r="J138" s="165"/>
      <c r="K138" s="165"/>
      <c r="L138" s="165"/>
      <c r="M138" s="165"/>
      <c r="N138" s="165"/>
      <c r="O138" s="165"/>
      <c r="P138" s="165"/>
      <c r="Q138" s="165"/>
    </row>
    <row r="139" spans="2:17" ht="11.25" customHeight="1" x14ac:dyDescent="0.3">
      <c r="E139" s="203"/>
      <c r="F139" s="235" t="s">
        <v>1316</v>
      </c>
      <c r="G139" s="235"/>
      <c r="H139" s="169" t="s">
        <v>1324</v>
      </c>
      <c r="I139" s="165"/>
      <c r="J139" s="165"/>
      <c r="K139" s="165"/>
      <c r="L139" s="165"/>
      <c r="M139" s="165"/>
      <c r="N139" s="165"/>
      <c r="O139" s="165"/>
      <c r="P139" s="165"/>
      <c r="Q139" s="165"/>
    </row>
    <row r="140" spans="2:17" ht="11.25" customHeight="1" x14ac:dyDescent="0.3">
      <c r="E140" s="203"/>
      <c r="F140" s="235" t="s">
        <v>1317</v>
      </c>
      <c r="G140" s="235"/>
      <c r="H140" s="169" t="s">
        <v>1326</v>
      </c>
      <c r="I140" s="165"/>
      <c r="J140" s="165"/>
      <c r="K140" s="165"/>
      <c r="L140" s="165"/>
      <c r="M140" s="165"/>
      <c r="N140" s="165"/>
      <c r="O140" s="165"/>
      <c r="P140" s="165"/>
      <c r="Q140" s="165"/>
    </row>
    <row r="141" spans="2:17" ht="11.25" customHeight="1" x14ac:dyDescent="0.3">
      <c r="E141" s="203"/>
      <c r="F141" s="235" t="s">
        <v>1318</v>
      </c>
      <c r="G141" s="235"/>
      <c r="H141" s="169" t="s">
        <v>1325</v>
      </c>
      <c r="I141" s="165"/>
      <c r="J141" s="165"/>
      <c r="K141" s="165"/>
      <c r="L141" s="165"/>
      <c r="M141" s="165"/>
      <c r="N141" s="165"/>
      <c r="O141" s="165"/>
      <c r="P141" s="165"/>
      <c r="Q141" s="165"/>
    </row>
    <row r="142" spans="2:17" ht="11.25" customHeight="1" x14ac:dyDescent="0.3">
      <c r="E142" s="203"/>
      <c r="F142" s="235" t="s">
        <v>1319</v>
      </c>
      <c r="G142" s="235"/>
      <c r="H142" s="169" t="s">
        <v>1327</v>
      </c>
      <c r="I142" s="165"/>
      <c r="J142" s="165"/>
      <c r="K142" s="165"/>
      <c r="L142" s="165"/>
      <c r="M142" s="165"/>
      <c r="N142" s="165"/>
      <c r="O142" s="165"/>
      <c r="P142" s="165"/>
      <c r="Q142" s="165"/>
    </row>
    <row r="143" spans="2:17" ht="11.25" customHeight="1" x14ac:dyDescent="0.3">
      <c r="E143" s="128"/>
      <c r="F143" s="128"/>
      <c r="G143" s="128"/>
      <c r="H143" s="129"/>
      <c r="I143" s="130"/>
      <c r="J143" s="130"/>
      <c r="K143" s="130"/>
      <c r="L143" s="130"/>
      <c r="M143" s="130"/>
      <c r="N143" s="130"/>
      <c r="O143" s="130"/>
      <c r="P143" s="130"/>
      <c r="Q143" s="130"/>
    </row>
    <row r="144" spans="2:17" ht="11.25" customHeight="1" x14ac:dyDescent="0.3">
      <c r="E144" s="128"/>
      <c r="F144" s="128"/>
      <c r="G144" s="128"/>
      <c r="H144" s="129"/>
      <c r="I144" s="130"/>
      <c r="J144" s="130"/>
      <c r="K144" s="130"/>
      <c r="L144" s="130"/>
      <c r="M144" s="130"/>
      <c r="N144" s="130"/>
      <c r="O144" s="130"/>
      <c r="P144" s="130"/>
      <c r="Q144" s="130"/>
    </row>
    <row r="145" spans="2:17" ht="11.25" customHeight="1" x14ac:dyDescent="0.3">
      <c r="B145" s="5" t="s">
        <v>41</v>
      </c>
      <c r="C145" s="5" t="s">
        <v>42</v>
      </c>
      <c r="E145" s="6"/>
      <c r="F145" s="6" t="s">
        <v>43</v>
      </c>
      <c r="G145" s="6" t="s">
        <v>44</v>
      </c>
      <c r="H145" s="6" t="s">
        <v>45</v>
      </c>
      <c r="I145" s="6" t="s">
        <v>46</v>
      </c>
      <c r="J145" s="6" t="s">
        <v>47</v>
      </c>
      <c r="K145" s="6" t="s">
        <v>48</v>
      </c>
      <c r="L145" s="6" t="s">
        <v>49</v>
      </c>
      <c r="M145" s="6" t="s">
        <v>50</v>
      </c>
      <c r="N145" s="6" t="s">
        <v>51</v>
      </c>
      <c r="O145" s="6" t="s">
        <v>52</v>
      </c>
      <c r="P145" s="6" t="s">
        <v>53</v>
      </c>
      <c r="Q145" s="6" t="s">
        <v>54</v>
      </c>
    </row>
    <row r="146" spans="2:17" ht="25.5" customHeight="1" x14ac:dyDescent="0.3">
      <c r="B146" s="52" t="s">
        <v>1113</v>
      </c>
      <c r="C146" s="52" t="s">
        <v>1114</v>
      </c>
      <c r="E146" s="6" t="s">
        <v>164</v>
      </c>
      <c r="F146" s="97" t="s">
        <v>655</v>
      </c>
      <c r="G146" s="97" t="s">
        <v>655</v>
      </c>
      <c r="H146" s="97" t="s">
        <v>655</v>
      </c>
      <c r="I146" s="134" t="s">
        <v>1328</v>
      </c>
      <c r="J146" s="97" t="s">
        <v>655</v>
      </c>
      <c r="K146" s="134" t="s">
        <v>1208</v>
      </c>
      <c r="L146" s="134" t="s">
        <v>1210</v>
      </c>
      <c r="M146" s="134" t="s">
        <v>1211</v>
      </c>
      <c r="N146" s="234" t="s">
        <v>1099</v>
      </c>
      <c r="O146" s="234"/>
      <c r="P146" s="96" t="s">
        <v>1098</v>
      </c>
      <c r="Q146" s="96" t="s">
        <v>1097</v>
      </c>
    </row>
    <row r="147" spans="2:17" ht="11.25" customHeight="1" x14ac:dyDescent="0.3">
      <c r="E147" s="6" t="s">
        <v>165</v>
      </c>
      <c r="F147" s="123">
        <v>0</v>
      </c>
      <c r="G147" s="123">
        <v>0</v>
      </c>
      <c r="H147" s="123">
        <v>0</v>
      </c>
      <c r="I147" s="16">
        <v>0</v>
      </c>
      <c r="J147" s="123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</row>
    <row r="148" spans="2:17" ht="11.25" customHeight="1" x14ac:dyDescent="0.3">
      <c r="E148" s="6" t="s">
        <v>157</v>
      </c>
      <c r="F148" s="230" t="s">
        <v>166</v>
      </c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</row>
    <row r="149" spans="2:17" ht="11.25" customHeight="1" x14ac:dyDescent="0.3">
      <c r="E149" s="6" t="s">
        <v>167</v>
      </c>
      <c r="F149" s="111" t="s">
        <v>227</v>
      </c>
      <c r="G149" s="111" t="s">
        <v>227</v>
      </c>
      <c r="H149" s="111" t="s">
        <v>227</v>
      </c>
      <c r="I149" s="111" t="s">
        <v>227</v>
      </c>
      <c r="J149" s="111" t="s">
        <v>227</v>
      </c>
      <c r="K149" s="111" t="s">
        <v>227</v>
      </c>
      <c r="L149" s="111" t="s">
        <v>227</v>
      </c>
      <c r="M149" s="111" t="s">
        <v>227</v>
      </c>
      <c r="N149" s="111" t="s">
        <v>227</v>
      </c>
      <c r="O149" s="111" t="s">
        <v>227</v>
      </c>
      <c r="P149" s="111" t="s">
        <v>227</v>
      </c>
      <c r="Q149" s="111" t="s">
        <v>227</v>
      </c>
    </row>
    <row r="150" spans="2:17" ht="11.25" customHeight="1" x14ac:dyDescent="0.3">
      <c r="E150" s="203" t="s">
        <v>1115</v>
      </c>
      <c r="F150" s="229" t="s">
        <v>1225</v>
      </c>
      <c r="G150" s="229"/>
      <c r="H150" s="169" t="s">
        <v>1441</v>
      </c>
      <c r="I150" s="165"/>
      <c r="J150" s="165"/>
      <c r="K150" s="165"/>
      <c r="L150" s="165"/>
      <c r="M150" s="165"/>
      <c r="N150" s="165"/>
      <c r="O150" s="165"/>
      <c r="P150" s="165"/>
      <c r="Q150" s="165"/>
    </row>
    <row r="151" spans="2:17" ht="11.25" customHeight="1" x14ac:dyDescent="0.3">
      <c r="E151" s="203"/>
      <c r="F151" s="164" t="s">
        <v>1331</v>
      </c>
      <c r="G151" s="164"/>
      <c r="H151" s="169" t="s">
        <v>1442</v>
      </c>
      <c r="I151" s="165"/>
      <c r="J151" s="165"/>
      <c r="K151" s="165"/>
      <c r="L151" s="165"/>
      <c r="M151" s="165"/>
      <c r="N151" s="165"/>
      <c r="O151" s="165"/>
      <c r="P151" s="165"/>
      <c r="Q151" s="165"/>
    </row>
    <row r="152" spans="2:17" ht="11.25" customHeight="1" x14ac:dyDescent="0.3">
      <c r="E152" s="203"/>
      <c r="F152" s="231" t="s">
        <v>1210</v>
      </c>
      <c r="G152" s="231"/>
      <c r="H152" s="232"/>
      <c r="I152" s="233"/>
      <c r="J152" s="233"/>
      <c r="K152" s="233"/>
      <c r="L152" s="233"/>
      <c r="M152" s="233"/>
      <c r="N152" s="233"/>
      <c r="O152" s="233"/>
      <c r="P152" s="233"/>
      <c r="Q152" s="233"/>
    </row>
    <row r="153" spans="2:17" ht="11.25" customHeight="1" x14ac:dyDescent="0.3">
      <c r="E153" s="203"/>
      <c r="F153" s="231" t="s">
        <v>1211</v>
      </c>
      <c r="G153" s="231"/>
      <c r="H153" s="232"/>
      <c r="I153" s="233"/>
      <c r="J153" s="233"/>
      <c r="K153" s="233"/>
      <c r="L153" s="233"/>
      <c r="M153" s="233"/>
      <c r="N153" s="233"/>
      <c r="O153" s="233"/>
      <c r="P153" s="233"/>
      <c r="Q153" s="233"/>
    </row>
    <row r="154" spans="2:17" ht="63.75" customHeight="1" x14ac:dyDescent="0.3">
      <c r="E154" s="203"/>
      <c r="F154" s="229" t="s">
        <v>1099</v>
      </c>
      <c r="G154" s="229"/>
      <c r="H154" s="169" t="s">
        <v>1445</v>
      </c>
      <c r="I154" s="165"/>
      <c r="J154" s="165"/>
      <c r="K154" s="165"/>
      <c r="L154" s="165"/>
      <c r="M154" s="165"/>
      <c r="N154" s="165"/>
      <c r="O154" s="165"/>
      <c r="P154" s="165"/>
      <c r="Q154" s="165"/>
    </row>
    <row r="155" spans="2:17" ht="39.75" customHeight="1" x14ac:dyDescent="0.3">
      <c r="E155" s="203"/>
      <c r="F155" s="164" t="s">
        <v>1332</v>
      </c>
      <c r="G155" s="164"/>
      <c r="H155" s="169" t="s">
        <v>1444</v>
      </c>
      <c r="I155" s="165"/>
      <c r="J155" s="165"/>
      <c r="K155" s="165"/>
      <c r="L155" s="165"/>
      <c r="M155" s="165"/>
      <c r="N155" s="165"/>
      <c r="O155" s="165"/>
      <c r="P155" s="165"/>
      <c r="Q155" s="165"/>
    </row>
    <row r="156" spans="2:17" ht="34.5" customHeight="1" x14ac:dyDescent="0.3">
      <c r="E156" s="203"/>
      <c r="F156" s="164" t="s">
        <v>1333</v>
      </c>
      <c r="G156" s="164"/>
      <c r="H156" s="169" t="s">
        <v>1443</v>
      </c>
      <c r="I156" s="165"/>
      <c r="J156" s="165"/>
      <c r="K156" s="165"/>
      <c r="L156" s="165"/>
      <c r="M156" s="165"/>
      <c r="N156" s="165"/>
      <c r="O156" s="165"/>
      <c r="P156" s="165"/>
      <c r="Q156" s="165"/>
    </row>
    <row r="157" spans="2:17" ht="11.25" customHeight="1" x14ac:dyDescent="0.3">
      <c r="E157" s="128"/>
      <c r="F157" s="128"/>
      <c r="G157" s="128"/>
      <c r="H157" s="129"/>
      <c r="I157" s="130"/>
      <c r="J157" s="130"/>
      <c r="K157" s="130"/>
      <c r="L157" s="130"/>
      <c r="M157" s="130"/>
      <c r="N157" s="130"/>
      <c r="O157" s="130"/>
      <c r="P157" s="130"/>
      <c r="Q157" s="130"/>
    </row>
    <row r="158" spans="2:17" ht="11.25" customHeight="1" x14ac:dyDescent="0.3">
      <c r="E158" s="128"/>
      <c r="F158" s="128"/>
      <c r="G158" s="128"/>
      <c r="H158" s="129"/>
      <c r="I158" s="130"/>
      <c r="J158" s="130"/>
      <c r="K158" s="130"/>
      <c r="L158" s="130"/>
      <c r="M158" s="130"/>
      <c r="N158" s="130"/>
      <c r="O158" s="130"/>
      <c r="P158" s="130"/>
      <c r="Q158" s="130"/>
    </row>
    <row r="159" spans="2:17" ht="11.25" customHeight="1" x14ac:dyDescent="0.3">
      <c r="E159" s="44"/>
      <c r="F159" s="68"/>
      <c r="G159" s="68"/>
      <c r="H159" s="17"/>
      <c r="I159" s="23"/>
      <c r="J159" s="23"/>
      <c r="K159" s="23"/>
      <c r="L159" s="23"/>
      <c r="M159" s="23"/>
      <c r="N159" s="23"/>
      <c r="O159" s="23"/>
      <c r="P159" s="23"/>
      <c r="Q159" s="23"/>
    </row>
    <row r="160" spans="2:17" ht="11.25" customHeight="1" x14ac:dyDescent="0.3">
      <c r="E160" s="44"/>
      <c r="F160" s="68"/>
      <c r="G160" s="68"/>
      <c r="H160" s="17"/>
      <c r="I160" s="23"/>
      <c r="J160" s="23"/>
      <c r="K160" s="23"/>
      <c r="L160" s="23"/>
      <c r="M160" s="23"/>
      <c r="N160" s="23"/>
      <c r="O160" s="23"/>
      <c r="P160" s="23"/>
      <c r="Q160" s="23"/>
    </row>
    <row r="161" spans="2:17" x14ac:dyDescent="0.3">
      <c r="B161" s="5" t="s">
        <v>41</v>
      </c>
      <c r="C161" s="5" t="s">
        <v>42</v>
      </c>
      <c r="E161" s="6"/>
      <c r="F161" s="6" t="s">
        <v>43</v>
      </c>
      <c r="G161" s="6" t="s">
        <v>44</v>
      </c>
      <c r="H161" s="6" t="s">
        <v>45</v>
      </c>
      <c r="I161" s="6" t="s">
        <v>46</v>
      </c>
      <c r="J161" s="6" t="s">
        <v>47</v>
      </c>
      <c r="K161" s="6" t="s">
        <v>48</v>
      </c>
      <c r="L161" s="6" t="s">
        <v>49</v>
      </c>
      <c r="M161" s="6" t="s">
        <v>50</v>
      </c>
      <c r="N161" s="6" t="s">
        <v>51</v>
      </c>
      <c r="O161" s="6" t="s">
        <v>52</v>
      </c>
      <c r="P161" s="6" t="s">
        <v>53</v>
      </c>
      <c r="Q161" s="6" t="s">
        <v>54</v>
      </c>
    </row>
    <row r="162" spans="2:17" ht="30" customHeight="1" x14ac:dyDescent="0.3">
      <c r="B162" s="16" t="s">
        <v>305</v>
      </c>
      <c r="C162" s="123" t="s">
        <v>1026</v>
      </c>
      <c r="E162" s="6" t="s">
        <v>164</v>
      </c>
      <c r="F162" s="234" t="s">
        <v>698</v>
      </c>
      <c r="G162" s="234"/>
      <c r="H162" s="234"/>
      <c r="I162" s="234"/>
      <c r="J162" s="97" t="s">
        <v>655</v>
      </c>
      <c r="K162" s="97" t="s">
        <v>655</v>
      </c>
      <c r="L162" s="240" t="s">
        <v>1032</v>
      </c>
      <c r="M162" s="242"/>
      <c r="N162" s="96" t="s">
        <v>1031</v>
      </c>
      <c r="O162" s="125" t="s">
        <v>1454</v>
      </c>
      <c r="P162" s="97" t="s">
        <v>655</v>
      </c>
      <c r="Q162" s="96" t="s">
        <v>1455</v>
      </c>
    </row>
    <row r="163" spans="2:17" x14ac:dyDescent="0.3">
      <c r="E163" s="6" t="s">
        <v>165</v>
      </c>
      <c r="F163" s="16">
        <v>0</v>
      </c>
      <c r="G163" s="16">
        <v>1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</row>
    <row r="164" spans="2:17" x14ac:dyDescent="0.3">
      <c r="E164" s="6" t="s">
        <v>157</v>
      </c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8"/>
    </row>
    <row r="165" spans="2:17" ht="13.5" customHeight="1" x14ac:dyDescent="0.3">
      <c r="E165" s="6" t="s">
        <v>167</v>
      </c>
      <c r="F165" s="166" t="s">
        <v>227</v>
      </c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8"/>
    </row>
    <row r="166" spans="2:17" x14ac:dyDescent="0.3">
      <c r="E166" s="156" t="s">
        <v>1115</v>
      </c>
      <c r="F166" s="165" t="s">
        <v>1116</v>
      </c>
      <c r="G166" s="165"/>
      <c r="H166" s="165" t="s">
        <v>1121</v>
      </c>
      <c r="I166" s="165"/>
      <c r="J166" s="165"/>
      <c r="K166" s="165"/>
      <c r="L166" s="165"/>
      <c r="M166" s="165"/>
      <c r="N166" s="165"/>
      <c r="O166" s="165"/>
      <c r="P166" s="165"/>
      <c r="Q166" s="165"/>
    </row>
    <row r="167" spans="2:17" ht="57" customHeight="1" x14ac:dyDescent="0.3">
      <c r="E167" s="157"/>
      <c r="F167" s="165" t="s">
        <v>1032</v>
      </c>
      <c r="G167" s="165"/>
      <c r="H167" s="169" t="s">
        <v>1450</v>
      </c>
      <c r="I167" s="165"/>
      <c r="J167" s="165"/>
      <c r="K167" s="165"/>
      <c r="L167" s="165"/>
      <c r="M167" s="165"/>
      <c r="N167" s="165"/>
      <c r="O167" s="165"/>
      <c r="P167" s="165"/>
      <c r="Q167" s="165"/>
    </row>
    <row r="168" spans="2:17" ht="33" customHeight="1" x14ac:dyDescent="0.3">
      <c r="E168" s="157"/>
      <c r="F168" s="165" t="s">
        <v>1031</v>
      </c>
      <c r="G168" s="165"/>
      <c r="H168" s="169" t="s">
        <v>1449</v>
      </c>
      <c r="I168" s="165"/>
      <c r="J168" s="165"/>
      <c r="K168" s="165"/>
      <c r="L168" s="165"/>
      <c r="M168" s="165"/>
      <c r="N168" s="165"/>
      <c r="O168" s="165"/>
      <c r="P168" s="165"/>
      <c r="Q168" s="165"/>
    </row>
    <row r="169" spans="2:17" ht="35.25" customHeight="1" x14ac:dyDescent="0.3">
      <c r="E169" s="157"/>
      <c r="F169" s="165" t="s">
        <v>1448</v>
      </c>
      <c r="G169" s="165"/>
      <c r="H169" s="169" t="s">
        <v>1451</v>
      </c>
      <c r="I169" s="165"/>
      <c r="J169" s="165"/>
      <c r="K169" s="165"/>
      <c r="L169" s="165"/>
      <c r="M169" s="165"/>
      <c r="N169" s="165"/>
      <c r="O169" s="165"/>
      <c r="P169" s="165"/>
      <c r="Q169" s="165"/>
    </row>
    <row r="170" spans="2:17" ht="36" customHeight="1" x14ac:dyDescent="0.3">
      <c r="E170" s="158"/>
      <c r="F170" s="165" t="s">
        <v>1453</v>
      </c>
      <c r="G170" s="165"/>
      <c r="H170" s="169" t="s">
        <v>1452</v>
      </c>
      <c r="I170" s="165"/>
      <c r="J170" s="165"/>
      <c r="K170" s="165"/>
      <c r="L170" s="165"/>
      <c r="M170" s="165"/>
      <c r="N170" s="165"/>
      <c r="O170" s="165"/>
      <c r="P170" s="165"/>
      <c r="Q170" s="165"/>
    </row>
    <row r="171" spans="2:17" ht="11.25" customHeight="1" x14ac:dyDescent="0.3">
      <c r="E171" s="44"/>
      <c r="F171" s="68"/>
      <c r="G171" s="68"/>
      <c r="H171" s="17"/>
      <c r="I171" s="23"/>
      <c r="J171" s="23"/>
      <c r="K171" s="23"/>
      <c r="L171" s="23"/>
      <c r="M171" s="23"/>
      <c r="N171" s="23"/>
      <c r="O171" s="23"/>
      <c r="P171" s="23"/>
      <c r="Q171" s="23"/>
    </row>
    <row r="172" spans="2:17" ht="11.25" customHeight="1" x14ac:dyDescent="0.3">
      <c r="E172" s="44"/>
      <c r="F172" s="68"/>
      <c r="G172" s="68"/>
      <c r="H172" s="17"/>
      <c r="I172" s="23"/>
      <c r="J172" s="23"/>
      <c r="K172" s="23"/>
      <c r="L172" s="23"/>
      <c r="M172" s="23"/>
      <c r="N172" s="23"/>
      <c r="O172" s="23"/>
      <c r="P172" s="23"/>
      <c r="Q172" s="23"/>
    </row>
    <row r="173" spans="2:17" x14ac:dyDescent="0.3">
      <c r="B173" s="5" t="s">
        <v>41</v>
      </c>
      <c r="C173" s="5" t="s">
        <v>42</v>
      </c>
      <c r="E173" s="6"/>
      <c r="F173" s="6" t="s">
        <v>43</v>
      </c>
      <c r="G173" s="6" t="s">
        <v>44</v>
      </c>
      <c r="H173" s="6" t="s">
        <v>45</v>
      </c>
      <c r="I173" s="6" t="s">
        <v>46</v>
      </c>
      <c r="J173" s="6" t="s">
        <v>47</v>
      </c>
      <c r="K173" s="6" t="s">
        <v>48</v>
      </c>
      <c r="L173" s="6" t="s">
        <v>49</v>
      </c>
      <c r="M173" s="6" t="s">
        <v>50</v>
      </c>
      <c r="N173" s="6" t="s">
        <v>51</v>
      </c>
      <c r="O173" s="6" t="s">
        <v>52</v>
      </c>
      <c r="P173" s="6" t="s">
        <v>53</v>
      </c>
      <c r="Q173" s="6" t="s">
        <v>54</v>
      </c>
    </row>
    <row r="174" spans="2:17" ht="30" customHeight="1" x14ac:dyDescent="0.3">
      <c r="B174" s="16" t="s">
        <v>307</v>
      </c>
      <c r="C174" s="123" t="s">
        <v>1027</v>
      </c>
      <c r="E174" s="6" t="s">
        <v>164</v>
      </c>
      <c r="F174" s="234" t="s">
        <v>699</v>
      </c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</row>
    <row r="175" spans="2:17" x14ac:dyDescent="0.3">
      <c r="E175" s="6" t="s">
        <v>165</v>
      </c>
      <c r="F175" s="16">
        <v>0</v>
      </c>
      <c r="G175" s="16">
        <v>0</v>
      </c>
      <c r="H175" s="16">
        <v>0</v>
      </c>
      <c r="I175" s="16">
        <v>1</v>
      </c>
      <c r="J175" s="16">
        <v>0</v>
      </c>
      <c r="K175" s="16">
        <v>1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</row>
    <row r="176" spans="2:17" x14ac:dyDescent="0.3">
      <c r="E176" s="6" t="s">
        <v>157</v>
      </c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8"/>
    </row>
    <row r="177" spans="2:17" ht="13.5" customHeight="1" x14ac:dyDescent="0.3">
      <c r="E177" s="6" t="s">
        <v>167</v>
      </c>
      <c r="F177" s="166" t="s">
        <v>227</v>
      </c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8"/>
    </row>
    <row r="178" spans="2:17" x14ac:dyDescent="0.3">
      <c r="E178" s="124" t="s">
        <v>169</v>
      </c>
      <c r="F178" s="165" t="s">
        <v>699</v>
      </c>
      <c r="G178" s="165"/>
      <c r="H178" s="165" t="s">
        <v>1117</v>
      </c>
      <c r="I178" s="165"/>
      <c r="J178" s="165"/>
      <c r="K178" s="165"/>
      <c r="L178" s="165"/>
      <c r="M178" s="165"/>
      <c r="N178" s="165"/>
      <c r="O178" s="165"/>
      <c r="P178" s="165"/>
      <c r="Q178" s="165"/>
    </row>
    <row r="179" spans="2:17" ht="11.25" customHeight="1" x14ac:dyDescent="0.3">
      <c r="E179" s="44"/>
      <c r="F179" s="68"/>
      <c r="G179" s="68"/>
      <c r="H179" s="17"/>
      <c r="I179" s="23"/>
      <c r="J179" s="23"/>
      <c r="K179" s="23"/>
      <c r="L179" s="23"/>
      <c r="M179" s="23"/>
      <c r="N179" s="23"/>
      <c r="O179" s="23"/>
      <c r="P179" s="23"/>
      <c r="Q179" s="23"/>
    </row>
    <row r="180" spans="2:17" ht="11.25" customHeight="1" x14ac:dyDescent="0.3">
      <c r="E180" s="44"/>
      <c r="F180" s="68"/>
      <c r="G180" s="68"/>
      <c r="H180" s="17"/>
      <c r="I180" s="23"/>
      <c r="J180" s="23"/>
      <c r="K180" s="23"/>
      <c r="L180" s="23"/>
      <c r="M180" s="23"/>
      <c r="N180" s="23"/>
      <c r="O180" s="23"/>
      <c r="P180" s="23"/>
      <c r="Q180" s="23"/>
    </row>
    <row r="181" spans="2:17" x14ac:dyDescent="0.3">
      <c r="B181" s="5" t="s">
        <v>41</v>
      </c>
      <c r="C181" s="5" t="s">
        <v>42</v>
      </c>
      <c r="E181" s="6"/>
      <c r="F181" s="6" t="s">
        <v>43</v>
      </c>
      <c r="G181" s="6" t="s">
        <v>44</v>
      </c>
      <c r="H181" s="6" t="s">
        <v>45</v>
      </c>
      <c r="I181" s="6" t="s">
        <v>46</v>
      </c>
      <c r="J181" s="6" t="s">
        <v>47</v>
      </c>
      <c r="K181" s="6" t="s">
        <v>48</v>
      </c>
      <c r="L181" s="6" t="s">
        <v>49</v>
      </c>
      <c r="M181" s="6" t="s">
        <v>50</v>
      </c>
      <c r="N181" s="6" t="s">
        <v>51</v>
      </c>
      <c r="O181" s="6" t="s">
        <v>52</v>
      </c>
      <c r="P181" s="6" t="s">
        <v>53</v>
      </c>
      <c r="Q181" s="6" t="s">
        <v>54</v>
      </c>
    </row>
    <row r="182" spans="2:17" ht="30" customHeight="1" x14ac:dyDescent="0.3">
      <c r="B182" s="16" t="s">
        <v>309</v>
      </c>
      <c r="C182" s="123" t="s">
        <v>1028</v>
      </c>
      <c r="E182" s="6" t="s">
        <v>164</v>
      </c>
      <c r="F182" s="234" t="s">
        <v>700</v>
      </c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</row>
    <row r="183" spans="2:17" x14ac:dyDescent="0.3">
      <c r="E183" s="6" t="s">
        <v>165</v>
      </c>
      <c r="F183" s="16">
        <v>0</v>
      </c>
      <c r="G183" s="16">
        <v>1</v>
      </c>
      <c r="H183" s="16">
        <v>0</v>
      </c>
      <c r="I183" s="16">
        <v>1</v>
      </c>
      <c r="J183" s="16">
        <v>1</v>
      </c>
      <c r="K183" s="16">
        <v>0</v>
      </c>
      <c r="L183" s="16">
        <v>1</v>
      </c>
      <c r="M183" s="16">
        <v>0</v>
      </c>
      <c r="N183" s="16">
        <v>0</v>
      </c>
      <c r="O183" s="16">
        <v>1</v>
      </c>
      <c r="P183" s="16">
        <v>0</v>
      </c>
      <c r="Q183" s="16">
        <v>1</v>
      </c>
    </row>
    <row r="184" spans="2:17" x14ac:dyDescent="0.3">
      <c r="E184" s="6" t="s">
        <v>157</v>
      </c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8"/>
    </row>
    <row r="185" spans="2:17" ht="13.5" customHeight="1" x14ac:dyDescent="0.3">
      <c r="E185" s="6" t="s">
        <v>167</v>
      </c>
      <c r="F185" s="166" t="s">
        <v>227</v>
      </c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8"/>
    </row>
    <row r="186" spans="2:17" ht="36" customHeight="1" x14ac:dyDescent="0.3">
      <c r="E186" s="124" t="s">
        <v>169</v>
      </c>
      <c r="F186" s="165" t="s">
        <v>700</v>
      </c>
      <c r="G186" s="165"/>
      <c r="H186" s="169" t="s">
        <v>1446</v>
      </c>
      <c r="I186" s="165"/>
      <c r="J186" s="165"/>
      <c r="K186" s="165"/>
      <c r="L186" s="165"/>
      <c r="M186" s="165"/>
      <c r="N186" s="165"/>
      <c r="O186" s="165"/>
      <c r="P186" s="165"/>
      <c r="Q186" s="165"/>
    </row>
    <row r="187" spans="2:17" ht="11.1" customHeight="1" x14ac:dyDescent="0.3">
      <c r="E187" s="44"/>
      <c r="F187" s="68"/>
      <c r="G187" s="68"/>
      <c r="H187" s="17"/>
      <c r="I187" s="23"/>
      <c r="J187" s="23"/>
      <c r="K187" s="23"/>
      <c r="L187" s="23"/>
      <c r="M187" s="23"/>
      <c r="N187" s="23"/>
      <c r="O187" s="23"/>
      <c r="P187" s="23"/>
      <c r="Q187" s="23"/>
    </row>
    <row r="188" spans="2:17" ht="11.1" customHeight="1" x14ac:dyDescent="0.3">
      <c r="E188" s="44"/>
      <c r="F188" s="68"/>
      <c r="G188" s="68"/>
      <c r="H188" s="17"/>
      <c r="I188" s="23"/>
      <c r="J188" s="23"/>
      <c r="K188" s="23"/>
      <c r="L188" s="23"/>
      <c r="M188" s="23"/>
      <c r="N188" s="23"/>
      <c r="O188" s="23"/>
      <c r="P188" s="23"/>
      <c r="Q188" s="23"/>
    </row>
    <row r="189" spans="2:17" x14ac:dyDescent="0.3">
      <c r="B189" s="5" t="s">
        <v>41</v>
      </c>
      <c r="C189" s="5" t="s">
        <v>42</v>
      </c>
      <c r="E189" s="6"/>
      <c r="F189" s="6" t="s">
        <v>43</v>
      </c>
      <c r="G189" s="6" t="s">
        <v>44</v>
      </c>
      <c r="H189" s="6" t="s">
        <v>45</v>
      </c>
      <c r="I189" s="6" t="s">
        <v>46</v>
      </c>
      <c r="J189" s="6" t="s">
        <v>47</v>
      </c>
      <c r="K189" s="6" t="s">
        <v>48</v>
      </c>
      <c r="L189" s="6" t="s">
        <v>49</v>
      </c>
      <c r="M189" s="6" t="s">
        <v>50</v>
      </c>
      <c r="N189" s="6" t="s">
        <v>51</v>
      </c>
      <c r="O189" s="6" t="s">
        <v>52</v>
      </c>
      <c r="P189" s="6" t="s">
        <v>53</v>
      </c>
      <c r="Q189" s="6" t="s">
        <v>54</v>
      </c>
    </row>
    <row r="190" spans="2:17" ht="30" customHeight="1" x14ac:dyDescent="0.3">
      <c r="B190" s="16" t="s">
        <v>311</v>
      </c>
      <c r="C190" s="123" t="s">
        <v>1131</v>
      </c>
      <c r="E190" s="6" t="s">
        <v>164</v>
      </c>
      <c r="F190" s="240" t="s">
        <v>1124</v>
      </c>
      <c r="G190" s="241"/>
      <c r="H190" s="241"/>
      <c r="I190" s="241"/>
      <c r="J190" s="241"/>
      <c r="K190" s="241"/>
      <c r="L190" s="241"/>
      <c r="M190" s="241"/>
      <c r="N190" s="241"/>
      <c r="O190" s="241"/>
      <c r="P190" s="241"/>
      <c r="Q190" s="242"/>
    </row>
    <row r="191" spans="2:17" x14ac:dyDescent="0.3">
      <c r="E191" s="6" t="s">
        <v>165</v>
      </c>
      <c r="F191" s="16">
        <v>0</v>
      </c>
      <c r="G191" s="16">
        <v>0</v>
      </c>
      <c r="H191" s="16">
        <v>0</v>
      </c>
      <c r="I191" s="16">
        <v>1</v>
      </c>
      <c r="J191" s="16">
        <v>0</v>
      </c>
      <c r="K191" s="16">
        <v>1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</row>
    <row r="192" spans="2:17" x14ac:dyDescent="0.3">
      <c r="E192" s="6" t="s">
        <v>157</v>
      </c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8"/>
    </row>
    <row r="193" spans="2:17" ht="13.5" customHeight="1" x14ac:dyDescent="0.3">
      <c r="E193" s="6" t="s">
        <v>167</v>
      </c>
      <c r="F193" s="166" t="s">
        <v>227</v>
      </c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8"/>
    </row>
    <row r="194" spans="2:17" x14ac:dyDescent="0.3">
      <c r="E194" s="124" t="s">
        <v>169</v>
      </c>
      <c r="F194" s="165" t="s">
        <v>1124</v>
      </c>
      <c r="G194" s="165"/>
      <c r="H194" s="165" t="s">
        <v>1135</v>
      </c>
      <c r="I194" s="165"/>
      <c r="J194" s="165"/>
      <c r="K194" s="165"/>
      <c r="L194" s="165"/>
      <c r="M194" s="165"/>
      <c r="N194" s="165"/>
      <c r="O194" s="165"/>
      <c r="P194" s="165"/>
      <c r="Q194" s="165"/>
    </row>
    <row r="195" spans="2:17" ht="11.25" customHeight="1" x14ac:dyDescent="0.3">
      <c r="E195" s="44"/>
      <c r="F195" s="68"/>
      <c r="G195" s="68"/>
      <c r="H195" s="17"/>
      <c r="I195" s="23"/>
      <c r="J195" s="23"/>
      <c r="K195" s="23"/>
      <c r="L195" s="23"/>
      <c r="M195" s="23"/>
      <c r="N195" s="23"/>
      <c r="O195" s="23"/>
      <c r="P195" s="23"/>
      <c r="Q195" s="23"/>
    </row>
    <row r="196" spans="2:17" ht="11.25" customHeight="1" x14ac:dyDescent="0.3">
      <c r="E196" s="44"/>
      <c r="F196" s="68"/>
      <c r="G196" s="68"/>
      <c r="H196" s="17"/>
      <c r="I196" s="23"/>
      <c r="J196" s="23"/>
      <c r="K196" s="23"/>
      <c r="L196" s="23"/>
      <c r="M196" s="23"/>
      <c r="N196" s="23"/>
      <c r="O196" s="23"/>
      <c r="P196" s="23"/>
      <c r="Q196" s="23"/>
    </row>
    <row r="197" spans="2:17" x14ac:dyDescent="0.3">
      <c r="B197" s="5" t="s">
        <v>41</v>
      </c>
      <c r="C197" s="5" t="s">
        <v>42</v>
      </c>
      <c r="E197" s="6"/>
      <c r="F197" s="6" t="s">
        <v>43</v>
      </c>
      <c r="G197" s="6" t="s">
        <v>44</v>
      </c>
      <c r="H197" s="6" t="s">
        <v>45</v>
      </c>
      <c r="I197" s="6" t="s">
        <v>46</v>
      </c>
      <c r="J197" s="6" t="s">
        <v>47</v>
      </c>
      <c r="K197" s="6" t="s">
        <v>48</v>
      </c>
      <c r="L197" s="6" t="s">
        <v>49</v>
      </c>
      <c r="M197" s="6" t="s">
        <v>50</v>
      </c>
      <c r="N197" s="6" t="s">
        <v>51</v>
      </c>
      <c r="O197" s="6" t="s">
        <v>52</v>
      </c>
      <c r="P197" s="6" t="s">
        <v>53</v>
      </c>
      <c r="Q197" s="6" t="s">
        <v>54</v>
      </c>
    </row>
    <row r="198" spans="2:17" ht="30" customHeight="1" x14ac:dyDescent="0.3">
      <c r="B198" s="16" t="s">
        <v>313</v>
      </c>
      <c r="C198" s="123" t="s">
        <v>1132</v>
      </c>
      <c r="E198" s="6" t="s">
        <v>164</v>
      </c>
      <c r="F198" s="240" t="s">
        <v>1125</v>
      </c>
      <c r="G198" s="241"/>
      <c r="H198" s="241"/>
      <c r="I198" s="241"/>
      <c r="J198" s="241"/>
      <c r="K198" s="241"/>
      <c r="L198" s="241"/>
      <c r="M198" s="241"/>
      <c r="N198" s="241"/>
      <c r="O198" s="241"/>
      <c r="P198" s="241"/>
      <c r="Q198" s="242"/>
    </row>
    <row r="199" spans="2:17" x14ac:dyDescent="0.3">
      <c r="E199" s="6" t="s">
        <v>165</v>
      </c>
      <c r="F199" s="16">
        <v>0</v>
      </c>
      <c r="G199" s="16">
        <v>1</v>
      </c>
      <c r="H199" s="16">
        <v>0</v>
      </c>
      <c r="I199" s="16">
        <v>1</v>
      </c>
      <c r="J199" s="16">
        <v>1</v>
      </c>
      <c r="K199" s="16">
        <v>0</v>
      </c>
      <c r="L199" s="16">
        <v>1</v>
      </c>
      <c r="M199" s="16">
        <v>0</v>
      </c>
      <c r="N199" s="16">
        <v>0</v>
      </c>
      <c r="O199" s="16">
        <v>1</v>
      </c>
      <c r="P199" s="16">
        <v>0</v>
      </c>
      <c r="Q199" s="16">
        <v>1</v>
      </c>
    </row>
    <row r="200" spans="2:17" x14ac:dyDescent="0.3">
      <c r="E200" s="6" t="s">
        <v>157</v>
      </c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8"/>
    </row>
    <row r="201" spans="2:17" ht="13.5" customHeight="1" x14ac:dyDescent="0.3">
      <c r="E201" s="6" t="s">
        <v>167</v>
      </c>
      <c r="F201" s="166" t="s">
        <v>227</v>
      </c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8"/>
    </row>
    <row r="202" spans="2:17" x14ac:dyDescent="0.3">
      <c r="E202" s="124" t="s">
        <v>169</v>
      </c>
      <c r="F202" s="165" t="s">
        <v>1125</v>
      </c>
      <c r="G202" s="165"/>
      <c r="H202" s="165" t="s">
        <v>1138</v>
      </c>
      <c r="I202" s="165"/>
      <c r="J202" s="165"/>
      <c r="K202" s="165"/>
      <c r="L202" s="165"/>
      <c r="M202" s="165"/>
      <c r="N202" s="165"/>
      <c r="O202" s="165"/>
      <c r="P202" s="165"/>
      <c r="Q202" s="165"/>
    </row>
    <row r="203" spans="2:17" ht="11.1" customHeight="1" x14ac:dyDescent="0.3">
      <c r="E203" s="44"/>
      <c r="F203" s="68"/>
      <c r="G203" s="68"/>
      <c r="H203" s="17"/>
      <c r="I203" s="23"/>
      <c r="J203" s="23"/>
      <c r="K203" s="23"/>
      <c r="L203" s="23"/>
      <c r="M203" s="23"/>
      <c r="N203" s="23"/>
      <c r="O203" s="23"/>
      <c r="P203" s="23"/>
      <c r="Q203" s="23"/>
    </row>
    <row r="204" spans="2:17" ht="11.1" customHeight="1" x14ac:dyDescent="0.3">
      <c r="E204" s="44"/>
      <c r="F204" s="68"/>
      <c r="G204" s="68"/>
      <c r="H204" s="17"/>
      <c r="I204" s="23"/>
      <c r="J204" s="23"/>
      <c r="K204" s="23"/>
      <c r="L204" s="23"/>
      <c r="M204" s="23"/>
      <c r="N204" s="23"/>
      <c r="O204" s="23"/>
      <c r="P204" s="23"/>
      <c r="Q204" s="23"/>
    </row>
    <row r="205" spans="2:17" x14ac:dyDescent="0.3">
      <c r="B205" s="5" t="s">
        <v>41</v>
      </c>
      <c r="C205" s="5" t="s">
        <v>42</v>
      </c>
      <c r="E205" s="6"/>
      <c r="F205" s="6" t="s">
        <v>43</v>
      </c>
      <c r="G205" s="6" t="s">
        <v>44</v>
      </c>
      <c r="H205" s="6" t="s">
        <v>45</v>
      </c>
      <c r="I205" s="6" t="s">
        <v>46</v>
      </c>
      <c r="J205" s="6" t="s">
        <v>47</v>
      </c>
      <c r="K205" s="6" t="s">
        <v>48</v>
      </c>
      <c r="L205" s="6" t="s">
        <v>49</v>
      </c>
      <c r="M205" s="6" t="s">
        <v>50</v>
      </c>
      <c r="N205" s="6" t="s">
        <v>51</v>
      </c>
      <c r="O205" s="6" t="s">
        <v>52</v>
      </c>
      <c r="P205" s="6" t="s">
        <v>53</v>
      </c>
      <c r="Q205" s="6" t="s">
        <v>54</v>
      </c>
    </row>
    <row r="206" spans="2:17" ht="30" customHeight="1" x14ac:dyDescent="0.3">
      <c r="B206" s="16" t="s">
        <v>1128</v>
      </c>
      <c r="C206" s="123" t="s">
        <v>1133</v>
      </c>
      <c r="E206" s="6" t="s">
        <v>164</v>
      </c>
      <c r="F206" s="240" t="s">
        <v>1126</v>
      </c>
      <c r="G206" s="241"/>
      <c r="H206" s="241"/>
      <c r="I206" s="241"/>
      <c r="J206" s="241"/>
      <c r="K206" s="241"/>
      <c r="L206" s="241"/>
      <c r="M206" s="241"/>
      <c r="N206" s="241"/>
      <c r="O206" s="241"/>
      <c r="P206" s="241"/>
      <c r="Q206" s="242"/>
    </row>
    <row r="207" spans="2:17" x14ac:dyDescent="0.3">
      <c r="E207" s="6" t="s">
        <v>165</v>
      </c>
      <c r="F207" s="16">
        <v>0</v>
      </c>
      <c r="G207" s="16">
        <v>0</v>
      </c>
      <c r="H207" s="16">
        <v>0</v>
      </c>
      <c r="I207" s="16">
        <v>1</v>
      </c>
      <c r="J207" s="16">
        <v>0</v>
      </c>
      <c r="K207" s="16">
        <v>1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</row>
    <row r="208" spans="2:17" x14ac:dyDescent="0.3">
      <c r="E208" s="6" t="s">
        <v>157</v>
      </c>
      <c r="F208" s="166" t="s">
        <v>227</v>
      </c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8"/>
    </row>
    <row r="209" spans="2:17" ht="13.5" customHeight="1" x14ac:dyDescent="0.3">
      <c r="E209" s="6" t="s">
        <v>167</v>
      </c>
    </row>
    <row r="210" spans="2:17" x14ac:dyDescent="0.3">
      <c r="E210" s="124" t="s">
        <v>169</v>
      </c>
      <c r="F210" s="165" t="s">
        <v>1126</v>
      </c>
      <c r="G210" s="165"/>
      <c r="H210" s="165" t="s">
        <v>1137</v>
      </c>
      <c r="I210" s="165"/>
      <c r="J210" s="165"/>
      <c r="K210" s="165"/>
      <c r="L210" s="165"/>
      <c r="M210" s="165"/>
      <c r="N210" s="165"/>
      <c r="O210" s="165"/>
      <c r="P210" s="165"/>
      <c r="Q210" s="165"/>
    </row>
    <row r="211" spans="2:17" ht="11.25" customHeight="1" x14ac:dyDescent="0.3">
      <c r="E211" s="44"/>
      <c r="F211" s="68"/>
      <c r="G211" s="68"/>
      <c r="H211" s="17"/>
      <c r="I211" s="23"/>
      <c r="J211" s="23"/>
      <c r="K211" s="23"/>
      <c r="L211" s="23"/>
      <c r="M211" s="23"/>
      <c r="N211" s="23"/>
      <c r="O211" s="23"/>
      <c r="P211" s="23"/>
      <c r="Q211" s="23"/>
    </row>
    <row r="212" spans="2:17" ht="11.25" customHeight="1" x14ac:dyDescent="0.3">
      <c r="E212" s="44"/>
      <c r="F212" s="68"/>
      <c r="G212" s="68"/>
      <c r="H212" s="17"/>
      <c r="I212" s="23"/>
      <c r="J212" s="23"/>
      <c r="K212" s="23"/>
      <c r="L212" s="23"/>
      <c r="M212" s="23"/>
      <c r="N212" s="23"/>
      <c r="O212" s="23"/>
      <c r="P212" s="23"/>
      <c r="Q212" s="23"/>
    </row>
    <row r="213" spans="2:17" x14ac:dyDescent="0.3">
      <c r="B213" s="5" t="s">
        <v>41</v>
      </c>
      <c r="C213" s="5" t="s">
        <v>42</v>
      </c>
      <c r="E213" s="6"/>
      <c r="F213" s="6" t="s">
        <v>43</v>
      </c>
      <c r="G213" s="6" t="s">
        <v>44</v>
      </c>
      <c r="H213" s="6" t="s">
        <v>45</v>
      </c>
      <c r="I213" s="6" t="s">
        <v>46</v>
      </c>
      <c r="J213" s="6" t="s">
        <v>47</v>
      </c>
      <c r="K213" s="6" t="s">
        <v>48</v>
      </c>
      <c r="L213" s="6" t="s">
        <v>49</v>
      </c>
      <c r="M213" s="6" t="s">
        <v>50</v>
      </c>
      <c r="N213" s="6" t="s">
        <v>51</v>
      </c>
      <c r="O213" s="6" t="s">
        <v>52</v>
      </c>
      <c r="P213" s="6" t="s">
        <v>53</v>
      </c>
      <c r="Q213" s="6" t="s">
        <v>54</v>
      </c>
    </row>
    <row r="214" spans="2:17" ht="30" customHeight="1" x14ac:dyDescent="0.3">
      <c r="B214" s="16" t="s">
        <v>316</v>
      </c>
      <c r="C214" s="123" t="s">
        <v>1134</v>
      </c>
      <c r="E214" s="6" t="s">
        <v>164</v>
      </c>
      <c r="F214" s="240" t="s">
        <v>1127</v>
      </c>
      <c r="G214" s="241"/>
      <c r="H214" s="241"/>
      <c r="I214" s="241"/>
      <c r="J214" s="241"/>
      <c r="K214" s="241"/>
      <c r="L214" s="241"/>
      <c r="M214" s="241"/>
      <c r="N214" s="241"/>
      <c r="O214" s="241"/>
      <c r="P214" s="241"/>
      <c r="Q214" s="242"/>
    </row>
    <row r="215" spans="2:17" x14ac:dyDescent="0.3">
      <c r="E215" s="6" t="s">
        <v>165</v>
      </c>
      <c r="F215" s="16">
        <v>0</v>
      </c>
      <c r="G215" s="16">
        <v>1</v>
      </c>
      <c r="H215" s="16">
        <v>0</v>
      </c>
      <c r="I215" s="16">
        <v>1</v>
      </c>
      <c r="J215" s="16">
        <v>1</v>
      </c>
      <c r="K215" s="16">
        <v>0</v>
      </c>
      <c r="L215" s="16">
        <v>1</v>
      </c>
      <c r="M215" s="16">
        <v>0</v>
      </c>
      <c r="N215" s="16">
        <v>0</v>
      </c>
      <c r="O215" s="16">
        <v>1</v>
      </c>
      <c r="P215" s="16">
        <v>0</v>
      </c>
      <c r="Q215" s="16">
        <v>1</v>
      </c>
    </row>
    <row r="216" spans="2:17" x14ac:dyDescent="0.3">
      <c r="E216" s="6" t="s">
        <v>157</v>
      </c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8"/>
    </row>
    <row r="217" spans="2:17" ht="13.5" customHeight="1" x14ac:dyDescent="0.3">
      <c r="E217" s="6" t="s">
        <v>167</v>
      </c>
      <c r="F217" s="166" t="s">
        <v>227</v>
      </c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8"/>
    </row>
    <row r="218" spans="2:17" x14ac:dyDescent="0.3">
      <c r="E218" s="124" t="s">
        <v>169</v>
      </c>
      <c r="F218" s="165" t="s">
        <v>1127</v>
      </c>
      <c r="G218" s="165"/>
      <c r="H218" s="165" t="s">
        <v>1136</v>
      </c>
      <c r="I218" s="165"/>
      <c r="J218" s="165"/>
      <c r="K218" s="165"/>
      <c r="L218" s="165"/>
      <c r="M218" s="165"/>
      <c r="N218" s="165"/>
      <c r="O218" s="165"/>
      <c r="P218" s="165"/>
      <c r="Q218" s="165"/>
    </row>
    <row r="219" spans="2:17" ht="11.1" customHeight="1" x14ac:dyDescent="0.3">
      <c r="E219" s="44"/>
      <c r="F219" s="68"/>
      <c r="G219" s="68"/>
      <c r="H219" s="17"/>
      <c r="I219" s="23"/>
      <c r="J219" s="23"/>
      <c r="K219" s="23"/>
      <c r="L219" s="23"/>
      <c r="M219" s="23"/>
      <c r="N219" s="23"/>
      <c r="O219" s="23"/>
      <c r="P219" s="23"/>
      <c r="Q219" s="23"/>
    </row>
    <row r="220" spans="2:17" ht="11.1" customHeight="1" x14ac:dyDescent="0.3">
      <c r="E220" s="44"/>
      <c r="F220" s="68"/>
      <c r="G220" s="68"/>
      <c r="H220" s="17"/>
      <c r="I220" s="23"/>
      <c r="J220" s="23"/>
      <c r="K220" s="23"/>
      <c r="L220" s="23"/>
      <c r="M220" s="23"/>
      <c r="N220" s="23"/>
      <c r="O220" s="23"/>
      <c r="P220" s="23"/>
      <c r="Q220" s="23"/>
    </row>
    <row r="221" spans="2:17" ht="11.1" customHeight="1" x14ac:dyDescent="0.3">
      <c r="E221" s="44"/>
      <c r="F221" s="68"/>
      <c r="G221" s="68"/>
      <c r="H221" s="17"/>
      <c r="I221" s="23"/>
      <c r="J221" s="23"/>
      <c r="K221" s="23"/>
      <c r="L221" s="23"/>
      <c r="M221" s="23"/>
      <c r="N221" s="23"/>
      <c r="O221" s="23"/>
      <c r="P221" s="23"/>
      <c r="Q221" s="23"/>
    </row>
    <row r="222" spans="2:17" ht="11.1" customHeight="1" x14ac:dyDescent="0.3">
      <c r="E222" s="44"/>
      <c r="F222" s="68"/>
      <c r="G222" s="68"/>
      <c r="H222" s="17"/>
      <c r="I222" s="23"/>
      <c r="J222" s="23"/>
      <c r="K222" s="23"/>
      <c r="L222" s="23"/>
      <c r="M222" s="23"/>
      <c r="N222" s="23"/>
      <c r="O222" s="23"/>
      <c r="P222" s="23"/>
      <c r="Q222" s="23"/>
    </row>
    <row r="223" spans="2:17" ht="11.25" customHeight="1" x14ac:dyDescent="0.3">
      <c r="E223" s="44"/>
      <c r="F223" s="68"/>
      <c r="G223" s="68"/>
      <c r="H223" s="17"/>
      <c r="I223" s="23"/>
      <c r="J223" s="23"/>
      <c r="K223" s="23"/>
      <c r="L223" s="23"/>
      <c r="M223" s="23"/>
      <c r="N223" s="23"/>
      <c r="O223" s="23"/>
      <c r="P223" s="23"/>
      <c r="Q223" s="23"/>
    </row>
    <row r="224" spans="2:17" ht="11.25" customHeight="1" x14ac:dyDescent="0.3">
      <c r="E224" s="143" t="s">
        <v>1469</v>
      </c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</row>
    <row r="225" spans="2:19" ht="11.25" customHeight="1" x14ac:dyDescent="0.3">
      <c r="E225" s="44"/>
      <c r="F225" s="68"/>
      <c r="G225" s="68"/>
      <c r="H225" s="17"/>
      <c r="I225" s="23"/>
      <c r="J225" s="23"/>
      <c r="K225" s="23"/>
      <c r="L225" s="23"/>
      <c r="M225" s="23"/>
      <c r="N225" s="23"/>
      <c r="O225" s="23"/>
      <c r="P225" s="23"/>
      <c r="Q225" s="23"/>
    </row>
    <row r="226" spans="2:19" ht="11.25" customHeight="1" x14ac:dyDescent="0.3">
      <c r="E226" s="44"/>
      <c r="F226" s="68"/>
      <c r="G226" s="68"/>
      <c r="H226" s="17"/>
      <c r="I226" s="23"/>
      <c r="J226" s="23"/>
      <c r="K226" s="23"/>
      <c r="L226" s="23"/>
      <c r="M226" s="23"/>
      <c r="N226" s="23"/>
      <c r="O226" s="23"/>
      <c r="P226" s="23"/>
      <c r="Q226" s="23"/>
    </row>
    <row r="227" spans="2:19" x14ac:dyDescent="0.3">
      <c r="B227" s="5" t="s">
        <v>41</v>
      </c>
      <c r="C227" s="5" t="s">
        <v>42</v>
      </c>
      <c r="E227" s="6"/>
      <c r="F227" s="6" t="s">
        <v>43</v>
      </c>
      <c r="G227" s="6" t="s">
        <v>44</v>
      </c>
      <c r="H227" s="6" t="s">
        <v>45</v>
      </c>
      <c r="I227" s="6" t="s">
        <v>46</v>
      </c>
      <c r="J227" s="6" t="s">
        <v>47</v>
      </c>
      <c r="K227" s="6" t="s">
        <v>48</v>
      </c>
      <c r="L227" s="6" t="s">
        <v>49</v>
      </c>
      <c r="M227" s="6" t="s">
        <v>50</v>
      </c>
      <c r="N227" s="6" t="s">
        <v>51</v>
      </c>
      <c r="O227" s="6" t="s">
        <v>52</v>
      </c>
      <c r="P227" s="6" t="s">
        <v>53</v>
      </c>
      <c r="Q227" s="6" t="s">
        <v>54</v>
      </c>
    </row>
    <row r="228" spans="2:19" ht="30" customHeight="1" x14ac:dyDescent="0.3">
      <c r="B228" s="123"/>
      <c r="C228" s="123" t="s">
        <v>604</v>
      </c>
      <c r="E228" s="6" t="s">
        <v>164</v>
      </c>
      <c r="F228" s="97" t="s">
        <v>655</v>
      </c>
      <c r="G228" s="97" t="s">
        <v>655</v>
      </c>
      <c r="H228" s="97" t="s">
        <v>655</v>
      </c>
      <c r="I228" s="97" t="s">
        <v>655</v>
      </c>
      <c r="J228" s="122" t="s">
        <v>603</v>
      </c>
      <c r="K228" s="122" t="s">
        <v>602</v>
      </c>
      <c r="L228" s="122" t="s">
        <v>601</v>
      </c>
      <c r="M228" s="122" t="s">
        <v>600</v>
      </c>
      <c r="N228" s="153" t="s">
        <v>599</v>
      </c>
      <c r="O228" s="153"/>
      <c r="P228" s="153"/>
      <c r="Q228" s="153"/>
    </row>
    <row r="229" spans="2:19" x14ac:dyDescent="0.3">
      <c r="E229" s="6" t="s">
        <v>165</v>
      </c>
      <c r="F229" s="123">
        <v>0</v>
      </c>
      <c r="G229" s="123">
        <v>0</v>
      </c>
      <c r="H229" s="123">
        <v>0</v>
      </c>
      <c r="I229" s="123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</row>
    <row r="230" spans="2:19" x14ac:dyDescent="0.3">
      <c r="E230" s="6" t="s">
        <v>157</v>
      </c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8"/>
    </row>
    <row r="231" spans="2:19" ht="13.5" customHeight="1" x14ac:dyDescent="0.3">
      <c r="E231" s="6" t="s">
        <v>167</v>
      </c>
      <c r="F231" s="166" t="s">
        <v>227</v>
      </c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8"/>
    </row>
    <row r="232" spans="2:19" ht="16.5" customHeight="1" x14ac:dyDescent="0.3">
      <c r="E232" s="254" t="s">
        <v>169</v>
      </c>
      <c r="F232" s="165" t="s">
        <v>603</v>
      </c>
      <c r="G232" s="165"/>
      <c r="H232" s="165" t="s">
        <v>605</v>
      </c>
      <c r="I232" s="165"/>
      <c r="J232" s="165"/>
      <c r="K232" s="165"/>
      <c r="L232" s="165"/>
      <c r="M232" s="165"/>
      <c r="N232" s="165"/>
      <c r="O232" s="165"/>
      <c r="P232" s="165"/>
      <c r="Q232" s="165"/>
    </row>
    <row r="233" spans="2:19" x14ac:dyDescent="0.3">
      <c r="E233" s="258"/>
      <c r="F233" s="165" t="s">
        <v>602</v>
      </c>
      <c r="G233" s="165"/>
      <c r="H233" s="165" t="s">
        <v>606</v>
      </c>
      <c r="I233" s="165"/>
      <c r="J233" s="165"/>
      <c r="K233" s="165"/>
      <c r="L233" s="165"/>
      <c r="M233" s="165"/>
      <c r="N233" s="165"/>
      <c r="O233" s="165"/>
      <c r="P233" s="165"/>
      <c r="Q233" s="165"/>
    </row>
    <row r="234" spans="2:19" x14ac:dyDescent="0.3">
      <c r="E234" s="258"/>
      <c r="F234" s="165" t="s">
        <v>601</v>
      </c>
      <c r="G234" s="165"/>
      <c r="H234" s="165" t="s">
        <v>607</v>
      </c>
      <c r="I234" s="165"/>
      <c r="J234" s="165"/>
      <c r="K234" s="165"/>
      <c r="L234" s="165"/>
      <c r="M234" s="165"/>
      <c r="N234" s="165"/>
      <c r="O234" s="165"/>
      <c r="P234" s="165"/>
      <c r="Q234" s="165"/>
    </row>
    <row r="235" spans="2:19" x14ac:dyDescent="0.3">
      <c r="E235" s="258"/>
      <c r="F235" s="165" t="s">
        <v>600</v>
      </c>
      <c r="G235" s="165"/>
      <c r="H235" s="165" t="s">
        <v>608</v>
      </c>
      <c r="I235" s="165"/>
      <c r="J235" s="165"/>
      <c r="K235" s="165"/>
      <c r="L235" s="165"/>
      <c r="M235" s="165"/>
      <c r="N235" s="165"/>
      <c r="O235" s="165"/>
      <c r="P235" s="165"/>
      <c r="Q235" s="165"/>
    </row>
    <row r="236" spans="2:19" x14ac:dyDescent="0.3">
      <c r="E236" s="255"/>
      <c r="F236" s="165" t="s">
        <v>599</v>
      </c>
      <c r="G236" s="165"/>
      <c r="H236" s="165" t="s">
        <v>609</v>
      </c>
      <c r="I236" s="165"/>
      <c r="J236" s="165"/>
      <c r="K236" s="165"/>
      <c r="L236" s="165"/>
      <c r="M236" s="165"/>
      <c r="N236" s="165"/>
      <c r="O236" s="165"/>
      <c r="P236" s="165"/>
      <c r="Q236" s="165"/>
    </row>
    <row r="237" spans="2:19" ht="11.25" customHeight="1" x14ac:dyDescent="0.3"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</row>
    <row r="238" spans="2:19" ht="11.25" customHeight="1" x14ac:dyDescent="0.3"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</row>
    <row r="239" spans="2:19" x14ac:dyDescent="0.3">
      <c r="B239" s="5" t="s">
        <v>41</v>
      </c>
      <c r="C239" s="5" t="s">
        <v>42</v>
      </c>
      <c r="E239" s="6"/>
      <c r="F239" s="6" t="s">
        <v>43</v>
      </c>
      <c r="G239" s="6" t="s">
        <v>44</v>
      </c>
      <c r="H239" s="6" t="s">
        <v>45</v>
      </c>
      <c r="I239" s="6" t="s">
        <v>46</v>
      </c>
      <c r="J239" s="6" t="s">
        <v>47</v>
      </c>
      <c r="K239" s="6" t="s">
        <v>48</v>
      </c>
      <c r="L239" s="6" t="s">
        <v>49</v>
      </c>
      <c r="M239" s="6" t="s">
        <v>50</v>
      </c>
      <c r="N239" s="6" t="s">
        <v>51</v>
      </c>
      <c r="O239" s="6" t="s">
        <v>52</v>
      </c>
      <c r="P239" s="6" t="s">
        <v>53</v>
      </c>
      <c r="Q239" s="6" t="s">
        <v>54</v>
      </c>
    </row>
    <row r="240" spans="2:19" ht="30" customHeight="1" x14ac:dyDescent="0.3">
      <c r="B240" s="123" t="s">
        <v>767</v>
      </c>
      <c r="C240" s="123" t="s">
        <v>616</v>
      </c>
      <c r="E240" s="6" t="s">
        <v>164</v>
      </c>
      <c r="F240" s="153" t="s">
        <v>612</v>
      </c>
      <c r="G240" s="153"/>
      <c r="H240" s="153"/>
      <c r="I240" s="153"/>
      <c r="J240" s="153" t="s">
        <v>611</v>
      </c>
      <c r="K240" s="153"/>
      <c r="L240" s="153"/>
      <c r="M240" s="153"/>
      <c r="N240" s="153" t="s">
        <v>610</v>
      </c>
      <c r="O240" s="153"/>
      <c r="P240" s="153"/>
      <c r="Q240" s="153"/>
      <c r="S240" s="12" t="s">
        <v>260</v>
      </c>
    </row>
    <row r="241" spans="2:17" x14ac:dyDescent="0.3">
      <c r="E241" s="6" t="s">
        <v>165</v>
      </c>
      <c r="F241" s="167" t="s">
        <v>617</v>
      </c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8"/>
    </row>
    <row r="242" spans="2:17" x14ac:dyDescent="0.3">
      <c r="E242" s="6" t="s">
        <v>157</v>
      </c>
      <c r="F242" s="167" t="s">
        <v>617</v>
      </c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8"/>
    </row>
    <row r="243" spans="2:17" x14ac:dyDescent="0.3">
      <c r="E243" s="6" t="s">
        <v>167</v>
      </c>
    </row>
    <row r="244" spans="2:17" ht="16.5" customHeight="1" x14ac:dyDescent="0.3">
      <c r="E244" s="254" t="s">
        <v>169</v>
      </c>
      <c r="F244" s="165" t="s">
        <v>612</v>
      </c>
      <c r="G244" s="165"/>
      <c r="H244" s="165" t="s">
        <v>618</v>
      </c>
      <c r="I244" s="165"/>
      <c r="J244" s="165"/>
      <c r="K244" s="165"/>
      <c r="L244" s="165"/>
      <c r="M244" s="165"/>
      <c r="N244" s="165"/>
      <c r="O244" s="165"/>
      <c r="P244" s="165"/>
      <c r="Q244" s="165"/>
    </row>
    <row r="245" spans="2:17" x14ac:dyDescent="0.3">
      <c r="E245" s="258"/>
      <c r="F245" s="165" t="s">
        <v>611</v>
      </c>
      <c r="G245" s="165"/>
      <c r="H245" s="165" t="s">
        <v>618</v>
      </c>
      <c r="I245" s="165"/>
      <c r="J245" s="165"/>
      <c r="K245" s="165"/>
      <c r="L245" s="165"/>
      <c r="M245" s="165"/>
      <c r="N245" s="165"/>
      <c r="O245" s="165"/>
      <c r="P245" s="165"/>
      <c r="Q245" s="165"/>
    </row>
    <row r="246" spans="2:17" ht="12" customHeight="1" x14ac:dyDescent="0.3">
      <c r="E246" s="255"/>
      <c r="F246" s="165" t="s">
        <v>610</v>
      </c>
      <c r="G246" s="165"/>
      <c r="H246" s="165" t="s">
        <v>619</v>
      </c>
      <c r="I246" s="165"/>
      <c r="J246" s="165"/>
      <c r="K246" s="165"/>
      <c r="L246" s="165"/>
      <c r="M246" s="165"/>
      <c r="N246" s="165"/>
      <c r="O246" s="165"/>
      <c r="P246" s="165"/>
      <c r="Q246" s="165"/>
    </row>
    <row r="248" spans="2:17" x14ac:dyDescent="0.3">
      <c r="B248" s="5" t="s">
        <v>41</v>
      </c>
      <c r="C248" s="5" t="s">
        <v>42</v>
      </c>
      <c r="E248" s="6"/>
      <c r="F248" s="6" t="s">
        <v>43</v>
      </c>
      <c r="G248" s="6" t="s">
        <v>44</v>
      </c>
      <c r="H248" s="6" t="s">
        <v>45</v>
      </c>
      <c r="I248" s="6" t="s">
        <v>46</v>
      </c>
      <c r="J248" s="6" t="s">
        <v>47</v>
      </c>
      <c r="K248" s="6" t="s">
        <v>48</v>
      </c>
      <c r="L248" s="6" t="s">
        <v>49</v>
      </c>
      <c r="M248" s="6" t="s">
        <v>50</v>
      </c>
      <c r="N248" s="6" t="s">
        <v>51</v>
      </c>
      <c r="O248" s="6" t="s">
        <v>52</v>
      </c>
      <c r="P248" s="6" t="s">
        <v>53</v>
      </c>
      <c r="Q248" s="6" t="s">
        <v>54</v>
      </c>
    </row>
    <row r="249" spans="2:17" ht="30" customHeight="1" x14ac:dyDescent="0.3">
      <c r="B249" s="123" t="s">
        <v>768</v>
      </c>
      <c r="C249" s="123" t="s">
        <v>620</v>
      </c>
      <c r="E249" s="6" t="s">
        <v>164</v>
      </c>
      <c r="F249" s="153" t="s">
        <v>613</v>
      </c>
      <c r="G249" s="153"/>
      <c r="H249" s="153"/>
      <c r="I249" s="153"/>
      <c r="J249" s="97" t="s">
        <v>655</v>
      </c>
      <c r="K249" s="153" t="s">
        <v>614</v>
      </c>
      <c r="L249" s="153"/>
      <c r="M249" s="153"/>
      <c r="N249" s="97" t="s">
        <v>655</v>
      </c>
      <c r="O249" s="153" t="s">
        <v>615</v>
      </c>
      <c r="P249" s="153"/>
      <c r="Q249" s="153"/>
    </row>
    <row r="250" spans="2:17" x14ac:dyDescent="0.3">
      <c r="E250" s="6" t="s">
        <v>165</v>
      </c>
      <c r="F250" s="167" t="s">
        <v>617</v>
      </c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8"/>
    </row>
    <row r="251" spans="2:17" x14ac:dyDescent="0.3">
      <c r="E251" s="6" t="s">
        <v>157</v>
      </c>
      <c r="F251" s="167" t="s">
        <v>617</v>
      </c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8"/>
    </row>
    <row r="252" spans="2:17" x14ac:dyDescent="0.3">
      <c r="E252" s="6" t="s">
        <v>167</v>
      </c>
      <c r="F252" s="72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8"/>
    </row>
    <row r="253" spans="2:17" ht="16.5" customHeight="1" x14ac:dyDescent="0.3">
      <c r="E253" s="254" t="s">
        <v>169</v>
      </c>
      <c r="F253" s="165" t="s">
        <v>613</v>
      </c>
      <c r="G253" s="165"/>
      <c r="H253" s="165" t="s">
        <v>621</v>
      </c>
      <c r="I253" s="165"/>
      <c r="J253" s="165"/>
      <c r="K253" s="165"/>
      <c r="L253" s="165"/>
      <c r="M253" s="165"/>
      <c r="N253" s="165"/>
      <c r="O253" s="165"/>
      <c r="P253" s="165"/>
      <c r="Q253" s="165"/>
    </row>
    <row r="254" spans="2:17" x14ac:dyDescent="0.3">
      <c r="E254" s="258"/>
      <c r="F254" s="165" t="s">
        <v>614</v>
      </c>
      <c r="G254" s="165"/>
      <c r="H254" s="165" t="s">
        <v>623</v>
      </c>
      <c r="I254" s="165"/>
      <c r="J254" s="165"/>
      <c r="K254" s="165"/>
      <c r="L254" s="165"/>
      <c r="M254" s="165"/>
      <c r="N254" s="165"/>
      <c r="O254" s="165"/>
      <c r="P254" s="165"/>
      <c r="Q254" s="165"/>
    </row>
    <row r="255" spans="2:17" x14ac:dyDescent="0.3">
      <c r="E255" s="255"/>
      <c r="F255" s="165" t="s">
        <v>615</v>
      </c>
      <c r="G255" s="165"/>
      <c r="H255" s="165" t="s">
        <v>622</v>
      </c>
      <c r="I255" s="165"/>
      <c r="J255" s="165"/>
      <c r="K255" s="165"/>
      <c r="L255" s="165"/>
      <c r="M255" s="165"/>
      <c r="N255" s="165"/>
      <c r="O255" s="165"/>
      <c r="P255" s="165"/>
      <c r="Q255" s="165"/>
    </row>
    <row r="257" spans="2:17" x14ac:dyDescent="0.3">
      <c r="B257" s="5" t="s">
        <v>41</v>
      </c>
      <c r="C257" s="5" t="s">
        <v>42</v>
      </c>
      <c r="E257" s="6"/>
      <c r="F257" s="6" t="s">
        <v>43</v>
      </c>
      <c r="G257" s="6" t="s">
        <v>44</v>
      </c>
      <c r="H257" s="6" t="s">
        <v>45</v>
      </c>
      <c r="I257" s="6" t="s">
        <v>46</v>
      </c>
      <c r="J257" s="6" t="s">
        <v>47</v>
      </c>
      <c r="K257" s="6" t="s">
        <v>48</v>
      </c>
      <c r="L257" s="6" t="s">
        <v>49</v>
      </c>
      <c r="M257" s="6" t="s">
        <v>50</v>
      </c>
      <c r="N257" s="6" t="s">
        <v>51</v>
      </c>
      <c r="O257" s="6" t="s">
        <v>52</v>
      </c>
      <c r="P257" s="6" t="s">
        <v>53</v>
      </c>
      <c r="Q257" s="6" t="s">
        <v>54</v>
      </c>
    </row>
    <row r="258" spans="2:17" ht="30" customHeight="1" x14ac:dyDescent="0.3">
      <c r="B258" s="123" t="s">
        <v>769</v>
      </c>
      <c r="C258" s="123" t="s">
        <v>624</v>
      </c>
      <c r="E258" s="6" t="s">
        <v>164</v>
      </c>
      <c r="F258" s="97" t="s">
        <v>655</v>
      </c>
      <c r="G258" s="153" t="s">
        <v>644</v>
      </c>
      <c r="H258" s="153"/>
      <c r="I258" s="153"/>
      <c r="J258" s="122" t="s">
        <v>899</v>
      </c>
      <c r="K258" s="153" t="s">
        <v>645</v>
      </c>
      <c r="L258" s="153"/>
      <c r="M258" s="153"/>
      <c r="N258" s="97" t="s">
        <v>655</v>
      </c>
      <c r="O258" s="146" t="s">
        <v>625</v>
      </c>
      <c r="P258" s="147"/>
      <c r="Q258" s="148"/>
    </row>
    <row r="259" spans="2:17" x14ac:dyDescent="0.3">
      <c r="E259" s="6" t="s">
        <v>165</v>
      </c>
      <c r="F259" s="167" t="s">
        <v>617</v>
      </c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8"/>
    </row>
    <row r="260" spans="2:17" x14ac:dyDescent="0.3">
      <c r="E260" s="6" t="s">
        <v>157</v>
      </c>
      <c r="F260" s="167" t="s">
        <v>617</v>
      </c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8"/>
    </row>
    <row r="261" spans="2:17" x14ac:dyDescent="0.3">
      <c r="E261" s="6" t="s">
        <v>167</v>
      </c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8"/>
    </row>
    <row r="262" spans="2:17" x14ac:dyDescent="0.3">
      <c r="E262" s="254" t="s">
        <v>169</v>
      </c>
      <c r="F262" s="163" t="s">
        <v>644</v>
      </c>
      <c r="G262" s="165"/>
      <c r="H262" s="165" t="s">
        <v>646</v>
      </c>
      <c r="I262" s="165"/>
      <c r="J262" s="165"/>
      <c r="K262" s="165"/>
      <c r="L262" s="165"/>
      <c r="M262" s="165"/>
      <c r="N262" s="165"/>
      <c r="O262" s="165"/>
      <c r="P262" s="165"/>
      <c r="Q262" s="165"/>
    </row>
    <row r="263" spans="2:17" x14ac:dyDescent="0.3">
      <c r="E263" s="258"/>
      <c r="F263" s="259" t="s">
        <v>899</v>
      </c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</row>
    <row r="264" spans="2:17" x14ac:dyDescent="0.3">
      <c r="E264" s="258"/>
      <c r="F264" s="163" t="s">
        <v>645</v>
      </c>
      <c r="G264" s="165"/>
      <c r="H264" s="165" t="s">
        <v>646</v>
      </c>
      <c r="I264" s="165"/>
      <c r="J264" s="165"/>
      <c r="K264" s="165"/>
      <c r="L264" s="165"/>
      <c r="M264" s="165"/>
      <c r="N264" s="165"/>
      <c r="O264" s="165"/>
      <c r="P264" s="165"/>
      <c r="Q264" s="165"/>
    </row>
    <row r="265" spans="2:17" x14ac:dyDescent="0.3">
      <c r="E265" s="255"/>
      <c r="F265" s="165" t="s">
        <v>1447</v>
      </c>
      <c r="G265" s="165"/>
      <c r="H265" s="165" t="s">
        <v>619</v>
      </c>
      <c r="I265" s="165"/>
      <c r="J265" s="165"/>
      <c r="K265" s="165"/>
      <c r="L265" s="165"/>
      <c r="M265" s="165"/>
      <c r="N265" s="165"/>
      <c r="O265" s="165"/>
      <c r="P265" s="165"/>
      <c r="Q265" s="165"/>
    </row>
    <row r="267" spans="2:17" x14ac:dyDescent="0.3">
      <c r="B267" s="5" t="s">
        <v>41</v>
      </c>
      <c r="C267" s="5" t="s">
        <v>42</v>
      </c>
      <c r="E267" s="6"/>
      <c r="F267" s="6" t="s">
        <v>43</v>
      </c>
      <c r="G267" s="6" t="s">
        <v>44</v>
      </c>
      <c r="H267" s="6" t="s">
        <v>45</v>
      </c>
      <c r="I267" s="6" t="s">
        <v>46</v>
      </c>
      <c r="J267" s="6" t="s">
        <v>47</v>
      </c>
      <c r="K267" s="6" t="s">
        <v>48</v>
      </c>
      <c r="L267" s="6" t="s">
        <v>49</v>
      </c>
      <c r="M267" s="6" t="s">
        <v>50</v>
      </c>
      <c r="N267" s="6" t="s">
        <v>51</v>
      </c>
      <c r="O267" s="6" t="s">
        <v>52</v>
      </c>
      <c r="P267" s="6" t="s">
        <v>53</v>
      </c>
      <c r="Q267" s="6" t="s">
        <v>54</v>
      </c>
    </row>
    <row r="268" spans="2:17" ht="30" customHeight="1" x14ac:dyDescent="0.3">
      <c r="B268" s="123" t="s">
        <v>770</v>
      </c>
      <c r="C268" s="123" t="s">
        <v>649</v>
      </c>
      <c r="E268" s="6" t="s">
        <v>164</v>
      </c>
      <c r="F268" s="252" t="s">
        <v>1456</v>
      </c>
      <c r="G268" s="253"/>
      <c r="H268" s="253"/>
      <c r="I268" s="253"/>
      <c r="J268" s="253"/>
      <c r="K268" s="253"/>
      <c r="L268" s="253"/>
      <c r="M268" s="97" t="s">
        <v>655</v>
      </c>
      <c r="N268" s="146" t="s">
        <v>647</v>
      </c>
      <c r="O268" s="148"/>
      <c r="P268" s="146" t="s">
        <v>648</v>
      </c>
      <c r="Q268" s="148"/>
    </row>
    <row r="269" spans="2:17" x14ac:dyDescent="0.3">
      <c r="E269" s="6" t="s">
        <v>165</v>
      </c>
      <c r="F269" s="167" t="s">
        <v>617</v>
      </c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8"/>
    </row>
    <row r="270" spans="2:17" x14ac:dyDescent="0.3">
      <c r="E270" s="6" t="s">
        <v>157</v>
      </c>
      <c r="F270" s="167" t="s">
        <v>617</v>
      </c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8"/>
    </row>
    <row r="271" spans="2:17" x14ac:dyDescent="0.3">
      <c r="E271" s="6" t="s">
        <v>167</v>
      </c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8"/>
    </row>
    <row r="272" spans="2:17" ht="16.5" customHeight="1" x14ac:dyDescent="0.3">
      <c r="E272" s="254" t="s">
        <v>169</v>
      </c>
      <c r="F272" s="260" t="s">
        <v>1456</v>
      </c>
      <c r="G272" s="256"/>
      <c r="H272" s="260" t="s">
        <v>1460</v>
      </c>
      <c r="I272" s="261"/>
      <c r="J272" s="261"/>
      <c r="K272" s="261"/>
      <c r="L272" s="261"/>
      <c r="M272" s="261"/>
      <c r="N272" s="261"/>
      <c r="O272" s="261"/>
      <c r="P272" s="261"/>
      <c r="Q272" s="256"/>
    </row>
    <row r="273" spans="2:17" x14ac:dyDescent="0.3">
      <c r="E273" s="258"/>
      <c r="F273" s="262" t="s">
        <v>647</v>
      </c>
      <c r="G273" s="259"/>
      <c r="H273" s="262" t="s">
        <v>650</v>
      </c>
      <c r="I273" s="263"/>
      <c r="J273" s="263"/>
      <c r="K273" s="263"/>
      <c r="L273" s="263"/>
      <c r="M273" s="263"/>
      <c r="N273" s="263"/>
      <c r="O273" s="263"/>
      <c r="P273" s="263"/>
      <c r="Q273" s="259"/>
    </row>
    <row r="274" spans="2:17" x14ac:dyDescent="0.3">
      <c r="E274" s="258"/>
      <c r="F274" s="259" t="s">
        <v>648</v>
      </c>
      <c r="G274" s="233"/>
      <c r="H274" s="233" t="s">
        <v>650</v>
      </c>
      <c r="I274" s="233"/>
      <c r="J274" s="233"/>
      <c r="K274" s="233"/>
      <c r="L274" s="233"/>
      <c r="M274" s="233"/>
      <c r="N274" s="233"/>
      <c r="O274" s="233"/>
      <c r="P274" s="233"/>
      <c r="Q274" s="233"/>
    </row>
    <row r="275" spans="2:17" ht="12.75" customHeight="1" x14ac:dyDescent="0.3"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</row>
    <row r="276" spans="2:17" ht="12.75" customHeight="1" x14ac:dyDescent="0.3">
      <c r="B276" s="5" t="s">
        <v>41</v>
      </c>
      <c r="C276" s="5" t="s">
        <v>42</v>
      </c>
      <c r="E276" s="6"/>
      <c r="F276" s="6" t="s">
        <v>43</v>
      </c>
      <c r="G276" s="6" t="s">
        <v>44</v>
      </c>
      <c r="H276" s="6" t="s">
        <v>45</v>
      </c>
      <c r="I276" s="6" t="s">
        <v>46</v>
      </c>
      <c r="J276" s="6" t="s">
        <v>47</v>
      </c>
      <c r="K276" s="6" t="s">
        <v>48</v>
      </c>
      <c r="L276" s="6" t="s">
        <v>49</v>
      </c>
      <c r="M276" s="6" t="s">
        <v>50</v>
      </c>
      <c r="N276" s="6" t="s">
        <v>51</v>
      </c>
      <c r="O276" s="6" t="s">
        <v>52</v>
      </c>
      <c r="P276" s="6" t="s">
        <v>53</v>
      </c>
      <c r="Q276" s="6" t="s">
        <v>54</v>
      </c>
    </row>
    <row r="277" spans="2:17" ht="33.75" customHeight="1" x14ac:dyDescent="0.3">
      <c r="B277" s="123" t="s">
        <v>771</v>
      </c>
      <c r="C277" s="123" t="s">
        <v>1461</v>
      </c>
      <c r="E277" s="6" t="s">
        <v>164</v>
      </c>
      <c r="F277" s="252" t="s">
        <v>1458</v>
      </c>
      <c r="G277" s="253"/>
      <c r="H277" s="253"/>
      <c r="I277" s="253"/>
      <c r="J277" s="253"/>
      <c r="K277" s="253"/>
      <c r="L277" s="253"/>
      <c r="M277" s="253"/>
      <c r="N277" s="146" t="s">
        <v>1457</v>
      </c>
      <c r="O277" s="147"/>
      <c r="P277" s="147"/>
      <c r="Q277" s="148"/>
    </row>
    <row r="278" spans="2:17" ht="12.75" customHeight="1" x14ac:dyDescent="0.3">
      <c r="E278" s="6" t="s">
        <v>165</v>
      </c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8"/>
    </row>
    <row r="279" spans="2:17" ht="12.75" customHeight="1" x14ac:dyDescent="0.3">
      <c r="E279" s="6" t="s">
        <v>157</v>
      </c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8"/>
    </row>
    <row r="280" spans="2:17" ht="12.75" customHeight="1" x14ac:dyDescent="0.3">
      <c r="E280" s="6" t="s">
        <v>167</v>
      </c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8"/>
    </row>
    <row r="281" spans="2:17" ht="12.75" customHeight="1" x14ac:dyDescent="0.3">
      <c r="E281" s="254" t="s">
        <v>169</v>
      </c>
      <c r="F281" s="256" t="s">
        <v>1458</v>
      </c>
      <c r="G281" s="257"/>
      <c r="H281" s="257" t="s">
        <v>1459</v>
      </c>
      <c r="I281" s="257"/>
      <c r="J281" s="257"/>
      <c r="K281" s="257"/>
      <c r="L281" s="257"/>
      <c r="M281" s="257"/>
      <c r="N281" s="257"/>
      <c r="O281" s="257"/>
      <c r="P281" s="257"/>
      <c r="Q281" s="257"/>
    </row>
    <row r="282" spans="2:17" ht="12.75" customHeight="1" x14ac:dyDescent="0.3">
      <c r="E282" s="255"/>
      <c r="F282" s="256" t="s">
        <v>1457</v>
      </c>
      <c r="G282" s="257"/>
      <c r="H282" s="257" t="s">
        <v>1460</v>
      </c>
      <c r="I282" s="257"/>
      <c r="J282" s="257"/>
      <c r="K282" s="257"/>
      <c r="L282" s="257"/>
      <c r="M282" s="257"/>
      <c r="N282" s="257"/>
      <c r="O282" s="257"/>
      <c r="P282" s="257"/>
      <c r="Q282" s="257"/>
    </row>
    <row r="283" spans="2:17" ht="12.75" customHeight="1" x14ac:dyDescent="0.3"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</row>
    <row r="284" spans="2:17" ht="12.75" customHeight="1" x14ac:dyDescent="0.3">
      <c r="B284" s="5" t="s">
        <v>41</v>
      </c>
      <c r="C284" s="5" t="s">
        <v>42</v>
      </c>
      <c r="E284" s="6"/>
      <c r="F284" s="6" t="s">
        <v>43</v>
      </c>
      <c r="G284" s="6" t="s">
        <v>44</v>
      </c>
      <c r="H284" s="6" t="s">
        <v>45</v>
      </c>
      <c r="I284" s="6" t="s">
        <v>46</v>
      </c>
      <c r="J284" s="6" t="s">
        <v>47</v>
      </c>
      <c r="K284" s="6" t="s">
        <v>48</v>
      </c>
      <c r="L284" s="6" t="s">
        <v>49</v>
      </c>
      <c r="M284" s="6" t="s">
        <v>50</v>
      </c>
      <c r="N284" s="6" t="s">
        <v>51</v>
      </c>
      <c r="O284" s="6" t="s">
        <v>52</v>
      </c>
      <c r="P284" s="6" t="s">
        <v>53</v>
      </c>
      <c r="Q284" s="6" t="s">
        <v>54</v>
      </c>
    </row>
    <row r="285" spans="2:17" ht="33.75" customHeight="1" x14ac:dyDescent="0.3">
      <c r="B285" s="7"/>
      <c r="C285" s="7"/>
      <c r="E285" s="6" t="s">
        <v>164</v>
      </c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8"/>
    </row>
    <row r="286" spans="2:17" ht="12.75" customHeight="1" x14ac:dyDescent="0.3">
      <c r="E286" s="6" t="s">
        <v>165</v>
      </c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8"/>
    </row>
    <row r="287" spans="2:17" ht="12.75" customHeight="1" x14ac:dyDescent="0.3">
      <c r="E287" s="6" t="s">
        <v>157</v>
      </c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8"/>
    </row>
    <row r="288" spans="2:17" ht="12.75" customHeight="1" x14ac:dyDescent="0.3">
      <c r="E288" s="6" t="s">
        <v>167</v>
      </c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8"/>
    </row>
    <row r="289" spans="2:17" ht="12.75" customHeight="1" x14ac:dyDescent="0.3">
      <c r="E289" s="6" t="s">
        <v>169</v>
      </c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</row>
    <row r="290" spans="2:17" ht="12.75" customHeight="1" x14ac:dyDescent="0.3"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</row>
    <row r="291" spans="2:17" ht="12.75" customHeight="1" x14ac:dyDescent="0.3">
      <c r="B291" s="5" t="s">
        <v>41</v>
      </c>
      <c r="C291" s="5" t="s">
        <v>42</v>
      </c>
      <c r="E291" s="6"/>
      <c r="F291" s="6" t="s">
        <v>43</v>
      </c>
      <c r="G291" s="6" t="s">
        <v>44</v>
      </c>
      <c r="H291" s="6" t="s">
        <v>45</v>
      </c>
      <c r="I291" s="6" t="s">
        <v>46</v>
      </c>
      <c r="J291" s="6" t="s">
        <v>47</v>
      </c>
      <c r="K291" s="6" t="s">
        <v>48</v>
      </c>
      <c r="L291" s="6" t="s">
        <v>49</v>
      </c>
      <c r="M291" s="6" t="s">
        <v>50</v>
      </c>
      <c r="N291" s="6" t="s">
        <v>51</v>
      </c>
      <c r="O291" s="6" t="s">
        <v>52</v>
      </c>
      <c r="P291" s="6" t="s">
        <v>53</v>
      </c>
      <c r="Q291" s="6" t="s">
        <v>54</v>
      </c>
    </row>
    <row r="292" spans="2:17" ht="33.75" customHeight="1" x14ac:dyDescent="0.3">
      <c r="B292" s="7"/>
      <c r="C292" s="7"/>
      <c r="E292" s="6" t="s">
        <v>164</v>
      </c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8"/>
    </row>
    <row r="293" spans="2:17" ht="12.75" customHeight="1" x14ac:dyDescent="0.3">
      <c r="E293" s="6" t="s">
        <v>165</v>
      </c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8"/>
    </row>
    <row r="294" spans="2:17" ht="12.75" customHeight="1" x14ac:dyDescent="0.3">
      <c r="E294" s="6" t="s">
        <v>157</v>
      </c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8"/>
    </row>
    <row r="295" spans="2:17" ht="12.75" customHeight="1" x14ac:dyDescent="0.3">
      <c r="E295" s="6" t="s">
        <v>167</v>
      </c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8"/>
    </row>
    <row r="296" spans="2:17" ht="12.75" customHeight="1" x14ac:dyDescent="0.3">
      <c r="E296" s="6" t="s">
        <v>169</v>
      </c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</row>
    <row r="298" spans="2:17" x14ac:dyDescent="0.3">
      <c r="B298" s="5" t="s">
        <v>41</v>
      </c>
      <c r="C298" s="5" t="s">
        <v>42</v>
      </c>
      <c r="E298" s="6"/>
      <c r="F298" s="6" t="s">
        <v>43</v>
      </c>
      <c r="G298" s="6" t="s">
        <v>44</v>
      </c>
      <c r="H298" s="6" t="s">
        <v>45</v>
      </c>
      <c r="I298" s="6" t="s">
        <v>46</v>
      </c>
      <c r="J298" s="6" t="s">
        <v>47</v>
      </c>
      <c r="K298" s="6" t="s">
        <v>48</v>
      </c>
      <c r="L298" s="6" t="s">
        <v>49</v>
      </c>
      <c r="M298" s="6" t="s">
        <v>50</v>
      </c>
      <c r="N298" s="6" t="s">
        <v>51</v>
      </c>
      <c r="O298" s="6" t="s">
        <v>52</v>
      </c>
      <c r="P298" s="6" t="s">
        <v>53</v>
      </c>
      <c r="Q298" s="6" t="s">
        <v>54</v>
      </c>
    </row>
    <row r="299" spans="2:17" ht="33.75" customHeight="1" x14ac:dyDescent="0.3">
      <c r="B299" s="7"/>
      <c r="C299" s="7"/>
      <c r="E299" s="6" t="s">
        <v>164</v>
      </c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 spans="2:17" x14ac:dyDescent="0.3">
      <c r="E300" s="6" t="s">
        <v>165</v>
      </c>
      <c r="F300" s="7"/>
      <c r="G300" s="7"/>
      <c r="H300" s="7"/>
      <c r="I300" s="16"/>
      <c r="J300" s="7"/>
      <c r="K300" s="7"/>
      <c r="L300" s="7"/>
      <c r="M300" s="7"/>
      <c r="N300" s="16"/>
      <c r="O300" s="16"/>
      <c r="P300" s="16"/>
      <c r="Q300" s="16"/>
    </row>
    <row r="301" spans="2:17" x14ac:dyDescent="0.3">
      <c r="E301" s="6" t="s">
        <v>157</v>
      </c>
      <c r="F301" s="7"/>
      <c r="G301" s="7"/>
      <c r="H301" s="7"/>
      <c r="I301" s="24"/>
      <c r="J301" s="7"/>
      <c r="K301" s="7"/>
      <c r="L301" s="7"/>
      <c r="M301" s="7"/>
      <c r="N301" s="24"/>
      <c r="O301" s="24"/>
      <c r="P301" s="24"/>
      <c r="Q301" s="24"/>
    </row>
    <row r="302" spans="2:17" x14ac:dyDescent="0.3">
      <c r="E302" s="6" t="s">
        <v>167</v>
      </c>
      <c r="F302" s="7"/>
      <c r="G302" s="7"/>
      <c r="H302" s="7"/>
      <c r="I302" s="16"/>
      <c r="J302" s="7"/>
      <c r="K302" s="7"/>
      <c r="L302" s="7"/>
      <c r="M302" s="7"/>
      <c r="N302" s="16"/>
      <c r="O302" s="16"/>
      <c r="P302" s="16"/>
      <c r="Q302" s="16"/>
    </row>
    <row r="303" spans="2:17" x14ac:dyDescent="0.3">
      <c r="E303" s="6" t="s">
        <v>169</v>
      </c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</row>
  </sheetData>
  <mergeCells count="335">
    <mergeCell ref="E262:E265"/>
    <mergeCell ref="F262:G262"/>
    <mergeCell ref="H262:Q262"/>
    <mergeCell ref="F264:G264"/>
    <mergeCell ref="H264:Q264"/>
    <mergeCell ref="N268:O268"/>
    <mergeCell ref="F193:Q193"/>
    <mergeCell ref="F194:G194"/>
    <mergeCell ref="H194:Q194"/>
    <mergeCell ref="F198:Q198"/>
    <mergeCell ref="F200:Q200"/>
    <mergeCell ref="F201:Q201"/>
    <mergeCell ref="F202:G202"/>
    <mergeCell ref="H202:Q202"/>
    <mergeCell ref="E281:E282"/>
    <mergeCell ref="F281:G281"/>
    <mergeCell ref="H281:Q281"/>
    <mergeCell ref="F282:G282"/>
    <mergeCell ref="H282:Q282"/>
    <mergeCell ref="E232:E236"/>
    <mergeCell ref="O258:Q258"/>
    <mergeCell ref="F263:G263"/>
    <mergeCell ref="H263:Q263"/>
    <mergeCell ref="E272:E274"/>
    <mergeCell ref="E244:E246"/>
    <mergeCell ref="E253:E255"/>
    <mergeCell ref="F272:G272"/>
    <mergeCell ref="H272:Q272"/>
    <mergeCell ref="F273:G273"/>
    <mergeCell ref="H273:Q273"/>
    <mergeCell ref="F260:Q260"/>
    <mergeCell ref="F261:Q261"/>
    <mergeCell ref="F250:Q250"/>
    <mergeCell ref="F251:Q251"/>
    <mergeCell ref="E10:N10"/>
    <mergeCell ref="E11:N11"/>
    <mergeCell ref="E13:N13"/>
    <mergeCell ref="E14:N14"/>
    <mergeCell ref="E15:N15"/>
    <mergeCell ref="E16:N16"/>
    <mergeCell ref="H27:Q27"/>
    <mergeCell ref="F31:G31"/>
    <mergeCell ref="H31:Q31"/>
    <mergeCell ref="F34:G34"/>
    <mergeCell ref="H34:Q34"/>
    <mergeCell ref="O21:Q21"/>
    <mergeCell ref="F39:Q39"/>
    <mergeCell ref="F23:Q23"/>
    <mergeCell ref="H45:Q45"/>
    <mergeCell ref="F46:G46"/>
    <mergeCell ref="H46:Q46"/>
    <mergeCell ref="F47:G47"/>
    <mergeCell ref="H47:Q47"/>
    <mergeCell ref="F169:G169"/>
    <mergeCell ref="E3:N3"/>
    <mergeCell ref="E4:N4"/>
    <mergeCell ref="E5:N5"/>
    <mergeCell ref="E6:N6"/>
    <mergeCell ref="E7:N7"/>
    <mergeCell ref="E9:N9"/>
    <mergeCell ref="E17:N17"/>
    <mergeCell ref="G19:H19"/>
    <mergeCell ref="I19:N19"/>
    <mergeCell ref="E25:E34"/>
    <mergeCell ref="F25:G25"/>
    <mergeCell ref="H25:Q25"/>
    <mergeCell ref="F26:G26"/>
    <mergeCell ref="H26:Q26"/>
    <mergeCell ref="F27:G27"/>
    <mergeCell ref="F48:G48"/>
    <mergeCell ref="H48:Q48"/>
    <mergeCell ref="E41:E52"/>
    <mergeCell ref="F41:G41"/>
    <mergeCell ref="H41:Q41"/>
    <mergeCell ref="F42:G42"/>
    <mergeCell ref="H42:Q42"/>
    <mergeCell ref="F43:G43"/>
    <mergeCell ref="H43:Q43"/>
    <mergeCell ref="F44:G44"/>
    <mergeCell ref="H44:Q44"/>
    <mergeCell ref="F45:G45"/>
    <mergeCell ref="F51:G51"/>
    <mergeCell ref="H51:Q51"/>
    <mergeCell ref="F52:G52"/>
    <mergeCell ref="H52:Q52"/>
    <mergeCell ref="F49:G49"/>
    <mergeCell ref="H49:Q49"/>
    <mergeCell ref="F50:G50"/>
    <mergeCell ref="H50:Q50"/>
    <mergeCell ref="E59:E67"/>
    <mergeCell ref="F59:G59"/>
    <mergeCell ref="H59:Q59"/>
    <mergeCell ref="F60:G60"/>
    <mergeCell ref="H60:Q60"/>
    <mergeCell ref="F64:G64"/>
    <mergeCell ref="H64:Q64"/>
    <mergeCell ref="F65:G65"/>
    <mergeCell ref="H65:Q65"/>
    <mergeCell ref="F66:G66"/>
    <mergeCell ref="H66:Q66"/>
    <mergeCell ref="F61:G61"/>
    <mergeCell ref="H61:Q61"/>
    <mergeCell ref="F62:G62"/>
    <mergeCell ref="H62:Q62"/>
    <mergeCell ref="F63:G63"/>
    <mergeCell ref="H63:Q63"/>
    <mergeCell ref="E75:E81"/>
    <mergeCell ref="F75:G75"/>
    <mergeCell ref="H75:Q75"/>
    <mergeCell ref="F76:G76"/>
    <mergeCell ref="H76:Q76"/>
    <mergeCell ref="F73:Q73"/>
    <mergeCell ref="F77:G77"/>
    <mergeCell ref="H77:Q77"/>
    <mergeCell ref="F78:G78"/>
    <mergeCell ref="H78:Q78"/>
    <mergeCell ref="F81:G81"/>
    <mergeCell ref="F80:G80"/>
    <mergeCell ref="F79:G79"/>
    <mergeCell ref="H81:Q81"/>
    <mergeCell ref="H80:Q80"/>
    <mergeCell ref="H79:Q79"/>
    <mergeCell ref="F242:Q242"/>
    <mergeCell ref="F259:Q259"/>
    <mergeCell ref="F240:I240"/>
    <mergeCell ref="J240:M240"/>
    <mergeCell ref="N240:Q240"/>
    <mergeCell ref="F241:Q241"/>
    <mergeCell ref="F244:G244"/>
    <mergeCell ref="H244:Q244"/>
    <mergeCell ref="F245:G245"/>
    <mergeCell ref="H245:Q245"/>
    <mergeCell ref="F249:I249"/>
    <mergeCell ref="K249:M249"/>
    <mergeCell ref="O249:Q249"/>
    <mergeCell ref="G252:Q252"/>
    <mergeCell ref="G258:I258"/>
    <mergeCell ref="K258:M258"/>
    <mergeCell ref="F246:G246"/>
    <mergeCell ref="H246:Q246"/>
    <mergeCell ref="F253:G253"/>
    <mergeCell ref="H253:Q253"/>
    <mergeCell ref="F254:G254"/>
    <mergeCell ref="H254:Q254"/>
    <mergeCell ref="F255:G255"/>
    <mergeCell ref="H255:Q255"/>
    <mergeCell ref="F265:G265"/>
    <mergeCell ref="H265:Q265"/>
    <mergeCell ref="F278:Q278"/>
    <mergeCell ref="F279:Q279"/>
    <mergeCell ref="F280:Q280"/>
    <mergeCell ref="F285:Q285"/>
    <mergeCell ref="F269:Q269"/>
    <mergeCell ref="F270:Q270"/>
    <mergeCell ref="F271:Q271"/>
    <mergeCell ref="P268:Q268"/>
    <mergeCell ref="F268:L268"/>
    <mergeCell ref="F277:M277"/>
    <mergeCell ref="N277:Q277"/>
    <mergeCell ref="F274:G274"/>
    <mergeCell ref="H274:Q274"/>
    <mergeCell ref="F294:Q294"/>
    <mergeCell ref="F295:Q295"/>
    <mergeCell ref="F296:Q296"/>
    <mergeCell ref="F303:Q303"/>
    <mergeCell ref="F286:Q286"/>
    <mergeCell ref="F287:Q287"/>
    <mergeCell ref="F288:Q288"/>
    <mergeCell ref="F289:Q289"/>
    <mergeCell ref="F292:Q292"/>
    <mergeCell ref="F293:Q293"/>
    <mergeCell ref="F162:I162"/>
    <mergeCell ref="L162:M162"/>
    <mergeCell ref="E166:E170"/>
    <mergeCell ref="F233:G233"/>
    <mergeCell ref="H233:Q233"/>
    <mergeCell ref="F234:G234"/>
    <mergeCell ref="H234:Q234"/>
    <mergeCell ref="F235:G235"/>
    <mergeCell ref="H235:Q235"/>
    <mergeCell ref="F184:Q184"/>
    <mergeCell ref="F185:Q185"/>
    <mergeCell ref="F174:Q174"/>
    <mergeCell ref="H169:Q169"/>
    <mergeCell ref="F206:Q206"/>
    <mergeCell ref="F208:Q208"/>
    <mergeCell ref="F210:G210"/>
    <mergeCell ref="H210:Q210"/>
    <mergeCell ref="F214:Q214"/>
    <mergeCell ref="F216:Q216"/>
    <mergeCell ref="F217:Q217"/>
    <mergeCell ref="F218:G218"/>
    <mergeCell ref="H218:Q218"/>
    <mergeCell ref="F190:Q190"/>
    <mergeCell ref="F192:Q192"/>
    <mergeCell ref="F236:G236"/>
    <mergeCell ref="H236:Q236"/>
    <mergeCell ref="N228:Q228"/>
    <mergeCell ref="F230:Q230"/>
    <mergeCell ref="F231:Q231"/>
    <mergeCell ref="F232:G232"/>
    <mergeCell ref="H232:Q232"/>
    <mergeCell ref="F164:Q164"/>
    <mergeCell ref="F165:Q165"/>
    <mergeCell ref="F170:G170"/>
    <mergeCell ref="F186:G186"/>
    <mergeCell ref="H186:Q186"/>
    <mergeCell ref="F178:G178"/>
    <mergeCell ref="H178:Q178"/>
    <mergeCell ref="F182:Q182"/>
    <mergeCell ref="F166:G166"/>
    <mergeCell ref="H166:Q166"/>
    <mergeCell ref="F167:G167"/>
    <mergeCell ref="H167:Q167"/>
    <mergeCell ref="F168:G168"/>
    <mergeCell ref="H168:Q168"/>
    <mergeCell ref="H170:Q170"/>
    <mergeCell ref="F176:Q176"/>
    <mergeCell ref="F177:Q177"/>
    <mergeCell ref="F32:G32"/>
    <mergeCell ref="H32:Q32"/>
    <mergeCell ref="F30:G30"/>
    <mergeCell ref="H30:Q30"/>
    <mergeCell ref="F29:G29"/>
    <mergeCell ref="H29:Q29"/>
    <mergeCell ref="F28:G28"/>
    <mergeCell ref="H28:Q28"/>
    <mergeCell ref="F33:G33"/>
    <mergeCell ref="H33:Q33"/>
    <mergeCell ref="G85:I85"/>
    <mergeCell ref="J85:K85"/>
    <mergeCell ref="H55:I55"/>
    <mergeCell ref="L55:M55"/>
    <mergeCell ref="N55:O55"/>
    <mergeCell ref="F67:G67"/>
    <mergeCell ref="H67:Q67"/>
    <mergeCell ref="F71:G71"/>
    <mergeCell ref="K71:M71"/>
    <mergeCell ref="O71:Q71"/>
    <mergeCell ref="F57:Q57"/>
    <mergeCell ref="F96:G96"/>
    <mergeCell ref="H96:Q96"/>
    <mergeCell ref="F97:G97"/>
    <mergeCell ref="H97:Q97"/>
    <mergeCell ref="E89:E97"/>
    <mergeCell ref="F87:Q87"/>
    <mergeCell ref="F89:G89"/>
    <mergeCell ref="H89:Q89"/>
    <mergeCell ref="F90:G90"/>
    <mergeCell ref="H90:Q90"/>
    <mergeCell ref="F91:G91"/>
    <mergeCell ref="H91:Q91"/>
    <mergeCell ref="F92:G92"/>
    <mergeCell ref="H92:Q92"/>
    <mergeCell ref="F93:G93"/>
    <mergeCell ref="H93:Q93"/>
    <mergeCell ref="F94:G94"/>
    <mergeCell ref="H94:Q94"/>
    <mergeCell ref="F95:G95"/>
    <mergeCell ref="H95:Q95"/>
    <mergeCell ref="H112:Q112"/>
    <mergeCell ref="M101:Q101"/>
    <mergeCell ref="F103:Q103"/>
    <mergeCell ref="E105:E112"/>
    <mergeCell ref="F105:G105"/>
    <mergeCell ref="H105:Q105"/>
    <mergeCell ref="F106:G106"/>
    <mergeCell ref="H106:Q106"/>
    <mergeCell ref="F107:G107"/>
    <mergeCell ref="H107:Q107"/>
    <mergeCell ref="F108:G108"/>
    <mergeCell ref="H108:Q108"/>
    <mergeCell ref="F109:G109"/>
    <mergeCell ref="H109:Q109"/>
    <mergeCell ref="F110:G110"/>
    <mergeCell ref="H110:Q110"/>
    <mergeCell ref="F111:G111"/>
    <mergeCell ref="H111:Q111"/>
    <mergeCell ref="F112:G112"/>
    <mergeCell ref="G131:I131"/>
    <mergeCell ref="L131:M131"/>
    <mergeCell ref="M116:Q116"/>
    <mergeCell ref="F118:Q118"/>
    <mergeCell ref="E120:E127"/>
    <mergeCell ref="F120:G120"/>
    <mergeCell ref="H120:Q120"/>
    <mergeCell ref="F121:G121"/>
    <mergeCell ref="H121:Q121"/>
    <mergeCell ref="F122:G122"/>
    <mergeCell ref="H122:Q122"/>
    <mergeCell ref="F123:G123"/>
    <mergeCell ref="H123:Q123"/>
    <mergeCell ref="F124:G124"/>
    <mergeCell ref="H124:Q124"/>
    <mergeCell ref="F125:G125"/>
    <mergeCell ref="H125:Q125"/>
    <mergeCell ref="F126:G126"/>
    <mergeCell ref="H126:Q126"/>
    <mergeCell ref="F127:G127"/>
    <mergeCell ref="H127:Q127"/>
    <mergeCell ref="N146:O146"/>
    <mergeCell ref="F133:Q133"/>
    <mergeCell ref="E135:E142"/>
    <mergeCell ref="F135:G135"/>
    <mergeCell ref="H135:Q135"/>
    <mergeCell ref="F136:G136"/>
    <mergeCell ref="H136:Q136"/>
    <mergeCell ref="F137:G137"/>
    <mergeCell ref="H137:Q137"/>
    <mergeCell ref="F138:G138"/>
    <mergeCell ref="H138:Q138"/>
    <mergeCell ref="F139:G139"/>
    <mergeCell ref="H139:Q139"/>
    <mergeCell ref="F140:G140"/>
    <mergeCell ref="H140:Q140"/>
    <mergeCell ref="F141:G141"/>
    <mergeCell ref="H141:Q141"/>
    <mergeCell ref="F142:G142"/>
    <mergeCell ref="H142:Q142"/>
    <mergeCell ref="F154:G154"/>
    <mergeCell ref="H154:Q154"/>
    <mergeCell ref="F155:G155"/>
    <mergeCell ref="H155:Q155"/>
    <mergeCell ref="F156:G156"/>
    <mergeCell ref="H156:Q156"/>
    <mergeCell ref="E150:E156"/>
    <mergeCell ref="F148:Q148"/>
    <mergeCell ref="F150:G150"/>
    <mergeCell ref="H150:Q150"/>
    <mergeCell ref="F151:G151"/>
    <mergeCell ref="H151:Q151"/>
    <mergeCell ref="F152:G152"/>
    <mergeCell ref="H152:Q152"/>
    <mergeCell ref="F153:G153"/>
    <mergeCell ref="H153:Q153"/>
  </mergeCells>
  <phoneticPr fontId="1" type="noConversion"/>
  <pageMargins left="0.7" right="0.7" top="0.75" bottom="0.75" header="0.3" footer="0.3"/>
  <pageSetup paperSize="9" orientation="portrait" verticalDpi="0" r:id="rId1"/>
  <headerFooter>
    <oddHeader>&amp;C&amp;G</oddHeader>
    <oddFooter xml:space="preserve">&amp;C_x000D_&amp;1#&amp;"맑은 고딕"&amp;6&amp;K737373 조범철( CHO BEOM CHEOL ) 전원구동반도체팀 / 1628629@mobis.com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0327-0740-4B0A-AD43-C3A41BFCD1F7}">
  <dimension ref="A1:F38"/>
  <sheetViews>
    <sheetView zoomScale="85" zoomScaleNormal="85" workbookViewId="0">
      <selection activeCell="B2" sqref="B2"/>
    </sheetView>
  </sheetViews>
  <sheetFormatPr defaultRowHeight="16.5" x14ac:dyDescent="0.3"/>
  <cols>
    <col min="1" max="1" width="18" bestFit="1" customWidth="1"/>
    <col min="2" max="2" width="26.625" bestFit="1" customWidth="1"/>
    <col min="3" max="3" width="19.625" bestFit="1" customWidth="1"/>
    <col min="4" max="4" width="18" bestFit="1" customWidth="1"/>
    <col min="5" max="5" width="28.125" bestFit="1" customWidth="1"/>
    <col min="6" max="6" width="18.125" bestFit="1" customWidth="1"/>
  </cols>
  <sheetData>
    <row r="1" spans="1:6" x14ac:dyDescent="0.3">
      <c r="A1" s="74" t="s">
        <v>704</v>
      </c>
      <c r="B1" s="264" t="s">
        <v>688</v>
      </c>
      <c r="C1" s="265"/>
      <c r="D1" s="75" t="s">
        <v>705</v>
      </c>
      <c r="E1" s="266" t="s">
        <v>695</v>
      </c>
      <c r="F1" s="267"/>
    </row>
    <row r="2" spans="1:6" x14ac:dyDescent="0.3">
      <c r="A2" s="74" t="s">
        <v>689</v>
      </c>
      <c r="B2" s="74">
        <v>0</v>
      </c>
      <c r="C2" s="74">
        <v>1</v>
      </c>
      <c r="D2" s="75" t="s">
        <v>696</v>
      </c>
      <c r="E2" s="75">
        <v>0</v>
      </c>
      <c r="F2" s="75">
        <v>1</v>
      </c>
    </row>
    <row r="3" spans="1:6" ht="16.5" customHeight="1" x14ac:dyDescent="0.3">
      <c r="A3" s="74">
        <v>0</v>
      </c>
      <c r="B3" s="113" t="s">
        <v>706</v>
      </c>
      <c r="C3" s="268" t="s">
        <v>707</v>
      </c>
      <c r="D3" s="75">
        <v>0</v>
      </c>
      <c r="E3" s="113" t="s">
        <v>708</v>
      </c>
      <c r="F3" s="268" t="s">
        <v>709</v>
      </c>
    </row>
    <row r="4" spans="1:6" x14ac:dyDescent="0.3">
      <c r="A4" s="74">
        <v>1</v>
      </c>
      <c r="B4" s="113" t="s">
        <v>710</v>
      </c>
      <c r="C4" s="269"/>
      <c r="D4" s="75">
        <v>1</v>
      </c>
      <c r="E4" s="113" t="s">
        <v>711</v>
      </c>
      <c r="F4" s="269"/>
    </row>
    <row r="5" spans="1:6" x14ac:dyDescent="0.3">
      <c r="A5" s="74">
        <v>2</v>
      </c>
      <c r="B5" s="113" t="s">
        <v>712</v>
      </c>
      <c r="C5" s="269"/>
      <c r="D5" s="75">
        <v>2</v>
      </c>
      <c r="E5" s="113" t="s">
        <v>713</v>
      </c>
      <c r="F5" s="269"/>
    </row>
    <row r="6" spans="1:6" x14ac:dyDescent="0.3">
      <c r="A6" s="74">
        <v>3</v>
      </c>
      <c r="B6" s="113" t="s">
        <v>714</v>
      </c>
      <c r="C6" s="269"/>
      <c r="D6" s="75">
        <v>3</v>
      </c>
      <c r="E6" s="113" t="s">
        <v>715</v>
      </c>
      <c r="F6" s="269"/>
    </row>
    <row r="7" spans="1:6" x14ac:dyDescent="0.3">
      <c r="A7" s="74">
        <v>4</v>
      </c>
      <c r="B7" s="113" t="s">
        <v>716</v>
      </c>
      <c r="C7" s="269"/>
      <c r="D7" s="75">
        <v>4</v>
      </c>
      <c r="E7" s="113" t="s">
        <v>717</v>
      </c>
      <c r="F7" s="269"/>
    </row>
    <row r="8" spans="1:6" x14ac:dyDescent="0.3">
      <c r="A8" s="74">
        <v>5</v>
      </c>
      <c r="B8" s="113" t="s">
        <v>718</v>
      </c>
      <c r="C8" s="269"/>
      <c r="D8" s="75">
        <v>5</v>
      </c>
      <c r="E8" s="113" t="s">
        <v>719</v>
      </c>
      <c r="F8" s="269"/>
    </row>
    <row r="9" spans="1:6" x14ac:dyDescent="0.3">
      <c r="A9" s="74">
        <v>6</v>
      </c>
      <c r="B9" s="113" t="s">
        <v>720</v>
      </c>
      <c r="C9" s="269"/>
      <c r="D9" s="75">
        <v>6</v>
      </c>
      <c r="E9" s="113" t="s">
        <v>61</v>
      </c>
      <c r="F9" s="269"/>
    </row>
    <row r="10" spans="1:6" x14ac:dyDescent="0.3">
      <c r="A10" s="74">
        <v>7</v>
      </c>
      <c r="B10" s="113" t="s">
        <v>721</v>
      </c>
      <c r="C10" s="269"/>
      <c r="D10" s="75">
        <v>7</v>
      </c>
      <c r="E10" s="113" t="s">
        <v>722</v>
      </c>
      <c r="F10" s="269"/>
    </row>
    <row r="11" spans="1:6" x14ac:dyDescent="0.3">
      <c r="A11" s="74">
        <v>8</v>
      </c>
      <c r="B11" s="113" t="s">
        <v>799</v>
      </c>
      <c r="C11" s="269"/>
      <c r="D11" s="75">
        <v>8</v>
      </c>
      <c r="E11" s="113" t="s">
        <v>723</v>
      </c>
      <c r="F11" s="269"/>
    </row>
    <row r="12" spans="1:6" x14ac:dyDescent="0.3">
      <c r="A12" s="74">
        <v>9</v>
      </c>
      <c r="B12" s="113" t="s">
        <v>724</v>
      </c>
      <c r="C12" s="269"/>
      <c r="D12" s="75">
        <v>9</v>
      </c>
      <c r="E12" s="113" t="s">
        <v>725</v>
      </c>
      <c r="F12" s="269"/>
    </row>
    <row r="13" spans="1:6" x14ac:dyDescent="0.3">
      <c r="A13" s="74">
        <v>10</v>
      </c>
      <c r="B13" s="113" t="s">
        <v>726</v>
      </c>
      <c r="C13" s="269"/>
      <c r="D13" s="75">
        <v>10</v>
      </c>
      <c r="E13" s="113" t="s">
        <v>727</v>
      </c>
      <c r="F13" s="269"/>
    </row>
    <row r="14" spans="1:6" x14ac:dyDescent="0.3">
      <c r="A14" s="74">
        <v>11</v>
      </c>
      <c r="B14" s="113" t="s">
        <v>728</v>
      </c>
      <c r="C14" s="269"/>
      <c r="D14" s="75">
        <v>11</v>
      </c>
      <c r="E14" s="113" t="s">
        <v>729</v>
      </c>
      <c r="F14" s="269"/>
    </row>
    <row r="15" spans="1:6" x14ac:dyDescent="0.3">
      <c r="A15" s="74">
        <v>12</v>
      </c>
      <c r="B15" s="113" t="s">
        <v>730</v>
      </c>
      <c r="C15" s="269"/>
      <c r="D15" s="75">
        <v>12</v>
      </c>
      <c r="E15" s="113" t="s">
        <v>731</v>
      </c>
      <c r="F15" s="269"/>
    </row>
    <row r="16" spans="1:6" x14ac:dyDescent="0.3">
      <c r="A16" s="74">
        <v>13</v>
      </c>
      <c r="B16" s="113" t="s">
        <v>732</v>
      </c>
      <c r="C16" s="269"/>
      <c r="D16" s="75">
        <v>13</v>
      </c>
      <c r="E16" s="113" t="s">
        <v>733</v>
      </c>
      <c r="F16" s="269"/>
    </row>
    <row r="17" spans="1:6" x14ac:dyDescent="0.3">
      <c r="A17" s="74">
        <v>14</v>
      </c>
      <c r="B17" s="113" t="s">
        <v>734</v>
      </c>
      <c r="C17" s="269"/>
      <c r="D17" s="75">
        <v>14</v>
      </c>
      <c r="E17" s="113" t="s">
        <v>735</v>
      </c>
      <c r="F17" s="269"/>
    </row>
    <row r="18" spans="1:6" x14ac:dyDescent="0.3">
      <c r="A18" s="74">
        <v>15</v>
      </c>
      <c r="B18" s="113" t="s">
        <v>736</v>
      </c>
      <c r="C18" s="269"/>
      <c r="D18" s="75">
        <v>15</v>
      </c>
      <c r="E18" s="113" t="s">
        <v>737</v>
      </c>
      <c r="F18" s="269"/>
    </row>
    <row r="19" spans="1:6" x14ac:dyDescent="0.3">
      <c r="A19" s="74">
        <v>16</v>
      </c>
      <c r="B19" s="113" t="s">
        <v>70</v>
      </c>
      <c r="C19" s="269"/>
      <c r="D19" s="75">
        <v>16</v>
      </c>
      <c r="E19" s="113" t="s">
        <v>73</v>
      </c>
      <c r="F19" s="269"/>
    </row>
    <row r="20" spans="1:6" x14ac:dyDescent="0.3">
      <c r="A20" s="74">
        <v>17</v>
      </c>
      <c r="B20" s="113" t="s">
        <v>738</v>
      </c>
      <c r="C20" s="269"/>
      <c r="D20" s="75">
        <v>17</v>
      </c>
      <c r="E20" s="113" t="s">
        <v>739</v>
      </c>
      <c r="F20" s="269"/>
    </row>
    <row r="21" spans="1:6" x14ac:dyDescent="0.3">
      <c r="A21" s="74">
        <v>18</v>
      </c>
      <c r="B21" s="113" t="s">
        <v>740</v>
      </c>
      <c r="C21" s="269"/>
      <c r="D21" s="75">
        <v>18</v>
      </c>
      <c r="E21" s="113" t="s">
        <v>741</v>
      </c>
      <c r="F21" s="269"/>
    </row>
    <row r="22" spans="1:6" x14ac:dyDescent="0.3">
      <c r="A22" s="74">
        <v>19</v>
      </c>
      <c r="B22" s="113" t="s">
        <v>742</v>
      </c>
      <c r="C22" s="269"/>
      <c r="D22" s="75">
        <v>19</v>
      </c>
      <c r="E22" s="113" t="s">
        <v>743</v>
      </c>
      <c r="F22" s="269"/>
    </row>
    <row r="23" spans="1:6" x14ac:dyDescent="0.3">
      <c r="A23" s="74">
        <v>20</v>
      </c>
      <c r="B23" s="86" t="s">
        <v>735</v>
      </c>
      <c r="C23" s="269"/>
      <c r="D23" s="75">
        <v>20</v>
      </c>
      <c r="E23" s="113" t="s">
        <v>744</v>
      </c>
      <c r="F23" s="269"/>
    </row>
    <row r="24" spans="1:6" x14ac:dyDescent="0.3">
      <c r="A24" s="74">
        <v>21</v>
      </c>
      <c r="B24" s="113" t="s">
        <v>745</v>
      </c>
      <c r="C24" s="269"/>
      <c r="D24" s="75">
        <v>21</v>
      </c>
      <c r="E24" s="113" t="s">
        <v>746</v>
      </c>
      <c r="F24" s="269"/>
    </row>
    <row r="25" spans="1:6" x14ac:dyDescent="0.3">
      <c r="A25" s="74">
        <v>22</v>
      </c>
      <c r="B25" s="113" t="s">
        <v>747</v>
      </c>
      <c r="C25" s="269"/>
      <c r="D25" s="75">
        <v>22</v>
      </c>
      <c r="E25" s="113" t="s">
        <v>748</v>
      </c>
      <c r="F25" s="269"/>
    </row>
    <row r="26" spans="1:6" x14ac:dyDescent="0.3">
      <c r="A26" s="74">
        <v>23</v>
      </c>
      <c r="B26" s="86" t="s">
        <v>1203</v>
      </c>
      <c r="C26" s="269"/>
      <c r="D26" s="75">
        <v>23</v>
      </c>
      <c r="E26" s="113" t="s">
        <v>749</v>
      </c>
      <c r="F26" s="269"/>
    </row>
    <row r="27" spans="1:6" x14ac:dyDescent="0.3">
      <c r="A27" s="74">
        <v>24</v>
      </c>
      <c r="B27" s="113" t="s">
        <v>750</v>
      </c>
      <c r="C27" s="269"/>
      <c r="D27" s="75">
        <v>24</v>
      </c>
      <c r="E27" s="113" t="s">
        <v>751</v>
      </c>
      <c r="F27" s="269"/>
    </row>
    <row r="28" spans="1:6" x14ac:dyDescent="0.3">
      <c r="A28" s="74">
        <v>25</v>
      </c>
      <c r="B28" s="86" t="s">
        <v>1204</v>
      </c>
      <c r="C28" s="269"/>
      <c r="D28" s="75">
        <v>25</v>
      </c>
      <c r="E28" s="113" t="s">
        <v>752</v>
      </c>
      <c r="F28" s="269"/>
    </row>
    <row r="29" spans="1:6" x14ac:dyDescent="0.3">
      <c r="A29" s="74">
        <v>26</v>
      </c>
      <c r="B29" s="113" t="s">
        <v>753</v>
      </c>
      <c r="C29" s="269"/>
      <c r="D29" s="75">
        <v>26</v>
      </c>
      <c r="E29" s="113" t="s">
        <v>754</v>
      </c>
      <c r="F29" s="269"/>
    </row>
    <row r="30" spans="1:6" x14ac:dyDescent="0.3">
      <c r="A30" s="74">
        <v>27</v>
      </c>
      <c r="B30" s="113" t="s">
        <v>755</v>
      </c>
      <c r="C30" s="269"/>
      <c r="D30" s="75">
        <v>27</v>
      </c>
      <c r="E30" s="113" t="s">
        <v>756</v>
      </c>
      <c r="F30" s="269"/>
    </row>
    <row r="31" spans="1:6" x14ac:dyDescent="0.3">
      <c r="A31" s="74">
        <v>28</v>
      </c>
      <c r="B31" s="113" t="s">
        <v>100</v>
      </c>
      <c r="C31" s="269"/>
      <c r="D31" s="75">
        <v>28</v>
      </c>
      <c r="E31" s="113" t="s">
        <v>761</v>
      </c>
      <c r="F31" s="269"/>
    </row>
    <row r="32" spans="1:6" x14ac:dyDescent="0.3">
      <c r="A32" s="74">
        <v>29</v>
      </c>
      <c r="B32" s="113" t="s">
        <v>60</v>
      </c>
      <c r="C32" s="269"/>
      <c r="D32" s="75">
        <v>29</v>
      </c>
      <c r="E32" s="113" t="s">
        <v>772</v>
      </c>
      <c r="F32" s="269"/>
    </row>
    <row r="33" spans="1:6" x14ac:dyDescent="0.3">
      <c r="A33" s="74">
        <v>30</v>
      </c>
      <c r="B33" s="113" t="s">
        <v>757</v>
      </c>
      <c r="C33" s="269"/>
      <c r="D33" s="75">
        <v>30</v>
      </c>
      <c r="E33" s="86" t="s">
        <v>1203</v>
      </c>
      <c r="F33" s="269"/>
    </row>
    <row r="34" spans="1:6" x14ac:dyDescent="0.3">
      <c r="A34" s="74">
        <v>31</v>
      </c>
      <c r="B34" s="113" t="s">
        <v>758</v>
      </c>
      <c r="C34" s="269"/>
      <c r="D34" s="75">
        <v>31</v>
      </c>
      <c r="E34" s="86" t="s">
        <v>1204</v>
      </c>
      <c r="F34" s="269"/>
    </row>
    <row r="37" spans="1:6" x14ac:dyDescent="0.3">
      <c r="A37" s="77" t="s">
        <v>759</v>
      </c>
    </row>
    <row r="38" spans="1:6" x14ac:dyDescent="0.3">
      <c r="A38" s="77" t="s">
        <v>760</v>
      </c>
    </row>
  </sheetData>
  <mergeCells count="4">
    <mergeCell ref="B1:C1"/>
    <mergeCell ref="E1:F1"/>
    <mergeCell ref="C3:C34"/>
    <mergeCell ref="F3:F34"/>
  </mergeCells>
  <phoneticPr fontId="1" type="noConversion"/>
  <pageMargins left="0.7" right="0.7" top="0.75" bottom="0.75" header="0.3" footer="0.3"/>
  <headerFooter>
    <oddHeader>&amp;C&amp;G</oddHeader>
    <oddFooter xml:space="preserve">&amp;C_x000D_&amp;1#&amp;"맑은 고딕"&amp;6&amp;K737373 조범철( CHO BEOM CHEOL ) 전원구동반도체팀 / 1628629@mobis.com / 본 문서는 현대모비스의 대외비 정보자산이므로 무단 전재 및 복제할 수 없으며, 위반 시 당사 사규 및 관련 법규에 의해 제재될 수 있습니다. </oddFooter>
  </headerFooter>
  <drawing r:id="rId1"/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AD4F-C888-4339-9541-6A9EE4959AA0}">
  <dimension ref="A2:M56"/>
  <sheetViews>
    <sheetView zoomScale="70" zoomScaleNormal="70" workbookViewId="0">
      <selection activeCell="G4" sqref="G4"/>
    </sheetView>
  </sheetViews>
  <sheetFormatPr defaultRowHeight="16.5" x14ac:dyDescent="0.3"/>
  <cols>
    <col min="2" max="2" width="9.25" bestFit="1" customWidth="1"/>
    <col min="3" max="3" width="7.5" bestFit="1" customWidth="1"/>
    <col min="4" max="4" width="8.25" bestFit="1" customWidth="1"/>
    <col min="5" max="5" width="15" bestFit="1" customWidth="1"/>
    <col min="6" max="6" width="12.125" bestFit="1" customWidth="1"/>
    <col min="7" max="7" width="8.25" bestFit="1" customWidth="1"/>
    <col min="8" max="8" width="10.25" bestFit="1" customWidth="1"/>
    <col min="9" max="9" width="20" bestFit="1" customWidth="1"/>
    <col min="10" max="10" width="24.5" bestFit="1" customWidth="1"/>
    <col min="11" max="11" width="84" customWidth="1"/>
    <col min="12" max="12" width="32.875" customWidth="1"/>
    <col min="13" max="13" width="30.125" customWidth="1"/>
  </cols>
  <sheetData>
    <row r="2" spans="1:13" x14ac:dyDescent="0.3">
      <c r="B2" s="137" t="s">
        <v>1348</v>
      </c>
      <c r="C2" s="137" t="s">
        <v>1349</v>
      </c>
      <c r="D2" s="137" t="s">
        <v>1350</v>
      </c>
      <c r="E2" s="137" t="s">
        <v>1351</v>
      </c>
      <c r="F2" s="137" t="s">
        <v>1352</v>
      </c>
      <c r="G2" s="137" t="s">
        <v>1353</v>
      </c>
      <c r="H2" s="137" t="s">
        <v>1354</v>
      </c>
      <c r="I2" s="282" t="s">
        <v>1355</v>
      </c>
      <c r="J2" s="282"/>
      <c r="K2" s="137" t="s">
        <v>1356</v>
      </c>
      <c r="L2" s="283" t="s">
        <v>1357</v>
      </c>
      <c r="M2" s="284"/>
    </row>
    <row r="3" spans="1:13" ht="49.5" x14ac:dyDescent="0.3">
      <c r="B3" s="269">
        <v>1</v>
      </c>
      <c r="C3" s="269">
        <v>0</v>
      </c>
      <c r="D3" s="269">
        <v>0</v>
      </c>
      <c r="E3" s="269" t="s">
        <v>1358</v>
      </c>
      <c r="F3" s="113" t="s">
        <v>1359</v>
      </c>
      <c r="G3" s="113" t="s">
        <v>1360</v>
      </c>
      <c r="H3" s="113" t="s">
        <v>1361</v>
      </c>
      <c r="I3" s="113" t="s">
        <v>1362</v>
      </c>
      <c r="J3" s="113" t="s">
        <v>1363</v>
      </c>
      <c r="K3" s="113"/>
      <c r="L3" s="119" t="s">
        <v>1364</v>
      </c>
      <c r="M3" s="119" t="s">
        <v>1365</v>
      </c>
    </row>
    <row r="4" spans="1:13" x14ac:dyDescent="0.3">
      <c r="B4" s="269"/>
      <c r="C4" s="269"/>
      <c r="D4" s="269"/>
      <c r="E4" s="269"/>
      <c r="F4" s="113" t="s">
        <v>1366</v>
      </c>
      <c r="G4" s="113" t="s">
        <v>1367</v>
      </c>
      <c r="H4" s="113" t="s">
        <v>1368</v>
      </c>
      <c r="I4" s="269" t="s">
        <v>1369</v>
      </c>
      <c r="J4" s="269"/>
      <c r="K4" s="113"/>
      <c r="L4" s="269" t="s">
        <v>1370</v>
      </c>
      <c r="M4" s="269"/>
    </row>
    <row r="5" spans="1:13" x14ac:dyDescent="0.3">
      <c r="B5" s="269"/>
      <c r="C5" s="269"/>
      <c r="D5" s="269"/>
      <c r="E5" s="269"/>
      <c r="F5" s="113" t="s">
        <v>1371</v>
      </c>
      <c r="G5" s="113" t="s">
        <v>1372</v>
      </c>
      <c r="H5" s="113" t="s">
        <v>1368</v>
      </c>
      <c r="I5" s="269" t="s">
        <v>1373</v>
      </c>
      <c r="J5" s="269"/>
      <c r="K5" s="113" t="s">
        <v>1374</v>
      </c>
      <c r="L5" s="274" t="s">
        <v>1375</v>
      </c>
      <c r="M5" s="274"/>
    </row>
    <row r="6" spans="1:13" ht="52.5" customHeight="1" x14ac:dyDescent="0.3">
      <c r="A6" s="138" t="s">
        <v>1376</v>
      </c>
      <c r="B6" s="269"/>
      <c r="C6" s="269"/>
      <c r="D6" s="269"/>
      <c r="E6" s="269"/>
      <c r="F6" s="113" t="s">
        <v>1377</v>
      </c>
      <c r="G6" s="113" t="s">
        <v>1378</v>
      </c>
      <c r="H6" s="113" t="s">
        <v>1378</v>
      </c>
      <c r="I6" s="285" t="s">
        <v>1379</v>
      </c>
      <c r="J6" s="286"/>
      <c r="K6" s="286"/>
      <c r="L6" s="286"/>
      <c r="M6" s="287"/>
    </row>
    <row r="7" spans="1:13" ht="82.5" x14ac:dyDescent="0.3">
      <c r="B7" s="276">
        <v>1</v>
      </c>
      <c r="C7" s="276">
        <v>1</v>
      </c>
      <c r="D7" s="276">
        <v>0</v>
      </c>
      <c r="E7" s="276" t="s">
        <v>1380</v>
      </c>
      <c r="F7" s="139" t="s">
        <v>1381</v>
      </c>
      <c r="G7" s="139" t="s">
        <v>1360</v>
      </c>
      <c r="H7" s="139" t="s">
        <v>1368</v>
      </c>
      <c r="I7" s="276" t="s">
        <v>708</v>
      </c>
      <c r="J7" s="276"/>
      <c r="K7" s="140" t="s">
        <v>1382</v>
      </c>
      <c r="L7" s="276" t="s">
        <v>1383</v>
      </c>
      <c r="M7" s="276"/>
    </row>
    <row r="8" spans="1:13" ht="165" x14ac:dyDescent="0.3">
      <c r="B8" s="276"/>
      <c r="C8" s="276"/>
      <c r="D8" s="276"/>
      <c r="E8" s="276"/>
      <c r="F8" s="141" t="s">
        <v>1384</v>
      </c>
      <c r="G8" s="141" t="s">
        <v>1385</v>
      </c>
      <c r="H8" s="141" t="s">
        <v>1368</v>
      </c>
      <c r="I8" s="277" t="s">
        <v>735</v>
      </c>
      <c r="J8" s="277"/>
      <c r="K8" s="142" t="s">
        <v>1386</v>
      </c>
      <c r="L8" s="276"/>
      <c r="M8" s="276"/>
    </row>
    <row r="9" spans="1:13" ht="82.5" x14ac:dyDescent="0.3">
      <c r="B9" s="276"/>
      <c r="C9" s="276"/>
      <c r="D9" s="276"/>
      <c r="E9" s="276"/>
      <c r="F9" s="139" t="s">
        <v>1387</v>
      </c>
      <c r="G9" s="139" t="s">
        <v>1367</v>
      </c>
      <c r="H9" s="139" t="s">
        <v>1368</v>
      </c>
      <c r="I9" s="276" t="s">
        <v>711</v>
      </c>
      <c r="J9" s="276"/>
      <c r="K9" s="140" t="s">
        <v>1382</v>
      </c>
      <c r="L9" s="276" t="s">
        <v>1388</v>
      </c>
      <c r="M9" s="276"/>
    </row>
    <row r="10" spans="1:13" ht="165" x14ac:dyDescent="0.3">
      <c r="B10" s="276"/>
      <c r="C10" s="276"/>
      <c r="D10" s="276"/>
      <c r="E10" s="276"/>
      <c r="F10" s="141" t="s">
        <v>1389</v>
      </c>
      <c r="G10" s="141" t="s">
        <v>1390</v>
      </c>
      <c r="H10" s="141" t="s">
        <v>1368</v>
      </c>
      <c r="I10" s="277" t="s">
        <v>734</v>
      </c>
      <c r="J10" s="277"/>
      <c r="K10" s="142" t="s">
        <v>1386</v>
      </c>
      <c r="L10" s="276"/>
      <c r="M10" s="276"/>
    </row>
    <row r="11" spans="1:13" ht="115.5" x14ac:dyDescent="0.3">
      <c r="A11" s="273" t="s">
        <v>1391</v>
      </c>
      <c r="B11" s="276"/>
      <c r="C11" s="276"/>
      <c r="D11" s="276"/>
      <c r="E11" s="276"/>
      <c r="F11" s="141" t="s">
        <v>1392</v>
      </c>
      <c r="G11" s="141" t="s">
        <v>1372</v>
      </c>
      <c r="H11" s="141" t="s">
        <v>1393</v>
      </c>
      <c r="I11" s="277" t="s">
        <v>1394</v>
      </c>
      <c r="J11" s="277"/>
      <c r="K11" s="142" t="s">
        <v>1395</v>
      </c>
      <c r="L11" s="276"/>
      <c r="M11" s="276"/>
    </row>
    <row r="12" spans="1:13" ht="132" x14ac:dyDescent="0.3">
      <c r="A12" s="273"/>
      <c r="B12" s="276"/>
      <c r="C12" s="276"/>
      <c r="D12" s="276"/>
      <c r="E12" s="276"/>
      <c r="F12" s="141" t="s">
        <v>1396</v>
      </c>
      <c r="G12" s="141" t="s">
        <v>1397</v>
      </c>
      <c r="H12" s="141" t="s">
        <v>1368</v>
      </c>
      <c r="I12" s="278" t="s">
        <v>1398</v>
      </c>
      <c r="J12" s="279"/>
      <c r="K12" s="142" t="s">
        <v>1399</v>
      </c>
      <c r="L12" s="280"/>
      <c r="M12" s="281"/>
    </row>
    <row r="13" spans="1:13" x14ac:dyDescent="0.3">
      <c r="A13" s="275"/>
      <c r="B13" s="269">
        <v>1</v>
      </c>
      <c r="C13" s="269">
        <v>0</v>
      </c>
      <c r="D13" s="269">
        <v>1</v>
      </c>
      <c r="E13" s="268" t="s">
        <v>1400</v>
      </c>
      <c r="F13" s="113" t="s">
        <v>1401</v>
      </c>
      <c r="G13" s="113" t="s">
        <v>1372</v>
      </c>
      <c r="H13" s="113" t="s">
        <v>1393</v>
      </c>
      <c r="I13" s="269" t="s">
        <v>1402</v>
      </c>
      <c r="J13" s="269"/>
      <c r="K13" s="113" t="s">
        <v>1403</v>
      </c>
      <c r="L13" s="269"/>
      <c r="M13" s="269"/>
    </row>
    <row r="14" spans="1:13" x14ac:dyDescent="0.3">
      <c r="A14" s="275"/>
      <c r="B14" s="269"/>
      <c r="C14" s="269"/>
      <c r="D14" s="269"/>
      <c r="E14" s="269"/>
      <c r="F14" s="113" t="s">
        <v>1404</v>
      </c>
      <c r="G14" s="113" t="s">
        <v>1397</v>
      </c>
      <c r="H14" s="113" t="s">
        <v>1368</v>
      </c>
      <c r="I14" s="269" t="s">
        <v>1405</v>
      </c>
      <c r="J14" s="269"/>
      <c r="K14" s="113" t="s">
        <v>1406</v>
      </c>
      <c r="L14" s="269"/>
      <c r="M14" s="269"/>
    </row>
    <row r="15" spans="1:13" ht="33" x14ac:dyDescent="0.3">
      <c r="A15" s="273" t="s">
        <v>1391</v>
      </c>
      <c r="B15" s="269">
        <v>1</v>
      </c>
      <c r="C15" s="269">
        <v>1</v>
      </c>
      <c r="D15" s="269">
        <v>1</v>
      </c>
      <c r="E15" s="269" t="s">
        <v>1407</v>
      </c>
      <c r="F15" s="113" t="s">
        <v>1408</v>
      </c>
      <c r="G15" s="113" t="s">
        <v>1372</v>
      </c>
      <c r="H15" s="113" t="s">
        <v>1361</v>
      </c>
      <c r="I15" s="113" t="s">
        <v>1373</v>
      </c>
      <c r="J15" s="113" t="s">
        <v>1402</v>
      </c>
      <c r="K15" s="119" t="s">
        <v>1409</v>
      </c>
      <c r="L15" s="274" t="s">
        <v>1410</v>
      </c>
      <c r="M15" s="274"/>
    </row>
    <row r="16" spans="1:13" ht="33" x14ac:dyDescent="0.3">
      <c r="A16" s="273"/>
      <c r="B16" s="269"/>
      <c r="C16" s="269"/>
      <c r="D16" s="269"/>
      <c r="E16" s="269"/>
      <c r="F16" s="113" t="s">
        <v>1411</v>
      </c>
      <c r="G16" s="113" t="s">
        <v>1397</v>
      </c>
      <c r="H16" s="113" t="s">
        <v>1361</v>
      </c>
      <c r="I16" s="113" t="s">
        <v>1405</v>
      </c>
      <c r="J16" s="113" t="s">
        <v>1412</v>
      </c>
      <c r="K16" s="119" t="s">
        <v>1413</v>
      </c>
      <c r="L16" s="274" t="s">
        <v>1410</v>
      </c>
      <c r="M16" s="274"/>
    </row>
    <row r="18" spans="2:5" x14ac:dyDescent="0.3">
      <c r="B18" s="270" t="s">
        <v>1414</v>
      </c>
      <c r="C18" s="270"/>
      <c r="D18" s="270"/>
      <c r="E18" s="77" t="s">
        <v>1415</v>
      </c>
    </row>
    <row r="19" spans="2:5" x14ac:dyDescent="0.3">
      <c r="B19" s="270"/>
      <c r="C19" s="270"/>
      <c r="D19" s="270"/>
      <c r="E19" s="77" t="s">
        <v>1416</v>
      </c>
    </row>
    <row r="20" spans="2:5" x14ac:dyDescent="0.3">
      <c r="B20" s="270"/>
      <c r="C20" s="270"/>
      <c r="D20" s="270"/>
      <c r="E20" s="77" t="s">
        <v>1417</v>
      </c>
    </row>
    <row r="49" spans="5:11" x14ac:dyDescent="0.3">
      <c r="E49" t="s">
        <v>1418</v>
      </c>
      <c r="F49" t="s">
        <v>1419</v>
      </c>
    </row>
    <row r="50" spans="5:11" x14ac:dyDescent="0.3">
      <c r="E50" t="s">
        <v>1420</v>
      </c>
      <c r="F50" t="s">
        <v>1419</v>
      </c>
    </row>
    <row r="51" spans="5:11" x14ac:dyDescent="0.3">
      <c r="E51" t="s">
        <v>1421</v>
      </c>
      <c r="F51" t="s">
        <v>1422</v>
      </c>
    </row>
    <row r="52" spans="5:11" x14ac:dyDescent="0.3">
      <c r="E52" t="s">
        <v>1423</v>
      </c>
      <c r="F52" t="s">
        <v>1422</v>
      </c>
    </row>
    <row r="53" spans="5:11" x14ac:dyDescent="0.3">
      <c r="E53" t="s">
        <v>704</v>
      </c>
      <c r="F53" s="271" t="s">
        <v>1424</v>
      </c>
      <c r="G53" s="271"/>
      <c r="H53" s="271"/>
      <c r="I53" s="271"/>
    </row>
    <row r="54" spans="5:11" x14ac:dyDescent="0.3">
      <c r="E54" t="s">
        <v>705</v>
      </c>
      <c r="F54" s="271" t="s">
        <v>1425</v>
      </c>
      <c r="G54" s="271"/>
      <c r="H54" s="271"/>
      <c r="I54" s="271"/>
    </row>
    <row r="55" spans="5:11" ht="45.75" customHeight="1" x14ac:dyDescent="0.3">
      <c r="I55" s="272"/>
      <c r="J55" s="272"/>
      <c r="K55" s="36"/>
    </row>
    <row r="56" spans="5:11" x14ac:dyDescent="0.3">
      <c r="I56" s="271"/>
      <c r="J56" s="271"/>
    </row>
  </sheetData>
  <mergeCells count="49">
    <mergeCell ref="I2:J2"/>
    <mergeCell ref="L2:M2"/>
    <mergeCell ref="B3:B6"/>
    <mergeCell ref="C3:C6"/>
    <mergeCell ref="D3:D6"/>
    <mergeCell ref="E3:E6"/>
    <mergeCell ref="I4:J4"/>
    <mergeCell ref="L4:M4"/>
    <mergeCell ref="I5:J5"/>
    <mergeCell ref="L5:M5"/>
    <mergeCell ref="I6:M6"/>
    <mergeCell ref="L7:M7"/>
    <mergeCell ref="I8:J8"/>
    <mergeCell ref="L8:M8"/>
    <mergeCell ref="I9:J9"/>
    <mergeCell ref="L9:M9"/>
    <mergeCell ref="I7:J7"/>
    <mergeCell ref="L10:M10"/>
    <mergeCell ref="A11:A12"/>
    <mergeCell ref="I11:J11"/>
    <mergeCell ref="L11:M11"/>
    <mergeCell ref="I12:J12"/>
    <mergeCell ref="L12:M12"/>
    <mergeCell ref="B7:B12"/>
    <mergeCell ref="C7:C12"/>
    <mergeCell ref="D7:D12"/>
    <mergeCell ref="E7:E12"/>
    <mergeCell ref="I10:J10"/>
    <mergeCell ref="L13:M13"/>
    <mergeCell ref="I14:J14"/>
    <mergeCell ref="L14:M14"/>
    <mergeCell ref="A15:A16"/>
    <mergeCell ref="B15:B16"/>
    <mergeCell ref="C15:C16"/>
    <mergeCell ref="D15:D16"/>
    <mergeCell ref="E15:E16"/>
    <mergeCell ref="L15:M15"/>
    <mergeCell ref="L16:M16"/>
    <mergeCell ref="A13:A14"/>
    <mergeCell ref="B13:B14"/>
    <mergeCell ref="C13:C14"/>
    <mergeCell ref="D13:D14"/>
    <mergeCell ref="E13:E14"/>
    <mergeCell ref="I13:J13"/>
    <mergeCell ref="B18:D20"/>
    <mergeCell ref="F53:I53"/>
    <mergeCell ref="F54:I54"/>
    <mergeCell ref="I55:J55"/>
    <mergeCell ref="I56:J56"/>
  </mergeCells>
  <phoneticPr fontId="1" type="noConversion"/>
  <pageMargins left="0.7" right="0.7" top="0.75" bottom="0.75" header="0.3" footer="0.3"/>
  <headerFooter>
    <oddHeader>&amp;C&amp;G</oddHeader>
    <oddFooter xml:space="preserve">&amp;C_x000D_&amp;1#&amp;"맑은 고딕"&amp;6&amp;K737373 조범철( CHO BEOM CHEOL ) 전원구동반도체팀 / 1628629@mobis.com / 본 문서는 현대모비스의 대외비 정보자산이므로 무단 전재 및 복제할 수 없으며, 위반 시 당사 사규 및 관련 법규에 의해 제재될 수 있습니다. </oddFooter>
  </headerFooter>
  <drawing r:id="rId1"/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B114-7E0B-413F-AD98-477D49858F99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D24"/>
  <sheetViews>
    <sheetView topLeftCell="A16" workbookViewId="0">
      <selection activeCell="C23" sqref="C23"/>
    </sheetView>
  </sheetViews>
  <sheetFormatPr defaultRowHeight="16.5" x14ac:dyDescent="0.3"/>
  <cols>
    <col min="3" max="3" width="54.875" customWidth="1"/>
  </cols>
  <sheetData>
    <row r="2" spans="2:4" x14ac:dyDescent="0.3">
      <c r="B2" t="s">
        <v>320</v>
      </c>
    </row>
    <row r="3" spans="2:4" x14ac:dyDescent="0.3">
      <c r="B3">
        <v>1</v>
      </c>
      <c r="C3" t="s">
        <v>321</v>
      </c>
      <c r="D3" t="s">
        <v>322</v>
      </c>
    </row>
    <row r="4" spans="2:4" ht="66" x14ac:dyDescent="0.3">
      <c r="B4">
        <v>2</v>
      </c>
      <c r="C4" s="36" t="s">
        <v>323</v>
      </c>
      <c r="D4" t="s">
        <v>322</v>
      </c>
    </row>
    <row r="5" spans="2:4" x14ac:dyDescent="0.3">
      <c r="B5">
        <v>3</v>
      </c>
      <c r="C5" t="s">
        <v>324</v>
      </c>
      <c r="D5" t="s">
        <v>322</v>
      </c>
    </row>
    <row r="6" spans="2:4" ht="99" x14ac:dyDescent="0.3">
      <c r="B6" s="288">
        <v>4</v>
      </c>
      <c r="C6" s="36" t="s">
        <v>325</v>
      </c>
      <c r="D6" t="s">
        <v>322</v>
      </c>
    </row>
    <row r="7" spans="2:4" ht="187.5" customHeight="1" x14ac:dyDescent="0.3">
      <c r="B7" s="288"/>
    </row>
    <row r="8" spans="2:4" x14ac:dyDescent="0.3">
      <c r="B8">
        <v>5</v>
      </c>
      <c r="C8" s="41" t="s">
        <v>326</v>
      </c>
      <c r="D8" t="s">
        <v>322</v>
      </c>
    </row>
    <row r="9" spans="2:4" x14ac:dyDescent="0.3">
      <c r="B9">
        <v>6</v>
      </c>
      <c r="C9" s="41" t="s">
        <v>327</v>
      </c>
      <c r="D9" t="s">
        <v>322</v>
      </c>
    </row>
    <row r="10" spans="2:4" x14ac:dyDescent="0.3">
      <c r="B10">
        <v>7</v>
      </c>
      <c r="C10" s="41" t="s">
        <v>328</v>
      </c>
      <c r="D10" t="s">
        <v>322</v>
      </c>
    </row>
    <row r="11" spans="2:4" ht="172.5" customHeight="1" x14ac:dyDescent="0.3">
      <c r="C11" s="41"/>
    </row>
    <row r="12" spans="2:4" x14ac:dyDescent="0.3">
      <c r="B12">
        <v>8</v>
      </c>
      <c r="C12" s="41" t="s">
        <v>329</v>
      </c>
      <c r="D12" t="s">
        <v>322</v>
      </c>
    </row>
    <row r="13" spans="2:4" ht="27" x14ac:dyDescent="0.3">
      <c r="B13">
        <v>9</v>
      </c>
      <c r="C13" s="43" t="s">
        <v>330</v>
      </c>
      <c r="D13" t="s">
        <v>322</v>
      </c>
    </row>
    <row r="14" spans="2:4" ht="40.5" x14ac:dyDescent="0.3">
      <c r="B14">
        <v>10</v>
      </c>
      <c r="C14" s="43" t="s">
        <v>331</v>
      </c>
      <c r="D14" t="s">
        <v>322</v>
      </c>
    </row>
    <row r="15" spans="2:4" x14ac:dyDescent="0.3">
      <c r="B15">
        <v>11</v>
      </c>
      <c r="C15" s="41" t="s">
        <v>332</v>
      </c>
      <c r="D15" t="s">
        <v>322</v>
      </c>
    </row>
    <row r="16" spans="2:4" x14ac:dyDescent="0.3">
      <c r="B16">
        <v>12</v>
      </c>
      <c r="C16" s="41" t="s">
        <v>333</v>
      </c>
      <c r="D16" t="s">
        <v>322</v>
      </c>
    </row>
    <row r="17" spans="2:4" x14ac:dyDescent="0.3">
      <c r="B17">
        <v>13</v>
      </c>
      <c r="C17" s="41" t="s">
        <v>334</v>
      </c>
      <c r="D17" t="s">
        <v>322</v>
      </c>
    </row>
    <row r="18" spans="2:4" x14ac:dyDescent="0.3">
      <c r="B18">
        <v>14</v>
      </c>
      <c r="C18" s="41" t="s">
        <v>335</v>
      </c>
      <c r="D18" t="s">
        <v>322</v>
      </c>
    </row>
    <row r="19" spans="2:4" x14ac:dyDescent="0.3">
      <c r="B19">
        <v>15</v>
      </c>
      <c r="C19" s="41" t="s">
        <v>336</v>
      </c>
      <c r="D19" t="s">
        <v>322</v>
      </c>
    </row>
    <row r="20" spans="2:4" x14ac:dyDescent="0.3">
      <c r="B20">
        <v>16</v>
      </c>
      <c r="C20" s="41" t="s">
        <v>337</v>
      </c>
      <c r="D20" t="s">
        <v>322</v>
      </c>
    </row>
    <row r="21" spans="2:4" x14ac:dyDescent="0.3">
      <c r="C21" s="41" t="s">
        <v>338</v>
      </c>
    </row>
    <row r="22" spans="2:4" x14ac:dyDescent="0.3">
      <c r="C22" s="41" t="s">
        <v>339</v>
      </c>
    </row>
    <row r="23" spans="2:4" x14ac:dyDescent="0.3">
      <c r="C23" s="41" t="s">
        <v>340</v>
      </c>
    </row>
    <row r="24" spans="2:4" x14ac:dyDescent="0.3">
      <c r="C24" s="41" t="s">
        <v>341</v>
      </c>
    </row>
  </sheetData>
  <mergeCells count="1">
    <mergeCell ref="B6:B7"/>
  </mergeCells>
  <phoneticPr fontId="1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조범철( CHO BEOM CHEOL ) 전원구동반도체팀 / 1628629@mobis.com / 본 문서는 현대모비스의 대외비 정보자산이므로 무단 전재 및 복제할 수 없으며, 위반 시 당사 사규 및 관련 법규에 의해 제재될 수 있습니다. 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T273"/>
  <sheetViews>
    <sheetView topLeftCell="A126" zoomScale="80" zoomScaleNormal="80" workbookViewId="0">
      <selection activeCell="D156" sqref="D156:T161"/>
    </sheetView>
  </sheetViews>
  <sheetFormatPr defaultColWidth="9" defaultRowHeight="11.25" x14ac:dyDescent="0.3"/>
  <cols>
    <col min="1" max="1" width="9" style="4"/>
    <col min="2" max="2" width="14.875" style="4" customWidth="1"/>
    <col min="3" max="3" width="4.125" style="4" customWidth="1"/>
    <col min="4" max="4" width="7" style="17" customWidth="1"/>
    <col min="5" max="20" width="4.5" style="12" customWidth="1"/>
    <col min="21" max="16384" width="9" style="4"/>
  </cols>
  <sheetData>
    <row r="2" spans="1:20" ht="22.5" x14ac:dyDescent="0.3">
      <c r="D2" s="17" t="s">
        <v>157</v>
      </c>
    </row>
    <row r="3" spans="1:20" ht="12.75" x14ac:dyDescent="0.3">
      <c r="D3" s="198" t="s">
        <v>342</v>
      </c>
      <c r="E3" s="198"/>
      <c r="F3" s="198"/>
      <c r="G3" s="198"/>
      <c r="H3" s="198"/>
      <c r="I3" s="198"/>
      <c r="J3" s="198"/>
      <c r="K3" s="198"/>
      <c r="L3" s="198"/>
    </row>
    <row r="4" spans="1:20" x14ac:dyDescent="0.3">
      <c r="D4" s="198" t="s">
        <v>343</v>
      </c>
      <c r="E4" s="198"/>
      <c r="F4" s="198"/>
      <c r="G4" s="198"/>
      <c r="H4" s="198"/>
      <c r="I4" s="198"/>
      <c r="J4" s="198"/>
      <c r="K4" s="198"/>
      <c r="L4" s="198"/>
    </row>
    <row r="5" spans="1:20" x14ac:dyDescent="0.3">
      <c r="D5" s="198" t="s">
        <v>344</v>
      </c>
      <c r="E5" s="198"/>
      <c r="F5" s="198"/>
      <c r="G5" s="198"/>
      <c r="H5" s="198"/>
      <c r="I5" s="198"/>
      <c r="J5" s="198"/>
      <c r="K5" s="198"/>
      <c r="L5" s="198"/>
    </row>
    <row r="6" spans="1:20" x14ac:dyDescent="0.3">
      <c r="D6" s="198"/>
      <c r="E6" s="198"/>
      <c r="F6" s="198"/>
      <c r="G6" s="198"/>
      <c r="H6" s="198"/>
      <c r="I6" s="198"/>
      <c r="J6" s="198"/>
      <c r="K6" s="198"/>
      <c r="L6" s="198"/>
    </row>
    <row r="8" spans="1:20" x14ac:dyDescent="0.3">
      <c r="E8" s="289"/>
      <c r="F8" s="289"/>
      <c r="G8" s="289"/>
      <c r="H8" s="289"/>
      <c r="J8" s="289"/>
      <c r="K8" s="289"/>
      <c r="L8" s="290"/>
      <c r="M8" s="290"/>
      <c r="N8" s="290"/>
      <c r="O8" s="290"/>
      <c r="P8" s="290"/>
      <c r="Q8" s="290"/>
    </row>
    <row r="9" spans="1:20" x14ac:dyDescent="0.3">
      <c r="A9" s="5" t="s">
        <v>41</v>
      </c>
      <c r="B9" s="5" t="s">
        <v>42</v>
      </c>
      <c r="D9" s="18"/>
      <c r="E9" s="19" t="s">
        <v>345</v>
      </c>
      <c r="F9" s="19" t="s">
        <v>346</v>
      </c>
      <c r="G9" s="19" t="s">
        <v>347</v>
      </c>
      <c r="H9" s="19" t="s">
        <v>348</v>
      </c>
      <c r="I9" s="19" t="s">
        <v>43</v>
      </c>
      <c r="J9" s="19" t="s">
        <v>44</v>
      </c>
      <c r="K9" s="19" t="s">
        <v>45</v>
      </c>
      <c r="L9" s="19" t="s">
        <v>46</v>
      </c>
      <c r="M9" s="19" t="s">
        <v>47</v>
      </c>
      <c r="N9" s="19" t="s">
        <v>48</v>
      </c>
      <c r="O9" s="19" t="s">
        <v>49</v>
      </c>
      <c r="P9" s="19" t="s">
        <v>50</v>
      </c>
      <c r="Q9" s="19" t="s">
        <v>51</v>
      </c>
      <c r="R9" s="19" t="s">
        <v>52</v>
      </c>
      <c r="S9" s="19" t="s">
        <v>53</v>
      </c>
      <c r="T9" s="19" t="s">
        <v>54</v>
      </c>
    </row>
    <row r="10" spans="1:20" ht="33.75" x14ac:dyDescent="0.3">
      <c r="A10" s="7" t="s">
        <v>57</v>
      </c>
      <c r="B10" s="7" t="str">
        <f>VLOOKUP(A10,'Register Table'!$B$3:$C$50,2,FALSE)</f>
        <v>STATUS1</v>
      </c>
      <c r="D10" s="18" t="s">
        <v>164</v>
      </c>
      <c r="E10" s="146" t="s">
        <v>349</v>
      </c>
      <c r="F10" s="148"/>
      <c r="G10" s="8"/>
      <c r="H10" s="8" t="s">
        <v>350</v>
      </c>
      <c r="I10" s="8" t="s">
        <v>351</v>
      </c>
      <c r="J10" s="8" t="s">
        <v>352</v>
      </c>
      <c r="K10" s="146" t="s">
        <v>353</v>
      </c>
      <c r="L10" s="148"/>
      <c r="M10" s="146" t="s">
        <v>354</v>
      </c>
      <c r="N10" s="147"/>
      <c r="O10" s="147"/>
      <c r="P10" s="148"/>
      <c r="Q10" s="147" t="s">
        <v>355</v>
      </c>
      <c r="R10" s="147"/>
      <c r="S10" s="147"/>
      <c r="T10" s="148"/>
    </row>
    <row r="11" spans="1:20" ht="22.5" x14ac:dyDescent="0.3">
      <c r="D11" s="18" t="s">
        <v>165</v>
      </c>
      <c r="E11" s="146" t="s">
        <v>356</v>
      </c>
      <c r="F11" s="148"/>
      <c r="G11" s="11"/>
      <c r="H11" s="11">
        <v>0</v>
      </c>
      <c r="I11" s="11">
        <v>0</v>
      </c>
      <c r="J11" s="11">
        <v>0</v>
      </c>
      <c r="K11" s="146" t="s">
        <v>356</v>
      </c>
      <c r="L11" s="148"/>
      <c r="M11" s="146" t="s">
        <v>356</v>
      </c>
      <c r="N11" s="147"/>
      <c r="O11" s="147"/>
      <c r="P11" s="148"/>
      <c r="Q11" s="146" t="s">
        <v>356</v>
      </c>
      <c r="R11" s="147"/>
      <c r="S11" s="147"/>
      <c r="T11" s="148"/>
    </row>
    <row r="12" spans="1:20" ht="22.5" x14ac:dyDescent="0.3">
      <c r="D12" s="18" t="s">
        <v>157</v>
      </c>
      <c r="E12" s="291" t="s">
        <v>65</v>
      </c>
      <c r="F12" s="148"/>
      <c r="G12" s="11"/>
      <c r="H12" s="11" t="s">
        <v>65</v>
      </c>
      <c r="I12" s="11" t="s">
        <v>65</v>
      </c>
      <c r="J12" s="11" t="s">
        <v>65</v>
      </c>
      <c r="K12" s="146" t="s">
        <v>65</v>
      </c>
      <c r="L12" s="148"/>
      <c r="M12" s="291" t="s">
        <v>65</v>
      </c>
      <c r="N12" s="147"/>
      <c r="O12" s="147"/>
      <c r="P12" s="148"/>
      <c r="Q12" s="291" t="s">
        <v>65</v>
      </c>
      <c r="R12" s="147"/>
      <c r="S12" s="147"/>
      <c r="T12" s="148"/>
    </row>
    <row r="13" spans="1:20" x14ac:dyDescent="0.3">
      <c r="D13" s="18" t="s">
        <v>167</v>
      </c>
      <c r="E13" s="146" t="s">
        <v>168</v>
      </c>
      <c r="F13" s="148"/>
      <c r="G13" s="11"/>
      <c r="H13" s="11" t="s">
        <v>168</v>
      </c>
      <c r="I13" s="11" t="s">
        <v>168</v>
      </c>
      <c r="J13" s="11" t="s">
        <v>168</v>
      </c>
      <c r="K13" s="146" t="s">
        <v>168</v>
      </c>
      <c r="L13" s="148"/>
      <c r="M13" s="146" t="s">
        <v>168</v>
      </c>
      <c r="N13" s="147"/>
      <c r="O13" s="147"/>
      <c r="P13" s="148"/>
      <c r="Q13" s="146" t="s">
        <v>168</v>
      </c>
      <c r="R13" s="147"/>
      <c r="S13" s="147"/>
      <c r="T13" s="148"/>
    </row>
    <row r="14" spans="1:20" ht="148.5" customHeight="1" x14ac:dyDescent="0.3">
      <c r="D14" s="18" t="s">
        <v>169</v>
      </c>
      <c r="E14" s="169" t="s">
        <v>357</v>
      </c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</row>
    <row r="16" spans="1:20" x14ac:dyDescent="0.3">
      <c r="A16" s="5" t="s">
        <v>41</v>
      </c>
      <c r="B16" s="5" t="s">
        <v>42</v>
      </c>
      <c r="D16" s="18"/>
      <c r="E16" s="19" t="s">
        <v>345</v>
      </c>
      <c r="F16" s="19" t="s">
        <v>346</v>
      </c>
      <c r="G16" s="19" t="s">
        <v>347</v>
      </c>
      <c r="H16" s="19" t="s">
        <v>348</v>
      </c>
      <c r="I16" s="19" t="s">
        <v>43</v>
      </c>
      <c r="J16" s="19" t="s">
        <v>44</v>
      </c>
      <c r="K16" s="19" t="s">
        <v>45</v>
      </c>
      <c r="L16" s="19" t="s">
        <v>46</v>
      </c>
      <c r="M16" s="19" t="s">
        <v>47</v>
      </c>
      <c r="N16" s="19" t="s">
        <v>48</v>
      </c>
      <c r="O16" s="19" t="s">
        <v>49</v>
      </c>
      <c r="P16" s="19" t="s">
        <v>50</v>
      </c>
      <c r="Q16" s="19" t="s">
        <v>51</v>
      </c>
      <c r="R16" s="19" t="s">
        <v>52</v>
      </c>
      <c r="S16" s="19" t="s">
        <v>53</v>
      </c>
      <c r="T16" s="19" t="s">
        <v>54</v>
      </c>
    </row>
    <row r="17" spans="1:20" ht="33.75" x14ac:dyDescent="0.3">
      <c r="A17" s="7" t="s">
        <v>63</v>
      </c>
      <c r="B17" s="7" t="str">
        <f>VLOOKUP(A17,'Register Table'!$B$3:$C$50,2,FALSE)</f>
        <v>STATUS2</v>
      </c>
      <c r="D17" s="18" t="s">
        <v>164</v>
      </c>
      <c r="E17" s="11" t="s">
        <v>358</v>
      </c>
      <c r="F17" s="8" t="s">
        <v>359</v>
      </c>
      <c r="G17" s="8"/>
      <c r="H17" s="11" t="s">
        <v>360</v>
      </c>
      <c r="I17" s="8" t="s">
        <v>361</v>
      </c>
      <c r="J17" s="9" t="s">
        <v>362</v>
      </c>
      <c r="K17" s="8" t="s">
        <v>363</v>
      </c>
      <c r="L17" s="8" t="s">
        <v>364</v>
      </c>
      <c r="M17" s="8"/>
      <c r="N17" s="8" t="s">
        <v>365</v>
      </c>
      <c r="O17" s="11"/>
      <c r="P17" s="11" t="s">
        <v>366</v>
      </c>
      <c r="Q17" s="11" t="s">
        <v>367</v>
      </c>
      <c r="R17" s="11" t="s">
        <v>368</v>
      </c>
      <c r="S17" s="15" t="s">
        <v>369</v>
      </c>
      <c r="T17" s="15" t="s">
        <v>370</v>
      </c>
    </row>
    <row r="18" spans="1:20" ht="22.5" x14ac:dyDescent="0.3">
      <c r="D18" s="18" t="s">
        <v>165</v>
      </c>
      <c r="E18" s="11">
        <v>0</v>
      </c>
      <c r="F18" s="11">
        <v>0</v>
      </c>
      <c r="G18" s="11"/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/>
      <c r="N18" s="11">
        <v>0</v>
      </c>
      <c r="O18" s="11"/>
      <c r="P18" s="11">
        <v>0</v>
      </c>
      <c r="Q18" s="11">
        <v>0</v>
      </c>
      <c r="R18" s="11">
        <v>1</v>
      </c>
      <c r="S18" s="11">
        <v>0</v>
      </c>
      <c r="T18" s="11">
        <v>0</v>
      </c>
    </row>
    <row r="19" spans="1:20" ht="22.5" x14ac:dyDescent="0.3">
      <c r="D19" s="18" t="s">
        <v>157</v>
      </c>
      <c r="E19" s="11" t="s">
        <v>65</v>
      </c>
      <c r="F19" s="11" t="s">
        <v>65</v>
      </c>
      <c r="G19" s="11"/>
      <c r="H19" s="11" t="s">
        <v>65</v>
      </c>
      <c r="I19" s="11" t="s">
        <v>65</v>
      </c>
      <c r="J19" s="11" t="s">
        <v>65</v>
      </c>
      <c r="K19" s="11" t="s">
        <v>65</v>
      </c>
      <c r="L19" s="11" t="s">
        <v>65</v>
      </c>
      <c r="M19" s="11"/>
      <c r="N19" s="11" t="s">
        <v>371</v>
      </c>
      <c r="O19" s="11"/>
      <c r="P19" s="11" t="s">
        <v>372</v>
      </c>
      <c r="Q19" s="20" t="s">
        <v>65</v>
      </c>
      <c r="R19" s="20" t="s">
        <v>65</v>
      </c>
      <c r="S19" s="11" t="s">
        <v>65</v>
      </c>
      <c r="T19" s="11" t="s">
        <v>65</v>
      </c>
    </row>
    <row r="20" spans="1:20" x14ac:dyDescent="0.3">
      <c r="D20" s="18" t="s">
        <v>167</v>
      </c>
      <c r="E20" s="11" t="s">
        <v>179</v>
      </c>
      <c r="F20" s="11" t="s">
        <v>179</v>
      </c>
      <c r="G20" s="11"/>
      <c r="H20" s="11" t="s">
        <v>179</v>
      </c>
      <c r="I20" s="11" t="s">
        <v>179</v>
      </c>
      <c r="J20" s="11" t="s">
        <v>179</v>
      </c>
      <c r="K20" s="11" t="s">
        <v>179</v>
      </c>
      <c r="L20" s="11" t="s">
        <v>179</v>
      </c>
      <c r="M20" s="11"/>
      <c r="N20" s="11" t="s">
        <v>179</v>
      </c>
      <c r="O20" s="11"/>
      <c r="P20" s="11" t="s">
        <v>168</v>
      </c>
      <c r="Q20" s="11" t="s">
        <v>168</v>
      </c>
      <c r="R20" s="11" t="s">
        <v>168</v>
      </c>
      <c r="S20" s="11" t="s">
        <v>179</v>
      </c>
      <c r="T20" s="11" t="s">
        <v>179</v>
      </c>
    </row>
    <row r="21" spans="1:20" ht="160.5" customHeight="1" x14ac:dyDescent="0.3">
      <c r="D21" s="18" t="s">
        <v>169</v>
      </c>
      <c r="E21" s="169" t="s">
        <v>373</v>
      </c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</row>
    <row r="23" spans="1:20" x14ac:dyDescent="0.3">
      <c r="A23" s="5" t="s">
        <v>41</v>
      </c>
      <c r="B23" s="5" t="s">
        <v>42</v>
      </c>
      <c r="D23" s="18"/>
      <c r="E23" s="19" t="s">
        <v>345</v>
      </c>
      <c r="F23" s="19" t="s">
        <v>346</v>
      </c>
      <c r="G23" s="19" t="s">
        <v>347</v>
      </c>
      <c r="H23" s="19" t="s">
        <v>348</v>
      </c>
      <c r="I23" s="19" t="s">
        <v>43</v>
      </c>
      <c r="J23" s="19" t="s">
        <v>44</v>
      </c>
      <c r="K23" s="19" t="s">
        <v>45</v>
      </c>
      <c r="L23" s="19" t="s">
        <v>46</v>
      </c>
      <c r="M23" s="19" t="s">
        <v>47</v>
      </c>
      <c r="N23" s="19" t="s">
        <v>48</v>
      </c>
      <c r="O23" s="19" t="s">
        <v>49</v>
      </c>
      <c r="P23" s="19" t="s">
        <v>50</v>
      </c>
      <c r="Q23" s="19" t="s">
        <v>51</v>
      </c>
      <c r="R23" s="19" t="s">
        <v>52</v>
      </c>
      <c r="S23" s="19" t="s">
        <v>53</v>
      </c>
      <c r="T23" s="19" t="s">
        <v>54</v>
      </c>
    </row>
    <row r="24" spans="1:20" x14ac:dyDescent="0.3">
      <c r="A24" s="7" t="s">
        <v>75</v>
      </c>
      <c r="B24" s="7" t="str">
        <f>VLOOKUP(A24,'Register Table'!$B$3:$C$50,2,FALSE)</f>
        <v>STATUS3</v>
      </c>
      <c r="D24" s="18" t="s">
        <v>164</v>
      </c>
      <c r="E24" s="10"/>
      <c r="F24" s="11"/>
      <c r="G24" s="8"/>
      <c r="H24" s="8"/>
      <c r="I24" s="8"/>
      <c r="J24" s="8"/>
      <c r="K24" s="8"/>
      <c r="L24" s="8"/>
      <c r="M24" s="11"/>
      <c r="N24" s="11"/>
      <c r="O24" s="11"/>
      <c r="P24" s="11"/>
      <c r="Q24" s="11"/>
      <c r="R24" s="11"/>
      <c r="S24" s="8"/>
      <c r="T24" s="15" t="s">
        <v>374</v>
      </c>
    </row>
    <row r="25" spans="1:20" ht="22.5" x14ac:dyDescent="0.3">
      <c r="D25" s="18" t="s">
        <v>165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1">
        <v>0</v>
      </c>
    </row>
    <row r="26" spans="1:20" ht="22.5" x14ac:dyDescent="0.3">
      <c r="D26" s="18" t="s">
        <v>157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11" t="s">
        <v>65</v>
      </c>
    </row>
    <row r="27" spans="1:20" x14ac:dyDescent="0.3">
      <c r="D27" s="18" t="s">
        <v>167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11" t="s">
        <v>179</v>
      </c>
    </row>
    <row r="28" spans="1:20" ht="33.75" x14ac:dyDescent="0.3">
      <c r="D28" s="18" t="s">
        <v>169</v>
      </c>
      <c r="E28" s="169" t="s">
        <v>375</v>
      </c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</row>
    <row r="30" spans="1:20" x14ac:dyDescent="0.3">
      <c r="A30" s="5" t="s">
        <v>41</v>
      </c>
      <c r="B30" s="5" t="s">
        <v>42</v>
      </c>
      <c r="D30" s="18"/>
      <c r="E30" s="19" t="s">
        <v>345</v>
      </c>
      <c r="F30" s="19" t="s">
        <v>346</v>
      </c>
      <c r="G30" s="19" t="s">
        <v>347</v>
      </c>
      <c r="H30" s="19" t="s">
        <v>348</v>
      </c>
      <c r="I30" s="19" t="s">
        <v>43</v>
      </c>
      <c r="J30" s="19" t="s">
        <v>44</v>
      </c>
      <c r="K30" s="19" t="s">
        <v>45</v>
      </c>
      <c r="L30" s="19" t="s">
        <v>46</v>
      </c>
      <c r="M30" s="19" t="s">
        <v>47</v>
      </c>
      <c r="N30" s="19" t="s">
        <v>48</v>
      </c>
      <c r="O30" s="19" t="s">
        <v>49</v>
      </c>
      <c r="P30" s="19" t="s">
        <v>50</v>
      </c>
      <c r="Q30" s="19" t="s">
        <v>51</v>
      </c>
      <c r="R30" s="19" t="s">
        <v>52</v>
      </c>
      <c r="S30" s="19" t="s">
        <v>53</v>
      </c>
      <c r="T30" s="19" t="s">
        <v>54</v>
      </c>
    </row>
    <row r="31" spans="1:20" ht="22.5" x14ac:dyDescent="0.3">
      <c r="A31" s="7" t="s">
        <v>88</v>
      </c>
      <c r="B31" s="7" t="str">
        <f>VLOOKUP(A31,'Register Table'!$B$3:$C$50,2,FALSE)</f>
        <v>TEMP</v>
      </c>
      <c r="D31" s="18" t="s">
        <v>164</v>
      </c>
      <c r="E31" s="10"/>
      <c r="F31" s="11"/>
      <c r="G31" s="8"/>
      <c r="H31" s="8"/>
      <c r="I31" s="8"/>
      <c r="J31" s="8"/>
      <c r="K31" s="8"/>
      <c r="L31" s="8"/>
      <c r="M31" s="11"/>
      <c r="N31" s="11"/>
      <c r="O31" s="11"/>
      <c r="P31" s="11"/>
      <c r="Q31" s="11"/>
      <c r="R31" s="11"/>
      <c r="S31" s="8"/>
      <c r="T31" s="9" t="s">
        <v>376</v>
      </c>
    </row>
    <row r="32" spans="1:20" ht="22.5" x14ac:dyDescent="0.3">
      <c r="D32" s="18" t="s">
        <v>165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11">
        <v>0</v>
      </c>
    </row>
    <row r="33" spans="1:20" ht="22.5" x14ac:dyDescent="0.3">
      <c r="D33" s="18" t="s">
        <v>157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11" t="s">
        <v>371</v>
      </c>
    </row>
    <row r="34" spans="1:20" x14ac:dyDescent="0.3">
      <c r="D34" s="18" t="s">
        <v>167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11" t="s">
        <v>179</v>
      </c>
    </row>
    <row r="35" spans="1:20" ht="33.75" x14ac:dyDescent="0.3">
      <c r="D35" s="18" t="s">
        <v>169</v>
      </c>
      <c r="E35" s="169" t="s">
        <v>377</v>
      </c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</row>
    <row r="37" spans="1:20" x14ac:dyDescent="0.3">
      <c r="A37" s="5" t="s">
        <v>41</v>
      </c>
      <c r="B37" s="5" t="s">
        <v>42</v>
      </c>
      <c r="D37" s="18"/>
      <c r="E37" s="19" t="s">
        <v>345</v>
      </c>
      <c r="F37" s="19" t="s">
        <v>346</v>
      </c>
      <c r="G37" s="19" t="s">
        <v>347</v>
      </c>
      <c r="H37" s="19" t="s">
        <v>348</v>
      </c>
      <c r="I37" s="19" t="s">
        <v>43</v>
      </c>
      <c r="J37" s="19" t="s">
        <v>44</v>
      </c>
      <c r="K37" s="19" t="s">
        <v>45</v>
      </c>
      <c r="L37" s="19" t="s">
        <v>46</v>
      </c>
      <c r="M37" s="19" t="s">
        <v>47</v>
      </c>
      <c r="N37" s="19" t="s">
        <v>48</v>
      </c>
      <c r="O37" s="19" t="s">
        <v>49</v>
      </c>
      <c r="P37" s="19" t="s">
        <v>50</v>
      </c>
      <c r="Q37" s="19" t="s">
        <v>51</v>
      </c>
      <c r="R37" s="19" t="s">
        <v>52</v>
      </c>
      <c r="S37" s="19" t="s">
        <v>53</v>
      </c>
      <c r="T37" s="19" t="s">
        <v>54</v>
      </c>
    </row>
    <row r="38" spans="1:20" ht="22.5" x14ac:dyDescent="0.3">
      <c r="A38" s="7" t="s">
        <v>90</v>
      </c>
      <c r="B38" s="7" t="str">
        <f>VLOOKUP(A38,'Register Table'!$B$3:$C$50,2,FALSE)</f>
        <v>VEXT_GPIO1</v>
      </c>
      <c r="D38" s="18" t="s">
        <v>164</v>
      </c>
      <c r="E38" s="11"/>
      <c r="F38" s="8"/>
      <c r="G38" s="8"/>
      <c r="H38" s="8"/>
      <c r="I38" s="8"/>
      <c r="J38" s="8"/>
      <c r="K38" s="8"/>
      <c r="L38" s="8"/>
      <c r="M38" s="11"/>
      <c r="N38" s="11"/>
      <c r="O38" s="11"/>
      <c r="P38" s="11"/>
      <c r="Q38" s="11"/>
      <c r="R38" s="11"/>
      <c r="S38" s="11" t="s">
        <v>378</v>
      </c>
      <c r="T38" s="11" t="s">
        <v>379</v>
      </c>
    </row>
    <row r="39" spans="1:20" ht="22.5" x14ac:dyDescent="0.3">
      <c r="D39" s="18" t="s">
        <v>165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11">
        <v>0</v>
      </c>
      <c r="T39" s="11">
        <v>0</v>
      </c>
    </row>
    <row r="40" spans="1:20" ht="22.5" x14ac:dyDescent="0.3">
      <c r="D40" s="18" t="s">
        <v>157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1" t="s">
        <v>372</v>
      </c>
      <c r="T40" s="11" t="s">
        <v>372</v>
      </c>
    </row>
    <row r="41" spans="1:20" x14ac:dyDescent="0.3">
      <c r="D41" s="18" t="s">
        <v>167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11" t="s">
        <v>227</v>
      </c>
      <c r="T41" s="11" t="s">
        <v>227</v>
      </c>
    </row>
    <row r="42" spans="1:20" ht="27.75" customHeight="1" x14ac:dyDescent="0.3">
      <c r="D42" s="18" t="s">
        <v>169</v>
      </c>
      <c r="E42" s="169" t="s">
        <v>380</v>
      </c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</row>
    <row r="44" spans="1:20" x14ac:dyDescent="0.3">
      <c r="A44" s="5" t="s">
        <v>41</v>
      </c>
      <c r="B44" s="5" t="s">
        <v>42</v>
      </c>
      <c r="D44" s="18"/>
      <c r="E44" s="19" t="s">
        <v>345</v>
      </c>
      <c r="F44" s="19" t="s">
        <v>346</v>
      </c>
      <c r="G44" s="19" t="s">
        <v>347</v>
      </c>
      <c r="H44" s="19" t="s">
        <v>348</v>
      </c>
      <c r="I44" s="19" t="s">
        <v>43</v>
      </c>
      <c r="J44" s="19" t="s">
        <v>44</v>
      </c>
      <c r="K44" s="19" t="s">
        <v>45</v>
      </c>
      <c r="L44" s="19" t="s">
        <v>46</v>
      </c>
      <c r="M44" s="19" t="s">
        <v>47</v>
      </c>
      <c r="N44" s="19" t="s">
        <v>48</v>
      </c>
      <c r="O44" s="19" t="s">
        <v>49</v>
      </c>
      <c r="P44" s="19" t="s">
        <v>50</v>
      </c>
      <c r="Q44" s="19" t="s">
        <v>51</v>
      </c>
      <c r="R44" s="19" t="s">
        <v>52</v>
      </c>
      <c r="S44" s="19" t="s">
        <v>53</v>
      </c>
      <c r="T44" s="19" t="s">
        <v>54</v>
      </c>
    </row>
    <row r="45" spans="1:20" ht="33.75" x14ac:dyDescent="0.3">
      <c r="A45" s="7" t="s">
        <v>92</v>
      </c>
      <c r="B45" s="7" t="str">
        <f>VLOOKUP(A45,'Register Table'!$B$3:$C$50,2,FALSE)</f>
        <v>VEXT_GPIO2</v>
      </c>
      <c r="D45" s="18" t="s">
        <v>164</v>
      </c>
      <c r="E45" s="11"/>
      <c r="F45" s="8"/>
      <c r="G45" s="8"/>
      <c r="H45" s="8"/>
      <c r="I45" s="8"/>
      <c r="J45" s="8" t="s">
        <v>381</v>
      </c>
      <c r="K45" s="8" t="s">
        <v>382</v>
      </c>
      <c r="L45" s="8" t="s">
        <v>383</v>
      </c>
      <c r="M45" s="8"/>
      <c r="N45" s="8" t="s">
        <v>384</v>
      </c>
      <c r="O45" s="8" t="s">
        <v>385</v>
      </c>
      <c r="P45" s="8" t="s">
        <v>386</v>
      </c>
      <c r="Q45" s="8"/>
      <c r="R45" s="8" t="s">
        <v>387</v>
      </c>
      <c r="S45" s="8" t="s">
        <v>388</v>
      </c>
      <c r="T45" s="8" t="s">
        <v>389</v>
      </c>
    </row>
    <row r="46" spans="1:20" ht="22.5" x14ac:dyDescent="0.3">
      <c r="D46" s="18" t="s">
        <v>165</v>
      </c>
      <c r="E46" s="8"/>
      <c r="F46" s="8"/>
      <c r="G46" s="8"/>
      <c r="H46" s="8"/>
      <c r="I46" s="8"/>
      <c r="J46" s="11">
        <v>0</v>
      </c>
      <c r="K46" s="11">
        <v>0</v>
      </c>
      <c r="L46" s="11">
        <v>0</v>
      </c>
      <c r="M46" s="11"/>
      <c r="N46" s="11">
        <v>0</v>
      </c>
      <c r="O46" s="11">
        <v>0</v>
      </c>
      <c r="P46" s="11">
        <v>0</v>
      </c>
      <c r="Q46" s="11"/>
      <c r="R46" s="11">
        <v>0</v>
      </c>
      <c r="S46" s="11">
        <v>0</v>
      </c>
      <c r="T46" s="11">
        <v>0</v>
      </c>
    </row>
    <row r="47" spans="1:20" ht="22.5" x14ac:dyDescent="0.3">
      <c r="D47" s="18" t="s">
        <v>157</v>
      </c>
      <c r="E47" s="8"/>
      <c r="F47" s="8"/>
      <c r="G47" s="8"/>
      <c r="H47" s="8"/>
      <c r="I47" s="8"/>
      <c r="J47" s="11" t="s">
        <v>372</v>
      </c>
      <c r="K47" s="11" t="s">
        <v>390</v>
      </c>
      <c r="L47" s="11" t="s">
        <v>390</v>
      </c>
      <c r="M47" s="11"/>
      <c r="N47" s="11" t="s">
        <v>390</v>
      </c>
      <c r="O47" s="11" t="s">
        <v>390</v>
      </c>
      <c r="P47" s="11" t="s">
        <v>390</v>
      </c>
      <c r="Q47" s="11"/>
      <c r="R47" s="11" t="s">
        <v>390</v>
      </c>
      <c r="S47" s="11" t="s">
        <v>390</v>
      </c>
      <c r="T47" s="11" t="s">
        <v>390</v>
      </c>
    </row>
    <row r="48" spans="1:20" x14ac:dyDescent="0.3">
      <c r="D48" s="18" t="s">
        <v>167</v>
      </c>
      <c r="E48" s="8"/>
      <c r="F48" s="8"/>
      <c r="G48" s="8"/>
      <c r="H48" s="8"/>
      <c r="I48" s="8"/>
      <c r="J48" s="11" t="s">
        <v>227</v>
      </c>
      <c r="K48" s="11" t="s">
        <v>227</v>
      </c>
      <c r="L48" s="11" t="s">
        <v>227</v>
      </c>
      <c r="M48" s="11"/>
      <c r="N48" s="11" t="s">
        <v>227</v>
      </c>
      <c r="O48" s="11" t="s">
        <v>227</v>
      </c>
      <c r="P48" s="11" t="s">
        <v>227</v>
      </c>
      <c r="Q48" s="11"/>
      <c r="R48" s="11" t="s">
        <v>227</v>
      </c>
      <c r="S48" s="11" t="s">
        <v>227</v>
      </c>
      <c r="T48" s="11" t="s">
        <v>227</v>
      </c>
    </row>
    <row r="49" spans="1:20" ht="110.25" customHeight="1" x14ac:dyDescent="0.3">
      <c r="D49" s="18" t="s">
        <v>169</v>
      </c>
      <c r="E49" s="169" t="s">
        <v>391</v>
      </c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</row>
    <row r="51" spans="1:20" x14ac:dyDescent="0.3">
      <c r="A51" s="5" t="s">
        <v>41</v>
      </c>
      <c r="B51" s="5" t="s">
        <v>42</v>
      </c>
      <c r="D51" s="18"/>
      <c r="E51" s="19" t="s">
        <v>345</v>
      </c>
      <c r="F51" s="19" t="s">
        <v>346</v>
      </c>
      <c r="G51" s="19" t="s">
        <v>347</v>
      </c>
      <c r="H51" s="19" t="s">
        <v>348</v>
      </c>
      <c r="I51" s="19" t="s">
        <v>43</v>
      </c>
      <c r="J51" s="19" t="s">
        <v>44</v>
      </c>
      <c r="K51" s="19" t="s">
        <v>45</v>
      </c>
      <c r="L51" s="19" t="s">
        <v>46</v>
      </c>
      <c r="M51" s="19" t="s">
        <v>47</v>
      </c>
      <c r="N51" s="19" t="s">
        <v>48</v>
      </c>
      <c r="O51" s="19" t="s">
        <v>49</v>
      </c>
      <c r="P51" s="19" t="s">
        <v>50</v>
      </c>
      <c r="Q51" s="19" t="s">
        <v>51</v>
      </c>
      <c r="R51" s="19" t="s">
        <v>52</v>
      </c>
      <c r="S51" s="19" t="s">
        <v>53</v>
      </c>
      <c r="T51" s="19" t="s">
        <v>54</v>
      </c>
    </row>
    <row r="52" spans="1:20" x14ac:dyDescent="0.3">
      <c r="A52" s="7" t="s">
        <v>94</v>
      </c>
      <c r="B52" s="7" t="str">
        <f>VLOOKUP(A52,'Register Table'!$B$3:$C$50,2,FALSE)</f>
        <v>VIO_MON</v>
      </c>
      <c r="D52" s="18" t="s">
        <v>164</v>
      </c>
      <c r="E52" s="146" t="s">
        <v>392</v>
      </c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8"/>
    </row>
    <row r="53" spans="1:20" ht="22.5" x14ac:dyDescent="0.3">
      <c r="D53" s="18" t="s">
        <v>165</v>
      </c>
      <c r="E53" s="146" t="s">
        <v>393</v>
      </c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8"/>
    </row>
    <row r="54" spans="1:20" ht="22.5" x14ac:dyDescent="0.3">
      <c r="D54" s="18" t="s">
        <v>157</v>
      </c>
      <c r="E54" s="291" t="s">
        <v>65</v>
      </c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8"/>
    </row>
    <row r="55" spans="1:20" x14ac:dyDescent="0.3">
      <c r="D55" s="18" t="s">
        <v>167</v>
      </c>
      <c r="E55" s="146" t="s">
        <v>394</v>
      </c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8"/>
    </row>
    <row r="56" spans="1:20" ht="33.75" x14ac:dyDescent="0.3">
      <c r="D56" s="18" t="s">
        <v>169</v>
      </c>
      <c r="E56" s="169" t="s">
        <v>395</v>
      </c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</row>
    <row r="58" spans="1:20" x14ac:dyDescent="0.3">
      <c r="A58" s="5" t="s">
        <v>41</v>
      </c>
      <c r="B58" s="5" t="s">
        <v>42</v>
      </c>
      <c r="D58" s="18"/>
      <c r="E58" s="19" t="s">
        <v>345</v>
      </c>
      <c r="F58" s="19" t="s">
        <v>346</v>
      </c>
      <c r="G58" s="19" t="s">
        <v>347</v>
      </c>
      <c r="H58" s="19" t="s">
        <v>348</v>
      </c>
      <c r="I58" s="19" t="s">
        <v>43</v>
      </c>
      <c r="J58" s="19" t="s">
        <v>44</v>
      </c>
      <c r="K58" s="19" t="s">
        <v>45</v>
      </c>
      <c r="L58" s="19" t="s">
        <v>46</v>
      </c>
      <c r="M58" s="19" t="s">
        <v>47</v>
      </c>
      <c r="N58" s="19" t="s">
        <v>48</v>
      </c>
      <c r="O58" s="19" t="s">
        <v>49</v>
      </c>
      <c r="P58" s="19" t="s">
        <v>50</v>
      </c>
      <c r="Q58" s="19" t="s">
        <v>51</v>
      </c>
      <c r="R58" s="19" t="s">
        <v>52</v>
      </c>
      <c r="S58" s="19" t="s">
        <v>53</v>
      </c>
      <c r="T58" s="19" t="s">
        <v>54</v>
      </c>
    </row>
    <row r="59" spans="1:20" x14ac:dyDescent="0.3">
      <c r="A59" s="7" t="s">
        <v>101</v>
      </c>
      <c r="B59" s="7" t="str">
        <f>VLOOKUP(A59,'Register Table'!$B$3:$C$50,2,FALSE)</f>
        <v>SETUP1</v>
      </c>
      <c r="D59" s="18" t="s">
        <v>164</v>
      </c>
      <c r="E59" s="146" t="s">
        <v>396</v>
      </c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8"/>
    </row>
    <row r="60" spans="1:20" ht="22.5" x14ac:dyDescent="0.3">
      <c r="D60" s="18" t="s">
        <v>165</v>
      </c>
      <c r="E60" s="146" t="s">
        <v>393</v>
      </c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8"/>
    </row>
    <row r="61" spans="1:20" ht="22.5" x14ac:dyDescent="0.3">
      <c r="D61" s="18" t="s">
        <v>157</v>
      </c>
      <c r="E61" s="291" t="s">
        <v>65</v>
      </c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8"/>
    </row>
    <row r="62" spans="1:20" x14ac:dyDescent="0.3">
      <c r="D62" s="18" t="s">
        <v>167</v>
      </c>
      <c r="E62" s="146" t="s">
        <v>394</v>
      </c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8"/>
    </row>
    <row r="63" spans="1:20" ht="33.75" x14ac:dyDescent="0.3">
      <c r="D63" s="18" t="s">
        <v>169</v>
      </c>
      <c r="E63" s="169" t="s">
        <v>397</v>
      </c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</row>
    <row r="65" spans="1:20" x14ac:dyDescent="0.3">
      <c r="A65" s="5" t="s">
        <v>41</v>
      </c>
      <c r="B65" s="5" t="s">
        <v>42</v>
      </c>
      <c r="D65" s="18"/>
      <c r="E65" s="19" t="s">
        <v>345</v>
      </c>
      <c r="F65" s="19" t="s">
        <v>346</v>
      </c>
      <c r="G65" s="19" t="s">
        <v>347</v>
      </c>
      <c r="H65" s="19" t="s">
        <v>348</v>
      </c>
      <c r="I65" s="19" t="s">
        <v>43</v>
      </c>
      <c r="J65" s="19" t="s">
        <v>44</v>
      </c>
      <c r="K65" s="19" t="s">
        <v>45</v>
      </c>
      <c r="L65" s="19" t="s">
        <v>46</v>
      </c>
      <c r="M65" s="19" t="s">
        <v>47</v>
      </c>
      <c r="N65" s="19" t="s">
        <v>48</v>
      </c>
      <c r="O65" s="19" t="s">
        <v>49</v>
      </c>
      <c r="P65" s="19" t="s">
        <v>50</v>
      </c>
      <c r="Q65" s="19" t="s">
        <v>51</v>
      </c>
      <c r="R65" s="19" t="s">
        <v>52</v>
      </c>
      <c r="S65" s="19" t="s">
        <v>53</v>
      </c>
      <c r="T65" s="19" t="s">
        <v>54</v>
      </c>
    </row>
    <row r="66" spans="1:20" x14ac:dyDescent="0.3">
      <c r="A66" s="7" t="s">
        <v>114</v>
      </c>
      <c r="B66" s="7" t="str">
        <f>VLOOKUP(A66,'Register Table'!$B$3:$C$50,2,FALSE)</f>
        <v>SETUP2</v>
      </c>
      <c r="D66" s="18" t="s">
        <v>164</v>
      </c>
      <c r="E66" s="146" t="s">
        <v>398</v>
      </c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8"/>
    </row>
    <row r="67" spans="1:20" ht="22.5" x14ac:dyDescent="0.3">
      <c r="D67" s="18" t="s">
        <v>165</v>
      </c>
      <c r="E67" s="146" t="s">
        <v>393</v>
      </c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8"/>
    </row>
    <row r="68" spans="1:20" ht="22.5" x14ac:dyDescent="0.3">
      <c r="D68" s="18" t="s">
        <v>157</v>
      </c>
      <c r="E68" s="291" t="s">
        <v>65</v>
      </c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8"/>
    </row>
    <row r="69" spans="1:20" x14ac:dyDescent="0.3">
      <c r="D69" s="18" t="s">
        <v>167</v>
      </c>
      <c r="E69" s="146" t="s">
        <v>394</v>
      </c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8"/>
    </row>
    <row r="70" spans="1:20" ht="33.75" x14ac:dyDescent="0.3">
      <c r="D70" s="18" t="s">
        <v>169</v>
      </c>
      <c r="E70" s="169" t="s">
        <v>399</v>
      </c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</row>
    <row r="72" spans="1:20" x14ac:dyDescent="0.3">
      <c r="A72" s="5" t="s">
        <v>41</v>
      </c>
      <c r="B72" s="5" t="s">
        <v>42</v>
      </c>
      <c r="D72" s="18"/>
      <c r="E72" s="19" t="s">
        <v>345</v>
      </c>
      <c r="F72" s="19" t="s">
        <v>346</v>
      </c>
      <c r="G72" s="19" t="s">
        <v>347</v>
      </c>
      <c r="H72" s="19" t="s">
        <v>348</v>
      </c>
      <c r="I72" s="19" t="s">
        <v>43</v>
      </c>
      <c r="J72" s="19" t="s">
        <v>44</v>
      </c>
      <c r="K72" s="19" t="s">
        <v>45</v>
      </c>
      <c r="L72" s="19" t="s">
        <v>46</v>
      </c>
      <c r="M72" s="19" t="s">
        <v>47</v>
      </c>
      <c r="N72" s="19" t="s">
        <v>48</v>
      </c>
      <c r="O72" s="19" t="s">
        <v>49</v>
      </c>
      <c r="P72" s="19" t="s">
        <v>50</v>
      </c>
      <c r="Q72" s="19" t="s">
        <v>51</v>
      </c>
      <c r="R72" s="19" t="s">
        <v>52</v>
      </c>
      <c r="S72" s="19" t="s">
        <v>53</v>
      </c>
      <c r="T72" s="19" t="s">
        <v>54</v>
      </c>
    </row>
    <row r="73" spans="1:20" ht="33.75" x14ac:dyDescent="0.3">
      <c r="A73" s="7" t="s">
        <v>127</v>
      </c>
      <c r="B73" s="7" t="str">
        <f>VLOOKUP(A73,'Register Table'!$B$3:$C$50,2,FALSE)</f>
        <v>CMD_SET5</v>
      </c>
      <c r="D73" s="18" t="s">
        <v>164</v>
      </c>
      <c r="E73" s="8"/>
      <c r="F73" s="8"/>
      <c r="G73" s="8"/>
      <c r="H73" s="8"/>
      <c r="I73" s="8"/>
      <c r="J73" s="8"/>
      <c r="K73" s="8"/>
      <c r="L73" s="8" t="s">
        <v>400</v>
      </c>
      <c r="M73" s="8"/>
      <c r="N73" s="8"/>
      <c r="O73" s="8"/>
      <c r="P73" s="8"/>
      <c r="Q73" s="8" t="s">
        <v>401</v>
      </c>
      <c r="R73" s="8" t="s">
        <v>402</v>
      </c>
      <c r="S73" s="8" t="s">
        <v>403</v>
      </c>
      <c r="T73" s="8" t="s">
        <v>404</v>
      </c>
    </row>
    <row r="74" spans="1:20" ht="22.5" x14ac:dyDescent="0.3">
      <c r="D74" s="18" t="s">
        <v>165</v>
      </c>
      <c r="E74" s="8"/>
      <c r="F74" s="8"/>
      <c r="G74" s="8"/>
      <c r="H74" s="8"/>
      <c r="I74" s="8"/>
      <c r="J74" s="8"/>
      <c r="K74" s="8"/>
      <c r="L74" s="11">
        <v>1</v>
      </c>
      <c r="M74" s="8"/>
      <c r="N74" s="8"/>
      <c r="O74" s="8"/>
      <c r="P74" s="8"/>
      <c r="Q74" s="11">
        <v>1</v>
      </c>
      <c r="R74" s="11">
        <v>1</v>
      </c>
      <c r="S74" s="11">
        <v>1</v>
      </c>
      <c r="T74" s="11">
        <v>1</v>
      </c>
    </row>
    <row r="75" spans="1:20" ht="22.5" x14ac:dyDescent="0.3">
      <c r="D75" s="18" t="s">
        <v>157</v>
      </c>
      <c r="E75" s="8"/>
      <c r="F75" s="8"/>
      <c r="G75" s="8"/>
      <c r="H75" s="8"/>
      <c r="I75" s="8"/>
      <c r="J75" s="8"/>
      <c r="K75" s="8"/>
      <c r="L75" s="11" t="s">
        <v>65</v>
      </c>
      <c r="M75" s="8"/>
      <c r="N75" s="8"/>
      <c r="O75" s="8"/>
      <c r="P75" s="8"/>
      <c r="Q75" s="11" t="s">
        <v>65</v>
      </c>
      <c r="R75" s="11" t="s">
        <v>65</v>
      </c>
      <c r="S75" s="11" t="s">
        <v>65</v>
      </c>
      <c r="T75" s="11" t="s">
        <v>65</v>
      </c>
    </row>
    <row r="76" spans="1:20" x14ac:dyDescent="0.3">
      <c r="D76" s="18" t="s">
        <v>167</v>
      </c>
      <c r="E76" s="8"/>
      <c r="F76" s="8"/>
      <c r="G76" s="8"/>
      <c r="H76" s="8"/>
      <c r="I76" s="8"/>
      <c r="J76" s="8"/>
      <c r="K76" s="8"/>
      <c r="L76" s="11" t="s">
        <v>227</v>
      </c>
      <c r="M76" s="8"/>
      <c r="N76" s="8"/>
      <c r="O76" s="8"/>
      <c r="P76" s="8"/>
      <c r="Q76" s="11" t="s">
        <v>227</v>
      </c>
      <c r="R76" s="11" t="s">
        <v>227</v>
      </c>
      <c r="S76" s="11" t="s">
        <v>227</v>
      </c>
      <c r="T76" s="11" t="s">
        <v>227</v>
      </c>
    </row>
    <row r="77" spans="1:20" ht="62.25" customHeight="1" x14ac:dyDescent="0.3">
      <c r="D77" s="18" t="s">
        <v>169</v>
      </c>
      <c r="E77" s="169" t="s">
        <v>405</v>
      </c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</row>
    <row r="79" spans="1:20" x14ac:dyDescent="0.3">
      <c r="A79" s="5" t="s">
        <v>41</v>
      </c>
      <c r="B79" s="5" t="s">
        <v>42</v>
      </c>
      <c r="D79" s="18"/>
      <c r="E79" s="19" t="s">
        <v>345</v>
      </c>
      <c r="F79" s="19" t="s">
        <v>346</v>
      </c>
      <c r="G79" s="19" t="s">
        <v>347</v>
      </c>
      <c r="H79" s="19" t="s">
        <v>348</v>
      </c>
      <c r="I79" s="19" t="s">
        <v>43</v>
      </c>
      <c r="J79" s="19" t="s">
        <v>44</v>
      </c>
      <c r="K79" s="19" t="s">
        <v>45</v>
      </c>
      <c r="L79" s="19" t="s">
        <v>46</v>
      </c>
      <c r="M79" s="19" t="s">
        <v>47</v>
      </c>
      <c r="N79" s="19" t="s">
        <v>48</v>
      </c>
      <c r="O79" s="19" t="s">
        <v>49</v>
      </c>
      <c r="P79" s="19" t="s">
        <v>50</v>
      </c>
      <c r="Q79" s="19" t="s">
        <v>51</v>
      </c>
      <c r="R79" s="19" t="s">
        <v>52</v>
      </c>
      <c r="S79" s="19" t="s">
        <v>53</v>
      </c>
      <c r="T79" s="19" t="s">
        <v>54</v>
      </c>
    </row>
    <row r="80" spans="1:20" ht="33.75" x14ac:dyDescent="0.3">
      <c r="A80" s="7" t="s">
        <v>128</v>
      </c>
      <c r="B80" s="7" t="e">
        <f>VLOOKUP(A80,'Register Table'!$B$3:$C$50,2,FALSE)</f>
        <v>#N/A</v>
      </c>
      <c r="D80" s="18" t="s">
        <v>164</v>
      </c>
      <c r="E80" s="8" t="s">
        <v>406</v>
      </c>
      <c r="F80" s="8" t="s">
        <v>407</v>
      </c>
      <c r="G80" s="8" t="s">
        <v>408</v>
      </c>
      <c r="H80" s="8" t="s">
        <v>409</v>
      </c>
      <c r="I80" s="8"/>
      <c r="J80" s="8"/>
      <c r="K80" s="8"/>
      <c r="L80" s="8"/>
      <c r="M80" s="8"/>
      <c r="N80" s="8"/>
      <c r="O80" s="8" t="s">
        <v>410</v>
      </c>
      <c r="P80" s="8" t="s">
        <v>411</v>
      </c>
      <c r="Q80" s="8" t="s">
        <v>412</v>
      </c>
      <c r="R80" s="8" t="s">
        <v>413</v>
      </c>
      <c r="S80" s="8" t="s">
        <v>414</v>
      </c>
      <c r="T80" s="8" t="s">
        <v>415</v>
      </c>
    </row>
    <row r="81" spans="1:20" ht="22.5" x14ac:dyDescent="0.3">
      <c r="D81" s="18" t="s">
        <v>165</v>
      </c>
      <c r="E81" s="11">
        <v>0</v>
      </c>
      <c r="F81" s="11">
        <v>0</v>
      </c>
      <c r="G81" s="11">
        <v>0</v>
      </c>
      <c r="H81" s="11">
        <v>0</v>
      </c>
      <c r="I81" s="11"/>
      <c r="J81" s="11"/>
      <c r="K81" s="11"/>
      <c r="L81" s="11"/>
      <c r="M81" s="11"/>
      <c r="N81" s="11"/>
      <c r="O81" s="11">
        <v>1</v>
      </c>
      <c r="P81" s="11">
        <v>1</v>
      </c>
      <c r="Q81" s="11">
        <v>1</v>
      </c>
      <c r="R81" s="11">
        <v>1</v>
      </c>
      <c r="S81" s="11">
        <v>1</v>
      </c>
      <c r="T81" s="11">
        <v>1</v>
      </c>
    </row>
    <row r="82" spans="1:20" ht="22.5" x14ac:dyDescent="0.3">
      <c r="D82" s="18" t="s">
        <v>157</v>
      </c>
      <c r="E82" s="11" t="s">
        <v>372</v>
      </c>
      <c r="F82" s="11" t="s">
        <v>372</v>
      </c>
      <c r="G82" s="11" t="s">
        <v>372</v>
      </c>
      <c r="H82" s="11" t="s">
        <v>372</v>
      </c>
      <c r="I82" s="11"/>
      <c r="J82" s="11"/>
      <c r="K82" s="11"/>
      <c r="L82" s="11"/>
      <c r="M82" s="11"/>
      <c r="N82" s="11"/>
      <c r="O82" s="11" t="s">
        <v>372</v>
      </c>
      <c r="P82" s="11" t="s">
        <v>372</v>
      </c>
      <c r="Q82" s="11" t="s">
        <v>372</v>
      </c>
      <c r="R82" s="11" t="s">
        <v>372</v>
      </c>
      <c r="S82" s="11" t="s">
        <v>372</v>
      </c>
      <c r="T82" s="11" t="s">
        <v>372</v>
      </c>
    </row>
    <row r="83" spans="1:20" x14ac:dyDescent="0.3">
      <c r="D83" s="18" t="s">
        <v>167</v>
      </c>
      <c r="E83" s="11" t="s">
        <v>227</v>
      </c>
      <c r="F83" s="11" t="s">
        <v>227</v>
      </c>
      <c r="G83" s="11" t="s">
        <v>227</v>
      </c>
      <c r="H83" s="11" t="s">
        <v>227</v>
      </c>
      <c r="I83" s="11"/>
      <c r="J83" s="11"/>
      <c r="K83" s="11"/>
      <c r="L83" s="11"/>
      <c r="M83" s="11"/>
      <c r="N83" s="11"/>
      <c r="O83" s="11" t="s">
        <v>227</v>
      </c>
      <c r="P83" s="11" t="s">
        <v>227</v>
      </c>
      <c r="Q83" s="11" t="s">
        <v>227</v>
      </c>
      <c r="R83" s="11" t="s">
        <v>227</v>
      </c>
      <c r="S83" s="11" t="s">
        <v>227</v>
      </c>
      <c r="T83" s="11" t="s">
        <v>227</v>
      </c>
    </row>
    <row r="84" spans="1:20" ht="125.25" customHeight="1" x14ac:dyDescent="0.3">
      <c r="D84" s="18" t="s">
        <v>169</v>
      </c>
      <c r="E84" s="169" t="s">
        <v>416</v>
      </c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</row>
    <row r="86" spans="1:20" x14ac:dyDescent="0.3">
      <c r="A86" s="5" t="s">
        <v>41</v>
      </c>
      <c r="B86" s="5" t="s">
        <v>42</v>
      </c>
      <c r="D86" s="18"/>
      <c r="E86" s="19" t="s">
        <v>345</v>
      </c>
      <c r="F86" s="19" t="s">
        <v>346</v>
      </c>
      <c r="G86" s="19" t="s">
        <v>347</v>
      </c>
      <c r="H86" s="19" t="s">
        <v>348</v>
      </c>
      <c r="I86" s="19" t="s">
        <v>43</v>
      </c>
      <c r="J86" s="19" t="s">
        <v>44</v>
      </c>
      <c r="K86" s="19" t="s">
        <v>45</v>
      </c>
      <c r="L86" s="19" t="s">
        <v>46</v>
      </c>
      <c r="M86" s="19" t="s">
        <v>47</v>
      </c>
      <c r="N86" s="19" t="s">
        <v>48</v>
      </c>
      <c r="O86" s="19" t="s">
        <v>49</v>
      </c>
      <c r="P86" s="19" t="s">
        <v>50</v>
      </c>
      <c r="Q86" s="19" t="s">
        <v>51</v>
      </c>
      <c r="R86" s="19" t="s">
        <v>52</v>
      </c>
      <c r="S86" s="19" t="s">
        <v>53</v>
      </c>
      <c r="T86" s="19" t="s">
        <v>54</v>
      </c>
    </row>
    <row r="87" spans="1:20" ht="22.5" x14ac:dyDescent="0.3">
      <c r="A87" s="7" t="s">
        <v>129</v>
      </c>
      <c r="B87" s="7" t="e">
        <f>VLOOKUP(A87,'Register Table'!$B$3:$C$50,2,FALSE)</f>
        <v>#N/A</v>
      </c>
      <c r="D87" s="18" t="s">
        <v>164</v>
      </c>
      <c r="F87" s="8"/>
      <c r="G87" s="8"/>
      <c r="H87" s="8"/>
      <c r="I87" s="8"/>
      <c r="J87" s="8"/>
      <c r="K87" s="8"/>
      <c r="L87" s="8"/>
      <c r="M87" s="8" t="s">
        <v>417</v>
      </c>
      <c r="N87" s="8" t="s">
        <v>418</v>
      </c>
      <c r="O87" s="8" t="s">
        <v>419</v>
      </c>
      <c r="P87" s="8" t="s">
        <v>420</v>
      </c>
      <c r="Q87" s="8" t="s">
        <v>421</v>
      </c>
      <c r="R87" s="8" t="s">
        <v>422</v>
      </c>
      <c r="S87" s="8" t="s">
        <v>423</v>
      </c>
      <c r="T87" s="8" t="s">
        <v>424</v>
      </c>
    </row>
    <row r="88" spans="1:20" ht="22.5" x14ac:dyDescent="0.3">
      <c r="D88" s="18" t="s">
        <v>165</v>
      </c>
      <c r="E88" s="8"/>
      <c r="F88" s="8"/>
      <c r="G88" s="8"/>
      <c r="H88" s="8"/>
      <c r="I88" s="8"/>
      <c r="J88" s="8"/>
      <c r="K88" s="8"/>
      <c r="L88" s="8"/>
      <c r="M88" s="11" t="s">
        <v>371</v>
      </c>
      <c r="N88" s="11" t="s">
        <v>65</v>
      </c>
      <c r="O88" s="11" t="s">
        <v>65</v>
      </c>
      <c r="P88" s="11" t="s">
        <v>65</v>
      </c>
      <c r="Q88" s="11" t="s">
        <v>371</v>
      </c>
      <c r="R88" s="11" t="s">
        <v>371</v>
      </c>
      <c r="S88" s="11" t="s">
        <v>371</v>
      </c>
      <c r="T88" s="11" t="s">
        <v>371</v>
      </c>
    </row>
    <row r="89" spans="1:20" ht="22.5" x14ac:dyDescent="0.3">
      <c r="D89" s="18" t="s">
        <v>157</v>
      </c>
      <c r="E89" s="8"/>
      <c r="F89" s="8"/>
      <c r="G89" s="8"/>
      <c r="H89" s="8"/>
      <c r="I89" s="8"/>
      <c r="J89" s="8"/>
      <c r="K89" s="8"/>
      <c r="L89" s="8"/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</row>
    <row r="90" spans="1:20" x14ac:dyDescent="0.3">
      <c r="D90" s="18" t="s">
        <v>167</v>
      </c>
      <c r="E90" s="8"/>
      <c r="F90" s="8"/>
      <c r="G90" s="8"/>
      <c r="H90" s="8"/>
      <c r="I90" s="8"/>
      <c r="J90" s="8"/>
      <c r="K90" s="8"/>
      <c r="L90" s="8"/>
      <c r="M90" s="11" t="s">
        <v>179</v>
      </c>
      <c r="N90" s="11" t="s">
        <v>179</v>
      </c>
      <c r="O90" s="11" t="s">
        <v>179</v>
      </c>
      <c r="P90" s="11" t="s">
        <v>179</v>
      </c>
      <c r="Q90" s="11" t="s">
        <v>179</v>
      </c>
      <c r="R90" s="11" t="s">
        <v>179</v>
      </c>
      <c r="S90" s="11" t="s">
        <v>179</v>
      </c>
      <c r="T90" s="11" t="s">
        <v>179</v>
      </c>
    </row>
    <row r="91" spans="1:20" ht="100.5" customHeight="1" x14ac:dyDescent="0.3">
      <c r="D91" s="18" t="s">
        <v>169</v>
      </c>
      <c r="E91" s="169" t="s">
        <v>425</v>
      </c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</row>
    <row r="93" spans="1:20" x14ac:dyDescent="0.3">
      <c r="A93" s="5" t="s">
        <v>41</v>
      </c>
      <c r="B93" s="5" t="s">
        <v>42</v>
      </c>
      <c r="D93" s="18"/>
      <c r="E93" s="19" t="s">
        <v>345</v>
      </c>
      <c r="F93" s="19" t="s">
        <v>346</v>
      </c>
      <c r="G93" s="19" t="s">
        <v>347</v>
      </c>
      <c r="H93" s="19" t="s">
        <v>348</v>
      </c>
      <c r="I93" s="19" t="s">
        <v>43</v>
      </c>
      <c r="J93" s="19" t="s">
        <v>44</v>
      </c>
      <c r="K93" s="19" t="s">
        <v>45</v>
      </c>
      <c r="L93" s="19" t="s">
        <v>46</v>
      </c>
      <c r="M93" s="19" t="s">
        <v>47</v>
      </c>
      <c r="N93" s="19" t="s">
        <v>48</v>
      </c>
      <c r="O93" s="19" t="s">
        <v>49</v>
      </c>
      <c r="P93" s="19" t="s">
        <v>50</v>
      </c>
      <c r="Q93" s="19" t="s">
        <v>51</v>
      </c>
      <c r="R93" s="19" t="s">
        <v>52</v>
      </c>
      <c r="S93" s="19" t="s">
        <v>53</v>
      </c>
      <c r="T93" s="19" t="s">
        <v>54</v>
      </c>
    </row>
    <row r="94" spans="1:20" ht="22.5" x14ac:dyDescent="0.3">
      <c r="A94" s="7" t="s">
        <v>130</v>
      </c>
      <c r="B94" s="7" t="e">
        <f>VLOOKUP(A94,'Register Table'!$B$3:$C$50,2,FALSE)</f>
        <v>#N/A</v>
      </c>
      <c r="D94" s="18" t="s">
        <v>164</v>
      </c>
      <c r="E94" s="8" t="s">
        <v>426</v>
      </c>
      <c r="F94" s="8" t="s">
        <v>427</v>
      </c>
      <c r="G94" s="8" t="s">
        <v>428</v>
      </c>
      <c r="H94" s="8" t="s">
        <v>429</v>
      </c>
      <c r="I94" s="8" t="s">
        <v>430</v>
      </c>
      <c r="J94" s="8" t="s">
        <v>431</v>
      </c>
      <c r="K94" s="8" t="s">
        <v>432</v>
      </c>
      <c r="L94" s="8" t="s">
        <v>433</v>
      </c>
      <c r="M94" s="8"/>
      <c r="N94" s="8" t="s">
        <v>434</v>
      </c>
      <c r="O94" s="8" t="s">
        <v>435</v>
      </c>
      <c r="P94" s="8" t="s">
        <v>436</v>
      </c>
      <c r="Q94" s="8"/>
      <c r="R94" s="8"/>
      <c r="S94" s="8" t="s">
        <v>437</v>
      </c>
      <c r="T94" s="8" t="s">
        <v>438</v>
      </c>
    </row>
    <row r="95" spans="1:20" ht="22.5" x14ac:dyDescent="0.3">
      <c r="D95" s="18" t="s">
        <v>165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/>
      <c r="N95" s="11">
        <v>0</v>
      </c>
      <c r="O95" s="11">
        <v>0</v>
      </c>
      <c r="P95" s="11">
        <v>0</v>
      </c>
      <c r="Q95" s="11"/>
      <c r="R95" s="11"/>
      <c r="S95" s="11">
        <v>0</v>
      </c>
      <c r="T95" s="11">
        <v>0</v>
      </c>
    </row>
    <row r="96" spans="1:20" ht="22.5" x14ac:dyDescent="0.3">
      <c r="D96" s="18" t="s">
        <v>157</v>
      </c>
      <c r="E96" s="11" t="s">
        <v>371</v>
      </c>
      <c r="F96" s="11" t="s">
        <v>371</v>
      </c>
      <c r="G96" s="11" t="s">
        <v>371</v>
      </c>
      <c r="H96" s="11" t="s">
        <v>371</v>
      </c>
      <c r="I96" s="11" t="s">
        <v>371</v>
      </c>
      <c r="J96" s="11" t="s">
        <v>371</v>
      </c>
      <c r="K96" s="11" t="s">
        <v>371</v>
      </c>
      <c r="L96" s="11" t="s">
        <v>371</v>
      </c>
      <c r="M96" s="11"/>
      <c r="N96" s="11" t="s">
        <v>371</v>
      </c>
      <c r="O96" s="11" t="s">
        <v>371</v>
      </c>
      <c r="P96" s="11" t="s">
        <v>371</v>
      </c>
      <c r="Q96" s="11"/>
      <c r="R96" s="11"/>
      <c r="S96" s="11" t="s">
        <v>371</v>
      </c>
      <c r="T96" s="11" t="s">
        <v>371</v>
      </c>
    </row>
    <row r="97" spans="1:20" x14ac:dyDescent="0.3">
      <c r="D97" s="18" t="s">
        <v>167</v>
      </c>
      <c r="E97" s="11" t="s">
        <v>179</v>
      </c>
      <c r="F97" s="11" t="s">
        <v>179</v>
      </c>
      <c r="G97" s="11" t="s">
        <v>179</v>
      </c>
      <c r="H97" s="11" t="s">
        <v>179</v>
      </c>
      <c r="I97" s="11" t="s">
        <v>179</v>
      </c>
      <c r="J97" s="11" t="s">
        <v>179</v>
      </c>
      <c r="K97" s="11" t="s">
        <v>179</v>
      </c>
      <c r="L97" s="11" t="s">
        <v>179</v>
      </c>
      <c r="M97" s="11"/>
      <c r="N97" s="11" t="s">
        <v>179</v>
      </c>
      <c r="O97" s="11" t="s">
        <v>179</v>
      </c>
      <c r="P97" s="11" t="s">
        <v>179</v>
      </c>
      <c r="Q97" s="11"/>
      <c r="R97" s="11"/>
      <c r="S97" s="11" t="s">
        <v>179</v>
      </c>
      <c r="T97" s="11" t="s">
        <v>179</v>
      </c>
    </row>
    <row r="98" spans="1:20" ht="150" customHeight="1" x14ac:dyDescent="0.3">
      <c r="D98" s="18" t="s">
        <v>169</v>
      </c>
      <c r="E98" s="169" t="s">
        <v>439</v>
      </c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</row>
    <row r="100" spans="1:20" x14ac:dyDescent="0.3">
      <c r="A100" s="5" t="s">
        <v>41</v>
      </c>
      <c r="B100" s="5" t="s">
        <v>42</v>
      </c>
      <c r="D100" s="18"/>
      <c r="E100" s="19" t="s">
        <v>345</v>
      </c>
      <c r="F100" s="19" t="s">
        <v>346</v>
      </c>
      <c r="G100" s="19" t="s">
        <v>347</v>
      </c>
      <c r="H100" s="19" t="s">
        <v>348</v>
      </c>
      <c r="I100" s="19" t="s">
        <v>43</v>
      </c>
      <c r="J100" s="19" t="s">
        <v>44</v>
      </c>
      <c r="K100" s="19" t="s">
        <v>45</v>
      </c>
      <c r="L100" s="19" t="s">
        <v>46</v>
      </c>
      <c r="M100" s="19" t="s">
        <v>47</v>
      </c>
      <c r="N100" s="19" t="s">
        <v>48</v>
      </c>
      <c r="O100" s="19" t="s">
        <v>49</v>
      </c>
      <c r="P100" s="19" t="s">
        <v>50</v>
      </c>
      <c r="Q100" s="19" t="s">
        <v>51</v>
      </c>
      <c r="R100" s="19" t="s">
        <v>52</v>
      </c>
      <c r="S100" s="19" t="s">
        <v>53</v>
      </c>
      <c r="T100" s="19" t="s">
        <v>54</v>
      </c>
    </row>
    <row r="101" spans="1:20" ht="22.5" x14ac:dyDescent="0.3">
      <c r="A101" s="7" t="s">
        <v>131</v>
      </c>
      <c r="B101" s="7" t="e">
        <f>VLOOKUP(A101,'Register Table'!$B$3:$C$50,2,FALSE)</f>
        <v>#N/A</v>
      </c>
      <c r="D101" s="18" t="s">
        <v>164</v>
      </c>
      <c r="E101" s="8"/>
      <c r="F101" s="8"/>
      <c r="G101" s="8"/>
      <c r="H101" s="8"/>
      <c r="I101" s="8"/>
      <c r="J101" s="8"/>
      <c r="K101" s="8"/>
      <c r="L101" s="8"/>
      <c r="M101" s="8"/>
      <c r="N101" s="8" t="s">
        <v>440</v>
      </c>
      <c r="O101" s="8" t="s">
        <v>441</v>
      </c>
      <c r="P101" s="8" t="s">
        <v>442</v>
      </c>
      <c r="Q101" s="8" t="s">
        <v>443</v>
      </c>
      <c r="R101" s="8" t="s">
        <v>444</v>
      </c>
      <c r="S101" s="8" t="s">
        <v>445</v>
      </c>
      <c r="T101" s="8" t="s">
        <v>446</v>
      </c>
    </row>
    <row r="102" spans="1:20" ht="22.5" x14ac:dyDescent="0.3">
      <c r="D102" s="18" t="s">
        <v>165</v>
      </c>
      <c r="E102" s="8"/>
      <c r="F102" s="8"/>
      <c r="G102" s="8"/>
      <c r="H102" s="8"/>
      <c r="I102" s="8"/>
      <c r="J102" s="8"/>
      <c r="K102" s="8"/>
      <c r="L102" s="8"/>
      <c r="M102" s="8"/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</row>
    <row r="103" spans="1:20" ht="22.5" x14ac:dyDescent="0.3">
      <c r="D103" s="18" t="s">
        <v>157</v>
      </c>
      <c r="E103" s="8"/>
      <c r="F103" s="8"/>
      <c r="G103" s="8"/>
      <c r="H103" s="8"/>
      <c r="I103" s="8"/>
      <c r="J103" s="8"/>
      <c r="K103" s="8"/>
      <c r="L103" s="8"/>
      <c r="M103" s="8"/>
      <c r="N103" s="11" t="s">
        <v>371</v>
      </c>
      <c r="O103" s="11" t="s">
        <v>371</v>
      </c>
      <c r="P103" s="11" t="s">
        <v>371</v>
      </c>
      <c r="Q103" s="11" t="s">
        <v>371</v>
      </c>
      <c r="R103" s="11" t="s">
        <v>371</v>
      </c>
      <c r="S103" s="11" t="s">
        <v>371</v>
      </c>
      <c r="T103" s="11" t="s">
        <v>371</v>
      </c>
    </row>
    <row r="104" spans="1:20" x14ac:dyDescent="0.3">
      <c r="D104" s="18" t="s">
        <v>167</v>
      </c>
      <c r="E104" s="8"/>
      <c r="F104" s="8"/>
      <c r="G104" s="8"/>
      <c r="H104" s="8"/>
      <c r="I104" s="8"/>
      <c r="J104" s="8"/>
      <c r="K104" s="8"/>
      <c r="L104" s="8"/>
      <c r="M104" s="8"/>
      <c r="N104" s="11" t="s">
        <v>227</v>
      </c>
      <c r="O104" s="11" t="s">
        <v>227</v>
      </c>
      <c r="P104" s="11" t="s">
        <v>227</v>
      </c>
      <c r="Q104" s="11" t="s">
        <v>227</v>
      </c>
      <c r="R104" s="11" t="s">
        <v>227</v>
      </c>
      <c r="S104" s="11" t="s">
        <v>227</v>
      </c>
      <c r="T104" s="11" t="s">
        <v>227</v>
      </c>
    </row>
    <row r="105" spans="1:20" ht="84.75" customHeight="1" x14ac:dyDescent="0.3">
      <c r="D105" s="18" t="s">
        <v>169</v>
      </c>
      <c r="E105" s="169" t="s">
        <v>447</v>
      </c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</row>
    <row r="107" spans="1:20" x14ac:dyDescent="0.3">
      <c r="A107" s="5" t="s">
        <v>41</v>
      </c>
      <c r="B107" s="5" t="s">
        <v>42</v>
      </c>
      <c r="D107" s="18"/>
      <c r="E107" s="19" t="s">
        <v>345</v>
      </c>
      <c r="F107" s="19" t="s">
        <v>346</v>
      </c>
      <c r="G107" s="19" t="s">
        <v>347</v>
      </c>
      <c r="H107" s="19" t="s">
        <v>348</v>
      </c>
      <c r="I107" s="19" t="s">
        <v>43</v>
      </c>
      <c r="J107" s="19" t="s">
        <v>44</v>
      </c>
      <c r="K107" s="19" t="s">
        <v>45</v>
      </c>
      <c r="L107" s="19" t="s">
        <v>46</v>
      </c>
      <c r="M107" s="19" t="s">
        <v>47</v>
      </c>
      <c r="N107" s="19" t="s">
        <v>48</v>
      </c>
      <c r="O107" s="19" t="s">
        <v>49</v>
      </c>
      <c r="P107" s="19" t="s">
        <v>50</v>
      </c>
      <c r="Q107" s="19" t="s">
        <v>51</v>
      </c>
      <c r="R107" s="19" t="s">
        <v>52</v>
      </c>
      <c r="S107" s="19" t="s">
        <v>53</v>
      </c>
      <c r="T107" s="19" t="s">
        <v>54</v>
      </c>
    </row>
    <row r="108" spans="1:20" ht="45" x14ac:dyDescent="0.3">
      <c r="A108" s="7" t="s">
        <v>132</v>
      </c>
      <c r="B108" s="7" t="e">
        <f>VLOOKUP(A108,'Register Table'!$B$3:$C$50,2,FALSE)</f>
        <v>#N/A</v>
      </c>
      <c r="D108" s="18" t="s">
        <v>164</v>
      </c>
      <c r="E108" s="8" t="s">
        <v>448</v>
      </c>
      <c r="G108" s="8" t="s">
        <v>449</v>
      </c>
      <c r="H108" s="8" t="s">
        <v>450</v>
      </c>
      <c r="I108" s="8"/>
      <c r="J108" s="8"/>
      <c r="K108" s="8" t="s">
        <v>451</v>
      </c>
      <c r="L108" s="8" t="s">
        <v>452</v>
      </c>
      <c r="M108" s="8"/>
      <c r="N108" s="8"/>
      <c r="O108" s="146" t="s">
        <v>453</v>
      </c>
      <c r="P108" s="148"/>
      <c r="Q108" s="146" t="s">
        <v>454</v>
      </c>
      <c r="R108" s="147"/>
      <c r="S108" s="147"/>
      <c r="T108" s="148"/>
    </row>
    <row r="109" spans="1:20" ht="22.5" x14ac:dyDescent="0.3">
      <c r="D109" s="18" t="s">
        <v>165</v>
      </c>
      <c r="E109" s="11">
        <v>1</v>
      </c>
      <c r="F109" s="11"/>
      <c r="G109" s="11">
        <v>0</v>
      </c>
      <c r="H109" s="11">
        <v>0</v>
      </c>
      <c r="I109" s="11"/>
      <c r="J109" s="11"/>
      <c r="K109" s="11">
        <v>0</v>
      </c>
      <c r="L109" s="11">
        <v>0</v>
      </c>
      <c r="M109" s="11"/>
      <c r="N109" s="11"/>
      <c r="O109" s="146" t="s">
        <v>356</v>
      </c>
      <c r="P109" s="148"/>
      <c r="Q109" s="146" t="s">
        <v>356</v>
      </c>
      <c r="R109" s="147"/>
      <c r="S109" s="147"/>
      <c r="T109" s="148"/>
    </row>
    <row r="110" spans="1:20" ht="22.5" x14ac:dyDescent="0.3">
      <c r="D110" s="18" t="s">
        <v>157</v>
      </c>
      <c r="E110" s="11" t="s">
        <v>371</v>
      </c>
      <c r="F110" s="11"/>
      <c r="G110" s="11" t="s">
        <v>371</v>
      </c>
      <c r="H110" s="11" t="s">
        <v>371</v>
      </c>
      <c r="I110" s="11"/>
      <c r="J110" s="11"/>
      <c r="K110" s="11" t="s">
        <v>371</v>
      </c>
      <c r="L110" s="11" t="s">
        <v>371</v>
      </c>
      <c r="M110" s="11"/>
      <c r="N110" s="11"/>
      <c r="O110" s="146" t="s">
        <v>371</v>
      </c>
      <c r="P110" s="148"/>
      <c r="Q110" s="146" t="s">
        <v>371</v>
      </c>
      <c r="R110" s="147"/>
      <c r="S110" s="147"/>
      <c r="T110" s="148"/>
    </row>
    <row r="111" spans="1:20" x14ac:dyDescent="0.3">
      <c r="D111" s="18" t="s">
        <v>167</v>
      </c>
      <c r="E111" s="11" t="s">
        <v>227</v>
      </c>
      <c r="F111" s="11"/>
      <c r="G111" s="11" t="s">
        <v>227</v>
      </c>
      <c r="H111" s="11" t="s">
        <v>227</v>
      </c>
      <c r="I111" s="11"/>
      <c r="J111" s="11"/>
      <c r="K111" s="11" t="s">
        <v>227</v>
      </c>
      <c r="L111" s="11" t="s">
        <v>227</v>
      </c>
      <c r="M111" s="11"/>
      <c r="N111" s="11"/>
      <c r="O111" s="146" t="s">
        <v>227</v>
      </c>
      <c r="P111" s="148"/>
      <c r="Q111" s="146" t="s">
        <v>227</v>
      </c>
      <c r="R111" s="147"/>
      <c r="S111" s="147"/>
      <c r="T111" s="148"/>
    </row>
    <row r="112" spans="1:20" ht="196.5" customHeight="1" x14ac:dyDescent="0.3">
      <c r="D112" s="18" t="s">
        <v>169</v>
      </c>
      <c r="E112" s="169" t="s">
        <v>455</v>
      </c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</row>
    <row r="114" spans="1:20" x14ac:dyDescent="0.3">
      <c r="A114" s="5" t="s">
        <v>41</v>
      </c>
      <c r="B114" s="5" t="s">
        <v>42</v>
      </c>
      <c r="D114" s="18"/>
      <c r="E114" s="19" t="s">
        <v>345</v>
      </c>
      <c r="F114" s="19" t="s">
        <v>346</v>
      </c>
      <c r="G114" s="19" t="s">
        <v>347</v>
      </c>
      <c r="H114" s="19" t="s">
        <v>348</v>
      </c>
      <c r="I114" s="19" t="s">
        <v>43</v>
      </c>
      <c r="J114" s="19" t="s">
        <v>44</v>
      </c>
      <c r="K114" s="19" t="s">
        <v>45</v>
      </c>
      <c r="L114" s="19" t="s">
        <v>46</v>
      </c>
      <c r="M114" s="19" t="s">
        <v>47</v>
      </c>
      <c r="N114" s="19" t="s">
        <v>48</v>
      </c>
      <c r="O114" s="19" t="s">
        <v>49</v>
      </c>
      <c r="P114" s="19" t="s">
        <v>50</v>
      </c>
      <c r="Q114" s="19" t="s">
        <v>51</v>
      </c>
      <c r="R114" s="19" t="s">
        <v>52</v>
      </c>
      <c r="S114" s="19" t="s">
        <v>53</v>
      </c>
      <c r="T114" s="19" t="s">
        <v>54</v>
      </c>
    </row>
    <row r="115" spans="1:20" x14ac:dyDescent="0.3">
      <c r="A115" s="7" t="s">
        <v>133</v>
      </c>
      <c r="B115" s="7" t="e">
        <f>VLOOKUP(A115,'Register Table'!$B$3:$C$50,2,FALSE)</f>
        <v>#N/A</v>
      </c>
      <c r="D115" s="18" t="s">
        <v>164</v>
      </c>
      <c r="E115" s="8"/>
      <c r="F115" s="153" t="s">
        <v>456</v>
      </c>
      <c r="G115" s="153"/>
      <c r="H115" s="153"/>
      <c r="I115" s="153"/>
      <c r="J115" s="153"/>
      <c r="K115" s="153" t="s">
        <v>457</v>
      </c>
      <c r="L115" s="153"/>
      <c r="M115" s="153"/>
      <c r="N115" s="153"/>
      <c r="O115" s="153"/>
      <c r="P115" s="153" t="s">
        <v>458</v>
      </c>
      <c r="Q115" s="153"/>
      <c r="R115" s="153"/>
      <c r="S115" s="153"/>
      <c r="T115" s="153"/>
    </row>
    <row r="116" spans="1:20" ht="22.5" x14ac:dyDescent="0.3">
      <c r="D116" s="18" t="s">
        <v>165</v>
      </c>
      <c r="E116" s="8"/>
      <c r="F116" s="146" t="s">
        <v>57</v>
      </c>
      <c r="G116" s="147"/>
      <c r="H116" s="147"/>
      <c r="I116" s="147"/>
      <c r="J116" s="148"/>
      <c r="K116" s="146" t="s">
        <v>57</v>
      </c>
      <c r="L116" s="147"/>
      <c r="M116" s="147"/>
      <c r="N116" s="147"/>
      <c r="O116" s="148"/>
      <c r="P116" s="146" t="s">
        <v>57</v>
      </c>
      <c r="Q116" s="147"/>
      <c r="R116" s="147"/>
      <c r="S116" s="147"/>
      <c r="T116" s="148"/>
    </row>
    <row r="117" spans="1:20" ht="22.5" x14ac:dyDescent="0.3">
      <c r="D117" s="18" t="s">
        <v>157</v>
      </c>
      <c r="E117" s="8"/>
      <c r="F117" s="146" t="s">
        <v>371</v>
      </c>
      <c r="G117" s="147"/>
      <c r="H117" s="147"/>
      <c r="I117" s="147"/>
      <c r="J117" s="148"/>
      <c r="K117" s="146" t="s">
        <v>371</v>
      </c>
      <c r="L117" s="147"/>
      <c r="M117" s="147"/>
      <c r="N117" s="147"/>
      <c r="O117" s="148"/>
      <c r="P117" s="146" t="s">
        <v>371</v>
      </c>
      <c r="Q117" s="147"/>
      <c r="R117" s="147"/>
      <c r="S117" s="147"/>
      <c r="T117" s="148"/>
    </row>
    <row r="118" spans="1:20" x14ac:dyDescent="0.3">
      <c r="D118" s="18" t="s">
        <v>167</v>
      </c>
      <c r="E118" s="8"/>
      <c r="F118" s="146" t="s">
        <v>227</v>
      </c>
      <c r="G118" s="147"/>
      <c r="H118" s="147"/>
      <c r="I118" s="147"/>
      <c r="J118" s="148"/>
      <c r="K118" s="146" t="s">
        <v>227</v>
      </c>
      <c r="L118" s="147"/>
      <c r="M118" s="147"/>
      <c r="N118" s="147"/>
      <c r="O118" s="148"/>
      <c r="P118" s="146" t="s">
        <v>227</v>
      </c>
      <c r="Q118" s="147"/>
      <c r="R118" s="147"/>
      <c r="S118" s="147"/>
      <c r="T118" s="148"/>
    </row>
    <row r="119" spans="1:20" ht="24" customHeight="1" x14ac:dyDescent="0.3">
      <c r="D119" s="18" t="s">
        <v>169</v>
      </c>
      <c r="E119" s="169" t="s">
        <v>459</v>
      </c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</row>
    <row r="121" spans="1:20" x14ac:dyDescent="0.3">
      <c r="A121" s="5" t="s">
        <v>41</v>
      </c>
      <c r="B121" s="5" t="s">
        <v>42</v>
      </c>
      <c r="D121" s="18"/>
      <c r="E121" s="19" t="s">
        <v>345</v>
      </c>
      <c r="F121" s="19" t="s">
        <v>346</v>
      </c>
      <c r="G121" s="19" t="s">
        <v>347</v>
      </c>
      <c r="H121" s="19" t="s">
        <v>348</v>
      </c>
      <c r="I121" s="19" t="s">
        <v>43</v>
      </c>
      <c r="J121" s="19" t="s">
        <v>44</v>
      </c>
      <c r="K121" s="19" t="s">
        <v>45</v>
      </c>
      <c r="L121" s="19" t="s">
        <v>46</v>
      </c>
      <c r="M121" s="19" t="s">
        <v>47</v>
      </c>
      <c r="N121" s="19" t="s">
        <v>48</v>
      </c>
      <c r="O121" s="19" t="s">
        <v>49</v>
      </c>
      <c r="P121" s="19" t="s">
        <v>50</v>
      </c>
      <c r="Q121" s="19" t="s">
        <v>51</v>
      </c>
      <c r="R121" s="19" t="s">
        <v>52</v>
      </c>
      <c r="S121" s="19" t="s">
        <v>53</v>
      </c>
      <c r="T121" s="19" t="s">
        <v>54</v>
      </c>
    </row>
    <row r="122" spans="1:20" x14ac:dyDescent="0.3">
      <c r="A122" s="7" t="s">
        <v>134</v>
      </c>
      <c r="B122" s="7" t="e">
        <f>VLOOKUP(A122,'Register Table'!$B$3:$C$50,2,FALSE)</f>
        <v>#N/A</v>
      </c>
      <c r="D122" s="18" t="s">
        <v>164</v>
      </c>
      <c r="E122" s="8"/>
      <c r="F122" s="153" t="s">
        <v>460</v>
      </c>
      <c r="G122" s="153"/>
      <c r="H122" s="153"/>
      <c r="I122" s="153"/>
      <c r="J122" s="153"/>
      <c r="K122" s="153" t="s">
        <v>461</v>
      </c>
      <c r="L122" s="153"/>
      <c r="M122" s="153"/>
      <c r="N122" s="153"/>
      <c r="O122" s="153"/>
      <c r="P122" s="153" t="s">
        <v>462</v>
      </c>
      <c r="Q122" s="153"/>
      <c r="R122" s="153"/>
      <c r="S122" s="153"/>
      <c r="T122" s="153"/>
    </row>
    <row r="123" spans="1:20" ht="22.5" x14ac:dyDescent="0.3">
      <c r="D123" s="18" t="s">
        <v>165</v>
      </c>
      <c r="E123" s="8"/>
      <c r="F123" s="146" t="s">
        <v>57</v>
      </c>
      <c r="G123" s="147"/>
      <c r="H123" s="147"/>
      <c r="I123" s="147"/>
      <c r="J123" s="148"/>
      <c r="K123" s="146" t="s">
        <v>57</v>
      </c>
      <c r="L123" s="147"/>
      <c r="M123" s="147"/>
      <c r="N123" s="147"/>
      <c r="O123" s="148"/>
      <c r="P123" s="146" t="s">
        <v>57</v>
      </c>
      <c r="Q123" s="147"/>
      <c r="R123" s="147"/>
      <c r="S123" s="147"/>
      <c r="T123" s="148"/>
    </row>
    <row r="124" spans="1:20" ht="22.5" x14ac:dyDescent="0.3">
      <c r="D124" s="18" t="s">
        <v>157</v>
      </c>
      <c r="E124" s="8"/>
      <c r="F124" s="146" t="s">
        <v>371</v>
      </c>
      <c r="G124" s="147"/>
      <c r="H124" s="147"/>
      <c r="I124" s="147"/>
      <c r="J124" s="148"/>
      <c r="K124" s="146" t="s">
        <v>371</v>
      </c>
      <c r="L124" s="147"/>
      <c r="M124" s="147"/>
      <c r="N124" s="147"/>
      <c r="O124" s="148"/>
      <c r="P124" s="146" t="s">
        <v>371</v>
      </c>
      <c r="Q124" s="147"/>
      <c r="R124" s="147"/>
      <c r="S124" s="147"/>
      <c r="T124" s="148"/>
    </row>
    <row r="125" spans="1:20" x14ac:dyDescent="0.3">
      <c r="D125" s="18" t="s">
        <v>167</v>
      </c>
      <c r="E125" s="8"/>
      <c r="F125" s="146" t="s">
        <v>227</v>
      </c>
      <c r="G125" s="147"/>
      <c r="H125" s="147"/>
      <c r="I125" s="147"/>
      <c r="J125" s="148"/>
      <c r="K125" s="146" t="s">
        <v>227</v>
      </c>
      <c r="L125" s="147"/>
      <c r="M125" s="147"/>
      <c r="N125" s="147"/>
      <c r="O125" s="148"/>
      <c r="P125" s="146" t="s">
        <v>227</v>
      </c>
      <c r="Q125" s="147"/>
      <c r="R125" s="147"/>
      <c r="S125" s="147"/>
      <c r="T125" s="148"/>
    </row>
    <row r="126" spans="1:20" ht="23.25" customHeight="1" x14ac:dyDescent="0.3">
      <c r="D126" s="18" t="s">
        <v>169</v>
      </c>
      <c r="E126" s="169" t="s">
        <v>463</v>
      </c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</row>
    <row r="128" spans="1:20" x14ac:dyDescent="0.3">
      <c r="A128" s="5" t="s">
        <v>41</v>
      </c>
      <c r="B128" s="5" t="s">
        <v>42</v>
      </c>
      <c r="D128" s="18"/>
      <c r="E128" s="19" t="s">
        <v>345</v>
      </c>
      <c r="F128" s="19" t="s">
        <v>346</v>
      </c>
      <c r="G128" s="19" t="s">
        <v>347</v>
      </c>
      <c r="H128" s="19" t="s">
        <v>348</v>
      </c>
      <c r="I128" s="19" t="s">
        <v>43</v>
      </c>
      <c r="J128" s="19" t="s">
        <v>44</v>
      </c>
      <c r="K128" s="19" t="s">
        <v>45</v>
      </c>
      <c r="L128" s="19" t="s">
        <v>46</v>
      </c>
      <c r="M128" s="19" t="s">
        <v>47</v>
      </c>
      <c r="N128" s="19" t="s">
        <v>48</v>
      </c>
      <c r="O128" s="19" t="s">
        <v>49</v>
      </c>
      <c r="P128" s="19" t="s">
        <v>50</v>
      </c>
      <c r="Q128" s="19" t="s">
        <v>51</v>
      </c>
      <c r="R128" s="19" t="s">
        <v>52</v>
      </c>
      <c r="S128" s="19" t="s">
        <v>53</v>
      </c>
      <c r="T128" s="19" t="s">
        <v>54</v>
      </c>
    </row>
    <row r="129" spans="1:20" x14ac:dyDescent="0.3">
      <c r="A129" s="7" t="s">
        <v>135</v>
      </c>
      <c r="B129" s="7" t="e">
        <f>VLOOKUP(A129,'Register Table'!$B$3:$C$50,2,FALSE)</f>
        <v>#N/A</v>
      </c>
      <c r="D129" s="18" t="s">
        <v>164</v>
      </c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53" t="s">
        <v>464</v>
      </c>
      <c r="Q129" s="153"/>
      <c r="R129" s="153"/>
      <c r="S129" s="153"/>
      <c r="T129" s="153"/>
    </row>
    <row r="130" spans="1:20" ht="22.5" x14ac:dyDescent="0.3">
      <c r="D130" s="18" t="s">
        <v>165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146" t="s">
        <v>57</v>
      </c>
      <c r="Q130" s="147"/>
      <c r="R130" s="147"/>
      <c r="S130" s="147"/>
      <c r="T130" s="148"/>
    </row>
    <row r="131" spans="1:20" ht="22.5" x14ac:dyDescent="0.3">
      <c r="D131" s="18" t="s">
        <v>157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146" t="s">
        <v>371</v>
      </c>
      <c r="Q131" s="147"/>
      <c r="R131" s="147"/>
      <c r="S131" s="147"/>
      <c r="T131" s="148"/>
    </row>
    <row r="132" spans="1:20" x14ac:dyDescent="0.3">
      <c r="D132" s="18" t="s">
        <v>167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146" t="s">
        <v>227</v>
      </c>
      <c r="Q132" s="147"/>
      <c r="R132" s="147"/>
      <c r="S132" s="147"/>
      <c r="T132" s="148"/>
    </row>
    <row r="133" spans="1:20" ht="24" customHeight="1" x14ac:dyDescent="0.3">
      <c r="D133" s="18" t="s">
        <v>169</v>
      </c>
      <c r="E133" s="169" t="s">
        <v>463</v>
      </c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</row>
    <row r="135" spans="1:20" x14ac:dyDescent="0.3">
      <c r="A135" s="5" t="s">
        <v>41</v>
      </c>
      <c r="B135" s="5" t="s">
        <v>42</v>
      </c>
      <c r="D135" s="18"/>
      <c r="E135" s="19" t="s">
        <v>345</v>
      </c>
      <c r="F135" s="19" t="s">
        <v>346</v>
      </c>
      <c r="G135" s="19" t="s">
        <v>347</v>
      </c>
      <c r="H135" s="19" t="s">
        <v>348</v>
      </c>
      <c r="I135" s="19" t="s">
        <v>43</v>
      </c>
      <c r="J135" s="19" t="s">
        <v>44</v>
      </c>
      <c r="K135" s="19" t="s">
        <v>45</v>
      </c>
      <c r="L135" s="19" t="s">
        <v>46</v>
      </c>
      <c r="M135" s="19" t="s">
        <v>47</v>
      </c>
      <c r="N135" s="19" t="s">
        <v>48</v>
      </c>
      <c r="O135" s="19" t="s">
        <v>49</v>
      </c>
      <c r="P135" s="19" t="s">
        <v>50</v>
      </c>
      <c r="Q135" s="19" t="s">
        <v>51</v>
      </c>
      <c r="R135" s="19" t="s">
        <v>52</v>
      </c>
      <c r="S135" s="19" t="s">
        <v>53</v>
      </c>
      <c r="T135" s="19" t="s">
        <v>54</v>
      </c>
    </row>
    <row r="136" spans="1:20" x14ac:dyDescent="0.3">
      <c r="A136" s="7" t="s">
        <v>136</v>
      </c>
      <c r="B136" s="7" t="e">
        <f>VLOOKUP(A136,'Register Table'!$B$3:$C$50,2,FALSE)</f>
        <v>#N/A</v>
      </c>
      <c r="D136" s="18" t="s">
        <v>164</v>
      </c>
      <c r="E136" s="8"/>
      <c r="F136" s="8"/>
      <c r="G136" s="8"/>
      <c r="H136" s="8"/>
      <c r="I136" s="8"/>
      <c r="J136" s="8"/>
      <c r="K136" s="8"/>
      <c r="L136" s="8"/>
      <c r="M136" s="8"/>
      <c r="N136" s="146" t="s">
        <v>465</v>
      </c>
      <c r="O136" s="147"/>
      <c r="P136" s="147"/>
      <c r="Q136" s="147"/>
      <c r="R136" s="147"/>
      <c r="S136" s="147"/>
      <c r="T136" s="148"/>
    </row>
    <row r="137" spans="1:20" ht="22.5" x14ac:dyDescent="0.3">
      <c r="D137" s="18" t="s">
        <v>165</v>
      </c>
      <c r="E137" s="8"/>
      <c r="F137" s="8"/>
      <c r="G137" s="8"/>
      <c r="H137" s="8"/>
      <c r="I137" s="8"/>
      <c r="J137" s="8"/>
      <c r="K137" s="8"/>
      <c r="L137" s="8"/>
      <c r="M137" s="8"/>
      <c r="N137" s="146" t="s">
        <v>57</v>
      </c>
      <c r="O137" s="147"/>
      <c r="P137" s="147"/>
      <c r="Q137" s="147"/>
      <c r="R137" s="147"/>
      <c r="S137" s="147"/>
      <c r="T137" s="148"/>
    </row>
    <row r="138" spans="1:20" ht="22.5" x14ac:dyDescent="0.3">
      <c r="D138" s="18" t="s">
        <v>157</v>
      </c>
      <c r="E138" s="8"/>
      <c r="F138" s="8"/>
      <c r="G138" s="8"/>
      <c r="H138" s="8"/>
      <c r="I138" s="8"/>
      <c r="J138" s="8"/>
      <c r="K138" s="8"/>
      <c r="L138" s="8"/>
      <c r="M138" s="8"/>
      <c r="N138" s="146" t="s">
        <v>371</v>
      </c>
      <c r="O138" s="147"/>
      <c r="P138" s="147"/>
      <c r="Q138" s="147"/>
      <c r="R138" s="147"/>
      <c r="S138" s="147"/>
      <c r="T138" s="148"/>
    </row>
    <row r="139" spans="1:20" x14ac:dyDescent="0.3">
      <c r="D139" s="18" t="s">
        <v>167</v>
      </c>
      <c r="E139" s="8"/>
      <c r="F139" s="8"/>
      <c r="G139" s="8"/>
      <c r="H139" s="8"/>
      <c r="I139" s="8"/>
      <c r="J139" s="8"/>
      <c r="K139" s="8"/>
      <c r="L139" s="8"/>
      <c r="M139" s="8"/>
      <c r="N139" s="146" t="s">
        <v>227</v>
      </c>
      <c r="O139" s="147"/>
      <c r="P139" s="147"/>
      <c r="Q139" s="147"/>
      <c r="R139" s="147"/>
      <c r="S139" s="147"/>
      <c r="T139" s="148"/>
    </row>
    <row r="140" spans="1:20" ht="35.25" customHeight="1" x14ac:dyDescent="0.3">
      <c r="D140" s="18" t="s">
        <v>169</v>
      </c>
      <c r="E140" s="169" t="s">
        <v>466</v>
      </c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</row>
    <row r="142" spans="1:20" x14ac:dyDescent="0.3">
      <c r="A142" s="5" t="s">
        <v>41</v>
      </c>
      <c r="B142" s="5" t="s">
        <v>42</v>
      </c>
      <c r="D142" s="18"/>
      <c r="E142" s="19" t="s">
        <v>345</v>
      </c>
      <c r="F142" s="19" t="s">
        <v>346</v>
      </c>
      <c r="G142" s="19" t="s">
        <v>347</v>
      </c>
      <c r="H142" s="19" t="s">
        <v>348</v>
      </c>
      <c r="I142" s="19" t="s">
        <v>43</v>
      </c>
      <c r="J142" s="19" t="s">
        <v>44</v>
      </c>
      <c r="K142" s="19" t="s">
        <v>45</v>
      </c>
      <c r="L142" s="19" t="s">
        <v>46</v>
      </c>
      <c r="M142" s="19" t="s">
        <v>47</v>
      </c>
      <c r="N142" s="19" t="s">
        <v>48</v>
      </c>
      <c r="O142" s="19" t="s">
        <v>49</v>
      </c>
      <c r="P142" s="19" t="s">
        <v>50</v>
      </c>
      <c r="Q142" s="19" t="s">
        <v>51</v>
      </c>
      <c r="R142" s="19" t="s">
        <v>52</v>
      </c>
      <c r="S142" s="19" t="s">
        <v>53</v>
      </c>
      <c r="T142" s="19" t="s">
        <v>54</v>
      </c>
    </row>
    <row r="143" spans="1:20" x14ac:dyDescent="0.3">
      <c r="A143" s="7" t="s">
        <v>137</v>
      </c>
      <c r="B143" s="7" t="e">
        <f>VLOOKUP(A143,'Register Table'!$B$3:$C$50,2,FALSE)</f>
        <v>#N/A</v>
      </c>
      <c r="D143" s="18" t="s">
        <v>164</v>
      </c>
      <c r="E143" s="146" t="s">
        <v>467</v>
      </c>
      <c r="F143" s="147"/>
      <c r="G143" s="147"/>
      <c r="H143" s="148"/>
      <c r="I143" s="146" t="s">
        <v>468</v>
      </c>
      <c r="J143" s="147"/>
      <c r="K143" s="147"/>
      <c r="L143" s="148"/>
      <c r="M143" s="146" t="s">
        <v>469</v>
      </c>
      <c r="N143" s="147"/>
      <c r="O143" s="147"/>
      <c r="P143" s="148"/>
      <c r="Q143" s="146" t="s">
        <v>470</v>
      </c>
      <c r="R143" s="147"/>
      <c r="S143" s="147"/>
      <c r="T143" s="148"/>
    </row>
    <row r="144" spans="1:20" ht="22.5" x14ac:dyDescent="0.3">
      <c r="D144" s="18" t="s">
        <v>165</v>
      </c>
      <c r="E144" s="146" t="s">
        <v>356</v>
      </c>
      <c r="F144" s="147"/>
      <c r="G144" s="147"/>
      <c r="H144" s="148"/>
      <c r="I144" s="146" t="s">
        <v>356</v>
      </c>
      <c r="J144" s="147"/>
      <c r="K144" s="147"/>
      <c r="L144" s="148"/>
      <c r="M144" s="146" t="s">
        <v>356</v>
      </c>
      <c r="N144" s="147"/>
      <c r="O144" s="147"/>
      <c r="P144" s="148"/>
      <c r="Q144" s="146" t="s">
        <v>356</v>
      </c>
      <c r="R144" s="147"/>
      <c r="S144" s="147"/>
      <c r="T144" s="148"/>
    </row>
    <row r="145" spans="1:20" ht="22.5" x14ac:dyDescent="0.3">
      <c r="D145" s="18" t="s">
        <v>157</v>
      </c>
      <c r="E145" s="146" t="s">
        <v>371</v>
      </c>
      <c r="F145" s="147"/>
      <c r="G145" s="147"/>
      <c r="H145" s="148"/>
      <c r="I145" s="146" t="s">
        <v>371</v>
      </c>
      <c r="J145" s="147"/>
      <c r="K145" s="147"/>
      <c r="L145" s="148"/>
      <c r="M145" s="146" t="s">
        <v>371</v>
      </c>
      <c r="N145" s="147"/>
      <c r="O145" s="147"/>
      <c r="P145" s="148"/>
      <c r="Q145" s="146" t="s">
        <v>371</v>
      </c>
      <c r="R145" s="147"/>
      <c r="S145" s="147"/>
      <c r="T145" s="148"/>
    </row>
    <row r="146" spans="1:20" x14ac:dyDescent="0.3">
      <c r="D146" s="18" t="s">
        <v>167</v>
      </c>
      <c r="E146" s="146" t="s">
        <v>227</v>
      </c>
      <c r="F146" s="147"/>
      <c r="G146" s="147"/>
      <c r="H146" s="148"/>
      <c r="I146" s="146" t="s">
        <v>227</v>
      </c>
      <c r="J146" s="147"/>
      <c r="K146" s="147"/>
      <c r="L146" s="148"/>
      <c r="M146" s="146" t="s">
        <v>227</v>
      </c>
      <c r="N146" s="147"/>
      <c r="O146" s="147"/>
      <c r="P146" s="148"/>
      <c r="Q146" s="146" t="s">
        <v>227</v>
      </c>
      <c r="R146" s="147"/>
      <c r="S146" s="147"/>
      <c r="T146" s="148"/>
    </row>
    <row r="147" spans="1:20" ht="26.25" customHeight="1" x14ac:dyDescent="0.3">
      <c r="D147" s="18" t="s">
        <v>169</v>
      </c>
      <c r="E147" s="169" t="s">
        <v>471</v>
      </c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</row>
    <row r="149" spans="1:20" x14ac:dyDescent="0.3">
      <c r="A149" s="5" t="s">
        <v>41</v>
      </c>
      <c r="B149" s="5" t="s">
        <v>42</v>
      </c>
      <c r="D149" s="18"/>
      <c r="E149" s="19" t="s">
        <v>345</v>
      </c>
      <c r="F149" s="19" t="s">
        <v>346</v>
      </c>
      <c r="G149" s="19" t="s">
        <v>347</v>
      </c>
      <c r="H149" s="19" t="s">
        <v>348</v>
      </c>
      <c r="I149" s="19" t="s">
        <v>43</v>
      </c>
      <c r="J149" s="19" t="s">
        <v>44</v>
      </c>
      <c r="K149" s="19" t="s">
        <v>45</v>
      </c>
      <c r="L149" s="19" t="s">
        <v>46</v>
      </c>
      <c r="M149" s="19" t="s">
        <v>47</v>
      </c>
      <c r="N149" s="19" t="s">
        <v>48</v>
      </c>
      <c r="O149" s="19" t="s">
        <v>49</v>
      </c>
      <c r="P149" s="19" t="s">
        <v>50</v>
      </c>
      <c r="Q149" s="19" t="s">
        <v>51</v>
      </c>
      <c r="R149" s="19" t="s">
        <v>52</v>
      </c>
      <c r="S149" s="19" t="s">
        <v>53</v>
      </c>
      <c r="T149" s="19" t="s">
        <v>54</v>
      </c>
    </row>
    <row r="150" spans="1:20" x14ac:dyDescent="0.3">
      <c r="A150" s="7" t="s">
        <v>138</v>
      </c>
      <c r="B150" s="7" t="e">
        <f>VLOOKUP(A150,'Register Table'!$B$3:$C$50,2,FALSE)</f>
        <v>#N/A</v>
      </c>
      <c r="D150" s="18" t="s">
        <v>164</v>
      </c>
      <c r="E150" s="8"/>
      <c r="F150" s="8"/>
      <c r="G150" s="8"/>
      <c r="H150" s="8"/>
      <c r="I150" s="146" t="s">
        <v>472</v>
      </c>
      <c r="J150" s="147"/>
      <c r="K150" s="147"/>
      <c r="L150" s="148"/>
      <c r="M150" s="146" t="s">
        <v>473</v>
      </c>
      <c r="N150" s="147"/>
      <c r="O150" s="147"/>
      <c r="P150" s="148"/>
      <c r="Q150" s="146" t="s">
        <v>474</v>
      </c>
      <c r="R150" s="147"/>
      <c r="S150" s="147"/>
      <c r="T150" s="148"/>
    </row>
    <row r="151" spans="1:20" ht="22.5" x14ac:dyDescent="0.3">
      <c r="D151" s="18" t="s">
        <v>165</v>
      </c>
      <c r="E151" s="8"/>
      <c r="F151" s="8"/>
      <c r="G151" s="8"/>
      <c r="H151" s="8"/>
      <c r="I151" s="146" t="s">
        <v>356</v>
      </c>
      <c r="J151" s="147"/>
      <c r="K151" s="147"/>
      <c r="L151" s="148"/>
      <c r="M151" s="146" t="s">
        <v>356</v>
      </c>
      <c r="N151" s="147"/>
      <c r="O151" s="147"/>
      <c r="P151" s="148"/>
      <c r="Q151" s="146" t="s">
        <v>356</v>
      </c>
      <c r="R151" s="147"/>
      <c r="S151" s="147"/>
      <c r="T151" s="148"/>
    </row>
    <row r="152" spans="1:20" ht="22.5" x14ac:dyDescent="0.3">
      <c r="D152" s="18" t="s">
        <v>157</v>
      </c>
      <c r="E152" s="8"/>
      <c r="F152" s="8"/>
      <c r="G152" s="8"/>
      <c r="H152" s="8"/>
      <c r="I152" s="146" t="s">
        <v>371</v>
      </c>
      <c r="J152" s="147"/>
      <c r="K152" s="147"/>
      <c r="L152" s="148"/>
      <c r="M152" s="146" t="s">
        <v>371</v>
      </c>
      <c r="N152" s="147"/>
      <c r="O152" s="147"/>
      <c r="P152" s="148"/>
      <c r="Q152" s="146" t="s">
        <v>371</v>
      </c>
      <c r="R152" s="147"/>
      <c r="S152" s="147"/>
      <c r="T152" s="148"/>
    </row>
    <row r="153" spans="1:20" x14ac:dyDescent="0.3">
      <c r="D153" s="18" t="s">
        <v>167</v>
      </c>
      <c r="E153" s="8"/>
      <c r="F153" s="8"/>
      <c r="G153" s="8"/>
      <c r="H153" s="8"/>
      <c r="I153" s="146" t="s">
        <v>227</v>
      </c>
      <c r="J153" s="147"/>
      <c r="K153" s="147"/>
      <c r="L153" s="148"/>
      <c r="M153" s="146" t="s">
        <v>227</v>
      </c>
      <c r="N153" s="147"/>
      <c r="O153" s="147"/>
      <c r="P153" s="148"/>
      <c r="Q153" s="146" t="s">
        <v>227</v>
      </c>
      <c r="R153" s="147"/>
      <c r="S153" s="147"/>
      <c r="T153" s="148"/>
    </row>
    <row r="154" spans="1:20" ht="30.75" customHeight="1" x14ac:dyDescent="0.3">
      <c r="D154" s="18" t="s">
        <v>169</v>
      </c>
      <c r="E154" s="169" t="s">
        <v>471</v>
      </c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</row>
    <row r="156" spans="1:20" x14ac:dyDescent="0.3">
      <c r="A156" s="5" t="s">
        <v>41</v>
      </c>
      <c r="B156" s="5" t="s">
        <v>42</v>
      </c>
      <c r="D156" s="18"/>
      <c r="E156" s="19" t="s">
        <v>345</v>
      </c>
      <c r="F156" s="19" t="s">
        <v>346</v>
      </c>
      <c r="G156" s="19" t="s">
        <v>347</v>
      </c>
      <c r="H156" s="19" t="s">
        <v>348</v>
      </c>
      <c r="I156" s="19" t="s">
        <v>43</v>
      </c>
      <c r="J156" s="19" t="s">
        <v>44</v>
      </c>
      <c r="K156" s="19" t="s">
        <v>45</v>
      </c>
      <c r="L156" s="19" t="s">
        <v>46</v>
      </c>
      <c r="M156" s="19" t="s">
        <v>47</v>
      </c>
      <c r="N156" s="19" t="s">
        <v>48</v>
      </c>
      <c r="O156" s="19" t="s">
        <v>49</v>
      </c>
      <c r="P156" s="19" t="s">
        <v>50</v>
      </c>
      <c r="Q156" s="19" t="s">
        <v>51</v>
      </c>
      <c r="R156" s="19" t="s">
        <v>52</v>
      </c>
      <c r="S156" s="19" t="s">
        <v>53</v>
      </c>
      <c r="T156" s="19" t="s">
        <v>54</v>
      </c>
    </row>
    <row r="157" spans="1:20" ht="22.5" x14ac:dyDescent="0.3">
      <c r="A157" s="7" t="s">
        <v>139</v>
      </c>
      <c r="B157" s="7" t="e">
        <f>VLOOKUP(A157,'Register Table'!$B$3:$C$50,2,FALSE)</f>
        <v>#N/A</v>
      </c>
      <c r="D157" s="18" t="s">
        <v>164</v>
      </c>
      <c r="E157" s="8" t="s">
        <v>475</v>
      </c>
      <c r="F157" s="8" t="s">
        <v>476</v>
      </c>
      <c r="G157" s="8" t="s">
        <v>477</v>
      </c>
      <c r="H157" s="8" t="s">
        <v>478</v>
      </c>
      <c r="I157" s="8" t="s">
        <v>479</v>
      </c>
      <c r="J157" s="8" t="s">
        <v>480</v>
      </c>
      <c r="K157" s="8" t="s">
        <v>481</v>
      </c>
      <c r="L157" s="8" t="s">
        <v>482</v>
      </c>
      <c r="M157" s="8" t="s">
        <v>483</v>
      </c>
      <c r="N157" s="8" t="s">
        <v>484</v>
      </c>
      <c r="O157" s="8" t="s">
        <v>485</v>
      </c>
      <c r="P157" s="8" t="s">
        <v>486</v>
      </c>
      <c r="Q157" s="8" t="s">
        <v>487</v>
      </c>
      <c r="R157" s="8" t="s">
        <v>488</v>
      </c>
      <c r="S157" s="8" t="s">
        <v>489</v>
      </c>
      <c r="T157" s="8" t="s">
        <v>490</v>
      </c>
    </row>
    <row r="158" spans="1:20" ht="22.5" x14ac:dyDescent="0.3">
      <c r="D158" s="18" t="s">
        <v>165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</row>
    <row r="159" spans="1:20" ht="22.5" x14ac:dyDescent="0.3">
      <c r="D159" s="18" t="s">
        <v>157</v>
      </c>
      <c r="E159" s="11" t="s">
        <v>372</v>
      </c>
      <c r="F159" s="11" t="s">
        <v>372</v>
      </c>
      <c r="G159" s="11" t="s">
        <v>372</v>
      </c>
      <c r="H159" s="11" t="s">
        <v>372</v>
      </c>
      <c r="I159" s="11" t="s">
        <v>372</v>
      </c>
      <c r="J159" s="11" t="s">
        <v>372</v>
      </c>
      <c r="K159" s="11" t="s">
        <v>372</v>
      </c>
      <c r="L159" s="11" t="s">
        <v>372</v>
      </c>
      <c r="M159" s="11" t="s">
        <v>372</v>
      </c>
      <c r="N159" s="11" t="s">
        <v>372</v>
      </c>
      <c r="O159" s="11" t="s">
        <v>372</v>
      </c>
      <c r="P159" s="11" t="s">
        <v>372</v>
      </c>
      <c r="Q159" s="11" t="s">
        <v>372</v>
      </c>
      <c r="R159" s="11" t="s">
        <v>372</v>
      </c>
      <c r="S159" s="11" t="s">
        <v>372</v>
      </c>
      <c r="T159" s="11" t="s">
        <v>372</v>
      </c>
    </row>
    <row r="160" spans="1:20" x14ac:dyDescent="0.3">
      <c r="D160" s="18" t="s">
        <v>167</v>
      </c>
      <c r="E160" s="11" t="s">
        <v>179</v>
      </c>
      <c r="F160" s="11" t="s">
        <v>179</v>
      </c>
      <c r="G160" s="11" t="s">
        <v>179</v>
      </c>
      <c r="H160" s="11" t="s">
        <v>179</v>
      </c>
      <c r="I160" s="11" t="s">
        <v>179</v>
      </c>
      <c r="J160" s="11" t="s">
        <v>179</v>
      </c>
      <c r="K160" s="11" t="s">
        <v>179</v>
      </c>
      <c r="L160" s="11" t="s">
        <v>179</v>
      </c>
      <c r="M160" s="11" t="s">
        <v>179</v>
      </c>
      <c r="N160" s="11" t="s">
        <v>179</v>
      </c>
      <c r="O160" s="11" t="s">
        <v>179</v>
      </c>
      <c r="P160" s="11" t="s">
        <v>179</v>
      </c>
      <c r="Q160" s="11" t="s">
        <v>179</v>
      </c>
      <c r="R160" s="11" t="s">
        <v>179</v>
      </c>
      <c r="S160" s="11" t="s">
        <v>179</v>
      </c>
      <c r="T160" s="11" t="s">
        <v>179</v>
      </c>
    </row>
    <row r="161" spans="1:20" ht="49.5" customHeight="1" x14ac:dyDescent="0.3">
      <c r="D161" s="18" t="s">
        <v>169</v>
      </c>
      <c r="E161" s="169" t="s">
        <v>491</v>
      </c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</row>
    <row r="163" spans="1:20" x14ac:dyDescent="0.3">
      <c r="A163" s="5" t="s">
        <v>41</v>
      </c>
      <c r="B163" s="5" t="s">
        <v>42</v>
      </c>
      <c r="D163" s="18"/>
      <c r="E163" s="19" t="s">
        <v>345</v>
      </c>
      <c r="F163" s="19" t="s">
        <v>346</v>
      </c>
      <c r="G163" s="19" t="s">
        <v>347</v>
      </c>
      <c r="H163" s="19" t="s">
        <v>348</v>
      </c>
      <c r="I163" s="19" t="s">
        <v>43</v>
      </c>
      <c r="J163" s="19" t="s">
        <v>44</v>
      </c>
      <c r="K163" s="19" t="s">
        <v>45</v>
      </c>
      <c r="L163" s="19" t="s">
        <v>46</v>
      </c>
      <c r="M163" s="19" t="s">
        <v>47</v>
      </c>
      <c r="N163" s="19" t="s">
        <v>48</v>
      </c>
      <c r="O163" s="19" t="s">
        <v>49</v>
      </c>
      <c r="P163" s="19" t="s">
        <v>50</v>
      </c>
      <c r="Q163" s="19" t="s">
        <v>51</v>
      </c>
      <c r="R163" s="19" t="s">
        <v>52</v>
      </c>
      <c r="S163" s="19" t="s">
        <v>53</v>
      </c>
      <c r="T163" s="19" t="s">
        <v>54</v>
      </c>
    </row>
    <row r="164" spans="1:20" ht="33.75" x14ac:dyDescent="0.3">
      <c r="A164" s="7" t="s">
        <v>140</v>
      </c>
      <c r="B164" s="7" t="e">
        <f>VLOOKUP(A164,'Register Table'!$B$3:$C$50,2,FALSE)</f>
        <v>#N/A</v>
      </c>
      <c r="D164" s="18" t="s">
        <v>164</v>
      </c>
      <c r="E164" s="8" t="s">
        <v>492</v>
      </c>
      <c r="F164" s="8" t="s">
        <v>493</v>
      </c>
      <c r="G164" s="8"/>
      <c r="H164" s="8"/>
      <c r="I164" s="8" t="s">
        <v>494</v>
      </c>
      <c r="J164" s="8" t="s">
        <v>495</v>
      </c>
      <c r="K164" s="8" t="s">
        <v>496</v>
      </c>
      <c r="L164" s="8" t="s">
        <v>497</v>
      </c>
      <c r="M164" s="8" t="s">
        <v>498</v>
      </c>
      <c r="N164" s="8" t="s">
        <v>499</v>
      </c>
      <c r="O164" s="8" t="s">
        <v>500</v>
      </c>
      <c r="P164" s="8" t="s">
        <v>501</v>
      </c>
      <c r="Q164" s="8" t="s">
        <v>502</v>
      </c>
      <c r="R164" s="8" t="s">
        <v>503</v>
      </c>
      <c r="S164" s="8" t="s">
        <v>504</v>
      </c>
      <c r="T164" s="8" t="s">
        <v>505</v>
      </c>
    </row>
    <row r="165" spans="1:20" ht="22.5" x14ac:dyDescent="0.3">
      <c r="D165" s="18" t="s">
        <v>165</v>
      </c>
      <c r="E165" s="11">
        <v>0</v>
      </c>
      <c r="F165" s="11">
        <v>0</v>
      </c>
      <c r="G165" s="8"/>
      <c r="H165" s="8"/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</row>
    <row r="166" spans="1:20" ht="22.5" x14ac:dyDescent="0.3">
      <c r="D166" s="18" t="s">
        <v>157</v>
      </c>
      <c r="E166" s="11" t="s">
        <v>65</v>
      </c>
      <c r="F166" s="11" t="s">
        <v>65</v>
      </c>
      <c r="G166" s="8"/>
      <c r="H166" s="8"/>
      <c r="I166" s="11" t="s">
        <v>372</v>
      </c>
      <c r="J166" s="11" t="s">
        <v>372</v>
      </c>
      <c r="K166" s="11" t="s">
        <v>372</v>
      </c>
      <c r="L166" s="11" t="s">
        <v>372</v>
      </c>
      <c r="M166" s="11" t="s">
        <v>372</v>
      </c>
      <c r="N166" s="11" t="s">
        <v>372</v>
      </c>
      <c r="O166" s="11" t="s">
        <v>372</v>
      </c>
      <c r="P166" s="11" t="s">
        <v>372</v>
      </c>
      <c r="Q166" s="11" t="s">
        <v>372</v>
      </c>
      <c r="R166" s="11" t="s">
        <v>372</v>
      </c>
      <c r="S166" s="11" t="s">
        <v>372</v>
      </c>
      <c r="T166" s="11" t="s">
        <v>372</v>
      </c>
    </row>
    <row r="167" spans="1:20" x14ac:dyDescent="0.3">
      <c r="D167" s="18" t="s">
        <v>167</v>
      </c>
      <c r="E167" s="11" t="s">
        <v>179</v>
      </c>
      <c r="F167" s="11" t="s">
        <v>179</v>
      </c>
      <c r="G167" s="8"/>
      <c r="H167" s="8"/>
      <c r="I167" s="11" t="s">
        <v>179</v>
      </c>
      <c r="J167" s="11" t="s">
        <v>179</v>
      </c>
      <c r="K167" s="11" t="s">
        <v>179</v>
      </c>
      <c r="L167" s="11" t="s">
        <v>179</v>
      </c>
      <c r="M167" s="11" t="s">
        <v>179</v>
      </c>
      <c r="N167" s="11" t="s">
        <v>179</v>
      </c>
      <c r="O167" s="11" t="s">
        <v>179</v>
      </c>
      <c r="P167" s="11" t="s">
        <v>179</v>
      </c>
      <c r="Q167" s="11" t="s">
        <v>179</v>
      </c>
      <c r="R167" s="11" t="s">
        <v>179</v>
      </c>
      <c r="S167" s="11" t="s">
        <v>179</v>
      </c>
      <c r="T167" s="11" t="s">
        <v>179</v>
      </c>
    </row>
    <row r="168" spans="1:20" ht="95.25" customHeight="1" x14ac:dyDescent="0.3">
      <c r="D168" s="18" t="s">
        <v>169</v>
      </c>
      <c r="E168" s="169" t="s">
        <v>506</v>
      </c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</row>
    <row r="170" spans="1:20" x14ac:dyDescent="0.3">
      <c r="A170" s="5" t="s">
        <v>41</v>
      </c>
      <c r="B170" s="5" t="s">
        <v>42</v>
      </c>
      <c r="D170" s="18"/>
      <c r="E170" s="19" t="s">
        <v>345</v>
      </c>
      <c r="F170" s="19" t="s">
        <v>346</v>
      </c>
      <c r="G170" s="19" t="s">
        <v>347</v>
      </c>
      <c r="H170" s="19" t="s">
        <v>348</v>
      </c>
      <c r="I170" s="19" t="s">
        <v>43</v>
      </c>
      <c r="J170" s="19" t="s">
        <v>44</v>
      </c>
      <c r="K170" s="19" t="s">
        <v>45</v>
      </c>
      <c r="L170" s="19" t="s">
        <v>46</v>
      </c>
      <c r="M170" s="19" t="s">
        <v>47</v>
      </c>
      <c r="N170" s="19" t="s">
        <v>48</v>
      </c>
      <c r="O170" s="19" t="s">
        <v>49</v>
      </c>
      <c r="P170" s="19" t="s">
        <v>50</v>
      </c>
      <c r="Q170" s="19" t="s">
        <v>51</v>
      </c>
      <c r="R170" s="19" t="s">
        <v>52</v>
      </c>
      <c r="S170" s="19" t="s">
        <v>53</v>
      </c>
      <c r="T170" s="19" t="s">
        <v>54</v>
      </c>
    </row>
    <row r="171" spans="1:20" ht="22.5" x14ac:dyDescent="0.3">
      <c r="A171" s="7" t="s">
        <v>141</v>
      </c>
      <c r="B171" s="7" t="e">
        <f>VLOOKUP(A171,'Register Table'!$B$3:$C$50,2,FALSE)</f>
        <v>#N/A</v>
      </c>
      <c r="D171" s="18" t="s">
        <v>164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 t="s">
        <v>507</v>
      </c>
      <c r="S171" s="8" t="s">
        <v>508</v>
      </c>
      <c r="T171" s="8" t="s">
        <v>509</v>
      </c>
    </row>
    <row r="172" spans="1:20" ht="22.5" x14ac:dyDescent="0.3">
      <c r="D172" s="18" t="s">
        <v>165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11">
        <v>0</v>
      </c>
      <c r="S172" s="11">
        <v>1</v>
      </c>
      <c r="T172" s="11">
        <v>0</v>
      </c>
    </row>
    <row r="173" spans="1:20" ht="22.5" x14ac:dyDescent="0.3">
      <c r="D173" s="18" t="s">
        <v>157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11" t="s">
        <v>372</v>
      </c>
      <c r="S173" s="11" t="s">
        <v>372</v>
      </c>
      <c r="T173" s="11" t="s">
        <v>372</v>
      </c>
    </row>
    <row r="174" spans="1:20" x14ac:dyDescent="0.3">
      <c r="D174" s="18" t="s">
        <v>167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11" t="s">
        <v>227</v>
      </c>
      <c r="S174" s="11" t="s">
        <v>227</v>
      </c>
      <c r="T174" s="11" t="s">
        <v>227</v>
      </c>
    </row>
    <row r="175" spans="1:20" ht="38.25" customHeight="1" x14ac:dyDescent="0.3">
      <c r="D175" s="18" t="s">
        <v>169</v>
      </c>
      <c r="E175" s="169" t="s">
        <v>510</v>
      </c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</row>
    <row r="177" spans="1:20" x14ac:dyDescent="0.3">
      <c r="A177" s="5" t="s">
        <v>41</v>
      </c>
      <c r="B177" s="5" t="s">
        <v>42</v>
      </c>
      <c r="D177" s="18"/>
      <c r="E177" s="19" t="s">
        <v>345</v>
      </c>
      <c r="F177" s="19" t="s">
        <v>346</v>
      </c>
      <c r="G177" s="19" t="s">
        <v>347</v>
      </c>
      <c r="H177" s="19" t="s">
        <v>348</v>
      </c>
      <c r="I177" s="19" t="s">
        <v>43</v>
      </c>
      <c r="J177" s="19" t="s">
        <v>44</v>
      </c>
      <c r="K177" s="19" t="s">
        <v>45</v>
      </c>
      <c r="L177" s="19" t="s">
        <v>46</v>
      </c>
      <c r="M177" s="19" t="s">
        <v>47</v>
      </c>
      <c r="N177" s="19" t="s">
        <v>48</v>
      </c>
      <c r="O177" s="19" t="s">
        <v>49</v>
      </c>
      <c r="P177" s="19" t="s">
        <v>50</v>
      </c>
      <c r="Q177" s="19" t="s">
        <v>51</v>
      </c>
      <c r="R177" s="19" t="s">
        <v>52</v>
      </c>
      <c r="S177" s="19" t="s">
        <v>53</v>
      </c>
      <c r="T177" s="19" t="s">
        <v>54</v>
      </c>
    </row>
    <row r="178" spans="1:20" ht="33.75" x14ac:dyDescent="0.3">
      <c r="A178" s="7" t="s">
        <v>142</v>
      </c>
      <c r="B178" s="7" t="e">
        <f>VLOOKUP(A178,'Register Table'!$B$3:$C$50,2,FALSE)</f>
        <v>#N/A</v>
      </c>
      <c r="D178" s="18" t="s">
        <v>164</v>
      </c>
      <c r="E178" s="8"/>
      <c r="F178" s="8"/>
      <c r="G178" s="8"/>
      <c r="H178" s="8"/>
      <c r="I178" s="8"/>
      <c r="J178" s="8"/>
      <c r="K178" s="8"/>
      <c r="L178" s="8"/>
      <c r="M178" s="8" t="s">
        <v>511</v>
      </c>
      <c r="N178" s="8" t="s">
        <v>512</v>
      </c>
      <c r="O178" s="8" t="s">
        <v>513</v>
      </c>
      <c r="P178" s="8" t="s">
        <v>514</v>
      </c>
      <c r="Q178" s="8"/>
      <c r="R178" s="8"/>
      <c r="S178" s="8"/>
      <c r="T178" s="8" t="s">
        <v>515</v>
      </c>
    </row>
    <row r="179" spans="1:20" ht="22.5" x14ac:dyDescent="0.3">
      <c r="D179" s="18" t="s">
        <v>165</v>
      </c>
      <c r="E179" s="8"/>
      <c r="F179" s="8"/>
      <c r="G179" s="8"/>
      <c r="H179" s="8"/>
      <c r="I179" s="8"/>
      <c r="J179" s="8"/>
      <c r="K179" s="8"/>
      <c r="L179" s="8"/>
      <c r="M179" s="11">
        <v>0</v>
      </c>
      <c r="N179" s="11">
        <v>0</v>
      </c>
      <c r="O179" s="11">
        <v>0</v>
      </c>
      <c r="P179" s="11">
        <v>0</v>
      </c>
      <c r="Q179" s="8"/>
      <c r="R179" s="8"/>
      <c r="S179" s="8"/>
      <c r="T179" s="11">
        <v>0</v>
      </c>
    </row>
    <row r="180" spans="1:20" ht="22.5" x14ac:dyDescent="0.3">
      <c r="D180" s="18" t="s">
        <v>157</v>
      </c>
      <c r="E180" s="8"/>
      <c r="F180" s="8"/>
      <c r="G180" s="8"/>
      <c r="H180" s="8"/>
      <c r="I180" s="8"/>
      <c r="J180" s="8"/>
      <c r="K180" s="8"/>
      <c r="L180" s="8"/>
      <c r="M180" s="11" t="s">
        <v>372</v>
      </c>
      <c r="N180" s="11" t="s">
        <v>372</v>
      </c>
      <c r="O180" s="11" t="s">
        <v>372</v>
      </c>
      <c r="P180" s="11" t="s">
        <v>372</v>
      </c>
      <c r="Q180" s="8"/>
      <c r="R180" s="8"/>
      <c r="S180" s="8"/>
      <c r="T180" s="11" t="s">
        <v>372</v>
      </c>
    </row>
    <row r="181" spans="1:20" x14ac:dyDescent="0.3">
      <c r="D181" s="18" t="s">
        <v>167</v>
      </c>
      <c r="E181" s="8"/>
      <c r="F181" s="8"/>
      <c r="G181" s="8"/>
      <c r="H181" s="8"/>
      <c r="I181" s="8"/>
      <c r="J181" s="8"/>
      <c r="K181" s="8"/>
      <c r="L181" s="8"/>
      <c r="M181" s="11" t="s">
        <v>179</v>
      </c>
      <c r="N181" s="11" t="s">
        <v>179</v>
      </c>
      <c r="O181" s="11" t="s">
        <v>179</v>
      </c>
      <c r="P181" s="11" t="s">
        <v>179</v>
      </c>
      <c r="Q181" s="8"/>
      <c r="R181" s="8"/>
      <c r="S181" s="8"/>
      <c r="T181" s="11" t="s">
        <v>179</v>
      </c>
    </row>
    <row r="182" spans="1:20" ht="63" customHeight="1" x14ac:dyDescent="0.3">
      <c r="D182" s="18" t="s">
        <v>169</v>
      </c>
      <c r="E182" s="169" t="s">
        <v>516</v>
      </c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</row>
    <row r="184" spans="1:20" x14ac:dyDescent="0.3">
      <c r="A184" s="5" t="s">
        <v>41</v>
      </c>
      <c r="B184" s="5" t="s">
        <v>42</v>
      </c>
      <c r="D184" s="18"/>
      <c r="E184" s="19" t="s">
        <v>345</v>
      </c>
      <c r="F184" s="19" t="s">
        <v>346</v>
      </c>
      <c r="G184" s="19" t="s">
        <v>347</v>
      </c>
      <c r="H184" s="19" t="s">
        <v>348</v>
      </c>
      <c r="I184" s="19" t="s">
        <v>43</v>
      </c>
      <c r="J184" s="19" t="s">
        <v>44</v>
      </c>
      <c r="K184" s="19" t="s">
        <v>45</v>
      </c>
      <c r="L184" s="19" t="s">
        <v>46</v>
      </c>
      <c r="M184" s="19" t="s">
        <v>47</v>
      </c>
      <c r="N184" s="19" t="s">
        <v>48</v>
      </c>
      <c r="O184" s="19" t="s">
        <v>49</v>
      </c>
      <c r="P184" s="19" t="s">
        <v>50</v>
      </c>
      <c r="Q184" s="19" t="s">
        <v>51</v>
      </c>
      <c r="R184" s="19" t="s">
        <v>52</v>
      </c>
      <c r="S184" s="19" t="s">
        <v>53</v>
      </c>
      <c r="T184" s="19" t="s">
        <v>54</v>
      </c>
    </row>
    <row r="185" spans="1:20" x14ac:dyDescent="0.3">
      <c r="A185" s="7" t="s">
        <v>143</v>
      </c>
      <c r="B185" s="7" t="e">
        <f>VLOOKUP(A185,'Register Table'!$B$3:$C$50,2,FALSE)</f>
        <v>#N/A</v>
      </c>
      <c r="D185" s="18" t="s">
        <v>164</v>
      </c>
      <c r="E185" s="8"/>
      <c r="F185" s="8"/>
      <c r="G185" s="8"/>
      <c r="H185" s="8"/>
      <c r="I185" s="8"/>
      <c r="J185" s="8"/>
      <c r="K185" s="153" t="s">
        <v>517</v>
      </c>
      <c r="L185" s="153"/>
      <c r="M185" s="153"/>
      <c r="N185" s="153"/>
      <c r="O185" s="153"/>
      <c r="P185" s="153"/>
      <c r="Q185" s="153"/>
      <c r="R185" s="153"/>
      <c r="S185" s="153"/>
      <c r="T185" s="153"/>
    </row>
    <row r="186" spans="1:20" ht="22.5" x14ac:dyDescent="0.3">
      <c r="B186" s="7"/>
      <c r="D186" s="18" t="s">
        <v>165</v>
      </c>
      <c r="E186" s="8"/>
      <c r="F186" s="8"/>
      <c r="G186" s="8"/>
      <c r="H186" s="8"/>
      <c r="I186" s="8"/>
      <c r="J186" s="8"/>
      <c r="K186" s="146" t="s">
        <v>518</v>
      </c>
      <c r="L186" s="147"/>
      <c r="M186" s="147"/>
      <c r="N186" s="147"/>
      <c r="O186" s="147"/>
      <c r="P186" s="147"/>
      <c r="Q186" s="147"/>
      <c r="R186" s="147"/>
      <c r="S186" s="147"/>
      <c r="T186" s="148"/>
    </row>
    <row r="187" spans="1:20" ht="22.5" x14ac:dyDescent="0.3">
      <c r="D187" s="18" t="s">
        <v>157</v>
      </c>
      <c r="E187" s="8"/>
      <c r="F187" s="8"/>
      <c r="G187" s="8"/>
      <c r="H187" s="8"/>
      <c r="I187" s="8"/>
      <c r="J187" s="8"/>
      <c r="K187" s="146" t="s">
        <v>372</v>
      </c>
      <c r="L187" s="147"/>
      <c r="M187" s="147"/>
      <c r="N187" s="147"/>
      <c r="O187" s="147"/>
      <c r="P187" s="147"/>
      <c r="Q187" s="147"/>
      <c r="R187" s="147"/>
      <c r="S187" s="147"/>
      <c r="T187" s="148"/>
    </row>
    <row r="188" spans="1:20" x14ac:dyDescent="0.3">
      <c r="D188" s="18" t="s">
        <v>167</v>
      </c>
      <c r="E188" s="8"/>
      <c r="F188" s="8"/>
      <c r="G188" s="8"/>
      <c r="H188" s="8"/>
      <c r="I188" s="8"/>
      <c r="J188" s="8"/>
      <c r="K188" s="146" t="s">
        <v>227</v>
      </c>
      <c r="L188" s="147"/>
      <c r="M188" s="147"/>
      <c r="N188" s="147"/>
      <c r="O188" s="147"/>
      <c r="P188" s="147"/>
      <c r="Q188" s="147"/>
      <c r="R188" s="147"/>
      <c r="S188" s="147"/>
      <c r="T188" s="148"/>
    </row>
    <row r="189" spans="1:20" ht="16.5" customHeight="1" x14ac:dyDescent="0.3">
      <c r="D189" s="18" t="s">
        <v>169</v>
      </c>
      <c r="E189" s="169" t="s">
        <v>519</v>
      </c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</row>
    <row r="191" spans="1:20" x14ac:dyDescent="0.3">
      <c r="A191" s="5" t="s">
        <v>41</v>
      </c>
      <c r="B191" s="5" t="s">
        <v>42</v>
      </c>
      <c r="D191" s="18"/>
      <c r="E191" s="19" t="s">
        <v>345</v>
      </c>
      <c r="F191" s="19" t="s">
        <v>346</v>
      </c>
      <c r="G191" s="19" t="s">
        <v>347</v>
      </c>
      <c r="H191" s="19" t="s">
        <v>348</v>
      </c>
      <c r="I191" s="19" t="s">
        <v>43</v>
      </c>
      <c r="J191" s="19" t="s">
        <v>44</v>
      </c>
      <c r="K191" s="19" t="s">
        <v>45</v>
      </c>
      <c r="L191" s="19" t="s">
        <v>46</v>
      </c>
      <c r="M191" s="19" t="s">
        <v>47</v>
      </c>
      <c r="N191" s="19" t="s">
        <v>48</v>
      </c>
      <c r="O191" s="19" t="s">
        <v>49</v>
      </c>
      <c r="P191" s="19" t="s">
        <v>50</v>
      </c>
      <c r="Q191" s="19" t="s">
        <v>51</v>
      </c>
      <c r="R191" s="19" t="s">
        <v>52</v>
      </c>
      <c r="S191" s="19" t="s">
        <v>53</v>
      </c>
      <c r="T191" s="19" t="s">
        <v>54</v>
      </c>
    </row>
    <row r="192" spans="1:20" ht="22.5" x14ac:dyDescent="0.3">
      <c r="A192" s="7" t="s">
        <v>144</v>
      </c>
      <c r="B192" s="7" t="e">
        <f>VLOOKUP(A192,'Register Table'!$B$3:$C$50,2,FALSE)</f>
        <v>#N/A</v>
      </c>
      <c r="D192" s="18" t="s">
        <v>164</v>
      </c>
      <c r="E192" s="8" t="s">
        <v>520</v>
      </c>
      <c r="F192" s="8"/>
      <c r="G192" s="8"/>
      <c r="H192" s="8"/>
      <c r="I192" s="8"/>
      <c r="J192" s="8"/>
      <c r="K192" s="11"/>
      <c r="L192" s="11"/>
      <c r="M192" s="153" t="s">
        <v>521</v>
      </c>
      <c r="N192" s="153"/>
      <c r="O192" s="153"/>
      <c r="P192" s="153"/>
      <c r="Q192" s="153"/>
      <c r="R192" s="153"/>
      <c r="S192" s="153"/>
      <c r="T192" s="153"/>
    </row>
    <row r="193" spans="1:20" ht="22.5" x14ac:dyDescent="0.3">
      <c r="D193" s="18" t="s">
        <v>165</v>
      </c>
      <c r="E193" s="11">
        <v>0</v>
      </c>
      <c r="F193" s="8"/>
      <c r="G193" s="8"/>
      <c r="H193" s="8"/>
      <c r="I193" s="8"/>
      <c r="J193" s="8"/>
      <c r="K193" s="8"/>
      <c r="L193" s="8"/>
      <c r="M193" s="146" t="s">
        <v>522</v>
      </c>
      <c r="N193" s="147"/>
      <c r="O193" s="147"/>
      <c r="P193" s="147"/>
      <c r="Q193" s="147"/>
      <c r="R193" s="147"/>
      <c r="S193" s="147"/>
      <c r="T193" s="148"/>
    </row>
    <row r="194" spans="1:20" ht="22.5" x14ac:dyDescent="0.3">
      <c r="D194" s="18" t="s">
        <v>157</v>
      </c>
      <c r="E194" s="11" t="s">
        <v>372</v>
      </c>
      <c r="F194" s="8"/>
      <c r="G194" s="8"/>
      <c r="H194" s="8"/>
      <c r="I194" s="8"/>
      <c r="J194" s="8"/>
      <c r="K194" s="8"/>
      <c r="L194" s="8"/>
      <c r="M194" s="146" t="s">
        <v>372</v>
      </c>
      <c r="N194" s="147"/>
      <c r="O194" s="147"/>
      <c r="P194" s="147"/>
      <c r="Q194" s="147"/>
      <c r="R194" s="147"/>
      <c r="S194" s="147"/>
      <c r="T194" s="148"/>
    </row>
    <row r="195" spans="1:20" x14ac:dyDescent="0.3">
      <c r="D195" s="18" t="s">
        <v>167</v>
      </c>
      <c r="E195" s="11" t="s">
        <v>227</v>
      </c>
      <c r="F195" s="8"/>
      <c r="G195" s="8"/>
      <c r="H195" s="8"/>
      <c r="I195" s="8"/>
      <c r="J195" s="8"/>
      <c r="K195" s="8"/>
      <c r="L195" s="8"/>
      <c r="M195" s="146" t="s">
        <v>227</v>
      </c>
      <c r="N195" s="147"/>
      <c r="O195" s="147"/>
      <c r="P195" s="147"/>
      <c r="Q195" s="147"/>
      <c r="R195" s="147"/>
      <c r="S195" s="147"/>
      <c r="T195" s="148"/>
    </row>
    <row r="196" spans="1:20" ht="48" customHeight="1" x14ac:dyDescent="0.3">
      <c r="D196" s="18" t="s">
        <v>169</v>
      </c>
      <c r="E196" s="169" t="s">
        <v>523</v>
      </c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</row>
    <row r="198" spans="1:20" x14ac:dyDescent="0.3">
      <c r="A198" s="5" t="s">
        <v>41</v>
      </c>
      <c r="B198" s="5" t="s">
        <v>42</v>
      </c>
      <c r="D198" s="18"/>
      <c r="E198" s="19" t="s">
        <v>345</v>
      </c>
      <c r="F198" s="19" t="s">
        <v>346</v>
      </c>
      <c r="G198" s="19" t="s">
        <v>347</v>
      </c>
      <c r="H198" s="19" t="s">
        <v>348</v>
      </c>
      <c r="I198" s="19" t="s">
        <v>43</v>
      </c>
      <c r="J198" s="19" t="s">
        <v>44</v>
      </c>
      <c r="K198" s="19" t="s">
        <v>45</v>
      </c>
      <c r="L198" s="19" t="s">
        <v>46</v>
      </c>
      <c r="M198" s="19" t="s">
        <v>47</v>
      </c>
      <c r="N198" s="19" t="s">
        <v>48</v>
      </c>
      <c r="O198" s="19" t="s">
        <v>49</v>
      </c>
      <c r="P198" s="19" t="s">
        <v>50</v>
      </c>
      <c r="Q198" s="19" t="s">
        <v>51</v>
      </c>
      <c r="R198" s="19" t="s">
        <v>52</v>
      </c>
      <c r="S198" s="19" t="s">
        <v>53</v>
      </c>
      <c r="T198" s="19" t="s">
        <v>54</v>
      </c>
    </row>
    <row r="199" spans="1:20" ht="22.5" x14ac:dyDescent="0.3">
      <c r="A199" s="7" t="s">
        <v>145</v>
      </c>
      <c r="B199" s="7" t="e">
        <f>VLOOKUP(A199,'Register Table'!$B$3:$C$50,2,FALSE)</f>
        <v>#N/A</v>
      </c>
      <c r="D199" s="18" t="s">
        <v>164</v>
      </c>
      <c r="E199" s="8"/>
      <c r="F199" s="8" t="s">
        <v>524</v>
      </c>
      <c r="G199" s="8" t="s">
        <v>525</v>
      </c>
      <c r="H199" s="8" t="s">
        <v>526</v>
      </c>
      <c r="I199" s="8" t="s">
        <v>527</v>
      </c>
      <c r="J199" s="8" t="s">
        <v>528</v>
      </c>
      <c r="K199" s="8" t="s">
        <v>529</v>
      </c>
      <c r="L199" s="8" t="s">
        <v>530</v>
      </c>
      <c r="M199" s="8"/>
      <c r="N199" s="8"/>
      <c r="O199" s="8"/>
      <c r="P199" s="8"/>
      <c r="Q199" s="153" t="s">
        <v>531</v>
      </c>
      <c r="R199" s="153"/>
      <c r="S199" s="153"/>
      <c r="T199" s="153"/>
    </row>
    <row r="200" spans="1:20" ht="22.5" x14ac:dyDescent="0.3">
      <c r="D200" s="18" t="s">
        <v>165</v>
      </c>
      <c r="E200" s="8"/>
      <c r="F200" s="11">
        <v>1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/>
      <c r="N200" s="11"/>
      <c r="O200" s="8"/>
      <c r="P200" s="8"/>
      <c r="Q200" s="146"/>
      <c r="R200" s="147"/>
      <c r="S200" s="147"/>
      <c r="T200" s="148"/>
    </row>
    <row r="201" spans="1:20" ht="22.5" x14ac:dyDescent="0.3">
      <c r="D201" s="18" t="s">
        <v>157</v>
      </c>
      <c r="E201" s="8"/>
      <c r="F201" s="11" t="s">
        <v>371</v>
      </c>
      <c r="G201" s="11" t="s">
        <v>371</v>
      </c>
      <c r="H201" s="11" t="s">
        <v>372</v>
      </c>
      <c r="I201" s="11" t="s">
        <v>371</v>
      </c>
      <c r="J201" s="11" t="s">
        <v>371</v>
      </c>
      <c r="K201" s="11" t="s">
        <v>371</v>
      </c>
      <c r="L201" s="11" t="s">
        <v>371</v>
      </c>
      <c r="M201" s="11"/>
      <c r="N201" s="11"/>
      <c r="O201" s="8"/>
      <c r="P201" s="8"/>
      <c r="Q201" s="146" t="s">
        <v>371</v>
      </c>
      <c r="R201" s="147"/>
      <c r="S201" s="147"/>
      <c r="T201" s="148"/>
    </row>
    <row r="202" spans="1:20" x14ac:dyDescent="0.3">
      <c r="D202" s="18" t="s">
        <v>167</v>
      </c>
      <c r="E202" s="8"/>
      <c r="F202" s="11" t="s">
        <v>168</v>
      </c>
      <c r="G202" s="11" t="s">
        <v>179</v>
      </c>
      <c r="H202" s="11" t="s">
        <v>179</v>
      </c>
      <c r="I202" s="11" t="s">
        <v>179</v>
      </c>
      <c r="J202" s="11" t="s">
        <v>179</v>
      </c>
      <c r="K202" s="11" t="s">
        <v>179</v>
      </c>
      <c r="L202" s="11" t="s">
        <v>179</v>
      </c>
      <c r="M202" s="11"/>
      <c r="N202" s="11"/>
      <c r="O202" s="8"/>
      <c r="P202" s="8"/>
      <c r="Q202" s="146" t="s">
        <v>168</v>
      </c>
      <c r="R202" s="147"/>
      <c r="S202" s="147"/>
      <c r="T202" s="148"/>
    </row>
    <row r="203" spans="1:20" ht="111.75" customHeight="1" x14ac:dyDescent="0.3">
      <c r="D203" s="18" t="s">
        <v>169</v>
      </c>
      <c r="E203" s="169" t="s">
        <v>532</v>
      </c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</row>
    <row r="205" spans="1:20" x14ac:dyDescent="0.3">
      <c r="A205" s="5" t="s">
        <v>41</v>
      </c>
      <c r="B205" s="5" t="s">
        <v>42</v>
      </c>
      <c r="D205" s="18"/>
      <c r="E205" s="19" t="s">
        <v>345</v>
      </c>
      <c r="F205" s="19" t="s">
        <v>346</v>
      </c>
      <c r="G205" s="19" t="s">
        <v>347</v>
      </c>
      <c r="H205" s="19" t="s">
        <v>348</v>
      </c>
      <c r="I205" s="19" t="s">
        <v>43</v>
      </c>
      <c r="J205" s="19" t="s">
        <v>44</v>
      </c>
      <c r="K205" s="19" t="s">
        <v>45</v>
      </c>
      <c r="L205" s="19" t="s">
        <v>46</v>
      </c>
      <c r="M205" s="19" t="s">
        <v>47</v>
      </c>
      <c r="N205" s="19" t="s">
        <v>48</v>
      </c>
      <c r="O205" s="19" t="s">
        <v>49</v>
      </c>
      <c r="P205" s="19" t="s">
        <v>50</v>
      </c>
      <c r="Q205" s="19" t="s">
        <v>51</v>
      </c>
      <c r="R205" s="19" t="s">
        <v>52</v>
      </c>
      <c r="S205" s="19" t="s">
        <v>53</v>
      </c>
      <c r="T205" s="19" t="s">
        <v>54</v>
      </c>
    </row>
    <row r="206" spans="1:20" x14ac:dyDescent="0.3">
      <c r="A206" s="7" t="s">
        <v>146</v>
      </c>
      <c r="B206" s="7" t="e">
        <f>VLOOKUP(A206,'Register Table'!$B$3:$C$50,2,FALSE)</f>
        <v>#N/A</v>
      </c>
      <c r="D206" s="18" t="s">
        <v>164</v>
      </c>
      <c r="E206" s="153" t="s">
        <v>533</v>
      </c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</row>
    <row r="207" spans="1:20" ht="22.5" x14ac:dyDescent="0.3">
      <c r="D207" s="18" t="s">
        <v>165</v>
      </c>
      <c r="E207" s="146" t="s">
        <v>393</v>
      </c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8"/>
    </row>
    <row r="208" spans="1:20" ht="22.5" x14ac:dyDescent="0.3">
      <c r="D208" s="18" t="s">
        <v>157</v>
      </c>
      <c r="E208" s="146" t="s">
        <v>371</v>
      </c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8"/>
    </row>
    <row r="209" spans="1:20" x14ac:dyDescent="0.3">
      <c r="D209" s="18" t="s">
        <v>167</v>
      </c>
      <c r="E209" s="146" t="s">
        <v>534</v>
      </c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8"/>
    </row>
    <row r="210" spans="1:20" ht="33.75" x14ac:dyDescent="0.3">
      <c r="D210" s="18" t="s">
        <v>169</v>
      </c>
      <c r="E210" s="169" t="s">
        <v>535</v>
      </c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</row>
    <row r="212" spans="1:20" x14ac:dyDescent="0.3">
      <c r="A212" s="5" t="s">
        <v>41</v>
      </c>
      <c r="B212" s="5" t="s">
        <v>42</v>
      </c>
      <c r="D212" s="18"/>
      <c r="E212" s="19" t="s">
        <v>345</v>
      </c>
      <c r="F212" s="19" t="s">
        <v>346</v>
      </c>
      <c r="G212" s="19" t="s">
        <v>347</v>
      </c>
      <c r="H212" s="19" t="s">
        <v>348</v>
      </c>
      <c r="I212" s="19" t="s">
        <v>43</v>
      </c>
      <c r="J212" s="19" t="s">
        <v>44</v>
      </c>
      <c r="K212" s="19" t="s">
        <v>45</v>
      </c>
      <c r="L212" s="19" t="s">
        <v>46</v>
      </c>
      <c r="M212" s="19" t="s">
        <v>47</v>
      </c>
      <c r="N212" s="19" t="s">
        <v>48</v>
      </c>
      <c r="O212" s="19" t="s">
        <v>49</v>
      </c>
      <c r="P212" s="19" t="s">
        <v>50</v>
      </c>
      <c r="Q212" s="19" t="s">
        <v>51</v>
      </c>
      <c r="R212" s="19" t="s">
        <v>52</v>
      </c>
      <c r="S212" s="19" t="s">
        <v>53</v>
      </c>
      <c r="T212" s="19" t="s">
        <v>54</v>
      </c>
    </row>
    <row r="213" spans="1:20" ht="33.75" x14ac:dyDescent="0.3">
      <c r="A213" s="7" t="s">
        <v>147</v>
      </c>
      <c r="B213" s="7" t="e">
        <f>VLOOKUP(A213,'Register Table'!$B$3:$C$50,2,FALSE)</f>
        <v>#N/A</v>
      </c>
      <c r="D213" s="18" t="s">
        <v>164</v>
      </c>
      <c r="E213" s="8"/>
      <c r="F213" s="8" t="s">
        <v>536</v>
      </c>
      <c r="G213" s="153" t="s">
        <v>537</v>
      </c>
      <c r="H213" s="153"/>
      <c r="I213" s="8" t="s">
        <v>538</v>
      </c>
      <c r="J213" s="153" t="s">
        <v>539</v>
      </c>
      <c r="K213" s="153"/>
      <c r="L213" s="153"/>
      <c r="M213" s="8"/>
      <c r="N213" s="153" t="s">
        <v>540</v>
      </c>
      <c r="O213" s="153"/>
      <c r="P213" s="153"/>
      <c r="Q213" s="8"/>
      <c r="R213" s="153" t="s">
        <v>541</v>
      </c>
      <c r="S213" s="153"/>
      <c r="T213" s="153"/>
    </row>
    <row r="214" spans="1:20" ht="22.5" x14ac:dyDescent="0.3">
      <c r="D214" s="18" t="s">
        <v>165</v>
      </c>
      <c r="E214" s="8"/>
      <c r="F214" s="8">
        <v>0</v>
      </c>
      <c r="G214" s="146" t="s">
        <v>542</v>
      </c>
      <c r="H214" s="148"/>
      <c r="I214" s="8">
        <v>1</v>
      </c>
      <c r="J214" s="146" t="s">
        <v>543</v>
      </c>
      <c r="K214" s="147"/>
      <c r="L214" s="148"/>
      <c r="M214" s="8"/>
      <c r="N214" s="146" t="s">
        <v>356</v>
      </c>
      <c r="O214" s="147"/>
      <c r="P214" s="148"/>
      <c r="Q214" s="8"/>
      <c r="R214" s="146" t="s">
        <v>356</v>
      </c>
      <c r="S214" s="147"/>
      <c r="T214" s="148"/>
    </row>
    <row r="215" spans="1:20" ht="22.5" x14ac:dyDescent="0.3">
      <c r="D215" s="18" t="s">
        <v>157</v>
      </c>
      <c r="E215" s="8"/>
      <c r="F215" s="8" t="s">
        <v>372</v>
      </c>
      <c r="G215" s="146" t="s">
        <v>372</v>
      </c>
      <c r="H215" s="148"/>
      <c r="I215" s="8" t="s">
        <v>372</v>
      </c>
      <c r="J215" s="146" t="s">
        <v>372</v>
      </c>
      <c r="K215" s="147"/>
      <c r="L215" s="148"/>
      <c r="M215" s="8"/>
      <c r="N215" s="146" t="s">
        <v>371</v>
      </c>
      <c r="O215" s="147"/>
      <c r="P215" s="148"/>
      <c r="Q215" s="8"/>
      <c r="R215" s="146" t="s">
        <v>371</v>
      </c>
      <c r="S215" s="147"/>
      <c r="T215" s="148"/>
    </row>
    <row r="216" spans="1:20" x14ac:dyDescent="0.3">
      <c r="D216" s="18" t="s">
        <v>167</v>
      </c>
      <c r="E216" s="8"/>
      <c r="F216" s="8" t="s">
        <v>227</v>
      </c>
      <c r="G216" s="146" t="s">
        <v>227</v>
      </c>
      <c r="H216" s="148"/>
      <c r="I216" s="8" t="s">
        <v>227</v>
      </c>
      <c r="J216" s="146" t="s">
        <v>168</v>
      </c>
      <c r="K216" s="147"/>
      <c r="L216" s="148"/>
      <c r="M216" s="8"/>
      <c r="N216" s="146" t="s">
        <v>168</v>
      </c>
      <c r="O216" s="147"/>
      <c r="P216" s="148"/>
      <c r="Q216" s="8"/>
      <c r="R216" s="146" t="s">
        <v>168</v>
      </c>
      <c r="S216" s="147"/>
      <c r="T216" s="148"/>
    </row>
    <row r="217" spans="1:20" ht="109.5" customHeight="1" x14ac:dyDescent="0.3">
      <c r="D217" s="18" t="s">
        <v>169</v>
      </c>
      <c r="E217" s="169" t="s">
        <v>544</v>
      </c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</row>
    <row r="219" spans="1:20" x14ac:dyDescent="0.3">
      <c r="A219" s="5" t="s">
        <v>41</v>
      </c>
      <c r="B219" s="5" t="s">
        <v>42</v>
      </c>
      <c r="D219" s="18"/>
      <c r="E219" s="19" t="s">
        <v>345</v>
      </c>
      <c r="F219" s="19" t="s">
        <v>346</v>
      </c>
      <c r="G219" s="19" t="s">
        <v>347</v>
      </c>
      <c r="H219" s="19" t="s">
        <v>348</v>
      </c>
      <c r="I219" s="19" t="s">
        <v>43</v>
      </c>
      <c r="J219" s="19" t="s">
        <v>44</v>
      </c>
      <c r="K219" s="19" t="s">
        <v>45</v>
      </c>
      <c r="L219" s="19" t="s">
        <v>46</v>
      </c>
      <c r="M219" s="19" t="s">
        <v>47</v>
      </c>
      <c r="N219" s="19" t="s">
        <v>48</v>
      </c>
      <c r="O219" s="19" t="s">
        <v>49</v>
      </c>
      <c r="P219" s="19" t="s">
        <v>50</v>
      </c>
      <c r="Q219" s="19" t="s">
        <v>51</v>
      </c>
      <c r="R219" s="19" t="s">
        <v>52</v>
      </c>
      <c r="S219" s="19" t="s">
        <v>53</v>
      </c>
      <c r="T219" s="19" t="s">
        <v>54</v>
      </c>
    </row>
    <row r="220" spans="1:20" ht="11.25" customHeight="1" x14ac:dyDescent="0.3">
      <c r="A220" s="7" t="s">
        <v>148</v>
      </c>
      <c r="B220" s="7" t="e">
        <f>VLOOKUP(A220,'Register Table'!$B$3:$C$50,2,FALSE)</f>
        <v>#N/A</v>
      </c>
      <c r="D220" s="18" t="s">
        <v>164</v>
      </c>
      <c r="E220" s="146" t="s">
        <v>545</v>
      </c>
      <c r="F220" s="147"/>
      <c r="G220" s="147"/>
      <c r="H220" s="148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292" t="s">
        <v>546</v>
      </c>
      <c r="T220" s="292"/>
    </row>
    <row r="221" spans="1:20" ht="22.5" x14ac:dyDescent="0.3">
      <c r="D221" s="18" t="s">
        <v>165</v>
      </c>
      <c r="E221" s="146" t="s">
        <v>547</v>
      </c>
      <c r="F221" s="147"/>
      <c r="G221" s="147"/>
      <c r="H221" s="14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146" t="s">
        <v>548</v>
      </c>
      <c r="T221" s="148"/>
    </row>
    <row r="222" spans="1:20" ht="22.5" x14ac:dyDescent="0.3">
      <c r="D222" s="18" t="s">
        <v>157</v>
      </c>
      <c r="E222" s="146" t="s">
        <v>372</v>
      </c>
      <c r="F222" s="147"/>
      <c r="G222" s="147"/>
      <c r="H222" s="14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146" t="s">
        <v>372</v>
      </c>
      <c r="T222" s="148"/>
    </row>
    <row r="223" spans="1:20" x14ac:dyDescent="0.3">
      <c r="D223" s="18" t="s">
        <v>167</v>
      </c>
      <c r="E223" s="146" t="s">
        <v>227</v>
      </c>
      <c r="F223" s="147"/>
      <c r="G223" s="147"/>
      <c r="H223" s="14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146" t="s">
        <v>227</v>
      </c>
      <c r="T223" s="148"/>
    </row>
    <row r="224" spans="1:20" ht="72.75" customHeight="1" x14ac:dyDescent="0.3">
      <c r="D224" s="18" t="s">
        <v>169</v>
      </c>
      <c r="E224" s="169" t="s">
        <v>549</v>
      </c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</row>
    <row r="226" spans="1:20" x14ac:dyDescent="0.3">
      <c r="A226" s="5" t="s">
        <v>41</v>
      </c>
      <c r="B226" s="5" t="s">
        <v>42</v>
      </c>
      <c r="D226" s="18"/>
      <c r="E226" s="19" t="s">
        <v>345</v>
      </c>
      <c r="F226" s="19" t="s">
        <v>346</v>
      </c>
      <c r="G226" s="19" t="s">
        <v>347</v>
      </c>
      <c r="H226" s="19" t="s">
        <v>348</v>
      </c>
      <c r="I226" s="19" t="s">
        <v>43</v>
      </c>
      <c r="J226" s="19" t="s">
        <v>44</v>
      </c>
      <c r="K226" s="19" t="s">
        <v>45</v>
      </c>
      <c r="L226" s="19" t="s">
        <v>46</v>
      </c>
      <c r="M226" s="19" t="s">
        <v>47</v>
      </c>
      <c r="N226" s="19" t="s">
        <v>48</v>
      </c>
      <c r="O226" s="19" t="s">
        <v>49</v>
      </c>
      <c r="P226" s="19" t="s">
        <v>50</v>
      </c>
      <c r="Q226" s="19" t="s">
        <v>51</v>
      </c>
      <c r="R226" s="19" t="s">
        <v>52</v>
      </c>
      <c r="S226" s="19" t="s">
        <v>53</v>
      </c>
      <c r="T226" s="19" t="s">
        <v>54</v>
      </c>
    </row>
    <row r="227" spans="1:20" ht="33.75" x14ac:dyDescent="0.3">
      <c r="A227" s="7" t="s">
        <v>149</v>
      </c>
      <c r="B227" s="7" t="e">
        <f>VLOOKUP(A227,'Register Table'!$B$3:$C$50,2,FALSE)</f>
        <v>#N/A</v>
      </c>
      <c r="D227" s="18" t="s">
        <v>164</v>
      </c>
      <c r="E227" s="8"/>
      <c r="F227" s="8"/>
      <c r="G227" s="8"/>
      <c r="H227" s="8"/>
      <c r="I227" s="8"/>
      <c r="J227" s="8"/>
      <c r="K227" s="8"/>
      <c r="L227" s="8"/>
      <c r="M227" s="146" t="s">
        <v>550</v>
      </c>
      <c r="N227" s="147"/>
      <c r="O227" s="147"/>
      <c r="P227" s="148"/>
      <c r="Q227" s="8"/>
      <c r="R227" s="8"/>
      <c r="S227" s="8" t="s">
        <v>551</v>
      </c>
      <c r="T227" s="8" t="s">
        <v>552</v>
      </c>
    </row>
    <row r="228" spans="1:20" ht="11.25" customHeight="1" x14ac:dyDescent="0.3">
      <c r="D228" s="18" t="s">
        <v>165</v>
      </c>
      <c r="E228" s="8"/>
      <c r="F228" s="8"/>
      <c r="G228" s="8"/>
      <c r="H228" s="8"/>
      <c r="I228" s="8"/>
      <c r="J228" s="8"/>
      <c r="K228" s="8"/>
      <c r="L228" s="8"/>
      <c r="M228" s="146" t="s">
        <v>553</v>
      </c>
      <c r="N228" s="147"/>
      <c r="O228" s="147"/>
      <c r="P228" s="148"/>
      <c r="Q228" s="8"/>
      <c r="R228" s="8"/>
      <c r="S228" s="11">
        <v>0</v>
      </c>
      <c r="T228" s="11">
        <v>1</v>
      </c>
    </row>
    <row r="229" spans="1:20" ht="22.5" x14ac:dyDescent="0.3">
      <c r="D229" s="18" t="s">
        <v>157</v>
      </c>
      <c r="E229" s="8"/>
      <c r="F229" s="8"/>
      <c r="G229" s="8"/>
      <c r="H229" s="8"/>
      <c r="I229" s="8"/>
      <c r="J229" s="8"/>
      <c r="K229" s="8"/>
      <c r="L229" s="8"/>
      <c r="M229" s="146" t="s">
        <v>372</v>
      </c>
      <c r="N229" s="147"/>
      <c r="O229" s="147"/>
      <c r="P229" s="148"/>
      <c r="Q229" s="8"/>
      <c r="R229" s="8"/>
      <c r="S229" s="11" t="s">
        <v>372</v>
      </c>
      <c r="T229" s="11" t="s">
        <v>372</v>
      </c>
    </row>
    <row r="230" spans="1:20" x14ac:dyDescent="0.3">
      <c r="D230" s="18" t="s">
        <v>167</v>
      </c>
      <c r="E230" s="8"/>
      <c r="F230" s="8"/>
      <c r="G230" s="8"/>
      <c r="H230" s="8"/>
      <c r="I230" s="8"/>
      <c r="J230" s="8"/>
      <c r="K230" s="8"/>
      <c r="L230" s="8"/>
      <c r="M230" s="146" t="s">
        <v>168</v>
      </c>
      <c r="N230" s="147"/>
      <c r="O230" s="147"/>
      <c r="P230" s="148"/>
      <c r="Q230" s="8"/>
      <c r="R230" s="8"/>
      <c r="S230" s="11" t="s">
        <v>168</v>
      </c>
      <c r="T230" s="11" t="s">
        <v>179</v>
      </c>
    </row>
    <row r="231" spans="1:20" ht="36.75" customHeight="1" x14ac:dyDescent="0.3">
      <c r="D231" s="18" t="s">
        <v>169</v>
      </c>
      <c r="E231" s="169" t="s">
        <v>554</v>
      </c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</row>
    <row r="233" spans="1:20" x14ac:dyDescent="0.3">
      <c r="A233" s="5" t="s">
        <v>41</v>
      </c>
      <c r="B233" s="5" t="s">
        <v>42</v>
      </c>
      <c r="D233" s="18"/>
      <c r="E233" s="19" t="s">
        <v>345</v>
      </c>
      <c r="F233" s="19" t="s">
        <v>346</v>
      </c>
      <c r="G233" s="19" t="s">
        <v>347</v>
      </c>
      <c r="H233" s="19" t="s">
        <v>348</v>
      </c>
      <c r="I233" s="19" t="s">
        <v>43</v>
      </c>
      <c r="J233" s="19" t="s">
        <v>44</v>
      </c>
      <c r="K233" s="19" t="s">
        <v>45</v>
      </c>
      <c r="L233" s="19" t="s">
        <v>46</v>
      </c>
      <c r="M233" s="19" t="s">
        <v>47</v>
      </c>
      <c r="N233" s="19" t="s">
        <v>48</v>
      </c>
      <c r="O233" s="19" t="s">
        <v>49</v>
      </c>
      <c r="P233" s="19" t="s">
        <v>50</v>
      </c>
      <c r="Q233" s="19" t="s">
        <v>51</v>
      </c>
      <c r="R233" s="19" t="s">
        <v>52</v>
      </c>
      <c r="S233" s="19" t="s">
        <v>53</v>
      </c>
      <c r="T233" s="19" t="s">
        <v>54</v>
      </c>
    </row>
    <row r="234" spans="1:20" x14ac:dyDescent="0.3">
      <c r="A234" s="7" t="s">
        <v>150</v>
      </c>
      <c r="B234" s="7" t="e">
        <f>VLOOKUP(A234,'Register Table'!$B$3:$C$50,2,FALSE)</f>
        <v>#N/A</v>
      </c>
      <c r="D234" s="18" t="s">
        <v>164</v>
      </c>
      <c r="E234" s="146" t="s">
        <v>555</v>
      </c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8"/>
    </row>
    <row r="235" spans="1:20" ht="22.5" x14ac:dyDescent="0.3">
      <c r="D235" s="18" t="s">
        <v>165</v>
      </c>
      <c r="E235" s="146" t="s">
        <v>556</v>
      </c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8"/>
    </row>
    <row r="236" spans="1:20" ht="22.5" x14ac:dyDescent="0.3">
      <c r="D236" s="18" t="s">
        <v>157</v>
      </c>
      <c r="E236" s="146" t="s">
        <v>65</v>
      </c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8"/>
    </row>
    <row r="237" spans="1:20" x14ac:dyDescent="0.3">
      <c r="D237" s="18" t="s">
        <v>167</v>
      </c>
      <c r="E237" s="146" t="s">
        <v>227</v>
      </c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8"/>
    </row>
    <row r="238" spans="1:20" ht="33.75" x14ac:dyDescent="0.3">
      <c r="D238" s="18" t="s">
        <v>169</v>
      </c>
      <c r="E238" s="169" t="s">
        <v>557</v>
      </c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</row>
    <row r="240" spans="1:20" x14ac:dyDescent="0.3">
      <c r="A240" s="5" t="s">
        <v>41</v>
      </c>
      <c r="B240" s="5" t="s">
        <v>42</v>
      </c>
      <c r="D240" s="18"/>
      <c r="E240" s="19" t="s">
        <v>345</v>
      </c>
      <c r="F240" s="19" t="s">
        <v>346</v>
      </c>
      <c r="G240" s="19" t="s">
        <v>347</v>
      </c>
      <c r="H240" s="19" t="s">
        <v>348</v>
      </c>
      <c r="I240" s="19" t="s">
        <v>43</v>
      </c>
      <c r="J240" s="19" t="s">
        <v>44</v>
      </c>
      <c r="K240" s="19" t="s">
        <v>45</v>
      </c>
      <c r="L240" s="19" t="s">
        <v>46</v>
      </c>
      <c r="M240" s="19" t="s">
        <v>47</v>
      </c>
      <c r="N240" s="19" t="s">
        <v>48</v>
      </c>
      <c r="O240" s="19" t="s">
        <v>49</v>
      </c>
      <c r="P240" s="19" t="s">
        <v>50</v>
      </c>
      <c r="Q240" s="19" t="s">
        <v>51</v>
      </c>
      <c r="R240" s="19" t="s">
        <v>52</v>
      </c>
      <c r="S240" s="19" t="s">
        <v>53</v>
      </c>
      <c r="T240" s="19" t="s">
        <v>54</v>
      </c>
    </row>
    <row r="241" spans="1:20" x14ac:dyDescent="0.3">
      <c r="A241" s="7" t="s">
        <v>151</v>
      </c>
      <c r="B241" s="7" t="e">
        <f>VLOOKUP(A241,'Register Table'!$B$3:$C$50,2,FALSE)</f>
        <v>#N/A</v>
      </c>
      <c r="D241" s="18" t="s">
        <v>164</v>
      </c>
      <c r="E241" s="8"/>
      <c r="F241" s="8"/>
      <c r="G241" s="8"/>
      <c r="H241" s="8"/>
      <c r="I241" s="8"/>
      <c r="J241" s="8"/>
      <c r="K241" s="8"/>
      <c r="L241" s="8"/>
      <c r="M241" s="146" t="s">
        <v>558</v>
      </c>
      <c r="N241" s="147"/>
      <c r="O241" s="147"/>
      <c r="P241" s="147"/>
      <c r="Q241" s="147"/>
      <c r="R241" s="147"/>
      <c r="S241" s="147"/>
      <c r="T241" s="148"/>
    </row>
    <row r="242" spans="1:20" ht="22.5" x14ac:dyDescent="0.3">
      <c r="D242" s="18" t="s">
        <v>165</v>
      </c>
      <c r="E242" s="8"/>
      <c r="F242" s="8"/>
      <c r="G242" s="8"/>
      <c r="H242" s="8"/>
      <c r="I242" s="8"/>
      <c r="J242" s="8"/>
      <c r="K242" s="8"/>
      <c r="L242" s="8"/>
      <c r="M242" s="146" t="s">
        <v>522</v>
      </c>
      <c r="N242" s="147"/>
      <c r="O242" s="147"/>
      <c r="P242" s="147"/>
      <c r="Q242" s="147"/>
      <c r="R242" s="147"/>
      <c r="S242" s="147"/>
      <c r="T242" s="148"/>
    </row>
    <row r="243" spans="1:20" ht="22.5" x14ac:dyDescent="0.3">
      <c r="D243" s="18" t="s">
        <v>157</v>
      </c>
      <c r="E243" s="8"/>
      <c r="F243" s="8"/>
      <c r="G243" s="8"/>
      <c r="H243" s="8"/>
      <c r="I243" s="8"/>
      <c r="J243" s="8"/>
      <c r="K243" s="8"/>
      <c r="L243" s="8"/>
      <c r="M243" s="146" t="s">
        <v>65</v>
      </c>
      <c r="N243" s="147"/>
      <c r="O243" s="147"/>
      <c r="P243" s="147"/>
      <c r="Q243" s="147"/>
      <c r="R243" s="147"/>
      <c r="S243" s="147"/>
      <c r="T243" s="148"/>
    </row>
    <row r="244" spans="1:20" x14ac:dyDescent="0.3">
      <c r="D244" s="18" t="s">
        <v>167</v>
      </c>
      <c r="E244" s="8"/>
      <c r="F244" s="8"/>
      <c r="G244" s="8"/>
      <c r="H244" s="8"/>
      <c r="I244" s="8"/>
      <c r="J244" s="8"/>
      <c r="K244" s="8"/>
      <c r="L244" s="8"/>
      <c r="M244" s="146" t="s">
        <v>227</v>
      </c>
      <c r="N244" s="147"/>
      <c r="O244" s="147"/>
      <c r="P244" s="147"/>
      <c r="Q244" s="147"/>
      <c r="R244" s="147"/>
      <c r="S244" s="147"/>
      <c r="T244" s="148"/>
    </row>
    <row r="245" spans="1:20" ht="33.75" x14ac:dyDescent="0.3">
      <c r="D245" s="18" t="s">
        <v>169</v>
      </c>
      <c r="E245" s="169" t="s">
        <v>559</v>
      </c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</row>
    <row r="247" spans="1:20" x14ac:dyDescent="0.3">
      <c r="A247" s="5" t="s">
        <v>41</v>
      </c>
      <c r="B247" s="5" t="s">
        <v>42</v>
      </c>
      <c r="D247" s="18"/>
      <c r="E247" s="19" t="s">
        <v>345</v>
      </c>
      <c r="F247" s="19" t="s">
        <v>346</v>
      </c>
      <c r="G247" s="19" t="s">
        <v>347</v>
      </c>
      <c r="H247" s="19" t="s">
        <v>348</v>
      </c>
      <c r="I247" s="19" t="s">
        <v>43</v>
      </c>
      <c r="J247" s="19" t="s">
        <v>44</v>
      </c>
      <c r="K247" s="19" t="s">
        <v>45</v>
      </c>
      <c r="L247" s="19" t="s">
        <v>46</v>
      </c>
      <c r="M247" s="19" t="s">
        <v>47</v>
      </c>
      <c r="N247" s="19" t="s">
        <v>48</v>
      </c>
      <c r="O247" s="19" t="s">
        <v>49</v>
      </c>
      <c r="P247" s="19" t="s">
        <v>50</v>
      </c>
      <c r="Q247" s="19" t="s">
        <v>51</v>
      </c>
      <c r="R247" s="19" t="s">
        <v>52</v>
      </c>
      <c r="S247" s="21" t="s">
        <v>53</v>
      </c>
      <c r="T247" s="21" t="s">
        <v>54</v>
      </c>
    </row>
    <row r="248" spans="1:20" ht="33.75" x14ac:dyDescent="0.3">
      <c r="A248" s="7" t="s">
        <v>152</v>
      </c>
      <c r="B248" s="7" t="e">
        <f>VLOOKUP(A248,'Register Table'!$B$3:$C$50,2,FALSE)</f>
        <v>#N/A</v>
      </c>
      <c r="D248" s="18" t="s">
        <v>164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 t="s">
        <v>560</v>
      </c>
      <c r="Q248" s="8"/>
      <c r="R248" s="14"/>
      <c r="S248" s="8" t="s">
        <v>561</v>
      </c>
      <c r="T248" s="8" t="s">
        <v>562</v>
      </c>
    </row>
    <row r="249" spans="1:20" ht="22.5" x14ac:dyDescent="0.3">
      <c r="D249" s="18" t="s">
        <v>165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11">
        <v>0</v>
      </c>
      <c r="Q249" s="11"/>
      <c r="R249" s="11"/>
      <c r="S249" s="22">
        <v>0</v>
      </c>
      <c r="T249" s="22">
        <v>0</v>
      </c>
    </row>
    <row r="250" spans="1:20" ht="22.5" x14ac:dyDescent="0.3">
      <c r="D250" s="18" t="s">
        <v>157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11" t="s">
        <v>65</v>
      </c>
      <c r="Q250" s="11"/>
      <c r="R250" s="11"/>
      <c r="S250" s="11" t="s">
        <v>65</v>
      </c>
      <c r="T250" s="11" t="s">
        <v>65</v>
      </c>
    </row>
    <row r="251" spans="1:20" x14ac:dyDescent="0.3">
      <c r="D251" s="18" t="s">
        <v>167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11" t="s">
        <v>227</v>
      </c>
      <c r="Q251" s="11"/>
      <c r="R251" s="11"/>
      <c r="S251" s="11" t="s">
        <v>227</v>
      </c>
      <c r="T251" s="11" t="s">
        <v>227</v>
      </c>
    </row>
    <row r="252" spans="1:20" ht="39" customHeight="1" x14ac:dyDescent="0.3">
      <c r="D252" s="18" t="s">
        <v>169</v>
      </c>
      <c r="E252" s="169" t="s">
        <v>563</v>
      </c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</row>
    <row r="254" spans="1:20" x14ac:dyDescent="0.3">
      <c r="A254" s="5" t="s">
        <v>41</v>
      </c>
      <c r="B254" s="5" t="s">
        <v>42</v>
      </c>
      <c r="D254" s="18"/>
      <c r="E254" s="19" t="s">
        <v>345</v>
      </c>
      <c r="F254" s="19" t="s">
        <v>346</v>
      </c>
      <c r="G254" s="19" t="s">
        <v>347</v>
      </c>
      <c r="H254" s="19" t="s">
        <v>348</v>
      </c>
      <c r="I254" s="19" t="s">
        <v>43</v>
      </c>
      <c r="J254" s="19" t="s">
        <v>44</v>
      </c>
      <c r="K254" s="19" t="s">
        <v>45</v>
      </c>
      <c r="L254" s="19" t="s">
        <v>46</v>
      </c>
      <c r="M254" s="19" t="s">
        <v>47</v>
      </c>
      <c r="N254" s="19" t="s">
        <v>48</v>
      </c>
      <c r="O254" s="19" t="s">
        <v>49</v>
      </c>
      <c r="P254" s="19" t="s">
        <v>50</v>
      </c>
      <c r="Q254" s="19" t="s">
        <v>51</v>
      </c>
      <c r="R254" s="19" t="s">
        <v>52</v>
      </c>
      <c r="S254" s="19" t="s">
        <v>53</v>
      </c>
      <c r="T254" s="19" t="s">
        <v>54</v>
      </c>
    </row>
    <row r="255" spans="1:20" x14ac:dyDescent="0.3">
      <c r="A255" s="7" t="s">
        <v>153</v>
      </c>
      <c r="B255" s="7" t="e">
        <f>VLOOKUP(A255,'Register Table'!$B$3:$C$50,2,FALSE)</f>
        <v>#N/A</v>
      </c>
      <c r="D255" s="18" t="s">
        <v>164</v>
      </c>
      <c r="E255" s="293" t="s">
        <v>564</v>
      </c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5"/>
    </row>
    <row r="256" spans="1:20" ht="22.5" x14ac:dyDescent="0.3">
      <c r="D256" s="18" t="s">
        <v>165</v>
      </c>
      <c r="E256" s="146" t="s">
        <v>556</v>
      </c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8"/>
    </row>
    <row r="257" spans="1:20" ht="22.5" x14ac:dyDescent="0.3">
      <c r="D257" s="18" t="s">
        <v>157</v>
      </c>
      <c r="E257" s="146" t="s">
        <v>65</v>
      </c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8"/>
    </row>
    <row r="258" spans="1:20" x14ac:dyDescent="0.3">
      <c r="D258" s="18" t="s">
        <v>167</v>
      </c>
      <c r="E258" s="146" t="s">
        <v>227</v>
      </c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8"/>
    </row>
    <row r="259" spans="1:20" ht="33.75" x14ac:dyDescent="0.3">
      <c r="D259" s="18" t="s">
        <v>169</v>
      </c>
      <c r="E259" s="169" t="s">
        <v>565</v>
      </c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</row>
    <row r="261" spans="1:20" x14ac:dyDescent="0.3">
      <c r="A261" s="5" t="s">
        <v>41</v>
      </c>
      <c r="B261" s="5" t="s">
        <v>42</v>
      </c>
      <c r="D261" s="18"/>
      <c r="E261" s="19" t="s">
        <v>345</v>
      </c>
      <c r="F261" s="19" t="s">
        <v>346</v>
      </c>
      <c r="G261" s="19" t="s">
        <v>347</v>
      </c>
      <c r="H261" s="19" t="s">
        <v>348</v>
      </c>
      <c r="I261" s="19" t="s">
        <v>43</v>
      </c>
      <c r="J261" s="19" t="s">
        <v>44</v>
      </c>
      <c r="K261" s="19" t="s">
        <v>45</v>
      </c>
      <c r="L261" s="19" t="s">
        <v>46</v>
      </c>
      <c r="M261" s="19" t="s">
        <v>47</v>
      </c>
      <c r="N261" s="19" t="s">
        <v>48</v>
      </c>
      <c r="O261" s="19" t="s">
        <v>49</v>
      </c>
      <c r="P261" s="19" t="s">
        <v>50</v>
      </c>
      <c r="Q261" s="19" t="s">
        <v>51</v>
      </c>
      <c r="R261" s="19" t="s">
        <v>52</v>
      </c>
      <c r="S261" s="19" t="s">
        <v>53</v>
      </c>
      <c r="T261" s="19" t="s">
        <v>54</v>
      </c>
    </row>
    <row r="262" spans="1:20" x14ac:dyDescent="0.3">
      <c r="A262" s="7" t="s">
        <v>154</v>
      </c>
      <c r="B262" s="7" t="e">
        <f>VLOOKUP(A262,'Register Table'!$B$3:$C$50,2,FALSE)</f>
        <v>#N/A</v>
      </c>
      <c r="D262" s="18" t="s">
        <v>164</v>
      </c>
      <c r="E262" s="8"/>
      <c r="F262" s="8"/>
      <c r="G262" s="8"/>
      <c r="H262" s="8"/>
      <c r="I262" s="8"/>
      <c r="J262" s="8"/>
      <c r="K262" s="8"/>
      <c r="L262" s="8"/>
      <c r="M262" s="146" t="s">
        <v>566</v>
      </c>
      <c r="N262" s="147"/>
      <c r="O262" s="147"/>
      <c r="P262" s="147"/>
      <c r="Q262" s="147"/>
      <c r="R262" s="147"/>
      <c r="S262" s="147"/>
      <c r="T262" s="148"/>
    </row>
    <row r="263" spans="1:20" ht="22.5" x14ac:dyDescent="0.3">
      <c r="D263" s="18" t="s">
        <v>165</v>
      </c>
      <c r="E263" s="8"/>
      <c r="F263" s="8"/>
      <c r="G263" s="8"/>
      <c r="H263" s="8"/>
      <c r="I263" s="8"/>
      <c r="J263" s="8"/>
      <c r="K263" s="8"/>
      <c r="L263" s="8"/>
      <c r="M263" s="146" t="s">
        <v>522</v>
      </c>
      <c r="N263" s="147"/>
      <c r="O263" s="147"/>
      <c r="P263" s="147"/>
      <c r="Q263" s="147"/>
      <c r="R263" s="147"/>
      <c r="S263" s="147"/>
      <c r="T263" s="148"/>
    </row>
    <row r="264" spans="1:20" ht="22.5" x14ac:dyDescent="0.3">
      <c r="D264" s="18" t="s">
        <v>157</v>
      </c>
      <c r="E264" s="8"/>
      <c r="F264" s="8"/>
      <c r="G264" s="8"/>
      <c r="H264" s="8"/>
      <c r="I264" s="8"/>
      <c r="J264" s="8"/>
      <c r="K264" s="8"/>
      <c r="L264" s="8"/>
      <c r="M264" s="146" t="s">
        <v>65</v>
      </c>
      <c r="N264" s="147"/>
      <c r="O264" s="147"/>
      <c r="P264" s="147"/>
      <c r="Q264" s="147"/>
      <c r="R264" s="147"/>
      <c r="S264" s="147"/>
      <c r="T264" s="148"/>
    </row>
    <row r="265" spans="1:20" x14ac:dyDescent="0.3">
      <c r="D265" s="18" t="s">
        <v>167</v>
      </c>
      <c r="E265" s="8"/>
      <c r="F265" s="8"/>
      <c r="G265" s="8"/>
      <c r="H265" s="8"/>
      <c r="I265" s="8"/>
      <c r="J265" s="8"/>
      <c r="K265" s="8"/>
      <c r="L265" s="8"/>
      <c r="M265" s="146" t="s">
        <v>227</v>
      </c>
      <c r="N265" s="147"/>
      <c r="O265" s="147"/>
      <c r="P265" s="147"/>
      <c r="Q265" s="147"/>
      <c r="R265" s="147"/>
      <c r="S265" s="147"/>
      <c r="T265" s="148"/>
    </row>
    <row r="266" spans="1:20" ht="33.75" x14ac:dyDescent="0.3">
      <c r="D266" s="18" t="s">
        <v>169</v>
      </c>
      <c r="E266" s="169" t="s">
        <v>567</v>
      </c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</row>
    <row r="268" spans="1:20" x14ac:dyDescent="0.3">
      <c r="A268" s="5" t="s">
        <v>41</v>
      </c>
      <c r="B268" s="5" t="s">
        <v>42</v>
      </c>
      <c r="D268" s="18"/>
      <c r="E268" s="19" t="s">
        <v>345</v>
      </c>
      <c r="F268" s="19" t="s">
        <v>346</v>
      </c>
      <c r="G268" s="19" t="s">
        <v>347</v>
      </c>
      <c r="H268" s="19" t="s">
        <v>348</v>
      </c>
      <c r="I268" s="19" t="s">
        <v>43</v>
      </c>
      <c r="J268" s="19" t="s">
        <v>44</v>
      </c>
      <c r="K268" s="19" t="s">
        <v>45</v>
      </c>
      <c r="L268" s="19" t="s">
        <v>46</v>
      </c>
      <c r="M268" s="19" t="s">
        <v>47</v>
      </c>
      <c r="N268" s="19" t="s">
        <v>48</v>
      </c>
      <c r="O268" s="19" t="s">
        <v>49</v>
      </c>
      <c r="P268" s="19" t="s">
        <v>50</v>
      </c>
      <c r="Q268" s="19" t="s">
        <v>51</v>
      </c>
      <c r="R268" s="19" t="s">
        <v>52</v>
      </c>
      <c r="S268" s="19" t="s">
        <v>53</v>
      </c>
      <c r="T268" s="19" t="s">
        <v>54</v>
      </c>
    </row>
    <row r="269" spans="1:20" ht="22.5" x14ac:dyDescent="0.3">
      <c r="A269" s="7" t="s">
        <v>155</v>
      </c>
      <c r="B269" s="7" t="e">
        <f>VLOOKUP(A269,'Register Table'!$B$3:$C$50,2,FALSE)</f>
        <v>#N/A</v>
      </c>
      <c r="D269" s="18" t="s">
        <v>164</v>
      </c>
      <c r="E269" s="8" t="s">
        <v>568</v>
      </c>
      <c r="F269" s="296" t="s">
        <v>569</v>
      </c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</row>
    <row r="270" spans="1:20" ht="22.5" x14ac:dyDescent="0.3">
      <c r="D270" s="18" t="s">
        <v>165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spans="1:20" ht="22.5" x14ac:dyDescent="0.3">
      <c r="D271" s="18" t="s">
        <v>157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spans="1:20" x14ac:dyDescent="0.3">
      <c r="D272" s="18" t="s">
        <v>167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spans="4:20" ht="42" customHeight="1" x14ac:dyDescent="0.3">
      <c r="D273" s="18" t="s">
        <v>169</v>
      </c>
      <c r="E273" s="169" t="s">
        <v>570</v>
      </c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</row>
  </sheetData>
  <mergeCells count="203">
    <mergeCell ref="M264:T264"/>
    <mergeCell ref="M265:T265"/>
    <mergeCell ref="E266:T266"/>
    <mergeCell ref="F269:T269"/>
    <mergeCell ref="E273:T273"/>
    <mergeCell ref="E256:T256"/>
    <mergeCell ref="E257:T257"/>
    <mergeCell ref="E258:T258"/>
    <mergeCell ref="E259:T259"/>
    <mergeCell ref="M262:T262"/>
    <mergeCell ref="M263:T263"/>
    <mergeCell ref="M242:T242"/>
    <mergeCell ref="M243:T243"/>
    <mergeCell ref="M244:T244"/>
    <mergeCell ref="E245:T245"/>
    <mergeCell ref="E252:T252"/>
    <mergeCell ref="E255:T255"/>
    <mergeCell ref="E234:T234"/>
    <mergeCell ref="E235:T235"/>
    <mergeCell ref="E236:T236"/>
    <mergeCell ref="E237:T237"/>
    <mergeCell ref="E238:T238"/>
    <mergeCell ref="M241:T241"/>
    <mergeCell ref="E224:T224"/>
    <mergeCell ref="M227:P227"/>
    <mergeCell ref="M228:P228"/>
    <mergeCell ref="M229:P229"/>
    <mergeCell ref="M230:P230"/>
    <mergeCell ref="E231:T231"/>
    <mergeCell ref="E221:H221"/>
    <mergeCell ref="S221:T221"/>
    <mergeCell ref="E222:H222"/>
    <mergeCell ref="S222:T222"/>
    <mergeCell ref="E223:H223"/>
    <mergeCell ref="S223:T223"/>
    <mergeCell ref="G216:H216"/>
    <mergeCell ref="J216:L216"/>
    <mergeCell ref="N216:P216"/>
    <mergeCell ref="R216:T216"/>
    <mergeCell ref="E217:T217"/>
    <mergeCell ref="E220:H220"/>
    <mergeCell ref="S220:T220"/>
    <mergeCell ref="G214:H214"/>
    <mergeCell ref="J214:L214"/>
    <mergeCell ref="N214:P214"/>
    <mergeCell ref="R214:T214"/>
    <mergeCell ref="G215:H215"/>
    <mergeCell ref="J215:L215"/>
    <mergeCell ref="N215:P215"/>
    <mergeCell ref="R215:T215"/>
    <mergeCell ref="E207:T207"/>
    <mergeCell ref="E208:T208"/>
    <mergeCell ref="E209:T209"/>
    <mergeCell ref="E210:T210"/>
    <mergeCell ref="G213:H213"/>
    <mergeCell ref="J213:L213"/>
    <mergeCell ref="N213:P213"/>
    <mergeCell ref="R213:T213"/>
    <mergeCell ref="Q199:T199"/>
    <mergeCell ref="Q200:T200"/>
    <mergeCell ref="Q201:T201"/>
    <mergeCell ref="Q202:T202"/>
    <mergeCell ref="E203:T203"/>
    <mergeCell ref="E206:T206"/>
    <mergeCell ref="E189:T189"/>
    <mergeCell ref="M192:T192"/>
    <mergeCell ref="M193:T193"/>
    <mergeCell ref="M194:T194"/>
    <mergeCell ref="M195:T195"/>
    <mergeCell ref="E196:T196"/>
    <mergeCell ref="E175:T175"/>
    <mergeCell ref="E182:T182"/>
    <mergeCell ref="K185:T185"/>
    <mergeCell ref="K186:T186"/>
    <mergeCell ref="K187:T187"/>
    <mergeCell ref="K188:T188"/>
    <mergeCell ref="I153:L153"/>
    <mergeCell ref="M153:P153"/>
    <mergeCell ref="Q153:T153"/>
    <mergeCell ref="E154:T154"/>
    <mergeCell ref="E161:T161"/>
    <mergeCell ref="E168:T168"/>
    <mergeCell ref="I151:L151"/>
    <mergeCell ref="M151:P151"/>
    <mergeCell ref="Q151:T151"/>
    <mergeCell ref="I152:L152"/>
    <mergeCell ref="M152:P152"/>
    <mergeCell ref="Q152:T152"/>
    <mergeCell ref="E146:H146"/>
    <mergeCell ref="I146:L146"/>
    <mergeCell ref="M146:P146"/>
    <mergeCell ref="Q146:T146"/>
    <mergeCell ref="E147:T147"/>
    <mergeCell ref="I150:L150"/>
    <mergeCell ref="M150:P150"/>
    <mergeCell ref="Q150:T150"/>
    <mergeCell ref="E144:H144"/>
    <mergeCell ref="I144:L144"/>
    <mergeCell ref="M144:P144"/>
    <mergeCell ref="Q144:T144"/>
    <mergeCell ref="E145:H145"/>
    <mergeCell ref="I145:L145"/>
    <mergeCell ref="M145:P145"/>
    <mergeCell ref="Q145:T145"/>
    <mergeCell ref="N139:T139"/>
    <mergeCell ref="E140:T140"/>
    <mergeCell ref="E143:H143"/>
    <mergeCell ref="I143:L143"/>
    <mergeCell ref="M143:P143"/>
    <mergeCell ref="Q143:T143"/>
    <mergeCell ref="P131:T131"/>
    <mergeCell ref="P132:T132"/>
    <mergeCell ref="E133:T133"/>
    <mergeCell ref="N136:T136"/>
    <mergeCell ref="N137:T137"/>
    <mergeCell ref="N138:T138"/>
    <mergeCell ref="F125:J125"/>
    <mergeCell ref="K125:O125"/>
    <mergeCell ref="P125:T125"/>
    <mergeCell ref="E126:T126"/>
    <mergeCell ref="P129:T129"/>
    <mergeCell ref="P130:T130"/>
    <mergeCell ref="F123:J123"/>
    <mergeCell ref="K123:O123"/>
    <mergeCell ref="P123:T123"/>
    <mergeCell ref="F124:J124"/>
    <mergeCell ref="K124:O124"/>
    <mergeCell ref="P124:T124"/>
    <mergeCell ref="F118:J118"/>
    <mergeCell ref="K118:O118"/>
    <mergeCell ref="P118:T118"/>
    <mergeCell ref="E119:T119"/>
    <mergeCell ref="F122:J122"/>
    <mergeCell ref="K122:O122"/>
    <mergeCell ref="P122:T122"/>
    <mergeCell ref="F116:J116"/>
    <mergeCell ref="K116:O116"/>
    <mergeCell ref="P116:T116"/>
    <mergeCell ref="F117:J117"/>
    <mergeCell ref="K117:O117"/>
    <mergeCell ref="P117:T117"/>
    <mergeCell ref="O110:P110"/>
    <mergeCell ref="Q110:T110"/>
    <mergeCell ref="O111:P111"/>
    <mergeCell ref="Q111:T111"/>
    <mergeCell ref="E112:T112"/>
    <mergeCell ref="F115:J115"/>
    <mergeCell ref="K115:O115"/>
    <mergeCell ref="P115:T115"/>
    <mergeCell ref="E98:T98"/>
    <mergeCell ref="E105:T105"/>
    <mergeCell ref="O108:P108"/>
    <mergeCell ref="Q108:T108"/>
    <mergeCell ref="O109:P109"/>
    <mergeCell ref="Q109:T109"/>
    <mergeCell ref="E68:T68"/>
    <mergeCell ref="E69:T69"/>
    <mergeCell ref="E70:T70"/>
    <mergeCell ref="E77:T77"/>
    <mergeCell ref="E84:T84"/>
    <mergeCell ref="E91:T91"/>
    <mergeCell ref="E60:T60"/>
    <mergeCell ref="E61:T61"/>
    <mergeCell ref="E62:T62"/>
    <mergeCell ref="E63:T63"/>
    <mergeCell ref="E66:T66"/>
    <mergeCell ref="E67:T67"/>
    <mergeCell ref="E52:T52"/>
    <mergeCell ref="E53:T53"/>
    <mergeCell ref="E54:T54"/>
    <mergeCell ref="E55:T55"/>
    <mergeCell ref="E56:T56"/>
    <mergeCell ref="E59:T59"/>
    <mergeCell ref="E14:T14"/>
    <mergeCell ref="E21:T21"/>
    <mergeCell ref="E28:T28"/>
    <mergeCell ref="E35:T35"/>
    <mergeCell ref="E42:T42"/>
    <mergeCell ref="E49:T49"/>
    <mergeCell ref="E13:F13"/>
    <mergeCell ref="K13:L13"/>
    <mergeCell ref="M13:P13"/>
    <mergeCell ref="Q13:T13"/>
    <mergeCell ref="E10:F10"/>
    <mergeCell ref="K10:L10"/>
    <mergeCell ref="M10:P10"/>
    <mergeCell ref="Q10:T10"/>
    <mergeCell ref="E11:F11"/>
    <mergeCell ref="K11:L11"/>
    <mergeCell ref="M11:P11"/>
    <mergeCell ref="Q11:T11"/>
    <mergeCell ref="D3:L3"/>
    <mergeCell ref="D4:L4"/>
    <mergeCell ref="D5:L5"/>
    <mergeCell ref="D6:L6"/>
    <mergeCell ref="E8:F8"/>
    <mergeCell ref="G8:H8"/>
    <mergeCell ref="J8:K8"/>
    <mergeCell ref="L8:Q8"/>
    <mergeCell ref="E12:F12"/>
    <mergeCell ref="K12:L12"/>
    <mergeCell ref="M12:P12"/>
    <mergeCell ref="Q12:T12"/>
  </mergeCells>
  <phoneticPr fontId="1" type="noConversion"/>
  <pageMargins left="0.7" right="0.7" top="0.75" bottom="0.75" header="0.3" footer="0.3"/>
  <pageSetup paperSize="9" orientation="portrait" r:id="rId1"/>
  <headerFooter>
    <oddHeader>&amp;C&amp;G</oddHeader>
    <oddFooter xml:space="preserve">&amp;C_x000D_&amp;1#&amp;"맑은 고딕"&amp;6&amp;K737373 조범철( CHO BEOM CHEOL ) 전원구동반도체팀 / 1628629@mobis.com / 본 문서는 현대모비스의 대외비 정보자산이므로 무단 전재 및 복제할 수 없으며, 위반 시 당사 사규 및 관련 법규에 의해 제재될 수 있습니다. 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91606f-8ac8-4881-9daa-055674e133e4">
      <Terms xmlns="http://schemas.microsoft.com/office/infopath/2007/PartnerControls"/>
    </lcf76f155ced4ddcb4097134ff3c332f>
    <TaxCatchAll xmlns="b752de3d-4e9b-4b77-ba80-081d107c2f7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F1389BE4F938747BCEBBB82ADD40917" ma:contentTypeVersion="12" ma:contentTypeDescription="새 문서를 만듭니다." ma:contentTypeScope="" ma:versionID="0bc2c5c7c12245715eb04b53d5949c28">
  <xsd:schema xmlns:xsd="http://www.w3.org/2001/XMLSchema" xmlns:xs="http://www.w3.org/2001/XMLSchema" xmlns:p="http://schemas.microsoft.com/office/2006/metadata/properties" xmlns:ns2="4091606f-8ac8-4881-9daa-055674e133e4" xmlns:ns3="b752de3d-4e9b-4b77-ba80-081d107c2f74" targetNamespace="http://schemas.microsoft.com/office/2006/metadata/properties" ma:root="true" ma:fieldsID="e9a13d1e1bdb72e29f1abbd8d977e63a" ns2:_="" ns3:_="">
    <xsd:import namespace="4091606f-8ac8-4881-9daa-055674e133e4"/>
    <xsd:import namespace="b752de3d-4e9b-4b77-ba80-081d107c2f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91606f-8ac8-4881-9daa-055674e13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98b4ddb5-9792-4103-acad-6387fb66c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2de3d-4e9b-4b77-ba80-081d107c2f7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0280917-cf96-4555-bcba-7f0fe8334b70}" ma:internalName="TaxCatchAll" ma:showField="CatchAllData" ma:web="b752de3d-4e9b-4b77-ba80-081d107c2f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E63E7F-9161-4AED-886F-AD513A24EA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17F7CD-1B9B-4743-8C1C-E86F5F872744}">
  <ds:schemaRefs>
    <ds:schemaRef ds:uri="http://purl.org/dc/terms/"/>
    <ds:schemaRef ds:uri="http://purl.org/dc/elements/1.1/"/>
    <ds:schemaRef ds:uri="http://schemas.microsoft.com/office/2006/documentManagement/types"/>
    <ds:schemaRef ds:uri="b752de3d-4e9b-4b77-ba80-081d107c2f74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091606f-8ac8-4881-9daa-055674e133e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71E406E-98B6-4A2B-AF1F-2374B5C37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91606f-8ac8-4881-9daa-055674e133e4"/>
    <ds:schemaRef ds:uri="b752de3d-4e9b-4b77-ba80-081d107c2f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6d9a7a2-a2c9-479c-a560-d79de4b6971b}" enabled="1" method="Privileged" siteId="{7cf932c0-bced-4490-b11f-48d23b1fe0d9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</vt:i4>
      </vt:variant>
    </vt:vector>
  </HeadingPairs>
  <TitlesOfParts>
    <vt:vector size="12" baseType="lpstr">
      <vt:lpstr>History</vt:lpstr>
      <vt:lpstr>Command</vt:lpstr>
      <vt:lpstr>Register Table</vt:lpstr>
      <vt:lpstr>Register Description</vt:lpstr>
      <vt:lpstr>Testmode Reg. Table</vt:lpstr>
      <vt:lpstr>Testmode Reg Description</vt:lpstr>
      <vt:lpstr>DTB_Table</vt:lpstr>
      <vt:lpstr>TEST pins</vt:lpstr>
      <vt:lpstr>Sheet2</vt:lpstr>
      <vt:lpstr>Sheet1</vt:lpstr>
      <vt:lpstr>Register Description (2)</vt:lpstr>
      <vt:lpstr>History!Print_Area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AUTRON</dc:creator>
  <cp:keywords/>
  <dc:description/>
  <cp:lastModifiedBy>김성재( KIM SEONG JAE ) 전원구동반도체팀</cp:lastModifiedBy>
  <cp:revision/>
  <cp:lastPrinted>2025-09-15T00:12:58Z</cp:lastPrinted>
  <dcterms:created xsi:type="dcterms:W3CDTF">2020-08-05T04:47:30Z</dcterms:created>
  <dcterms:modified xsi:type="dcterms:W3CDTF">2026-02-24T09:08:01Z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8052f8-6d20-481e-a88c-2a23f34d153f_SiteId">
    <vt:lpwstr>7cf932c0-bced-4490-b11f-48d23b1fe0d9</vt:lpwstr>
  </property>
  <property fmtid="{D5CDD505-2E9C-101B-9397-08002B2CF9AE}" pid="3" name="MSIP_Label_6c8052f8-6d20-481e-a88c-2a23f34d153f_SetDate">
    <vt:lpwstr>2024-02-21T02:34:11Z</vt:lpwstr>
  </property>
  <property fmtid="{D5CDD505-2E9C-101B-9397-08002B2CF9AE}" pid="4" name="MSIP_Label_6c8052f8-6d20-481e-a88c-2a23f34d153f_Name">
    <vt:lpwstr>내부직원 사용</vt:lpwstr>
  </property>
  <property fmtid="{D5CDD505-2E9C-101B-9397-08002B2CF9AE}" pid="5" name="MSIP_Label_6c8052f8-6d20-481e-a88c-2a23f34d153f_Method">
    <vt:lpwstr>Standard</vt:lpwstr>
  </property>
  <property fmtid="{D5CDD505-2E9C-101B-9397-08002B2CF9AE}" pid="6" name="MSIP_Label_6c8052f8-6d20-481e-a88c-2a23f34d153f_Enabled">
    <vt:lpwstr>true</vt:lpwstr>
  </property>
  <property fmtid="{D5CDD505-2E9C-101B-9397-08002B2CF9AE}" pid="7" name="MSIP_Label_6c8052f8-6d20-481e-a88c-2a23f34d153f_ContentBits">
    <vt:lpwstr>8</vt:lpwstr>
  </property>
  <property fmtid="{D5CDD505-2E9C-101B-9397-08002B2CF9AE}" pid="8" name="MSIP_Label_6c8052f8-6d20-481e-a88c-2a23f34d153f_ActionId">
    <vt:lpwstr>43d63262-01d1-4fda-923d-e2ab25cf8b0d</vt:lpwstr>
  </property>
  <property fmtid="{D5CDD505-2E9C-101B-9397-08002B2CF9AE}" pid="9" name="ContentTypeId">
    <vt:lpwstr>0x0101009F1389BE4F938747BCEBBB82ADD40917</vt:lpwstr>
  </property>
  <property fmtid="{D5CDD505-2E9C-101B-9397-08002B2CF9AE}" pid="10" name="MediaServiceImageTags">
    <vt:lpwstr/>
  </property>
</Properties>
</file>