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Mobis_Grill_Display\Docs\"/>
    </mc:Choice>
  </mc:AlternateContent>
  <xr:revisionPtr revIDLastSave="0" documentId="13_ncr:1_{76E1E1AE-081F-49EF-9663-B8195CD84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cu set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2" l="1"/>
  <c r="H39" i="2"/>
  <c r="H38" i="2"/>
  <c r="H37" i="2"/>
  <c r="D42" i="2"/>
  <c r="G42" i="2"/>
  <c r="D39" i="2"/>
  <c r="D38" i="2"/>
  <c r="H36" i="2"/>
  <c r="D22" i="2" l="1"/>
  <c r="D24" i="2" s="1"/>
  <c r="E22" i="2"/>
  <c r="E24" i="2" s="1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<sst xmlns="http://schemas.openxmlformats.org/spreadsheetml/2006/main" count="80" uniqueCount="51">
  <si>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</si>
  <si>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</si>
  <si>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</si>
  <si>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</si>
  <si>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</si>
  <si>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</si>
  <si>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</si>
  <si>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</si>
  <si>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</si>
  <si>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</si>
  <si>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</si>
  <si>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</si>
  <si>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</si>
  <si>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</si>
  <si>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</si>
  <si>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</si>
  <si>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</si>
  <si>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</si>
  <si>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</si>
  <si>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</si>
  <si>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</si>
  <si>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</si>
  <si>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</si>
  <si>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</si>
  <si>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</si>
  <si>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</si>
  <si>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</si>
  <si>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</si>
  <si>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</si>
  <si>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</si>
  <si>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</si>
  <si>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</si>
  <si>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</si>
  <si>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</si>
  <si>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1 edge</t>
    <phoneticPr fontId="18" type="noConversion"/>
  </si>
  <si>
    <t>SPI Rx</t>
    <phoneticPr fontId="18" type="noConversion"/>
  </si>
  <si>
    <t>data out 1~4</t>
    <phoneticPr fontId="18" type="noConversion"/>
  </si>
  <si>
    <t>data out 5~6</t>
    <phoneticPr fontId="18" type="noConversion"/>
  </si>
  <si>
    <t>Sync</t>
    <phoneticPr fontId="18" type="noConversion"/>
  </si>
  <si>
    <t>us</t>
    <phoneticPr fontId="18" type="noConversion"/>
  </si>
  <si>
    <t>line</t>
    <phoneticPr fontId="18" type="noConversion"/>
  </si>
  <si>
    <t>block</t>
    <phoneticPr fontId="18" type="noConversion"/>
  </si>
  <si>
    <t>bit/block</t>
    <phoneticPr fontId="18" type="noConversion"/>
  </si>
  <si>
    <t>RGB, 8bit</t>
    <phoneticPr fontId="18" type="noConversion"/>
  </si>
  <si>
    <t>total bits</t>
    <phoneticPr fontId="18" type="noConversion"/>
  </si>
  <si>
    <t>total times</t>
    <phoneticPr fontId="18" type="noConversion"/>
  </si>
  <si>
    <t>divided line</t>
    <phoneticPr fontId="18" type="noConversion"/>
  </si>
  <si>
    <t>bits/line</t>
    <phoneticPr fontId="18" type="noConversion"/>
  </si>
  <si>
    <t>us_delay</t>
    <phoneticPr fontId="18" type="noConversion"/>
  </si>
  <si>
    <t>us/line</t>
    <phoneticPr fontId="18" type="noConversion"/>
  </si>
  <si>
    <t>us/bits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</si>
</sst>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&quot;MHz&quot;"/>
    <numFmt numFmtId="177" formatCode="0.00&quot;MHz&quot;"/>
    <numFmt numFmtId="181" formatCode="&quot;us/&quot;0&quot; lines&quot;"/>
    <numFmt numFmtId="182" formatCode="&quot;bits/&quot;0&quot; lines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524812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42"/>
  <sheetViews>
    <sheetView tabSelected="1" zoomScale="85" zoomScaleNormal="85" workbookViewId="0"/>
  </sheetViews>
  <sheetFormatPr defaultRowHeight="16.5" x14ac:dyDescent="0.3"/>
  <cols>
    <col min="1" max="1" width="2.625" customWidth="1"/>
    <col min="2" max="2" width="9.25" bestFit="1" customWidth="1"/>
    <col min="3" max="3" width="11.25" bestFit="1" customWidth="1"/>
    <col min="4" max="6" width="10.125" bestFit="1" customWidth="1"/>
    <col min="7" max="7" width="10.875" bestFit="1" customWidth="1"/>
    <col min="8" max="8" width="11" bestFit="1" customWidth="1"/>
    <col min="9" max="10" width="11.25" bestFit="1" customWidth="1"/>
    <col min="11" max="12" width="13.375" bestFit="1" customWidth="1"/>
    <col min="13" max="13" width="11.25" bestFit="1" customWidth="1"/>
    <col min="14" max="14" width="10.125" bestFit="1" customWidth="1"/>
    <col min="15" max="16" width="10" customWidth="1"/>
  </cols>
  <sheetData>
    <row r="2" spans="2:16" x14ac:dyDescent="0.3">
      <c r="C2" t="s">
        <v>28</v>
      </c>
      <c r="D2" t="s">
        <v>29</v>
      </c>
    </row>
    <row r="3" spans="2:16" x14ac:dyDescent="0.3">
      <c r="B3" s="1" t="s">
        <v>16</v>
      </c>
      <c r="C3" s="2">
        <v>45</v>
      </c>
      <c r="D3" s="2">
        <f>C3*2</f>
        <v>90</v>
      </c>
    </row>
    <row r="4" spans="2:16" x14ac:dyDescent="0.3">
      <c r="B4" s="1" t="s">
        <v>15</v>
      </c>
      <c r="C4" s="2">
        <v>90</v>
      </c>
      <c r="D4" s="2">
        <f>C4*2</f>
        <v>180</v>
      </c>
    </row>
    <row r="6" spans="2:16" x14ac:dyDescent="0.3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</row>
    <row r="7" spans="2:16" x14ac:dyDescent="0.3">
      <c r="B7" s="1" t="s">
        <v>14</v>
      </c>
      <c r="C7" s="1" t="s">
        <v>15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16</v>
      </c>
      <c r="O7" s="1" t="s">
        <v>16</v>
      </c>
      <c r="P7" s="1" t="s">
        <v>16</v>
      </c>
    </row>
    <row r="8" spans="2:16" x14ac:dyDescent="0.3">
      <c r="B8" s="1" t="s">
        <v>23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3">
      <c r="B9" s="1" t="s">
        <v>24</v>
      </c>
      <c r="C9" t="s">
        <v>36</v>
      </c>
      <c r="D9" t="s">
        <v>37</v>
      </c>
      <c r="O9" t="s">
        <v>48</v>
      </c>
      <c r="P9" t="s">
        <v>38</v>
      </c>
    </row>
    <row r="10" spans="2:16" x14ac:dyDescent="0.3">
      <c r="B10" s="1" t="s">
        <v>17</v>
      </c>
      <c r="C10" s="3">
        <f t="shared" ref="C10:P10" si="0">IF(C7="APB2",$D$4, $D$3)</f>
        <v>180</v>
      </c>
      <c r="D10" s="3">
        <f t="shared" si="0"/>
        <v>90</v>
      </c>
      <c r="E10" s="3">
        <f t="shared" si="0"/>
        <v>90</v>
      </c>
      <c r="F10" s="3">
        <f t="shared" si="0"/>
        <v>90</v>
      </c>
      <c r="G10" s="3">
        <f t="shared" si="0"/>
        <v>90</v>
      </c>
      <c r="H10" s="3">
        <f t="shared" si="0"/>
        <v>90</v>
      </c>
      <c r="I10" s="3">
        <f t="shared" si="0"/>
        <v>90</v>
      </c>
      <c r="J10" s="3">
        <f t="shared" si="0"/>
        <v>180</v>
      </c>
      <c r="K10" s="3">
        <f t="shared" si="0"/>
        <v>180</v>
      </c>
      <c r="L10" s="3">
        <f t="shared" si="0"/>
        <v>180</v>
      </c>
      <c r="M10" s="3">
        <f t="shared" si="0"/>
        <v>180</v>
      </c>
      <c r="N10" s="3">
        <f t="shared" si="0"/>
        <v>90</v>
      </c>
      <c r="O10" s="2">
        <f t="shared" si="0"/>
        <v>90</v>
      </c>
      <c r="P10" s="2">
        <f t="shared" si="0"/>
        <v>90</v>
      </c>
    </row>
    <row r="11" spans="2:16" x14ac:dyDescent="0.3">
      <c r="B11" s="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29</v>
      </c>
      <c r="K11">
        <v>179</v>
      </c>
      <c r="L11">
        <v>179</v>
      </c>
      <c r="M11">
        <v>0</v>
      </c>
      <c r="N11">
        <v>71</v>
      </c>
      <c r="O11">
        <v>89</v>
      </c>
      <c r="P11">
        <v>29</v>
      </c>
    </row>
    <row r="12" spans="2:16" x14ac:dyDescent="0.3">
      <c r="B12" s="1" t="s">
        <v>19</v>
      </c>
      <c r="C12">
        <v>215</v>
      </c>
      <c r="D12">
        <v>107</v>
      </c>
      <c r="E12">
        <v>0</v>
      </c>
      <c r="F12">
        <v>0</v>
      </c>
      <c r="G12">
        <v>0</v>
      </c>
      <c r="H12">
        <v>0</v>
      </c>
      <c r="I12">
        <v>0</v>
      </c>
      <c r="J12">
        <v>39999</v>
      </c>
      <c r="K12">
        <v>6867</v>
      </c>
      <c r="L12">
        <v>6867</v>
      </c>
      <c r="M12">
        <v>0</v>
      </c>
      <c r="N12">
        <v>0</v>
      </c>
      <c r="O12">
        <v>0</v>
      </c>
      <c r="P12">
        <v>49999</v>
      </c>
    </row>
    <row r="13" spans="2:16" x14ac:dyDescent="0.3">
      <c r="B13" s="1" t="s">
        <v>20</v>
      </c>
      <c r="C13">
        <f>C10/((C11+1)*(C12+1))</f>
        <v>0.83333333333333337</v>
      </c>
      <c r="D13">
        <f t="shared" ref="D13:P13" si="1">D10/((D11+1)*(D12+1))</f>
        <v>0.83333333333333337</v>
      </c>
      <c r="E13">
        <f t="shared" si="1"/>
        <v>90</v>
      </c>
      <c r="F13">
        <f t="shared" si="1"/>
        <v>90</v>
      </c>
      <c r="G13">
        <f t="shared" si="1"/>
        <v>90</v>
      </c>
      <c r="H13">
        <f t="shared" si="1"/>
        <v>90</v>
      </c>
      <c r="I13">
        <f t="shared" si="1"/>
        <v>90</v>
      </c>
      <c r="J13">
        <f t="shared" si="1"/>
        <v>1.4999999999999999E-4</v>
      </c>
      <c r="K13">
        <f t="shared" si="1"/>
        <v>1.4560279557367502E-4</v>
      </c>
      <c r="L13">
        <f t="shared" si="1"/>
        <v>1.4560279557367502E-4</v>
      </c>
      <c r="M13">
        <f t="shared" si="1"/>
        <v>180</v>
      </c>
      <c r="N13">
        <f t="shared" si="1"/>
        <v>1.25</v>
      </c>
      <c r="O13">
        <f t="shared" si="1"/>
        <v>1</v>
      </c>
      <c r="P13">
        <f t="shared" si="1"/>
        <v>6.0000000000000002E-5</v>
      </c>
    </row>
    <row r="14" spans="2:16" x14ac:dyDescent="0.3">
      <c r="B14" s="1" t="s">
        <v>21</v>
      </c>
      <c r="C14">
        <f>C13*1000</f>
        <v>833.33333333333337</v>
      </c>
      <c r="D14">
        <f t="shared" ref="D14:P15" si="2">D13*1000</f>
        <v>833.33333333333337</v>
      </c>
      <c r="E14">
        <f t="shared" si="2"/>
        <v>90000</v>
      </c>
      <c r="F14">
        <f t="shared" si="2"/>
        <v>90000</v>
      </c>
      <c r="G14">
        <f t="shared" si="2"/>
        <v>90000</v>
      </c>
      <c r="H14">
        <f t="shared" si="2"/>
        <v>90000</v>
      </c>
      <c r="I14">
        <f t="shared" si="2"/>
        <v>90000</v>
      </c>
      <c r="J14">
        <f t="shared" si="2"/>
        <v>0.15</v>
      </c>
      <c r="K14">
        <f t="shared" si="2"/>
        <v>0.14560279557367503</v>
      </c>
      <c r="L14">
        <f t="shared" si="2"/>
        <v>0.14560279557367503</v>
      </c>
      <c r="M14">
        <f t="shared" si="2"/>
        <v>180000</v>
      </c>
      <c r="N14">
        <f t="shared" si="2"/>
        <v>1250</v>
      </c>
      <c r="O14">
        <f t="shared" si="2"/>
        <v>1000</v>
      </c>
      <c r="P14">
        <f t="shared" si="2"/>
        <v>6.0000000000000005E-2</v>
      </c>
    </row>
    <row r="15" spans="2:16" x14ac:dyDescent="0.3">
      <c r="B15" s="1" t="s">
        <v>22</v>
      </c>
      <c r="C15">
        <f>C14*1000</f>
        <v>833333.33333333337</v>
      </c>
      <c r="D15">
        <f t="shared" si="2"/>
        <v>833333.33333333337</v>
      </c>
      <c r="E15">
        <f t="shared" si="2"/>
        <v>90000000</v>
      </c>
      <c r="F15">
        <f t="shared" si="2"/>
        <v>90000000</v>
      </c>
      <c r="G15">
        <f t="shared" si="2"/>
        <v>90000000</v>
      </c>
      <c r="H15">
        <f t="shared" si="2"/>
        <v>90000000</v>
      </c>
      <c r="I15">
        <f t="shared" si="2"/>
        <v>90000000</v>
      </c>
      <c r="J15">
        <f t="shared" si="2"/>
        <v>150</v>
      </c>
      <c r="K15">
        <f t="shared" si="2"/>
        <v>145.60279557367502</v>
      </c>
      <c r="L15">
        <f t="shared" si="2"/>
        <v>145.60279557367502</v>
      </c>
      <c r="M15">
        <f t="shared" si="2"/>
        <v>180000000</v>
      </c>
      <c r="N15">
        <f t="shared" si="2"/>
        <v>1250000</v>
      </c>
      <c r="O15">
        <f t="shared" si="2"/>
        <v>1000000</v>
      </c>
      <c r="P15">
        <f t="shared" si="2"/>
        <v>60.000000000000007</v>
      </c>
    </row>
    <row r="18" spans="2:5" x14ac:dyDescent="0.3">
      <c r="B18" s="1"/>
      <c r="C18" s="1" t="s">
        <v>25</v>
      </c>
      <c r="D18" s="1" t="s">
        <v>26</v>
      </c>
      <c r="E18" s="1" t="s">
        <v>27</v>
      </c>
    </row>
    <row r="19" spans="2:5" x14ac:dyDescent="0.3">
      <c r="B19" s="1" t="s">
        <v>14</v>
      </c>
      <c r="C19" s="1" t="s">
        <v>15</v>
      </c>
      <c r="D19" s="1" t="s">
        <v>16</v>
      </c>
      <c r="E19" s="1" t="s">
        <v>16</v>
      </c>
    </row>
    <row r="20" spans="2:5" x14ac:dyDescent="0.3">
      <c r="B20" s="1" t="s">
        <v>23</v>
      </c>
      <c r="C20" s="1">
        <v>16</v>
      </c>
      <c r="D20" s="1">
        <v>32</v>
      </c>
      <c r="E20" s="1">
        <v>16</v>
      </c>
    </row>
    <row r="21" spans="2:5" x14ac:dyDescent="0.3">
      <c r="B21" s="1" t="s">
        <v>24</v>
      </c>
      <c r="D21" t="s">
        <v>35</v>
      </c>
    </row>
    <row r="22" spans="2:5" x14ac:dyDescent="0.3">
      <c r="B22" s="1" t="s">
        <v>17</v>
      </c>
      <c r="C22" s="3">
        <f>IF(C19="APB2",$C$4, $C$3)</f>
        <v>90</v>
      </c>
      <c r="D22" s="3">
        <f t="shared" ref="D22:E22" si="3">IF(D19="APB2",$C$4, $C$3)</f>
        <v>45</v>
      </c>
      <c r="E22" s="3">
        <f t="shared" si="3"/>
        <v>45</v>
      </c>
    </row>
    <row r="23" spans="2:5" x14ac:dyDescent="0.3">
      <c r="B23" s="1" t="s">
        <v>18</v>
      </c>
      <c r="C23">
        <v>4</v>
      </c>
      <c r="D23">
        <v>2</v>
      </c>
      <c r="E23">
        <v>4</v>
      </c>
    </row>
    <row r="24" spans="2:5" x14ac:dyDescent="0.3">
      <c r="B24" s="1" t="s">
        <v>20</v>
      </c>
      <c r="C24">
        <f>C22/(C23)</f>
        <v>22.5</v>
      </c>
      <c r="D24">
        <f t="shared" ref="D24:E24" si="4">D22/(D23)</f>
        <v>22.5</v>
      </c>
      <c r="E24">
        <f t="shared" si="4"/>
        <v>11.25</v>
      </c>
    </row>
    <row r="25" spans="2:5" x14ac:dyDescent="0.3">
      <c r="B25" s="1" t="s">
        <v>30</v>
      </c>
      <c r="C25" t="s">
        <v>32</v>
      </c>
      <c r="D25" t="s">
        <v>32</v>
      </c>
      <c r="E25" t="s">
        <v>32</v>
      </c>
    </row>
    <row r="26" spans="2:5" x14ac:dyDescent="0.3">
      <c r="B26" s="1" t="s">
        <v>31</v>
      </c>
      <c r="C26" t="s">
        <v>33</v>
      </c>
      <c r="D26" t="s">
        <v>33</v>
      </c>
      <c r="E26" t="s">
        <v>34</v>
      </c>
    </row>
    <row r="35" spans="3:9" x14ac:dyDescent="0.3">
      <c r="C35" t="s">
        <v>40</v>
      </c>
      <c r="D35">
        <v>20</v>
      </c>
    </row>
    <row r="36" spans="3:9" x14ac:dyDescent="0.3">
      <c r="C36" t="s">
        <v>41</v>
      </c>
      <c r="D36">
        <v>128</v>
      </c>
      <c r="G36" t="s">
        <v>50</v>
      </c>
      <c r="H36">
        <f>1000000/C15</f>
        <v>1.2</v>
      </c>
      <c r="I36" t="s">
        <v>39</v>
      </c>
    </row>
    <row r="37" spans="3:9" x14ac:dyDescent="0.3">
      <c r="C37" t="s">
        <v>42</v>
      </c>
      <c r="D37">
        <v>24</v>
      </c>
      <c r="E37" t="s">
        <v>43</v>
      </c>
      <c r="G37" t="s">
        <v>47</v>
      </c>
      <c r="H37">
        <f>D37*D36</f>
        <v>3072</v>
      </c>
    </row>
    <row r="38" spans="3:9" x14ac:dyDescent="0.3">
      <c r="C38" t="s">
        <v>44</v>
      </c>
      <c r="D38">
        <f>D37*D36*D35</f>
        <v>61440</v>
      </c>
      <c r="G38" t="s">
        <v>49</v>
      </c>
      <c r="H38">
        <f>H37*H36</f>
        <v>3686.3999999999996</v>
      </c>
      <c r="I38" t="s">
        <v>39</v>
      </c>
    </row>
    <row r="39" spans="3:9" x14ac:dyDescent="0.3">
      <c r="C39" t="s">
        <v>45</v>
      </c>
      <c r="D39">
        <f>D38*H36</f>
        <v>73728</v>
      </c>
      <c r="E39" t="s">
        <v>39</v>
      </c>
      <c r="G39" s="5">
        <v>4</v>
      </c>
      <c r="H39">
        <f>H37*G39</f>
        <v>12288</v>
      </c>
    </row>
    <row r="40" spans="3:9" x14ac:dyDescent="0.3">
      <c r="G40" s="4">
        <v>4</v>
      </c>
      <c r="H40">
        <f>H39*H36</f>
        <v>14745.599999999999</v>
      </c>
    </row>
    <row r="41" spans="3:9" x14ac:dyDescent="0.3">
      <c r="C41" t="s">
        <v>46</v>
      </c>
      <c r="D41">
        <v>5</v>
      </c>
    </row>
    <row r="42" spans="3:9" x14ac:dyDescent="0.3">
      <c r="D42">
        <f>D39/D41</f>
        <v>14745.6</v>
      </c>
      <c r="E42" t="s">
        <v>39</v>
      </c>
      <c r="G42">
        <f>1000/60</f>
        <v>16.666666666666668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mcu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2025-07-16T08:54:21Z</dcterms:modified>
</cp:coreProperties>
</file>