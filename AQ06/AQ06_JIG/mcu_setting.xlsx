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01_Project\Jig\AQ06\AQ06_JIG_Modify\"/>
    </mc:Choice>
  </mc:AlternateContent>
  <xr:revisionPtr revIDLastSave="0" documentId="13_ncr:1_{CA61F6C7-4D1A-4534-9873-487C7D010E50}" xr6:coauthVersionLast="47" xr6:coauthVersionMax="47" xr10:uidLastSave="{00000000-0000-0000-0000-000000000000}"/>
  <bookViews>
    <workbookView xWindow="43080" yWindow="5760" windowWidth="29040" windowHeight="15720" activeTab="1" xr2:uid="{ADE28207-3863-4EB5-B970-EB500DB0CD83}"/>
  </bookViews>
  <sheets>
    <sheet name="pinmap" sheetId="1" r:id="rId1"/>
    <sheet name="ti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K10" i="2" s="1"/>
  <c r="K13" i="2" s="1"/>
  <c r="K14" i="2" s="1"/>
  <c r="K15" i="2" s="1"/>
  <c r="D3" i="2"/>
  <c r="I10" i="2" s="1"/>
  <c r="I13" i="2" s="1"/>
  <c r="I14" i="2" s="1"/>
  <c r="I15" i="2" s="1"/>
  <c r="O10" i="2" l="1"/>
  <c r="O13" i="2" s="1"/>
  <c r="O14" i="2" s="1"/>
  <c r="O15" i="2" s="1"/>
  <c r="C10" i="2"/>
  <c r="C13" i="2" s="1"/>
  <c r="C14" i="2" s="1"/>
  <c r="C15" i="2" s="1"/>
  <c r="L10" i="2"/>
  <c r="L13" i="2" s="1"/>
  <c r="L14" i="2" s="1"/>
  <c r="L15" i="2" s="1"/>
  <c r="M10" i="2"/>
  <c r="M13" i="2" s="1"/>
  <c r="M14" i="2" s="1"/>
  <c r="M15" i="2" s="1"/>
  <c r="N10" i="2"/>
  <c r="N13" i="2" s="1"/>
  <c r="N14" i="2" s="1"/>
  <c r="N15" i="2" s="1"/>
  <c r="P10" i="2"/>
  <c r="P13" i="2" s="1"/>
  <c r="P14" i="2" s="1"/>
  <c r="P15" i="2" s="1"/>
  <c r="E10" i="2"/>
  <c r="E13" i="2" s="1"/>
  <c r="E14" i="2" s="1"/>
  <c r="E15" i="2" s="1"/>
  <c r="F10" i="2"/>
  <c r="F13" i="2" s="1"/>
  <c r="F14" i="2" s="1"/>
  <c r="F15" i="2" s="1"/>
  <c r="G10" i="2"/>
  <c r="G13" i="2" s="1"/>
  <c r="G14" i="2" s="1"/>
  <c r="G15" i="2" s="1"/>
  <c r="H10" i="2"/>
  <c r="H13" i="2" s="1"/>
  <c r="H14" i="2" s="1"/>
  <c r="H15" i="2" s="1"/>
  <c r="D10" i="2"/>
  <c r="D13" i="2" s="1"/>
  <c r="D14" i="2" s="1"/>
  <c r="D15" i="2" s="1"/>
  <c r="J10" i="2"/>
  <c r="J13" i="2" s="1"/>
  <c r="J14" i="2" s="1"/>
  <c r="J15" i="2" s="1"/>
</calcChain>
</file>

<file path=xl/sharedStrings.xml><?xml version="1.0" encoding="utf-8"?>
<sst xmlns="http://schemas.openxmlformats.org/spreadsheetml/2006/main" count="124" uniqueCount="97">
  <si>
    <t>PC10</t>
    <phoneticPr fontId="1" type="noConversion"/>
  </si>
  <si>
    <t>PC12</t>
    <phoneticPr fontId="1" type="noConversion"/>
  </si>
  <si>
    <t>VDD</t>
    <phoneticPr fontId="1" type="noConversion"/>
  </si>
  <si>
    <t>BOOT0</t>
    <phoneticPr fontId="1" type="noConversion"/>
  </si>
  <si>
    <t>NC</t>
    <phoneticPr fontId="1" type="noConversion"/>
  </si>
  <si>
    <t>PA13</t>
    <phoneticPr fontId="1" type="noConversion"/>
  </si>
  <si>
    <t>PA14</t>
    <phoneticPr fontId="1" type="noConversion"/>
  </si>
  <si>
    <t>PA15</t>
    <phoneticPr fontId="1" type="noConversion"/>
  </si>
  <si>
    <t>GND</t>
    <phoneticPr fontId="1" type="noConversion"/>
  </si>
  <si>
    <t>PB7</t>
    <phoneticPr fontId="1" type="noConversion"/>
  </si>
  <si>
    <t>PC13</t>
    <phoneticPr fontId="1" type="noConversion"/>
  </si>
  <si>
    <t>PC14</t>
    <phoneticPr fontId="1" type="noConversion"/>
  </si>
  <si>
    <t>PC15</t>
    <phoneticPr fontId="1" type="noConversion"/>
  </si>
  <si>
    <t>PH0</t>
    <phoneticPr fontId="1" type="noConversion"/>
  </si>
  <si>
    <t>PH1</t>
    <phoneticPr fontId="1" type="noConversion"/>
  </si>
  <si>
    <t>VBAT</t>
    <phoneticPr fontId="1" type="noConversion"/>
  </si>
  <si>
    <t>PC2</t>
    <phoneticPr fontId="1" type="noConversion"/>
  </si>
  <si>
    <t>PC3</t>
    <phoneticPr fontId="1" type="noConversion"/>
  </si>
  <si>
    <t>PC11</t>
    <phoneticPr fontId="1" type="noConversion"/>
  </si>
  <si>
    <t>PD2</t>
    <phoneticPr fontId="1" type="noConversion"/>
  </si>
  <si>
    <t>E5V</t>
    <phoneticPr fontId="1" type="noConversion"/>
  </si>
  <si>
    <t>IOREF</t>
    <phoneticPr fontId="1" type="noConversion"/>
  </si>
  <si>
    <t>RESET</t>
    <phoneticPr fontId="1" type="noConversion"/>
  </si>
  <si>
    <t>+3V3</t>
    <phoneticPr fontId="1" type="noConversion"/>
  </si>
  <si>
    <t>5V</t>
    <phoneticPr fontId="1" type="noConversion"/>
  </si>
  <si>
    <t>VIN</t>
    <phoneticPr fontId="1" type="noConversion"/>
  </si>
  <si>
    <t>PA0</t>
    <phoneticPr fontId="1" type="noConversion"/>
  </si>
  <si>
    <t>PA1</t>
    <phoneticPr fontId="1" type="noConversion"/>
  </si>
  <si>
    <t>PA4</t>
    <phoneticPr fontId="1" type="noConversion"/>
  </si>
  <si>
    <t>PB0</t>
    <phoneticPr fontId="1" type="noConversion"/>
  </si>
  <si>
    <t>PC0</t>
    <phoneticPr fontId="1" type="noConversion"/>
  </si>
  <si>
    <t>PC1</t>
    <phoneticPr fontId="1" type="noConversion"/>
  </si>
  <si>
    <t>PC9</t>
    <phoneticPr fontId="1" type="noConversion"/>
  </si>
  <si>
    <t>PB8</t>
    <phoneticPr fontId="1" type="noConversion"/>
  </si>
  <si>
    <t>PB9</t>
    <phoneticPr fontId="1" type="noConversion"/>
  </si>
  <si>
    <t>AVDD</t>
    <phoneticPr fontId="1" type="noConversion"/>
  </si>
  <si>
    <t>PA5</t>
    <phoneticPr fontId="1" type="noConversion"/>
  </si>
  <si>
    <t>PA6</t>
    <phoneticPr fontId="1" type="noConversion"/>
  </si>
  <si>
    <t>PA7</t>
    <phoneticPr fontId="1" type="noConversion"/>
  </si>
  <si>
    <t>PB6</t>
    <phoneticPr fontId="1" type="noConversion"/>
  </si>
  <si>
    <t>PC7</t>
    <phoneticPr fontId="1" type="noConversion"/>
  </si>
  <si>
    <t>PA9</t>
    <phoneticPr fontId="1" type="noConversion"/>
  </si>
  <si>
    <t>PA8</t>
    <phoneticPr fontId="1" type="noConversion"/>
  </si>
  <si>
    <t>PB10</t>
    <phoneticPr fontId="1" type="noConversion"/>
  </si>
  <si>
    <t>PB4</t>
    <phoneticPr fontId="1" type="noConversion"/>
  </si>
  <si>
    <t>PB5</t>
    <phoneticPr fontId="1" type="noConversion"/>
  </si>
  <si>
    <t>PB3</t>
    <phoneticPr fontId="1" type="noConversion"/>
  </si>
  <si>
    <t>PA10</t>
    <phoneticPr fontId="1" type="noConversion"/>
  </si>
  <si>
    <t>PA2</t>
    <phoneticPr fontId="1" type="noConversion"/>
  </si>
  <si>
    <t>PA3</t>
    <phoneticPr fontId="1" type="noConversion"/>
  </si>
  <si>
    <t>PC8</t>
    <phoneticPr fontId="1" type="noConversion"/>
  </si>
  <si>
    <t>PC6</t>
    <phoneticPr fontId="1" type="noConversion"/>
  </si>
  <si>
    <t>PC5</t>
    <phoneticPr fontId="1" type="noConversion"/>
  </si>
  <si>
    <t>U5V</t>
    <phoneticPr fontId="1" type="noConversion"/>
  </si>
  <si>
    <t>PA12</t>
    <phoneticPr fontId="1" type="noConversion"/>
  </si>
  <si>
    <t>PA11</t>
    <phoneticPr fontId="1" type="noConversion"/>
  </si>
  <si>
    <t>PB12</t>
    <phoneticPr fontId="1" type="noConversion"/>
  </si>
  <si>
    <t>PB2</t>
    <phoneticPr fontId="1" type="noConversion"/>
  </si>
  <si>
    <t>PB1</t>
    <phoneticPr fontId="1" type="noConversion"/>
  </si>
  <si>
    <t>PB15</t>
    <phoneticPr fontId="1" type="noConversion"/>
  </si>
  <si>
    <t>PB14</t>
    <phoneticPr fontId="1" type="noConversion"/>
  </si>
  <si>
    <t>PB13</t>
    <phoneticPr fontId="1" type="noConversion"/>
  </si>
  <si>
    <t>AGND</t>
    <phoneticPr fontId="1" type="noConversion"/>
  </si>
  <si>
    <t>PC4</t>
    <phoneticPr fontId="1" type="noConversion"/>
  </si>
  <si>
    <t>pin</t>
    <phoneticPr fontId="1" type="noConversion"/>
  </si>
  <si>
    <t>Up -&gt; Dw</t>
    <phoneticPr fontId="1" type="noConversion"/>
  </si>
  <si>
    <t>Dw -&gt; Up</t>
    <phoneticPr fontId="1" type="noConversion"/>
  </si>
  <si>
    <t>TIM1</t>
    <phoneticPr fontId="1" type="noConversion"/>
  </si>
  <si>
    <t>TIM2</t>
    <phoneticPr fontId="1" type="noConversion"/>
  </si>
  <si>
    <t>TIM3</t>
    <phoneticPr fontId="1" type="noConversion"/>
  </si>
  <si>
    <t>TIM4</t>
    <phoneticPr fontId="1" type="noConversion"/>
  </si>
  <si>
    <t>TIM5</t>
  </si>
  <si>
    <t>TIM6</t>
  </si>
  <si>
    <t>TIM7</t>
  </si>
  <si>
    <t>TIM8</t>
  </si>
  <si>
    <t>APB</t>
    <phoneticPr fontId="1" type="noConversion"/>
  </si>
  <si>
    <t>APB2</t>
    <phoneticPr fontId="1" type="noConversion"/>
  </si>
  <si>
    <t>Precaler</t>
    <phoneticPr fontId="1" type="noConversion"/>
  </si>
  <si>
    <t>Period</t>
    <phoneticPr fontId="1" type="noConversion"/>
  </si>
  <si>
    <t>MHz</t>
    <phoneticPr fontId="1" type="noConversion"/>
  </si>
  <si>
    <t>kHz</t>
    <phoneticPr fontId="1" type="noConversion"/>
  </si>
  <si>
    <t>Hz</t>
    <phoneticPr fontId="1" type="noConversion"/>
  </si>
  <si>
    <t>TIM9</t>
  </si>
  <si>
    <t>TIM10</t>
  </si>
  <si>
    <t>TIM11</t>
  </si>
  <si>
    <t>TIM12</t>
  </si>
  <si>
    <t>TIM13</t>
  </si>
  <si>
    <t>TIM14</t>
  </si>
  <si>
    <t>Base Freq</t>
    <phoneticPr fontId="1" type="noConversion"/>
  </si>
  <si>
    <t>APB1</t>
    <phoneticPr fontId="1" type="noConversion"/>
  </si>
  <si>
    <t>BIT</t>
    <phoneticPr fontId="1" type="noConversion"/>
  </si>
  <si>
    <t>pb9</t>
    <phoneticPr fontId="1" type="noConversion"/>
  </si>
  <si>
    <t>Peripheral</t>
    <phoneticPr fontId="1" type="noConversion"/>
  </si>
  <si>
    <t>timer</t>
    <phoneticPr fontId="1" type="noConversion"/>
  </si>
  <si>
    <t>Purpose</t>
    <phoneticPr fontId="1" type="noConversion"/>
  </si>
  <si>
    <t>aq mode clock (i2c)</t>
    <phoneticPr fontId="1" type="noConversion"/>
  </si>
  <si>
    <t>us_delay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</si>
</sst>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&quot;MHz&quot;"/>
    <numFmt numFmtId="177" formatCode="0.0&quot;MHz&quot;"/>
    <numFmt numFmtId="178" formatCode="0.00&quot;MHz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219075</xdr:colOff>
      <xdr:row>0</xdr:row>
      <xdr:rowOff>190500</xdr:rowOff>
    </xdr:from>
    <xdr:to>
      <xdr:col>22</xdr:col>
      <xdr:colOff>229372</xdr:colOff>
      <xdr:row>24</xdr:row>
      <xdr:rowOff>67360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C98DAE7-26C9-9D28-15FE-F91D31256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0" y="190500"/>
          <a:ext cx="5534797" cy="4906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680356</xdr:colOff>
      <xdr:row>0</xdr:row>
      <xdr:rowOff>217713</xdr:rowOff>
    </xdr:from>
    <xdr:to>
      <xdr:col>31</xdr:col>
      <xdr:colOff>601009</xdr:colOff>
      <xdr:row>33</xdr:row>
      <xdr:rowOff>18369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6E5D4AE-E008-4145-8AAA-F44F7E370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2142" y="217713"/>
          <a:ext cx="10121249" cy="6980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D1BC-587A-483A-B6AB-43AEC392E050}">
  <dimension ref="B2:K21"/>
  <sheetViews>
    <sheetView workbookViewId="0">
      <selection activeCell="E27" sqref="E27"/>
    </sheetView>
  </sheetViews>
  <sheetFormatPr defaultColWidth="9" defaultRowHeight="17" x14ac:dyDescent="0.45"/>
  <cols>
    <col min="1" max="1" width="2.58203125" style="1" customWidth="1"/>
    <col min="2" max="3" width="7.58203125" style="1" customWidth="1"/>
    <col min="4" max="4" width="9" style="1"/>
    <col min="5" max="6" width="7.58203125" style="1" customWidth="1"/>
    <col min="7" max="7" width="9" style="1"/>
    <col min="8" max="9" width="10.08203125" style="1" bestFit="1" customWidth="1"/>
    <col min="10" max="16" width="9" style="1"/>
    <col min="17" max="17" width="9.5" style="1" bestFit="1" customWidth="1"/>
    <col min="18" max="16384" width="9" style="1"/>
  </cols>
  <sheetData>
    <row r="2" spans="2:11" x14ac:dyDescent="0.45">
      <c r="B2" s="8" t="s">
        <v>64</v>
      </c>
      <c r="C2" s="8"/>
      <c r="E2" s="8" t="s">
        <v>64</v>
      </c>
      <c r="F2" s="8"/>
      <c r="H2" s="1" t="s">
        <v>65</v>
      </c>
      <c r="I2" s="1" t="s">
        <v>66</v>
      </c>
    </row>
    <row r="3" spans="2:11" x14ac:dyDescent="0.45">
      <c r="B3" s="1" t="s">
        <v>0</v>
      </c>
      <c r="C3" s="1" t="s">
        <v>18</v>
      </c>
      <c r="E3" s="1" t="s">
        <v>32</v>
      </c>
      <c r="F3" s="1" t="s">
        <v>50</v>
      </c>
      <c r="H3" s="1">
        <v>1</v>
      </c>
      <c r="I3" s="1">
        <v>19</v>
      </c>
      <c r="K3" s="3" t="s">
        <v>91</v>
      </c>
    </row>
    <row r="4" spans="2:11" x14ac:dyDescent="0.45">
      <c r="B4" s="1" t="s">
        <v>1</v>
      </c>
      <c r="C4" s="1" t="s">
        <v>19</v>
      </c>
      <c r="E4" s="1" t="s">
        <v>33</v>
      </c>
      <c r="F4" s="1" t="s">
        <v>51</v>
      </c>
      <c r="H4" s="1">
        <v>2</v>
      </c>
      <c r="I4" s="1">
        <v>18</v>
      </c>
    </row>
    <row r="5" spans="2:11" x14ac:dyDescent="0.45">
      <c r="B5" s="1" t="s">
        <v>2</v>
      </c>
      <c r="C5" s="1" t="s">
        <v>20</v>
      </c>
      <c r="E5" s="1" t="s">
        <v>34</v>
      </c>
      <c r="F5" s="1" t="s">
        <v>52</v>
      </c>
      <c r="H5" s="1">
        <v>3</v>
      </c>
      <c r="I5" s="1">
        <v>17</v>
      </c>
    </row>
    <row r="6" spans="2:11" x14ac:dyDescent="0.45">
      <c r="B6" s="1" t="s">
        <v>3</v>
      </c>
      <c r="C6" s="1" t="s">
        <v>8</v>
      </c>
      <c r="E6" s="1" t="s">
        <v>35</v>
      </c>
      <c r="F6" s="1" t="s">
        <v>53</v>
      </c>
      <c r="H6" s="1">
        <v>4</v>
      </c>
      <c r="I6" s="1">
        <v>16</v>
      </c>
    </row>
    <row r="7" spans="2:11" x14ac:dyDescent="0.45">
      <c r="B7" s="1" t="s">
        <v>4</v>
      </c>
      <c r="C7" s="1" t="s">
        <v>4</v>
      </c>
      <c r="E7" s="1" t="s">
        <v>8</v>
      </c>
      <c r="F7" s="1" t="s">
        <v>4</v>
      </c>
      <c r="H7" s="1">
        <v>5</v>
      </c>
      <c r="I7" s="1">
        <v>15</v>
      </c>
    </row>
    <row r="8" spans="2:11" x14ac:dyDescent="0.45">
      <c r="B8" s="1" t="s">
        <v>4</v>
      </c>
      <c r="C8" s="1" t="s">
        <v>21</v>
      </c>
      <c r="E8" s="1" t="s">
        <v>36</v>
      </c>
      <c r="F8" s="1" t="s">
        <v>54</v>
      </c>
      <c r="H8" s="1">
        <v>6</v>
      </c>
      <c r="I8" s="1">
        <v>14</v>
      </c>
    </row>
    <row r="9" spans="2:11" x14ac:dyDescent="0.45">
      <c r="B9" s="1" t="s">
        <v>5</v>
      </c>
      <c r="C9" s="1" t="s">
        <v>22</v>
      </c>
      <c r="E9" s="1" t="s">
        <v>37</v>
      </c>
      <c r="F9" s="1" t="s">
        <v>55</v>
      </c>
      <c r="H9" s="1">
        <v>7</v>
      </c>
      <c r="I9" s="1">
        <v>13</v>
      </c>
    </row>
    <row r="10" spans="2:11" x14ac:dyDescent="0.45">
      <c r="B10" s="1" t="s">
        <v>6</v>
      </c>
      <c r="C10" s="2" t="s">
        <v>23</v>
      </c>
      <c r="E10" s="1" t="s">
        <v>38</v>
      </c>
      <c r="F10" s="1" t="s">
        <v>56</v>
      </c>
      <c r="H10" s="1">
        <v>8</v>
      </c>
      <c r="I10" s="1">
        <v>12</v>
      </c>
    </row>
    <row r="11" spans="2:11" x14ac:dyDescent="0.45">
      <c r="B11" s="1" t="s">
        <v>7</v>
      </c>
      <c r="C11" s="2" t="s">
        <v>24</v>
      </c>
      <c r="E11" s="1" t="s">
        <v>39</v>
      </c>
      <c r="F11" s="1" t="s">
        <v>4</v>
      </c>
      <c r="H11" s="1">
        <v>9</v>
      </c>
      <c r="I11" s="1">
        <v>11</v>
      </c>
    </row>
    <row r="12" spans="2:11" x14ac:dyDescent="0.45">
      <c r="B12" s="1" t="s">
        <v>8</v>
      </c>
      <c r="C12" s="1" t="s">
        <v>8</v>
      </c>
      <c r="E12" s="1" t="s">
        <v>40</v>
      </c>
      <c r="F12" s="1" t="s">
        <v>8</v>
      </c>
      <c r="H12" s="1">
        <v>10</v>
      </c>
      <c r="I12" s="1">
        <v>10</v>
      </c>
    </row>
    <row r="13" spans="2:11" x14ac:dyDescent="0.45">
      <c r="B13" s="1" t="s">
        <v>9</v>
      </c>
      <c r="C13" s="1" t="s">
        <v>8</v>
      </c>
      <c r="E13" s="1" t="s">
        <v>41</v>
      </c>
      <c r="F13" s="1" t="s">
        <v>57</v>
      </c>
      <c r="H13" s="1">
        <v>11</v>
      </c>
      <c r="I13" s="1">
        <v>9</v>
      </c>
    </row>
    <row r="14" spans="2:11" x14ac:dyDescent="0.45">
      <c r="B14" s="1" t="s">
        <v>10</v>
      </c>
      <c r="C14" s="1" t="s">
        <v>25</v>
      </c>
      <c r="E14" s="1" t="s">
        <v>42</v>
      </c>
      <c r="F14" s="1" t="s">
        <v>58</v>
      </c>
      <c r="H14" s="1">
        <v>12</v>
      </c>
      <c r="I14" s="1">
        <v>8</v>
      </c>
    </row>
    <row r="15" spans="2:11" x14ac:dyDescent="0.45">
      <c r="B15" s="1" t="s">
        <v>11</v>
      </c>
      <c r="C15" s="1" t="s">
        <v>4</v>
      </c>
      <c r="E15" s="1" t="s">
        <v>43</v>
      </c>
      <c r="F15" s="1" t="s">
        <v>59</v>
      </c>
      <c r="H15" s="1">
        <v>13</v>
      </c>
      <c r="I15" s="1">
        <v>7</v>
      </c>
    </row>
    <row r="16" spans="2:11" x14ac:dyDescent="0.45">
      <c r="B16" s="1" t="s">
        <v>12</v>
      </c>
      <c r="C16" s="1" t="s">
        <v>26</v>
      </c>
      <c r="E16" s="1" t="s">
        <v>44</v>
      </c>
      <c r="F16" s="1" t="s">
        <v>60</v>
      </c>
      <c r="H16" s="1">
        <v>14</v>
      </c>
      <c r="I16" s="1">
        <v>6</v>
      </c>
    </row>
    <row r="17" spans="2:9" x14ac:dyDescent="0.45">
      <c r="B17" s="1" t="s">
        <v>13</v>
      </c>
      <c r="C17" s="1" t="s">
        <v>27</v>
      </c>
      <c r="E17" s="1" t="s">
        <v>45</v>
      </c>
      <c r="F17" s="1" t="s">
        <v>61</v>
      </c>
      <c r="H17" s="1">
        <v>15</v>
      </c>
      <c r="I17" s="1">
        <v>5</v>
      </c>
    </row>
    <row r="18" spans="2:9" x14ac:dyDescent="0.45">
      <c r="B18" s="1" t="s">
        <v>14</v>
      </c>
      <c r="C18" s="1" t="s">
        <v>28</v>
      </c>
      <c r="E18" s="1" t="s">
        <v>46</v>
      </c>
      <c r="F18" s="1" t="s">
        <v>62</v>
      </c>
      <c r="H18" s="1">
        <v>16</v>
      </c>
      <c r="I18" s="1">
        <v>4</v>
      </c>
    </row>
    <row r="19" spans="2:9" x14ac:dyDescent="0.45">
      <c r="B19" s="1" t="s">
        <v>15</v>
      </c>
      <c r="C19" s="1" t="s">
        <v>29</v>
      </c>
      <c r="E19" s="1" t="s">
        <v>47</v>
      </c>
      <c r="F19" s="1" t="s">
        <v>63</v>
      </c>
      <c r="H19" s="1">
        <v>17</v>
      </c>
      <c r="I19" s="1">
        <v>3</v>
      </c>
    </row>
    <row r="20" spans="2:9" x14ac:dyDescent="0.45">
      <c r="B20" s="1" t="s">
        <v>16</v>
      </c>
      <c r="C20" s="1" t="s">
        <v>31</v>
      </c>
      <c r="E20" s="1" t="s">
        <v>48</v>
      </c>
      <c r="F20" s="1" t="s">
        <v>4</v>
      </c>
      <c r="H20" s="1">
        <v>18</v>
      </c>
      <c r="I20" s="1">
        <v>2</v>
      </c>
    </row>
    <row r="21" spans="2:9" x14ac:dyDescent="0.45">
      <c r="B21" s="1" t="s">
        <v>17</v>
      </c>
      <c r="C21" s="1" t="s">
        <v>30</v>
      </c>
      <c r="E21" s="1" t="s">
        <v>49</v>
      </c>
      <c r="F21" s="1" t="s">
        <v>4</v>
      </c>
      <c r="H21" s="1">
        <v>19</v>
      </c>
      <c r="I21" s="1">
        <v>1</v>
      </c>
    </row>
  </sheetData>
  <mergeCells count="2">
    <mergeCell ref="B2:C2"/>
    <mergeCell ref="E2:F2"/>
  </mergeCells>
  <phoneticPr fontId="1" type="noConversion"/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24FF9E47-944D-493A-B707-707523B9402E}">
            <xm:f>NOT(ISERROR(SEARCH($K$3,B3)))</xm:f>
            <xm:f>$K$3</xm:f>
            <x14:dxf>
              <fill>
                <patternFill>
                  <bgColor rgb="FFFFFF00"/>
                </patternFill>
              </fill>
            </x14:dxf>
          </x14:cfRule>
          <xm:sqref>B3:F21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F832-A945-4D56-83E7-465E3AF1A3A1}">
  <dimension ref="B2:R15"/>
  <sheetViews>
    <sheetView tabSelected="1" zoomScale="70" zoomScaleNormal="70" workbookViewId="0"/>
  </sheetViews>
  <sheetFormatPr defaultRowHeight="17" x14ac:dyDescent="0.45"/>
  <cols>
    <col min="1" max="1" width="2.58203125" customWidth="1"/>
    <col min="2" max="2" width="9.9140625" bestFit="1" customWidth="1"/>
    <col min="3" max="3" width="11.6640625" bestFit="1" customWidth="1"/>
    <col min="4" max="4" width="10.58203125" bestFit="1" customWidth="1"/>
    <col min="5" max="5" width="19.33203125" bestFit="1" customWidth="1"/>
    <col min="6" max="9" width="10.58203125" bestFit="1" customWidth="1"/>
    <col min="10" max="13" width="11.6640625" bestFit="1" customWidth="1"/>
    <col min="14" max="16" width="10.58203125" bestFit="1" customWidth="1"/>
  </cols>
  <sheetData>
    <row r="2" spans="2:18" x14ac:dyDescent="0.45">
      <c r="C2" t="s">
        <v>92</v>
      </c>
      <c r="D2" t="s">
        <v>93</v>
      </c>
    </row>
    <row r="3" spans="2:18" x14ac:dyDescent="0.45">
      <c r="B3" s="5" t="s">
        <v>89</v>
      </c>
      <c r="C3" s="6">
        <v>45</v>
      </c>
      <c r="D3" s="6">
        <f>C3*2</f>
        <v>90</v>
      </c>
    </row>
    <row r="4" spans="2:18" x14ac:dyDescent="0.45">
      <c r="B4" s="5" t="s">
        <v>76</v>
      </c>
      <c r="C4" s="6">
        <v>90</v>
      </c>
      <c r="D4" s="6">
        <f>C4*2</f>
        <v>180</v>
      </c>
      <c r="Q4" s="4"/>
      <c r="R4" s="4"/>
    </row>
    <row r="6" spans="2:18" x14ac:dyDescent="0.45">
      <c r="B6" s="5"/>
      <c r="C6" s="5" t="s">
        <v>67</v>
      </c>
      <c r="D6" s="5" t="s">
        <v>68</v>
      </c>
      <c r="E6" s="5" t="s">
        <v>69</v>
      </c>
      <c r="F6" s="5" t="s">
        <v>70</v>
      </c>
      <c r="G6" s="5" t="s">
        <v>71</v>
      </c>
      <c r="H6" s="5" t="s">
        <v>72</v>
      </c>
      <c r="I6" s="5" t="s">
        <v>73</v>
      </c>
      <c r="J6" s="5" t="s">
        <v>74</v>
      </c>
      <c r="K6" s="5" t="s">
        <v>82</v>
      </c>
      <c r="L6" s="5" t="s">
        <v>83</v>
      </c>
      <c r="M6" s="5" t="s">
        <v>84</v>
      </c>
      <c r="N6" s="5" t="s">
        <v>85</v>
      </c>
      <c r="O6" s="5" t="s">
        <v>86</v>
      </c>
      <c r="P6" s="5" t="s">
        <v>87</v>
      </c>
    </row>
    <row r="7" spans="2:18" x14ac:dyDescent="0.45">
      <c r="B7" s="5" t="s">
        <v>75</v>
      </c>
      <c r="C7" s="5" t="s">
        <v>76</v>
      </c>
      <c r="D7" s="5" t="s">
        <v>89</v>
      </c>
      <c r="E7" s="5" t="s">
        <v>89</v>
      </c>
      <c r="F7" s="5" t="s">
        <v>89</v>
      </c>
      <c r="G7" s="5" t="s">
        <v>89</v>
      </c>
      <c r="H7" s="5" t="s">
        <v>89</v>
      </c>
      <c r="I7" s="5" t="s">
        <v>89</v>
      </c>
      <c r="J7" s="5" t="s">
        <v>76</v>
      </c>
      <c r="K7" s="5" t="s">
        <v>76</v>
      </c>
      <c r="L7" s="5" t="s">
        <v>76</v>
      </c>
      <c r="M7" s="5" t="s">
        <v>76</v>
      </c>
      <c r="N7" s="5" t="s">
        <v>89</v>
      </c>
      <c r="O7" s="5" t="s">
        <v>89</v>
      </c>
      <c r="P7" s="5" t="s">
        <v>89</v>
      </c>
    </row>
    <row r="8" spans="2:18" x14ac:dyDescent="0.45">
      <c r="B8" s="5" t="s">
        <v>90</v>
      </c>
      <c r="C8" s="5">
        <v>16</v>
      </c>
      <c r="D8" s="5">
        <v>32</v>
      </c>
      <c r="E8" s="5">
        <v>16</v>
      </c>
      <c r="F8" s="5">
        <v>16</v>
      </c>
      <c r="G8" s="5">
        <v>32</v>
      </c>
      <c r="H8" s="5">
        <v>16</v>
      </c>
      <c r="I8" s="5">
        <v>16</v>
      </c>
      <c r="J8" s="5">
        <v>16</v>
      </c>
      <c r="K8" s="5">
        <v>16</v>
      </c>
      <c r="L8" s="5">
        <v>16</v>
      </c>
      <c r="M8" s="5">
        <v>16</v>
      </c>
      <c r="N8" s="5">
        <v>16</v>
      </c>
      <c r="O8" s="5">
        <v>16</v>
      </c>
      <c r="P8" s="5">
        <v>16</v>
      </c>
    </row>
    <row r="9" spans="2:18" x14ac:dyDescent="0.45">
      <c r="B9" s="5" t="s">
        <v>94</v>
      </c>
      <c r="E9" t="s">
        <v>95</v>
      </c>
      <c r="F9" t="s">
        <v>96</v>
      </c>
    </row>
    <row r="10" spans="2:18" x14ac:dyDescent="0.45">
      <c r="B10" s="5" t="s">
        <v>88</v>
      </c>
      <c r="C10" s="7">
        <f t="shared" ref="C10:P10" si="0">IF(C7="APB2",$D$4, $D$3)</f>
        <v>180</v>
      </c>
      <c r="D10" s="7">
        <f t="shared" si="0"/>
        <v>90</v>
      </c>
      <c r="E10" s="7">
        <f t="shared" si="0"/>
        <v>90</v>
      </c>
      <c r="F10" s="7">
        <f t="shared" si="0"/>
        <v>90</v>
      </c>
      <c r="G10" s="7">
        <f t="shared" si="0"/>
        <v>90</v>
      </c>
      <c r="H10" s="7">
        <f t="shared" si="0"/>
        <v>90</v>
      </c>
      <c r="I10" s="7">
        <f t="shared" si="0"/>
        <v>90</v>
      </c>
      <c r="J10" s="7">
        <f t="shared" si="0"/>
        <v>180</v>
      </c>
      <c r="K10" s="7">
        <f t="shared" si="0"/>
        <v>180</v>
      </c>
      <c r="L10" s="7">
        <f t="shared" si="0"/>
        <v>180</v>
      </c>
      <c r="M10" s="7">
        <f t="shared" si="0"/>
        <v>180</v>
      </c>
      <c r="N10" s="7">
        <f t="shared" si="0"/>
        <v>90</v>
      </c>
      <c r="O10" s="6">
        <f t="shared" si="0"/>
        <v>90</v>
      </c>
      <c r="P10" s="6">
        <f t="shared" si="0"/>
        <v>90</v>
      </c>
    </row>
    <row r="11" spans="2:18" x14ac:dyDescent="0.45">
      <c r="B11" s="5" t="s">
        <v>77</v>
      </c>
      <c r="C11">
        <v>0</v>
      </c>
      <c r="D11">
        <v>0</v>
      </c>
      <c r="E11">
        <v>0</v>
      </c>
      <c r="F11">
        <v>89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2:18" x14ac:dyDescent="0.45">
      <c r="B12" s="5" t="s">
        <v>78</v>
      </c>
      <c r="C12">
        <v>0</v>
      </c>
      <c r="D12">
        <v>0</v>
      </c>
      <c r="E12">
        <v>89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2:18" x14ac:dyDescent="0.45">
      <c r="B13" s="5" t="s">
        <v>79</v>
      </c>
      <c r="C13">
        <f>C10/((C11+1)*(C12+1))</f>
        <v>180</v>
      </c>
      <c r="D13">
        <f t="shared" ref="D13:P13" si="1">D10/((D11+1)*(D12+1))</f>
        <v>90</v>
      </c>
      <c r="E13">
        <f t="shared" si="1"/>
        <v>1</v>
      </c>
      <c r="F13">
        <f t="shared" si="1"/>
        <v>1</v>
      </c>
      <c r="G13">
        <f t="shared" si="1"/>
        <v>90</v>
      </c>
      <c r="H13">
        <f t="shared" si="1"/>
        <v>90</v>
      </c>
      <c r="I13">
        <f t="shared" si="1"/>
        <v>90</v>
      </c>
      <c r="J13">
        <f t="shared" si="1"/>
        <v>180</v>
      </c>
      <c r="K13">
        <f t="shared" si="1"/>
        <v>180</v>
      </c>
      <c r="L13">
        <f t="shared" si="1"/>
        <v>180</v>
      </c>
      <c r="M13">
        <f t="shared" si="1"/>
        <v>180</v>
      </c>
      <c r="N13">
        <f t="shared" si="1"/>
        <v>90</v>
      </c>
      <c r="O13">
        <f t="shared" si="1"/>
        <v>90</v>
      </c>
      <c r="P13">
        <f t="shared" si="1"/>
        <v>90</v>
      </c>
    </row>
    <row r="14" spans="2:18" x14ac:dyDescent="0.45">
      <c r="B14" s="5" t="s">
        <v>80</v>
      </c>
      <c r="C14">
        <f>C13*1000</f>
        <v>180000</v>
      </c>
      <c r="D14">
        <f t="shared" ref="D14:P15" si="2">D13*1000</f>
        <v>90000</v>
      </c>
      <c r="E14">
        <f t="shared" si="2"/>
        <v>1000</v>
      </c>
      <c r="F14">
        <f t="shared" si="2"/>
        <v>1000</v>
      </c>
      <c r="G14">
        <f t="shared" si="2"/>
        <v>90000</v>
      </c>
      <c r="H14">
        <f t="shared" si="2"/>
        <v>90000</v>
      </c>
      <c r="I14">
        <f t="shared" si="2"/>
        <v>90000</v>
      </c>
      <c r="J14">
        <f t="shared" si="2"/>
        <v>180000</v>
      </c>
      <c r="K14">
        <f t="shared" si="2"/>
        <v>180000</v>
      </c>
      <c r="L14">
        <f t="shared" si="2"/>
        <v>180000</v>
      </c>
      <c r="M14">
        <f t="shared" si="2"/>
        <v>180000</v>
      </c>
      <c r="N14">
        <f t="shared" si="2"/>
        <v>90000</v>
      </c>
      <c r="O14">
        <f t="shared" si="2"/>
        <v>90000</v>
      </c>
      <c r="P14">
        <f t="shared" si="2"/>
        <v>90000</v>
      </c>
    </row>
    <row r="15" spans="2:18" x14ac:dyDescent="0.45">
      <c r="B15" s="5" t="s">
        <v>81</v>
      </c>
      <c r="C15">
        <f>C14*1000</f>
        <v>180000000</v>
      </c>
      <c r="D15">
        <f t="shared" si="2"/>
        <v>90000000</v>
      </c>
      <c r="E15">
        <f t="shared" si="2"/>
        <v>1000000</v>
      </c>
      <c r="F15">
        <f t="shared" si="2"/>
        <v>1000000</v>
      </c>
      <c r="G15">
        <f t="shared" si="2"/>
        <v>90000000</v>
      </c>
      <c r="H15">
        <f t="shared" si="2"/>
        <v>90000000</v>
      </c>
      <c r="I15">
        <f t="shared" si="2"/>
        <v>90000000</v>
      </c>
      <c r="J15">
        <f t="shared" si="2"/>
        <v>180000000</v>
      </c>
      <c r="K15">
        <f t="shared" si="2"/>
        <v>180000000</v>
      </c>
      <c r="L15">
        <f t="shared" si="2"/>
        <v>180000000</v>
      </c>
      <c r="M15">
        <f t="shared" si="2"/>
        <v>180000000</v>
      </c>
      <c r="N15">
        <f t="shared" si="2"/>
        <v>90000000</v>
      </c>
      <c r="O15">
        <f t="shared" si="2"/>
        <v>90000000</v>
      </c>
      <c r="P15">
        <f t="shared" si="2"/>
        <v>90000000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pinmap</vt:lpstr>
      <vt:lpstr>timer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준영</cp:lastModifiedBy>
  <dcterms:created xsi:type="dcterms:W3CDTF">2023-02-20T06:30:29Z</dcterms:created>
  <dcterms:modified xsi:type="dcterms:W3CDTF">2025-04-25T02:40:28Z</dcterms:modified>
</cp:coreProperties>
</file>