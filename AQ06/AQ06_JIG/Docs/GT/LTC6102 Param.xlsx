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Working\GT\AQIC\AQIC_JIG\개발자료\"/>
    </mc:Choice>
  </mc:AlternateContent>
  <xr:revisionPtr revIDLastSave="0" documentId="13_ncr:1_{262721FC-4720-4E22-B9A8-08E6474A77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4) Register_table" sheetId="3" r:id="rId2"/>
  </sheets>
  <externalReferences>
    <externalReference r:id="rId3"/>
  </externalReferences>
  <definedNames>
    <definedName name="_xlnm._FilterDatabase" localSheetId="1" hidden="1">'4) Register_table'!$B$2:$B$36</definedName>
    <definedName name="_Toc434997988" localSheetId="1">'4) Register_table'!#REF!</definedName>
    <definedName name="aaa">[1]L2_ANALOG!$C$2</definedName>
    <definedName name="MODULE" localSheetId="1">#REF!</definedName>
    <definedName name="MODULE">#REF!</definedName>
    <definedName name="MODULE_NAME" localSheetId="1">#REF!</definedName>
    <definedName name="MODULE_NAME">#REF!</definedName>
    <definedName name="ModuleName" localSheetId="1">#REF!</definedName>
    <definedName name="ModuleName">#REF!</definedName>
    <definedName name="_xlnm.Print_Area" localSheetId="1">'4) Register_table'!$B$2:$O$36</definedName>
    <definedName name="tb_PADLIST" localSheetId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8" i="3"/>
  <c r="N18" i="3"/>
  <c r="O17" i="3"/>
  <c r="N17" i="3"/>
  <c r="O16" i="3"/>
  <c r="N16" i="3"/>
  <c r="O15" i="3"/>
  <c r="N15" i="3"/>
  <c r="T14" i="3"/>
  <c r="S14" i="3"/>
  <c r="R14" i="3"/>
  <c r="O14" i="3"/>
  <c r="N14" i="3"/>
  <c r="O11" i="3"/>
  <c r="N11" i="3"/>
  <c r="O10" i="3"/>
  <c r="N10" i="3"/>
  <c r="O9" i="3"/>
  <c r="N9" i="3"/>
  <c r="O8" i="3"/>
  <c r="N8" i="3"/>
  <c r="O6" i="3"/>
  <c r="N6" i="3"/>
  <c r="O5" i="3"/>
  <c r="N5" i="3"/>
  <c r="O4" i="3"/>
  <c r="N4" i="3"/>
  <c r="L34" i="1" l="1"/>
  <c r="L20" i="1"/>
  <c r="L27" i="1"/>
  <c r="E9" i="1"/>
  <c r="C13" i="1" l="1"/>
  <c r="E10" i="1"/>
  <c r="E12" i="1" s="1"/>
  <c r="E7" i="1"/>
  <c r="E6" i="1"/>
  <c r="R10" i="1"/>
  <c r="R7" i="1"/>
  <c r="R6" i="1"/>
  <c r="R9" i="1" s="1"/>
  <c r="F18" i="1" l="1"/>
  <c r="F25" i="1"/>
  <c r="C38" i="1"/>
  <c r="F33" i="1" l="1"/>
  <c r="C34" i="1" l="1"/>
  <c r="C36" i="1" s="1"/>
  <c r="F34" i="1" s="1"/>
  <c r="C27" i="1"/>
  <c r="C29" i="1" s="1"/>
  <c r="T46" i="1"/>
  <c r="T48" i="1" s="1"/>
  <c r="T49" i="1" s="1"/>
  <c r="C20" i="1"/>
  <c r="F19" i="1" l="1"/>
  <c r="F26" i="1"/>
  <c r="F27" i="1" s="1"/>
  <c r="F29" i="1" s="1"/>
  <c r="F36" i="1"/>
  <c r="C21" i="1"/>
  <c r="C22" i="1" s="1"/>
  <c r="T50" i="1"/>
  <c r="F20" i="1" l="1"/>
  <c r="F22" i="1" s="1"/>
  <c r="H22" i="1" s="1"/>
  <c r="H36" i="1"/>
  <c r="G36" i="1"/>
  <c r="H29" i="1"/>
  <c r="G29" i="1"/>
  <c r="G22" i="1" l="1"/>
</calcChain>
</file>

<file path=xl/sharedStrings.xml><?xml version="1.0" encoding="utf-8"?>
<sst xmlns="http://schemas.openxmlformats.org/spreadsheetml/2006/main" count="282" uniqueCount="181">
  <si>
    <t>LTC6102 Parameter</t>
    <phoneticPr fontId="1" type="noConversion"/>
  </si>
  <si>
    <t>Note</t>
    <phoneticPr fontId="1" type="noConversion"/>
  </si>
  <si>
    <t>Vsense</t>
    <phoneticPr fontId="1" type="noConversion"/>
  </si>
  <si>
    <t>Vout</t>
    <phoneticPr fontId="1" type="noConversion"/>
  </si>
  <si>
    <t>Isense_max</t>
    <phoneticPr fontId="1" type="noConversion"/>
  </si>
  <si>
    <t>Rsense</t>
    <phoneticPr fontId="1" type="noConversion"/>
  </si>
  <si>
    <t>≤</t>
    <phoneticPr fontId="1" type="noConversion"/>
  </si>
  <si>
    <t>Iout</t>
    <phoneticPr fontId="1" type="noConversion"/>
  </si>
  <si>
    <t>Rin</t>
    <phoneticPr fontId="1" type="noConversion"/>
  </si>
  <si>
    <t>ADC Param</t>
    <phoneticPr fontId="1" type="noConversion"/>
  </si>
  <si>
    <t>Sample Rate</t>
    <phoneticPr fontId="1" type="noConversion"/>
  </si>
  <si>
    <t>bit</t>
    <phoneticPr fontId="1" type="noConversion"/>
  </si>
  <si>
    <t>vref</t>
    <phoneticPr fontId="1" type="noConversion"/>
  </si>
  <si>
    <t>I_target</t>
    <phoneticPr fontId="1" type="noConversion"/>
  </si>
  <si>
    <t>adc</t>
    <phoneticPr fontId="1" type="noConversion"/>
  </si>
  <si>
    <t>dev</t>
    <phoneticPr fontId="1" type="noConversion"/>
  </si>
  <si>
    <t>adc_+</t>
    <phoneticPr fontId="1" type="noConversion"/>
  </si>
  <si>
    <t>adc_-</t>
    <phoneticPr fontId="1" type="noConversion"/>
  </si>
  <si>
    <t>GAIN_HIGH</t>
    <phoneticPr fontId="1" type="noConversion"/>
  </si>
  <si>
    <t>GAIN_MID</t>
    <phoneticPr fontId="1" type="noConversion"/>
  </si>
  <si>
    <t>GAIN_LOW</t>
    <phoneticPr fontId="1" type="noConversion"/>
  </si>
  <si>
    <t>Rout</t>
    <phoneticPr fontId="1" type="noConversion"/>
  </si>
  <si>
    <t>Gain</t>
    <phoneticPr fontId="1" type="noConversion"/>
  </si>
  <si>
    <t>Vs</t>
    <phoneticPr fontId="1" type="noConversion"/>
  </si>
  <si>
    <t>Vo</t>
    <phoneticPr fontId="1" type="noConversion"/>
  </si>
  <si>
    <t>+</t>
    <phoneticPr fontId="1" type="noConversion"/>
  </si>
  <si>
    <t>-</t>
    <phoneticPr fontId="1" type="noConversion"/>
  </si>
  <si>
    <t>Max current</t>
    <phoneticPr fontId="1" type="noConversion"/>
  </si>
  <si>
    <t>V</t>
    <phoneticPr fontId="1" type="noConversion"/>
  </si>
  <si>
    <t>mA</t>
    <phoneticPr fontId="1" type="noConversion"/>
  </si>
  <si>
    <t>Target offset</t>
    <phoneticPr fontId="1" type="noConversion"/>
  </si>
  <si>
    <t>Gain P2</t>
    <phoneticPr fontId="1" type="noConversion"/>
  </si>
  <si>
    <t>Gain P1</t>
    <phoneticPr fontId="1" type="noConversion"/>
  </si>
  <si>
    <t>Gain Target</t>
    <phoneticPr fontId="1" type="noConversion"/>
  </si>
  <si>
    <t>P2 - P1</t>
    <phoneticPr fontId="1" type="noConversion"/>
  </si>
  <si>
    <t>Offset Target</t>
    <phoneticPr fontId="1" type="noConversion"/>
  </si>
  <si>
    <t>ictl</t>
    <phoneticPr fontId="1" type="noConversion"/>
  </si>
  <si>
    <t>offset</t>
    <phoneticPr fontId="1" type="noConversion"/>
  </si>
  <si>
    <t>D0</t>
  </si>
  <si>
    <t>TRIM10</t>
  </si>
  <si>
    <t>TRIM18</t>
  </si>
  <si>
    <t>Offset P2</t>
    <phoneticPr fontId="1" type="noConversion"/>
  </si>
  <si>
    <t>Offset P1</t>
    <phoneticPr fontId="1" type="noConversion"/>
  </si>
  <si>
    <t>TYPE</t>
  </si>
  <si>
    <t>Address</t>
    <phoneticPr fontId="6" type="noConversion"/>
  </si>
  <si>
    <t>Command
Name</t>
    <phoneticPr fontId="1" type="noConversion"/>
  </si>
  <si>
    <t>Bit</t>
    <phoneticPr fontId="9" type="noConversion"/>
  </si>
  <si>
    <t>Default</t>
    <phoneticPr fontId="1" type="noConversion"/>
  </si>
  <si>
    <t>D7</t>
  </si>
  <si>
    <t>D6</t>
  </si>
  <si>
    <t>D5</t>
  </si>
  <si>
    <t>D4</t>
  </si>
  <si>
    <t>D3</t>
  </si>
  <si>
    <t>D2</t>
  </si>
  <si>
    <t>D1</t>
  </si>
  <si>
    <t>HEX</t>
    <phoneticPr fontId="1" type="noConversion"/>
  </si>
  <si>
    <t>DEC</t>
    <phoneticPr fontId="6" type="noConversion"/>
  </si>
  <si>
    <t>BIN</t>
    <phoneticPr fontId="1" type="noConversion"/>
  </si>
  <si>
    <t>R</t>
    <phoneticPr fontId="9" type="noConversion"/>
  </si>
  <si>
    <t>B0</t>
    <phoneticPr fontId="9" type="noConversion"/>
  </si>
  <si>
    <t>ID</t>
    <phoneticPr fontId="6" type="noConversion"/>
  </si>
  <si>
    <t>DEVICE_ID[7:1]</t>
    <phoneticPr fontId="6" type="noConversion"/>
  </si>
  <si>
    <t>RW</t>
    <phoneticPr fontId="1" type="noConversion"/>
  </si>
  <si>
    <t>RW</t>
    <phoneticPr fontId="6" type="noConversion"/>
  </si>
  <si>
    <t>B1</t>
    <phoneticPr fontId="6" type="noConversion"/>
  </si>
  <si>
    <t>OPT1</t>
    <phoneticPr fontId="6" type="noConversion"/>
  </si>
  <si>
    <t>SEQ_PERIOD[3:0]</t>
    <phoneticPr fontId="6" type="noConversion"/>
  </si>
  <si>
    <t>MAN_E2P_LOAD</t>
    <phoneticPr fontId="6" type="noConversion"/>
  </si>
  <si>
    <t>OSCEN</t>
    <phoneticPr fontId="6" type="noConversion"/>
  </si>
  <si>
    <t>CLK_SEL</t>
    <phoneticPr fontId="6" type="noConversion"/>
  </si>
  <si>
    <t>10</t>
    <phoneticPr fontId="6" type="noConversion"/>
  </si>
  <si>
    <t>B2</t>
    <phoneticPr fontId="6" type="noConversion"/>
  </si>
  <si>
    <t>OPT2</t>
    <phoneticPr fontId="6" type="noConversion"/>
  </si>
  <si>
    <t>PROTECT_KEY[7:0]</t>
    <phoneticPr fontId="6" type="noConversion"/>
  </si>
  <si>
    <t>5A</t>
    <phoneticPr fontId="6" type="noConversion"/>
  </si>
  <si>
    <r>
      <t xml:space="preserve">8'h5A=Write Disable, </t>
    </r>
    <r>
      <rPr>
        <b/>
        <sz val="10"/>
        <color rgb="FF0000FF"/>
        <rFont val="Arial"/>
        <family val="2"/>
      </rPr>
      <t>8'hA5=Write Enable</t>
    </r>
    <phoneticPr fontId="6" type="noConversion"/>
  </si>
  <si>
    <t>*1) You must enter the "Write Enable Code(B2h=8'hA5" before writing the Register.</t>
    <phoneticPr fontId="6" type="noConversion"/>
  </si>
  <si>
    <t>RW</t>
  </si>
  <si>
    <t>BA</t>
    <phoneticPr fontId="6" type="noConversion"/>
  </si>
  <si>
    <t>TEST1</t>
    <phoneticPr fontId="6" type="noConversion"/>
  </si>
  <si>
    <t>CONFIG_MODE</t>
    <phoneticPr fontId="6" type="noConversion"/>
  </si>
  <si>
    <t>TEST_MODE</t>
    <phoneticPr fontId="6" type="noConversion"/>
  </si>
  <si>
    <t>SEL_L_CH[6:1]</t>
  </si>
  <si>
    <t>7F</t>
    <phoneticPr fontId="6" type="noConversion"/>
  </si>
  <si>
    <t>*2) After Write completes to Register, you must enter the Write Disable Code(B2h=8'h5A).</t>
    <phoneticPr fontId="6" type="noConversion"/>
  </si>
  <si>
    <t>BB</t>
    <phoneticPr fontId="6" type="noConversion"/>
  </si>
  <si>
    <t>TEST2</t>
    <phoneticPr fontId="6" type="noConversion"/>
  </si>
  <si>
    <t>CZ_CH2[4:1]</t>
    <phoneticPr fontId="6" type="noConversion"/>
  </si>
  <si>
    <t>CZ_CH1[4:1]</t>
    <phoneticPr fontId="6" type="noConversion"/>
  </si>
  <si>
    <t>BC</t>
    <phoneticPr fontId="6" type="noConversion"/>
  </si>
  <si>
    <t>TEST3</t>
    <phoneticPr fontId="6" type="noConversion"/>
  </si>
  <si>
    <t>CZ_CH4[4:1]</t>
    <phoneticPr fontId="6" type="noConversion"/>
  </si>
  <si>
    <t>CZ_CH3[4:1]</t>
    <phoneticPr fontId="6" type="noConversion"/>
  </si>
  <si>
    <t>BD</t>
    <phoneticPr fontId="6" type="noConversion"/>
  </si>
  <si>
    <t>TEST4</t>
    <phoneticPr fontId="6" type="noConversion"/>
  </si>
  <si>
    <t>CZ_CH6[4:1]</t>
    <phoneticPr fontId="6" type="noConversion"/>
  </si>
  <si>
    <t>CZ_CH5[4:1]</t>
    <phoneticPr fontId="6" type="noConversion"/>
  </si>
  <si>
    <t>OSC</t>
    <phoneticPr fontId="6" type="noConversion"/>
  </si>
  <si>
    <t>min</t>
    <phoneticPr fontId="6" type="noConversion"/>
  </si>
  <si>
    <t>typ</t>
    <phoneticPr fontId="6" type="noConversion"/>
  </si>
  <si>
    <t>max</t>
    <phoneticPr fontId="6" type="noConversion"/>
  </si>
  <si>
    <t>C0</t>
    <phoneticPr fontId="1" type="noConversion"/>
  </si>
  <si>
    <t>OTPCTL1</t>
    <phoneticPr fontId="1" type="noConversion"/>
  </si>
  <si>
    <t>PGM_TIME[7:0]</t>
    <phoneticPr fontId="6" type="noConversion"/>
  </si>
  <si>
    <t>C1</t>
    <phoneticPr fontId="1" type="noConversion"/>
  </si>
  <si>
    <t>OTPCTL2</t>
    <phoneticPr fontId="1" type="noConversion"/>
  </si>
  <si>
    <t>READ_WSEL[3:0]</t>
    <phoneticPr fontId="6" type="noConversion"/>
  </si>
  <si>
    <t>PGM_WSEL[3:0]</t>
    <phoneticPr fontId="6" type="noConversion"/>
  </si>
  <si>
    <t>05</t>
    <phoneticPr fontId="6" type="noConversion"/>
  </si>
  <si>
    <t>C2</t>
    <phoneticPr fontId="1" type="noConversion"/>
  </si>
  <si>
    <t>OTPCTL3</t>
    <phoneticPr fontId="1" type="noConversion"/>
  </si>
  <si>
    <t>RD[1:0]</t>
    <phoneticPr fontId="6" type="noConversion"/>
  </si>
  <si>
    <t>READ_TIME[3:0]</t>
    <phoneticPr fontId="6" type="noConversion"/>
  </si>
  <si>
    <t>00</t>
    <phoneticPr fontId="1" type="noConversion"/>
  </si>
  <si>
    <t>C3</t>
    <phoneticPr fontId="1" type="noConversion"/>
  </si>
  <si>
    <t>OTPCTL4</t>
    <phoneticPr fontId="1" type="noConversion"/>
  </si>
  <si>
    <t>PGM_PROTECT[7:0]</t>
    <phoneticPr fontId="6" type="noConversion"/>
  </si>
  <si>
    <t>C4</t>
    <phoneticPr fontId="1" type="noConversion"/>
  </si>
  <si>
    <t>OTPCTL5</t>
    <phoneticPr fontId="1" type="noConversion"/>
  </si>
  <si>
    <t>PGM_SEQ_STEP[2:0]</t>
    <phoneticPr fontId="6" type="noConversion"/>
  </si>
  <si>
    <t>PGM_START</t>
    <phoneticPr fontId="6" type="noConversion"/>
  </si>
  <si>
    <t>READ_SEQ_STEP[2:0]</t>
    <phoneticPr fontId="6" type="noConversion"/>
  </si>
  <si>
    <t>READ_START</t>
    <phoneticPr fontId="6" type="noConversion"/>
  </si>
  <si>
    <t>00</t>
    <phoneticPr fontId="6" type="noConversion"/>
  </si>
  <si>
    <t>D0</t>
    <phoneticPr fontId="9" type="noConversion"/>
  </si>
  <si>
    <t>TRIM1</t>
    <phoneticPr fontId="6" type="noConversion"/>
  </si>
  <si>
    <t>CHKBIT[1:0]</t>
    <phoneticPr fontId="6" type="noConversion"/>
  </si>
  <si>
    <t>CHKBIT([1]=OTP1, [0]=OTP0): 0=Not Programed, 1=Programed</t>
    <phoneticPr fontId="6" type="noConversion"/>
  </si>
  <si>
    <t>RW</t>
    <phoneticPr fontId="9" type="noConversion"/>
  </si>
  <si>
    <t>D1</t>
    <phoneticPr fontId="9" type="noConversion"/>
  </si>
  <si>
    <t>TRIM2</t>
    <phoneticPr fontId="6" type="noConversion"/>
  </si>
  <si>
    <t>ICTL_OSC[3:0]</t>
    <phoneticPr fontId="6" type="noConversion"/>
  </si>
  <si>
    <t>OFS_TEMP[3:0]</t>
    <phoneticPr fontId="6" type="noConversion"/>
  </si>
  <si>
    <t>TRIM3</t>
  </si>
  <si>
    <t>OFS_LIN_CH1[7:0]</t>
    <phoneticPr fontId="6" type="noConversion"/>
  </si>
  <si>
    <t>FF</t>
    <phoneticPr fontId="6" type="noConversion"/>
  </si>
  <si>
    <t>TRIM4</t>
  </si>
  <si>
    <t>OFS_LIN_CH2[7:0]</t>
    <phoneticPr fontId="6" type="noConversion"/>
  </si>
  <si>
    <t>TRIM5</t>
  </si>
  <si>
    <t>OFS_LIN_CH3[7:0]</t>
    <phoneticPr fontId="6" type="noConversion"/>
  </si>
  <si>
    <t>TRIM6</t>
  </si>
  <si>
    <t>OFS_LIN_CH4[7:0]</t>
    <phoneticPr fontId="6" type="noConversion"/>
  </si>
  <si>
    <t>TRIM7</t>
  </si>
  <si>
    <t>OFS_LIN_CH5[7:0]</t>
    <phoneticPr fontId="6" type="noConversion"/>
  </si>
  <si>
    <t>TRIM8</t>
  </si>
  <si>
    <t>OFS_LIN_CH6[7:0]</t>
    <phoneticPr fontId="6" type="noConversion"/>
  </si>
  <si>
    <t>D8</t>
    <phoneticPr fontId="6" type="noConversion"/>
  </si>
  <si>
    <t>TRIM9</t>
  </si>
  <si>
    <t>OFS_LIN_CH2[10:8]</t>
    <phoneticPr fontId="6" type="noConversion"/>
  </si>
  <si>
    <t>HDR_MODE</t>
    <phoneticPr fontId="6" type="noConversion"/>
  </si>
  <si>
    <t>OFS_LIN_CH1[10:8]</t>
    <phoneticPr fontId="6" type="noConversion"/>
  </si>
  <si>
    <t>E0</t>
    <phoneticPr fontId="6" type="noConversion"/>
  </si>
  <si>
    <t>OFS_LIN_CH4[10:8]</t>
    <phoneticPr fontId="6" type="noConversion"/>
  </si>
  <si>
    <t>CZMAX1</t>
    <phoneticPr fontId="6" type="noConversion"/>
  </si>
  <si>
    <t>OFS_LIN_CH3[10:8]</t>
    <phoneticPr fontId="6" type="noConversion"/>
  </si>
  <si>
    <t>E1</t>
    <phoneticPr fontId="6" type="noConversion"/>
  </si>
  <si>
    <t>TRIM11</t>
  </si>
  <si>
    <t>OFS_LIN_CH6[10:8]</t>
    <phoneticPr fontId="6" type="noConversion"/>
  </si>
  <si>
    <t>CZMAX2</t>
    <phoneticPr fontId="6" type="noConversion"/>
  </si>
  <si>
    <t>OFS_LIN_CH5[10:8]</t>
    <phoneticPr fontId="6" type="noConversion"/>
  </si>
  <si>
    <t>E2</t>
    <phoneticPr fontId="6" type="noConversion"/>
  </si>
  <si>
    <t>TRIM12</t>
  </si>
  <si>
    <t>ICTL_CH1[6:0]</t>
    <phoneticPr fontId="6" type="noConversion"/>
  </si>
  <si>
    <t>E3</t>
    <phoneticPr fontId="6" type="noConversion"/>
  </si>
  <si>
    <t>TRIM13</t>
  </si>
  <si>
    <t>ICTL_CH2[6:0]</t>
    <phoneticPr fontId="6" type="noConversion"/>
  </si>
  <si>
    <t>E4</t>
    <phoneticPr fontId="6" type="noConversion"/>
  </si>
  <si>
    <t>TRIM14</t>
  </si>
  <si>
    <t>ICTL_CH3[6:0]</t>
    <phoneticPr fontId="6" type="noConversion"/>
  </si>
  <si>
    <t>E5</t>
    <phoneticPr fontId="6" type="noConversion"/>
  </si>
  <si>
    <t>TRIM15</t>
  </si>
  <si>
    <t>ICTL_CH4[6:0]</t>
    <phoneticPr fontId="6" type="noConversion"/>
  </si>
  <si>
    <t>E6</t>
    <phoneticPr fontId="6" type="noConversion"/>
  </si>
  <si>
    <t>TRIM16</t>
  </si>
  <si>
    <t>ICTL_CH5[6:0]</t>
    <phoneticPr fontId="6" type="noConversion"/>
  </si>
  <si>
    <t>E7</t>
    <phoneticPr fontId="6" type="noConversion"/>
  </si>
  <si>
    <t>TRIM17</t>
  </si>
  <si>
    <t>ICTL_CH6[6:0]</t>
    <phoneticPr fontId="6" type="noConversion"/>
  </si>
  <si>
    <t>E8</t>
    <phoneticPr fontId="6" type="noConversion"/>
  </si>
  <si>
    <t>RESERVED[5:0]</t>
    <phoneticPr fontId="6" type="noConversion"/>
  </si>
  <si>
    <t>CONFIG_MODE_RF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</si>
</sst>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&quot;mA&quot;"/>
    <numFmt numFmtId="177" formatCode="0.00&quot;Ω&quot;"/>
    <numFmt numFmtId="178" formatCode="0.00&quot;V&quot;"/>
    <numFmt numFmtId="179" formatCode="0.00&quot;ms&quot;"/>
    <numFmt numFmtId="180" formatCode="0.0000&quot;V&quot;"/>
    <numFmt numFmtId="181" formatCode="0.0000"/>
    <numFmt numFmtId="182" formatCode="0.000000"/>
    <numFmt numFmtId="183" formatCode="#,##0_ "/>
  </numFmts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Arial"/>
      <family val="2"/>
    </font>
    <font>
      <sz val="8"/>
      <name val="돋움"/>
      <family val="3"/>
      <charset val="129"/>
    </font>
    <font>
      <sz val="10"/>
      <name val="돋움"/>
      <family val="3"/>
    </font>
    <font>
      <b/>
      <sz val="8"/>
      <color theme="1"/>
      <name val="Arial"/>
      <family val="2"/>
    </font>
    <font>
      <b/>
      <sz val="10"/>
      <color theme="1"/>
      <name val="돋움"/>
      <family val="3"/>
      <charset val="129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8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10" fillId="0" borderId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17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82" fontId="0" fillId="3" borderId="7" xfId="0" applyNumberFormat="1" applyFill="1" applyBorder="1" applyAlignment="1">
      <alignment horizontal="center"/>
    </xf>
    <xf numFmtId="181" fontId="0" fillId="0" borderId="2" xfId="0" applyNumberFormat="1" applyBorder="1" applyAlignment="1">
      <alignment horizontal="center"/>
    </xf>
    <xf numFmtId="181" fontId="0" fillId="0" borderId="7" xfId="0" applyNumberFormat="1" applyBorder="1" applyAlignment="1">
      <alignment horizontal="center"/>
    </xf>
    <xf numFmtId="182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82" fontId="0" fillId="3" borderId="0" xfId="0" applyNumberFormat="1" applyFill="1" applyAlignment="1">
      <alignment horizontal="center"/>
    </xf>
    <xf numFmtId="0" fontId="0" fillId="0" borderId="9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81" fontId="0" fillId="3" borderId="10" xfId="0" applyNumberFormat="1" applyFill="1" applyBorder="1" applyAlignment="1">
      <alignment horizontal="center"/>
    </xf>
    <xf numFmtId="181" fontId="0" fillId="0" borderId="10" xfId="0" applyNumberFormat="1" applyBorder="1" applyAlignment="1">
      <alignment horizontal="center"/>
    </xf>
    <xf numFmtId="181" fontId="0" fillId="6" borderId="7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5" fillId="4" borderId="10" xfId="2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5" fillId="7" borderId="10" xfId="4" applyFont="1" applyFill="1" applyBorder="1" applyAlignment="1">
      <alignment horizontal="center" vertical="center"/>
    </xf>
    <xf numFmtId="0" fontId="11" fillId="0" borderId="14" xfId="4" applyFont="1" applyBorder="1" applyAlignment="1">
      <alignment vertical="center" wrapText="1"/>
    </xf>
    <xf numFmtId="0" fontId="5" fillId="8" borderId="10" xfId="4" applyFont="1" applyFill="1" applyBorder="1" applyAlignment="1">
      <alignment horizontal="center" vertical="center"/>
    </xf>
    <xf numFmtId="0" fontId="11" fillId="0" borderId="10" xfId="4" applyFont="1" applyBorder="1" applyAlignment="1">
      <alignment horizontal="center" vertical="center" wrapText="1"/>
    </xf>
    <xf numFmtId="0" fontId="11" fillId="8" borderId="10" xfId="4" applyFont="1" applyFill="1" applyBorder="1" applyAlignment="1">
      <alignment horizontal="center" vertical="center" wrapText="1"/>
    </xf>
    <xf numFmtId="0" fontId="5" fillId="8" borderId="10" xfId="4" quotePrefix="1" applyFont="1" applyFill="1" applyBorder="1" applyAlignment="1">
      <alignment horizontal="center" vertical="center"/>
    </xf>
    <xf numFmtId="0" fontId="12" fillId="8" borderId="10" xfId="4" applyFont="1" applyFill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11" fillId="0" borderId="12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1" fillId="0" borderId="14" xfId="4" applyFont="1" applyBorder="1" applyAlignment="1">
      <alignment horizontal="center" vertical="center" wrapText="1"/>
    </xf>
    <xf numFmtId="0" fontId="5" fillId="0" borderId="10" xfId="4" quotePrefix="1" applyFont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Continuous" vertical="center" wrapText="1"/>
    </xf>
    <xf numFmtId="0" fontId="11" fillId="10" borderId="10" xfId="4" applyFont="1" applyFill="1" applyBorder="1" applyAlignment="1">
      <alignment horizontal="centerContinuous" vertical="center" wrapText="1"/>
    </xf>
    <xf numFmtId="0" fontId="5" fillId="9" borderId="10" xfId="4" quotePrefix="1" applyFont="1" applyFill="1" applyBorder="1" applyAlignment="1">
      <alignment horizontal="center" vertical="center"/>
    </xf>
    <xf numFmtId="0" fontId="11" fillId="0" borderId="10" xfId="4" applyFont="1" applyBorder="1" applyAlignment="1">
      <alignment horizontal="centerContinuous" vertical="center" wrapText="1"/>
    </xf>
    <xf numFmtId="0" fontId="5" fillId="11" borderId="10" xfId="4" applyFont="1" applyFill="1" applyBorder="1" applyAlignment="1">
      <alignment horizontal="center" vertical="center"/>
    </xf>
    <xf numFmtId="183" fontId="5" fillId="0" borderId="0" xfId="3" applyNumberFormat="1" applyFont="1" applyAlignment="1">
      <alignment horizontal="center" vertical="center"/>
    </xf>
    <xf numFmtId="0" fontId="5" fillId="11" borderId="10" xfId="4" quotePrefix="1" applyFont="1" applyFill="1" applyBorder="1" applyAlignment="1">
      <alignment horizontal="center" vertical="center"/>
    </xf>
    <xf numFmtId="0" fontId="11" fillId="11" borderId="10" xfId="4" applyFont="1" applyFill="1" applyBorder="1" applyAlignment="1">
      <alignment horizontal="center" vertical="center" wrapText="1"/>
    </xf>
    <xf numFmtId="0" fontId="5" fillId="13" borderId="10" xfId="4" applyFont="1" applyFill="1" applyBorder="1" applyAlignment="1">
      <alignment horizontal="center" vertical="center"/>
    </xf>
    <xf numFmtId="0" fontId="16" fillId="0" borderId="10" xfId="4" applyFont="1" applyBorder="1" applyAlignment="1">
      <alignment horizontal="center" vertical="center" wrapText="1"/>
    </xf>
    <xf numFmtId="0" fontId="5" fillId="13" borderId="10" xfId="4" quotePrefix="1" applyFont="1" applyFill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16" fillId="13" borderId="10" xfId="4" applyFont="1" applyFill="1" applyBorder="1" applyAlignment="1">
      <alignment horizontal="center" vertical="center" wrapText="1"/>
    </xf>
    <xf numFmtId="0" fontId="5" fillId="14" borderId="10" xfId="4" applyFont="1" applyFill="1" applyBorder="1" applyAlignment="1">
      <alignment horizontal="center" vertical="center"/>
    </xf>
    <xf numFmtId="0" fontId="16" fillId="14" borderId="10" xfId="4" applyFont="1" applyFill="1" applyBorder="1" applyAlignment="1">
      <alignment horizontal="center" vertical="center" wrapText="1"/>
    </xf>
    <xf numFmtId="0" fontId="5" fillId="14" borderId="10" xfId="4" quotePrefix="1" applyFont="1" applyFill="1" applyBorder="1" applyAlignment="1">
      <alignment horizontal="center" vertical="center"/>
    </xf>
    <xf numFmtId="0" fontId="16" fillId="0" borderId="10" xfId="4" applyFont="1" applyBorder="1" applyAlignment="1">
      <alignment vertical="center" wrapText="1"/>
    </xf>
    <xf numFmtId="0" fontId="13" fillId="14" borderId="10" xfId="4" applyFont="1" applyFill="1" applyBorder="1" applyAlignment="1">
      <alignment horizontal="center" vertical="center" wrapText="1"/>
    </xf>
    <xf numFmtId="0" fontId="16" fillId="14" borderId="10" xfId="4" applyFont="1" applyFill="1" applyBorder="1" applyAlignment="1">
      <alignment horizontal="center" vertical="center" wrapText="1"/>
    </xf>
    <xf numFmtId="0" fontId="16" fillId="14" borderId="12" xfId="4" applyFont="1" applyFill="1" applyBorder="1" applyAlignment="1">
      <alignment horizontal="center" vertical="center" wrapText="1"/>
    </xf>
    <xf numFmtId="0" fontId="16" fillId="14" borderId="13" xfId="4" applyFont="1" applyFill="1" applyBorder="1" applyAlignment="1">
      <alignment horizontal="center" vertical="center" wrapText="1"/>
    </xf>
    <xf numFmtId="0" fontId="16" fillId="14" borderId="14" xfId="4" applyFont="1" applyFill="1" applyBorder="1" applyAlignment="1">
      <alignment horizontal="center" vertical="center" wrapText="1"/>
    </xf>
    <xf numFmtId="0" fontId="16" fillId="13" borderId="12" xfId="4" applyFont="1" applyFill="1" applyBorder="1" applyAlignment="1">
      <alignment horizontal="center" vertical="center" wrapText="1"/>
    </xf>
    <xf numFmtId="0" fontId="16" fillId="13" borderId="13" xfId="4" applyFont="1" applyFill="1" applyBorder="1" applyAlignment="1">
      <alignment horizontal="center" vertical="center" wrapText="1"/>
    </xf>
    <xf numFmtId="0" fontId="16" fillId="13" borderId="14" xfId="4" applyFont="1" applyFill="1" applyBorder="1" applyAlignment="1">
      <alignment horizontal="center" vertical="center" wrapText="1"/>
    </xf>
    <xf numFmtId="0" fontId="16" fillId="13" borderId="10" xfId="4" applyFont="1" applyFill="1" applyBorder="1" applyAlignment="1">
      <alignment horizontal="center" vertical="center" wrapText="1"/>
    </xf>
    <xf numFmtId="0" fontId="11" fillId="11" borderId="12" xfId="4" applyFont="1" applyFill="1" applyBorder="1" applyAlignment="1">
      <alignment horizontal="center" vertical="center" wrapText="1"/>
    </xf>
    <xf numFmtId="0" fontId="11" fillId="11" borderId="14" xfId="4" applyFont="1" applyFill="1" applyBorder="1" applyAlignment="1">
      <alignment horizontal="center" vertical="center" wrapText="1"/>
    </xf>
    <xf numFmtId="0" fontId="11" fillId="11" borderId="13" xfId="4" applyFont="1" applyFill="1" applyBorder="1" applyAlignment="1">
      <alignment horizontal="center" vertical="center" wrapText="1"/>
    </xf>
    <xf numFmtId="0" fontId="11" fillId="9" borderId="12" xfId="4" applyFont="1" applyFill="1" applyBorder="1" applyAlignment="1">
      <alignment horizontal="center" vertical="center" wrapText="1"/>
    </xf>
    <xf numFmtId="0" fontId="11" fillId="9" borderId="13" xfId="4" applyFont="1" applyFill="1" applyBorder="1" applyAlignment="1">
      <alignment horizontal="center" vertical="center" wrapText="1"/>
    </xf>
    <xf numFmtId="0" fontId="11" fillId="9" borderId="14" xfId="4" applyFont="1" applyFill="1" applyBorder="1" applyAlignment="1">
      <alignment horizontal="center" vertical="center" wrapText="1"/>
    </xf>
    <xf numFmtId="0" fontId="11" fillId="0" borderId="12" xfId="4" applyFont="1" applyBorder="1" applyAlignment="1">
      <alignment horizontal="center" vertical="center" wrapText="1"/>
    </xf>
    <xf numFmtId="0" fontId="11" fillId="0" borderId="14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1" fillId="12" borderId="12" xfId="4" applyFont="1" applyFill="1" applyBorder="1" applyAlignment="1">
      <alignment horizontal="center" vertical="center" wrapText="1"/>
    </xf>
    <xf numFmtId="0" fontId="11" fillId="12" borderId="13" xfId="4" applyFont="1" applyFill="1" applyBorder="1" applyAlignment="1">
      <alignment horizontal="center" vertical="center" wrapText="1"/>
    </xf>
    <xf numFmtId="0" fontId="11" fillId="12" borderId="14" xfId="4" applyFont="1" applyFill="1" applyBorder="1" applyAlignment="1">
      <alignment horizontal="center" vertical="center" wrapText="1"/>
    </xf>
    <xf numFmtId="0" fontId="11" fillId="8" borderId="12" xfId="4" applyFont="1" applyFill="1" applyBorder="1" applyAlignment="1">
      <alignment horizontal="center" vertical="center" wrapText="1"/>
    </xf>
    <xf numFmtId="0" fontId="11" fillId="8" borderId="13" xfId="4" applyFont="1" applyFill="1" applyBorder="1" applyAlignment="1">
      <alignment horizontal="center" vertical="center" wrapText="1"/>
    </xf>
    <xf numFmtId="0" fontId="11" fillId="8" borderId="14" xfId="4" applyFont="1" applyFill="1" applyBorder="1" applyAlignment="1">
      <alignment horizontal="center" vertical="center" wrapText="1"/>
    </xf>
    <xf numFmtId="0" fontId="13" fillId="8" borderId="12" xfId="4" applyFont="1" applyFill="1" applyBorder="1" applyAlignment="1">
      <alignment horizontal="center" vertical="center" wrapText="1"/>
    </xf>
    <xf numFmtId="0" fontId="13" fillId="8" borderId="13" xfId="4" applyFont="1" applyFill="1" applyBorder="1" applyAlignment="1">
      <alignment horizontal="center" vertical="center" wrapText="1"/>
    </xf>
    <xf numFmtId="0" fontId="13" fillId="8" borderId="14" xfId="4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 wrapText="1"/>
    </xf>
    <xf numFmtId="0" fontId="8" fillId="4" borderId="10" xfId="3" applyFont="1" applyFill="1" applyBorder="1" applyAlignment="1">
      <alignment horizontal="center" vertical="center"/>
    </xf>
    <xf numFmtId="0" fontId="8" fillId="4" borderId="12" xfId="3" applyFont="1" applyFill="1" applyBorder="1" applyAlignment="1">
      <alignment horizontal="center" vertical="center"/>
    </xf>
    <xf numFmtId="0" fontId="8" fillId="4" borderId="13" xfId="3" applyFont="1" applyFill="1" applyBorder="1" applyAlignment="1">
      <alignment horizontal="center" vertical="center"/>
    </xf>
    <xf numFmtId="0" fontId="8" fillId="4" borderId="14" xfId="3" applyFont="1" applyFill="1" applyBorder="1" applyAlignment="1">
      <alignment horizontal="center" vertical="center"/>
    </xf>
    <xf numFmtId="0" fontId="11" fillId="7" borderId="12" xfId="4" applyFont="1" applyFill="1" applyBorder="1" applyAlignment="1">
      <alignment horizontal="center" vertical="center" wrapText="1"/>
    </xf>
    <xf numFmtId="0" fontId="11" fillId="7" borderId="13" xfId="4" applyFont="1" applyFill="1" applyBorder="1" applyAlignment="1">
      <alignment horizontal="center" vertical="center" wrapText="1"/>
    </xf>
    <xf numFmtId="0" fontId="11" fillId="7" borderId="14" xfId="4" applyFont="1" applyFill="1" applyBorder="1" applyAlignment="1">
      <alignment horizontal="center" vertical="center" wrapText="1"/>
    </xf>
  </cellXfs>
  <cellStyles count="5">
    <cellStyle name="백분율" xfId="1" builtinId="5"/>
    <cellStyle name="표준" xfId="0" builtinId="0"/>
    <cellStyle name="표준 3" xfId="2" xr:uid="{1479834B-4B49-4A88-A186-8BD1E67B2126}"/>
    <cellStyle name="표준_design_sheet_ref" xfId="4" xr:uid="{89FCB351-C53C-4312-A46D-D6ED33ED1C20}"/>
    <cellStyle name="표준_S6DR519_Spec Deviation List_for SMD DR" xfId="3" xr:uid="{C7F890C1-4EEC-4944-BD0E-3BF25157A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235323</xdr:colOff>
      <xdr:row>15</xdr:row>
      <xdr:rowOff>201706</xdr:rowOff>
    </xdr:from>
    <xdr:to>
      <xdr:col>32</xdr:col>
      <xdr:colOff>162119</xdr:colOff>
      <xdr:row>38</xdr:row>
      <xdr:rowOff>202380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2B4422-E37D-5D82-2ABD-11D9778A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7529" y="414618"/>
          <a:ext cx="5395267" cy="48976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Single\Temp\DR1&#51088;&#4730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 List"/>
      <sheetName val="L2_ANALOG"/>
      <sheetName val="L2_MTP"/>
      <sheetName val="L2_MIE_PWM"/>
    </sheetNames>
    <sheetDataSet>
      <sheetData sheetId="0"/>
      <sheetData sheetId="1">
        <row r="2">
          <cell r="C2" t="str">
            <v>level2_analog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50"/>
  <sheetViews>
    <sheetView tabSelected="1" topLeftCell="A6" zoomScale="85" zoomScaleNormal="85" workbookViewId="0">
      <selection activeCell="L15" sqref="L15"/>
    </sheetView>
  </sheetViews>
  <sheetFormatPr defaultRowHeight="16.5" x14ac:dyDescent="0.3"/>
  <cols>
    <col min="1" max="1" width="2.625" style="1" customWidth="1"/>
    <col min="2" max="2" width="10.625" style="1" customWidth="1"/>
    <col min="3" max="3" width="13.375" style="1" bestFit="1" customWidth="1"/>
    <col min="4" max="4" width="11.5" style="1" bestFit="1" customWidth="1"/>
    <col min="5" max="5" width="17.5" style="1" customWidth="1"/>
    <col min="6" max="6" width="11.75" style="1" bestFit="1" customWidth="1"/>
    <col min="7" max="8" width="10.375" style="1" bestFit="1" customWidth="1"/>
    <col min="9" max="9" width="3.375" style="1" customWidth="1"/>
    <col min="10" max="19" width="9" style="1"/>
    <col min="20" max="20" width="10.125" style="1" bestFit="1" customWidth="1"/>
    <col min="21" max="16384" width="9" style="1"/>
  </cols>
  <sheetData>
    <row r="2" spans="2:20" ht="17.25" thickBot="1" x14ac:dyDescent="0.35"/>
    <row r="3" spans="2:20" x14ac:dyDescent="0.3">
      <c r="B3" s="16" t="s">
        <v>27</v>
      </c>
      <c r="C3" s="18">
        <v>4.5</v>
      </c>
      <c r="D3" s="17" t="s">
        <v>28</v>
      </c>
      <c r="E3" s="18">
        <v>8</v>
      </c>
      <c r="F3" s="19" t="s">
        <v>29</v>
      </c>
      <c r="O3" s="16" t="s">
        <v>27</v>
      </c>
      <c r="P3" s="17">
        <v>4.5</v>
      </c>
      <c r="Q3" s="17" t="s">
        <v>28</v>
      </c>
      <c r="R3" s="18">
        <v>6</v>
      </c>
      <c r="S3" s="19" t="s">
        <v>29</v>
      </c>
    </row>
    <row r="4" spans="2:20" ht="17.25" thickBot="1" x14ac:dyDescent="0.35">
      <c r="B4" s="33" t="s">
        <v>30</v>
      </c>
      <c r="C4" s="34">
        <v>0.23</v>
      </c>
      <c r="D4" s="35" t="s">
        <v>28</v>
      </c>
      <c r="E4" s="35">
        <v>0</v>
      </c>
      <c r="F4" s="36" t="s">
        <v>29</v>
      </c>
      <c r="O4" s="22" t="s">
        <v>30</v>
      </c>
      <c r="P4" s="24">
        <v>0.23</v>
      </c>
      <c r="Q4" s="24" t="s">
        <v>28</v>
      </c>
      <c r="R4" s="24">
        <v>0</v>
      </c>
      <c r="S4" s="25" t="s">
        <v>29</v>
      </c>
    </row>
    <row r="5" spans="2:20" ht="17.25" thickBot="1" x14ac:dyDescent="0.35">
      <c r="B5" s="33"/>
      <c r="C5" s="34"/>
      <c r="D5" s="35"/>
      <c r="E5" s="35"/>
      <c r="F5" s="36"/>
      <c r="O5" s="20"/>
      <c r="P5"/>
      <c r="Q5"/>
      <c r="R5"/>
      <c r="S5" s="21"/>
    </row>
    <row r="6" spans="2:20" x14ac:dyDescent="0.3">
      <c r="B6" s="33" t="s">
        <v>41</v>
      </c>
      <c r="C6" s="34">
        <v>0.16</v>
      </c>
      <c r="D6" s="35" t="s">
        <v>29</v>
      </c>
      <c r="E6" s="37">
        <f>((C6*($C$3-$C$4))/$E$3)+$C$4</f>
        <v>0.31540000000000001</v>
      </c>
      <c r="F6" s="36" t="s">
        <v>28</v>
      </c>
      <c r="O6" s="16" t="s">
        <v>31</v>
      </c>
      <c r="P6" s="18">
        <v>1.2</v>
      </c>
      <c r="Q6" s="17" t="s">
        <v>28</v>
      </c>
      <c r="R6" s="27">
        <f>$E$3*((P6-$C$4)/($C$3-$C$4))</f>
        <v>1.817330210772834</v>
      </c>
      <c r="S6" s="19" t="s">
        <v>29</v>
      </c>
    </row>
    <row r="7" spans="2:20" ht="17.25" thickBot="1" x14ac:dyDescent="0.35">
      <c r="B7" s="33" t="s">
        <v>42</v>
      </c>
      <c r="C7" s="34">
        <v>0.08</v>
      </c>
      <c r="D7" s="35" t="s">
        <v>29</v>
      </c>
      <c r="E7" s="37">
        <f>((C7*($C$3-$C$4))/$E$3)+$C$4</f>
        <v>0.2727</v>
      </c>
      <c r="F7" s="36" t="s">
        <v>28</v>
      </c>
      <c r="O7" s="22" t="s">
        <v>32</v>
      </c>
      <c r="P7" s="23">
        <v>0.45</v>
      </c>
      <c r="Q7" s="24" t="s">
        <v>28</v>
      </c>
      <c r="R7" s="28">
        <f>$E$3*((P7-$C$4)/($C$3-$C$4))</f>
        <v>0.41217798594847782</v>
      </c>
      <c r="S7" s="25" t="s">
        <v>29</v>
      </c>
    </row>
    <row r="8" spans="2:20" ht="17.25" thickBot="1" x14ac:dyDescent="0.35">
      <c r="B8" s="33"/>
      <c r="C8" s="35"/>
      <c r="D8" s="35"/>
      <c r="E8" s="35"/>
      <c r="F8" s="36"/>
      <c r="O8" s="20"/>
      <c r="P8"/>
      <c r="Q8"/>
      <c r="R8"/>
      <c r="S8" s="21"/>
    </row>
    <row r="9" spans="2:20" x14ac:dyDescent="0.3">
      <c r="B9" s="33" t="s">
        <v>31</v>
      </c>
      <c r="C9" s="34">
        <v>1.2</v>
      </c>
      <c r="D9" s="35" t="s">
        <v>28</v>
      </c>
      <c r="E9" s="38">
        <f>$E$3*((C9-$C$4)/($C$3-$C$4))</f>
        <v>1.817330210772834</v>
      </c>
      <c r="F9" s="36" t="s">
        <v>29</v>
      </c>
      <c r="O9" s="16" t="s">
        <v>33</v>
      </c>
      <c r="P9" s="17" t="s">
        <v>34</v>
      </c>
      <c r="Q9" s="17" t="s">
        <v>28</v>
      </c>
      <c r="R9" s="29">
        <f>R6-R7</f>
        <v>1.4051522248243562</v>
      </c>
      <c r="S9" s="19" t="s">
        <v>29</v>
      </c>
    </row>
    <row r="10" spans="2:20" ht="17.25" thickBot="1" x14ac:dyDescent="0.35">
      <c r="B10" s="33" t="s">
        <v>32</v>
      </c>
      <c r="C10" s="34">
        <v>0.45</v>
      </c>
      <c r="D10" s="35" t="s">
        <v>28</v>
      </c>
      <c r="E10" s="38">
        <f>$E$3*((C10-$C$4)/($C$3-$C$4))</f>
        <v>0.41217798594847782</v>
      </c>
      <c r="F10" s="36" t="s">
        <v>29</v>
      </c>
      <c r="O10" s="22" t="s">
        <v>35</v>
      </c>
      <c r="P10" s="23">
        <v>0.12</v>
      </c>
      <c r="Q10" s="24" t="s">
        <v>29</v>
      </c>
      <c r="R10" s="26">
        <f>((P10*($C$3-$C$4))/$E$3)+$C$4</f>
        <v>0.29405000000000003</v>
      </c>
      <c r="S10" s="25" t="s">
        <v>28</v>
      </c>
    </row>
    <row r="11" spans="2:20" x14ac:dyDescent="0.3">
      <c r="B11" s="33"/>
      <c r="C11" s="35"/>
      <c r="D11" s="35"/>
      <c r="E11" s="35"/>
      <c r="F11" s="36"/>
    </row>
    <row r="12" spans="2:20" x14ac:dyDescent="0.3">
      <c r="B12" s="33" t="s">
        <v>33</v>
      </c>
      <c r="C12" s="35" t="s">
        <v>34</v>
      </c>
      <c r="D12" s="35" t="s">
        <v>28</v>
      </c>
      <c r="E12" s="37">
        <f>E9-E10</f>
        <v>1.4051522248243562</v>
      </c>
      <c r="F12" s="36" t="s">
        <v>29</v>
      </c>
    </row>
    <row r="13" spans="2:20" ht="17.25" thickBot="1" x14ac:dyDescent="0.35">
      <c r="B13" s="22" t="s">
        <v>35</v>
      </c>
      <c r="C13" s="23">
        <f>(C6+C7)/2</f>
        <v>0.12</v>
      </c>
      <c r="D13" s="24" t="s">
        <v>29</v>
      </c>
      <c r="E13" s="39"/>
      <c r="F13" s="40"/>
    </row>
    <row r="14" spans="2:20" x14ac:dyDescent="0.3">
      <c r="B14" s="30"/>
      <c r="C14" s="31"/>
      <c r="D14" s="30"/>
      <c r="E14" s="32"/>
      <c r="F14" s="30"/>
    </row>
    <row r="16" spans="2:20" x14ac:dyDescent="0.3">
      <c r="B16" s="6" t="s">
        <v>0</v>
      </c>
      <c r="T16" s="5"/>
    </row>
    <row r="17" spans="2:20" x14ac:dyDescent="0.3">
      <c r="E17" s="6" t="s">
        <v>18</v>
      </c>
      <c r="G17" s="1" t="s">
        <v>36</v>
      </c>
      <c r="N17" s="5"/>
      <c r="T17" s="5"/>
    </row>
    <row r="18" spans="2:20" x14ac:dyDescent="0.3">
      <c r="B18" s="1" t="s">
        <v>4</v>
      </c>
      <c r="C18" s="2">
        <v>50</v>
      </c>
      <c r="E18" s="1" t="s">
        <v>13</v>
      </c>
      <c r="F18" s="11">
        <f>E12</f>
        <v>1.4051522248243562</v>
      </c>
      <c r="K18" s="3"/>
      <c r="L18" s="3"/>
      <c r="N18" s="9"/>
      <c r="O18" s="3"/>
      <c r="P18" s="3"/>
      <c r="Q18" s="3"/>
      <c r="T18" s="9"/>
    </row>
    <row r="19" spans="2:20" x14ac:dyDescent="0.3">
      <c r="B19" s="1" t="s">
        <v>5</v>
      </c>
      <c r="C19" s="13">
        <v>39</v>
      </c>
      <c r="E19" s="1" t="s">
        <v>23</v>
      </c>
      <c r="F19" s="14">
        <f>F18*C19/1000</f>
        <v>5.4800936768149885E-2</v>
      </c>
      <c r="K19" s="3"/>
      <c r="L19" s="3"/>
      <c r="N19" s="10"/>
      <c r="O19" s="3"/>
      <c r="P19" s="3"/>
      <c r="Q19" s="3"/>
      <c r="T19" s="10"/>
    </row>
    <row r="20" spans="2:20" x14ac:dyDescent="0.3">
      <c r="B20" s="1" t="s">
        <v>8</v>
      </c>
      <c r="C20" s="4">
        <f>$AE$46/$AE$48*1000</f>
        <v>2000</v>
      </c>
      <c r="E20" s="1" t="s">
        <v>24</v>
      </c>
      <c r="F20" s="1">
        <f>F19*C22</f>
        <v>0.13700234192037472</v>
      </c>
      <c r="K20" s="1">
        <v>30000</v>
      </c>
      <c r="L20" s="1">
        <f>5000*K20/(2^15-1)/C22/C19</f>
        <v>46.95155303999568</v>
      </c>
      <c r="N20" s="10"/>
      <c r="O20" s="5"/>
      <c r="P20" s="5"/>
      <c r="Q20" s="5"/>
      <c r="T20" s="10"/>
    </row>
    <row r="21" spans="2:20" x14ac:dyDescent="0.3">
      <c r="B21" s="1" t="s">
        <v>21</v>
      </c>
      <c r="C21" s="1">
        <f>C20*2.5</f>
        <v>5000</v>
      </c>
      <c r="E21" s="1" t="s">
        <v>15</v>
      </c>
      <c r="F21" s="15">
        <v>0.01</v>
      </c>
      <c r="G21" s="1" t="s">
        <v>26</v>
      </c>
      <c r="H21" s="1" t="s">
        <v>25</v>
      </c>
      <c r="N21" s="10"/>
      <c r="T21" s="10"/>
    </row>
    <row r="22" spans="2:20" x14ac:dyDescent="0.3">
      <c r="B22" s="1" t="s">
        <v>22</v>
      </c>
      <c r="C22" s="1">
        <f>C21/C20</f>
        <v>2.5</v>
      </c>
      <c r="E22" s="1" t="s">
        <v>14</v>
      </c>
      <c r="F22" s="1">
        <f>ROUND(F20/5*(2^15-1), 0)</f>
        <v>898</v>
      </c>
      <c r="G22" s="10">
        <f>F22*(1-F21)</f>
        <v>889.02</v>
      </c>
      <c r="H22" s="10">
        <f>F22*(1+F21)</f>
        <v>906.98</v>
      </c>
    </row>
    <row r="24" spans="2:20" x14ac:dyDescent="0.3">
      <c r="C24" s="5"/>
      <c r="E24" s="6" t="s">
        <v>19</v>
      </c>
    </row>
    <row r="25" spans="2:20" x14ac:dyDescent="0.3">
      <c r="B25" s="1" t="s">
        <v>4</v>
      </c>
      <c r="C25" s="2">
        <v>5</v>
      </c>
      <c r="E25" s="1" t="s">
        <v>13</v>
      </c>
      <c r="F25" s="11">
        <f>E12</f>
        <v>1.4051522248243562</v>
      </c>
      <c r="T25" s="5"/>
    </row>
    <row r="26" spans="2:20" x14ac:dyDescent="0.3">
      <c r="B26" s="1" t="s">
        <v>5</v>
      </c>
      <c r="C26" s="13">
        <v>39</v>
      </c>
      <c r="E26" s="1" t="s">
        <v>23</v>
      </c>
      <c r="F26" s="14">
        <f>F25*C26/1000</f>
        <v>5.4800936768149885E-2</v>
      </c>
      <c r="T26" s="5"/>
    </row>
    <row r="27" spans="2:20" x14ac:dyDescent="0.3">
      <c r="B27" s="1" t="s">
        <v>8</v>
      </c>
      <c r="C27" s="4">
        <f>$AE$46/$AE$48*1000</f>
        <v>2000</v>
      </c>
      <c r="E27" s="1" t="s">
        <v>24</v>
      </c>
      <c r="F27" s="1">
        <f>F26*C29</f>
        <v>1.370023419203747</v>
      </c>
      <c r="K27" s="1">
        <v>6740</v>
      </c>
      <c r="L27" s="1">
        <f>5000*K27/(2^15-1)/C29/C26</f>
        <v>1.0548448916319031</v>
      </c>
      <c r="T27" s="9"/>
    </row>
    <row r="28" spans="2:20" x14ac:dyDescent="0.3">
      <c r="B28" s="1" t="s">
        <v>21</v>
      </c>
      <c r="C28" s="1">
        <v>50000</v>
      </c>
      <c r="E28" s="1" t="s">
        <v>15</v>
      </c>
      <c r="F28" s="15">
        <v>0.01</v>
      </c>
      <c r="G28" s="1" t="s">
        <v>26</v>
      </c>
      <c r="H28" s="1" t="s">
        <v>25</v>
      </c>
      <c r="T28" s="10"/>
    </row>
    <row r="29" spans="2:20" x14ac:dyDescent="0.3">
      <c r="B29" s="1" t="s">
        <v>22</v>
      </c>
      <c r="C29" s="1">
        <f>C28/C27</f>
        <v>25</v>
      </c>
      <c r="E29" s="1" t="s">
        <v>14</v>
      </c>
      <c r="F29" s="1">
        <f>ROUND(F27/5*(2^15-1), 0)</f>
        <v>8978</v>
      </c>
      <c r="G29" s="10">
        <f>F29*(1-F28)</f>
        <v>8888.2199999999993</v>
      </c>
      <c r="H29" s="10">
        <f>F29*(1+F28)</f>
        <v>9067.7800000000007</v>
      </c>
      <c r="T29" s="10"/>
    </row>
    <row r="30" spans="2:20" x14ac:dyDescent="0.3">
      <c r="C30" s="4"/>
      <c r="T30" s="10"/>
    </row>
    <row r="31" spans="2:20" x14ac:dyDescent="0.3">
      <c r="C31" s="4"/>
      <c r="E31" s="6" t="s">
        <v>20</v>
      </c>
      <c r="G31" s="1" t="s">
        <v>37</v>
      </c>
    </row>
    <row r="32" spans="2:20" x14ac:dyDescent="0.3">
      <c r="B32" s="1" t="s">
        <v>4</v>
      </c>
      <c r="C32" s="2">
        <v>1</v>
      </c>
      <c r="E32" s="1" t="s">
        <v>13</v>
      </c>
      <c r="F32" s="11">
        <f>(C6+C7)/2</f>
        <v>0.12</v>
      </c>
    </row>
    <row r="33" spans="2:31" x14ac:dyDescent="0.3">
      <c r="B33" s="1" t="s">
        <v>5</v>
      </c>
      <c r="C33" s="13">
        <v>39</v>
      </c>
      <c r="E33" s="1" t="s">
        <v>23</v>
      </c>
      <c r="F33" s="14">
        <f>F32*C33/1000</f>
        <v>4.6800000000000001E-3</v>
      </c>
      <c r="G33" s="14"/>
      <c r="T33" s="5"/>
    </row>
    <row r="34" spans="2:31" x14ac:dyDescent="0.3">
      <c r="B34" s="1" t="s">
        <v>8</v>
      </c>
      <c r="C34" s="4">
        <f>$AE$46/$AE$48*1000</f>
        <v>2000</v>
      </c>
      <c r="E34" s="1" t="s">
        <v>24</v>
      </c>
      <c r="F34" s="1">
        <f>F33*C36</f>
        <v>0.58499999999999996</v>
      </c>
      <c r="L34" s="1">
        <f>5000*K34/(2^15-1)/C36/C33</f>
        <v>0</v>
      </c>
      <c r="T34" s="5"/>
    </row>
    <row r="35" spans="2:31" x14ac:dyDescent="0.3">
      <c r="B35" s="1" t="s">
        <v>21</v>
      </c>
      <c r="C35" s="1">
        <v>250000</v>
      </c>
      <c r="E35" s="1" t="s">
        <v>15</v>
      </c>
      <c r="F35" s="15">
        <v>3.0000000000000001E-3</v>
      </c>
      <c r="G35" s="1" t="s">
        <v>26</v>
      </c>
      <c r="H35" s="1" t="s">
        <v>25</v>
      </c>
      <c r="T35" s="9"/>
    </row>
    <row r="36" spans="2:31" x14ac:dyDescent="0.3">
      <c r="B36" s="1" t="s">
        <v>22</v>
      </c>
      <c r="C36" s="1">
        <f>C35/C34</f>
        <v>125</v>
      </c>
      <c r="E36" s="1" t="s">
        <v>14</v>
      </c>
      <c r="F36" s="1">
        <f>ROUND(F34/5*(2^15-1), 0)</f>
        <v>3834</v>
      </c>
      <c r="G36" s="10">
        <f>F36*(1-F35)</f>
        <v>3822.498</v>
      </c>
      <c r="H36" s="10">
        <f>F36*(1+F35)</f>
        <v>3845.5019999999995</v>
      </c>
      <c r="T36" s="10"/>
    </row>
    <row r="37" spans="2:31" x14ac:dyDescent="0.3">
      <c r="T37" s="10"/>
    </row>
    <row r="38" spans="2:31" x14ac:dyDescent="0.3">
      <c r="C38" s="1">
        <f>1000*C32/2^15</f>
        <v>3.0517578125E-2</v>
      </c>
      <c r="T38" s="10"/>
    </row>
    <row r="44" spans="2:31" x14ac:dyDescent="0.3">
      <c r="T44" s="5"/>
      <c r="Y44" s="7" t="s">
        <v>9</v>
      </c>
    </row>
    <row r="45" spans="2:31" x14ac:dyDescent="0.3">
      <c r="S45" s="1" t="s">
        <v>13</v>
      </c>
      <c r="T45" s="11">
        <v>1.9505399999999999</v>
      </c>
      <c r="AC45" s="1" t="s">
        <v>1</v>
      </c>
    </row>
    <row r="46" spans="2:31" x14ac:dyDescent="0.3">
      <c r="S46" s="1" t="s">
        <v>3</v>
      </c>
      <c r="T46" s="3">
        <f>T45*100*4.99/2/1000</f>
        <v>0.48665973000000001</v>
      </c>
      <c r="Y46" s="1" t="s">
        <v>10</v>
      </c>
      <c r="Z46" s="8">
        <v>0.5</v>
      </c>
      <c r="AC46" s="1" t="s">
        <v>2</v>
      </c>
      <c r="AD46" s="1" t="s">
        <v>6</v>
      </c>
      <c r="AE46" s="3">
        <v>2</v>
      </c>
    </row>
    <row r="47" spans="2:31" x14ac:dyDescent="0.3">
      <c r="S47" s="1" t="s">
        <v>15</v>
      </c>
      <c r="T47" s="9">
        <v>2.1000000000000001E-2</v>
      </c>
      <c r="Y47" s="1" t="s">
        <v>11</v>
      </c>
      <c r="Z47" s="1">
        <v>15</v>
      </c>
      <c r="AC47" s="1" t="s">
        <v>3</v>
      </c>
      <c r="AD47" s="1" t="s">
        <v>6</v>
      </c>
      <c r="AE47" s="3">
        <v>5</v>
      </c>
    </row>
    <row r="48" spans="2:31" x14ac:dyDescent="0.3">
      <c r="S48" s="1" t="s">
        <v>14</v>
      </c>
      <c r="T48" s="10">
        <f>T46*4095/3.3</f>
        <v>603.90048313636373</v>
      </c>
      <c r="Y48" s="1" t="s">
        <v>12</v>
      </c>
      <c r="Z48" s="1">
        <v>5</v>
      </c>
      <c r="AC48" s="1" t="s">
        <v>7</v>
      </c>
      <c r="AD48" s="1" t="s">
        <v>6</v>
      </c>
      <c r="AE48" s="5">
        <v>1</v>
      </c>
    </row>
    <row r="49" spans="19:20" x14ac:dyDescent="0.3">
      <c r="S49" s="1" t="s">
        <v>17</v>
      </c>
      <c r="T49" s="12">
        <f>T48*(1-T47)</f>
        <v>591.21857299050009</v>
      </c>
    </row>
    <row r="50" spans="19:20" x14ac:dyDescent="0.3">
      <c r="S50" s="1" t="s">
        <v>16</v>
      </c>
      <c r="T50" s="12">
        <f>T48*(1+T47)</f>
        <v>616.58239328222726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CAD2-B58F-4230-AD9C-F2D212F21545}">
  <sheetPr>
    <tabColor rgb="FF92D050"/>
    <pageSetUpPr fitToPage="1"/>
  </sheetPr>
  <dimension ref="B2:W45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" x14ac:dyDescent="0.3"/>
  <cols>
    <col min="1" max="1" width="2.625" style="42" customWidth="1"/>
    <col min="2" max="2" width="5.625" style="42" bestFit="1" customWidth="1"/>
    <col min="3" max="3" width="9.125" style="42" bestFit="1" customWidth="1"/>
    <col min="4" max="4" width="18.5" style="42" bestFit="1" customWidth="1"/>
    <col min="5" max="12" width="13.75" style="42" customWidth="1"/>
    <col min="13" max="18" width="9" style="42"/>
    <col min="19" max="19" width="6.875" style="42" bestFit="1" customWidth="1"/>
    <col min="20" max="16384" width="9" style="42"/>
  </cols>
  <sheetData>
    <row r="2" spans="2:23" ht="20.25" customHeight="1" x14ac:dyDescent="0.3">
      <c r="B2" s="102" t="s">
        <v>43</v>
      </c>
      <c r="C2" s="102" t="s">
        <v>44</v>
      </c>
      <c r="D2" s="103" t="s">
        <v>45</v>
      </c>
      <c r="E2" s="104" t="s">
        <v>46</v>
      </c>
      <c r="F2" s="104"/>
      <c r="G2" s="104"/>
      <c r="H2" s="104"/>
      <c r="I2" s="104"/>
      <c r="J2" s="104"/>
      <c r="K2" s="104"/>
      <c r="L2" s="104"/>
      <c r="M2" s="105" t="s">
        <v>47</v>
      </c>
      <c r="N2" s="106"/>
      <c r="O2" s="107"/>
    </row>
    <row r="3" spans="2:23" ht="20.25" customHeight="1" x14ac:dyDescent="0.3">
      <c r="B3" s="102"/>
      <c r="C3" s="102"/>
      <c r="D3" s="102"/>
      <c r="E3" s="41" t="s">
        <v>48</v>
      </c>
      <c r="F3" s="41" t="s">
        <v>49</v>
      </c>
      <c r="G3" s="41" t="s">
        <v>50</v>
      </c>
      <c r="H3" s="41" t="s">
        <v>51</v>
      </c>
      <c r="I3" s="41" t="s">
        <v>52</v>
      </c>
      <c r="J3" s="41" t="s">
        <v>53</v>
      </c>
      <c r="K3" s="41" t="s">
        <v>54</v>
      </c>
      <c r="L3" s="41" t="s">
        <v>38</v>
      </c>
      <c r="M3" s="41" t="s">
        <v>55</v>
      </c>
      <c r="N3" s="41" t="s">
        <v>56</v>
      </c>
      <c r="O3" s="41" t="s">
        <v>57</v>
      </c>
    </row>
    <row r="4" spans="2:23" ht="20.25" customHeight="1" x14ac:dyDescent="0.3">
      <c r="B4" s="43" t="s">
        <v>58</v>
      </c>
      <c r="C4" s="43" t="s">
        <v>59</v>
      </c>
      <c r="D4" s="43" t="s">
        <v>60</v>
      </c>
      <c r="E4" s="108" t="s">
        <v>61</v>
      </c>
      <c r="F4" s="109"/>
      <c r="G4" s="109"/>
      <c r="H4" s="109"/>
      <c r="I4" s="109"/>
      <c r="J4" s="109"/>
      <c r="K4" s="110"/>
      <c r="L4" s="44"/>
      <c r="M4" s="43">
        <v>90</v>
      </c>
      <c r="N4" s="43">
        <f>HEX2DEC(M4)</f>
        <v>144</v>
      </c>
      <c r="O4" s="43" t="str">
        <f>HEX2BIN(M4,8)</f>
        <v>10010000</v>
      </c>
    </row>
    <row r="5" spans="2:23" ht="20.25" customHeight="1" x14ac:dyDescent="0.3">
      <c r="B5" s="45" t="s">
        <v>63</v>
      </c>
      <c r="C5" s="45" t="s">
        <v>64</v>
      </c>
      <c r="D5" s="45" t="s">
        <v>65</v>
      </c>
      <c r="E5" s="96" t="s">
        <v>66</v>
      </c>
      <c r="F5" s="97"/>
      <c r="G5" s="97"/>
      <c r="H5" s="98"/>
      <c r="I5" s="46"/>
      <c r="J5" s="47" t="s">
        <v>67</v>
      </c>
      <c r="K5" s="47" t="s">
        <v>68</v>
      </c>
      <c r="L5" s="47" t="s">
        <v>69</v>
      </c>
      <c r="M5" s="48" t="s">
        <v>70</v>
      </c>
      <c r="N5" s="45">
        <f>HEX2DEC(M5)</f>
        <v>16</v>
      </c>
      <c r="O5" s="45" t="str">
        <f>HEX2BIN(M5,8)</f>
        <v>00010000</v>
      </c>
    </row>
    <row r="6" spans="2:23" ht="20.25" customHeight="1" x14ac:dyDescent="0.3">
      <c r="B6" s="45" t="s">
        <v>63</v>
      </c>
      <c r="C6" s="49" t="s">
        <v>71</v>
      </c>
      <c r="D6" s="45" t="s">
        <v>72</v>
      </c>
      <c r="E6" s="99" t="s">
        <v>73</v>
      </c>
      <c r="F6" s="100"/>
      <c r="G6" s="100"/>
      <c r="H6" s="100"/>
      <c r="I6" s="100"/>
      <c r="J6" s="100"/>
      <c r="K6" s="100"/>
      <c r="L6" s="101"/>
      <c r="M6" s="48" t="s">
        <v>74</v>
      </c>
      <c r="N6" s="45">
        <f>HEX2DEC(M6)</f>
        <v>90</v>
      </c>
      <c r="O6" s="45" t="str">
        <f>HEX2BIN(M6,8)</f>
        <v>01011010</v>
      </c>
      <c r="P6" s="50" t="s">
        <v>75</v>
      </c>
      <c r="Q6" s="51"/>
      <c r="R6" s="51"/>
      <c r="S6" s="51"/>
      <c r="T6" s="51"/>
      <c r="U6" s="51"/>
      <c r="V6" s="51"/>
      <c r="W6" s="51"/>
    </row>
    <row r="7" spans="2:23" ht="20.25" customHeight="1" x14ac:dyDescent="0.3">
      <c r="B7" s="52"/>
      <c r="C7" s="52"/>
      <c r="D7" s="52"/>
      <c r="E7" s="53"/>
      <c r="F7" s="54"/>
      <c r="G7" s="54"/>
      <c r="H7" s="54"/>
      <c r="I7" s="54"/>
      <c r="J7" s="54"/>
      <c r="K7" s="54"/>
      <c r="L7" s="55"/>
      <c r="M7" s="56"/>
      <c r="N7" s="52"/>
      <c r="O7" s="52"/>
      <c r="P7" s="50" t="s">
        <v>76</v>
      </c>
      <c r="Q7" s="51"/>
      <c r="R7" s="51"/>
      <c r="S7" s="51"/>
      <c r="T7" s="51"/>
      <c r="U7" s="51"/>
      <c r="V7" s="51"/>
      <c r="W7" s="51"/>
    </row>
    <row r="8" spans="2:23" ht="20.25" customHeight="1" x14ac:dyDescent="0.3">
      <c r="B8" s="57" t="s">
        <v>77</v>
      </c>
      <c r="C8" s="57" t="s">
        <v>78</v>
      </c>
      <c r="D8" s="57" t="s">
        <v>79</v>
      </c>
      <c r="E8" s="58" t="s">
        <v>80</v>
      </c>
      <c r="F8" s="59" t="s">
        <v>81</v>
      </c>
      <c r="G8" s="87" t="s">
        <v>82</v>
      </c>
      <c r="H8" s="88"/>
      <c r="I8" s="88"/>
      <c r="J8" s="88"/>
      <c r="K8" s="88"/>
      <c r="L8" s="89"/>
      <c r="M8" s="60" t="s">
        <v>83</v>
      </c>
      <c r="N8" s="57">
        <f>HEX2DEC(M8)</f>
        <v>127</v>
      </c>
      <c r="O8" s="57" t="str">
        <f>HEX2BIN(M8,8)</f>
        <v>01111111</v>
      </c>
      <c r="P8" s="50" t="s">
        <v>84</v>
      </c>
      <c r="Q8" s="51"/>
      <c r="R8" s="51"/>
      <c r="S8" s="51"/>
      <c r="T8" s="51"/>
      <c r="U8" s="51"/>
      <c r="V8" s="51"/>
      <c r="W8" s="51"/>
    </row>
    <row r="9" spans="2:23" ht="20.25" customHeight="1" x14ac:dyDescent="0.3">
      <c r="B9" s="57" t="s">
        <v>77</v>
      </c>
      <c r="C9" s="57" t="s">
        <v>85</v>
      </c>
      <c r="D9" s="57" t="s">
        <v>86</v>
      </c>
      <c r="E9" s="87" t="s">
        <v>87</v>
      </c>
      <c r="F9" s="88"/>
      <c r="G9" s="88"/>
      <c r="H9" s="89"/>
      <c r="I9" s="87" t="s">
        <v>88</v>
      </c>
      <c r="J9" s="88"/>
      <c r="K9" s="88"/>
      <c r="L9" s="89"/>
      <c r="M9" s="57">
        <v>88</v>
      </c>
      <c r="N9" s="57">
        <f>HEX2DEC(M9)</f>
        <v>136</v>
      </c>
      <c r="O9" s="57" t="str">
        <f>HEX2BIN(M9,8)</f>
        <v>10001000</v>
      </c>
      <c r="P9" s="51"/>
      <c r="Q9" s="51"/>
      <c r="R9" s="51"/>
      <c r="S9" s="51"/>
      <c r="T9" s="51"/>
      <c r="U9" s="51"/>
      <c r="V9" s="51"/>
      <c r="W9" s="51"/>
    </row>
    <row r="10" spans="2:23" ht="20.25" customHeight="1" x14ac:dyDescent="0.3">
      <c r="B10" s="57" t="s">
        <v>77</v>
      </c>
      <c r="C10" s="57" t="s">
        <v>89</v>
      </c>
      <c r="D10" s="57" t="s">
        <v>90</v>
      </c>
      <c r="E10" s="87" t="s">
        <v>91</v>
      </c>
      <c r="F10" s="88"/>
      <c r="G10" s="88"/>
      <c r="H10" s="89"/>
      <c r="I10" s="87" t="s">
        <v>92</v>
      </c>
      <c r="J10" s="88"/>
      <c r="K10" s="88"/>
      <c r="L10" s="89"/>
      <c r="M10" s="57">
        <v>88</v>
      </c>
      <c r="N10" s="57">
        <f>HEX2DEC(M10)</f>
        <v>136</v>
      </c>
      <c r="O10" s="57" t="str">
        <f>HEX2BIN(M10,8)</f>
        <v>10001000</v>
      </c>
      <c r="P10" s="51"/>
      <c r="Q10" s="51"/>
      <c r="R10" s="51"/>
      <c r="S10" s="51"/>
      <c r="T10" s="51"/>
      <c r="U10" s="51"/>
      <c r="V10" s="51"/>
      <c r="W10" s="51"/>
    </row>
    <row r="11" spans="2:23" ht="20.25" customHeight="1" x14ac:dyDescent="0.3">
      <c r="B11" s="57" t="s">
        <v>77</v>
      </c>
      <c r="C11" s="57" t="s">
        <v>93</v>
      </c>
      <c r="D11" s="57" t="s">
        <v>94</v>
      </c>
      <c r="E11" s="87" t="s">
        <v>95</v>
      </c>
      <c r="F11" s="88"/>
      <c r="G11" s="88"/>
      <c r="H11" s="89"/>
      <c r="I11" s="87" t="s">
        <v>96</v>
      </c>
      <c r="J11" s="88"/>
      <c r="K11" s="88"/>
      <c r="L11" s="89"/>
      <c r="M11" s="57">
        <v>88</v>
      </c>
      <c r="N11" s="57">
        <f>HEX2DEC(M11)</f>
        <v>136</v>
      </c>
      <c r="O11" s="57" t="str">
        <f>HEX2BIN(M11,8)</f>
        <v>10001000</v>
      </c>
      <c r="P11" s="51"/>
      <c r="Q11" s="51"/>
      <c r="R11" s="51"/>
      <c r="S11" s="51"/>
      <c r="T11" s="51"/>
      <c r="U11" s="51"/>
      <c r="V11" s="51"/>
      <c r="W11" s="51"/>
    </row>
    <row r="12" spans="2:23" ht="20.25" customHeight="1" x14ac:dyDescent="0.3">
      <c r="B12" s="52"/>
      <c r="C12" s="52"/>
      <c r="D12" s="52"/>
      <c r="E12" s="90"/>
      <c r="F12" s="91"/>
      <c r="G12" s="90"/>
      <c r="H12" s="92"/>
      <c r="I12" s="92"/>
      <c r="J12" s="92"/>
      <c r="K12" s="92"/>
      <c r="L12" s="91"/>
      <c r="M12" s="52"/>
      <c r="N12" s="52"/>
      <c r="O12" s="52"/>
      <c r="P12" s="51"/>
      <c r="Q12" s="51" t="s">
        <v>97</v>
      </c>
      <c r="R12" s="51" t="s">
        <v>98</v>
      </c>
      <c r="S12" s="51" t="s">
        <v>99</v>
      </c>
      <c r="T12" s="51" t="s">
        <v>100</v>
      </c>
      <c r="U12" s="51"/>
      <c r="V12" s="51"/>
      <c r="W12" s="51"/>
    </row>
    <row r="13" spans="2:23" ht="20.25" customHeight="1" x14ac:dyDescent="0.3">
      <c r="B13" s="52"/>
      <c r="C13" s="52"/>
      <c r="D13" s="52"/>
      <c r="E13" s="61"/>
      <c r="F13" s="61"/>
      <c r="G13" s="61"/>
      <c r="H13" s="61"/>
      <c r="I13" s="61"/>
      <c r="J13" s="61"/>
      <c r="K13" s="61"/>
      <c r="L13" s="61"/>
      <c r="M13" s="52"/>
      <c r="N13" s="52"/>
      <c r="O13" s="52"/>
      <c r="P13" s="51"/>
      <c r="Q13" s="51">
        <v>1000</v>
      </c>
      <c r="R13" s="51">
        <v>0.7</v>
      </c>
      <c r="S13" s="51">
        <v>1</v>
      </c>
      <c r="T13" s="51">
        <v>1.3</v>
      </c>
      <c r="U13" s="51"/>
      <c r="V13" s="51"/>
      <c r="W13" s="51"/>
    </row>
    <row r="14" spans="2:23" ht="20.25" customHeight="1" x14ac:dyDescent="0.3">
      <c r="B14" s="62" t="s">
        <v>77</v>
      </c>
      <c r="C14" s="62" t="s">
        <v>101</v>
      </c>
      <c r="D14" s="62" t="s">
        <v>102</v>
      </c>
      <c r="E14" s="84" t="s">
        <v>103</v>
      </c>
      <c r="F14" s="86"/>
      <c r="G14" s="86"/>
      <c r="H14" s="86"/>
      <c r="I14" s="86"/>
      <c r="J14" s="86"/>
      <c r="K14" s="86"/>
      <c r="L14" s="85"/>
      <c r="M14" s="62">
        <v>20</v>
      </c>
      <c r="N14" s="62">
        <f t="shared" ref="N14:N36" si="0">HEX2DEC(M14)</f>
        <v>32</v>
      </c>
      <c r="O14" s="62" t="str">
        <f>HEX2BIN(M14,8)</f>
        <v>00100000</v>
      </c>
      <c r="P14" s="51"/>
      <c r="Q14" s="51"/>
      <c r="R14" s="63">
        <f>N14*Q13*R13</f>
        <v>22400</v>
      </c>
      <c r="S14" s="63">
        <f>N14*Q13*S13</f>
        <v>32000</v>
      </c>
      <c r="T14" s="63">
        <f>N14*Q13*T13</f>
        <v>41600</v>
      </c>
      <c r="U14" s="51"/>
      <c r="V14" s="51"/>
      <c r="W14" s="51"/>
    </row>
    <row r="15" spans="2:23" ht="20.25" customHeight="1" x14ac:dyDescent="0.3">
      <c r="B15" s="62" t="s">
        <v>77</v>
      </c>
      <c r="C15" s="62" t="s">
        <v>104</v>
      </c>
      <c r="D15" s="62" t="s">
        <v>105</v>
      </c>
      <c r="E15" s="93" t="s">
        <v>106</v>
      </c>
      <c r="F15" s="94"/>
      <c r="G15" s="94"/>
      <c r="H15" s="95"/>
      <c r="I15" s="84" t="s">
        <v>107</v>
      </c>
      <c r="J15" s="86"/>
      <c r="K15" s="86"/>
      <c r="L15" s="85"/>
      <c r="M15" s="64" t="s">
        <v>108</v>
      </c>
      <c r="N15" s="62">
        <f t="shared" si="0"/>
        <v>5</v>
      </c>
      <c r="O15" s="62" t="str">
        <f t="shared" ref="O15:O18" si="1">HEX2BIN(M15,8)</f>
        <v>00000101</v>
      </c>
      <c r="P15" s="51"/>
      <c r="Q15" s="51"/>
      <c r="R15" s="51"/>
      <c r="S15" s="51"/>
      <c r="T15" s="51"/>
      <c r="U15" s="51"/>
      <c r="V15" s="51"/>
      <c r="W15" s="51"/>
    </row>
    <row r="16" spans="2:23" ht="20.25" customHeight="1" x14ac:dyDescent="0.3">
      <c r="B16" s="62" t="s">
        <v>77</v>
      </c>
      <c r="C16" s="62" t="s">
        <v>109</v>
      </c>
      <c r="D16" s="62" t="s">
        <v>110</v>
      </c>
      <c r="E16" s="46"/>
      <c r="F16" s="46"/>
      <c r="G16" s="84" t="s">
        <v>111</v>
      </c>
      <c r="H16" s="85"/>
      <c r="I16" s="84" t="s">
        <v>112</v>
      </c>
      <c r="J16" s="86"/>
      <c r="K16" s="86"/>
      <c r="L16" s="85"/>
      <c r="M16" s="62" t="s">
        <v>113</v>
      </c>
      <c r="N16" s="62">
        <f t="shared" si="0"/>
        <v>0</v>
      </c>
      <c r="O16" s="62" t="str">
        <f t="shared" si="1"/>
        <v>00000000</v>
      </c>
      <c r="P16" s="51"/>
      <c r="Q16" s="51"/>
      <c r="R16" s="51"/>
      <c r="S16" s="51"/>
      <c r="T16" s="51"/>
      <c r="U16" s="51"/>
      <c r="V16" s="51"/>
      <c r="W16" s="51"/>
    </row>
    <row r="17" spans="2:23" ht="20.25" customHeight="1" x14ac:dyDescent="0.3">
      <c r="B17" s="62" t="s">
        <v>77</v>
      </c>
      <c r="C17" s="62" t="s">
        <v>114</v>
      </c>
      <c r="D17" s="62" t="s">
        <v>115</v>
      </c>
      <c r="E17" s="84" t="s">
        <v>116</v>
      </c>
      <c r="F17" s="86"/>
      <c r="G17" s="86"/>
      <c r="H17" s="86"/>
      <c r="I17" s="86"/>
      <c r="J17" s="86"/>
      <c r="K17" s="86"/>
      <c r="L17" s="85"/>
      <c r="M17" s="62" t="s">
        <v>74</v>
      </c>
      <c r="N17" s="62">
        <f t="shared" si="0"/>
        <v>90</v>
      </c>
      <c r="O17" s="62" t="str">
        <f t="shared" si="1"/>
        <v>01011010</v>
      </c>
      <c r="P17" s="51"/>
      <c r="Q17" s="51"/>
      <c r="R17" s="51"/>
      <c r="S17" s="51"/>
      <c r="T17" s="51"/>
      <c r="U17" s="51"/>
      <c r="V17" s="51"/>
      <c r="W17" s="51"/>
    </row>
    <row r="18" spans="2:23" ht="20.25" customHeight="1" x14ac:dyDescent="0.3">
      <c r="B18" s="62" t="s">
        <v>77</v>
      </c>
      <c r="C18" s="62" t="s">
        <v>117</v>
      </c>
      <c r="D18" s="62" t="s">
        <v>118</v>
      </c>
      <c r="E18" s="84" t="s">
        <v>119</v>
      </c>
      <c r="F18" s="86"/>
      <c r="G18" s="85"/>
      <c r="H18" s="65" t="s">
        <v>120</v>
      </c>
      <c r="I18" s="84" t="s">
        <v>121</v>
      </c>
      <c r="J18" s="86"/>
      <c r="K18" s="85"/>
      <c r="L18" s="65" t="s">
        <v>122</v>
      </c>
      <c r="M18" s="62" t="s">
        <v>123</v>
      </c>
      <c r="N18" s="62">
        <f t="shared" si="0"/>
        <v>0</v>
      </c>
      <c r="O18" s="62" t="str">
        <f t="shared" si="1"/>
        <v>00000000</v>
      </c>
      <c r="P18" s="51"/>
      <c r="Q18" s="51"/>
      <c r="R18" s="51"/>
      <c r="S18" s="51"/>
      <c r="T18" s="51"/>
      <c r="U18" s="51"/>
      <c r="V18" s="51"/>
      <c r="W18" s="51"/>
    </row>
    <row r="19" spans="2:23" ht="20.25" customHeight="1" x14ac:dyDescent="0.3">
      <c r="B19" s="52"/>
      <c r="C19" s="52"/>
      <c r="D19" s="52"/>
      <c r="E19" s="46"/>
      <c r="F19" s="46"/>
      <c r="G19" s="61"/>
      <c r="H19" s="61"/>
      <c r="I19" s="61"/>
      <c r="J19" s="61"/>
      <c r="K19" s="61"/>
      <c r="L19" s="61"/>
      <c r="M19" s="52"/>
      <c r="N19" s="52"/>
      <c r="O19" s="52"/>
      <c r="P19" s="51"/>
      <c r="Q19" s="51"/>
      <c r="R19" s="51"/>
      <c r="S19" s="51"/>
      <c r="T19" s="51"/>
      <c r="U19" s="51"/>
      <c r="V19" s="51"/>
      <c r="W19" s="51"/>
    </row>
    <row r="20" spans="2:23" ht="20.25" customHeight="1" x14ac:dyDescent="0.3">
      <c r="B20" s="66" t="s">
        <v>58</v>
      </c>
      <c r="C20" s="66" t="s">
        <v>124</v>
      </c>
      <c r="D20" s="66" t="s">
        <v>125</v>
      </c>
      <c r="E20" s="67"/>
      <c r="F20" s="67"/>
      <c r="G20" s="67"/>
      <c r="H20" s="67"/>
      <c r="I20" s="67"/>
      <c r="J20" s="67"/>
      <c r="K20" s="80" t="s">
        <v>126</v>
      </c>
      <c r="L20" s="82"/>
      <c r="M20" s="68" t="s">
        <v>123</v>
      </c>
      <c r="N20" s="66">
        <f>HEX2DEC(M20)</f>
        <v>0</v>
      </c>
      <c r="O20" s="66" t="str">
        <f>HEX2BIN(M20,8)</f>
        <v>00000000</v>
      </c>
      <c r="P20" s="69" t="s">
        <v>127</v>
      </c>
      <c r="Q20" s="51"/>
      <c r="R20" s="51"/>
      <c r="S20" s="51"/>
      <c r="U20" s="51"/>
      <c r="V20" s="51"/>
      <c r="W20" s="51"/>
    </row>
    <row r="21" spans="2:23" ht="20.25" customHeight="1" x14ac:dyDescent="0.3">
      <c r="B21" s="66" t="s">
        <v>128</v>
      </c>
      <c r="C21" s="66" t="s">
        <v>129</v>
      </c>
      <c r="D21" s="66" t="s">
        <v>130</v>
      </c>
      <c r="E21" s="80" t="s">
        <v>131</v>
      </c>
      <c r="F21" s="81"/>
      <c r="G21" s="81"/>
      <c r="H21" s="82"/>
      <c r="I21" s="80" t="s">
        <v>132</v>
      </c>
      <c r="J21" s="81"/>
      <c r="K21" s="81"/>
      <c r="L21" s="82"/>
      <c r="M21" s="68">
        <v>77</v>
      </c>
      <c r="N21" s="66">
        <f t="shared" ref="N21:N27" si="2">HEX2DEC(M21)</f>
        <v>119</v>
      </c>
      <c r="O21" s="66" t="str">
        <f t="shared" ref="O21:O37" si="3">HEX2BIN(M21,8)</f>
        <v>01110111</v>
      </c>
    </row>
    <row r="22" spans="2:23" ht="20.25" customHeight="1" x14ac:dyDescent="0.3">
      <c r="B22" s="66" t="s">
        <v>128</v>
      </c>
      <c r="C22" s="66" t="s">
        <v>53</v>
      </c>
      <c r="D22" s="66" t="s">
        <v>133</v>
      </c>
      <c r="E22" s="80" t="s">
        <v>134</v>
      </c>
      <c r="F22" s="81"/>
      <c r="G22" s="81"/>
      <c r="H22" s="81"/>
      <c r="I22" s="81"/>
      <c r="J22" s="81"/>
      <c r="K22" s="81"/>
      <c r="L22" s="82"/>
      <c r="M22" s="68" t="s">
        <v>135</v>
      </c>
      <c r="N22" s="66">
        <f t="shared" si="2"/>
        <v>255</v>
      </c>
      <c r="O22" s="66" t="str">
        <f t="shared" si="3"/>
        <v>11111111</v>
      </c>
    </row>
    <row r="23" spans="2:23" ht="20.25" customHeight="1" x14ac:dyDescent="0.3">
      <c r="B23" s="66" t="s">
        <v>62</v>
      </c>
      <c r="C23" s="66" t="s">
        <v>52</v>
      </c>
      <c r="D23" s="66" t="s">
        <v>136</v>
      </c>
      <c r="E23" s="80" t="s">
        <v>137</v>
      </c>
      <c r="F23" s="81"/>
      <c r="G23" s="81"/>
      <c r="H23" s="81"/>
      <c r="I23" s="81"/>
      <c r="J23" s="81"/>
      <c r="K23" s="81"/>
      <c r="L23" s="82"/>
      <c r="M23" s="68" t="s">
        <v>135</v>
      </c>
      <c r="N23" s="66">
        <f t="shared" si="2"/>
        <v>255</v>
      </c>
      <c r="O23" s="66" t="str">
        <f t="shared" si="3"/>
        <v>11111111</v>
      </c>
    </row>
    <row r="24" spans="2:23" ht="20.25" customHeight="1" x14ac:dyDescent="0.3">
      <c r="B24" s="66" t="s">
        <v>128</v>
      </c>
      <c r="C24" s="66" t="s">
        <v>51</v>
      </c>
      <c r="D24" s="66" t="s">
        <v>138</v>
      </c>
      <c r="E24" s="80" t="s">
        <v>139</v>
      </c>
      <c r="F24" s="81"/>
      <c r="G24" s="81"/>
      <c r="H24" s="81"/>
      <c r="I24" s="81"/>
      <c r="J24" s="81"/>
      <c r="K24" s="81"/>
      <c r="L24" s="82"/>
      <c r="M24" s="68" t="s">
        <v>135</v>
      </c>
      <c r="N24" s="66">
        <f t="shared" si="2"/>
        <v>255</v>
      </c>
      <c r="O24" s="66" t="str">
        <f t="shared" si="3"/>
        <v>11111111</v>
      </c>
    </row>
    <row r="25" spans="2:23" ht="20.25" customHeight="1" x14ac:dyDescent="0.3">
      <c r="B25" s="66" t="s">
        <v>128</v>
      </c>
      <c r="C25" s="66" t="s">
        <v>50</v>
      </c>
      <c r="D25" s="66" t="s">
        <v>140</v>
      </c>
      <c r="E25" s="80" t="s">
        <v>141</v>
      </c>
      <c r="F25" s="81"/>
      <c r="G25" s="81"/>
      <c r="H25" s="81"/>
      <c r="I25" s="81"/>
      <c r="J25" s="81"/>
      <c r="K25" s="81"/>
      <c r="L25" s="82"/>
      <c r="M25" s="68" t="s">
        <v>135</v>
      </c>
      <c r="N25" s="66">
        <f t="shared" si="2"/>
        <v>255</v>
      </c>
      <c r="O25" s="66" t="str">
        <f t="shared" si="3"/>
        <v>11111111</v>
      </c>
    </row>
    <row r="26" spans="2:23" ht="20.25" customHeight="1" x14ac:dyDescent="0.3">
      <c r="B26" s="66" t="s">
        <v>62</v>
      </c>
      <c r="C26" s="66" t="s">
        <v>49</v>
      </c>
      <c r="D26" s="66" t="s">
        <v>142</v>
      </c>
      <c r="E26" s="80" t="s">
        <v>143</v>
      </c>
      <c r="F26" s="81"/>
      <c r="G26" s="81"/>
      <c r="H26" s="81"/>
      <c r="I26" s="81"/>
      <c r="J26" s="81"/>
      <c r="K26" s="81"/>
      <c r="L26" s="82"/>
      <c r="M26" s="68" t="s">
        <v>135</v>
      </c>
      <c r="N26" s="66">
        <f t="shared" si="2"/>
        <v>255</v>
      </c>
      <c r="O26" s="66" t="str">
        <f t="shared" si="3"/>
        <v>11111111</v>
      </c>
    </row>
    <row r="27" spans="2:23" ht="20.25" customHeight="1" x14ac:dyDescent="0.3">
      <c r="B27" s="66" t="s">
        <v>128</v>
      </c>
      <c r="C27" s="66" t="s">
        <v>48</v>
      </c>
      <c r="D27" s="66" t="s">
        <v>144</v>
      </c>
      <c r="E27" s="80" t="s">
        <v>145</v>
      </c>
      <c r="F27" s="81"/>
      <c r="G27" s="81"/>
      <c r="H27" s="81"/>
      <c r="I27" s="81"/>
      <c r="J27" s="81"/>
      <c r="K27" s="81"/>
      <c r="L27" s="82"/>
      <c r="M27" s="68" t="s">
        <v>135</v>
      </c>
      <c r="N27" s="66">
        <f t="shared" si="2"/>
        <v>255</v>
      </c>
      <c r="O27" s="66" t="str">
        <f t="shared" si="3"/>
        <v>11111111</v>
      </c>
    </row>
    <row r="28" spans="2:23" ht="20.25" customHeight="1" x14ac:dyDescent="0.3">
      <c r="B28" s="66" t="s">
        <v>128</v>
      </c>
      <c r="C28" s="66" t="s">
        <v>146</v>
      </c>
      <c r="D28" s="66" t="s">
        <v>147</v>
      </c>
      <c r="E28" s="67"/>
      <c r="F28" s="83" t="s">
        <v>148</v>
      </c>
      <c r="G28" s="83"/>
      <c r="H28" s="83"/>
      <c r="I28" s="70" t="s">
        <v>149</v>
      </c>
      <c r="J28" s="80" t="s">
        <v>150</v>
      </c>
      <c r="K28" s="81"/>
      <c r="L28" s="82"/>
      <c r="M28" s="68">
        <v>33</v>
      </c>
      <c r="N28" s="66">
        <f t="shared" si="0"/>
        <v>51</v>
      </c>
      <c r="O28" s="66" t="str">
        <f t="shared" si="3"/>
        <v>00110011</v>
      </c>
    </row>
    <row r="29" spans="2:23" ht="20.25" customHeight="1" x14ac:dyDescent="0.3">
      <c r="B29" s="71" t="s">
        <v>62</v>
      </c>
      <c r="C29" s="71" t="s">
        <v>151</v>
      </c>
      <c r="D29" s="71" t="s">
        <v>39</v>
      </c>
      <c r="E29" s="67"/>
      <c r="F29" s="76" t="s">
        <v>152</v>
      </c>
      <c r="G29" s="76"/>
      <c r="H29" s="76"/>
      <c r="I29" s="72" t="s">
        <v>153</v>
      </c>
      <c r="J29" s="77" t="s">
        <v>154</v>
      </c>
      <c r="K29" s="78"/>
      <c r="L29" s="79"/>
      <c r="M29" s="73">
        <v>33</v>
      </c>
      <c r="N29" s="71">
        <f t="shared" si="0"/>
        <v>51</v>
      </c>
      <c r="O29" s="71" t="str">
        <f t="shared" si="3"/>
        <v>00110011</v>
      </c>
    </row>
    <row r="30" spans="2:23" ht="20.25" customHeight="1" x14ac:dyDescent="0.3">
      <c r="B30" s="71" t="s">
        <v>128</v>
      </c>
      <c r="C30" s="71" t="s">
        <v>155</v>
      </c>
      <c r="D30" s="71" t="s">
        <v>156</v>
      </c>
      <c r="E30" s="67"/>
      <c r="F30" s="76" t="s">
        <v>157</v>
      </c>
      <c r="G30" s="76"/>
      <c r="H30" s="76"/>
      <c r="I30" s="72" t="s">
        <v>158</v>
      </c>
      <c r="J30" s="77" t="s">
        <v>159</v>
      </c>
      <c r="K30" s="78"/>
      <c r="L30" s="79"/>
      <c r="M30" s="73">
        <v>33</v>
      </c>
      <c r="N30" s="71">
        <f t="shared" si="0"/>
        <v>51</v>
      </c>
      <c r="O30" s="71" t="str">
        <f t="shared" si="3"/>
        <v>00110011</v>
      </c>
    </row>
    <row r="31" spans="2:23" ht="20.25" customHeight="1" x14ac:dyDescent="0.3">
      <c r="B31" s="71" t="s">
        <v>128</v>
      </c>
      <c r="C31" s="71" t="s">
        <v>160</v>
      </c>
      <c r="D31" s="71" t="s">
        <v>161</v>
      </c>
      <c r="E31" s="67"/>
      <c r="F31" s="76" t="s">
        <v>162</v>
      </c>
      <c r="G31" s="76"/>
      <c r="H31" s="76"/>
      <c r="I31" s="76"/>
      <c r="J31" s="76"/>
      <c r="K31" s="76"/>
      <c r="L31" s="76"/>
      <c r="M31" s="73">
        <v>40</v>
      </c>
      <c r="N31" s="71">
        <f t="shared" si="0"/>
        <v>64</v>
      </c>
      <c r="O31" s="71" t="str">
        <f t="shared" si="3"/>
        <v>01000000</v>
      </c>
    </row>
    <row r="32" spans="2:23" ht="20.25" customHeight="1" x14ac:dyDescent="0.3">
      <c r="B32" s="71" t="s">
        <v>62</v>
      </c>
      <c r="C32" s="71" t="s">
        <v>163</v>
      </c>
      <c r="D32" s="71" t="s">
        <v>164</v>
      </c>
      <c r="E32" s="67"/>
      <c r="F32" s="76" t="s">
        <v>165</v>
      </c>
      <c r="G32" s="76"/>
      <c r="H32" s="76"/>
      <c r="I32" s="76"/>
      <c r="J32" s="76"/>
      <c r="K32" s="76"/>
      <c r="L32" s="76"/>
      <c r="M32" s="73">
        <v>40</v>
      </c>
      <c r="N32" s="71">
        <f t="shared" si="0"/>
        <v>64</v>
      </c>
      <c r="O32" s="71" t="str">
        <f t="shared" si="3"/>
        <v>01000000</v>
      </c>
    </row>
    <row r="33" spans="2:15" ht="20.25" customHeight="1" x14ac:dyDescent="0.3">
      <c r="B33" s="71" t="s">
        <v>128</v>
      </c>
      <c r="C33" s="71" t="s">
        <v>166</v>
      </c>
      <c r="D33" s="71" t="s">
        <v>167</v>
      </c>
      <c r="E33" s="67"/>
      <c r="F33" s="76" t="s">
        <v>168</v>
      </c>
      <c r="G33" s="76"/>
      <c r="H33" s="76"/>
      <c r="I33" s="76"/>
      <c r="J33" s="76"/>
      <c r="K33" s="76"/>
      <c r="L33" s="76"/>
      <c r="M33" s="73">
        <v>40</v>
      </c>
      <c r="N33" s="71">
        <f t="shared" si="0"/>
        <v>64</v>
      </c>
      <c r="O33" s="71" t="str">
        <f t="shared" si="3"/>
        <v>01000000</v>
      </c>
    </row>
    <row r="34" spans="2:15" ht="20.25" customHeight="1" x14ac:dyDescent="0.3">
      <c r="B34" s="71" t="s">
        <v>128</v>
      </c>
      <c r="C34" s="71" t="s">
        <v>169</v>
      </c>
      <c r="D34" s="71" t="s">
        <v>170</v>
      </c>
      <c r="E34" s="74"/>
      <c r="F34" s="76" t="s">
        <v>171</v>
      </c>
      <c r="G34" s="76"/>
      <c r="H34" s="76"/>
      <c r="I34" s="76"/>
      <c r="J34" s="76"/>
      <c r="K34" s="76"/>
      <c r="L34" s="76"/>
      <c r="M34" s="73">
        <v>40</v>
      </c>
      <c r="N34" s="71">
        <f t="shared" si="0"/>
        <v>64</v>
      </c>
      <c r="O34" s="71" t="str">
        <f t="shared" si="3"/>
        <v>01000000</v>
      </c>
    </row>
    <row r="35" spans="2:15" ht="20.25" customHeight="1" x14ac:dyDescent="0.3">
      <c r="B35" s="71" t="s">
        <v>62</v>
      </c>
      <c r="C35" s="71" t="s">
        <v>172</v>
      </c>
      <c r="D35" s="71" t="s">
        <v>173</v>
      </c>
      <c r="E35" s="74"/>
      <c r="F35" s="76" t="s">
        <v>174</v>
      </c>
      <c r="G35" s="76"/>
      <c r="H35" s="76"/>
      <c r="I35" s="76"/>
      <c r="J35" s="76"/>
      <c r="K35" s="76"/>
      <c r="L35" s="76"/>
      <c r="M35" s="73">
        <v>40</v>
      </c>
      <c r="N35" s="71">
        <f t="shared" si="0"/>
        <v>64</v>
      </c>
      <c r="O35" s="71" t="str">
        <f t="shared" si="3"/>
        <v>01000000</v>
      </c>
    </row>
    <row r="36" spans="2:15" ht="20.25" customHeight="1" x14ac:dyDescent="0.3">
      <c r="B36" s="71" t="s">
        <v>128</v>
      </c>
      <c r="C36" s="71" t="s">
        <v>175</v>
      </c>
      <c r="D36" s="71" t="s">
        <v>176</v>
      </c>
      <c r="E36" s="74"/>
      <c r="F36" s="76" t="s">
        <v>177</v>
      </c>
      <c r="G36" s="76"/>
      <c r="H36" s="76"/>
      <c r="I36" s="76"/>
      <c r="J36" s="76"/>
      <c r="K36" s="76"/>
      <c r="L36" s="76"/>
      <c r="M36" s="73">
        <v>40</v>
      </c>
      <c r="N36" s="71">
        <f t="shared" si="0"/>
        <v>64</v>
      </c>
      <c r="O36" s="71" t="str">
        <f t="shared" si="3"/>
        <v>01000000</v>
      </c>
    </row>
    <row r="37" spans="2:15" ht="20.25" customHeight="1" x14ac:dyDescent="0.3">
      <c r="B37" s="71" t="s">
        <v>128</v>
      </c>
      <c r="C37" s="71" t="s">
        <v>178</v>
      </c>
      <c r="D37" s="71" t="s">
        <v>40</v>
      </c>
      <c r="E37" s="74"/>
      <c r="F37" s="77" t="s">
        <v>179</v>
      </c>
      <c r="G37" s="78"/>
      <c r="H37" s="78"/>
      <c r="I37" s="78"/>
      <c r="J37" s="78"/>
      <c r="K37" s="79"/>
      <c r="L37" s="75" t="s">
        <v>180</v>
      </c>
      <c r="M37" s="73" t="s">
        <v>123</v>
      </c>
      <c r="N37" s="71">
        <f>HEX2DEC(M37)</f>
        <v>0</v>
      </c>
      <c r="O37" s="71" t="str">
        <f t="shared" si="3"/>
        <v>00000000</v>
      </c>
    </row>
    <row r="38" spans="2:15" ht="20.25" customHeight="1" x14ac:dyDescent="0.3"/>
    <row r="39" spans="2:15" ht="20.25" customHeight="1" x14ac:dyDescent="0.3"/>
    <row r="40" spans="2:15" ht="20.25" customHeight="1" x14ac:dyDescent="0.3"/>
    <row r="41" spans="2:15" ht="20.25" customHeight="1" x14ac:dyDescent="0.3"/>
    <row r="42" spans="2:15" ht="20.25" customHeight="1" x14ac:dyDescent="0.3"/>
    <row r="43" spans="2:15" ht="20.25" customHeight="1" x14ac:dyDescent="0.3"/>
    <row r="44" spans="2:15" ht="20.25" customHeight="1" x14ac:dyDescent="0.3"/>
    <row r="45" spans="2:15" ht="20.25" customHeight="1" x14ac:dyDescent="0.3"/>
  </sheetData>
  <mergeCells count="47">
    <mergeCell ref="E4:K4"/>
    <mergeCell ref="B2:B3"/>
    <mergeCell ref="C2:C3"/>
    <mergeCell ref="D2:D3"/>
    <mergeCell ref="E2:L2"/>
    <mergeCell ref="M2:O2"/>
    <mergeCell ref="E15:H15"/>
    <mergeCell ref="I15:L15"/>
    <mergeCell ref="E5:H5"/>
    <mergeCell ref="E6:L6"/>
    <mergeCell ref="G8:L8"/>
    <mergeCell ref="E9:H9"/>
    <mergeCell ref="I9:L9"/>
    <mergeCell ref="E10:H10"/>
    <mergeCell ref="I10:L10"/>
    <mergeCell ref="E11:H11"/>
    <mergeCell ref="I11:L11"/>
    <mergeCell ref="E12:F12"/>
    <mergeCell ref="G12:L12"/>
    <mergeCell ref="E14:L14"/>
    <mergeCell ref="E25:L25"/>
    <mergeCell ref="G16:H16"/>
    <mergeCell ref="I16:L16"/>
    <mergeCell ref="E17:L17"/>
    <mergeCell ref="E18:G18"/>
    <mergeCell ref="I18:K18"/>
    <mergeCell ref="K20:L20"/>
    <mergeCell ref="E21:H21"/>
    <mergeCell ref="I21:L21"/>
    <mergeCell ref="E22:L22"/>
    <mergeCell ref="E23:L23"/>
    <mergeCell ref="E24:L24"/>
    <mergeCell ref="E26:L26"/>
    <mergeCell ref="E27:L27"/>
    <mergeCell ref="F28:H28"/>
    <mergeCell ref="J28:L28"/>
    <mergeCell ref="F29:H29"/>
    <mergeCell ref="J29:L29"/>
    <mergeCell ref="F35:L35"/>
    <mergeCell ref="F36:L36"/>
    <mergeCell ref="F37:K37"/>
    <mergeCell ref="F30:H30"/>
    <mergeCell ref="J30:L30"/>
    <mergeCell ref="F31:L31"/>
    <mergeCell ref="F32:L32"/>
    <mergeCell ref="F33:L33"/>
    <mergeCell ref="F34:L34"/>
  </mergeCells>
  <phoneticPr fontId="1" type="noConversion"/>
  <pageMargins left="0.17" right="0.17" top="0.27559055118110237" bottom="0.2" header="0.23622047244094491" footer="0.17"/>
  <pageSetup paperSize="9" scale="5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4) Register_table</vt:lpstr>
      <vt:lpstr>'4) Register_table'!Print_Area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2023-02-09T05:02:46Z</dcterms:modified>
</cp:coreProperties>
</file>